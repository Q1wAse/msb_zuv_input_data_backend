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1" sheetId="1" r:id="rId1"/>
  </sheets>
  <definedNames>
    <definedName name="_BS1">Лист1!$C:$C</definedName>
    <definedName name="_MONTH1_1">Лист1!$Z:$AB</definedName>
    <definedName name="_MONTH1_10">Лист1!$BM:$BO</definedName>
    <definedName name="_MONTH1_11">Лист1!$BP:$BR</definedName>
    <definedName name="_MONTH1_12">Лист1!$BS:$BU</definedName>
    <definedName name="_MONTH1_2">Лист1!$AC:$AE</definedName>
    <definedName name="_MONTH1_3">Лист1!$AF:$AH</definedName>
    <definedName name="_MONTH1_4">Лист1!$AM:$AO</definedName>
    <definedName name="_MONTH1_5">Лист1!$AP:$AR</definedName>
    <definedName name="_MONTH1_6">Лист1!$AS:$AU</definedName>
    <definedName name="_MONTH1_7">Лист1!$AZ:$BB</definedName>
    <definedName name="_MONTH1_8">Лист1!$BC:$BE</definedName>
    <definedName name="_MONTH1_9">Лист1!$BF:$BH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7" i="1" l="1"/>
  <c r="N77" i="1"/>
  <c r="M77" i="1"/>
  <c r="L77" i="1"/>
  <c r="BL76" i="1"/>
  <c r="AY76" i="1"/>
  <c r="AL76" i="1"/>
  <c r="Y76" i="1"/>
  <c r="U76" i="1"/>
  <c r="CG75" i="1"/>
  <c r="CE75" i="1"/>
  <c r="CC75" i="1"/>
  <c r="CB75" i="1"/>
  <c r="CA75" i="1"/>
  <c r="BK74" i="1"/>
  <c r="BJ74" i="1"/>
  <c r="BI74" i="1"/>
  <c r="AX74" i="1"/>
  <c r="AW74" i="1"/>
  <c r="AV74" i="1"/>
  <c r="AK74" i="1"/>
  <c r="AJ74" i="1"/>
  <c r="AI74" i="1"/>
  <c r="Q74" i="1" s="1"/>
  <c r="CE74" i="1" s="1"/>
  <c r="X74" i="1"/>
  <c r="T74" i="1" s="1"/>
  <c r="W74" i="1"/>
  <c r="V74" i="1"/>
  <c r="CB73" i="1"/>
  <c r="BK73" i="1"/>
  <c r="BJ73" i="1"/>
  <c r="BI73" i="1"/>
  <c r="AX73" i="1"/>
  <c r="AW73" i="1"/>
  <c r="AV73" i="1"/>
  <c r="AK73" i="1"/>
  <c r="T73" i="1" s="1"/>
  <c r="CG73" i="1" s="1"/>
  <c r="AJ73" i="1"/>
  <c r="AI73" i="1"/>
  <c r="X73" i="1"/>
  <c r="W73" i="1"/>
  <c r="V73" i="1"/>
  <c r="R73" i="1"/>
  <c r="Q73" i="1"/>
  <c r="BK72" i="1"/>
  <c r="BJ72" i="1"/>
  <c r="BI72" i="1"/>
  <c r="AX72" i="1"/>
  <c r="AW72" i="1"/>
  <c r="AV72" i="1"/>
  <c r="AK72" i="1"/>
  <c r="AJ72" i="1"/>
  <c r="AI72" i="1"/>
  <c r="X72" i="1"/>
  <c r="T72" i="1" s="1"/>
  <c r="W72" i="1"/>
  <c r="R72" i="1" s="1"/>
  <c r="CB72" i="1" s="1"/>
  <c r="V72" i="1"/>
  <c r="BK71" i="1"/>
  <c r="BJ71" i="1"/>
  <c r="BI71" i="1"/>
  <c r="AX71" i="1"/>
  <c r="AW71" i="1"/>
  <c r="AV71" i="1"/>
  <c r="AK71" i="1"/>
  <c r="AJ71" i="1"/>
  <c r="AI71" i="1"/>
  <c r="X71" i="1"/>
  <c r="W71" i="1"/>
  <c r="R71" i="1" s="1"/>
  <c r="CB71" i="1" s="1"/>
  <c r="V71" i="1"/>
  <c r="CE70" i="1"/>
  <c r="BK70" i="1"/>
  <c r="BJ70" i="1"/>
  <c r="BI70" i="1"/>
  <c r="AX70" i="1"/>
  <c r="AW70" i="1"/>
  <c r="AV70" i="1"/>
  <c r="AK70" i="1"/>
  <c r="AJ70" i="1"/>
  <c r="AI70" i="1"/>
  <c r="X70" i="1"/>
  <c r="T70" i="1" s="1"/>
  <c r="W70" i="1"/>
  <c r="V70" i="1"/>
  <c r="Q70" i="1"/>
  <c r="CA70" i="1" s="1"/>
  <c r="BK69" i="1"/>
  <c r="BJ69" i="1"/>
  <c r="BI69" i="1"/>
  <c r="AX69" i="1"/>
  <c r="AW69" i="1"/>
  <c r="AV69" i="1"/>
  <c r="AK69" i="1"/>
  <c r="T69" i="1" s="1"/>
  <c r="AJ69" i="1"/>
  <c r="AI69" i="1"/>
  <c r="X69" i="1"/>
  <c r="W69" i="1"/>
  <c r="V69" i="1"/>
  <c r="R69" i="1"/>
  <c r="CB69" i="1" s="1"/>
  <c r="CG68" i="1"/>
  <c r="BK68" i="1"/>
  <c r="BJ68" i="1"/>
  <c r="BI68" i="1"/>
  <c r="AX68" i="1"/>
  <c r="AW68" i="1"/>
  <c r="AV68" i="1"/>
  <c r="AK68" i="1"/>
  <c r="AJ68" i="1"/>
  <c r="AI68" i="1"/>
  <c r="Q68" i="1" s="1"/>
  <c r="X68" i="1"/>
  <c r="W68" i="1"/>
  <c r="V68" i="1"/>
  <c r="T68" i="1"/>
  <c r="CC68" i="1" s="1"/>
  <c r="R68" i="1"/>
  <c r="CB68" i="1" s="1"/>
  <c r="BK67" i="1"/>
  <c r="BJ67" i="1"/>
  <c r="BI67" i="1"/>
  <c r="AX67" i="1"/>
  <c r="AW67" i="1"/>
  <c r="AV67" i="1"/>
  <c r="AK67" i="1"/>
  <c r="AJ67" i="1"/>
  <c r="AI67" i="1"/>
  <c r="X67" i="1"/>
  <c r="W67" i="1"/>
  <c r="V67" i="1"/>
  <c r="T67" i="1"/>
  <c r="R67" i="1"/>
  <c r="CB67" i="1" s="1"/>
  <c r="BK66" i="1"/>
  <c r="BJ66" i="1"/>
  <c r="BI66" i="1"/>
  <c r="AX66" i="1"/>
  <c r="AW66" i="1"/>
  <c r="AV66" i="1"/>
  <c r="AY66" i="1" s="1"/>
  <c r="AK66" i="1"/>
  <c r="T66" i="1" s="1"/>
  <c r="AJ66" i="1"/>
  <c r="AI66" i="1"/>
  <c r="X66" i="1"/>
  <c r="W66" i="1"/>
  <c r="V66" i="1"/>
  <c r="Q66" i="1" s="1"/>
  <c r="CA65" i="1"/>
  <c r="BK65" i="1"/>
  <c r="BJ65" i="1"/>
  <c r="BI65" i="1"/>
  <c r="AX65" i="1"/>
  <c r="AW65" i="1"/>
  <c r="AV65" i="1"/>
  <c r="AK65" i="1"/>
  <c r="AJ65" i="1"/>
  <c r="AI65" i="1"/>
  <c r="Q65" i="1" s="1"/>
  <c r="CE65" i="1" s="1"/>
  <c r="X65" i="1"/>
  <c r="W65" i="1"/>
  <c r="V65" i="1"/>
  <c r="R65" i="1"/>
  <c r="CB65" i="1" s="1"/>
  <c r="BK64" i="1"/>
  <c r="BJ64" i="1"/>
  <c r="BI64" i="1"/>
  <c r="Q64" i="1" s="1"/>
  <c r="AX64" i="1"/>
  <c r="AW64" i="1"/>
  <c r="AV64" i="1"/>
  <c r="AK64" i="1"/>
  <c r="T64" i="1" s="1"/>
  <c r="AJ64" i="1"/>
  <c r="AI64" i="1"/>
  <c r="X64" i="1"/>
  <c r="W64" i="1"/>
  <c r="V64" i="1"/>
  <c r="R64" i="1"/>
  <c r="CB64" i="1" s="1"/>
  <c r="BK63" i="1"/>
  <c r="BJ63" i="1"/>
  <c r="BI63" i="1"/>
  <c r="AX63" i="1"/>
  <c r="AW63" i="1"/>
  <c r="AV63" i="1"/>
  <c r="AK63" i="1"/>
  <c r="AJ63" i="1"/>
  <c r="AI63" i="1"/>
  <c r="X63" i="1"/>
  <c r="W63" i="1"/>
  <c r="R63" i="1" s="1"/>
  <c r="CB63" i="1" s="1"/>
  <c r="V63" i="1"/>
  <c r="CH62" i="1"/>
  <c r="BZ62" i="1"/>
  <c r="BX62" i="1"/>
  <c r="BU62" i="1"/>
  <c r="BT62" i="1"/>
  <c r="BS62" i="1"/>
  <c r="BR62" i="1"/>
  <c r="BK62" i="1" s="1"/>
  <c r="BQ62" i="1"/>
  <c r="BJ62" i="1" s="1"/>
  <c r="BP62" i="1"/>
  <c r="BO62" i="1"/>
  <c r="BN62" i="1"/>
  <c r="BM62" i="1"/>
  <c r="BI62" i="1"/>
  <c r="BL64" i="1" s="1"/>
  <c r="BH62" i="1"/>
  <c r="BG62" i="1"/>
  <c r="BF62" i="1"/>
  <c r="BE62" i="1"/>
  <c r="BD62" i="1"/>
  <c r="BC62" i="1"/>
  <c r="BB62" i="1"/>
  <c r="AX62" i="1" s="1"/>
  <c r="BA62" i="1"/>
  <c r="AZ62" i="1"/>
  <c r="AV62" i="1"/>
  <c r="AU62" i="1"/>
  <c r="AT62" i="1"/>
  <c r="AS62" i="1"/>
  <c r="AR62" i="1"/>
  <c r="AQ62" i="1"/>
  <c r="AP62" i="1"/>
  <c r="AO62" i="1"/>
  <c r="AN62" i="1"/>
  <c r="AM62" i="1"/>
  <c r="AI62" i="1" s="1"/>
  <c r="AK62" i="1"/>
  <c r="AH62" i="1"/>
  <c r="AG62" i="1"/>
  <c r="AF62" i="1"/>
  <c r="AE62" i="1"/>
  <c r="AD62" i="1"/>
  <c r="W62" i="1" s="1"/>
  <c r="AC62" i="1"/>
  <c r="V62" i="1" s="1"/>
  <c r="AB62" i="1"/>
  <c r="AA62" i="1"/>
  <c r="Z62" i="1"/>
  <c r="X62" i="1"/>
  <c r="CB61" i="1"/>
  <c r="BK61" i="1"/>
  <c r="BJ61" i="1"/>
  <c r="BI61" i="1"/>
  <c r="AX61" i="1"/>
  <c r="AW61" i="1"/>
  <c r="AV61" i="1"/>
  <c r="AK61" i="1"/>
  <c r="AJ61" i="1"/>
  <c r="AI61" i="1"/>
  <c r="AL61" i="1" s="1"/>
  <c r="X61" i="1"/>
  <c r="T61" i="1" s="1"/>
  <c r="W61" i="1"/>
  <c r="R61" i="1" s="1"/>
  <c r="V61" i="1"/>
  <c r="CB60" i="1"/>
  <c r="BK60" i="1"/>
  <c r="BJ60" i="1"/>
  <c r="BI60" i="1"/>
  <c r="AX60" i="1"/>
  <c r="AW60" i="1"/>
  <c r="AV60" i="1"/>
  <c r="AK60" i="1"/>
  <c r="AJ60" i="1"/>
  <c r="AI60" i="1"/>
  <c r="X60" i="1"/>
  <c r="W60" i="1"/>
  <c r="R60" i="1" s="1"/>
  <c r="V60" i="1"/>
  <c r="CE59" i="1"/>
  <c r="CC59" i="1"/>
  <c r="BK59" i="1"/>
  <c r="BJ59" i="1"/>
  <c r="BI59" i="1"/>
  <c r="AX59" i="1"/>
  <c r="AW59" i="1"/>
  <c r="R59" i="1" s="1"/>
  <c r="CB59" i="1" s="1"/>
  <c r="AV59" i="1"/>
  <c r="AK59" i="1"/>
  <c r="AJ59" i="1"/>
  <c r="AI59" i="1"/>
  <c r="X59" i="1"/>
  <c r="W59" i="1"/>
  <c r="V59" i="1"/>
  <c r="Q59" i="1" s="1"/>
  <c r="CA59" i="1" s="1"/>
  <c r="T59" i="1"/>
  <c r="CG59" i="1" s="1"/>
  <c r="BK58" i="1"/>
  <c r="BJ58" i="1"/>
  <c r="R58" i="1" s="1"/>
  <c r="CB58" i="1" s="1"/>
  <c r="BI58" i="1"/>
  <c r="AX58" i="1"/>
  <c r="AW58" i="1"/>
  <c r="AV58" i="1"/>
  <c r="AK58" i="1"/>
  <c r="AJ58" i="1"/>
  <c r="AI58" i="1"/>
  <c r="Q58" i="1" s="1"/>
  <c r="X58" i="1"/>
  <c r="T58" i="1" s="1"/>
  <c r="W58" i="1"/>
  <c r="V58" i="1"/>
  <c r="CC57" i="1"/>
  <c r="BK57" i="1"/>
  <c r="BJ57" i="1"/>
  <c r="BI57" i="1"/>
  <c r="AX57" i="1"/>
  <c r="AW57" i="1"/>
  <c r="AV57" i="1"/>
  <c r="AY56" i="1" s="1"/>
  <c r="AK57" i="1"/>
  <c r="AJ57" i="1"/>
  <c r="AI57" i="1"/>
  <c r="X57" i="1"/>
  <c r="W57" i="1"/>
  <c r="R57" i="1" s="1"/>
  <c r="CB57" i="1" s="1"/>
  <c r="V57" i="1"/>
  <c r="T57" i="1"/>
  <c r="CG57" i="1" s="1"/>
  <c r="CH56" i="1"/>
  <c r="BZ56" i="1"/>
  <c r="BX56" i="1"/>
  <c r="BU56" i="1"/>
  <c r="BT56" i="1"/>
  <c r="BS56" i="1"/>
  <c r="BR56" i="1"/>
  <c r="BQ56" i="1"/>
  <c r="BP56" i="1"/>
  <c r="BI56" i="1" s="1"/>
  <c r="BO56" i="1"/>
  <c r="BK56" i="1" s="1"/>
  <c r="BN56" i="1"/>
  <c r="BM56" i="1"/>
  <c r="BJ56" i="1"/>
  <c r="BH56" i="1"/>
  <c r="BG56" i="1"/>
  <c r="BF56" i="1"/>
  <c r="BE56" i="1"/>
  <c r="BD56" i="1"/>
  <c r="BC56" i="1"/>
  <c r="BB56" i="1"/>
  <c r="AX56" i="1" s="1"/>
  <c r="BA56" i="1"/>
  <c r="AZ56" i="1"/>
  <c r="AV56" i="1" s="1"/>
  <c r="AU56" i="1"/>
  <c r="AT56" i="1"/>
  <c r="AS56" i="1"/>
  <c r="AR56" i="1"/>
  <c r="AK56" i="1" s="1"/>
  <c r="AQ56" i="1"/>
  <c r="AP56" i="1"/>
  <c r="AO56" i="1"/>
  <c r="AN56" i="1"/>
  <c r="AM56" i="1"/>
  <c r="AI56" i="1"/>
  <c r="Q56" i="1" s="1"/>
  <c r="CE56" i="1" s="1"/>
  <c r="AH56" i="1"/>
  <c r="AG56" i="1"/>
  <c r="AF56" i="1"/>
  <c r="AE56" i="1"/>
  <c r="AD56" i="1"/>
  <c r="AC56" i="1"/>
  <c r="AB56" i="1"/>
  <c r="X56" i="1" s="1"/>
  <c r="AA56" i="1"/>
  <c r="Z56" i="1"/>
  <c r="V56" i="1"/>
  <c r="BK55" i="1"/>
  <c r="T55" i="1" s="1"/>
  <c r="BJ55" i="1"/>
  <c r="BI55" i="1"/>
  <c r="AX55" i="1"/>
  <c r="AW55" i="1"/>
  <c r="AV55" i="1"/>
  <c r="AK55" i="1"/>
  <c r="AJ55" i="1"/>
  <c r="R55" i="1" s="1"/>
  <c r="CB55" i="1" s="1"/>
  <c r="AI55" i="1"/>
  <c r="X55" i="1"/>
  <c r="W55" i="1"/>
  <c r="V55" i="1"/>
  <c r="BK54" i="1"/>
  <c r="BJ54" i="1"/>
  <c r="R54" i="1" s="1"/>
  <c r="CB54" i="1" s="1"/>
  <c r="BI54" i="1"/>
  <c r="AX54" i="1"/>
  <c r="AW54" i="1"/>
  <c r="AV54" i="1"/>
  <c r="AK54" i="1"/>
  <c r="AJ54" i="1"/>
  <c r="AI54" i="1"/>
  <c r="Q54" i="1" s="1"/>
  <c r="X54" i="1"/>
  <c r="W54" i="1"/>
  <c r="V54" i="1"/>
  <c r="BK53" i="1"/>
  <c r="BJ53" i="1"/>
  <c r="BI53" i="1"/>
  <c r="AX53" i="1"/>
  <c r="AW53" i="1"/>
  <c r="AV53" i="1"/>
  <c r="AK53" i="1"/>
  <c r="AJ53" i="1"/>
  <c r="AI53" i="1"/>
  <c r="X53" i="1"/>
  <c r="W53" i="1"/>
  <c r="R53" i="1" s="1"/>
  <c r="CB53" i="1" s="1"/>
  <c r="V53" i="1"/>
  <c r="Q53" i="1" s="1"/>
  <c r="T53" i="1"/>
  <c r="BK52" i="1"/>
  <c r="BJ52" i="1"/>
  <c r="BI52" i="1"/>
  <c r="AX52" i="1"/>
  <c r="AW52" i="1"/>
  <c r="AV52" i="1"/>
  <c r="AK52" i="1"/>
  <c r="AJ52" i="1"/>
  <c r="R52" i="1" s="1"/>
  <c r="CB52" i="1" s="1"/>
  <c r="AI52" i="1"/>
  <c r="Q52" i="1" s="1"/>
  <c r="X52" i="1"/>
  <c r="W52" i="1"/>
  <c r="V52" i="1"/>
  <c r="T52" i="1"/>
  <c r="CG51" i="1"/>
  <c r="BK51" i="1"/>
  <c r="BJ51" i="1"/>
  <c r="R51" i="1" s="1"/>
  <c r="CB51" i="1" s="1"/>
  <c r="BI51" i="1"/>
  <c r="AX51" i="1"/>
  <c r="AW51" i="1"/>
  <c r="AV51" i="1"/>
  <c r="AK51" i="1"/>
  <c r="AJ51" i="1"/>
  <c r="AI51" i="1"/>
  <c r="X51" i="1"/>
  <c r="W51" i="1"/>
  <c r="V51" i="1"/>
  <c r="T51" i="1"/>
  <c r="CC51" i="1" s="1"/>
  <c r="BK50" i="1"/>
  <c r="BJ50" i="1"/>
  <c r="BI50" i="1"/>
  <c r="Q50" i="1" s="1"/>
  <c r="CE50" i="1" s="1"/>
  <c r="AX50" i="1"/>
  <c r="AW50" i="1"/>
  <c r="AV50" i="1"/>
  <c r="AK50" i="1"/>
  <c r="AJ50" i="1"/>
  <c r="AI50" i="1"/>
  <c r="X50" i="1"/>
  <c r="T50" i="1" s="1"/>
  <c r="W50" i="1"/>
  <c r="R50" i="1" s="1"/>
  <c r="CB50" i="1" s="1"/>
  <c r="V50" i="1"/>
  <c r="CG49" i="1"/>
  <c r="CE49" i="1"/>
  <c r="CC49" i="1"/>
  <c r="CB49" i="1"/>
  <c r="CA49" i="1"/>
  <c r="BK49" i="1"/>
  <c r="BJ49" i="1"/>
  <c r="BI49" i="1"/>
  <c r="AX49" i="1"/>
  <c r="AW49" i="1"/>
  <c r="AV49" i="1"/>
  <c r="AK49" i="1"/>
  <c r="AJ49" i="1"/>
  <c r="AI49" i="1"/>
  <c r="X49" i="1"/>
  <c r="W49" i="1"/>
  <c r="V49" i="1"/>
  <c r="CC48" i="1"/>
  <c r="BK48" i="1"/>
  <c r="BJ48" i="1"/>
  <c r="BI48" i="1"/>
  <c r="AX48" i="1"/>
  <c r="AW48" i="1"/>
  <c r="AV48" i="1"/>
  <c r="AK48" i="1"/>
  <c r="AJ48" i="1"/>
  <c r="AI48" i="1"/>
  <c r="X48" i="1"/>
  <c r="W48" i="1"/>
  <c r="R48" i="1" s="1"/>
  <c r="CB48" i="1" s="1"/>
  <c r="V48" i="1"/>
  <c r="Q48" i="1" s="1"/>
  <c r="T48" i="1"/>
  <c r="CG48" i="1" s="1"/>
  <c r="BK47" i="1"/>
  <c r="BJ47" i="1"/>
  <c r="R47" i="1" s="1"/>
  <c r="CB47" i="1" s="1"/>
  <c r="BI47" i="1"/>
  <c r="AX47" i="1"/>
  <c r="AW47" i="1"/>
  <c r="AV47" i="1"/>
  <c r="AK47" i="1"/>
  <c r="AJ47" i="1"/>
  <c r="AI47" i="1"/>
  <c r="X47" i="1"/>
  <c r="T47" i="1" s="1"/>
  <c r="W47" i="1"/>
  <c r="V47" i="1"/>
  <c r="Q47" i="1"/>
  <c r="CH46" i="1"/>
  <c r="BZ46" i="1"/>
  <c r="BX46" i="1"/>
  <c r="BX26" i="1" s="1"/>
  <c r="BU46" i="1"/>
  <c r="BT46" i="1"/>
  <c r="BS46" i="1"/>
  <c r="BR46" i="1"/>
  <c r="BQ46" i="1"/>
  <c r="BP46" i="1"/>
  <c r="BO46" i="1"/>
  <c r="BN46" i="1"/>
  <c r="BN26" i="1" s="1"/>
  <c r="BM46" i="1"/>
  <c r="BK46" i="1"/>
  <c r="BH46" i="1"/>
  <c r="BG46" i="1"/>
  <c r="BF46" i="1"/>
  <c r="BE46" i="1"/>
  <c r="BD46" i="1"/>
  <c r="BC46" i="1"/>
  <c r="AV46" i="1" s="1"/>
  <c r="BB46" i="1"/>
  <c r="AX46" i="1" s="1"/>
  <c r="BA46" i="1"/>
  <c r="AZ46" i="1"/>
  <c r="AW46" i="1"/>
  <c r="AU46" i="1"/>
  <c r="AT46" i="1"/>
  <c r="AJ46" i="1" s="1"/>
  <c r="AS46" i="1"/>
  <c r="AR46" i="1"/>
  <c r="AQ46" i="1"/>
  <c r="AP46" i="1"/>
  <c r="AO46" i="1"/>
  <c r="AN46" i="1"/>
  <c r="AM46" i="1"/>
  <c r="AI46" i="1" s="1"/>
  <c r="AK46" i="1"/>
  <c r="AH46" i="1"/>
  <c r="AG46" i="1"/>
  <c r="AF46" i="1"/>
  <c r="AE46" i="1"/>
  <c r="AD46" i="1"/>
  <c r="AC46" i="1"/>
  <c r="V46" i="1" s="1"/>
  <c r="AB46" i="1"/>
  <c r="X46" i="1" s="1"/>
  <c r="AA46" i="1"/>
  <c r="Z46" i="1"/>
  <c r="W46" i="1"/>
  <c r="BK45" i="1"/>
  <c r="BJ45" i="1"/>
  <c r="BI45" i="1"/>
  <c r="Q45" i="1" s="1"/>
  <c r="AX45" i="1"/>
  <c r="AW45" i="1"/>
  <c r="AV45" i="1"/>
  <c r="AK45" i="1"/>
  <c r="AJ45" i="1"/>
  <c r="AI45" i="1"/>
  <c r="X45" i="1"/>
  <c r="T45" i="1" s="1"/>
  <c r="W45" i="1"/>
  <c r="R45" i="1" s="1"/>
  <c r="CB45" i="1" s="1"/>
  <c r="V45" i="1"/>
  <c r="BK44" i="1"/>
  <c r="BJ44" i="1"/>
  <c r="BI44" i="1"/>
  <c r="AX44" i="1"/>
  <c r="AW44" i="1"/>
  <c r="AV44" i="1"/>
  <c r="AK44" i="1"/>
  <c r="AJ44" i="1"/>
  <c r="AI44" i="1"/>
  <c r="X44" i="1"/>
  <c r="W44" i="1"/>
  <c r="V44" i="1"/>
  <c r="Q44" i="1" s="1"/>
  <c r="R44" i="1"/>
  <c r="CB44" i="1" s="1"/>
  <c r="CH43" i="1"/>
  <c r="BZ43" i="1"/>
  <c r="BX43" i="1"/>
  <c r="BU43" i="1"/>
  <c r="BT43" i="1"/>
  <c r="BS43" i="1"/>
  <c r="BR43" i="1"/>
  <c r="BQ43" i="1"/>
  <c r="BP43" i="1"/>
  <c r="BO43" i="1"/>
  <c r="BK43" i="1" s="1"/>
  <c r="BN43" i="1"/>
  <c r="BJ43" i="1" s="1"/>
  <c r="BM43" i="1"/>
  <c r="BI43" i="1"/>
  <c r="BH43" i="1"/>
  <c r="BG43" i="1"/>
  <c r="BF43" i="1"/>
  <c r="BE43" i="1"/>
  <c r="BD43" i="1"/>
  <c r="BC43" i="1"/>
  <c r="BB43" i="1"/>
  <c r="BA43" i="1"/>
  <c r="AW43" i="1" s="1"/>
  <c r="R43" i="1" s="1"/>
  <c r="CB43" i="1" s="1"/>
  <c r="AZ43" i="1"/>
  <c r="AV43" i="1" s="1"/>
  <c r="AY43" i="1" s="1"/>
  <c r="AX43" i="1"/>
  <c r="AU43" i="1"/>
  <c r="AT43" i="1"/>
  <c r="AS43" i="1"/>
  <c r="AR43" i="1"/>
  <c r="AQ43" i="1"/>
  <c r="AJ43" i="1" s="1"/>
  <c r="AP43" i="1"/>
  <c r="AI43" i="1" s="1"/>
  <c r="AL43" i="1" s="1"/>
  <c r="AO43" i="1"/>
  <c r="AN43" i="1"/>
  <c r="AM43" i="1"/>
  <c r="AK43" i="1"/>
  <c r="AH43" i="1"/>
  <c r="AG43" i="1"/>
  <c r="AF43" i="1"/>
  <c r="AE43" i="1"/>
  <c r="AD43" i="1"/>
  <c r="AC43" i="1"/>
  <c r="AB43" i="1"/>
  <c r="X43" i="1" s="1"/>
  <c r="T43" i="1" s="1"/>
  <c r="AA43" i="1"/>
  <c r="W43" i="1" s="1"/>
  <c r="Z43" i="1"/>
  <c r="V43" i="1" s="1"/>
  <c r="CG42" i="1"/>
  <c r="CE42" i="1"/>
  <c r="CC42" i="1"/>
  <c r="CB42" i="1"/>
  <c r="CA42" i="1"/>
  <c r="BK42" i="1"/>
  <c r="BJ42" i="1"/>
  <c r="BI42" i="1"/>
  <c r="AX42" i="1"/>
  <c r="AW42" i="1"/>
  <c r="AV42" i="1"/>
  <c r="AK42" i="1"/>
  <c r="AJ42" i="1"/>
  <c r="AI42" i="1"/>
  <c r="X42" i="1"/>
  <c r="W42" i="1"/>
  <c r="V42" i="1"/>
  <c r="BK41" i="1"/>
  <c r="BJ41" i="1"/>
  <c r="BI41" i="1"/>
  <c r="AX41" i="1"/>
  <c r="AW41" i="1"/>
  <c r="AV41" i="1"/>
  <c r="AK41" i="1"/>
  <c r="AJ41" i="1"/>
  <c r="AI41" i="1"/>
  <c r="X41" i="1"/>
  <c r="T41" i="1" s="1"/>
  <c r="CC41" i="1" s="1"/>
  <c r="W41" i="1"/>
  <c r="R41" i="1" s="1"/>
  <c r="CB41" i="1" s="1"/>
  <c r="V41" i="1"/>
  <c r="CE40" i="1"/>
  <c r="BK40" i="1"/>
  <c r="BJ40" i="1"/>
  <c r="BI40" i="1"/>
  <c r="AX40" i="1"/>
  <c r="AW40" i="1"/>
  <c r="AV40" i="1"/>
  <c r="AK40" i="1"/>
  <c r="T40" i="1" s="1"/>
  <c r="AJ40" i="1"/>
  <c r="AI40" i="1"/>
  <c r="X40" i="1"/>
  <c r="W40" i="1"/>
  <c r="V40" i="1"/>
  <c r="Q40" i="1"/>
  <c r="CA40" i="1" s="1"/>
  <c r="BK39" i="1"/>
  <c r="BJ39" i="1"/>
  <c r="BI39" i="1"/>
  <c r="AX39" i="1"/>
  <c r="AW39" i="1"/>
  <c r="AV39" i="1"/>
  <c r="AK39" i="1"/>
  <c r="AJ39" i="1"/>
  <c r="AI39" i="1"/>
  <c r="X39" i="1"/>
  <c r="W39" i="1"/>
  <c r="R39" i="1" s="1"/>
  <c r="CB39" i="1" s="1"/>
  <c r="V39" i="1"/>
  <c r="Q39" i="1" s="1"/>
  <c r="BK38" i="1"/>
  <c r="BJ38" i="1"/>
  <c r="BI38" i="1"/>
  <c r="AX38" i="1"/>
  <c r="AW38" i="1"/>
  <c r="AV38" i="1"/>
  <c r="AK38" i="1"/>
  <c r="AJ38" i="1"/>
  <c r="AI38" i="1"/>
  <c r="X38" i="1"/>
  <c r="W38" i="1"/>
  <c r="V38" i="1"/>
  <c r="Q38" i="1"/>
  <c r="CA38" i="1" s="1"/>
  <c r="BK37" i="1"/>
  <c r="BJ37" i="1"/>
  <c r="BI37" i="1"/>
  <c r="AX37" i="1"/>
  <c r="AW37" i="1"/>
  <c r="AV37" i="1"/>
  <c r="AK37" i="1"/>
  <c r="AJ37" i="1"/>
  <c r="AI37" i="1"/>
  <c r="X37" i="1"/>
  <c r="W37" i="1"/>
  <c r="R37" i="1" s="1"/>
  <c r="CB37" i="1" s="1"/>
  <c r="V37" i="1"/>
  <c r="Q37" i="1" s="1"/>
  <c r="CH36" i="1"/>
  <c r="CH35" i="1" s="1"/>
  <c r="CH26" i="1" s="1"/>
  <c r="BZ36" i="1"/>
  <c r="BX36" i="1"/>
  <c r="BU36" i="1"/>
  <c r="BU35" i="1" s="1"/>
  <c r="BU26" i="1" s="1"/>
  <c r="BT36" i="1"/>
  <c r="BT35" i="1" s="1"/>
  <c r="BT26" i="1" s="1"/>
  <c r="BS36" i="1"/>
  <c r="BR36" i="1"/>
  <c r="BQ36" i="1"/>
  <c r="BJ36" i="1" s="1"/>
  <c r="BP36" i="1"/>
  <c r="BO36" i="1"/>
  <c r="BN36" i="1"/>
  <c r="BM36" i="1"/>
  <c r="BM35" i="1" s="1"/>
  <c r="BI36" i="1"/>
  <c r="BH36" i="1"/>
  <c r="BG36" i="1"/>
  <c r="BF36" i="1"/>
  <c r="BE36" i="1"/>
  <c r="BD36" i="1"/>
  <c r="BD35" i="1" s="1"/>
  <c r="BD26" i="1" s="1"/>
  <c r="BC36" i="1"/>
  <c r="BB36" i="1"/>
  <c r="AX36" i="1" s="1"/>
  <c r="BA36" i="1"/>
  <c r="AZ36" i="1"/>
  <c r="AV36" i="1"/>
  <c r="AU36" i="1"/>
  <c r="AT36" i="1"/>
  <c r="AT35" i="1" s="1"/>
  <c r="AT26" i="1" s="1"/>
  <c r="AS36" i="1"/>
  <c r="AS35" i="1" s="1"/>
  <c r="AR36" i="1"/>
  <c r="AQ36" i="1"/>
  <c r="AP36" i="1"/>
  <c r="AO36" i="1"/>
  <c r="AN36" i="1"/>
  <c r="AM36" i="1"/>
  <c r="AK36" i="1"/>
  <c r="AH36" i="1"/>
  <c r="AG36" i="1"/>
  <c r="AG35" i="1" s="1"/>
  <c r="AG26" i="1" s="1"/>
  <c r="AF36" i="1"/>
  <c r="AE36" i="1"/>
  <c r="AD36" i="1"/>
  <c r="AC36" i="1"/>
  <c r="V36" i="1" s="1"/>
  <c r="AB36" i="1"/>
  <c r="AA36" i="1"/>
  <c r="Z36" i="1"/>
  <c r="X36" i="1"/>
  <c r="BZ35" i="1"/>
  <c r="BX35" i="1"/>
  <c r="BS35" i="1"/>
  <c r="BQ35" i="1"/>
  <c r="BJ35" i="1" s="1"/>
  <c r="BP35" i="1"/>
  <c r="BO35" i="1"/>
  <c r="BN35" i="1"/>
  <c r="BH35" i="1"/>
  <c r="BG35" i="1"/>
  <c r="BF35" i="1"/>
  <c r="BE35" i="1"/>
  <c r="BE26" i="1" s="1"/>
  <c r="BC35" i="1"/>
  <c r="AZ35" i="1"/>
  <c r="AV35" i="1"/>
  <c r="AU35" i="1"/>
  <c r="AR35" i="1"/>
  <c r="AQ35" i="1"/>
  <c r="AP35" i="1"/>
  <c r="AO35" i="1"/>
  <c r="AN35" i="1"/>
  <c r="AM35" i="1"/>
  <c r="AI35" i="1" s="1"/>
  <c r="AK35" i="1"/>
  <c r="AH35" i="1"/>
  <c r="AF35" i="1"/>
  <c r="AF26" i="1" s="1"/>
  <c r="AE35" i="1"/>
  <c r="AD35" i="1"/>
  <c r="AC35" i="1"/>
  <c r="V35" i="1" s="1"/>
  <c r="AB35" i="1"/>
  <c r="AA35" i="1"/>
  <c r="Z35" i="1"/>
  <c r="X35" i="1"/>
  <c r="CG34" i="1"/>
  <c r="BK34" i="1"/>
  <c r="BJ34" i="1"/>
  <c r="BI34" i="1"/>
  <c r="AX34" i="1"/>
  <c r="AW34" i="1"/>
  <c r="AV34" i="1"/>
  <c r="AK34" i="1"/>
  <c r="AJ34" i="1"/>
  <c r="AI34" i="1"/>
  <c r="X34" i="1"/>
  <c r="W34" i="1"/>
  <c r="V34" i="1"/>
  <c r="Q34" i="1" s="1"/>
  <c r="T34" i="1"/>
  <c r="CC34" i="1" s="1"/>
  <c r="CG33" i="1"/>
  <c r="BK33" i="1"/>
  <c r="BJ33" i="1"/>
  <c r="BI33" i="1"/>
  <c r="AX33" i="1"/>
  <c r="AW33" i="1"/>
  <c r="AV33" i="1"/>
  <c r="AK33" i="1"/>
  <c r="AJ33" i="1"/>
  <c r="R33" i="1" s="1"/>
  <c r="CB33" i="1" s="1"/>
  <c r="AI33" i="1"/>
  <c r="X33" i="1"/>
  <c r="W33" i="1"/>
  <c r="V33" i="1"/>
  <c r="T33" i="1"/>
  <c r="CC33" i="1" s="1"/>
  <c r="CA32" i="1"/>
  <c r="BK32" i="1"/>
  <c r="BJ32" i="1"/>
  <c r="BI32" i="1"/>
  <c r="AX32" i="1"/>
  <c r="AW32" i="1"/>
  <c r="AV32" i="1"/>
  <c r="AK32" i="1"/>
  <c r="AJ32" i="1"/>
  <c r="AI32" i="1"/>
  <c r="X32" i="1"/>
  <c r="W32" i="1"/>
  <c r="V32" i="1"/>
  <c r="Q32" i="1"/>
  <c r="CE32" i="1" s="1"/>
  <c r="BK31" i="1"/>
  <c r="BJ31" i="1"/>
  <c r="BI31" i="1"/>
  <c r="AX31" i="1"/>
  <c r="AW31" i="1"/>
  <c r="AV31" i="1"/>
  <c r="AK31" i="1"/>
  <c r="AJ31" i="1"/>
  <c r="AI31" i="1"/>
  <c r="X31" i="1"/>
  <c r="W31" i="1"/>
  <c r="R31" i="1" s="1"/>
  <c r="CB31" i="1" s="1"/>
  <c r="V31" i="1"/>
  <c r="Q31" i="1"/>
  <c r="CG30" i="1"/>
  <c r="BK30" i="1"/>
  <c r="BJ30" i="1"/>
  <c r="BI30" i="1"/>
  <c r="AX30" i="1"/>
  <c r="AW30" i="1"/>
  <c r="AV30" i="1"/>
  <c r="AK30" i="1"/>
  <c r="AJ30" i="1"/>
  <c r="AI30" i="1"/>
  <c r="X30" i="1"/>
  <c r="W30" i="1"/>
  <c r="V30" i="1"/>
  <c r="T30" i="1"/>
  <c r="CC30" i="1" s="1"/>
  <c r="R30" i="1"/>
  <c r="CB30" i="1" s="1"/>
  <c r="CB29" i="1"/>
  <c r="BK29" i="1"/>
  <c r="BJ29" i="1"/>
  <c r="BI29" i="1"/>
  <c r="AX29" i="1"/>
  <c r="AW29" i="1"/>
  <c r="AV29" i="1"/>
  <c r="AK29" i="1"/>
  <c r="AJ29" i="1"/>
  <c r="AI29" i="1"/>
  <c r="Y29" i="1"/>
  <c r="X29" i="1"/>
  <c r="W29" i="1"/>
  <c r="R29" i="1" s="1"/>
  <c r="V29" i="1"/>
  <c r="Q29" i="1" s="1"/>
  <c r="CE29" i="1" s="1"/>
  <c r="CH28" i="1"/>
  <c r="BZ28" i="1"/>
  <c r="BX28" i="1"/>
  <c r="BU28" i="1"/>
  <c r="BT28" i="1"/>
  <c r="BS28" i="1"/>
  <c r="BR28" i="1"/>
  <c r="BK28" i="1" s="1"/>
  <c r="BQ28" i="1"/>
  <c r="BP28" i="1"/>
  <c r="BO28" i="1"/>
  <c r="BN28" i="1"/>
  <c r="BM28" i="1"/>
  <c r="BJ28" i="1"/>
  <c r="BH28" i="1"/>
  <c r="BG28" i="1"/>
  <c r="BF28" i="1"/>
  <c r="BE28" i="1"/>
  <c r="BD28" i="1"/>
  <c r="AW28" i="1" s="1"/>
  <c r="BC28" i="1"/>
  <c r="AV28" i="1" s="1"/>
  <c r="BB28" i="1"/>
  <c r="BA28" i="1"/>
  <c r="AZ28" i="1"/>
  <c r="AU28" i="1"/>
  <c r="AT28" i="1"/>
  <c r="AS28" i="1"/>
  <c r="AR28" i="1"/>
  <c r="AK28" i="1" s="1"/>
  <c r="AQ28" i="1"/>
  <c r="AP28" i="1"/>
  <c r="AO28" i="1"/>
  <c r="AN28" i="1"/>
  <c r="AM28" i="1"/>
  <c r="AJ28" i="1"/>
  <c r="AH28" i="1"/>
  <c r="AG28" i="1"/>
  <c r="AF28" i="1"/>
  <c r="AE28" i="1"/>
  <c r="AD28" i="1"/>
  <c r="AC28" i="1"/>
  <c r="AB28" i="1"/>
  <c r="X28" i="1" s="1"/>
  <c r="AA28" i="1"/>
  <c r="Z28" i="1"/>
  <c r="V28" i="1" s="1"/>
  <c r="W28" i="1"/>
  <c r="CH27" i="1"/>
  <c r="BZ27" i="1"/>
  <c r="BX27" i="1"/>
  <c r="BU27" i="1"/>
  <c r="BT27" i="1"/>
  <c r="BS27" i="1"/>
  <c r="BS26" i="1" s="1"/>
  <c r="BR27" i="1"/>
  <c r="BQ27" i="1"/>
  <c r="BQ26" i="1" s="1"/>
  <c r="BP27" i="1"/>
  <c r="BP26" i="1" s="1"/>
  <c r="BO27" i="1"/>
  <c r="BN27" i="1"/>
  <c r="BM27" i="1"/>
  <c r="BK27" i="1"/>
  <c r="BH27" i="1"/>
  <c r="AX27" i="1" s="1"/>
  <c r="BG27" i="1"/>
  <c r="BF27" i="1"/>
  <c r="BE27" i="1"/>
  <c r="BD27" i="1"/>
  <c r="BC27" i="1"/>
  <c r="BB27" i="1"/>
  <c r="BA27" i="1"/>
  <c r="AW27" i="1" s="1"/>
  <c r="AZ27" i="1"/>
  <c r="AV27" i="1" s="1"/>
  <c r="AY27" i="1" s="1"/>
  <c r="AU27" i="1"/>
  <c r="AT27" i="1"/>
  <c r="AS27" i="1"/>
  <c r="AS26" i="1" s="1"/>
  <c r="AR27" i="1"/>
  <c r="AQ27" i="1"/>
  <c r="AP27" i="1"/>
  <c r="AO27" i="1"/>
  <c r="AN27" i="1"/>
  <c r="AM27" i="1"/>
  <c r="AK27" i="1"/>
  <c r="AJ27" i="1"/>
  <c r="AH27" i="1"/>
  <c r="AG27" i="1"/>
  <c r="AF27" i="1"/>
  <c r="AE27" i="1"/>
  <c r="AE26" i="1" s="1"/>
  <c r="AD27" i="1"/>
  <c r="AC27" i="1"/>
  <c r="AB27" i="1"/>
  <c r="X27" i="1" s="1"/>
  <c r="T27" i="1" s="1"/>
  <c r="AA27" i="1"/>
  <c r="Z27" i="1"/>
  <c r="W27" i="1"/>
  <c r="BZ26" i="1"/>
  <c r="BO26" i="1"/>
  <c r="BH26" i="1"/>
  <c r="BG26" i="1"/>
  <c r="BF26" i="1"/>
  <c r="BC26" i="1"/>
  <c r="AU26" i="1"/>
  <c r="AR26" i="1"/>
  <c r="AK26" i="1" s="1"/>
  <c r="AP26" i="1"/>
  <c r="AO26" i="1"/>
  <c r="AH26" i="1"/>
  <c r="AC26" i="1"/>
  <c r="AB26" i="1"/>
  <c r="Z26" i="1"/>
  <c r="BK25" i="1"/>
  <c r="BJ25" i="1"/>
  <c r="BI25" i="1"/>
  <c r="AX25" i="1"/>
  <c r="AW25" i="1"/>
  <c r="AV25" i="1"/>
  <c r="AY25" i="1" s="1"/>
  <c r="AK25" i="1"/>
  <c r="AJ25" i="1"/>
  <c r="AI25" i="1"/>
  <c r="X25" i="1"/>
  <c r="W25" i="1"/>
  <c r="V25" i="1"/>
  <c r="R25" i="1"/>
  <c r="CB25" i="1" s="1"/>
  <c r="BK24" i="1"/>
  <c r="BJ24" i="1"/>
  <c r="BI24" i="1"/>
  <c r="AX24" i="1"/>
  <c r="AW24" i="1"/>
  <c r="AV24" i="1"/>
  <c r="AY24" i="1" s="1"/>
  <c r="AK24" i="1"/>
  <c r="AJ24" i="1"/>
  <c r="AI24" i="1"/>
  <c r="X24" i="1"/>
  <c r="W24" i="1"/>
  <c r="V24" i="1"/>
  <c r="Y24" i="1" s="1"/>
  <c r="T24" i="1"/>
  <c r="CG24" i="1" s="1"/>
  <c r="CH23" i="1"/>
  <c r="BZ23" i="1"/>
  <c r="BX23" i="1"/>
  <c r="BU23" i="1"/>
  <c r="BT23" i="1"/>
  <c r="BS23" i="1"/>
  <c r="BR23" i="1"/>
  <c r="BQ23" i="1"/>
  <c r="BP23" i="1"/>
  <c r="BO23" i="1"/>
  <c r="BN23" i="1"/>
  <c r="BM23" i="1"/>
  <c r="BK23" i="1"/>
  <c r="BJ23" i="1"/>
  <c r="BH23" i="1"/>
  <c r="BG23" i="1"/>
  <c r="BF23" i="1"/>
  <c r="BE23" i="1"/>
  <c r="BD23" i="1"/>
  <c r="BC23" i="1"/>
  <c r="BB23" i="1"/>
  <c r="AX23" i="1" s="1"/>
  <c r="BA23" i="1"/>
  <c r="AZ23" i="1"/>
  <c r="AW23" i="1"/>
  <c r="AU23" i="1"/>
  <c r="AT23" i="1"/>
  <c r="AJ23" i="1" s="1"/>
  <c r="AS23" i="1"/>
  <c r="AR23" i="1"/>
  <c r="AQ23" i="1"/>
  <c r="AP23" i="1"/>
  <c r="AO23" i="1"/>
  <c r="AN23" i="1"/>
  <c r="AM23" i="1"/>
  <c r="AI23" i="1" s="1"/>
  <c r="AH23" i="1"/>
  <c r="AG23" i="1"/>
  <c r="AF23" i="1"/>
  <c r="AE23" i="1"/>
  <c r="AD23" i="1"/>
  <c r="AC23" i="1"/>
  <c r="AB23" i="1"/>
  <c r="AA23" i="1"/>
  <c r="Z23" i="1"/>
  <c r="W23" i="1"/>
  <c r="V23" i="1"/>
  <c r="Y23" i="1" s="1"/>
  <c r="BK22" i="1"/>
  <c r="BJ22" i="1"/>
  <c r="BI22" i="1"/>
  <c r="AX22" i="1"/>
  <c r="AW22" i="1"/>
  <c r="AV22" i="1"/>
  <c r="AK22" i="1"/>
  <c r="AJ22" i="1"/>
  <c r="AI22" i="1"/>
  <c r="X22" i="1"/>
  <c r="W22" i="1"/>
  <c r="R22" i="1" s="1"/>
  <c r="CB22" i="1" s="1"/>
  <c r="V22" i="1"/>
  <c r="Q22" i="1" s="1"/>
  <c r="BK21" i="1"/>
  <c r="BJ21" i="1"/>
  <c r="BI21" i="1"/>
  <c r="Q21" i="1" s="1"/>
  <c r="AX21" i="1"/>
  <c r="AW21" i="1"/>
  <c r="AV21" i="1"/>
  <c r="AK21" i="1"/>
  <c r="AJ21" i="1"/>
  <c r="AI21" i="1"/>
  <c r="X21" i="1"/>
  <c r="T21" i="1" s="1"/>
  <c r="W21" i="1"/>
  <c r="R21" i="1" s="1"/>
  <c r="CB21" i="1" s="1"/>
  <c r="V21" i="1"/>
  <c r="CB20" i="1"/>
  <c r="BK20" i="1"/>
  <c r="BJ20" i="1"/>
  <c r="BI20" i="1"/>
  <c r="AX20" i="1"/>
  <c r="AW20" i="1"/>
  <c r="AV20" i="1"/>
  <c r="AK20" i="1"/>
  <c r="AJ20" i="1"/>
  <c r="AI20" i="1"/>
  <c r="Q20" i="1" s="1"/>
  <c r="X20" i="1"/>
  <c r="W20" i="1"/>
  <c r="V20" i="1"/>
  <c r="R20" i="1"/>
  <c r="CA19" i="1"/>
  <c r="BK19" i="1"/>
  <c r="BJ19" i="1"/>
  <c r="BI19" i="1"/>
  <c r="AX19" i="1"/>
  <c r="AW19" i="1"/>
  <c r="AV19" i="1"/>
  <c r="AK19" i="1"/>
  <c r="AJ19" i="1"/>
  <c r="AI19" i="1"/>
  <c r="X19" i="1"/>
  <c r="W19" i="1"/>
  <c r="V19" i="1"/>
  <c r="T19" i="1"/>
  <c r="Q19" i="1"/>
  <c r="CE19" i="1" s="1"/>
  <c r="CB18" i="1"/>
  <c r="BK18" i="1"/>
  <c r="BJ18" i="1"/>
  <c r="BI18" i="1"/>
  <c r="AX18" i="1"/>
  <c r="AW18" i="1"/>
  <c r="AV18" i="1"/>
  <c r="AK18" i="1"/>
  <c r="T18" i="1" s="1"/>
  <c r="CC18" i="1" s="1"/>
  <c r="AJ18" i="1"/>
  <c r="AI18" i="1"/>
  <c r="X18" i="1"/>
  <c r="W18" i="1"/>
  <c r="V18" i="1"/>
  <c r="Q18" i="1" s="1"/>
  <c r="R18" i="1"/>
  <c r="CH17" i="1"/>
  <c r="BZ17" i="1"/>
  <c r="BX17" i="1"/>
  <c r="BU17" i="1"/>
  <c r="BT17" i="1"/>
  <c r="BS17" i="1"/>
  <c r="BR17" i="1"/>
  <c r="BR13" i="1" s="1"/>
  <c r="BQ17" i="1"/>
  <c r="BP17" i="1"/>
  <c r="BO17" i="1"/>
  <c r="BN17" i="1"/>
  <c r="BJ17" i="1" s="1"/>
  <c r="BM17" i="1"/>
  <c r="BI17" i="1"/>
  <c r="BH17" i="1"/>
  <c r="BH13" i="1" s="1"/>
  <c r="BH77" i="1" s="1"/>
  <c r="BG17" i="1"/>
  <c r="BF17" i="1"/>
  <c r="BE17" i="1"/>
  <c r="BD17" i="1"/>
  <c r="BC17" i="1"/>
  <c r="BB17" i="1"/>
  <c r="BA17" i="1"/>
  <c r="AW17" i="1" s="1"/>
  <c r="AZ17" i="1"/>
  <c r="AV17" i="1" s="1"/>
  <c r="AU17" i="1"/>
  <c r="AT17" i="1"/>
  <c r="AS17" i="1"/>
  <c r="AR17" i="1"/>
  <c r="AQ17" i="1"/>
  <c r="AQ13" i="1" s="1"/>
  <c r="AP17" i="1"/>
  <c r="AO17" i="1"/>
  <c r="AN17" i="1"/>
  <c r="AM17" i="1"/>
  <c r="AK17" i="1"/>
  <c r="AI17" i="1"/>
  <c r="AH17" i="1"/>
  <c r="AG17" i="1"/>
  <c r="AF17" i="1"/>
  <c r="V17" i="1" s="1"/>
  <c r="Q17" i="1" s="1"/>
  <c r="AE17" i="1"/>
  <c r="AD17" i="1"/>
  <c r="AC17" i="1"/>
  <c r="AB17" i="1"/>
  <c r="X17" i="1" s="1"/>
  <c r="AA17" i="1"/>
  <c r="Z17" i="1"/>
  <c r="W17" i="1"/>
  <c r="CH16" i="1"/>
  <c r="BZ16" i="1"/>
  <c r="BX16" i="1"/>
  <c r="BU16" i="1"/>
  <c r="BT16" i="1"/>
  <c r="BS16" i="1"/>
  <c r="BR16" i="1"/>
  <c r="BQ16" i="1"/>
  <c r="BP16" i="1"/>
  <c r="BO16" i="1"/>
  <c r="BK16" i="1" s="1"/>
  <c r="BN16" i="1"/>
  <c r="BJ16" i="1" s="1"/>
  <c r="BM16" i="1"/>
  <c r="BI16" i="1" s="1"/>
  <c r="BH16" i="1"/>
  <c r="BG16" i="1"/>
  <c r="BF16" i="1"/>
  <c r="BE16" i="1"/>
  <c r="BD16" i="1"/>
  <c r="AW16" i="1" s="1"/>
  <c r="BC16" i="1"/>
  <c r="BB16" i="1"/>
  <c r="BA16" i="1"/>
  <c r="AZ16" i="1"/>
  <c r="AU16" i="1"/>
  <c r="AT16" i="1"/>
  <c r="AS16" i="1"/>
  <c r="AR16" i="1"/>
  <c r="AR13" i="1" s="1"/>
  <c r="AR77" i="1" s="1"/>
  <c r="AQ16" i="1"/>
  <c r="AP16" i="1"/>
  <c r="AO16" i="1"/>
  <c r="AN16" i="1"/>
  <c r="AJ16" i="1" s="1"/>
  <c r="AM16" i="1"/>
  <c r="AI16" i="1"/>
  <c r="AH16" i="1"/>
  <c r="AH13" i="1" s="1"/>
  <c r="AH77" i="1" s="1"/>
  <c r="AG16" i="1"/>
  <c r="AF16" i="1"/>
  <c r="AE16" i="1"/>
  <c r="AD16" i="1"/>
  <c r="AC16" i="1"/>
  <c r="AB16" i="1"/>
  <c r="AA16" i="1"/>
  <c r="W16" i="1" s="1"/>
  <c r="R16" i="1" s="1"/>
  <c r="CB16" i="1" s="1"/>
  <c r="Z16" i="1"/>
  <c r="V16" i="1" s="1"/>
  <c r="CH15" i="1"/>
  <c r="BZ15" i="1"/>
  <c r="BX15" i="1"/>
  <c r="BU15" i="1"/>
  <c r="BT15" i="1"/>
  <c r="BS15" i="1"/>
  <c r="BR15" i="1"/>
  <c r="BQ15" i="1"/>
  <c r="BP15" i="1"/>
  <c r="BI15" i="1" s="1"/>
  <c r="BO15" i="1"/>
  <c r="BK15" i="1" s="1"/>
  <c r="BN15" i="1"/>
  <c r="BM15" i="1"/>
  <c r="BH15" i="1"/>
  <c r="BG15" i="1"/>
  <c r="BF15" i="1"/>
  <c r="BE15" i="1"/>
  <c r="BD15" i="1"/>
  <c r="BC15" i="1"/>
  <c r="BB15" i="1"/>
  <c r="BA15" i="1"/>
  <c r="AZ15" i="1"/>
  <c r="AX15" i="1"/>
  <c r="AW15" i="1"/>
  <c r="AU15" i="1"/>
  <c r="AT15" i="1"/>
  <c r="AS15" i="1"/>
  <c r="AR15" i="1"/>
  <c r="AQ15" i="1"/>
  <c r="AP15" i="1"/>
  <c r="AO15" i="1"/>
  <c r="AK15" i="1" s="1"/>
  <c r="AN15" i="1"/>
  <c r="AJ15" i="1" s="1"/>
  <c r="AM15" i="1"/>
  <c r="AI15" i="1" s="1"/>
  <c r="AH15" i="1"/>
  <c r="AG15" i="1"/>
  <c r="AF15" i="1"/>
  <c r="AE15" i="1"/>
  <c r="AD15" i="1"/>
  <c r="W15" i="1" s="1"/>
  <c r="AC15" i="1"/>
  <c r="AB15" i="1"/>
  <c r="AA15" i="1"/>
  <c r="Z15" i="1"/>
  <c r="X15" i="1"/>
  <c r="CH14" i="1"/>
  <c r="BZ14" i="1"/>
  <c r="BZ13" i="1" s="1"/>
  <c r="BZ77" i="1" s="1"/>
  <c r="BX14" i="1"/>
  <c r="BU14" i="1"/>
  <c r="BT14" i="1"/>
  <c r="BJ14" i="1" s="1"/>
  <c r="BS14" i="1"/>
  <c r="BR14" i="1"/>
  <c r="BQ14" i="1"/>
  <c r="BP14" i="1"/>
  <c r="BO14" i="1"/>
  <c r="BO13" i="1" s="1"/>
  <c r="BN14" i="1"/>
  <c r="BM14" i="1"/>
  <c r="BI14" i="1" s="1"/>
  <c r="BK14" i="1"/>
  <c r="BH14" i="1"/>
  <c r="BG14" i="1"/>
  <c r="BF14" i="1"/>
  <c r="BF13" i="1" s="1"/>
  <c r="BF77" i="1" s="1"/>
  <c r="BE14" i="1"/>
  <c r="BD14" i="1"/>
  <c r="AW14" i="1" s="1"/>
  <c r="BC14" i="1"/>
  <c r="BC13" i="1" s="1"/>
  <c r="BC77" i="1" s="1"/>
  <c r="BB14" i="1"/>
  <c r="BA14" i="1"/>
  <c r="AZ14" i="1"/>
  <c r="AX14" i="1"/>
  <c r="AU14" i="1"/>
  <c r="AT14" i="1"/>
  <c r="AT13" i="1" s="1"/>
  <c r="AT77" i="1" s="1"/>
  <c r="AS14" i="1"/>
  <c r="AS13" i="1" s="1"/>
  <c r="AS77" i="1" s="1"/>
  <c r="AR14" i="1"/>
  <c r="AQ14" i="1"/>
  <c r="AP14" i="1"/>
  <c r="AO14" i="1"/>
  <c r="AO13" i="1" s="1"/>
  <c r="AN14" i="1"/>
  <c r="AM14" i="1"/>
  <c r="AI14" i="1" s="1"/>
  <c r="AK14" i="1"/>
  <c r="AJ14" i="1"/>
  <c r="AH14" i="1"/>
  <c r="AG14" i="1"/>
  <c r="AF14" i="1"/>
  <c r="AF13" i="1" s="1"/>
  <c r="AF77" i="1" s="1"/>
  <c r="AE14" i="1"/>
  <c r="AD14" i="1"/>
  <c r="AC14" i="1"/>
  <c r="AC13" i="1" s="1"/>
  <c r="AC77" i="1" s="1"/>
  <c r="AB14" i="1"/>
  <c r="AB13" i="1" s="1"/>
  <c r="AA14" i="1"/>
  <c r="Z14" i="1"/>
  <c r="W14" i="1"/>
  <c r="CH13" i="1"/>
  <c r="CH77" i="1" s="1"/>
  <c r="BX13" i="1"/>
  <c r="BU13" i="1"/>
  <c r="BU77" i="1" s="1"/>
  <c r="BS13" i="1"/>
  <c r="BQ13" i="1"/>
  <c r="BP13" i="1"/>
  <c r="BN13" i="1"/>
  <c r="BM13" i="1"/>
  <c r="BG13" i="1"/>
  <c r="BG77" i="1" s="1"/>
  <c r="BE13" i="1"/>
  <c r="BE77" i="1" s="1"/>
  <c r="BD13" i="1"/>
  <c r="BD77" i="1" s="1"/>
  <c r="BB13" i="1"/>
  <c r="AU13" i="1"/>
  <c r="AU77" i="1" s="1"/>
  <c r="AP13" i="1"/>
  <c r="AP77" i="1" s="1"/>
  <c r="AN13" i="1"/>
  <c r="AM13" i="1"/>
  <c r="AG13" i="1"/>
  <c r="AG77" i="1" s="1"/>
  <c r="AE13" i="1"/>
  <c r="AD13" i="1"/>
  <c r="BK12" i="1"/>
  <c r="T12" i="1" s="1"/>
  <c r="BJ12" i="1"/>
  <c r="BI12" i="1"/>
  <c r="AX12" i="1"/>
  <c r="AW12" i="1"/>
  <c r="AV12" i="1"/>
  <c r="AK12" i="1"/>
  <c r="AJ12" i="1"/>
  <c r="R12" i="1" s="1"/>
  <c r="CB12" i="1" s="1"/>
  <c r="AI12" i="1"/>
  <c r="Q12" i="1" s="1"/>
  <c r="X12" i="1"/>
  <c r="W12" i="1"/>
  <c r="V12" i="1"/>
  <c r="BK11" i="1"/>
  <c r="BJ11" i="1"/>
  <c r="BI11" i="1"/>
  <c r="AX11" i="1"/>
  <c r="AW11" i="1"/>
  <c r="AV11" i="1"/>
  <c r="AK11" i="1"/>
  <c r="AJ11" i="1"/>
  <c r="AI11" i="1"/>
  <c r="X11" i="1"/>
  <c r="W11" i="1"/>
  <c r="R11" i="1" s="1"/>
  <c r="CB11" i="1" s="1"/>
  <c r="V11" i="1"/>
  <c r="Q11" i="1" s="1"/>
  <c r="T11" i="1"/>
  <c r="CC11" i="1" s="1"/>
  <c r="BK10" i="1"/>
  <c r="T10" i="1" s="1"/>
  <c r="BJ10" i="1"/>
  <c r="BI10" i="1"/>
  <c r="AX10" i="1"/>
  <c r="AW10" i="1"/>
  <c r="AV10" i="1"/>
  <c r="AK10" i="1"/>
  <c r="AJ10" i="1"/>
  <c r="R10" i="1" s="1"/>
  <c r="CB10" i="1" s="1"/>
  <c r="AI10" i="1"/>
  <c r="Q10" i="1" s="1"/>
  <c r="X10" i="1"/>
  <c r="W10" i="1"/>
  <c r="V10" i="1"/>
  <c r="CH9" i="1"/>
  <c r="BZ9" i="1"/>
  <c r="BX9" i="1"/>
  <c r="BU9" i="1"/>
  <c r="BT9" i="1"/>
  <c r="BS9" i="1"/>
  <c r="BR9" i="1"/>
  <c r="BQ9" i="1"/>
  <c r="BP9" i="1"/>
  <c r="BO9" i="1"/>
  <c r="BN9" i="1"/>
  <c r="BJ9" i="1" s="1"/>
  <c r="BM9" i="1"/>
  <c r="BI9" i="1" s="1"/>
  <c r="BK9" i="1"/>
  <c r="BH9" i="1"/>
  <c r="BG9" i="1"/>
  <c r="BF9" i="1"/>
  <c r="BE9" i="1"/>
  <c r="BD9" i="1"/>
  <c r="AW9" i="1" s="1"/>
  <c r="BC9" i="1"/>
  <c r="AV9" i="1" s="1"/>
  <c r="BB9" i="1"/>
  <c r="BA9" i="1"/>
  <c r="AZ9" i="1"/>
  <c r="AX9" i="1"/>
  <c r="AU9" i="1"/>
  <c r="AT9" i="1"/>
  <c r="AS9" i="1"/>
  <c r="AR9" i="1"/>
  <c r="AQ9" i="1"/>
  <c r="AP9" i="1"/>
  <c r="AO9" i="1"/>
  <c r="AN9" i="1"/>
  <c r="AJ9" i="1" s="1"/>
  <c r="AM9" i="1"/>
  <c r="AI9" i="1" s="1"/>
  <c r="AK9" i="1"/>
  <c r="T9" i="1" s="1"/>
  <c r="AH9" i="1"/>
  <c r="AG9" i="1"/>
  <c r="AF9" i="1"/>
  <c r="AE9" i="1"/>
  <c r="AD9" i="1"/>
  <c r="W9" i="1" s="1"/>
  <c r="AC9" i="1"/>
  <c r="V9" i="1" s="1"/>
  <c r="AB9" i="1"/>
  <c r="AA9" i="1"/>
  <c r="Z9" i="1"/>
  <c r="X9" i="1"/>
  <c r="BK8" i="1"/>
  <c r="BJ8" i="1"/>
  <c r="R8" i="1" s="1"/>
  <c r="CB8" i="1" s="1"/>
  <c r="BI8" i="1"/>
  <c r="AX8" i="1"/>
  <c r="AW8" i="1"/>
  <c r="AV8" i="1"/>
  <c r="AK8" i="1"/>
  <c r="AJ8" i="1"/>
  <c r="AI8" i="1"/>
  <c r="Q8" i="1" s="1"/>
  <c r="X8" i="1"/>
  <c r="T8" i="1" s="1"/>
  <c r="W8" i="1"/>
  <c r="V8" i="1"/>
  <c r="CH7" i="1"/>
  <c r="BZ7" i="1"/>
  <c r="BX7" i="1"/>
  <c r="BU7" i="1"/>
  <c r="BT7" i="1"/>
  <c r="BS7" i="1"/>
  <c r="BR7" i="1"/>
  <c r="BQ7" i="1"/>
  <c r="BP7" i="1"/>
  <c r="BO7" i="1"/>
  <c r="BN7" i="1"/>
  <c r="BM7" i="1"/>
  <c r="BI7" i="1" s="1"/>
  <c r="BK7" i="1"/>
  <c r="BJ7" i="1"/>
  <c r="BH7" i="1"/>
  <c r="BG7" i="1"/>
  <c r="BF7" i="1"/>
  <c r="BE7" i="1"/>
  <c r="BD7" i="1"/>
  <c r="BC7" i="1"/>
  <c r="AV7" i="1" s="1"/>
  <c r="BB7" i="1"/>
  <c r="AX7" i="1" s="1"/>
  <c r="BA7" i="1"/>
  <c r="AZ7" i="1"/>
  <c r="AW7" i="1"/>
  <c r="AU7" i="1"/>
  <c r="AT7" i="1"/>
  <c r="AS7" i="1"/>
  <c r="AR7" i="1"/>
  <c r="AQ7" i="1"/>
  <c r="AP7" i="1"/>
  <c r="AO7" i="1"/>
  <c r="AN7" i="1"/>
  <c r="AM7" i="1"/>
  <c r="AI7" i="1" s="1"/>
  <c r="AK7" i="1"/>
  <c r="AJ7" i="1"/>
  <c r="R7" i="1" s="1"/>
  <c r="CB7" i="1" s="1"/>
  <c r="AH7" i="1"/>
  <c r="AG7" i="1"/>
  <c r="AF7" i="1"/>
  <c r="AE7" i="1"/>
  <c r="AD7" i="1"/>
  <c r="AC7" i="1"/>
  <c r="AC76" i="1" s="1"/>
  <c r="AB7" i="1"/>
  <c r="X7" i="1" s="1"/>
  <c r="T7" i="1" s="1"/>
  <c r="AA7" i="1"/>
  <c r="Z7" i="1"/>
  <c r="W7" i="1"/>
  <c r="BK6" i="1"/>
  <c r="BJ6" i="1"/>
  <c r="BI6" i="1"/>
  <c r="Q6" i="1" s="1"/>
  <c r="AX6" i="1"/>
  <c r="AW6" i="1"/>
  <c r="AV6" i="1"/>
  <c r="AK6" i="1"/>
  <c r="AJ6" i="1"/>
  <c r="AI6" i="1"/>
  <c r="X6" i="1"/>
  <c r="T6" i="1" s="1"/>
  <c r="W6" i="1"/>
  <c r="R6" i="1" s="1"/>
  <c r="CB6" i="1" s="1"/>
  <c r="V6" i="1"/>
  <c r="CB5" i="1"/>
  <c r="BK5" i="1"/>
  <c r="BJ5" i="1"/>
  <c r="BI5" i="1"/>
  <c r="AX5" i="1"/>
  <c r="AW5" i="1"/>
  <c r="AV5" i="1"/>
  <c r="AK5" i="1"/>
  <c r="T5" i="1" s="1"/>
  <c r="AJ5" i="1"/>
  <c r="AI5" i="1"/>
  <c r="X5" i="1"/>
  <c r="W5" i="1"/>
  <c r="V5" i="1"/>
  <c r="R5" i="1"/>
  <c r="Q5" i="1"/>
  <c r="CA5" i="1" s="1"/>
  <c r="BK4" i="1"/>
  <c r="BJ4" i="1"/>
  <c r="BI4" i="1"/>
  <c r="BL52" i="1" s="1"/>
  <c r="AX4" i="1"/>
  <c r="AW4" i="1"/>
  <c r="AV4" i="1"/>
  <c r="AK4" i="1"/>
  <c r="AJ4" i="1"/>
  <c r="AI4" i="1"/>
  <c r="X4" i="1"/>
  <c r="T4" i="1" s="1"/>
  <c r="W4" i="1"/>
  <c r="R4" i="1" s="1"/>
  <c r="CB4" i="1" s="1"/>
  <c r="V4" i="1"/>
  <c r="CH3" i="1"/>
  <c r="BZ3" i="1"/>
  <c r="BX3" i="1"/>
  <c r="BU3" i="1"/>
  <c r="BT3" i="1"/>
  <c r="BS3" i="1"/>
  <c r="BR3" i="1"/>
  <c r="BR76" i="1" s="1"/>
  <c r="BQ3" i="1"/>
  <c r="BQ76" i="1" s="1"/>
  <c r="BP3" i="1"/>
  <c r="BO3" i="1"/>
  <c r="BN3" i="1"/>
  <c r="BM3" i="1"/>
  <c r="BJ3" i="1"/>
  <c r="BI3" i="1"/>
  <c r="BH3" i="1"/>
  <c r="BG3" i="1"/>
  <c r="BF3" i="1"/>
  <c r="BE3" i="1"/>
  <c r="BD3" i="1"/>
  <c r="BC3" i="1"/>
  <c r="BB3" i="1"/>
  <c r="BA3" i="1"/>
  <c r="BA76" i="1" s="1"/>
  <c r="AZ3" i="1"/>
  <c r="AZ76" i="1" s="1"/>
  <c r="AV3" i="1"/>
  <c r="AU3" i="1"/>
  <c r="AT3" i="1"/>
  <c r="AS3" i="1"/>
  <c r="AS76" i="1" s="1"/>
  <c r="AR3" i="1"/>
  <c r="AR76" i="1" s="1"/>
  <c r="AQ3" i="1"/>
  <c r="AQ76" i="1" s="1"/>
  <c r="AP3" i="1"/>
  <c r="AO3" i="1"/>
  <c r="AN3" i="1"/>
  <c r="AN76" i="1" s="1"/>
  <c r="AM3" i="1"/>
  <c r="AJ3" i="1"/>
  <c r="AI3" i="1"/>
  <c r="AL25" i="1" s="1"/>
  <c r="AH3" i="1"/>
  <c r="AH76" i="1" s="1"/>
  <c r="AG3" i="1"/>
  <c r="AF3" i="1"/>
  <c r="AE3" i="1"/>
  <c r="AD3" i="1"/>
  <c r="AC3" i="1"/>
  <c r="AB3" i="1"/>
  <c r="AA3" i="1"/>
  <c r="AA76" i="1" s="1"/>
  <c r="Z3" i="1"/>
  <c r="Z76" i="1" s="1"/>
  <c r="V3" i="1"/>
  <c r="Y69" i="1" s="1"/>
  <c r="CA11" i="1" l="1"/>
  <c r="CE11" i="1"/>
  <c r="CE17" i="1"/>
  <c r="CA17" i="1"/>
  <c r="CE21" i="1"/>
  <c r="CA21" i="1"/>
  <c r="AK13" i="1"/>
  <c r="AO77" i="1"/>
  <c r="CG21" i="1"/>
  <c r="CC21" i="1"/>
  <c r="CG4" i="1"/>
  <c r="CC4" i="1"/>
  <c r="CC7" i="1"/>
  <c r="CG7" i="1"/>
  <c r="CC9" i="1"/>
  <c r="CG9" i="1"/>
  <c r="BJ76" i="1"/>
  <c r="CC5" i="1"/>
  <c r="CG5" i="1"/>
  <c r="R14" i="1"/>
  <c r="CB14" i="1" s="1"/>
  <c r="CA22" i="1"/>
  <c r="CE22" i="1"/>
  <c r="CE6" i="1"/>
  <c r="CA6" i="1"/>
  <c r="Q9" i="1"/>
  <c r="CG6" i="1"/>
  <c r="CC6" i="1"/>
  <c r="R9" i="1"/>
  <c r="CB9" i="1" s="1"/>
  <c r="BO77" i="1"/>
  <c r="BK13" i="1"/>
  <c r="CA18" i="1"/>
  <c r="CE18" i="1"/>
  <c r="CA20" i="1"/>
  <c r="CE20" i="1"/>
  <c r="CG8" i="1"/>
  <c r="CC8" i="1"/>
  <c r="CE10" i="1"/>
  <c r="CA10" i="1"/>
  <c r="CG10" i="1"/>
  <c r="CC10" i="1"/>
  <c r="AB77" i="1"/>
  <c r="X13" i="1"/>
  <c r="CG27" i="1"/>
  <c r="CC27" i="1"/>
  <c r="CE8" i="1"/>
  <c r="CA8" i="1"/>
  <c r="CE12" i="1"/>
  <c r="CA12" i="1"/>
  <c r="CG12" i="1"/>
  <c r="CC12" i="1"/>
  <c r="T15" i="1"/>
  <c r="Y28" i="1"/>
  <c r="CG70" i="1"/>
  <c r="CC70" i="1"/>
  <c r="Q3" i="1"/>
  <c r="BB76" i="1"/>
  <c r="AE77" i="1"/>
  <c r="AK3" i="1"/>
  <c r="AK76" i="1" s="1"/>
  <c r="AT76" i="1"/>
  <c r="BC76" i="1"/>
  <c r="BK3" i="1"/>
  <c r="BK76" i="1" s="1"/>
  <c r="BT76" i="1"/>
  <c r="CE5" i="1"/>
  <c r="X16" i="1"/>
  <c r="AK16" i="1"/>
  <c r="BK17" i="1"/>
  <c r="CG18" i="1"/>
  <c r="BI23" i="1"/>
  <c r="BL23" i="1" s="1"/>
  <c r="R24" i="1"/>
  <c r="CB24" i="1" s="1"/>
  <c r="AI27" i="1"/>
  <c r="AL27" i="1" s="1"/>
  <c r="CA31" i="1"/>
  <c r="CE31" i="1"/>
  <c r="BL33" i="1"/>
  <c r="W35" i="1"/>
  <c r="AD26" i="1"/>
  <c r="AD77" i="1" s="1"/>
  <c r="T46" i="1"/>
  <c r="CG52" i="1"/>
  <c r="CC52" i="1"/>
  <c r="Q57" i="1"/>
  <c r="CE58" i="1"/>
  <c r="CA58" i="1"/>
  <c r="Q62" i="1"/>
  <c r="Y62" i="1"/>
  <c r="Q63" i="1"/>
  <c r="Y64" i="1"/>
  <c r="CE68" i="1"/>
  <c r="CA68" i="1"/>
  <c r="R70" i="1"/>
  <c r="CB70" i="1" s="1"/>
  <c r="CG72" i="1"/>
  <c r="CC72" i="1"/>
  <c r="AI76" i="1"/>
  <c r="AL67" i="1"/>
  <c r="AL55" i="1"/>
  <c r="AL66" i="1"/>
  <c r="AL29" i="1"/>
  <c r="BL67" i="1"/>
  <c r="BL55" i="1"/>
  <c r="BL66" i="1"/>
  <c r="BL29" i="1"/>
  <c r="AL56" i="1"/>
  <c r="BS76" i="1"/>
  <c r="R23" i="1"/>
  <c r="CB23" i="1" s="1"/>
  <c r="CA48" i="1"/>
  <c r="CE48" i="1"/>
  <c r="CA64" i="1"/>
  <c r="CE64" i="1"/>
  <c r="BI76" i="1"/>
  <c r="AD76" i="1"/>
  <c r="AM76" i="1"/>
  <c r="AU76" i="1"/>
  <c r="BD76" i="1"/>
  <c r="BM76" i="1"/>
  <c r="BU76" i="1"/>
  <c r="CH76" i="1"/>
  <c r="V7" i="1"/>
  <c r="AX13" i="1"/>
  <c r="BP77" i="1"/>
  <c r="AV15" i="1"/>
  <c r="T20" i="1"/>
  <c r="AI28" i="1"/>
  <c r="AL28" i="1" s="1"/>
  <c r="BK36" i="1"/>
  <c r="BR35" i="1"/>
  <c r="CG40" i="1"/>
  <c r="CC40" i="1"/>
  <c r="CE47" i="1"/>
  <c r="CA47" i="1"/>
  <c r="CA50" i="1"/>
  <c r="CG55" i="1"/>
  <c r="CC55" i="1"/>
  <c r="BL56" i="1"/>
  <c r="CE66" i="1"/>
  <c r="CA66" i="1"/>
  <c r="AL69" i="1"/>
  <c r="Q69" i="1"/>
  <c r="BM77" i="1"/>
  <c r="CE39" i="1"/>
  <c r="CA39" i="1"/>
  <c r="BJ26" i="1"/>
  <c r="AL51" i="1"/>
  <c r="Q51" i="1"/>
  <c r="CG67" i="1"/>
  <c r="CC67" i="1"/>
  <c r="AB76" i="1"/>
  <c r="CG11" i="1"/>
  <c r="BX77" i="1"/>
  <c r="BL25" i="1"/>
  <c r="BL43" i="1"/>
  <c r="CG50" i="1"/>
  <c r="CC50" i="1"/>
  <c r="CG58" i="1"/>
  <c r="CC58" i="1"/>
  <c r="Y71" i="1"/>
  <c r="Y60" i="1"/>
  <c r="Y31" i="1"/>
  <c r="Y70" i="1"/>
  <c r="AE76" i="1"/>
  <c r="AY71" i="1"/>
  <c r="AY60" i="1"/>
  <c r="AY69" i="1"/>
  <c r="AY31" i="1"/>
  <c r="BE76" i="1"/>
  <c r="BN76" i="1"/>
  <c r="BX76" i="1"/>
  <c r="Q4" i="1"/>
  <c r="Z13" i="1"/>
  <c r="AZ13" i="1"/>
  <c r="BQ77" i="1"/>
  <c r="T17" i="1"/>
  <c r="CG19" i="1"/>
  <c r="CC19" i="1"/>
  <c r="AL23" i="1"/>
  <c r="BL24" i="1"/>
  <c r="Q25" i="1"/>
  <c r="Y25" i="1"/>
  <c r="AZ26" i="1"/>
  <c r="AV26" i="1" s="1"/>
  <c r="AY26" i="1" s="1"/>
  <c r="BI27" i="1"/>
  <c r="BL27" i="1" s="1"/>
  <c r="AL33" i="1"/>
  <c r="AW36" i="1"/>
  <c r="BA35" i="1"/>
  <c r="AW35" i="1" s="1"/>
  <c r="CE37" i="1"/>
  <c r="CA37" i="1"/>
  <c r="CE45" i="1"/>
  <c r="CA45" i="1"/>
  <c r="BL68" i="1"/>
  <c r="CC73" i="1"/>
  <c r="X26" i="1"/>
  <c r="AJ35" i="1"/>
  <c r="AN26" i="1"/>
  <c r="CA53" i="1"/>
  <c r="CE53" i="1"/>
  <c r="CG66" i="1"/>
  <c r="CC66" i="1"/>
  <c r="AJ76" i="1"/>
  <c r="BN77" i="1"/>
  <c r="Q24" i="1"/>
  <c r="Q35" i="1"/>
  <c r="Y35" i="1"/>
  <c r="AL64" i="1"/>
  <c r="AL62" i="1"/>
  <c r="BL69" i="1"/>
  <c r="AL70" i="1"/>
  <c r="CA74" i="1"/>
  <c r="W3" i="1"/>
  <c r="AF76" i="1"/>
  <c r="AO76" i="1"/>
  <c r="AW3" i="1"/>
  <c r="AW76" i="1" s="1"/>
  <c r="BF76" i="1"/>
  <c r="BO76" i="1"/>
  <c r="BZ76" i="1"/>
  <c r="AA13" i="1"/>
  <c r="AI13" i="1"/>
  <c r="AI77" i="1" s="1"/>
  <c r="BA13" i="1"/>
  <c r="BI13" i="1"/>
  <c r="BI77" i="1" s="1"/>
  <c r="X14" i="1"/>
  <c r="T14" i="1" s="1"/>
  <c r="AV14" i="1"/>
  <c r="V15" i="1"/>
  <c r="Q15" i="1" s="1"/>
  <c r="AV16" i="1"/>
  <c r="Q16" i="1" s="1"/>
  <c r="AX17" i="1"/>
  <c r="T22" i="1"/>
  <c r="X23" i="1"/>
  <c r="AL24" i="1"/>
  <c r="BA26" i="1"/>
  <c r="AW26" i="1" s="1"/>
  <c r="T36" i="1"/>
  <c r="BJ46" i="1"/>
  <c r="R46" i="1" s="1"/>
  <c r="CB46" i="1" s="1"/>
  <c r="Y51" i="1"/>
  <c r="AQ26" i="1"/>
  <c r="AQ77" i="1" s="1"/>
  <c r="AJ56" i="1"/>
  <c r="BL62" i="1"/>
  <c r="CC64" i="1"/>
  <c r="CG64" i="1"/>
  <c r="AL68" i="1"/>
  <c r="CC69" i="1"/>
  <c r="CG69" i="1"/>
  <c r="BL71" i="1"/>
  <c r="X3" i="1"/>
  <c r="AG76" i="1"/>
  <c r="AP76" i="1"/>
  <c r="AX3" i="1"/>
  <c r="AX76" i="1" s="1"/>
  <c r="BG76" i="1"/>
  <c r="BP76" i="1"/>
  <c r="AJ13" i="1"/>
  <c r="BS77" i="1"/>
  <c r="V14" i="1"/>
  <c r="Q14" i="1" s="1"/>
  <c r="AJ17" i="1"/>
  <c r="R17" i="1" s="1"/>
  <c r="CB17" i="1" s="1"/>
  <c r="R19" i="1"/>
  <c r="CB19" i="1" s="1"/>
  <c r="T25" i="1"/>
  <c r="AM26" i="1"/>
  <c r="AI26" i="1" s="1"/>
  <c r="AL26" i="1" s="1"/>
  <c r="R27" i="1"/>
  <c r="CB27" i="1" s="1"/>
  <c r="AX28" i="1"/>
  <c r="T28" i="1" s="1"/>
  <c r="AY36" i="1"/>
  <c r="AY35" i="1"/>
  <c r="Y36" i="1"/>
  <c r="BM26" i="1"/>
  <c r="BI26" i="1" s="1"/>
  <c r="BL26" i="1" s="1"/>
  <c r="BI35" i="1"/>
  <c r="CG47" i="1"/>
  <c r="CC47" i="1"/>
  <c r="BL51" i="1"/>
  <c r="CE52" i="1"/>
  <c r="U52" i="1"/>
  <c r="CA52" i="1"/>
  <c r="AL60" i="1"/>
  <c r="Q60" i="1"/>
  <c r="BH76" i="1"/>
  <c r="BT13" i="1"/>
  <c r="BT77" i="1" s="1"/>
  <c r="BJ15" i="1"/>
  <c r="R15" i="1" s="1"/>
  <c r="CB15" i="1" s="1"/>
  <c r="AX16" i="1"/>
  <c r="AK23" i="1"/>
  <c r="AV23" i="1"/>
  <c r="AY23" i="1" s="1"/>
  <c r="V26" i="1"/>
  <c r="V27" i="1"/>
  <c r="BJ27" i="1"/>
  <c r="R28" i="1"/>
  <c r="CB28" i="1" s="1"/>
  <c r="AY28" i="1"/>
  <c r="BI28" i="1"/>
  <c r="BL28" i="1" s="1"/>
  <c r="T29" i="1"/>
  <c r="Q33" i="1"/>
  <c r="CE34" i="1"/>
  <c r="CA34" i="1"/>
  <c r="AL35" i="1"/>
  <c r="AL36" i="1"/>
  <c r="T38" i="1"/>
  <c r="CE38" i="1"/>
  <c r="CA44" i="1"/>
  <c r="CE44" i="1"/>
  <c r="CG53" i="1"/>
  <c r="CC53" i="1"/>
  <c r="CE54" i="1"/>
  <c r="CA54" i="1"/>
  <c r="W56" i="1"/>
  <c r="AA26" i="1"/>
  <c r="W26" i="1" s="1"/>
  <c r="CA56" i="1"/>
  <c r="AY61" i="1"/>
  <c r="AY64" i="1"/>
  <c r="AY67" i="1"/>
  <c r="Y68" i="1"/>
  <c r="AY70" i="1"/>
  <c r="AL71" i="1"/>
  <c r="Q71" i="1"/>
  <c r="AV76" i="1"/>
  <c r="CC24" i="1"/>
  <c r="Q30" i="1"/>
  <c r="Q41" i="1"/>
  <c r="CA41" i="1" s="1"/>
  <c r="Y43" i="1"/>
  <c r="CG45" i="1"/>
  <c r="CC45" i="1"/>
  <c r="BI46" i="1"/>
  <c r="Q46" i="1" s="1"/>
  <c r="T54" i="1"/>
  <c r="T56" i="1"/>
  <c r="T63" i="1"/>
  <c r="R66" i="1"/>
  <c r="CB66" i="1" s="1"/>
  <c r="Q67" i="1"/>
  <c r="Y67" i="1"/>
  <c r="AY68" i="1"/>
  <c r="BL70" i="1"/>
  <c r="T71" i="1"/>
  <c r="Q72" i="1"/>
  <c r="CG43" i="1"/>
  <c r="CC43" i="1"/>
  <c r="Q61" i="1"/>
  <c r="AJ62" i="1"/>
  <c r="AY62" i="1"/>
  <c r="CA73" i="1"/>
  <c r="CE73" i="1"/>
  <c r="U29" i="1"/>
  <c r="CA29" i="1"/>
  <c r="T31" i="1"/>
  <c r="R34" i="1"/>
  <c r="CB34" i="1" s="1"/>
  <c r="BB35" i="1"/>
  <c r="AI36" i="1"/>
  <c r="Q36" i="1" s="1"/>
  <c r="T37" i="1"/>
  <c r="T39" i="1"/>
  <c r="AY55" i="1"/>
  <c r="AY29" i="1"/>
  <c r="BL31" i="1"/>
  <c r="R32" i="1"/>
  <c r="CB32" i="1" s="1"/>
  <c r="AY33" i="1"/>
  <c r="W36" i="1"/>
  <c r="AJ36" i="1"/>
  <c r="T44" i="1"/>
  <c r="BL60" i="1"/>
  <c r="CG61" i="1"/>
  <c r="CC61" i="1"/>
  <c r="AW62" i="1"/>
  <c r="R62" i="1" s="1"/>
  <c r="CB62" i="1" s="1"/>
  <c r="T65" i="1"/>
  <c r="R74" i="1"/>
  <c r="CB74" i="1" s="1"/>
  <c r="AL31" i="1"/>
  <c r="T32" i="1"/>
  <c r="Y33" i="1"/>
  <c r="R38" i="1"/>
  <c r="CB38" i="1" s="1"/>
  <c r="R40" i="1"/>
  <c r="CB40" i="1" s="1"/>
  <c r="Q43" i="1"/>
  <c r="AY51" i="1"/>
  <c r="Q55" i="1"/>
  <c r="Y55" i="1"/>
  <c r="AW56" i="1"/>
  <c r="T60" i="1"/>
  <c r="Y61" i="1"/>
  <c r="BL61" i="1"/>
  <c r="T62" i="1"/>
  <c r="CG74" i="1"/>
  <c r="CC74" i="1"/>
  <c r="Y66" i="1"/>
  <c r="U70" i="1"/>
  <c r="CA46" i="1" l="1"/>
  <c r="CE46" i="1"/>
  <c r="CA36" i="1"/>
  <c r="CE36" i="1"/>
  <c r="CG28" i="1"/>
  <c r="CC28" i="1"/>
  <c r="CA16" i="1"/>
  <c r="CE16" i="1"/>
  <c r="CC37" i="1"/>
  <c r="CG37" i="1"/>
  <c r="CG32" i="1"/>
  <c r="CC32" i="1"/>
  <c r="CG44" i="1"/>
  <c r="CC44" i="1"/>
  <c r="CC39" i="1"/>
  <c r="CG39" i="1"/>
  <c r="CE72" i="1"/>
  <c r="CA72" i="1"/>
  <c r="CG56" i="1"/>
  <c r="CC56" i="1"/>
  <c r="CE33" i="1"/>
  <c r="U33" i="1"/>
  <c r="CA33" i="1"/>
  <c r="AY77" i="1"/>
  <c r="CC17" i="1"/>
  <c r="CG17" i="1"/>
  <c r="Q23" i="1"/>
  <c r="Q76" i="1"/>
  <c r="CE76" i="1" s="1"/>
  <c r="CA3" i="1"/>
  <c r="CE3" i="1"/>
  <c r="X77" i="1"/>
  <c r="T13" i="1"/>
  <c r="CE55" i="1"/>
  <c r="U55" i="1"/>
  <c r="CA55" i="1"/>
  <c r="R36" i="1"/>
  <c r="CB36" i="1" s="1"/>
  <c r="CA71" i="1"/>
  <c r="U71" i="1"/>
  <c r="CE71" i="1"/>
  <c r="AZ77" i="1"/>
  <c r="AV13" i="1"/>
  <c r="AV77" i="1" s="1"/>
  <c r="CA69" i="1"/>
  <c r="U69" i="1"/>
  <c r="CE69" i="1"/>
  <c r="CG20" i="1"/>
  <c r="CC20" i="1"/>
  <c r="CG71" i="1"/>
  <c r="CC71" i="1"/>
  <c r="AK77" i="1"/>
  <c r="CG65" i="1"/>
  <c r="CC65" i="1"/>
  <c r="AX35" i="1"/>
  <c r="BB26" i="1"/>
  <c r="R56" i="1"/>
  <c r="CB56" i="1" s="1"/>
  <c r="CC38" i="1"/>
  <c r="CG38" i="1"/>
  <c r="BJ13" i="1"/>
  <c r="BJ77" i="1" s="1"/>
  <c r="X76" i="1"/>
  <c r="T3" i="1"/>
  <c r="T23" i="1"/>
  <c r="BA77" i="1"/>
  <c r="AW13" i="1"/>
  <c r="AW77" i="1" s="1"/>
  <c r="CA35" i="1"/>
  <c r="CE35" i="1"/>
  <c r="U36" i="1"/>
  <c r="U35" i="1"/>
  <c r="AJ26" i="1"/>
  <c r="AJ77" i="1" s="1"/>
  <c r="CE25" i="1"/>
  <c r="U25" i="1"/>
  <c r="CA25" i="1"/>
  <c r="Z77" i="1"/>
  <c r="V13" i="1"/>
  <c r="CA62" i="1"/>
  <c r="U64" i="1"/>
  <c r="CE62" i="1"/>
  <c r="U62" i="1"/>
  <c r="BL77" i="1"/>
  <c r="CE9" i="1"/>
  <c r="CA9" i="1"/>
  <c r="CG54" i="1"/>
  <c r="CC54" i="1"/>
  <c r="CG14" i="1"/>
  <c r="CC14" i="1"/>
  <c r="CG62" i="1"/>
  <c r="CC62" i="1"/>
  <c r="CE43" i="1"/>
  <c r="CA43" i="1"/>
  <c r="U43" i="1"/>
  <c r="CG22" i="1"/>
  <c r="CC22" i="1"/>
  <c r="W76" i="1"/>
  <c r="R3" i="1"/>
  <c r="U24" i="1"/>
  <c r="CA24" i="1"/>
  <c r="CE24" i="1"/>
  <c r="CE4" i="1"/>
  <c r="CA4" i="1"/>
  <c r="CE51" i="1"/>
  <c r="CA51" i="1"/>
  <c r="U51" i="1"/>
  <c r="R35" i="1"/>
  <c r="CB35" i="1" s="1"/>
  <c r="Q28" i="1"/>
  <c r="CG29" i="1"/>
  <c r="CC29" i="1"/>
  <c r="CC31" i="1"/>
  <c r="CG31" i="1"/>
  <c r="U61" i="1"/>
  <c r="CE61" i="1"/>
  <c r="CA61" i="1"/>
  <c r="CE67" i="1"/>
  <c r="U67" i="1"/>
  <c r="CA67" i="1"/>
  <c r="AA77" i="1"/>
  <c r="W13" i="1"/>
  <c r="AL77" i="1"/>
  <c r="AN77" i="1"/>
  <c r="U68" i="1"/>
  <c r="CE63" i="1"/>
  <c r="CA63" i="1"/>
  <c r="Q27" i="1"/>
  <c r="Y27" i="1"/>
  <c r="CA60" i="1"/>
  <c r="U60" i="1"/>
  <c r="CE60" i="1"/>
  <c r="BL35" i="1"/>
  <c r="BL36" i="1"/>
  <c r="CG25" i="1"/>
  <c r="CC25" i="1"/>
  <c r="AM77" i="1"/>
  <c r="V76" i="1"/>
  <c r="Q7" i="1"/>
  <c r="CA57" i="1"/>
  <c r="U56" i="1"/>
  <c r="CE57" i="1"/>
  <c r="U66" i="1"/>
  <c r="CE14" i="1"/>
  <c r="CA14" i="1"/>
  <c r="CC46" i="1"/>
  <c r="CG46" i="1"/>
  <c r="CC60" i="1"/>
  <c r="CG60" i="1"/>
  <c r="CC63" i="1"/>
  <c r="CG63" i="1"/>
  <c r="CA30" i="1"/>
  <c r="CE30" i="1"/>
  <c r="Q26" i="1"/>
  <c r="Y26" i="1"/>
  <c r="CC36" i="1"/>
  <c r="CG36" i="1"/>
  <c r="CE15" i="1"/>
  <c r="CA15" i="1"/>
  <c r="BK35" i="1"/>
  <c r="BR26" i="1"/>
  <c r="U31" i="1"/>
  <c r="T16" i="1"/>
  <c r="CG15" i="1"/>
  <c r="CC15" i="1"/>
  <c r="CG16" i="1" l="1"/>
  <c r="CC16" i="1"/>
  <c r="CA7" i="1"/>
  <c r="CE7" i="1"/>
  <c r="R26" i="1"/>
  <c r="CB26" i="1" s="1"/>
  <c r="CG13" i="1"/>
  <c r="CC13" i="1"/>
  <c r="U26" i="1"/>
  <c r="CE26" i="1"/>
  <c r="CA26" i="1"/>
  <c r="CA28" i="1"/>
  <c r="U28" i="1"/>
  <c r="CE28" i="1"/>
  <c r="BK26" i="1"/>
  <c r="BK77" i="1" s="1"/>
  <c r="BR77" i="1"/>
  <c r="AX26" i="1"/>
  <c r="BB77" i="1"/>
  <c r="U27" i="1"/>
  <c r="CA27" i="1"/>
  <c r="CE27" i="1"/>
  <c r="R76" i="1"/>
  <c r="CB3" i="1"/>
  <c r="CG23" i="1"/>
  <c r="CC23" i="1"/>
  <c r="T35" i="1"/>
  <c r="W77" i="1"/>
  <c r="R13" i="1"/>
  <c r="T76" i="1"/>
  <c r="CC3" i="1"/>
  <c r="CG3" i="1"/>
  <c r="U23" i="1"/>
  <c r="U77" i="1" s="1"/>
  <c r="CA23" i="1"/>
  <c r="CE23" i="1"/>
  <c r="V77" i="1"/>
  <c r="Q13" i="1"/>
  <c r="Q77" i="1" l="1"/>
  <c r="CE77" i="1" s="1"/>
  <c r="CE13" i="1"/>
  <c r="CA13" i="1"/>
  <c r="R77" i="1"/>
  <c r="CB13" i="1"/>
  <c r="CG35" i="1"/>
  <c r="CC35" i="1"/>
  <c r="T26" i="1"/>
  <c r="AX77" i="1"/>
  <c r="CG26" i="1" l="1"/>
  <c r="CC26" i="1"/>
  <c r="T77" i="1"/>
</calcChain>
</file>

<file path=xl/comments1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tc={00F000DF-00D7-4861-9DB1-00B500790099}</author>
    <author>tc={0079002A-0045-4498-A368-00C4008F0035}</author>
    <author>tc={008A0023-00A6-439B-83EA-002900EA00DF}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3" authorId="0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4" authorId="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6" authorId="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9" authorId="3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4" authorId="4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5" authorId="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потери на производстве 3 + У71 (КГН) + У21 + У41
</t>
        </r>
      </text>
    </comment>
    <comment ref="B33" authorId="6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Зеленихина Мария Владимировна:Газ ГДА проданный ГПП на СТН
</t>
        </r>
      </text>
    </comment>
    <comment ref="AO35" authorId="7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B35" authorId="8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O35" authorId="9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A39" authorId="10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Добавить гранулированная
</t>
        </r>
      </text>
    </comment>
    <comment ref="B42" authorId="1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перенести
</t>
        </r>
      </text>
    </comment>
    <comment ref="B44" authorId="12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от переработки ск и шфлу
</t>
        </r>
      </text>
    </comment>
    <comment ref="B50" authorId="13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для факта учесть изменение остатков ШФЛУ
</t>
        </r>
      </text>
    </comment>
    <comment ref="B51" authorId="14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шфлу валовая собственности ГДА для реализации ПАО  Газпром
</t>
        </r>
      </text>
    </comment>
    <comment ref="B53" authorId="1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У500, У505
</t>
        </r>
      </text>
    </comment>
    <comment ref="B57" authorId="16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Разница междду валовым СК и СК на переработку
</t>
        </r>
      </text>
    </comment>
    <comment ref="B59" authorId="17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изменить название
Ешимов Эрик Серикбаевич:
для факта учесть изменение остатков КГС, включая полупродукты
</t>
        </r>
      </text>
    </comment>
    <comment ref="B60" authorId="18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название
</t>
        </r>
      </text>
    </comment>
    <comment ref="B61" authorId="19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У515
</t>
        </r>
      </text>
    </comment>
    <comment ref="B71" authorId="20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5" authorId="2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Убрать формулу
</t>
        </r>
      </text>
    </comment>
    <comment ref="B76" authorId="2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новые строки
</t>
        </r>
      </text>
    </comment>
  </commentList>
</comments>
</file>

<file path=xl/sharedStrings.xml><?xml version="1.0" encoding="utf-8"?>
<sst xmlns="http://schemas.openxmlformats.org/spreadsheetml/2006/main" count="359" uniqueCount="224">
  <si>
    <t>№ п/п</t>
  </si>
  <si>
    <t>Показатели</t>
  </si>
  <si>
    <t>Ед.изм.</t>
  </si>
  <si>
    <t>2022 год</t>
  </si>
  <si>
    <t>2023 год</t>
  </si>
  <si>
    <t>2024 год</t>
  </si>
  <si>
    <t>2025 год</t>
  </si>
  <si>
    <t>2026 год</t>
  </si>
  <si>
    <t>1 квартал</t>
  </si>
  <si>
    <t>Январь</t>
  </si>
  <si>
    <t>Февраль</t>
  </si>
  <si>
    <t>Март</t>
  </si>
  <si>
    <t>2 квартал</t>
  </si>
  <si>
    <t>Апрель</t>
  </si>
  <si>
    <t>Май</t>
  </si>
  <si>
    <t>Июнь</t>
  </si>
  <si>
    <t>3 квартал</t>
  </si>
  <si>
    <t>Июль</t>
  </si>
  <si>
    <t>Август</t>
  </si>
  <si>
    <t>Сентябрь</t>
  </si>
  <si>
    <t>4 квартал</t>
  </si>
  <si>
    <t>Октябрь</t>
  </si>
  <si>
    <t>Ноябрь</t>
  </si>
  <si>
    <t>Декабрь</t>
  </si>
  <si>
    <t>2027 год</t>
  </si>
  <si>
    <t>2028 год</t>
  </si>
  <si>
    <t>АСБУ</t>
  </si>
  <si>
    <t>Формулы</t>
  </si>
  <si>
    <t>факт</t>
  </si>
  <si>
    <t>2 этап
 СД</t>
  </si>
  <si>
    <t>План из  годового 08/16-12 от 29.12.2022</t>
  </si>
  <si>
    <t>Факт</t>
  </si>
  <si>
    <t>СД 4022 от 19.12.2023 с разбивкой СПГ
2024-2026</t>
  </si>
  <si>
    <t>6+6  СД 4133 Вар.II</t>
  </si>
  <si>
    <t xml:space="preserve">СД 4157 от 24.12.2024
рез.01-4728 от 28.12.2024
2 этап </t>
  </si>
  <si>
    <t>08-18 от 20.01.2025 
акт. 1 кв.</t>
  </si>
  <si>
    <t>1 этап 
2026-2028
вар ЦО</t>
  </si>
  <si>
    <t>2 этап 
2026-2028</t>
  </si>
  <si>
    <t>Утвержд. план</t>
  </si>
  <si>
    <t>Предлож. предпр.</t>
  </si>
  <si>
    <t>ожидаемое</t>
  </si>
  <si>
    <t>% 
выхода</t>
  </si>
  <si>
    <t>1 этап 
2026-2028</t>
  </si>
  <si>
    <t>план</t>
  </si>
  <si>
    <t>откл</t>
  </si>
  <si>
    <t>ОКАЗАНИЕ УСЛУГ ПО СЕПАРАЦИИ  СЫРЬЯ 
ООО "Газпром добыча Астрахань"</t>
  </si>
  <si>
    <t>тыс.т.</t>
  </si>
  <si>
    <t>1.1</t>
  </si>
  <si>
    <t>СЕПАРАЦИЯ ПРИРОДНОГО ГАЗА, 
собственность ООО "Газпром добыча Астрахань"</t>
  </si>
  <si>
    <t>млн куб.м</t>
  </si>
  <si>
    <t>1.2</t>
  </si>
  <si>
    <t>Природного газа и нестабильного конденсата</t>
  </si>
  <si>
    <t>1.3</t>
  </si>
  <si>
    <t>ПРОИЗВОДСТВО ПРОДУКЦИИ, собственность 
ООО "Газпром добыча Астрахань"  ВСЕГО:</t>
  </si>
  <si>
    <t>1.3.1</t>
  </si>
  <si>
    <t>Газ сырой отсепарированный</t>
  </si>
  <si>
    <t>1.3.2</t>
  </si>
  <si>
    <t>Конденсат газовый нестабильный</t>
  </si>
  <si>
    <t>2</t>
  </si>
  <si>
    <t xml:space="preserve">ПЕРЕРАБОТКА УГЛЕВОДОРОДНОГО СЫРЬЯ, собственность ПАО "Газпром" </t>
  </si>
  <si>
    <t>2.1</t>
  </si>
  <si>
    <t>ПЕРЕРАБОТКА ГАЗА СЫРОГО ОТСЕПАРИРОВАННОГО 
(покупка у ООО "Газпром добыча Астрахань" )</t>
  </si>
  <si>
    <t>2.2</t>
  </si>
  <si>
    <t>ПЕРЕРАБОТКА КОНДЕНСАТА ГАЗОВОГО НЕСТАБИЛЬНОГО 
(покупка у ООО "Газпром добыча Астрахань" )</t>
  </si>
  <si>
    <t>2.3</t>
  </si>
  <si>
    <t>ПРИСАДКИ (ДОБАВКИ), ВСЕГО:</t>
  </si>
  <si>
    <t>2.3.1</t>
  </si>
  <si>
    <t>Присадки (добавки) для нефтепродуктов, 
собственность ПАО "Газпром"</t>
  </si>
  <si>
    <t>2.3.1.1.</t>
  </si>
  <si>
    <t>в т.ч. МТБЭ (добавка в бензин)</t>
  </si>
  <si>
    <t>2.3.2</t>
  </si>
  <si>
    <t>Компонент для производства серы, 
собственность ПАО "Газпром"</t>
  </si>
  <si>
    <t>2.3.3</t>
  </si>
  <si>
    <t>Компонент производства при выработке кислого газа</t>
  </si>
  <si>
    <t>Справочно:</t>
  </si>
  <si>
    <t>ПОТЕРИ СЫРЬЯ ПРИ ПЕРЕРАБОТКЕ (УСЛОВНЫЕ), ВСЕГО:</t>
  </si>
  <si>
    <t>3.1</t>
  </si>
  <si>
    <t>Природный газ</t>
  </si>
  <si>
    <t>3.2</t>
  </si>
  <si>
    <t>ПРОИЗВОДСТВО ПРОДУКЦИИ, 
собственность ПАО "Газпром", ВСЕГО:</t>
  </si>
  <si>
    <t>4.1</t>
  </si>
  <si>
    <t>ГАЗ ПРИРОДНЫЙ СУХОЙ ОТБЕНЗИНЕННЫЙ, ВСЕГО:</t>
  </si>
  <si>
    <t>4.1.1</t>
  </si>
  <si>
    <t>Газ горючий природный, в ГТС</t>
  </si>
  <si>
    <t>4.1.2</t>
  </si>
  <si>
    <t>Газ на СТН ООО «Газпром добыча Астрахань», 
собственность ПАО "Газпром"</t>
  </si>
  <si>
    <t>4.1.3</t>
  </si>
  <si>
    <t>4.2</t>
  </si>
  <si>
    <t>СЕРА, ВСЕГО:</t>
  </si>
  <si>
    <t>4.2.1</t>
  </si>
  <si>
    <t>Сера, :</t>
  </si>
  <si>
    <t>4.2.1.1</t>
  </si>
  <si>
    <t>жидкая</t>
  </si>
  <si>
    <t>4.2.1.2</t>
  </si>
  <si>
    <t>комовая</t>
  </si>
  <si>
    <t>4.2.1.3</t>
  </si>
  <si>
    <t>марка С</t>
  </si>
  <si>
    <t>4.2.1.4</t>
  </si>
  <si>
    <t>марка М</t>
  </si>
  <si>
    <t>4.2.1.5</t>
  </si>
  <si>
    <t>марка СМ</t>
  </si>
  <si>
    <t>Кислый газ, всего:</t>
  </si>
  <si>
    <t>Кислый газ с производства № 3</t>
  </si>
  <si>
    <t>4.3</t>
  </si>
  <si>
    <t>ШФЛУ товарная, всего:</t>
  </si>
  <si>
    <t>4.3.1</t>
  </si>
  <si>
    <t>ШФЛУ товарная</t>
  </si>
  <si>
    <t>в т.ч. аналог стабильного конденсата</t>
  </si>
  <si>
    <t>ШФЛУ товарная с учетом изменения остатков</t>
  </si>
  <si>
    <t>ШФЛУ валовая</t>
  </si>
  <si>
    <t>ШФЛУ - переработка</t>
  </si>
  <si>
    <t>4.4</t>
  </si>
  <si>
    <t>ГАЗЫ УГЛЕВОДОРОДНЫЕ СЖИЖЕННЫЕ</t>
  </si>
  <si>
    <t>4.5</t>
  </si>
  <si>
    <t>СТАБИЛЬНЫЙ КОНДЕНСАТ ТОВАРНЫЙ, ВСЕГО:</t>
  </si>
  <si>
    <t>4.5.1</t>
  </si>
  <si>
    <t>СК товарный</t>
  </si>
  <si>
    <t>СК товарный с учетом изменения остатков (отгрузка)</t>
  </si>
  <si>
    <t>СК валовый</t>
  </si>
  <si>
    <t>СК - переработка</t>
  </si>
  <si>
    <t>4.6</t>
  </si>
  <si>
    <t>АВТОМОБИЛЬНЫЙ БЕНЗИН, ВСЕГО:</t>
  </si>
  <si>
    <t>ОЧ-80</t>
  </si>
  <si>
    <t>4.6.1</t>
  </si>
  <si>
    <t>ОЧ-92</t>
  </si>
  <si>
    <t>4.6.2</t>
  </si>
  <si>
    <t>ОЧ-95</t>
  </si>
  <si>
    <t>4.7</t>
  </si>
  <si>
    <t>ДГКЛ</t>
  </si>
  <si>
    <t>4.8</t>
  </si>
  <si>
    <t>ДГКС</t>
  </si>
  <si>
    <t>4.9</t>
  </si>
  <si>
    <t>ДГКТ</t>
  </si>
  <si>
    <t>4.10</t>
  </si>
  <si>
    <t>ДИЗЕЛЬНОЕ ТОПЛИВО</t>
  </si>
  <si>
    <t>4.11</t>
  </si>
  <si>
    <t>МАЗУТ</t>
  </si>
  <si>
    <t>4.12</t>
  </si>
  <si>
    <t>ГАЗ СТАБИЛИЗАЦИИ НА СОБСТВЕННЫЕ НУЖДЫ</t>
  </si>
  <si>
    <t>5</t>
  </si>
  <si>
    <t>Продукция, переданная с производства на склад (в примечании должнв быть ссылка на акт )</t>
  </si>
  <si>
    <t>6</t>
  </si>
  <si>
    <t>Материальный баланс переработки УВС</t>
  </si>
  <si>
    <t>Материальный баланс ООО "Газпром добыча Астрахань"</t>
  </si>
  <si>
    <t>Материальный баланс  ПАО "Газпром"</t>
  </si>
  <si>
    <r>
      <t xml:space="preserve">СЕПАРАЦИЯ КОНДЕНСАТА ГАЗОВОГО НЕСТАБИЛЬНОГО,  
собственность </t>
    </r>
    <r>
      <rPr>
        <b/>
        <sz val="14"/>
        <rFont val="Times New Roman"/>
      </rPr>
      <t>ООО "Газпром добыча Астрахань"</t>
    </r>
  </si>
  <si>
    <r>
      <t xml:space="preserve">ПОТЕРИ СЫРЬЯ ПРИ ПЕРЕРАБОТКЕ (УСЛОВНЫЕ), </t>
    </r>
    <r>
      <rPr>
        <i/>
        <sz val="14"/>
        <rFont val="Times New Roman"/>
      </rPr>
      <t>собственность ООО "Газпром добыча Астрахань"</t>
    </r>
    <r>
      <rPr>
        <b/>
        <i/>
        <sz val="14"/>
        <rFont val="Times New Roman"/>
      </rPr>
      <t>:</t>
    </r>
  </si>
  <si>
    <r>
      <t>Газ на СТН Газпром переработка, 
собственность ПАО "Газпром"</t>
    </r>
    <r>
      <rPr>
        <strike/>
        <sz val="14"/>
        <rFont val="Times New Roman"/>
      </rPr>
      <t xml:space="preserve"> </t>
    </r>
  </si>
  <si>
    <r>
      <t xml:space="preserve">Кислый газ с производства № 1,5 </t>
    </r>
    <r>
      <rPr>
        <i/>
        <sz val="14"/>
        <color indexed="2"/>
        <rFont val="Times New Roman"/>
      </rPr>
      <t/>
    </r>
  </si>
  <si>
    <r>
      <t xml:space="preserve">Продукция, принятая в производство со склада </t>
    </r>
    <r>
      <rPr>
        <b/>
        <i/>
        <sz val="14"/>
        <rFont val="Times New Roman"/>
      </rPr>
      <t>(в примечании должнв быть ссылка на акт )</t>
    </r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</si>
  <si>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</si>
  <si>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</si>
  <si>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</si>
  <si>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</si>
  <si>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</si>
  <si>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</si>
  <si>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</si>
  <si>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</si>
  <si>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</si>
  <si>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</si>
  <si>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</si>
  <si>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</si>
  <si>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100331985</t>
  </si>
  <si>
    <t>100331986</t>
  </si>
  <si>
    <t>100331987</t>
  </si>
  <si>
    <t>100334996</t>
  </si>
  <si>
    <t>100331988</t>
  </si>
  <si>
    <t>100332914</t>
  </si>
  <si>
    <t>S2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</si>
  <si>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</si>
  <si>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</si>
  <si>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</si>
  <si>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</si>
  <si>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</si>
  <si>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</si>
  <si>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</si>
  <si>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</si>
  <si>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</si>
  <si>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</si>
  <si>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</si>
  <si>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</si>
  <si>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</si>
  <si>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</si>
  <si>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</si>
  <si>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</si>
  <si>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</si>
  <si>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</si>
  <si>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</si>
  <si>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S1</t>
  </si>
  <si>
    <t>100330010</t>
  </si>
  <si>
    <t>100331980</t>
  </si>
  <si>
    <t>100331981</t>
  </si>
  <si>
    <t>100330073</t>
  </si>
  <si>
    <t>100332003</t>
  </si>
  <si>
    <t>100332004</t>
  </si>
  <si>
    <t>S3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</si>
  <si>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</si>
  <si>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</si>
  <si>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</si>
  <si>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</si>
  <si>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</si>
  <si>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</si>
  <si>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</si>
  <si>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</si>
  <si>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S4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</si>
  <si>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</si>
  <si>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</si>
  <si>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</si>
  <si>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</si>
  <si>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</si>
  <si>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</si>
  <si>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</si>
  <si>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</si>
  <si>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</si>
  <si>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</si>
  <si>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</si>
  <si>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</si>
  <si>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</si>
  <si>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</si>
  <si>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</si>
  <si>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</si>
  <si>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S5</t>
  </si>
  <si>
    <t>100335808</t>
  </si>
  <si>
    <t>100335809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</si>
</sst>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#,##0.000"/>
    <numFmt numFmtId="166" formatCode="0.0"/>
    <numFmt numFmtId="167" formatCode="#,##0.0000"/>
    <numFmt numFmtId="168" formatCode="0.000"/>
  </numFmts>
  <fonts count="38" x14ac:knownFonts="1">
    <font>
      <sz val="11"/>
      <color theme="1"/>
      <name val="Calibri"/>
      <family val="2"/>
      <charset val="204"/>
      <scheme val="minor"/>
    </font>
    <font>
      <sz val="14"/>
      <name val="Times New Roman"/>
    </font>
    <font>
      <sz val="14"/>
      <color theme="1"/>
      <name val="Times New Roman"/>
    </font>
    <font>
      <b/>
      <sz val="14"/>
      <name val="Times New Roman"/>
    </font>
    <font>
      <sz val="14"/>
      <color indexed="6"/>
      <name val="Times New Roman"/>
    </font>
    <font>
      <sz val="10"/>
      <name val="Arial Cyr"/>
    </font>
    <font>
      <sz val="12"/>
      <name val="Times New Roman"/>
    </font>
    <font>
      <sz val="14"/>
      <color rgb="FF00B050"/>
      <name val="Times New Roman"/>
    </font>
    <font>
      <sz val="14"/>
      <color rgb="FF0070C0"/>
      <name val="Times New Roman"/>
    </font>
    <font>
      <b/>
      <sz val="14"/>
      <color rgb="FF0070C0"/>
      <name val="Times New Roman"/>
    </font>
    <font>
      <u/>
      <sz val="11"/>
      <color theme="10"/>
      <name val="Calibri"/>
      <scheme val="minor"/>
    </font>
    <font>
      <sz val="14"/>
      <name val="Calibri"/>
      <scheme val="minor"/>
    </font>
    <font>
      <sz val="14"/>
      <color indexed="2"/>
      <name val="Times New Roman"/>
    </font>
    <font>
      <b/>
      <sz val="14"/>
      <color theme="1"/>
      <name val="Times New Roman"/>
    </font>
    <font>
      <b/>
      <sz val="14"/>
      <color rgb="FF00B050"/>
      <name val="Times New Roman"/>
    </font>
    <font>
      <b/>
      <sz val="14"/>
      <color indexed="4"/>
      <name val="Times New Roman"/>
    </font>
    <font>
      <b/>
      <sz val="14"/>
      <color indexed="6"/>
      <name val="Times New Roman"/>
    </font>
    <font>
      <b/>
      <i/>
      <sz val="14"/>
      <name val="Times New Roman"/>
    </font>
    <font>
      <i/>
      <sz val="14"/>
      <name val="Times New Roman"/>
    </font>
    <font>
      <sz val="14"/>
      <color indexed="4"/>
      <name val="Times New Roman"/>
    </font>
    <font>
      <b/>
      <i/>
      <sz val="14"/>
      <color theme="1"/>
      <name val="Times New Roman"/>
    </font>
    <font>
      <b/>
      <i/>
      <sz val="14"/>
      <color rgb="FF00B050"/>
      <name val="Times New Roman"/>
    </font>
    <font>
      <b/>
      <i/>
      <sz val="14"/>
      <color rgb="FF0070C0"/>
      <name val="Times New Roman"/>
    </font>
    <font>
      <b/>
      <i/>
      <sz val="14"/>
      <color indexed="4"/>
      <name val="Times New Roman"/>
    </font>
    <font>
      <b/>
      <i/>
      <sz val="14"/>
      <color indexed="6"/>
      <name val="Times New Roman"/>
    </font>
    <font>
      <i/>
      <sz val="14"/>
      <color theme="1"/>
      <name val="Times New Roman"/>
    </font>
    <font>
      <i/>
      <sz val="14"/>
      <color rgb="FF00B050"/>
      <name val="Times New Roman"/>
    </font>
    <font>
      <i/>
      <sz val="14"/>
      <color rgb="FF0070C0"/>
      <name val="Times New Roman"/>
    </font>
    <font>
      <i/>
      <sz val="14"/>
      <color indexed="4"/>
      <name val="Times New Roman"/>
    </font>
    <font>
      <i/>
      <sz val="14"/>
      <color indexed="6"/>
      <name val="Times New Roman"/>
    </font>
    <font>
      <sz val="14"/>
      <color theme="3" tint="0.59999389629810485"/>
      <name val="Times New Roman"/>
    </font>
    <font>
      <i/>
      <sz val="14"/>
      <color rgb="FF002060"/>
      <name val="Times New Roman"/>
    </font>
    <font>
      <i/>
      <sz val="14"/>
      <color indexed="2"/>
      <name val="Times New Roman"/>
    </font>
    <font>
      <strike/>
      <sz val="14"/>
      <name val="Times New Roman"/>
    </font>
    <font>
      <b/>
      <sz val="9"/>
      <name val="Tahoma"/>
    </font>
    <font>
      <sz val="9"/>
      <name val="Tahoma"/>
    </font>
    <font>
      <b/>
      <sz val="10"/>
      <name val="Times New Roman"/>
    </font>
    <font>
      <sz val="1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double">
        <color theme="3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7">
    <xf numFmtId="0" fontId="0" fillId="0" borderId="0"/>
    <xf numFmtId="0" fontId="5" fillId="0" borderId="0"/>
    <xf numFmtId="0" fontId="10" fillId="0" borderId="0" applyNumberFormat="0" applyFill="0" applyBorder="0" applyProtection="0"/>
    <xf numFmtId="0" fontId="36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</cellStyleXfs>
  <cellXfs count="2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right" vertical="center"/>
    </xf>
    <xf numFmtId="164" fontId="15" fillId="4" borderId="1" xfId="1" applyNumberFormat="1" applyFont="1" applyFill="1" applyBorder="1" applyAlignment="1">
      <alignment horizontal="right" vertical="center"/>
    </xf>
    <xf numFmtId="164" fontId="15" fillId="0" borderId="1" xfId="1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right" vertical="center"/>
    </xf>
    <xf numFmtId="164" fontId="15" fillId="0" borderId="3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18" fillId="0" borderId="10" xfId="0" applyFont="1" applyBorder="1" applyAlignment="1">
      <alignment horizontal="left" vertical="center" wrapText="1" indent="4"/>
    </xf>
    <xf numFmtId="49" fontId="13" fillId="0" borderId="9" xfId="0" applyNumberFormat="1" applyFont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right" vertical="center"/>
    </xf>
    <xf numFmtId="165" fontId="15" fillId="2" borderId="1" xfId="1" applyNumberFormat="1" applyFont="1" applyFill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164" fontId="3" fillId="0" borderId="1" xfId="1" applyNumberFormat="1" applyFont="1" applyBorder="1" applyAlignment="1">
      <alignment horizontal="right" vertical="center"/>
    </xf>
    <xf numFmtId="164" fontId="9" fillId="0" borderId="1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 indent="1"/>
    </xf>
    <xf numFmtId="0" fontId="13" fillId="0" borderId="9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right" vertical="center"/>
    </xf>
    <xf numFmtId="165" fontId="15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2" fillId="0" borderId="10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165" fontId="19" fillId="4" borderId="1" xfId="1" applyNumberFormat="1" applyFont="1" applyFill="1" applyBorder="1" applyAlignment="1">
      <alignment horizontal="right" vertical="center"/>
    </xf>
    <xf numFmtId="4" fontId="15" fillId="4" borderId="1" xfId="1" applyNumberFormat="1" applyFont="1" applyFill="1" applyBorder="1" applyAlignment="1">
      <alignment horizontal="right" vertical="center"/>
    </xf>
    <xf numFmtId="4" fontId="19" fillId="4" borderId="1" xfId="1" applyNumberFormat="1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4" fontId="1" fillId="5" borderId="1" xfId="0" applyNumberFormat="1" applyFont="1" applyFill="1" applyBorder="1" applyAlignment="1">
      <alignment vertical="center"/>
    </xf>
    <xf numFmtId="4" fontId="15" fillId="0" borderId="1" xfId="1" applyNumberFormat="1" applyFont="1" applyBorder="1" applyAlignment="1">
      <alignment horizontal="right" vertical="center"/>
    </xf>
    <xf numFmtId="4" fontId="1" fillId="5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4" fontId="1" fillId="5" borderId="3" xfId="0" applyNumberFormat="1" applyFont="1" applyFill="1" applyBorder="1" applyAlignment="1">
      <alignment vertical="center"/>
    </xf>
    <xf numFmtId="4" fontId="8" fillId="0" borderId="3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49" fontId="1" fillId="0" borderId="9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right" vertical="center"/>
    </xf>
    <xf numFmtId="164" fontId="19" fillId="4" borderId="1" xfId="1" applyNumberFormat="1" applyFont="1" applyFill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4" fontId="19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right" vertical="center"/>
    </xf>
    <xf numFmtId="164" fontId="23" fillId="0" borderId="1" xfId="1" applyNumberFormat="1" applyFont="1" applyBorder="1" applyAlignment="1">
      <alignment horizontal="right" vertical="center"/>
    </xf>
    <xf numFmtId="165" fontId="23" fillId="0" borderId="1" xfId="0" applyNumberFormat="1" applyFont="1" applyBorder="1" applyAlignment="1">
      <alignment horizontal="right" vertical="center"/>
    </xf>
    <xf numFmtId="164" fontId="23" fillId="0" borderId="1" xfId="0" applyNumberFormat="1" applyFont="1" applyBorder="1" applyAlignment="1">
      <alignment vertical="center"/>
    </xf>
    <xf numFmtId="164" fontId="23" fillId="0" borderId="1" xfId="0" applyNumberFormat="1" applyFont="1" applyBorder="1" applyAlignment="1">
      <alignment horizontal="right" vertical="center"/>
    </xf>
    <xf numFmtId="165" fontId="23" fillId="2" borderId="1" xfId="0" applyNumberFormat="1" applyFont="1" applyFill="1" applyBorder="1" applyAlignment="1">
      <alignment horizontal="right" vertical="center"/>
    </xf>
    <xf numFmtId="164" fontId="23" fillId="0" borderId="3" xfId="0" applyNumberFormat="1" applyFont="1" applyBorder="1" applyAlignment="1">
      <alignment vertical="center"/>
    </xf>
    <xf numFmtId="164" fontId="22" fillId="0" borderId="3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49" fontId="18" fillId="0" borderId="9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 indent="2"/>
    </xf>
    <xf numFmtId="0" fontId="25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right" vertical="center"/>
    </xf>
    <xf numFmtId="164" fontId="28" fillId="4" borderId="1" xfId="1" applyNumberFormat="1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vertical="center"/>
    </xf>
    <xf numFmtId="164" fontId="18" fillId="5" borderId="1" xfId="0" applyNumberFormat="1" applyFont="1" applyFill="1" applyBorder="1" applyAlignment="1">
      <alignment horizontal="right" vertical="center"/>
    </xf>
    <xf numFmtId="165" fontId="18" fillId="2" borderId="1" xfId="0" applyNumberFormat="1" applyFont="1" applyFill="1" applyBorder="1" applyAlignment="1">
      <alignment horizontal="right" vertical="center"/>
    </xf>
    <xf numFmtId="164" fontId="18" fillId="5" borderId="3" xfId="0" applyNumberFormat="1" applyFont="1" applyFill="1" applyBorder="1" applyAlignment="1">
      <alignment vertical="center"/>
    </xf>
    <xf numFmtId="164" fontId="27" fillId="0" borderId="3" xfId="0" applyNumberFormat="1" applyFont="1" applyBorder="1" applyAlignment="1">
      <alignment horizontal="center" vertical="center"/>
    </xf>
    <xf numFmtId="164" fontId="29" fillId="0" borderId="0" xfId="0" applyNumberFormat="1" applyFont="1" applyAlignment="1">
      <alignment vertical="center"/>
    </xf>
    <xf numFmtId="0" fontId="18" fillId="0" borderId="10" xfId="0" applyFont="1" applyBorder="1" applyAlignment="1">
      <alignment horizontal="left" wrapText="1" indent="2"/>
    </xf>
    <xf numFmtId="164" fontId="15" fillId="0" borderId="3" xfId="0" applyNumberFormat="1" applyFont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64" fontId="1" fillId="5" borderId="3" xfId="0" applyNumberFormat="1" applyFont="1" applyFill="1" applyBorder="1" applyAlignment="1">
      <alignment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wrapText="1" indent="2"/>
    </xf>
    <xf numFmtId="164" fontId="30" fillId="4" borderId="1" xfId="1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wrapText="1" indent="1"/>
    </xf>
    <xf numFmtId="0" fontId="1" fillId="0" borderId="10" xfId="0" applyFont="1" applyBorder="1" applyAlignment="1">
      <alignment horizontal="left" wrapText="1" indent="4"/>
    </xf>
    <xf numFmtId="49" fontId="18" fillId="0" borderId="10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left" wrapText="1" indent="1"/>
    </xf>
    <xf numFmtId="0" fontId="25" fillId="0" borderId="11" xfId="0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right" vertical="center"/>
    </xf>
    <xf numFmtId="164" fontId="28" fillId="0" borderId="1" xfId="0" applyNumberFormat="1" applyFont="1" applyBorder="1" applyAlignment="1">
      <alignment vertical="center"/>
    </xf>
    <xf numFmtId="164" fontId="28" fillId="0" borderId="1" xfId="0" applyNumberFormat="1" applyFont="1" applyBorder="1" applyAlignment="1">
      <alignment horizontal="right" vertical="center"/>
    </xf>
    <xf numFmtId="165" fontId="28" fillId="2" borderId="1" xfId="0" applyNumberFormat="1" applyFont="1" applyFill="1" applyBorder="1" applyAlignment="1">
      <alignment horizontal="right" vertical="center"/>
    </xf>
    <xf numFmtId="164" fontId="28" fillId="0" borderId="3" xfId="0" applyNumberFormat="1" applyFont="1" applyBorder="1" applyAlignment="1">
      <alignment vertical="center"/>
    </xf>
    <xf numFmtId="0" fontId="18" fillId="0" borderId="9" xfId="0" applyFont="1" applyBorder="1" applyAlignment="1">
      <alignment horizontal="left" wrapText="1" indent="2"/>
    </xf>
    <xf numFmtId="164" fontId="31" fillId="5" borderId="1" xfId="0" applyNumberFormat="1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vertical="center"/>
    </xf>
    <xf numFmtId="49" fontId="32" fillId="0" borderId="10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wrapText="1" indent="4"/>
    </xf>
    <xf numFmtId="49" fontId="1" fillId="2" borderId="9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wrapText="1" indent="2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49" fontId="1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2" borderId="1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wrapText="1" indent="2"/>
    </xf>
    <xf numFmtId="0" fontId="20" fillId="0" borderId="9" xfId="0" applyFont="1" applyBorder="1" applyAlignment="1">
      <alignment horizontal="left" wrapText="1" indent="1"/>
    </xf>
    <xf numFmtId="165" fontId="3" fillId="5" borderId="1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5" fontId="12" fillId="2" borderId="1" xfId="0" applyNumberFormat="1" applyFont="1" applyFill="1" applyBorder="1" applyAlignment="1">
      <alignment vertical="center"/>
    </xf>
    <xf numFmtId="168" fontId="12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8" fontId="12" fillId="2" borderId="1" xfId="0" applyNumberFormat="1" applyFont="1" applyFill="1" applyBorder="1" applyAlignment="1">
      <alignment vertical="center"/>
    </xf>
    <xf numFmtId="168" fontId="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wrapText="1" indent="1"/>
    </xf>
    <xf numFmtId="0" fontId="1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12" fillId="0" borderId="1" xfId="0" applyNumberFormat="1" applyFont="1" applyBorder="1"/>
    <xf numFmtId="164" fontId="12" fillId="0" borderId="1" xfId="0" applyNumberFormat="1" applyFont="1" applyBorder="1"/>
    <xf numFmtId="165" fontId="12" fillId="2" borderId="1" xfId="0" applyNumberFormat="1" applyFont="1" applyFill="1" applyBorder="1"/>
    <xf numFmtId="165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36" fillId="6" borderId="12" xfId="3" quotePrefix="1" applyFont="1" applyFill="1" applyBorder="1" applyAlignment="1">
      <alignment horizontal="left" vertical="center" wrapText="1" indent="1"/>
    </xf>
    <xf numFmtId="0" fontId="37" fillId="0" borderId="12" xfId="4" quotePrefix="1" applyFont="1" applyBorder="1" applyAlignment="1">
      <alignment horizontal="left" vertical="center" wrapText="1" indent="1"/>
    </xf>
    <xf numFmtId="0" fontId="37" fillId="0" borderId="12" xfId="5" quotePrefix="1" applyFont="1" applyBorder="1" applyAlignment="1">
      <alignment horizontal="left" vertical="center" wrapText="1" indent="1"/>
    </xf>
    <xf numFmtId="0" fontId="37" fillId="7" borderId="12" xfId="4" quotePrefix="1" applyFont="1" applyFill="1" applyBorder="1" applyAlignment="1">
      <alignment horizontal="left" vertical="center" wrapText="1" indent="1"/>
    </xf>
    <xf numFmtId="0" fontId="36" fillId="0" borderId="12" xfId="3" quotePrefix="1" applyFont="1" applyBorder="1" applyAlignment="1">
      <alignment horizontal="left" vertical="center" wrapText="1" indent="1"/>
    </xf>
    <xf numFmtId="0" fontId="37" fillId="8" borderId="12" xfId="6" quotePrefix="1" applyFont="1" applyFill="1" applyBorder="1" applyAlignment="1">
      <alignment horizontal="left" vertical="center" wrapText="1" indent="1"/>
    </xf>
    <xf numFmtId="0" fontId="37" fillId="0" borderId="12" xfId="6" quotePrefix="1" applyFont="1" applyBorder="1" applyAlignment="1">
      <alignment horizontal="left" vertical="center" wrapText="1" indent="1"/>
    </xf>
    <xf numFmtId="0" fontId="37" fillId="8" borderId="12" xfId="4" quotePrefix="1" applyFont="1" applyFill="1" applyBorder="1" applyAlignment="1">
      <alignment horizontal="left" vertical="center" wrapText="1" indent="1"/>
    </xf>
    <xf numFmtId="0" fontId="37" fillId="8" borderId="12" xfId="5" quotePrefix="1" applyFont="1" applyFill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 indent="1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0" fontId="1" fillId="2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9" xfId="1" applyFont="1" applyBorder="1" applyAlignment="1">
      <alignment horizontal="left" vertical="center" wrapText="1" indent="1"/>
    </xf>
    <xf numFmtId="49" fontId="1" fillId="0" borderId="9" xfId="0" applyNumberFormat="1" applyFont="1" applyBorder="1" applyAlignment="1">
      <alignment horizontal="center" vertical="center"/>
    </xf>
  </cellXfs>
  <cellStyles count="7">
    <cellStyle name="SAPBEXHLevel0" xfId="3"/>
    <cellStyle name="SAPBEXHLevel1" xfId="4"/>
    <cellStyle name="SAPBEXHLevel2" xfId="5"/>
    <cellStyle name="SAPBEXHLevel3" xfId="6"/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-sadpapp.adm.gazprom.ru/sad/sad/pages/container/internal_properties_container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CH77"/>
  <sheetViews>
    <sheetView tabSelected="1" zoomScale="60" zoomScaleNormal="60" workbookViewId="0">
      <selection sqref="A1:A2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14" bestFit="1" customWidth="1"/>
    <col min="5" max="13" width="0" hidden="1" customWidth="1"/>
    <col min="14" max="16" width="15.28515625" hidden="1" customWidth="1"/>
    <col min="17" max="17" width="17" customWidth="1"/>
    <col min="18" max="21" width="15.28515625" customWidth="1"/>
    <col min="22" max="78" width="15.85546875" customWidth="1"/>
    <col min="79" max="81" width="14.140625" customWidth="1"/>
    <col min="82" max="82" width="11.42578125" customWidth="1"/>
    <col min="83" max="83" width="12" customWidth="1"/>
    <col min="84" max="84" width="14.5703125" customWidth="1"/>
    <col min="85" max="85" width="11.140625" customWidth="1"/>
    <col min="86" max="86" width="9.42578125" customWidth="1"/>
  </cols>
  <sheetData>
    <row r="1" spans="1:86" ht="20.25" thickTop="1" thickBot="1" x14ac:dyDescent="0.35">
      <c r="A1" s="220" t="s">
        <v>0</v>
      </c>
      <c r="B1" s="221" t="s">
        <v>1</v>
      </c>
      <c r="C1" s="208"/>
      <c r="D1" s="222" t="s">
        <v>2</v>
      </c>
      <c r="E1" s="1" t="s">
        <v>3</v>
      </c>
      <c r="F1" s="218" t="s">
        <v>4</v>
      </c>
      <c r="G1" s="219"/>
      <c r="H1" s="223"/>
      <c r="I1" s="218" t="s">
        <v>5</v>
      </c>
      <c r="J1" s="219"/>
      <c r="K1" s="219"/>
      <c r="L1" s="218" t="s">
        <v>6</v>
      </c>
      <c r="M1" s="219"/>
      <c r="N1" s="225" t="s">
        <v>7</v>
      </c>
      <c r="O1" s="225"/>
      <c r="P1" s="225"/>
      <c r="Q1" s="226"/>
      <c r="R1" s="225"/>
      <c r="S1" s="225"/>
      <c r="T1" s="225"/>
      <c r="U1" s="225"/>
      <c r="V1" s="227" t="s">
        <v>8</v>
      </c>
      <c r="W1" s="228"/>
      <c r="X1" s="228"/>
      <c r="Y1" s="228"/>
      <c r="Z1" s="218" t="s">
        <v>9</v>
      </c>
      <c r="AA1" s="219"/>
      <c r="AB1" s="223"/>
      <c r="AC1" s="224" t="s">
        <v>10</v>
      </c>
      <c r="AD1" s="224"/>
      <c r="AE1" s="224"/>
      <c r="AF1" s="224" t="s">
        <v>11</v>
      </c>
      <c r="AG1" s="224"/>
      <c r="AH1" s="224"/>
      <c r="AI1" s="223" t="s">
        <v>12</v>
      </c>
      <c r="AJ1" s="223"/>
      <c r="AK1" s="224"/>
      <c r="AL1" s="224"/>
      <c r="AM1" s="223" t="s">
        <v>13</v>
      </c>
      <c r="AN1" s="223"/>
      <c r="AO1" s="224"/>
      <c r="AP1" s="224" t="s">
        <v>14</v>
      </c>
      <c r="AQ1" s="224"/>
      <c r="AR1" s="224"/>
      <c r="AS1" s="224" t="s">
        <v>15</v>
      </c>
      <c r="AT1" s="224"/>
      <c r="AU1" s="224"/>
      <c r="AV1" s="223" t="s">
        <v>16</v>
      </c>
      <c r="AW1" s="223"/>
      <c r="AX1" s="224"/>
      <c r="AY1" s="224"/>
      <c r="AZ1" s="223" t="s">
        <v>17</v>
      </c>
      <c r="BA1" s="223"/>
      <c r="BB1" s="224"/>
      <c r="BC1" s="224" t="s">
        <v>18</v>
      </c>
      <c r="BD1" s="224"/>
      <c r="BE1" s="224"/>
      <c r="BF1" s="224" t="s">
        <v>19</v>
      </c>
      <c r="BG1" s="224"/>
      <c r="BH1" s="224"/>
      <c r="BI1" s="223" t="s">
        <v>20</v>
      </c>
      <c r="BJ1" s="223"/>
      <c r="BK1" s="224"/>
      <c r="BL1" s="224"/>
      <c r="BM1" s="234" t="s">
        <v>21</v>
      </c>
      <c r="BN1" s="223"/>
      <c r="BO1" s="224"/>
      <c r="BP1" s="224" t="s">
        <v>22</v>
      </c>
      <c r="BQ1" s="224"/>
      <c r="BR1" s="224"/>
      <c r="BS1" s="224" t="s">
        <v>23</v>
      </c>
      <c r="BT1" s="224"/>
      <c r="BU1" s="218"/>
      <c r="BV1" s="225" t="s">
        <v>24</v>
      </c>
      <c r="BW1" s="225"/>
      <c r="BX1" s="225"/>
      <c r="BY1" s="225" t="s">
        <v>25</v>
      </c>
      <c r="BZ1" s="225"/>
      <c r="CA1" s="2"/>
      <c r="CB1" s="2"/>
      <c r="CC1" s="2"/>
      <c r="CD1" s="229" t="s">
        <v>26</v>
      </c>
      <c r="CE1" s="229"/>
      <c r="CF1" s="229"/>
      <c r="CG1" s="229"/>
      <c r="CH1" s="3" t="s">
        <v>27</v>
      </c>
    </row>
    <row r="2" spans="1:86" ht="207.75" thickTop="1" thickBot="1" x14ac:dyDescent="0.35">
      <c r="A2" s="220"/>
      <c r="B2" s="221"/>
      <c r="C2" s="1"/>
      <c r="D2" s="221"/>
      <c r="E2" s="4" t="s">
        <v>28</v>
      </c>
      <c r="F2" s="5" t="s">
        <v>29</v>
      </c>
      <c r="G2" s="6" t="s">
        <v>30</v>
      </c>
      <c r="H2" s="7" t="s">
        <v>31</v>
      </c>
      <c r="I2" s="8" t="s">
        <v>32</v>
      </c>
      <c r="J2" s="9" t="s">
        <v>33</v>
      </c>
      <c r="K2" s="7" t="s">
        <v>31</v>
      </c>
      <c r="L2" s="9" t="s">
        <v>34</v>
      </c>
      <c r="M2" s="9" t="s">
        <v>35</v>
      </c>
      <c r="N2" s="10" t="s">
        <v>34</v>
      </c>
      <c r="O2" s="11" t="s">
        <v>36</v>
      </c>
      <c r="P2" s="12" t="s">
        <v>37</v>
      </c>
      <c r="Q2" s="13" t="s">
        <v>38</v>
      </c>
      <c r="R2" s="14" t="s">
        <v>39</v>
      </c>
      <c r="S2" s="14" t="s">
        <v>40</v>
      </c>
      <c r="T2" s="15" t="s">
        <v>31</v>
      </c>
      <c r="U2" s="12" t="s">
        <v>41</v>
      </c>
      <c r="V2" s="14" t="s">
        <v>38</v>
      </c>
      <c r="W2" s="14" t="s">
        <v>39</v>
      </c>
      <c r="X2" s="15" t="s">
        <v>31</v>
      </c>
      <c r="Y2" s="12" t="s">
        <v>41</v>
      </c>
      <c r="Z2" s="14" t="s">
        <v>38</v>
      </c>
      <c r="AA2" s="14" t="s">
        <v>39</v>
      </c>
      <c r="AB2" s="15" t="s">
        <v>31</v>
      </c>
      <c r="AC2" s="14" t="s">
        <v>38</v>
      </c>
      <c r="AD2" s="14" t="s">
        <v>39</v>
      </c>
      <c r="AE2" s="15" t="s">
        <v>31</v>
      </c>
      <c r="AF2" s="14" t="s">
        <v>38</v>
      </c>
      <c r="AG2" s="14" t="s">
        <v>39</v>
      </c>
      <c r="AH2" s="15" t="s">
        <v>31</v>
      </c>
      <c r="AI2" s="14" t="s">
        <v>38</v>
      </c>
      <c r="AJ2" s="14" t="s">
        <v>39</v>
      </c>
      <c r="AK2" s="15" t="s">
        <v>31</v>
      </c>
      <c r="AL2" s="12" t="s">
        <v>41</v>
      </c>
      <c r="AM2" s="14" t="s">
        <v>38</v>
      </c>
      <c r="AN2" s="14" t="s">
        <v>39</v>
      </c>
      <c r="AO2" s="15" t="s">
        <v>31</v>
      </c>
      <c r="AP2" s="14" t="s">
        <v>38</v>
      </c>
      <c r="AQ2" s="14" t="s">
        <v>39</v>
      </c>
      <c r="AR2" s="15" t="s">
        <v>31</v>
      </c>
      <c r="AS2" s="14" t="s">
        <v>38</v>
      </c>
      <c r="AT2" s="14" t="s">
        <v>39</v>
      </c>
      <c r="AU2" s="15" t="s">
        <v>31</v>
      </c>
      <c r="AV2" s="14" t="s">
        <v>38</v>
      </c>
      <c r="AW2" s="14" t="s">
        <v>39</v>
      </c>
      <c r="AX2" s="15" t="s">
        <v>31</v>
      </c>
      <c r="AY2" s="12" t="s">
        <v>41</v>
      </c>
      <c r="AZ2" s="14" t="s">
        <v>38</v>
      </c>
      <c r="BA2" s="14" t="s">
        <v>39</v>
      </c>
      <c r="BB2" s="15" t="s">
        <v>31</v>
      </c>
      <c r="BC2" s="14" t="s">
        <v>38</v>
      </c>
      <c r="BD2" s="14" t="s">
        <v>39</v>
      </c>
      <c r="BE2" s="15" t="s">
        <v>31</v>
      </c>
      <c r="BF2" s="14" t="s">
        <v>38</v>
      </c>
      <c r="BG2" s="14" t="s">
        <v>39</v>
      </c>
      <c r="BH2" s="15" t="s">
        <v>31</v>
      </c>
      <c r="BI2" s="14" t="s">
        <v>38</v>
      </c>
      <c r="BJ2" s="14" t="s">
        <v>39</v>
      </c>
      <c r="BK2" s="15" t="s">
        <v>31</v>
      </c>
      <c r="BL2" s="12" t="s">
        <v>41</v>
      </c>
      <c r="BM2" s="13" t="s">
        <v>38</v>
      </c>
      <c r="BN2" s="14" t="s">
        <v>39</v>
      </c>
      <c r="BO2" s="15" t="s">
        <v>31</v>
      </c>
      <c r="BP2" s="14" t="s">
        <v>38</v>
      </c>
      <c r="BQ2" s="14" t="s">
        <v>39</v>
      </c>
      <c r="BR2" s="15" t="s">
        <v>31</v>
      </c>
      <c r="BS2" s="14" t="s">
        <v>38</v>
      </c>
      <c r="BT2" s="14" t="s">
        <v>39</v>
      </c>
      <c r="BU2" s="15" t="s">
        <v>31</v>
      </c>
      <c r="BV2" s="9" t="s">
        <v>34</v>
      </c>
      <c r="BW2" s="16" t="s">
        <v>42</v>
      </c>
      <c r="BX2" s="17" t="s">
        <v>37</v>
      </c>
      <c r="BY2" s="16" t="s">
        <v>42</v>
      </c>
      <c r="BZ2" s="17" t="s">
        <v>37</v>
      </c>
      <c r="CA2" s="18"/>
      <c r="CB2" s="18"/>
      <c r="CC2" s="18"/>
      <c r="CD2" s="19" t="s">
        <v>43</v>
      </c>
      <c r="CE2" s="19" t="s">
        <v>44</v>
      </c>
      <c r="CF2" s="19" t="s">
        <v>28</v>
      </c>
      <c r="CG2" s="19" t="s">
        <v>44</v>
      </c>
      <c r="CH2" s="3"/>
    </row>
    <row r="3" spans="1:86" ht="38.25" thickTop="1" x14ac:dyDescent="0.25">
      <c r="A3" s="20">
        <v>1</v>
      </c>
      <c r="B3" s="21" t="s">
        <v>45</v>
      </c>
      <c r="C3" s="209" t="s">
        <v>150</v>
      </c>
      <c r="D3" s="22" t="s">
        <v>46</v>
      </c>
      <c r="E3" s="23">
        <v>14666.883000000002</v>
      </c>
      <c r="F3" s="23">
        <v>16145.056</v>
      </c>
      <c r="G3" s="23">
        <v>16344.024000000001</v>
      </c>
      <c r="H3" s="23"/>
      <c r="I3" s="24">
        <v>12959.3</v>
      </c>
      <c r="J3" s="25">
        <v>12376.988000000001</v>
      </c>
      <c r="K3" s="25">
        <v>12015.308000000001</v>
      </c>
      <c r="L3" s="25">
        <v>14151.4</v>
      </c>
      <c r="M3" s="25">
        <v>14152.599999999999</v>
      </c>
      <c r="N3" s="26">
        <v>15885.2</v>
      </c>
      <c r="O3" s="27">
        <v>12971.7</v>
      </c>
      <c r="P3" s="27">
        <v>13574.199999999999</v>
      </c>
      <c r="Q3" s="28">
        <f t="shared" ref="Q3:R41" si="0">V3+AI3+AV3+BI3</f>
        <v>13574.199999999999</v>
      </c>
      <c r="R3" s="29">
        <f t="shared" si="0"/>
        <v>13574.199999999999</v>
      </c>
      <c r="S3" s="29"/>
      <c r="T3" s="29">
        <f t="shared" ref="T3:T66" si="1">X3+AK3+AX3+BK3</f>
        <v>852.21490500000004</v>
      </c>
      <c r="U3" s="29"/>
      <c r="V3" s="29">
        <f t="shared" ref="V3:X34" si="2">Z3+AC3+AF3</f>
        <v>3405.4</v>
      </c>
      <c r="W3" s="30">
        <f t="shared" si="2"/>
        <v>3405.4</v>
      </c>
      <c r="X3" s="30">
        <f t="shared" si="2"/>
        <v>852.21490500000004</v>
      </c>
      <c r="Y3" s="30"/>
      <c r="Z3" s="31">
        <f t="shared" ref="Z3:AH3" si="3">Z4+Z6</f>
        <v>1172.9000000000001</v>
      </c>
      <c r="AA3" s="31">
        <f t="shared" si="3"/>
        <v>1172.9000000000001</v>
      </c>
      <c r="AB3" s="32">
        <f t="shared" si="3"/>
        <v>852.21490500000004</v>
      </c>
      <c r="AC3" s="31">
        <f t="shared" si="3"/>
        <v>1059.5</v>
      </c>
      <c r="AD3" s="31">
        <f t="shared" si="3"/>
        <v>1059.5</v>
      </c>
      <c r="AE3" s="32">
        <f t="shared" si="3"/>
        <v>0</v>
      </c>
      <c r="AF3" s="31">
        <f t="shared" si="3"/>
        <v>1173</v>
      </c>
      <c r="AG3" s="31">
        <f t="shared" si="3"/>
        <v>1173</v>
      </c>
      <c r="AH3" s="32">
        <f t="shared" si="3"/>
        <v>0</v>
      </c>
      <c r="AI3" s="29">
        <f t="shared" ref="AI3:AK34" si="4">AM3+AP3+AS3</f>
        <v>2597.3999999999996</v>
      </c>
      <c r="AJ3" s="30">
        <f t="shared" si="4"/>
        <v>2597.3999999999996</v>
      </c>
      <c r="AK3" s="30">
        <f t="shared" si="4"/>
        <v>0</v>
      </c>
      <c r="AL3" s="30"/>
      <c r="AM3" s="31">
        <f t="shared" ref="AM3:AU3" si="5">AM4+AM6</f>
        <v>1135.2</v>
      </c>
      <c r="AN3" s="31">
        <f t="shared" si="5"/>
        <v>1135.2</v>
      </c>
      <c r="AO3" s="33">
        <f t="shared" si="5"/>
        <v>0</v>
      </c>
      <c r="AP3" s="31">
        <f t="shared" si="5"/>
        <v>806.4</v>
      </c>
      <c r="AQ3" s="31">
        <f t="shared" si="5"/>
        <v>806.4</v>
      </c>
      <c r="AR3" s="32">
        <f t="shared" si="5"/>
        <v>0</v>
      </c>
      <c r="AS3" s="31">
        <f t="shared" si="5"/>
        <v>655.8</v>
      </c>
      <c r="AT3" s="31">
        <f t="shared" si="5"/>
        <v>655.8</v>
      </c>
      <c r="AU3" s="32">
        <f t="shared" si="5"/>
        <v>0</v>
      </c>
      <c r="AV3" s="29">
        <f t="shared" ref="AV3:AX34" si="6">AZ3+BC3+BF3</f>
        <v>3706</v>
      </c>
      <c r="AW3" s="30">
        <f t="shared" si="6"/>
        <v>3706</v>
      </c>
      <c r="AX3" s="30">
        <f t="shared" si="6"/>
        <v>0</v>
      </c>
      <c r="AY3" s="30"/>
      <c r="AZ3" s="31">
        <f t="shared" ref="AZ3:BH3" si="7">AZ4+AZ6</f>
        <v>1219.5999999999999</v>
      </c>
      <c r="BA3" s="31">
        <f t="shared" si="7"/>
        <v>1219.5999999999999</v>
      </c>
      <c r="BB3" s="32">
        <f t="shared" si="7"/>
        <v>0</v>
      </c>
      <c r="BC3" s="31">
        <f t="shared" si="7"/>
        <v>1225.0999999999999</v>
      </c>
      <c r="BD3" s="31">
        <f t="shared" si="7"/>
        <v>1225.0999999999999</v>
      </c>
      <c r="BE3" s="32">
        <f t="shared" si="7"/>
        <v>0</v>
      </c>
      <c r="BF3" s="31">
        <f t="shared" si="7"/>
        <v>1261.3</v>
      </c>
      <c r="BG3" s="31">
        <f t="shared" si="7"/>
        <v>1261.3</v>
      </c>
      <c r="BH3" s="32">
        <f t="shared" si="7"/>
        <v>0</v>
      </c>
      <c r="BI3" s="29">
        <f t="shared" ref="BI3:BK34" si="8">BM3+BP3+BS3</f>
        <v>3865.3999999999996</v>
      </c>
      <c r="BJ3" s="30">
        <f t="shared" si="8"/>
        <v>3865.3999999999996</v>
      </c>
      <c r="BK3" s="30">
        <f t="shared" si="8"/>
        <v>0</v>
      </c>
      <c r="BL3" s="30"/>
      <c r="BM3" s="34">
        <f t="shared" ref="BM3:BU3" si="9">BM4+BM6</f>
        <v>1303.3</v>
      </c>
      <c r="BN3" s="31">
        <f t="shared" si="9"/>
        <v>1303.3</v>
      </c>
      <c r="BO3" s="32">
        <f t="shared" si="9"/>
        <v>0</v>
      </c>
      <c r="BP3" s="31">
        <f t="shared" si="9"/>
        <v>1261.3</v>
      </c>
      <c r="BQ3" s="31">
        <f t="shared" si="9"/>
        <v>1261.3</v>
      </c>
      <c r="BR3" s="32">
        <f t="shared" si="9"/>
        <v>0</v>
      </c>
      <c r="BS3" s="31">
        <f t="shared" si="9"/>
        <v>1300.8</v>
      </c>
      <c r="BT3" s="31">
        <f t="shared" si="9"/>
        <v>1300.8</v>
      </c>
      <c r="BU3" s="35">
        <f t="shared" si="9"/>
        <v>0</v>
      </c>
      <c r="BV3" s="36">
        <v>15240.5</v>
      </c>
      <c r="BW3" s="27">
        <v>13482.3</v>
      </c>
      <c r="BX3" s="31">
        <f>BX4+BX6</f>
        <v>13977.3</v>
      </c>
      <c r="BY3" s="27">
        <v>13189.699999999999</v>
      </c>
      <c r="BZ3" s="31">
        <f>BZ4+BZ6</f>
        <v>12618.499999999996</v>
      </c>
      <c r="CA3" s="37" t="b">
        <f t="shared" ref="CA3:CB34" si="10">Q3=Z3+AC3+AF3+AM3+AP3+AS3+AZ3+BC3+BF3+BM3+BP3+BS3</f>
        <v>1</v>
      </c>
      <c r="CB3" s="37" t="b">
        <f t="shared" si="10"/>
        <v>1</v>
      </c>
      <c r="CC3" s="37" t="b">
        <f t="shared" ref="CC3:CC66" si="11">T3=AB3+AE3+AH3+AO3+AR3+AU3+BB3+BE3+BH3+BO3+BR3+BU3</f>
        <v>1</v>
      </c>
      <c r="CD3" s="38">
        <v>10594.2</v>
      </c>
      <c r="CE3" s="38">
        <f t="shared" ref="CE3:CE66" si="12">CD3-Q3</f>
        <v>-2979.9999999999982</v>
      </c>
      <c r="CF3" s="38">
        <v>852.21490500000004</v>
      </c>
      <c r="CG3" s="38">
        <f t="shared" ref="CG3:CG66" si="13">CF3-T3</f>
        <v>0</v>
      </c>
      <c r="CH3" s="32">
        <f>CH4+CH6</f>
        <v>0</v>
      </c>
    </row>
    <row r="4" spans="1:86" ht="18.75" x14ac:dyDescent="0.25">
      <c r="A4" s="230" t="s">
        <v>47</v>
      </c>
      <c r="B4" s="231" t="s">
        <v>48</v>
      </c>
      <c r="C4" s="210" t="s">
        <v>151</v>
      </c>
      <c r="D4" s="22" t="s">
        <v>46</v>
      </c>
      <c r="E4" s="23">
        <v>10637.266</v>
      </c>
      <c r="F4" s="23">
        <v>11918.4</v>
      </c>
      <c r="G4" s="23">
        <v>12014.4</v>
      </c>
      <c r="H4" s="23"/>
      <c r="I4" s="24">
        <v>9817.1</v>
      </c>
      <c r="J4" s="25">
        <v>9388.4089999999997</v>
      </c>
      <c r="K4" s="25">
        <v>9106.7459999999992</v>
      </c>
      <c r="L4" s="25">
        <v>10744.8</v>
      </c>
      <c r="M4" s="25">
        <v>10745.699999999999</v>
      </c>
      <c r="N4" s="26">
        <v>12072.5</v>
      </c>
      <c r="O4" s="27">
        <v>9867.1</v>
      </c>
      <c r="P4" s="27">
        <v>10325.4</v>
      </c>
      <c r="Q4" s="28">
        <f t="shared" si="0"/>
        <v>10325.4</v>
      </c>
      <c r="R4" s="29">
        <f t="shared" si="0"/>
        <v>10325.4</v>
      </c>
      <c r="S4" s="29"/>
      <c r="T4" s="29">
        <f t="shared" si="1"/>
        <v>648.01499999999999</v>
      </c>
      <c r="U4" s="29"/>
      <c r="V4" s="29">
        <f t="shared" si="2"/>
        <v>2590.3999999999996</v>
      </c>
      <c r="W4" s="29">
        <f t="shared" si="2"/>
        <v>2590.3999999999996</v>
      </c>
      <c r="X4" s="29">
        <f t="shared" si="2"/>
        <v>648.01499999999999</v>
      </c>
      <c r="Y4" s="29"/>
      <c r="Z4" s="39">
        <v>892.2</v>
      </c>
      <c r="AA4" s="39">
        <v>892.2</v>
      </c>
      <c r="AB4" s="40">
        <v>648.01499999999999</v>
      </c>
      <c r="AC4" s="39">
        <v>805.9</v>
      </c>
      <c r="AD4" s="39">
        <v>805.9</v>
      </c>
      <c r="AE4" s="40"/>
      <c r="AF4" s="39">
        <v>892.3</v>
      </c>
      <c r="AG4" s="39">
        <v>892.3</v>
      </c>
      <c r="AH4" s="40"/>
      <c r="AI4" s="29">
        <f t="shared" si="4"/>
        <v>1975.7</v>
      </c>
      <c r="AJ4" s="30">
        <f t="shared" si="4"/>
        <v>1975.7</v>
      </c>
      <c r="AK4" s="30">
        <f t="shared" si="4"/>
        <v>0</v>
      </c>
      <c r="AL4" s="29"/>
      <c r="AM4" s="39">
        <v>863.5</v>
      </c>
      <c r="AN4" s="39">
        <v>863.5</v>
      </c>
      <c r="AO4" s="41"/>
      <c r="AP4" s="39">
        <v>613.4</v>
      </c>
      <c r="AQ4" s="39">
        <v>613.4</v>
      </c>
      <c r="AR4" s="40"/>
      <c r="AS4" s="39">
        <v>498.8</v>
      </c>
      <c r="AT4" s="39">
        <v>498.8</v>
      </c>
      <c r="AU4" s="40"/>
      <c r="AV4" s="29">
        <f t="shared" si="6"/>
        <v>2819</v>
      </c>
      <c r="AW4" s="30">
        <f t="shared" si="6"/>
        <v>2819</v>
      </c>
      <c r="AX4" s="30">
        <f t="shared" si="6"/>
        <v>0</v>
      </c>
      <c r="AY4" s="29"/>
      <c r="AZ4" s="39">
        <v>927.7</v>
      </c>
      <c r="BA4" s="39">
        <v>927.7</v>
      </c>
      <c r="BB4" s="40"/>
      <c r="BC4" s="39">
        <v>931.9</v>
      </c>
      <c r="BD4" s="39">
        <v>931.9</v>
      </c>
      <c r="BE4" s="40"/>
      <c r="BF4" s="39">
        <v>959.4</v>
      </c>
      <c r="BG4" s="39">
        <v>959.4</v>
      </c>
      <c r="BH4" s="40"/>
      <c r="BI4" s="29">
        <f t="shared" si="8"/>
        <v>2940.3</v>
      </c>
      <c r="BJ4" s="30">
        <f t="shared" si="8"/>
        <v>2940.3</v>
      </c>
      <c r="BK4" s="30">
        <f t="shared" si="8"/>
        <v>0</v>
      </c>
      <c r="BL4" s="29"/>
      <c r="BM4" s="42">
        <v>991.4</v>
      </c>
      <c r="BN4" s="39">
        <v>991.4</v>
      </c>
      <c r="BO4" s="40"/>
      <c r="BP4" s="39">
        <v>959.4</v>
      </c>
      <c r="BQ4" s="39">
        <v>959.4</v>
      </c>
      <c r="BR4" s="40"/>
      <c r="BS4" s="39">
        <v>989.5</v>
      </c>
      <c r="BT4" s="39">
        <v>989.5</v>
      </c>
      <c r="BU4" s="43"/>
      <c r="BV4" s="36">
        <v>11595</v>
      </c>
      <c r="BW4" s="27">
        <v>10266.5</v>
      </c>
      <c r="BX4" s="39">
        <v>10643.4</v>
      </c>
      <c r="BY4" s="27">
        <v>10055.299999999999</v>
      </c>
      <c r="BZ4" s="39">
        <v>9619.7999999999975</v>
      </c>
      <c r="CA4" s="37" t="b">
        <f t="shared" si="10"/>
        <v>1</v>
      </c>
      <c r="CB4" s="37" t="b">
        <f t="shared" si="10"/>
        <v>1</v>
      </c>
      <c r="CC4" s="37" t="b">
        <f t="shared" si="11"/>
        <v>1</v>
      </c>
      <c r="CD4" s="38">
        <v>8061</v>
      </c>
      <c r="CE4" s="38">
        <f t="shared" si="12"/>
        <v>-2264.3999999999996</v>
      </c>
      <c r="CF4" s="38">
        <v>648.01499999999999</v>
      </c>
      <c r="CG4" s="38">
        <f t="shared" si="13"/>
        <v>0</v>
      </c>
      <c r="CH4" s="40"/>
    </row>
    <row r="5" spans="1:86" ht="18.75" x14ac:dyDescent="0.25">
      <c r="A5" s="230"/>
      <c r="B5" s="231"/>
      <c r="C5" s="210" t="s">
        <v>152</v>
      </c>
      <c r="D5" s="44" t="s">
        <v>49</v>
      </c>
      <c r="E5" s="45">
        <v>10068.155999999999</v>
      </c>
      <c r="F5" s="45">
        <v>11212</v>
      </c>
      <c r="G5" s="45">
        <v>11355.8</v>
      </c>
      <c r="H5" s="45"/>
      <c r="I5" s="46">
        <v>9296.5</v>
      </c>
      <c r="J5" s="47">
        <v>8842.023000000001</v>
      </c>
      <c r="K5" s="47">
        <v>8591.4439999999995</v>
      </c>
      <c r="L5" s="47">
        <v>10117.5</v>
      </c>
      <c r="M5" s="47">
        <v>10118.400000000001</v>
      </c>
      <c r="N5" s="26">
        <v>11367.7</v>
      </c>
      <c r="O5" s="27">
        <v>9256.2000000000007</v>
      </c>
      <c r="P5" s="27">
        <v>9686.0999999999985</v>
      </c>
      <c r="Q5" s="28">
        <f t="shared" si="0"/>
        <v>9686.0999999999985</v>
      </c>
      <c r="R5" s="29">
        <f t="shared" si="0"/>
        <v>9686.0999999999985</v>
      </c>
      <c r="S5" s="29"/>
      <c r="T5" s="29">
        <f t="shared" si="1"/>
        <v>608.82500000000005</v>
      </c>
      <c r="U5" s="29"/>
      <c r="V5" s="29">
        <f t="shared" si="2"/>
        <v>2430</v>
      </c>
      <c r="W5" s="29">
        <f t="shared" si="2"/>
        <v>2430</v>
      </c>
      <c r="X5" s="29">
        <f t="shared" si="2"/>
        <v>608.82500000000005</v>
      </c>
      <c r="Y5" s="29"/>
      <c r="Z5" s="39">
        <v>837</v>
      </c>
      <c r="AA5" s="39">
        <v>837</v>
      </c>
      <c r="AB5" s="40">
        <v>608.82500000000005</v>
      </c>
      <c r="AC5" s="39">
        <v>756</v>
      </c>
      <c r="AD5" s="39">
        <v>756</v>
      </c>
      <c r="AE5" s="40"/>
      <c r="AF5" s="39">
        <v>837</v>
      </c>
      <c r="AG5" s="39">
        <v>837</v>
      </c>
      <c r="AH5" s="40"/>
      <c r="AI5" s="29">
        <f t="shared" si="4"/>
        <v>1853.4</v>
      </c>
      <c r="AJ5" s="30">
        <f t="shared" si="4"/>
        <v>1853.4</v>
      </c>
      <c r="AK5" s="30">
        <f t="shared" si="4"/>
        <v>0</v>
      </c>
      <c r="AL5" s="29"/>
      <c r="AM5" s="39">
        <v>810</v>
      </c>
      <c r="AN5" s="39">
        <v>810</v>
      </c>
      <c r="AO5" s="41"/>
      <c r="AP5" s="39">
        <v>575.4</v>
      </c>
      <c r="AQ5" s="39">
        <v>575.4</v>
      </c>
      <c r="AR5" s="40"/>
      <c r="AS5" s="39">
        <v>468</v>
      </c>
      <c r="AT5" s="39">
        <v>468</v>
      </c>
      <c r="AU5" s="40"/>
      <c r="AV5" s="29">
        <f t="shared" si="6"/>
        <v>2644.5</v>
      </c>
      <c r="AW5" s="30">
        <f t="shared" si="6"/>
        <v>2644.5</v>
      </c>
      <c r="AX5" s="30">
        <f t="shared" si="6"/>
        <v>0</v>
      </c>
      <c r="AY5" s="29"/>
      <c r="AZ5" s="39">
        <v>870.3</v>
      </c>
      <c r="BA5" s="39">
        <v>870.3</v>
      </c>
      <c r="BB5" s="40"/>
      <c r="BC5" s="39">
        <v>874.2</v>
      </c>
      <c r="BD5" s="39">
        <v>874.2</v>
      </c>
      <c r="BE5" s="40"/>
      <c r="BF5" s="39">
        <v>900</v>
      </c>
      <c r="BG5" s="39">
        <v>900</v>
      </c>
      <c r="BH5" s="40"/>
      <c r="BI5" s="29">
        <f t="shared" si="8"/>
        <v>2758.2</v>
      </c>
      <c r="BJ5" s="30">
        <f t="shared" si="8"/>
        <v>2758.2</v>
      </c>
      <c r="BK5" s="30">
        <f t="shared" si="8"/>
        <v>0</v>
      </c>
      <c r="BL5" s="29"/>
      <c r="BM5" s="42">
        <v>930</v>
      </c>
      <c r="BN5" s="39">
        <v>930</v>
      </c>
      <c r="BO5" s="40"/>
      <c r="BP5" s="39">
        <v>900</v>
      </c>
      <c r="BQ5" s="39">
        <v>900</v>
      </c>
      <c r="BR5" s="40"/>
      <c r="BS5" s="39">
        <v>928.2</v>
      </c>
      <c r="BT5" s="39">
        <v>928.2</v>
      </c>
      <c r="BU5" s="43"/>
      <c r="BV5" s="36">
        <v>10918.1</v>
      </c>
      <c r="BW5" s="27">
        <v>9630.9</v>
      </c>
      <c r="BX5" s="39">
        <v>9984.4</v>
      </c>
      <c r="BY5" s="27">
        <v>9432.7000000000007</v>
      </c>
      <c r="BZ5" s="39">
        <v>9024.1999999999989</v>
      </c>
      <c r="CA5" s="37" t="b">
        <f t="shared" si="10"/>
        <v>1</v>
      </c>
      <c r="CB5" s="37" t="b">
        <f t="shared" si="10"/>
        <v>1</v>
      </c>
      <c r="CC5" s="37" t="b">
        <f t="shared" si="11"/>
        <v>1</v>
      </c>
      <c r="CD5" s="38">
        <v>7561.8</v>
      </c>
      <c r="CE5" s="38">
        <f t="shared" si="12"/>
        <v>-2124.2999999999984</v>
      </c>
      <c r="CF5" s="38">
        <v>608.82500000000005</v>
      </c>
      <c r="CG5" s="38">
        <f t="shared" si="13"/>
        <v>0</v>
      </c>
      <c r="CH5" s="40"/>
    </row>
    <row r="6" spans="1:86" ht="56.25" x14ac:dyDescent="0.25">
      <c r="A6" s="48" t="s">
        <v>50</v>
      </c>
      <c r="B6" s="49" t="s">
        <v>145</v>
      </c>
      <c r="C6" s="210" t="s">
        <v>153</v>
      </c>
      <c r="D6" s="50" t="s">
        <v>46</v>
      </c>
      <c r="E6" s="45"/>
      <c r="F6" s="45"/>
      <c r="G6" s="45"/>
      <c r="H6" s="45"/>
      <c r="I6" s="46">
        <v>3142.2</v>
      </c>
      <c r="J6" s="47">
        <v>2988.5789999999997</v>
      </c>
      <c r="K6" s="47">
        <v>2908.5619999999999</v>
      </c>
      <c r="L6" s="47">
        <v>3406.6000000000004</v>
      </c>
      <c r="M6" s="47">
        <v>3406.8999999999996</v>
      </c>
      <c r="N6" s="26">
        <v>3812.7</v>
      </c>
      <c r="O6" s="27">
        <v>3104.6000000000004</v>
      </c>
      <c r="P6" s="27">
        <v>3248.7999999999997</v>
      </c>
      <c r="Q6" s="28">
        <f t="shared" si="0"/>
        <v>3248.7999999999997</v>
      </c>
      <c r="R6" s="29">
        <f t="shared" si="0"/>
        <v>3248.7999999999997</v>
      </c>
      <c r="S6" s="29"/>
      <c r="T6" s="29">
        <f t="shared" si="1"/>
        <v>204.199905</v>
      </c>
      <c r="U6" s="29"/>
      <c r="V6" s="29">
        <f t="shared" si="2"/>
        <v>815</v>
      </c>
      <c r="W6" s="29">
        <f t="shared" si="2"/>
        <v>815</v>
      </c>
      <c r="X6" s="29">
        <f t="shared" si="2"/>
        <v>204.199905</v>
      </c>
      <c r="Y6" s="29"/>
      <c r="Z6" s="39">
        <v>280.7</v>
      </c>
      <c r="AA6" s="39">
        <v>280.7</v>
      </c>
      <c r="AB6" s="40">
        <v>204.199905</v>
      </c>
      <c r="AC6" s="39">
        <v>253.6</v>
      </c>
      <c r="AD6" s="39">
        <v>253.6</v>
      </c>
      <c r="AE6" s="40"/>
      <c r="AF6" s="39">
        <v>280.7</v>
      </c>
      <c r="AG6" s="39">
        <v>280.7</v>
      </c>
      <c r="AH6" s="40"/>
      <c r="AI6" s="29">
        <f t="shared" si="4"/>
        <v>621.70000000000005</v>
      </c>
      <c r="AJ6" s="30">
        <f t="shared" si="4"/>
        <v>621.70000000000005</v>
      </c>
      <c r="AK6" s="30">
        <f t="shared" si="4"/>
        <v>0</v>
      </c>
      <c r="AL6" s="29"/>
      <c r="AM6" s="39">
        <v>271.7</v>
      </c>
      <c r="AN6" s="39">
        <v>271.7</v>
      </c>
      <c r="AO6" s="41"/>
      <c r="AP6" s="39">
        <v>193</v>
      </c>
      <c r="AQ6" s="39">
        <v>193</v>
      </c>
      <c r="AR6" s="40"/>
      <c r="AS6" s="39">
        <v>157</v>
      </c>
      <c r="AT6" s="39">
        <v>157</v>
      </c>
      <c r="AU6" s="40"/>
      <c r="AV6" s="29">
        <f t="shared" si="6"/>
        <v>886.99999999999989</v>
      </c>
      <c r="AW6" s="30">
        <f t="shared" si="6"/>
        <v>886.99999999999989</v>
      </c>
      <c r="AX6" s="30">
        <f t="shared" si="6"/>
        <v>0</v>
      </c>
      <c r="AY6" s="29"/>
      <c r="AZ6" s="39">
        <v>291.89999999999998</v>
      </c>
      <c r="BA6" s="39">
        <v>291.89999999999998</v>
      </c>
      <c r="BB6" s="40"/>
      <c r="BC6" s="39">
        <v>293.2</v>
      </c>
      <c r="BD6" s="39">
        <v>293.2</v>
      </c>
      <c r="BE6" s="40"/>
      <c r="BF6" s="39">
        <v>301.89999999999998</v>
      </c>
      <c r="BG6" s="39">
        <v>301.89999999999998</v>
      </c>
      <c r="BH6" s="40"/>
      <c r="BI6" s="29">
        <f t="shared" si="8"/>
        <v>925.09999999999991</v>
      </c>
      <c r="BJ6" s="30">
        <f t="shared" si="8"/>
        <v>925.09999999999991</v>
      </c>
      <c r="BK6" s="30">
        <f t="shared" si="8"/>
        <v>0</v>
      </c>
      <c r="BL6" s="29"/>
      <c r="BM6" s="42">
        <v>311.89999999999998</v>
      </c>
      <c r="BN6" s="39">
        <v>311.89999999999998</v>
      </c>
      <c r="BO6" s="40"/>
      <c r="BP6" s="39">
        <v>301.89999999999998</v>
      </c>
      <c r="BQ6" s="39">
        <v>301.89999999999998</v>
      </c>
      <c r="BR6" s="40"/>
      <c r="BS6" s="39">
        <v>311.3</v>
      </c>
      <c r="BT6" s="39">
        <v>311.3</v>
      </c>
      <c r="BU6" s="43"/>
      <c r="BV6" s="36">
        <v>3645.5</v>
      </c>
      <c r="BW6" s="27">
        <v>3215.8</v>
      </c>
      <c r="BX6" s="39">
        <v>3333.9</v>
      </c>
      <c r="BY6" s="27">
        <v>3134.4</v>
      </c>
      <c r="BZ6" s="39">
        <v>2998.7</v>
      </c>
      <c r="CA6" s="37" t="b">
        <f t="shared" si="10"/>
        <v>1</v>
      </c>
      <c r="CB6" s="37" t="b">
        <f t="shared" si="10"/>
        <v>1</v>
      </c>
      <c r="CC6" s="37" t="b">
        <f t="shared" si="11"/>
        <v>1</v>
      </c>
      <c r="CD6" s="38">
        <v>2533.1999999999998</v>
      </c>
      <c r="CE6" s="38">
        <f t="shared" si="12"/>
        <v>-715.59999999999991</v>
      </c>
      <c r="CF6" s="38">
        <v>204.199905</v>
      </c>
      <c r="CG6" s="38">
        <f t="shared" si="13"/>
        <v>0</v>
      </c>
      <c r="CH6" s="40"/>
    </row>
    <row r="7" spans="1:86" ht="39" x14ac:dyDescent="0.25">
      <c r="A7" s="48"/>
      <c r="B7" s="51" t="s">
        <v>146</v>
      </c>
      <c r="C7" s="210" t="s">
        <v>154</v>
      </c>
      <c r="D7" s="52" t="s">
        <v>46</v>
      </c>
      <c r="E7" s="45"/>
      <c r="F7" s="45"/>
      <c r="G7" s="45"/>
      <c r="H7" s="45"/>
      <c r="I7" s="46">
        <v>12.9</v>
      </c>
      <c r="J7" s="47">
        <v>12.330999999999843</v>
      </c>
      <c r="K7" s="47">
        <v>12.000999999999749</v>
      </c>
      <c r="L7" s="47">
        <v>14.199999999999704</v>
      </c>
      <c r="M7" s="47">
        <v>14.199999999999818</v>
      </c>
      <c r="N7" s="26">
        <v>15.900000000001455</v>
      </c>
      <c r="O7" s="27">
        <v>13</v>
      </c>
      <c r="P7" s="27">
        <v>13.6</v>
      </c>
      <c r="Q7" s="28">
        <f t="shared" si="0"/>
        <v>13.6</v>
      </c>
      <c r="R7" s="29">
        <f t="shared" si="0"/>
        <v>13.6</v>
      </c>
      <c r="S7" s="29"/>
      <c r="T7" s="29">
        <f t="shared" si="1"/>
        <v>0.85199999999999998</v>
      </c>
      <c r="U7" s="29"/>
      <c r="V7" s="29">
        <f t="shared" si="2"/>
        <v>3.4</v>
      </c>
      <c r="W7" s="29">
        <f t="shared" si="2"/>
        <v>3.4</v>
      </c>
      <c r="X7" s="29">
        <f t="shared" si="2"/>
        <v>0.85199999999999998</v>
      </c>
      <c r="Y7" s="29"/>
      <c r="Z7" s="41">
        <f t="shared" ref="Z7:AH7" si="14">Z8</f>
        <v>1.2</v>
      </c>
      <c r="AA7" s="41">
        <f t="shared" si="14"/>
        <v>1.2</v>
      </c>
      <c r="AB7" s="41">
        <f t="shared" si="14"/>
        <v>0.85199999999999998</v>
      </c>
      <c r="AC7" s="41">
        <f t="shared" si="14"/>
        <v>1.1000000000000001</v>
      </c>
      <c r="AD7" s="41">
        <f t="shared" si="14"/>
        <v>1.1000000000000001</v>
      </c>
      <c r="AE7" s="41">
        <f t="shared" si="14"/>
        <v>0</v>
      </c>
      <c r="AF7" s="41">
        <f t="shared" si="14"/>
        <v>1.1000000000000001</v>
      </c>
      <c r="AG7" s="41">
        <f t="shared" si="14"/>
        <v>1.1000000000000001</v>
      </c>
      <c r="AH7" s="40">
        <f t="shared" si="14"/>
        <v>0</v>
      </c>
      <c r="AI7" s="29">
        <f t="shared" si="4"/>
        <v>2.6</v>
      </c>
      <c r="AJ7" s="30">
        <f t="shared" si="4"/>
        <v>2.6</v>
      </c>
      <c r="AK7" s="30">
        <f t="shared" si="4"/>
        <v>0</v>
      </c>
      <c r="AL7" s="29"/>
      <c r="AM7" s="41">
        <f t="shared" ref="AM7:AU7" si="15">AM8</f>
        <v>1.2</v>
      </c>
      <c r="AN7" s="41">
        <f t="shared" si="15"/>
        <v>1.2</v>
      </c>
      <c r="AO7" s="41">
        <f t="shared" si="15"/>
        <v>0</v>
      </c>
      <c r="AP7" s="41">
        <f t="shared" si="15"/>
        <v>0.8</v>
      </c>
      <c r="AQ7" s="41">
        <f t="shared" si="15"/>
        <v>0.8</v>
      </c>
      <c r="AR7" s="41">
        <f t="shared" si="15"/>
        <v>0</v>
      </c>
      <c r="AS7" s="41">
        <f t="shared" si="15"/>
        <v>0.6</v>
      </c>
      <c r="AT7" s="41">
        <f t="shared" si="15"/>
        <v>0.6</v>
      </c>
      <c r="AU7" s="40">
        <f t="shared" si="15"/>
        <v>0</v>
      </c>
      <c r="AV7" s="29">
        <f t="shared" si="6"/>
        <v>3.7</v>
      </c>
      <c r="AW7" s="30">
        <f t="shared" si="6"/>
        <v>3.7</v>
      </c>
      <c r="AX7" s="30">
        <f t="shared" si="6"/>
        <v>0</v>
      </c>
      <c r="AY7" s="29"/>
      <c r="AZ7" s="41">
        <f t="shared" ref="AZ7:BH7" si="16">AZ8</f>
        <v>1.2</v>
      </c>
      <c r="BA7" s="41">
        <f t="shared" si="16"/>
        <v>1.2</v>
      </c>
      <c r="BB7" s="41">
        <f t="shared" si="16"/>
        <v>0</v>
      </c>
      <c r="BC7" s="41">
        <f t="shared" si="16"/>
        <v>1.2</v>
      </c>
      <c r="BD7" s="41">
        <f t="shared" si="16"/>
        <v>1.2</v>
      </c>
      <c r="BE7" s="41">
        <f t="shared" si="16"/>
        <v>0</v>
      </c>
      <c r="BF7" s="41">
        <f t="shared" si="16"/>
        <v>1.3</v>
      </c>
      <c r="BG7" s="41">
        <f t="shared" si="16"/>
        <v>1.3</v>
      </c>
      <c r="BH7" s="40">
        <f t="shared" si="16"/>
        <v>0</v>
      </c>
      <c r="BI7" s="29">
        <f t="shared" si="8"/>
        <v>3.9000000000000004</v>
      </c>
      <c r="BJ7" s="30">
        <f t="shared" si="8"/>
        <v>3.9000000000000004</v>
      </c>
      <c r="BK7" s="30">
        <f t="shared" si="8"/>
        <v>0</v>
      </c>
      <c r="BL7" s="29"/>
      <c r="BM7" s="53">
        <f t="shared" ref="BM7:BU7" si="17">BM8</f>
        <v>1.3</v>
      </c>
      <c r="BN7" s="41">
        <f t="shared" si="17"/>
        <v>1.3</v>
      </c>
      <c r="BO7" s="41">
        <f t="shared" si="17"/>
        <v>0</v>
      </c>
      <c r="BP7" s="41">
        <f t="shared" si="17"/>
        <v>1.3</v>
      </c>
      <c r="BQ7" s="41">
        <f t="shared" si="17"/>
        <v>1.3</v>
      </c>
      <c r="BR7" s="41">
        <f t="shared" si="17"/>
        <v>0</v>
      </c>
      <c r="BS7" s="41">
        <f t="shared" si="17"/>
        <v>1.3</v>
      </c>
      <c r="BT7" s="41">
        <f t="shared" si="17"/>
        <v>1.3</v>
      </c>
      <c r="BU7" s="43">
        <f t="shared" si="17"/>
        <v>0</v>
      </c>
      <c r="BV7" s="36">
        <v>15.200000000000728</v>
      </c>
      <c r="BW7" s="27">
        <v>13.5</v>
      </c>
      <c r="BX7" s="41">
        <f>BX8</f>
        <v>14</v>
      </c>
      <c r="BY7" s="27">
        <v>13.2</v>
      </c>
      <c r="BZ7" s="41">
        <f>BZ8</f>
        <v>12.6</v>
      </c>
      <c r="CA7" s="37" t="b">
        <f t="shared" si="10"/>
        <v>1</v>
      </c>
      <c r="CB7" s="37" t="b">
        <f t="shared" si="10"/>
        <v>1</v>
      </c>
      <c r="CC7" s="37" t="b">
        <f t="shared" si="11"/>
        <v>1</v>
      </c>
      <c r="CD7" s="38">
        <v>10.5</v>
      </c>
      <c r="CE7" s="38">
        <f t="shared" si="12"/>
        <v>-3.0999999999999996</v>
      </c>
      <c r="CF7" s="38">
        <v>0.85199999999999998</v>
      </c>
      <c r="CG7" s="38">
        <f t="shared" si="13"/>
        <v>0</v>
      </c>
      <c r="CH7" s="32">
        <f>CH8</f>
        <v>0</v>
      </c>
    </row>
    <row r="8" spans="1:86" ht="18.75" x14ac:dyDescent="0.25">
      <c r="A8" s="48"/>
      <c r="B8" s="54" t="s">
        <v>51</v>
      </c>
      <c r="C8" s="211" t="s">
        <v>155</v>
      </c>
      <c r="D8" s="50" t="s">
        <v>46</v>
      </c>
      <c r="E8" s="45"/>
      <c r="F8" s="45"/>
      <c r="G8" s="45"/>
      <c r="H8" s="45"/>
      <c r="I8" s="46">
        <v>12.9</v>
      </c>
      <c r="J8" s="47">
        <v>12.330999999999843</v>
      </c>
      <c r="K8" s="47">
        <v>12.000999999999749</v>
      </c>
      <c r="L8" s="47">
        <v>14.199999999999704</v>
      </c>
      <c r="M8" s="47">
        <v>14.199999999999818</v>
      </c>
      <c r="N8" s="26">
        <v>15.900000000001455</v>
      </c>
      <c r="O8" s="27">
        <v>13</v>
      </c>
      <c r="P8" s="27">
        <v>13.6</v>
      </c>
      <c r="Q8" s="28">
        <f t="shared" si="0"/>
        <v>13.6</v>
      </c>
      <c r="R8" s="29">
        <f t="shared" si="0"/>
        <v>13.6</v>
      </c>
      <c r="S8" s="29"/>
      <c r="T8" s="29">
        <f t="shared" si="1"/>
        <v>0.85199999999999998</v>
      </c>
      <c r="U8" s="29"/>
      <c r="V8" s="29">
        <f t="shared" si="2"/>
        <v>3.4</v>
      </c>
      <c r="W8" s="29">
        <f t="shared" si="2"/>
        <v>3.4</v>
      </c>
      <c r="X8" s="29">
        <f t="shared" si="2"/>
        <v>0.85199999999999998</v>
      </c>
      <c r="Y8" s="29"/>
      <c r="Z8" s="41">
        <v>1.2</v>
      </c>
      <c r="AA8" s="41">
        <v>1.2</v>
      </c>
      <c r="AB8" s="41">
        <v>0.85199999999999998</v>
      </c>
      <c r="AC8" s="41">
        <v>1.1000000000000001</v>
      </c>
      <c r="AD8" s="41">
        <v>1.1000000000000001</v>
      </c>
      <c r="AE8" s="41"/>
      <c r="AF8" s="41">
        <v>1.1000000000000001</v>
      </c>
      <c r="AG8" s="41">
        <v>1.1000000000000001</v>
      </c>
      <c r="AH8" s="40"/>
      <c r="AI8" s="29">
        <f t="shared" si="4"/>
        <v>2.6</v>
      </c>
      <c r="AJ8" s="30">
        <f t="shared" si="4"/>
        <v>2.6</v>
      </c>
      <c r="AK8" s="30">
        <f t="shared" si="4"/>
        <v>0</v>
      </c>
      <c r="AL8" s="29"/>
      <c r="AM8" s="41">
        <v>1.2</v>
      </c>
      <c r="AN8" s="41">
        <v>1.2</v>
      </c>
      <c r="AO8" s="41"/>
      <c r="AP8" s="41">
        <v>0.8</v>
      </c>
      <c r="AQ8" s="41">
        <v>0.8</v>
      </c>
      <c r="AR8" s="41"/>
      <c r="AS8" s="41">
        <v>0.6</v>
      </c>
      <c r="AT8" s="41">
        <v>0.6</v>
      </c>
      <c r="AU8" s="40"/>
      <c r="AV8" s="29">
        <f t="shared" si="6"/>
        <v>3.7</v>
      </c>
      <c r="AW8" s="30">
        <f t="shared" si="6"/>
        <v>3.7</v>
      </c>
      <c r="AX8" s="30">
        <f t="shared" si="6"/>
        <v>0</v>
      </c>
      <c r="AY8" s="29"/>
      <c r="AZ8" s="41">
        <v>1.2</v>
      </c>
      <c r="BA8" s="41">
        <v>1.2</v>
      </c>
      <c r="BB8" s="41"/>
      <c r="BC8" s="41">
        <v>1.2</v>
      </c>
      <c r="BD8" s="41">
        <v>1.2</v>
      </c>
      <c r="BE8" s="41"/>
      <c r="BF8" s="41">
        <v>1.3</v>
      </c>
      <c r="BG8" s="41">
        <v>1.3</v>
      </c>
      <c r="BH8" s="40"/>
      <c r="BI8" s="29">
        <f t="shared" si="8"/>
        <v>3.9000000000000004</v>
      </c>
      <c r="BJ8" s="30">
        <f t="shared" si="8"/>
        <v>3.9000000000000004</v>
      </c>
      <c r="BK8" s="30">
        <f t="shared" si="8"/>
        <v>0</v>
      </c>
      <c r="BL8" s="29"/>
      <c r="BM8" s="53">
        <v>1.3</v>
      </c>
      <c r="BN8" s="41">
        <v>1.3</v>
      </c>
      <c r="BO8" s="41"/>
      <c r="BP8" s="41">
        <v>1.3</v>
      </c>
      <c r="BQ8" s="41">
        <v>1.3</v>
      </c>
      <c r="BR8" s="41"/>
      <c r="BS8" s="41">
        <v>1.3</v>
      </c>
      <c r="BT8" s="41">
        <v>1.3</v>
      </c>
      <c r="BU8" s="43"/>
      <c r="BV8" s="36">
        <v>15.200000000000728</v>
      </c>
      <c r="BW8" s="27">
        <v>13.5</v>
      </c>
      <c r="BX8" s="41">
        <v>14</v>
      </c>
      <c r="BY8" s="27">
        <v>13.2</v>
      </c>
      <c r="BZ8" s="41">
        <v>12.6</v>
      </c>
      <c r="CA8" s="37" t="b">
        <f t="shared" si="10"/>
        <v>1</v>
      </c>
      <c r="CB8" s="37" t="b">
        <f t="shared" si="10"/>
        <v>1</v>
      </c>
      <c r="CC8" s="37" t="b">
        <f t="shared" si="11"/>
        <v>1</v>
      </c>
      <c r="CD8" s="38">
        <v>10.5</v>
      </c>
      <c r="CE8" s="38">
        <f t="shared" si="12"/>
        <v>-3.0999999999999996</v>
      </c>
      <c r="CF8" s="38">
        <v>0.85199999999999998</v>
      </c>
      <c r="CG8" s="38">
        <f t="shared" si="13"/>
        <v>0</v>
      </c>
      <c r="CH8" s="40"/>
    </row>
    <row r="9" spans="1:86" ht="37.5" x14ac:dyDescent="0.25">
      <c r="A9" s="55" t="s">
        <v>52</v>
      </c>
      <c r="B9" s="49" t="s">
        <v>53</v>
      </c>
      <c r="C9" s="210" t="s">
        <v>156</v>
      </c>
      <c r="D9" s="50" t="s">
        <v>46</v>
      </c>
      <c r="E9" s="45"/>
      <c r="F9" s="45"/>
      <c r="G9" s="45"/>
      <c r="H9" s="45"/>
      <c r="I9" s="46">
        <v>12946.4</v>
      </c>
      <c r="J9" s="47">
        <v>12364.657000000001</v>
      </c>
      <c r="K9" s="47">
        <v>12003.307000000001</v>
      </c>
      <c r="L9" s="47">
        <v>14137.2</v>
      </c>
      <c r="M9" s="47">
        <v>14138.400000000001</v>
      </c>
      <c r="N9" s="26">
        <v>15869.3</v>
      </c>
      <c r="O9" s="27">
        <v>12958.7</v>
      </c>
      <c r="P9" s="27">
        <v>13560.6</v>
      </c>
      <c r="Q9" s="28">
        <f t="shared" si="0"/>
        <v>13560.6</v>
      </c>
      <c r="R9" s="30">
        <f t="shared" si="0"/>
        <v>13560.6</v>
      </c>
      <c r="S9" s="30"/>
      <c r="T9" s="30">
        <f t="shared" si="1"/>
        <v>851.36290499999996</v>
      </c>
      <c r="U9" s="30"/>
      <c r="V9" s="30">
        <f t="shared" si="2"/>
        <v>3402</v>
      </c>
      <c r="W9" s="30">
        <f t="shared" si="2"/>
        <v>3402</v>
      </c>
      <c r="X9" s="30">
        <f t="shared" si="2"/>
        <v>851.36290499999996</v>
      </c>
      <c r="Y9" s="30"/>
      <c r="Z9" s="56">
        <f t="shared" ref="Z9:AH9" si="18">Z10+Z12</f>
        <v>1171.6999999999998</v>
      </c>
      <c r="AA9" s="56">
        <f t="shared" si="18"/>
        <v>1171.6999999999998</v>
      </c>
      <c r="AB9" s="32">
        <f t="shared" si="18"/>
        <v>851.36290499999996</v>
      </c>
      <c r="AC9" s="56">
        <f t="shared" si="18"/>
        <v>1058.4000000000001</v>
      </c>
      <c r="AD9" s="56">
        <f t="shared" si="18"/>
        <v>1058.4000000000001</v>
      </c>
      <c r="AE9" s="32">
        <f t="shared" si="18"/>
        <v>0</v>
      </c>
      <c r="AF9" s="56">
        <f t="shared" si="18"/>
        <v>1171.9000000000001</v>
      </c>
      <c r="AG9" s="56">
        <f t="shared" si="18"/>
        <v>1171.9000000000001</v>
      </c>
      <c r="AH9" s="32">
        <f t="shared" si="18"/>
        <v>0</v>
      </c>
      <c r="AI9" s="30">
        <f t="shared" si="4"/>
        <v>2594.8000000000002</v>
      </c>
      <c r="AJ9" s="30">
        <f t="shared" si="4"/>
        <v>2594.8000000000002</v>
      </c>
      <c r="AK9" s="30">
        <f t="shared" si="4"/>
        <v>0</v>
      </c>
      <c r="AL9" s="30"/>
      <c r="AM9" s="56">
        <f t="shared" ref="AM9:AU9" si="19">AM10+AM12</f>
        <v>1134</v>
      </c>
      <c r="AN9" s="56">
        <f t="shared" si="19"/>
        <v>1134</v>
      </c>
      <c r="AO9" s="33">
        <f t="shared" si="19"/>
        <v>0</v>
      </c>
      <c r="AP9" s="56">
        <f t="shared" si="19"/>
        <v>805.59999999999991</v>
      </c>
      <c r="AQ9" s="56">
        <f t="shared" si="19"/>
        <v>805.59999999999991</v>
      </c>
      <c r="AR9" s="32">
        <f t="shared" si="19"/>
        <v>0</v>
      </c>
      <c r="AS9" s="56">
        <f t="shared" si="19"/>
        <v>655.20000000000005</v>
      </c>
      <c r="AT9" s="56">
        <f t="shared" si="19"/>
        <v>655.20000000000005</v>
      </c>
      <c r="AU9" s="32">
        <f t="shared" si="19"/>
        <v>0</v>
      </c>
      <c r="AV9" s="30">
        <f t="shared" si="6"/>
        <v>3702.3</v>
      </c>
      <c r="AW9" s="30">
        <f t="shared" si="6"/>
        <v>3702.3</v>
      </c>
      <c r="AX9" s="30">
        <f t="shared" si="6"/>
        <v>0</v>
      </c>
      <c r="AY9" s="30"/>
      <c r="AZ9" s="56">
        <f t="shared" ref="AZ9:BH9" si="20">AZ10+AZ12</f>
        <v>1218.4000000000001</v>
      </c>
      <c r="BA9" s="56">
        <f t="shared" si="20"/>
        <v>1218.4000000000001</v>
      </c>
      <c r="BB9" s="32">
        <f t="shared" si="20"/>
        <v>0</v>
      </c>
      <c r="BC9" s="56">
        <f t="shared" si="20"/>
        <v>1223.9000000000001</v>
      </c>
      <c r="BD9" s="56">
        <f t="shared" si="20"/>
        <v>1223.9000000000001</v>
      </c>
      <c r="BE9" s="32">
        <f t="shared" si="20"/>
        <v>0</v>
      </c>
      <c r="BF9" s="56">
        <f t="shared" si="20"/>
        <v>1260</v>
      </c>
      <c r="BG9" s="56">
        <f t="shared" si="20"/>
        <v>1260</v>
      </c>
      <c r="BH9" s="32">
        <f t="shared" si="20"/>
        <v>0</v>
      </c>
      <c r="BI9" s="30">
        <f t="shared" si="8"/>
        <v>3861.5</v>
      </c>
      <c r="BJ9" s="30">
        <f t="shared" si="8"/>
        <v>3861.5</v>
      </c>
      <c r="BK9" s="30">
        <f t="shared" si="8"/>
        <v>0</v>
      </c>
      <c r="BL9" s="30"/>
      <c r="BM9" s="57">
        <f t="shared" ref="BM9:BU9" si="21">BM10+BM12</f>
        <v>1302</v>
      </c>
      <c r="BN9" s="56">
        <f t="shared" si="21"/>
        <v>1302</v>
      </c>
      <c r="BO9" s="32">
        <f t="shared" si="21"/>
        <v>0</v>
      </c>
      <c r="BP9" s="56">
        <f t="shared" si="21"/>
        <v>1260</v>
      </c>
      <c r="BQ9" s="56">
        <f t="shared" si="21"/>
        <v>1260</v>
      </c>
      <c r="BR9" s="32">
        <f t="shared" si="21"/>
        <v>0</v>
      </c>
      <c r="BS9" s="56">
        <f t="shared" si="21"/>
        <v>1299.5</v>
      </c>
      <c r="BT9" s="56">
        <f t="shared" si="21"/>
        <v>1299.5</v>
      </c>
      <c r="BU9" s="35">
        <f t="shared" si="21"/>
        <v>0</v>
      </c>
      <c r="BV9" s="36">
        <v>15225.3</v>
      </c>
      <c r="BW9" s="27">
        <v>13468.800000000001</v>
      </c>
      <c r="BX9" s="56">
        <f>BX10+BX12</f>
        <v>13963.300000000001</v>
      </c>
      <c r="BY9" s="27">
        <v>13176.5</v>
      </c>
      <c r="BZ9" s="56">
        <f>BZ10+BZ12</f>
        <v>12605.900000000001</v>
      </c>
      <c r="CA9" s="37" t="b">
        <f t="shared" si="10"/>
        <v>1</v>
      </c>
      <c r="CB9" s="37" t="b">
        <f t="shared" si="10"/>
        <v>1</v>
      </c>
      <c r="CC9" s="37" t="b">
        <f t="shared" si="11"/>
        <v>1</v>
      </c>
      <c r="CD9" s="38">
        <v>10583.7</v>
      </c>
      <c r="CE9" s="38">
        <f t="shared" si="12"/>
        <v>-2976.8999999999996</v>
      </c>
      <c r="CF9" s="38">
        <v>851.36290499999996</v>
      </c>
      <c r="CG9" s="38">
        <f t="shared" si="13"/>
        <v>0</v>
      </c>
      <c r="CH9" s="32">
        <f>CH10+CH12</f>
        <v>0</v>
      </c>
    </row>
    <row r="10" spans="1:86" ht="18.75" x14ac:dyDescent="0.25">
      <c r="A10" s="232" t="s">
        <v>54</v>
      </c>
      <c r="B10" s="233" t="s">
        <v>55</v>
      </c>
      <c r="C10" s="211" t="s">
        <v>157</v>
      </c>
      <c r="D10" s="50" t="s">
        <v>46</v>
      </c>
      <c r="E10" s="45"/>
      <c r="F10" s="45"/>
      <c r="G10" s="45"/>
      <c r="H10" s="45"/>
      <c r="I10" s="46">
        <v>9807.2999999999993</v>
      </c>
      <c r="J10" s="47">
        <v>9378.9700000000012</v>
      </c>
      <c r="K10" s="47">
        <v>9097.6460000000006</v>
      </c>
      <c r="L10" s="47">
        <v>10734</v>
      </c>
      <c r="M10" s="47">
        <v>10734.900000000001</v>
      </c>
      <c r="N10" s="26">
        <v>12060.4</v>
      </c>
      <c r="O10" s="27">
        <v>9857.2000000000007</v>
      </c>
      <c r="P10" s="27">
        <v>10315.1</v>
      </c>
      <c r="Q10" s="28">
        <f t="shared" si="0"/>
        <v>10315.1</v>
      </c>
      <c r="R10" s="29">
        <f t="shared" si="0"/>
        <v>10315.1</v>
      </c>
      <c r="S10" s="29"/>
      <c r="T10" s="29">
        <f t="shared" si="1"/>
        <v>647.36699999999996</v>
      </c>
      <c r="U10" s="29"/>
      <c r="V10" s="29">
        <f t="shared" si="2"/>
        <v>2587.8000000000002</v>
      </c>
      <c r="W10" s="29">
        <f t="shared" si="2"/>
        <v>2587.8000000000002</v>
      </c>
      <c r="X10" s="29">
        <f t="shared" si="2"/>
        <v>647.36699999999996</v>
      </c>
      <c r="Y10" s="29"/>
      <c r="Z10" s="39">
        <v>891.3</v>
      </c>
      <c r="AA10" s="39">
        <v>891.3</v>
      </c>
      <c r="AB10" s="40">
        <v>647.36699999999996</v>
      </c>
      <c r="AC10" s="39">
        <v>805.1</v>
      </c>
      <c r="AD10" s="39">
        <v>805.1</v>
      </c>
      <c r="AE10" s="40"/>
      <c r="AF10" s="39">
        <v>891.4</v>
      </c>
      <c r="AG10" s="39">
        <v>891.4</v>
      </c>
      <c r="AH10" s="40"/>
      <c r="AI10" s="29">
        <f t="shared" si="4"/>
        <v>1973.7</v>
      </c>
      <c r="AJ10" s="30">
        <f t="shared" si="4"/>
        <v>1973.7</v>
      </c>
      <c r="AK10" s="30">
        <f t="shared" si="4"/>
        <v>0</v>
      </c>
      <c r="AL10" s="29"/>
      <c r="AM10" s="39">
        <v>862.6</v>
      </c>
      <c r="AN10" s="39">
        <v>862.6</v>
      </c>
      <c r="AO10" s="41"/>
      <c r="AP10" s="39">
        <v>612.79999999999995</v>
      </c>
      <c r="AQ10" s="39">
        <v>612.79999999999995</v>
      </c>
      <c r="AR10" s="40"/>
      <c r="AS10" s="39">
        <v>498.3</v>
      </c>
      <c r="AT10" s="39">
        <v>498.3</v>
      </c>
      <c r="AU10" s="40"/>
      <c r="AV10" s="29">
        <f t="shared" si="6"/>
        <v>2816.2</v>
      </c>
      <c r="AW10" s="30">
        <f t="shared" si="6"/>
        <v>2816.2</v>
      </c>
      <c r="AX10" s="30">
        <f t="shared" si="6"/>
        <v>0</v>
      </c>
      <c r="AY10" s="29"/>
      <c r="AZ10" s="39">
        <v>926.8</v>
      </c>
      <c r="BA10" s="39">
        <v>926.8</v>
      </c>
      <c r="BB10" s="40"/>
      <c r="BC10" s="39">
        <v>931</v>
      </c>
      <c r="BD10" s="39">
        <v>931</v>
      </c>
      <c r="BE10" s="40"/>
      <c r="BF10" s="39">
        <v>958.4</v>
      </c>
      <c r="BG10" s="39">
        <v>958.4</v>
      </c>
      <c r="BH10" s="40"/>
      <c r="BI10" s="29">
        <f t="shared" si="8"/>
        <v>2937.4</v>
      </c>
      <c r="BJ10" s="30">
        <f t="shared" si="8"/>
        <v>2937.4</v>
      </c>
      <c r="BK10" s="30">
        <f t="shared" si="8"/>
        <v>0</v>
      </c>
      <c r="BL10" s="29"/>
      <c r="BM10" s="42">
        <v>990.4</v>
      </c>
      <c r="BN10" s="39">
        <v>990.4</v>
      </c>
      <c r="BO10" s="40"/>
      <c r="BP10" s="39">
        <v>958.4</v>
      </c>
      <c r="BQ10" s="39">
        <v>958.4</v>
      </c>
      <c r="BR10" s="40"/>
      <c r="BS10" s="39">
        <v>988.6</v>
      </c>
      <c r="BT10" s="39">
        <v>988.6</v>
      </c>
      <c r="BU10" s="43"/>
      <c r="BV10" s="36">
        <v>11583.4</v>
      </c>
      <c r="BW10" s="27">
        <v>10256.200000000001</v>
      </c>
      <c r="BX10" s="39">
        <v>10632.7</v>
      </c>
      <c r="BY10" s="27">
        <v>10045.200000000001</v>
      </c>
      <c r="BZ10" s="39">
        <v>9610.2000000000007</v>
      </c>
      <c r="CA10" s="37" t="b">
        <f t="shared" si="10"/>
        <v>1</v>
      </c>
      <c r="CB10" s="37" t="b">
        <f t="shared" si="10"/>
        <v>1</v>
      </c>
      <c r="CC10" s="37" t="b">
        <f t="shared" si="11"/>
        <v>1</v>
      </c>
      <c r="CD10" s="38">
        <v>8052.9</v>
      </c>
      <c r="CE10" s="38">
        <f t="shared" si="12"/>
        <v>-2262.2000000000007</v>
      </c>
      <c r="CF10" s="38">
        <v>647.36699999999996</v>
      </c>
      <c r="CG10" s="38">
        <f t="shared" si="13"/>
        <v>0</v>
      </c>
      <c r="CH10" s="40"/>
    </row>
    <row r="11" spans="1:86" ht="18.75" x14ac:dyDescent="0.25">
      <c r="A11" s="232"/>
      <c r="B11" s="233"/>
      <c r="C11" s="211" t="s">
        <v>158</v>
      </c>
      <c r="D11" s="44" t="s">
        <v>49</v>
      </c>
      <c r="E11" s="45"/>
      <c r="F11" s="45"/>
      <c r="G11" s="45"/>
      <c r="H11" s="45"/>
      <c r="I11" s="46">
        <v>9287.2000000000007</v>
      </c>
      <c r="J11" s="47">
        <v>8833.11</v>
      </c>
      <c r="K11" s="47">
        <v>8582.8560000000016</v>
      </c>
      <c r="L11" s="47">
        <v>10107.299999999999</v>
      </c>
      <c r="M11" s="47">
        <v>10108.200000000001</v>
      </c>
      <c r="N11" s="26">
        <v>11356.3</v>
      </c>
      <c r="O11" s="27">
        <v>9246.9</v>
      </c>
      <c r="P11" s="27">
        <v>9676.5</v>
      </c>
      <c r="Q11" s="28">
        <f t="shared" si="0"/>
        <v>9676.5</v>
      </c>
      <c r="R11" s="29">
        <f t="shared" si="0"/>
        <v>9676.5</v>
      </c>
      <c r="S11" s="29"/>
      <c r="T11" s="29">
        <f t="shared" si="1"/>
        <v>608.21600000000001</v>
      </c>
      <c r="U11" s="29"/>
      <c r="V11" s="29">
        <f t="shared" si="2"/>
        <v>2427.6000000000004</v>
      </c>
      <c r="W11" s="29">
        <f t="shared" si="2"/>
        <v>2427.6000000000004</v>
      </c>
      <c r="X11" s="29">
        <f t="shared" si="2"/>
        <v>608.21600000000001</v>
      </c>
      <c r="Y11" s="29"/>
      <c r="Z11" s="39">
        <v>836.1</v>
      </c>
      <c r="AA11" s="39">
        <v>836.1</v>
      </c>
      <c r="AB11" s="40">
        <v>608.21600000000001</v>
      </c>
      <c r="AC11" s="39">
        <v>755.3</v>
      </c>
      <c r="AD11" s="39">
        <v>755.3</v>
      </c>
      <c r="AE11" s="40"/>
      <c r="AF11" s="39">
        <v>836.2</v>
      </c>
      <c r="AG11" s="39">
        <v>836.2</v>
      </c>
      <c r="AH11" s="40"/>
      <c r="AI11" s="29">
        <f t="shared" si="4"/>
        <v>1851.5</v>
      </c>
      <c r="AJ11" s="30">
        <f t="shared" si="4"/>
        <v>1851.5</v>
      </c>
      <c r="AK11" s="30">
        <f t="shared" si="4"/>
        <v>0</v>
      </c>
      <c r="AL11" s="29"/>
      <c r="AM11" s="39">
        <v>809.2</v>
      </c>
      <c r="AN11" s="39">
        <v>809.2</v>
      </c>
      <c r="AO11" s="41"/>
      <c r="AP11" s="39">
        <v>574.9</v>
      </c>
      <c r="AQ11" s="39">
        <v>574.9</v>
      </c>
      <c r="AR11" s="40"/>
      <c r="AS11" s="39">
        <v>467.4</v>
      </c>
      <c r="AT11" s="39">
        <v>467.4</v>
      </c>
      <c r="AU11" s="40"/>
      <c r="AV11" s="29">
        <f t="shared" si="6"/>
        <v>2641.8</v>
      </c>
      <c r="AW11" s="30">
        <f t="shared" si="6"/>
        <v>2641.8</v>
      </c>
      <c r="AX11" s="30">
        <f t="shared" si="6"/>
        <v>0</v>
      </c>
      <c r="AY11" s="29"/>
      <c r="AZ11" s="39">
        <v>869.4</v>
      </c>
      <c r="BA11" s="39">
        <v>869.4</v>
      </c>
      <c r="BB11" s="40"/>
      <c r="BC11" s="39">
        <v>873.4</v>
      </c>
      <c r="BD11" s="39">
        <v>873.4</v>
      </c>
      <c r="BE11" s="40"/>
      <c r="BF11" s="39">
        <v>899</v>
      </c>
      <c r="BG11" s="39">
        <v>899</v>
      </c>
      <c r="BH11" s="40"/>
      <c r="BI11" s="29">
        <f t="shared" si="8"/>
        <v>2755.6</v>
      </c>
      <c r="BJ11" s="30">
        <f t="shared" si="8"/>
        <v>2755.6</v>
      </c>
      <c r="BK11" s="30">
        <f t="shared" si="8"/>
        <v>0</v>
      </c>
      <c r="BL11" s="29"/>
      <c r="BM11" s="42">
        <v>929.1</v>
      </c>
      <c r="BN11" s="39">
        <v>929.1</v>
      </c>
      <c r="BO11" s="40"/>
      <c r="BP11" s="39">
        <v>899.1</v>
      </c>
      <c r="BQ11" s="39">
        <v>899.1</v>
      </c>
      <c r="BR11" s="40"/>
      <c r="BS11" s="39">
        <v>927.4</v>
      </c>
      <c r="BT11" s="39">
        <v>927.4</v>
      </c>
      <c r="BU11" s="43"/>
      <c r="BV11" s="36">
        <v>10907.2</v>
      </c>
      <c r="BW11" s="27">
        <v>9621.2000000000007</v>
      </c>
      <c r="BX11" s="39">
        <v>9974.4</v>
      </c>
      <c r="BY11" s="27">
        <v>9423.2999999999993</v>
      </c>
      <c r="BZ11" s="39">
        <v>9015.2000000000007</v>
      </c>
      <c r="CA11" s="37" t="b">
        <f t="shared" si="10"/>
        <v>1</v>
      </c>
      <c r="CB11" s="37" t="b">
        <f t="shared" si="10"/>
        <v>1</v>
      </c>
      <c r="CC11" s="37" t="b">
        <f t="shared" si="11"/>
        <v>1</v>
      </c>
      <c r="CD11" s="38">
        <v>7554.3</v>
      </c>
      <c r="CE11" s="38">
        <f t="shared" si="12"/>
        <v>-2122.1999999999998</v>
      </c>
      <c r="CF11" s="38">
        <v>608.21600000000001</v>
      </c>
      <c r="CG11" s="38">
        <f t="shared" si="13"/>
        <v>0</v>
      </c>
      <c r="CH11" s="40"/>
    </row>
    <row r="12" spans="1:86" ht="18.75" x14ac:dyDescent="0.25">
      <c r="A12" s="58" t="s">
        <v>56</v>
      </c>
      <c r="B12" s="59" t="s">
        <v>57</v>
      </c>
      <c r="C12" s="211" t="s">
        <v>159</v>
      </c>
      <c r="D12" s="50" t="s">
        <v>46</v>
      </c>
      <c r="E12" s="45"/>
      <c r="F12" s="45"/>
      <c r="G12" s="45"/>
      <c r="H12" s="45"/>
      <c r="I12" s="46">
        <v>3139.1000000000004</v>
      </c>
      <c r="J12" s="47">
        <v>2985.6869999999999</v>
      </c>
      <c r="K12" s="47">
        <v>2905.6610000000001</v>
      </c>
      <c r="L12" s="47">
        <v>3403.2</v>
      </c>
      <c r="M12" s="47">
        <v>3403.5</v>
      </c>
      <c r="N12" s="26">
        <v>3808.9</v>
      </c>
      <c r="O12" s="27">
        <v>3101.5</v>
      </c>
      <c r="P12" s="27">
        <v>3245.5</v>
      </c>
      <c r="Q12" s="28">
        <f t="shared" si="0"/>
        <v>3245.5</v>
      </c>
      <c r="R12" s="29">
        <f t="shared" si="0"/>
        <v>3245.5</v>
      </c>
      <c r="S12" s="29"/>
      <c r="T12" s="29">
        <f t="shared" si="1"/>
        <v>203.99590499999999</v>
      </c>
      <c r="U12" s="29"/>
      <c r="V12" s="29">
        <f t="shared" si="2"/>
        <v>814.2</v>
      </c>
      <c r="W12" s="29">
        <f t="shared" si="2"/>
        <v>814.2</v>
      </c>
      <c r="X12" s="29">
        <f t="shared" si="2"/>
        <v>203.99590499999999</v>
      </c>
      <c r="Y12" s="29"/>
      <c r="Z12" s="39">
        <v>280.39999999999998</v>
      </c>
      <c r="AA12" s="39">
        <v>280.39999999999998</v>
      </c>
      <c r="AB12" s="40">
        <v>203.99590499999999</v>
      </c>
      <c r="AC12" s="39">
        <v>253.3</v>
      </c>
      <c r="AD12" s="39">
        <v>253.3</v>
      </c>
      <c r="AE12" s="40"/>
      <c r="AF12" s="39">
        <v>280.5</v>
      </c>
      <c r="AG12" s="39">
        <v>280.5</v>
      </c>
      <c r="AH12" s="40"/>
      <c r="AI12" s="29">
        <f t="shared" si="4"/>
        <v>621.1</v>
      </c>
      <c r="AJ12" s="30">
        <f t="shared" si="4"/>
        <v>621.1</v>
      </c>
      <c r="AK12" s="30">
        <f t="shared" si="4"/>
        <v>0</v>
      </c>
      <c r="AL12" s="29"/>
      <c r="AM12" s="39">
        <v>271.39999999999998</v>
      </c>
      <c r="AN12" s="39">
        <v>271.39999999999998</v>
      </c>
      <c r="AO12" s="41"/>
      <c r="AP12" s="39">
        <v>192.8</v>
      </c>
      <c r="AQ12" s="39">
        <v>192.8</v>
      </c>
      <c r="AR12" s="40"/>
      <c r="AS12" s="39">
        <v>156.9</v>
      </c>
      <c r="AT12" s="39">
        <v>156.9</v>
      </c>
      <c r="AU12" s="40"/>
      <c r="AV12" s="29">
        <f t="shared" si="6"/>
        <v>886.1</v>
      </c>
      <c r="AW12" s="30">
        <f t="shared" si="6"/>
        <v>886.1</v>
      </c>
      <c r="AX12" s="30">
        <f t="shared" si="6"/>
        <v>0</v>
      </c>
      <c r="AY12" s="29"/>
      <c r="AZ12" s="39">
        <v>291.60000000000002</v>
      </c>
      <c r="BA12" s="39">
        <v>291.60000000000002</v>
      </c>
      <c r="BB12" s="40"/>
      <c r="BC12" s="39">
        <v>292.89999999999998</v>
      </c>
      <c r="BD12" s="39">
        <v>292.89999999999998</v>
      </c>
      <c r="BE12" s="40"/>
      <c r="BF12" s="39">
        <v>301.60000000000002</v>
      </c>
      <c r="BG12" s="39">
        <v>301.60000000000002</v>
      </c>
      <c r="BH12" s="40"/>
      <c r="BI12" s="29">
        <f t="shared" si="8"/>
        <v>924.1</v>
      </c>
      <c r="BJ12" s="30">
        <f t="shared" si="8"/>
        <v>924.1</v>
      </c>
      <c r="BK12" s="30">
        <f t="shared" si="8"/>
        <v>0</v>
      </c>
      <c r="BL12" s="29"/>
      <c r="BM12" s="42">
        <v>311.60000000000002</v>
      </c>
      <c r="BN12" s="39">
        <v>311.60000000000002</v>
      </c>
      <c r="BO12" s="40"/>
      <c r="BP12" s="39">
        <v>301.60000000000002</v>
      </c>
      <c r="BQ12" s="39">
        <v>301.60000000000002</v>
      </c>
      <c r="BR12" s="40"/>
      <c r="BS12" s="39">
        <v>310.89999999999998</v>
      </c>
      <c r="BT12" s="39">
        <v>310.89999999999998</v>
      </c>
      <c r="BU12" s="43"/>
      <c r="BV12" s="36">
        <v>3641.9</v>
      </c>
      <c r="BW12" s="27">
        <v>3212.6</v>
      </c>
      <c r="BX12" s="39">
        <v>3330.6</v>
      </c>
      <c r="BY12" s="27">
        <v>3131.3</v>
      </c>
      <c r="BZ12" s="39">
        <v>2995.7</v>
      </c>
      <c r="CA12" s="37" t="b">
        <f t="shared" si="10"/>
        <v>1</v>
      </c>
      <c r="CB12" s="37" t="b">
        <f t="shared" si="10"/>
        <v>1</v>
      </c>
      <c r="CC12" s="37" t="b">
        <f t="shared" si="11"/>
        <v>1</v>
      </c>
      <c r="CD12" s="38">
        <v>2530.8000000000002</v>
      </c>
      <c r="CE12" s="38">
        <f t="shared" si="12"/>
        <v>-714.69999999999982</v>
      </c>
      <c r="CF12" s="38">
        <v>203.99590499999999</v>
      </c>
      <c r="CG12" s="38">
        <f t="shared" si="13"/>
        <v>0</v>
      </c>
      <c r="CH12" s="40"/>
    </row>
    <row r="13" spans="1:86" ht="37.5" x14ac:dyDescent="0.25">
      <c r="A13" s="48" t="s">
        <v>58</v>
      </c>
      <c r="B13" s="49" t="s">
        <v>59</v>
      </c>
      <c r="C13" s="210" t="s">
        <v>160</v>
      </c>
      <c r="D13" s="44" t="s">
        <v>46</v>
      </c>
      <c r="E13" s="45"/>
      <c r="F13" s="45"/>
      <c r="G13" s="45"/>
      <c r="H13" s="45"/>
      <c r="I13" s="46">
        <v>13330.066999999999</v>
      </c>
      <c r="J13" s="47">
        <v>12821.179000000002</v>
      </c>
      <c r="K13" s="47">
        <v>12510.899000000001</v>
      </c>
      <c r="L13" s="47">
        <v>14609.304</v>
      </c>
      <c r="M13" s="47">
        <v>14615.338</v>
      </c>
      <c r="N13" s="26">
        <v>16397.513999999999</v>
      </c>
      <c r="O13" s="60">
        <v>13256.839</v>
      </c>
      <c r="P13" s="60">
        <v>13871.101999999999</v>
      </c>
      <c r="Q13" s="28">
        <f>V13+AI13+AV13+BI13</f>
        <v>13871.101999999999</v>
      </c>
      <c r="R13" s="29">
        <f t="shared" si="0"/>
        <v>13871.101999999999</v>
      </c>
      <c r="S13" s="29"/>
      <c r="T13" s="29">
        <f t="shared" si="1"/>
        <v>882.73090500000001</v>
      </c>
      <c r="U13" s="29"/>
      <c r="V13" s="29">
        <f t="shared" si="2"/>
        <v>3450.8419999999996</v>
      </c>
      <c r="W13" s="29">
        <f t="shared" si="2"/>
        <v>3450.8419999999996</v>
      </c>
      <c r="X13" s="29">
        <f t="shared" si="2"/>
        <v>882.73090500000001</v>
      </c>
      <c r="Y13" s="29"/>
      <c r="Z13" s="56">
        <f t="shared" ref="Z13:AH13" si="22">Z14+Z16+Z17</f>
        <v>1186.9179999999999</v>
      </c>
      <c r="AA13" s="56">
        <f t="shared" si="22"/>
        <v>1186.9179999999999</v>
      </c>
      <c r="AB13" s="29">
        <f t="shared" si="22"/>
        <v>882.73090500000001</v>
      </c>
      <c r="AC13" s="56">
        <f t="shared" si="22"/>
        <v>1074.9070000000002</v>
      </c>
      <c r="AD13" s="56">
        <f t="shared" si="22"/>
        <v>1074.9070000000002</v>
      </c>
      <c r="AE13" s="29">
        <f t="shared" si="22"/>
        <v>0</v>
      </c>
      <c r="AF13" s="56">
        <f t="shared" si="22"/>
        <v>1189.0170000000001</v>
      </c>
      <c r="AG13" s="56">
        <f t="shared" si="22"/>
        <v>1189.0170000000001</v>
      </c>
      <c r="AH13" s="29">
        <f t="shared" si="22"/>
        <v>0</v>
      </c>
      <c r="AI13" s="29">
        <f t="shared" si="4"/>
        <v>2665.7690000000002</v>
      </c>
      <c r="AJ13" s="30">
        <f t="shared" si="4"/>
        <v>2665.7690000000002</v>
      </c>
      <c r="AK13" s="30">
        <f t="shared" si="4"/>
        <v>0</v>
      </c>
      <c r="AL13" s="29"/>
      <c r="AM13" s="56">
        <f t="shared" ref="AM13:AU13" si="23">AM14+AM16+AM17</f>
        <v>1168.8420000000001</v>
      </c>
      <c r="AN13" s="56">
        <f t="shared" si="23"/>
        <v>1168.8420000000001</v>
      </c>
      <c r="AO13" s="29">
        <f t="shared" si="23"/>
        <v>0</v>
      </c>
      <c r="AP13" s="56">
        <f t="shared" si="23"/>
        <v>829.02699999999993</v>
      </c>
      <c r="AQ13" s="56">
        <f t="shared" si="23"/>
        <v>829.02699999999993</v>
      </c>
      <c r="AR13" s="29">
        <f t="shared" si="23"/>
        <v>0</v>
      </c>
      <c r="AS13" s="56">
        <f t="shared" si="23"/>
        <v>667.90000000000009</v>
      </c>
      <c r="AT13" s="56">
        <f t="shared" si="23"/>
        <v>667.90000000000009</v>
      </c>
      <c r="AU13" s="29">
        <f t="shared" si="23"/>
        <v>0</v>
      </c>
      <c r="AV13" s="29">
        <f t="shared" si="6"/>
        <v>3849.8630000000003</v>
      </c>
      <c r="AW13" s="30">
        <f t="shared" si="6"/>
        <v>3849.8630000000003</v>
      </c>
      <c r="AX13" s="30">
        <f t="shared" si="6"/>
        <v>0</v>
      </c>
      <c r="AY13" s="29"/>
      <c r="AZ13" s="56">
        <f t="shared" ref="AZ13:BH13" si="24">AZ14+AZ16+AZ17</f>
        <v>1265.972</v>
      </c>
      <c r="BA13" s="56">
        <f t="shared" si="24"/>
        <v>1265.972</v>
      </c>
      <c r="BB13" s="29">
        <f t="shared" si="24"/>
        <v>0</v>
      </c>
      <c r="BC13" s="56">
        <f t="shared" si="24"/>
        <v>1290.1470000000002</v>
      </c>
      <c r="BD13" s="56">
        <f t="shared" si="24"/>
        <v>1290.1470000000002</v>
      </c>
      <c r="BE13" s="29">
        <f t="shared" si="24"/>
        <v>0</v>
      </c>
      <c r="BF13" s="56">
        <f t="shared" si="24"/>
        <v>1293.7439999999999</v>
      </c>
      <c r="BG13" s="56">
        <f t="shared" si="24"/>
        <v>1293.7439999999999</v>
      </c>
      <c r="BH13" s="29">
        <f t="shared" si="24"/>
        <v>0</v>
      </c>
      <c r="BI13" s="29">
        <f t="shared" si="8"/>
        <v>3904.6279999999997</v>
      </c>
      <c r="BJ13" s="30">
        <f t="shared" si="8"/>
        <v>3904.6279999999997</v>
      </c>
      <c r="BK13" s="30">
        <f t="shared" si="8"/>
        <v>0</v>
      </c>
      <c r="BL13" s="29"/>
      <c r="BM13" s="57">
        <f t="shared" ref="BM13:BU13" si="25">BM14+BM16+BM17</f>
        <v>1317.8969999999999</v>
      </c>
      <c r="BN13" s="56">
        <f t="shared" si="25"/>
        <v>1317.8969999999999</v>
      </c>
      <c r="BO13" s="29">
        <f t="shared" si="25"/>
        <v>0</v>
      </c>
      <c r="BP13" s="56">
        <f t="shared" si="25"/>
        <v>1276.213</v>
      </c>
      <c r="BQ13" s="56">
        <f t="shared" si="25"/>
        <v>1276.213</v>
      </c>
      <c r="BR13" s="29">
        <f t="shared" si="25"/>
        <v>0</v>
      </c>
      <c r="BS13" s="56">
        <f t="shared" si="25"/>
        <v>1310.518</v>
      </c>
      <c r="BT13" s="56">
        <f t="shared" si="25"/>
        <v>1310.518</v>
      </c>
      <c r="BU13" s="29">
        <f t="shared" si="25"/>
        <v>0</v>
      </c>
      <c r="BV13" s="61">
        <v>15752.867999999999</v>
      </c>
      <c r="BW13" s="60">
        <v>13773.586000000001</v>
      </c>
      <c r="BX13" s="56">
        <f>BX14+BX16+BX17</f>
        <v>14278.434000000001</v>
      </c>
      <c r="BY13" s="60">
        <v>13485.173999999999</v>
      </c>
      <c r="BZ13" s="56">
        <f>BZ14+BZ16+BZ17</f>
        <v>12901.562000000002</v>
      </c>
      <c r="CA13" s="37" t="b">
        <f t="shared" si="10"/>
        <v>1</v>
      </c>
      <c r="CB13" s="37" t="b">
        <f t="shared" si="10"/>
        <v>1</v>
      </c>
      <c r="CC13" s="37" t="b">
        <f t="shared" si="11"/>
        <v>1</v>
      </c>
      <c r="CD13" s="38">
        <v>10868.794</v>
      </c>
      <c r="CE13" s="38">
        <f t="shared" si="12"/>
        <v>-3002.3079999999991</v>
      </c>
      <c r="CF13" s="38">
        <v>882.73090500000001</v>
      </c>
      <c r="CG13" s="38">
        <f t="shared" si="13"/>
        <v>0</v>
      </c>
      <c r="CH13" s="32">
        <f>CH14+CH16+CH17</f>
        <v>0</v>
      </c>
    </row>
    <row r="14" spans="1:86" ht="18.75" x14ac:dyDescent="0.25">
      <c r="A14" s="230" t="s">
        <v>60</v>
      </c>
      <c r="B14" s="238" t="s">
        <v>61</v>
      </c>
      <c r="C14" s="212" t="s">
        <v>161</v>
      </c>
      <c r="D14" s="44" t="s">
        <v>46</v>
      </c>
      <c r="E14" s="45"/>
      <c r="F14" s="45"/>
      <c r="G14" s="45"/>
      <c r="H14" s="45"/>
      <c r="I14" s="46">
        <v>9807.2999999999993</v>
      </c>
      <c r="J14" s="47">
        <v>9378.9700000000012</v>
      </c>
      <c r="K14" s="47">
        <v>9097.6460000000006</v>
      </c>
      <c r="L14" s="47">
        <v>10734</v>
      </c>
      <c r="M14" s="47">
        <v>10734.900000000001</v>
      </c>
      <c r="N14" s="26">
        <v>12060.4</v>
      </c>
      <c r="O14" s="27">
        <v>9857.2000000000007</v>
      </c>
      <c r="P14" s="27">
        <v>10315.1</v>
      </c>
      <c r="Q14" s="28">
        <f t="shared" si="0"/>
        <v>10315.1</v>
      </c>
      <c r="R14" s="29">
        <f t="shared" si="0"/>
        <v>10315.1</v>
      </c>
      <c r="S14" s="29"/>
      <c r="T14" s="29">
        <f t="shared" si="1"/>
        <v>647.36699999999996</v>
      </c>
      <c r="U14" s="29"/>
      <c r="V14" s="29">
        <f t="shared" si="2"/>
        <v>2587.8000000000002</v>
      </c>
      <c r="W14" s="29">
        <f t="shared" si="2"/>
        <v>2587.8000000000002</v>
      </c>
      <c r="X14" s="29">
        <f t="shared" si="2"/>
        <v>647.36699999999996</v>
      </c>
      <c r="Y14" s="29"/>
      <c r="Z14" s="39">
        <f t="shared" ref="Z14:AH16" si="26">Z10</f>
        <v>891.3</v>
      </c>
      <c r="AA14" s="39">
        <f t="shared" si="26"/>
        <v>891.3</v>
      </c>
      <c r="AB14" s="40">
        <f t="shared" si="26"/>
        <v>647.36699999999996</v>
      </c>
      <c r="AC14" s="39">
        <f t="shared" si="26"/>
        <v>805.1</v>
      </c>
      <c r="AD14" s="39">
        <f t="shared" si="26"/>
        <v>805.1</v>
      </c>
      <c r="AE14" s="40">
        <f t="shared" si="26"/>
        <v>0</v>
      </c>
      <c r="AF14" s="39">
        <f t="shared" si="26"/>
        <v>891.4</v>
      </c>
      <c r="AG14" s="39">
        <f t="shared" si="26"/>
        <v>891.4</v>
      </c>
      <c r="AH14" s="40">
        <f t="shared" si="26"/>
        <v>0</v>
      </c>
      <c r="AI14" s="29">
        <f t="shared" si="4"/>
        <v>1973.7</v>
      </c>
      <c r="AJ14" s="30">
        <f t="shared" si="4"/>
        <v>1973.7</v>
      </c>
      <c r="AK14" s="30">
        <f t="shared" si="4"/>
        <v>0</v>
      </c>
      <c r="AL14" s="29"/>
      <c r="AM14" s="39">
        <f t="shared" ref="AM14:AU16" si="27">AM10</f>
        <v>862.6</v>
      </c>
      <c r="AN14" s="39">
        <f t="shared" si="27"/>
        <v>862.6</v>
      </c>
      <c r="AO14" s="41">
        <f t="shared" si="27"/>
        <v>0</v>
      </c>
      <c r="AP14" s="39">
        <f t="shared" si="27"/>
        <v>612.79999999999995</v>
      </c>
      <c r="AQ14" s="39">
        <f t="shared" si="27"/>
        <v>612.79999999999995</v>
      </c>
      <c r="AR14" s="40">
        <f t="shared" si="27"/>
        <v>0</v>
      </c>
      <c r="AS14" s="39">
        <f t="shared" si="27"/>
        <v>498.3</v>
      </c>
      <c r="AT14" s="39">
        <f t="shared" si="27"/>
        <v>498.3</v>
      </c>
      <c r="AU14" s="40">
        <f t="shared" si="27"/>
        <v>0</v>
      </c>
      <c r="AV14" s="29">
        <f t="shared" si="6"/>
        <v>2816.2</v>
      </c>
      <c r="AW14" s="30">
        <f t="shared" si="6"/>
        <v>2816.2</v>
      </c>
      <c r="AX14" s="30">
        <f t="shared" si="6"/>
        <v>0</v>
      </c>
      <c r="AY14" s="29"/>
      <c r="AZ14" s="39">
        <f t="shared" ref="AZ14:BH16" si="28">AZ10</f>
        <v>926.8</v>
      </c>
      <c r="BA14" s="39">
        <f t="shared" si="28"/>
        <v>926.8</v>
      </c>
      <c r="BB14" s="40">
        <f t="shared" si="28"/>
        <v>0</v>
      </c>
      <c r="BC14" s="39">
        <f t="shared" si="28"/>
        <v>931</v>
      </c>
      <c r="BD14" s="39">
        <f t="shared" si="28"/>
        <v>931</v>
      </c>
      <c r="BE14" s="40">
        <f t="shared" si="28"/>
        <v>0</v>
      </c>
      <c r="BF14" s="39">
        <f t="shared" si="28"/>
        <v>958.4</v>
      </c>
      <c r="BG14" s="39">
        <f t="shared" si="28"/>
        <v>958.4</v>
      </c>
      <c r="BH14" s="40">
        <f t="shared" si="28"/>
        <v>0</v>
      </c>
      <c r="BI14" s="29">
        <f t="shared" si="8"/>
        <v>2937.4</v>
      </c>
      <c r="BJ14" s="30">
        <f t="shared" si="8"/>
        <v>2937.4</v>
      </c>
      <c r="BK14" s="30">
        <f t="shared" si="8"/>
        <v>0</v>
      </c>
      <c r="BL14" s="29"/>
      <c r="BM14" s="42">
        <f t="shared" ref="BM14:BU16" si="29">BM10</f>
        <v>990.4</v>
      </c>
      <c r="BN14" s="39">
        <f t="shared" si="29"/>
        <v>990.4</v>
      </c>
      <c r="BO14" s="40">
        <f t="shared" si="29"/>
        <v>0</v>
      </c>
      <c r="BP14" s="39">
        <f t="shared" si="29"/>
        <v>958.4</v>
      </c>
      <c r="BQ14" s="39">
        <f t="shared" si="29"/>
        <v>958.4</v>
      </c>
      <c r="BR14" s="40">
        <f t="shared" si="29"/>
        <v>0</v>
      </c>
      <c r="BS14" s="39">
        <f t="shared" si="29"/>
        <v>988.6</v>
      </c>
      <c r="BT14" s="39">
        <f t="shared" si="29"/>
        <v>988.6</v>
      </c>
      <c r="BU14" s="43">
        <f t="shared" si="29"/>
        <v>0</v>
      </c>
      <c r="BV14" s="36">
        <v>11583.4</v>
      </c>
      <c r="BW14" s="27">
        <v>10256.200000000001</v>
      </c>
      <c r="BX14" s="39">
        <f t="shared" ref="BX14:BX16" si="30">BX10</f>
        <v>10632.7</v>
      </c>
      <c r="BY14" s="27">
        <v>10045.200000000001</v>
      </c>
      <c r="BZ14" s="39">
        <f t="shared" ref="BZ14:BZ16" si="31">BZ10</f>
        <v>9610.2000000000007</v>
      </c>
      <c r="CA14" s="37" t="b">
        <f t="shared" si="10"/>
        <v>1</v>
      </c>
      <c r="CB14" s="37" t="b">
        <f t="shared" si="10"/>
        <v>1</v>
      </c>
      <c r="CC14" s="37" t="b">
        <f t="shared" si="11"/>
        <v>1</v>
      </c>
      <c r="CD14" s="38">
        <v>8052.9</v>
      </c>
      <c r="CE14" s="38">
        <f t="shared" si="12"/>
        <v>-2262.2000000000007</v>
      </c>
      <c r="CF14" s="38">
        <v>647.36699999999996</v>
      </c>
      <c r="CG14" s="38">
        <f t="shared" si="13"/>
        <v>0</v>
      </c>
      <c r="CH14" s="32">
        <f t="shared" ref="CH14:CH16" si="32">CH10</f>
        <v>0</v>
      </c>
    </row>
    <row r="15" spans="1:86" ht="18.75" x14ac:dyDescent="0.25">
      <c r="A15" s="230"/>
      <c r="B15" s="238"/>
      <c r="C15" s="210">
        <v>100330143</v>
      </c>
      <c r="D15" s="44" t="s">
        <v>49</v>
      </c>
      <c r="E15" s="45"/>
      <c r="F15" s="45"/>
      <c r="G15" s="45"/>
      <c r="H15" s="45"/>
      <c r="I15" s="46">
        <v>9287.2000000000007</v>
      </c>
      <c r="J15" s="47">
        <v>8833.11</v>
      </c>
      <c r="K15" s="47">
        <v>8582.8560000000016</v>
      </c>
      <c r="L15" s="47">
        <v>10107.299999999999</v>
      </c>
      <c r="M15" s="47">
        <v>10108.200000000001</v>
      </c>
      <c r="N15" s="26">
        <v>11356.3</v>
      </c>
      <c r="O15" s="27">
        <v>9246.9</v>
      </c>
      <c r="P15" s="27">
        <v>9676.5</v>
      </c>
      <c r="Q15" s="28">
        <f t="shared" si="0"/>
        <v>9676.5</v>
      </c>
      <c r="R15" s="29">
        <f t="shared" si="0"/>
        <v>9676.5</v>
      </c>
      <c r="S15" s="29"/>
      <c r="T15" s="29">
        <f t="shared" si="1"/>
        <v>608.21600000000001</v>
      </c>
      <c r="U15" s="29"/>
      <c r="V15" s="29">
        <f t="shared" si="2"/>
        <v>2427.6000000000004</v>
      </c>
      <c r="W15" s="29">
        <f t="shared" si="2"/>
        <v>2427.6000000000004</v>
      </c>
      <c r="X15" s="29">
        <f t="shared" si="2"/>
        <v>608.21600000000001</v>
      </c>
      <c r="Y15" s="29"/>
      <c r="Z15" s="39">
        <f t="shared" si="26"/>
        <v>836.1</v>
      </c>
      <c r="AA15" s="39">
        <f t="shared" si="26"/>
        <v>836.1</v>
      </c>
      <c r="AB15" s="40">
        <f t="shared" si="26"/>
        <v>608.21600000000001</v>
      </c>
      <c r="AC15" s="39">
        <f t="shared" si="26"/>
        <v>755.3</v>
      </c>
      <c r="AD15" s="39">
        <f t="shared" si="26"/>
        <v>755.3</v>
      </c>
      <c r="AE15" s="40">
        <f t="shared" si="26"/>
        <v>0</v>
      </c>
      <c r="AF15" s="39">
        <f t="shared" si="26"/>
        <v>836.2</v>
      </c>
      <c r="AG15" s="39">
        <f t="shared" si="26"/>
        <v>836.2</v>
      </c>
      <c r="AH15" s="40">
        <f t="shared" si="26"/>
        <v>0</v>
      </c>
      <c r="AI15" s="29">
        <f t="shared" si="4"/>
        <v>1851.5</v>
      </c>
      <c r="AJ15" s="30">
        <f t="shared" si="4"/>
        <v>1851.5</v>
      </c>
      <c r="AK15" s="30">
        <f t="shared" si="4"/>
        <v>0</v>
      </c>
      <c r="AL15" s="29"/>
      <c r="AM15" s="39">
        <f t="shared" si="27"/>
        <v>809.2</v>
      </c>
      <c r="AN15" s="39">
        <f t="shared" si="27"/>
        <v>809.2</v>
      </c>
      <c r="AO15" s="41">
        <f t="shared" si="27"/>
        <v>0</v>
      </c>
      <c r="AP15" s="39">
        <f t="shared" si="27"/>
        <v>574.9</v>
      </c>
      <c r="AQ15" s="39">
        <f t="shared" si="27"/>
        <v>574.9</v>
      </c>
      <c r="AR15" s="40">
        <f t="shared" si="27"/>
        <v>0</v>
      </c>
      <c r="AS15" s="39">
        <f t="shared" si="27"/>
        <v>467.4</v>
      </c>
      <c r="AT15" s="39">
        <f t="shared" si="27"/>
        <v>467.4</v>
      </c>
      <c r="AU15" s="40">
        <f t="shared" si="27"/>
        <v>0</v>
      </c>
      <c r="AV15" s="29">
        <f t="shared" si="6"/>
        <v>2641.8</v>
      </c>
      <c r="AW15" s="30">
        <f t="shared" si="6"/>
        <v>2641.8</v>
      </c>
      <c r="AX15" s="30">
        <f t="shared" si="6"/>
        <v>0</v>
      </c>
      <c r="AY15" s="29"/>
      <c r="AZ15" s="39">
        <f t="shared" si="28"/>
        <v>869.4</v>
      </c>
      <c r="BA15" s="39">
        <f t="shared" si="28"/>
        <v>869.4</v>
      </c>
      <c r="BB15" s="40">
        <f t="shared" si="28"/>
        <v>0</v>
      </c>
      <c r="BC15" s="39">
        <f t="shared" si="28"/>
        <v>873.4</v>
      </c>
      <c r="BD15" s="39">
        <f t="shared" si="28"/>
        <v>873.4</v>
      </c>
      <c r="BE15" s="40">
        <f t="shared" si="28"/>
        <v>0</v>
      </c>
      <c r="BF15" s="39">
        <f t="shared" si="28"/>
        <v>899</v>
      </c>
      <c r="BG15" s="39">
        <f t="shared" si="28"/>
        <v>899</v>
      </c>
      <c r="BH15" s="40">
        <f t="shared" si="28"/>
        <v>0</v>
      </c>
      <c r="BI15" s="29">
        <f t="shared" si="8"/>
        <v>2755.6</v>
      </c>
      <c r="BJ15" s="30">
        <f t="shared" si="8"/>
        <v>2755.6</v>
      </c>
      <c r="BK15" s="30">
        <f t="shared" si="8"/>
        <v>0</v>
      </c>
      <c r="BL15" s="29"/>
      <c r="BM15" s="42">
        <f t="shared" si="29"/>
        <v>929.1</v>
      </c>
      <c r="BN15" s="39">
        <f t="shared" si="29"/>
        <v>929.1</v>
      </c>
      <c r="BO15" s="40">
        <f t="shared" si="29"/>
        <v>0</v>
      </c>
      <c r="BP15" s="39">
        <f t="shared" si="29"/>
        <v>899.1</v>
      </c>
      <c r="BQ15" s="39">
        <f t="shared" si="29"/>
        <v>899.1</v>
      </c>
      <c r="BR15" s="40">
        <f t="shared" si="29"/>
        <v>0</v>
      </c>
      <c r="BS15" s="39">
        <f t="shared" si="29"/>
        <v>927.4</v>
      </c>
      <c r="BT15" s="39">
        <f t="shared" si="29"/>
        <v>927.4</v>
      </c>
      <c r="BU15" s="43">
        <f t="shared" si="29"/>
        <v>0</v>
      </c>
      <c r="BV15" s="36">
        <v>10907.2</v>
      </c>
      <c r="BW15" s="27">
        <v>9621.2000000000007</v>
      </c>
      <c r="BX15" s="39">
        <f t="shared" si="30"/>
        <v>9974.4</v>
      </c>
      <c r="BY15" s="27">
        <v>9423.2999999999993</v>
      </c>
      <c r="BZ15" s="39">
        <f t="shared" si="31"/>
        <v>9015.2000000000007</v>
      </c>
      <c r="CA15" s="37" t="b">
        <f t="shared" si="10"/>
        <v>1</v>
      </c>
      <c r="CB15" s="37" t="b">
        <f t="shared" si="10"/>
        <v>1</v>
      </c>
      <c r="CC15" s="37" t="b">
        <f t="shared" si="11"/>
        <v>1</v>
      </c>
      <c r="CD15" s="38">
        <v>7554.3</v>
      </c>
      <c r="CE15" s="38">
        <f t="shared" si="12"/>
        <v>-2122.1999999999998</v>
      </c>
      <c r="CF15" s="38">
        <v>608.21600000000001</v>
      </c>
      <c r="CG15" s="38">
        <f t="shared" si="13"/>
        <v>0</v>
      </c>
      <c r="CH15" s="32">
        <f t="shared" si="32"/>
        <v>0</v>
      </c>
    </row>
    <row r="16" spans="1:86" ht="56.25" x14ac:dyDescent="0.3">
      <c r="A16" s="48" t="s">
        <v>62</v>
      </c>
      <c r="B16" s="62" t="s">
        <v>63</v>
      </c>
      <c r="C16" s="212" t="s">
        <v>162</v>
      </c>
      <c r="D16" s="63" t="s">
        <v>46</v>
      </c>
      <c r="E16" s="23">
        <v>3418.1390000000001</v>
      </c>
      <c r="F16" s="23">
        <v>3795.3</v>
      </c>
      <c r="G16" s="23">
        <v>3843.9000000000005</v>
      </c>
      <c r="H16" s="23"/>
      <c r="I16" s="24">
        <v>3139.1000000000004</v>
      </c>
      <c r="J16" s="25">
        <v>2985.6869999999999</v>
      </c>
      <c r="K16" s="25">
        <v>2905.6610000000001</v>
      </c>
      <c r="L16" s="25">
        <v>3403.2</v>
      </c>
      <c r="M16" s="25">
        <v>3403.5</v>
      </c>
      <c r="N16" s="26">
        <v>3808.9</v>
      </c>
      <c r="O16" s="27">
        <v>3101.5</v>
      </c>
      <c r="P16" s="27">
        <v>3245.5</v>
      </c>
      <c r="Q16" s="28">
        <f t="shared" si="0"/>
        <v>3245.5</v>
      </c>
      <c r="R16" s="29">
        <f t="shared" si="0"/>
        <v>3245.5</v>
      </c>
      <c r="S16" s="29"/>
      <c r="T16" s="29">
        <f t="shared" si="1"/>
        <v>203.99590499999999</v>
      </c>
      <c r="U16" s="29"/>
      <c r="V16" s="29">
        <f t="shared" si="2"/>
        <v>814.2</v>
      </c>
      <c r="W16" s="29">
        <f t="shared" si="2"/>
        <v>814.2</v>
      </c>
      <c r="X16" s="29">
        <f t="shared" si="2"/>
        <v>203.99590499999999</v>
      </c>
      <c r="Y16" s="29"/>
      <c r="Z16" s="39">
        <f t="shared" si="26"/>
        <v>280.39999999999998</v>
      </c>
      <c r="AA16" s="39">
        <f t="shared" si="26"/>
        <v>280.39999999999998</v>
      </c>
      <c r="AB16" s="40">
        <f t="shared" si="26"/>
        <v>203.99590499999999</v>
      </c>
      <c r="AC16" s="39">
        <f t="shared" si="26"/>
        <v>253.3</v>
      </c>
      <c r="AD16" s="39">
        <f t="shared" si="26"/>
        <v>253.3</v>
      </c>
      <c r="AE16" s="40">
        <f t="shared" si="26"/>
        <v>0</v>
      </c>
      <c r="AF16" s="39">
        <f t="shared" si="26"/>
        <v>280.5</v>
      </c>
      <c r="AG16" s="39">
        <f t="shared" si="26"/>
        <v>280.5</v>
      </c>
      <c r="AH16" s="40">
        <f t="shared" si="26"/>
        <v>0</v>
      </c>
      <c r="AI16" s="29">
        <f t="shared" si="4"/>
        <v>621.1</v>
      </c>
      <c r="AJ16" s="30">
        <f t="shared" si="4"/>
        <v>621.1</v>
      </c>
      <c r="AK16" s="30">
        <f t="shared" si="4"/>
        <v>0</v>
      </c>
      <c r="AL16" s="29"/>
      <c r="AM16" s="39">
        <f t="shared" si="27"/>
        <v>271.39999999999998</v>
      </c>
      <c r="AN16" s="39">
        <f t="shared" si="27"/>
        <v>271.39999999999998</v>
      </c>
      <c r="AO16" s="41">
        <f t="shared" si="27"/>
        <v>0</v>
      </c>
      <c r="AP16" s="39">
        <f t="shared" si="27"/>
        <v>192.8</v>
      </c>
      <c r="AQ16" s="39">
        <f t="shared" si="27"/>
        <v>192.8</v>
      </c>
      <c r="AR16" s="40">
        <f t="shared" si="27"/>
        <v>0</v>
      </c>
      <c r="AS16" s="39">
        <f t="shared" si="27"/>
        <v>156.9</v>
      </c>
      <c r="AT16" s="39">
        <f t="shared" si="27"/>
        <v>156.9</v>
      </c>
      <c r="AU16" s="40">
        <f t="shared" si="27"/>
        <v>0</v>
      </c>
      <c r="AV16" s="29">
        <f t="shared" si="6"/>
        <v>886.1</v>
      </c>
      <c r="AW16" s="30">
        <f t="shared" si="6"/>
        <v>886.1</v>
      </c>
      <c r="AX16" s="30">
        <f t="shared" si="6"/>
        <v>0</v>
      </c>
      <c r="AY16" s="29"/>
      <c r="AZ16" s="39">
        <f t="shared" si="28"/>
        <v>291.60000000000002</v>
      </c>
      <c r="BA16" s="39">
        <f t="shared" si="28"/>
        <v>291.60000000000002</v>
      </c>
      <c r="BB16" s="40">
        <f t="shared" si="28"/>
        <v>0</v>
      </c>
      <c r="BC16" s="39">
        <f t="shared" si="28"/>
        <v>292.89999999999998</v>
      </c>
      <c r="BD16" s="39">
        <f t="shared" si="28"/>
        <v>292.89999999999998</v>
      </c>
      <c r="BE16" s="64">
        <f t="shared" si="28"/>
        <v>0</v>
      </c>
      <c r="BF16" s="39">
        <f t="shared" si="28"/>
        <v>301.60000000000002</v>
      </c>
      <c r="BG16" s="39">
        <f t="shared" si="28"/>
        <v>301.60000000000002</v>
      </c>
      <c r="BH16" s="40">
        <f t="shared" si="28"/>
        <v>0</v>
      </c>
      <c r="BI16" s="29">
        <f t="shared" si="8"/>
        <v>924.1</v>
      </c>
      <c r="BJ16" s="30">
        <f t="shared" si="8"/>
        <v>924.1</v>
      </c>
      <c r="BK16" s="30">
        <f t="shared" si="8"/>
        <v>0</v>
      </c>
      <c r="BL16" s="29"/>
      <c r="BM16" s="42">
        <f t="shared" si="29"/>
        <v>311.60000000000002</v>
      </c>
      <c r="BN16" s="39">
        <f t="shared" si="29"/>
        <v>311.60000000000002</v>
      </c>
      <c r="BO16" s="40">
        <f t="shared" si="29"/>
        <v>0</v>
      </c>
      <c r="BP16" s="39">
        <f t="shared" si="29"/>
        <v>301.60000000000002</v>
      </c>
      <c r="BQ16" s="39">
        <f t="shared" si="29"/>
        <v>301.60000000000002</v>
      </c>
      <c r="BR16" s="40">
        <f t="shared" si="29"/>
        <v>0</v>
      </c>
      <c r="BS16" s="39">
        <f t="shared" si="29"/>
        <v>310.89999999999998</v>
      </c>
      <c r="BT16" s="39">
        <f t="shared" si="29"/>
        <v>310.89999999999998</v>
      </c>
      <c r="BU16" s="43">
        <f t="shared" si="29"/>
        <v>0</v>
      </c>
      <c r="BV16" s="36">
        <v>3641.9</v>
      </c>
      <c r="BW16" s="27">
        <v>3212.6</v>
      </c>
      <c r="BX16" s="39">
        <f t="shared" si="30"/>
        <v>3330.6</v>
      </c>
      <c r="BY16" s="27">
        <v>3131.3</v>
      </c>
      <c r="BZ16" s="39">
        <f t="shared" si="31"/>
        <v>2995.7</v>
      </c>
      <c r="CA16" s="37" t="b">
        <f t="shared" si="10"/>
        <v>1</v>
      </c>
      <c r="CB16" s="37" t="b">
        <f t="shared" si="10"/>
        <v>1</v>
      </c>
      <c r="CC16" s="37" t="b">
        <f t="shared" si="11"/>
        <v>1</v>
      </c>
      <c r="CD16" s="38">
        <v>2530.8000000000002</v>
      </c>
      <c r="CE16" s="38">
        <f t="shared" si="12"/>
        <v>-714.69999999999982</v>
      </c>
      <c r="CF16" s="38">
        <v>203.99590499999999</v>
      </c>
      <c r="CG16" s="38">
        <f t="shared" si="13"/>
        <v>0</v>
      </c>
      <c r="CH16" s="32">
        <f t="shared" si="32"/>
        <v>0</v>
      </c>
    </row>
    <row r="17" spans="1:86" ht="18.75" x14ac:dyDescent="0.25">
      <c r="A17" s="55" t="s">
        <v>64</v>
      </c>
      <c r="B17" s="65" t="s">
        <v>65</v>
      </c>
      <c r="C17" s="210" t="s">
        <v>163</v>
      </c>
      <c r="D17" s="63" t="s">
        <v>46</v>
      </c>
      <c r="E17" s="23">
        <v>611.47799999999995</v>
      </c>
      <c r="F17" s="23">
        <v>431.35599999999994</v>
      </c>
      <c r="G17" s="23">
        <v>485.72399999999999</v>
      </c>
      <c r="H17" s="23"/>
      <c r="I17" s="24">
        <v>383.66700000000003</v>
      </c>
      <c r="J17" s="25">
        <v>456.52199999999999</v>
      </c>
      <c r="K17" s="25">
        <v>507.59199999999998</v>
      </c>
      <c r="L17" s="25">
        <v>472.10399999999998</v>
      </c>
      <c r="M17" s="25">
        <v>476.93799999999999</v>
      </c>
      <c r="N17" s="26">
        <v>528.21399999999994</v>
      </c>
      <c r="O17" s="66">
        <v>298.13900000000001</v>
      </c>
      <c r="P17" s="66">
        <v>310.50199999999995</v>
      </c>
      <c r="Q17" s="28">
        <f t="shared" si="0"/>
        <v>310.50199999999995</v>
      </c>
      <c r="R17" s="29">
        <f t="shared" si="0"/>
        <v>310.50199999999995</v>
      </c>
      <c r="S17" s="29"/>
      <c r="T17" s="29">
        <f t="shared" si="1"/>
        <v>31.367999999999999</v>
      </c>
      <c r="U17" s="56"/>
      <c r="V17" s="29">
        <f t="shared" si="2"/>
        <v>48.841999999999999</v>
      </c>
      <c r="W17" s="29">
        <f t="shared" si="2"/>
        <v>48.841999999999999</v>
      </c>
      <c r="X17" s="29">
        <f t="shared" si="2"/>
        <v>31.367999999999999</v>
      </c>
      <c r="Y17" s="56"/>
      <c r="Z17" s="31">
        <f t="shared" ref="Z17:AH17" si="33">Z18+Z20+Z21</f>
        <v>15.218</v>
      </c>
      <c r="AA17" s="31">
        <f t="shared" si="33"/>
        <v>15.218</v>
      </c>
      <c r="AB17" s="31">
        <f t="shared" si="33"/>
        <v>31.367999999999999</v>
      </c>
      <c r="AC17" s="31">
        <f t="shared" si="33"/>
        <v>16.507000000000001</v>
      </c>
      <c r="AD17" s="31">
        <f t="shared" si="33"/>
        <v>16.507000000000001</v>
      </c>
      <c r="AE17" s="31">
        <f t="shared" si="33"/>
        <v>0</v>
      </c>
      <c r="AF17" s="31">
        <f t="shared" si="33"/>
        <v>17.117000000000001</v>
      </c>
      <c r="AG17" s="31">
        <f t="shared" si="33"/>
        <v>17.117000000000001</v>
      </c>
      <c r="AH17" s="31">
        <f t="shared" si="33"/>
        <v>0</v>
      </c>
      <c r="AI17" s="29">
        <f t="shared" si="4"/>
        <v>70.968999999999994</v>
      </c>
      <c r="AJ17" s="30">
        <f t="shared" si="4"/>
        <v>70.968999999999994</v>
      </c>
      <c r="AK17" s="30">
        <f t="shared" si="4"/>
        <v>0</v>
      </c>
      <c r="AL17" s="56"/>
      <c r="AM17" s="31">
        <f t="shared" ref="AM17:AU17" si="34">AM18+AM20+AM21</f>
        <v>34.841999999999999</v>
      </c>
      <c r="AN17" s="31">
        <f t="shared" si="34"/>
        <v>34.841999999999999</v>
      </c>
      <c r="AO17" s="31">
        <f t="shared" si="34"/>
        <v>0</v>
      </c>
      <c r="AP17" s="31">
        <f t="shared" si="34"/>
        <v>23.427</v>
      </c>
      <c r="AQ17" s="31">
        <f t="shared" si="34"/>
        <v>23.427</v>
      </c>
      <c r="AR17" s="31">
        <f t="shared" si="34"/>
        <v>0</v>
      </c>
      <c r="AS17" s="31">
        <f t="shared" si="34"/>
        <v>12.7</v>
      </c>
      <c r="AT17" s="31">
        <f t="shared" si="34"/>
        <v>12.7</v>
      </c>
      <c r="AU17" s="31">
        <f t="shared" si="34"/>
        <v>0</v>
      </c>
      <c r="AV17" s="29">
        <f t="shared" si="6"/>
        <v>147.56299999999999</v>
      </c>
      <c r="AW17" s="30">
        <f t="shared" si="6"/>
        <v>147.56299999999999</v>
      </c>
      <c r="AX17" s="30">
        <f t="shared" si="6"/>
        <v>0</v>
      </c>
      <c r="AY17" s="56"/>
      <c r="AZ17" s="31">
        <f t="shared" ref="AZ17:BH17" si="35">AZ18+AZ20+AZ21</f>
        <v>47.571999999999996</v>
      </c>
      <c r="BA17" s="31">
        <f t="shared" si="35"/>
        <v>47.571999999999996</v>
      </c>
      <c r="BB17" s="31">
        <f t="shared" si="35"/>
        <v>0</v>
      </c>
      <c r="BC17" s="31">
        <f t="shared" si="35"/>
        <v>66.247</v>
      </c>
      <c r="BD17" s="31">
        <f t="shared" si="35"/>
        <v>66.247</v>
      </c>
      <c r="BE17" s="31">
        <f t="shared" si="35"/>
        <v>0</v>
      </c>
      <c r="BF17" s="31">
        <f t="shared" si="35"/>
        <v>33.744</v>
      </c>
      <c r="BG17" s="31">
        <f t="shared" si="35"/>
        <v>33.744</v>
      </c>
      <c r="BH17" s="31">
        <f t="shared" si="35"/>
        <v>0</v>
      </c>
      <c r="BI17" s="29">
        <f t="shared" si="8"/>
        <v>43.128</v>
      </c>
      <c r="BJ17" s="30">
        <f t="shared" si="8"/>
        <v>43.128</v>
      </c>
      <c r="BK17" s="30">
        <f t="shared" si="8"/>
        <v>0</v>
      </c>
      <c r="BL17" s="56"/>
      <c r="BM17" s="34">
        <f t="shared" ref="BM17:BU17" si="36">BM18+BM20+BM21</f>
        <v>15.896999999999998</v>
      </c>
      <c r="BN17" s="31">
        <f t="shared" si="36"/>
        <v>15.896999999999998</v>
      </c>
      <c r="BO17" s="31">
        <f t="shared" si="36"/>
        <v>0</v>
      </c>
      <c r="BP17" s="31">
        <f t="shared" si="36"/>
        <v>16.213000000000001</v>
      </c>
      <c r="BQ17" s="31">
        <f t="shared" si="36"/>
        <v>16.213000000000001</v>
      </c>
      <c r="BR17" s="31">
        <f t="shared" si="36"/>
        <v>0</v>
      </c>
      <c r="BS17" s="31">
        <f t="shared" si="36"/>
        <v>11.018000000000001</v>
      </c>
      <c r="BT17" s="31">
        <f t="shared" si="36"/>
        <v>11.018000000000001</v>
      </c>
      <c r="BU17" s="67">
        <f t="shared" si="36"/>
        <v>0</v>
      </c>
      <c r="BV17" s="68">
        <v>527.56799999999998</v>
      </c>
      <c r="BW17" s="66">
        <v>304.786</v>
      </c>
      <c r="BX17" s="31">
        <f>BX18+BX20+BX21</f>
        <v>315.13399999999996</v>
      </c>
      <c r="BY17" s="66">
        <v>308.67399999999998</v>
      </c>
      <c r="BZ17" s="31">
        <f>BZ18+BZ20+BZ21</f>
        <v>295.66200000000003</v>
      </c>
      <c r="CA17" s="37" t="b">
        <f t="shared" si="10"/>
        <v>1</v>
      </c>
      <c r="CB17" s="37" t="b">
        <f t="shared" si="10"/>
        <v>1</v>
      </c>
      <c r="CC17" s="37" t="b">
        <f t="shared" si="11"/>
        <v>1</v>
      </c>
      <c r="CD17" s="69">
        <v>285.09399999999999</v>
      </c>
      <c r="CE17" s="38">
        <f t="shared" si="12"/>
        <v>-25.407999999999959</v>
      </c>
      <c r="CF17" s="38">
        <v>31.367999999999999</v>
      </c>
      <c r="CG17" s="38">
        <f t="shared" si="13"/>
        <v>0</v>
      </c>
      <c r="CH17" s="33">
        <f>CH18+CH20+CH21</f>
        <v>0</v>
      </c>
    </row>
    <row r="18" spans="1:86" ht="37.5" x14ac:dyDescent="0.25">
      <c r="A18" s="58" t="s">
        <v>66</v>
      </c>
      <c r="B18" s="70" t="s">
        <v>67</v>
      </c>
      <c r="C18" s="211" t="s">
        <v>164</v>
      </c>
      <c r="D18" s="71" t="s">
        <v>46</v>
      </c>
      <c r="E18" s="1">
        <v>15.524000000000001</v>
      </c>
      <c r="F18" s="1">
        <v>21.756</v>
      </c>
      <c r="G18" s="1">
        <v>18.224</v>
      </c>
      <c r="H18" s="1"/>
      <c r="I18" s="72">
        <v>14.067</v>
      </c>
      <c r="J18" s="73">
        <v>18.942</v>
      </c>
      <c r="K18" s="73">
        <v>18.771999999999998</v>
      </c>
      <c r="L18" s="73">
        <v>17.004000000000001</v>
      </c>
      <c r="M18" s="73">
        <v>17.038</v>
      </c>
      <c r="N18" s="74">
        <v>16.414000000000001</v>
      </c>
      <c r="O18" s="75">
        <v>19.539000000000001</v>
      </c>
      <c r="P18" s="75">
        <v>21.701999999999998</v>
      </c>
      <c r="Q18" s="28">
        <f t="shared" si="0"/>
        <v>21.701999999999998</v>
      </c>
      <c r="R18" s="29">
        <f t="shared" si="0"/>
        <v>21.701999999999998</v>
      </c>
      <c r="S18" s="29"/>
      <c r="T18" s="29">
        <f t="shared" si="1"/>
        <v>0</v>
      </c>
      <c r="U18" s="76"/>
      <c r="V18" s="77">
        <f t="shared" si="2"/>
        <v>6.6419999999999995</v>
      </c>
      <c r="W18" s="77">
        <f t="shared" si="2"/>
        <v>6.6419999999999995</v>
      </c>
      <c r="X18" s="77">
        <f t="shared" si="2"/>
        <v>0</v>
      </c>
      <c r="Y18" s="78"/>
      <c r="Z18" s="79">
        <v>2.218</v>
      </c>
      <c r="AA18" s="79">
        <v>2.218</v>
      </c>
      <c r="AB18" s="80">
        <v>0</v>
      </c>
      <c r="AC18" s="79">
        <v>2.2069999999999999</v>
      </c>
      <c r="AD18" s="79">
        <v>2.2069999999999999</v>
      </c>
      <c r="AE18" s="80"/>
      <c r="AF18" s="79">
        <v>2.2170000000000001</v>
      </c>
      <c r="AG18" s="79">
        <v>2.2170000000000001</v>
      </c>
      <c r="AH18" s="80"/>
      <c r="AI18" s="77">
        <f t="shared" si="4"/>
        <v>3.2689999999999997</v>
      </c>
      <c r="AJ18" s="81">
        <f t="shared" si="4"/>
        <v>3.2689999999999997</v>
      </c>
      <c r="AK18" s="30">
        <f t="shared" si="4"/>
        <v>0</v>
      </c>
      <c r="AL18" s="78"/>
      <c r="AM18" s="79">
        <v>2.5419999999999998</v>
      </c>
      <c r="AN18" s="79">
        <v>2.5419999999999998</v>
      </c>
      <c r="AO18" s="82"/>
      <c r="AP18" s="79">
        <v>0.72699999999999998</v>
      </c>
      <c r="AQ18" s="79">
        <v>0.72699999999999998</v>
      </c>
      <c r="AR18" s="80"/>
      <c r="AS18" s="79">
        <v>0</v>
      </c>
      <c r="AT18" s="79">
        <v>0</v>
      </c>
      <c r="AU18" s="80"/>
      <c r="AV18" s="77">
        <f t="shared" si="6"/>
        <v>5.1630000000000003</v>
      </c>
      <c r="AW18" s="81">
        <f t="shared" si="6"/>
        <v>5.1630000000000003</v>
      </c>
      <c r="AX18" s="81">
        <f t="shared" si="6"/>
        <v>0</v>
      </c>
      <c r="AY18" s="78"/>
      <c r="AZ18" s="79">
        <v>7.1999999999999995E-2</v>
      </c>
      <c r="BA18" s="79">
        <v>7.1999999999999995E-2</v>
      </c>
      <c r="BB18" s="80"/>
      <c r="BC18" s="79">
        <v>2.5470000000000002</v>
      </c>
      <c r="BD18" s="79">
        <v>2.5470000000000002</v>
      </c>
      <c r="BE18" s="80"/>
      <c r="BF18" s="79">
        <v>2.544</v>
      </c>
      <c r="BG18" s="79">
        <v>2.544</v>
      </c>
      <c r="BH18" s="80"/>
      <c r="BI18" s="77">
        <f t="shared" si="8"/>
        <v>6.6280000000000001</v>
      </c>
      <c r="BJ18" s="81">
        <f t="shared" si="8"/>
        <v>6.6280000000000001</v>
      </c>
      <c r="BK18" s="30">
        <f t="shared" si="8"/>
        <v>0</v>
      </c>
      <c r="BL18" s="78"/>
      <c r="BM18" s="83">
        <v>2.1970000000000001</v>
      </c>
      <c r="BN18" s="79">
        <v>2.1970000000000001</v>
      </c>
      <c r="BO18" s="80"/>
      <c r="BP18" s="79">
        <v>2.2130000000000001</v>
      </c>
      <c r="BQ18" s="79">
        <v>2.2130000000000001</v>
      </c>
      <c r="BR18" s="80"/>
      <c r="BS18" s="79">
        <v>2.218</v>
      </c>
      <c r="BT18" s="79">
        <v>2.218</v>
      </c>
      <c r="BU18" s="84"/>
      <c r="BV18" s="85">
        <v>22.167999999999999</v>
      </c>
      <c r="BW18" s="75">
        <v>16.986000000000001</v>
      </c>
      <c r="BX18" s="79">
        <v>12.634</v>
      </c>
      <c r="BY18" s="75">
        <v>19.574000000000002</v>
      </c>
      <c r="BZ18" s="79">
        <v>19.562000000000001</v>
      </c>
      <c r="CA18" s="37" t="b">
        <f t="shared" si="10"/>
        <v>1</v>
      </c>
      <c r="CB18" s="37" t="b">
        <f t="shared" si="10"/>
        <v>1</v>
      </c>
      <c r="CC18" s="37" t="b">
        <f t="shared" si="11"/>
        <v>1</v>
      </c>
      <c r="CD18" s="86">
        <v>7.3940000000000001</v>
      </c>
      <c r="CE18" s="38">
        <f t="shared" si="12"/>
        <v>-14.307999999999998</v>
      </c>
      <c r="CF18" s="38"/>
      <c r="CG18" s="38">
        <f t="shared" si="13"/>
        <v>0</v>
      </c>
      <c r="CH18" s="87"/>
    </row>
    <row r="19" spans="1:86" ht="18.75" x14ac:dyDescent="0.3">
      <c r="A19" s="58" t="s">
        <v>68</v>
      </c>
      <c r="B19" s="88" t="s">
        <v>69</v>
      </c>
      <c r="C19" s="211" t="s">
        <v>165</v>
      </c>
      <c r="D19" s="71" t="s">
        <v>46</v>
      </c>
      <c r="E19" s="1">
        <v>14.895</v>
      </c>
      <c r="F19" s="1">
        <v>20.650000000000002</v>
      </c>
      <c r="G19" s="1">
        <v>17.149999999999999</v>
      </c>
      <c r="H19" s="1"/>
      <c r="I19" s="72">
        <v>13.3</v>
      </c>
      <c r="J19" s="73">
        <v>18.009999999999998</v>
      </c>
      <c r="K19" s="73">
        <v>17.871000000000002</v>
      </c>
      <c r="L19" s="73">
        <v>16.100000000000001</v>
      </c>
      <c r="M19" s="73">
        <v>16.100000000000001</v>
      </c>
      <c r="N19" s="74">
        <v>15.4</v>
      </c>
      <c r="O19" s="75">
        <v>18.55</v>
      </c>
      <c r="P19" s="75">
        <v>20.650000000000002</v>
      </c>
      <c r="Q19" s="28">
        <f t="shared" si="0"/>
        <v>20.650000000000002</v>
      </c>
      <c r="R19" s="29">
        <f t="shared" si="0"/>
        <v>20.650000000000002</v>
      </c>
      <c r="S19" s="29"/>
      <c r="T19" s="29">
        <f t="shared" si="1"/>
        <v>0</v>
      </c>
      <c r="U19" s="76"/>
      <c r="V19" s="77">
        <f t="shared" si="2"/>
        <v>6.3000000000000007</v>
      </c>
      <c r="W19" s="77">
        <f t="shared" si="2"/>
        <v>6.3000000000000007</v>
      </c>
      <c r="X19" s="77">
        <f t="shared" si="2"/>
        <v>0</v>
      </c>
      <c r="Y19" s="78"/>
      <c r="Z19" s="79">
        <v>2.1</v>
      </c>
      <c r="AA19" s="79">
        <v>2.1</v>
      </c>
      <c r="AB19" s="80">
        <v>0</v>
      </c>
      <c r="AC19" s="79">
        <v>2.1</v>
      </c>
      <c r="AD19" s="79">
        <v>2.1</v>
      </c>
      <c r="AE19" s="80"/>
      <c r="AF19" s="79">
        <v>2.1</v>
      </c>
      <c r="AG19" s="79">
        <v>2.1</v>
      </c>
      <c r="AH19" s="80"/>
      <c r="AI19" s="77">
        <f t="shared" si="4"/>
        <v>3.1500000000000004</v>
      </c>
      <c r="AJ19" s="81">
        <f t="shared" si="4"/>
        <v>3.1500000000000004</v>
      </c>
      <c r="AK19" s="30">
        <f t="shared" si="4"/>
        <v>0</v>
      </c>
      <c r="AL19" s="78"/>
      <c r="AM19" s="79">
        <v>2.4500000000000002</v>
      </c>
      <c r="AN19" s="79">
        <v>2.4500000000000002</v>
      </c>
      <c r="AO19" s="82"/>
      <c r="AP19" s="79">
        <v>0.7</v>
      </c>
      <c r="AQ19" s="79">
        <v>0.7</v>
      </c>
      <c r="AR19" s="80"/>
      <c r="AS19" s="79">
        <v>0</v>
      </c>
      <c r="AT19" s="79">
        <v>0</v>
      </c>
      <c r="AU19" s="80"/>
      <c r="AV19" s="77">
        <f t="shared" si="6"/>
        <v>4.9000000000000004</v>
      </c>
      <c r="AW19" s="81">
        <f t="shared" si="6"/>
        <v>4.9000000000000004</v>
      </c>
      <c r="AX19" s="81">
        <f t="shared" si="6"/>
        <v>0</v>
      </c>
      <c r="AY19" s="78"/>
      <c r="AZ19" s="79">
        <v>0</v>
      </c>
      <c r="BA19" s="79">
        <v>0</v>
      </c>
      <c r="BB19" s="80"/>
      <c r="BC19" s="79">
        <v>2.4500000000000002</v>
      </c>
      <c r="BD19" s="79">
        <v>2.4500000000000002</v>
      </c>
      <c r="BE19" s="80"/>
      <c r="BF19" s="79">
        <v>2.4500000000000002</v>
      </c>
      <c r="BG19" s="79">
        <v>2.4500000000000002</v>
      </c>
      <c r="BH19" s="80"/>
      <c r="BI19" s="77">
        <f t="shared" si="8"/>
        <v>6.3000000000000007</v>
      </c>
      <c r="BJ19" s="81">
        <f t="shared" si="8"/>
        <v>6.3000000000000007</v>
      </c>
      <c r="BK19" s="30">
        <f t="shared" si="8"/>
        <v>0</v>
      </c>
      <c r="BL19" s="78"/>
      <c r="BM19" s="83">
        <v>2.1</v>
      </c>
      <c r="BN19" s="79">
        <v>2.1</v>
      </c>
      <c r="BO19" s="80"/>
      <c r="BP19" s="79">
        <v>2.1</v>
      </c>
      <c r="BQ19" s="79">
        <v>2.1</v>
      </c>
      <c r="BR19" s="80"/>
      <c r="BS19" s="79">
        <v>2.1</v>
      </c>
      <c r="BT19" s="79">
        <v>2.1</v>
      </c>
      <c r="BU19" s="84"/>
      <c r="BV19" s="85">
        <v>21</v>
      </c>
      <c r="BW19" s="75">
        <v>16.100000000000001</v>
      </c>
      <c r="BX19" s="79">
        <v>11.9</v>
      </c>
      <c r="BY19" s="75">
        <v>18.55</v>
      </c>
      <c r="BZ19" s="79">
        <v>18.55</v>
      </c>
      <c r="CA19" s="37" t="b">
        <f t="shared" si="10"/>
        <v>1</v>
      </c>
      <c r="CB19" s="37" t="b">
        <f t="shared" si="10"/>
        <v>1</v>
      </c>
      <c r="CC19" s="37" t="b">
        <f t="shared" si="11"/>
        <v>1</v>
      </c>
      <c r="CD19" s="86">
        <v>7</v>
      </c>
      <c r="CE19" s="38">
        <f t="shared" si="12"/>
        <v>-13.650000000000002</v>
      </c>
      <c r="CF19" s="38"/>
      <c r="CG19" s="38">
        <f t="shared" si="13"/>
        <v>0</v>
      </c>
      <c r="CH19" s="87"/>
    </row>
    <row r="20" spans="1:86" ht="37.5" x14ac:dyDescent="0.25">
      <c r="A20" s="58" t="s">
        <v>70</v>
      </c>
      <c r="B20" s="70" t="s">
        <v>71</v>
      </c>
      <c r="C20" s="211" t="s">
        <v>166</v>
      </c>
      <c r="D20" s="71" t="s">
        <v>46</v>
      </c>
      <c r="E20" s="1">
        <v>0</v>
      </c>
      <c r="F20" s="1">
        <v>5.7</v>
      </c>
      <c r="G20" s="1">
        <v>5.6</v>
      </c>
      <c r="H20" s="1"/>
      <c r="I20" s="72">
        <v>2.4999999999999996</v>
      </c>
      <c r="J20" s="73">
        <v>4.383</v>
      </c>
      <c r="K20" s="73">
        <v>4.9420000000000002</v>
      </c>
      <c r="L20" s="73">
        <v>4.7</v>
      </c>
      <c r="M20" s="73">
        <v>4.5</v>
      </c>
      <c r="N20" s="74">
        <v>2.4</v>
      </c>
      <c r="O20" s="75">
        <v>2.4000000000000004</v>
      </c>
      <c r="P20" s="75">
        <v>2.5</v>
      </c>
      <c r="Q20" s="28">
        <f t="shared" si="0"/>
        <v>2.5</v>
      </c>
      <c r="R20" s="29">
        <f t="shared" si="0"/>
        <v>2.5</v>
      </c>
      <c r="S20" s="29"/>
      <c r="T20" s="29">
        <f t="shared" si="1"/>
        <v>0</v>
      </c>
      <c r="U20" s="76"/>
      <c r="V20" s="77">
        <f t="shared" si="2"/>
        <v>0.9</v>
      </c>
      <c r="W20" s="77">
        <f t="shared" si="2"/>
        <v>0.9</v>
      </c>
      <c r="X20" s="77">
        <f t="shared" si="2"/>
        <v>0</v>
      </c>
      <c r="Y20" s="78"/>
      <c r="Z20" s="79">
        <v>0</v>
      </c>
      <c r="AA20" s="79">
        <v>0</v>
      </c>
      <c r="AB20" s="80">
        <v>0</v>
      </c>
      <c r="AC20" s="79">
        <v>0</v>
      </c>
      <c r="AD20" s="79">
        <v>0</v>
      </c>
      <c r="AE20" s="80"/>
      <c r="AF20" s="79">
        <v>0.9</v>
      </c>
      <c r="AG20" s="79">
        <v>0.9</v>
      </c>
      <c r="AH20" s="80"/>
      <c r="AI20" s="77">
        <f t="shared" si="4"/>
        <v>0.9</v>
      </c>
      <c r="AJ20" s="81">
        <f t="shared" si="4"/>
        <v>0.9</v>
      </c>
      <c r="AK20" s="30">
        <f t="shared" si="4"/>
        <v>0</v>
      </c>
      <c r="AL20" s="78"/>
      <c r="AM20" s="79">
        <v>0.9</v>
      </c>
      <c r="AN20" s="79">
        <v>0.9</v>
      </c>
      <c r="AO20" s="82"/>
      <c r="AP20" s="79">
        <v>0</v>
      </c>
      <c r="AQ20" s="79">
        <v>0</v>
      </c>
      <c r="AR20" s="80"/>
      <c r="AS20" s="79">
        <v>0</v>
      </c>
      <c r="AT20" s="79">
        <v>0</v>
      </c>
      <c r="AU20" s="80"/>
      <c r="AV20" s="77">
        <f t="shared" si="6"/>
        <v>0.7</v>
      </c>
      <c r="AW20" s="81">
        <f t="shared" si="6"/>
        <v>0.7</v>
      </c>
      <c r="AX20" s="81">
        <f t="shared" si="6"/>
        <v>0</v>
      </c>
      <c r="AY20" s="78"/>
      <c r="AZ20" s="79">
        <v>0.7</v>
      </c>
      <c r="BA20" s="79">
        <v>0.7</v>
      </c>
      <c r="BB20" s="80"/>
      <c r="BC20" s="79">
        <v>0</v>
      </c>
      <c r="BD20" s="79">
        <v>0</v>
      </c>
      <c r="BE20" s="80"/>
      <c r="BF20" s="79">
        <v>0</v>
      </c>
      <c r="BG20" s="79">
        <v>0</v>
      </c>
      <c r="BH20" s="80"/>
      <c r="BI20" s="77">
        <f t="shared" si="8"/>
        <v>0</v>
      </c>
      <c r="BJ20" s="81">
        <f t="shared" si="8"/>
        <v>0</v>
      </c>
      <c r="BK20" s="30">
        <f t="shared" si="8"/>
        <v>0</v>
      </c>
      <c r="BL20" s="78"/>
      <c r="BM20" s="83">
        <v>0</v>
      </c>
      <c r="BN20" s="79">
        <v>0</v>
      </c>
      <c r="BO20" s="80"/>
      <c r="BP20" s="79">
        <v>0</v>
      </c>
      <c r="BQ20" s="79">
        <v>0</v>
      </c>
      <c r="BR20" s="80"/>
      <c r="BS20" s="79">
        <v>0</v>
      </c>
      <c r="BT20" s="79">
        <v>0</v>
      </c>
      <c r="BU20" s="84"/>
      <c r="BV20" s="85">
        <v>2.4</v>
      </c>
      <c r="BW20" s="75">
        <v>2.4</v>
      </c>
      <c r="BX20" s="79">
        <v>2.6</v>
      </c>
      <c r="BY20" s="75">
        <v>2.4</v>
      </c>
      <c r="BZ20" s="79">
        <v>2.5</v>
      </c>
      <c r="CA20" s="37" t="b">
        <f t="shared" si="10"/>
        <v>1</v>
      </c>
      <c r="CB20" s="37" t="b">
        <f t="shared" si="10"/>
        <v>1</v>
      </c>
      <c r="CC20" s="37" t="b">
        <f t="shared" si="11"/>
        <v>1</v>
      </c>
      <c r="CD20" s="86">
        <v>4.0999999999999996</v>
      </c>
      <c r="CE20" s="38">
        <f t="shared" si="12"/>
        <v>1.5999999999999996</v>
      </c>
      <c r="CF20" s="38"/>
      <c r="CG20" s="38">
        <f t="shared" si="13"/>
        <v>0</v>
      </c>
      <c r="CH20" s="87"/>
    </row>
    <row r="21" spans="1:86" ht="18.75" x14ac:dyDescent="0.25">
      <c r="A21" s="58" t="s">
        <v>72</v>
      </c>
      <c r="B21" s="89" t="s">
        <v>73</v>
      </c>
      <c r="C21" s="211" t="s">
        <v>167</v>
      </c>
      <c r="D21" s="71" t="s">
        <v>46</v>
      </c>
      <c r="E21" s="1">
        <v>595.95399999999995</v>
      </c>
      <c r="F21" s="1">
        <v>403.90000000000003</v>
      </c>
      <c r="G21" s="1">
        <v>461.9</v>
      </c>
      <c r="H21" s="1"/>
      <c r="I21" s="72">
        <v>367.1</v>
      </c>
      <c r="J21" s="73">
        <v>433.19700000000006</v>
      </c>
      <c r="K21" s="73">
        <v>483.87800000000004</v>
      </c>
      <c r="L21" s="73">
        <v>450.4</v>
      </c>
      <c r="M21" s="73">
        <v>455.4</v>
      </c>
      <c r="N21" s="74">
        <v>509.4</v>
      </c>
      <c r="O21" s="75">
        <v>276.2</v>
      </c>
      <c r="P21" s="75">
        <v>286.29999999999995</v>
      </c>
      <c r="Q21" s="28">
        <f t="shared" si="0"/>
        <v>286.29999999999995</v>
      </c>
      <c r="R21" s="29">
        <f t="shared" si="0"/>
        <v>286.29999999999995</v>
      </c>
      <c r="S21" s="29"/>
      <c r="T21" s="29">
        <f t="shared" si="1"/>
        <v>31.367999999999999</v>
      </c>
      <c r="U21" s="76"/>
      <c r="V21" s="77">
        <f t="shared" si="2"/>
        <v>41.3</v>
      </c>
      <c r="W21" s="77">
        <f t="shared" si="2"/>
        <v>41.3</v>
      </c>
      <c r="X21" s="77">
        <f t="shared" si="2"/>
        <v>31.367999999999999</v>
      </c>
      <c r="Y21" s="78"/>
      <c r="Z21" s="79">
        <v>13</v>
      </c>
      <c r="AA21" s="79">
        <v>13</v>
      </c>
      <c r="AB21" s="80">
        <v>31.367999999999999</v>
      </c>
      <c r="AC21" s="79">
        <v>14.3</v>
      </c>
      <c r="AD21" s="79">
        <v>14.3</v>
      </c>
      <c r="AE21" s="80"/>
      <c r="AF21" s="79">
        <v>14</v>
      </c>
      <c r="AG21" s="79">
        <v>14</v>
      </c>
      <c r="AH21" s="80"/>
      <c r="AI21" s="77">
        <f t="shared" si="4"/>
        <v>66.8</v>
      </c>
      <c r="AJ21" s="81">
        <f t="shared" si="4"/>
        <v>66.8</v>
      </c>
      <c r="AK21" s="30">
        <f t="shared" si="4"/>
        <v>0</v>
      </c>
      <c r="AL21" s="78"/>
      <c r="AM21" s="79">
        <v>31.4</v>
      </c>
      <c r="AN21" s="79">
        <v>31.4</v>
      </c>
      <c r="AO21" s="82"/>
      <c r="AP21" s="79">
        <v>22.7</v>
      </c>
      <c r="AQ21" s="79">
        <v>22.7</v>
      </c>
      <c r="AR21" s="80"/>
      <c r="AS21" s="79">
        <v>12.7</v>
      </c>
      <c r="AT21" s="79">
        <v>12.7</v>
      </c>
      <c r="AU21" s="80"/>
      <c r="AV21" s="77">
        <f t="shared" si="6"/>
        <v>141.69999999999999</v>
      </c>
      <c r="AW21" s="81">
        <f t="shared" si="6"/>
        <v>141.69999999999999</v>
      </c>
      <c r="AX21" s="81">
        <f t="shared" si="6"/>
        <v>0</v>
      </c>
      <c r="AY21" s="78"/>
      <c r="AZ21" s="79">
        <v>46.8</v>
      </c>
      <c r="BA21" s="79">
        <v>46.8</v>
      </c>
      <c r="BB21" s="80"/>
      <c r="BC21" s="79">
        <v>63.7</v>
      </c>
      <c r="BD21" s="79">
        <v>63.7</v>
      </c>
      <c r="BE21" s="80"/>
      <c r="BF21" s="79">
        <v>31.2</v>
      </c>
      <c r="BG21" s="79">
        <v>31.2</v>
      </c>
      <c r="BH21" s="80"/>
      <c r="BI21" s="77">
        <f t="shared" si="8"/>
        <v>36.5</v>
      </c>
      <c r="BJ21" s="81">
        <f t="shared" si="8"/>
        <v>36.5</v>
      </c>
      <c r="BK21" s="30">
        <f t="shared" si="8"/>
        <v>0</v>
      </c>
      <c r="BL21" s="78"/>
      <c r="BM21" s="83">
        <v>13.7</v>
      </c>
      <c r="BN21" s="79">
        <v>13.7</v>
      </c>
      <c r="BO21" s="80"/>
      <c r="BP21" s="79">
        <v>14</v>
      </c>
      <c r="BQ21" s="79">
        <v>14</v>
      </c>
      <c r="BR21" s="80"/>
      <c r="BS21" s="79">
        <v>8.8000000000000007</v>
      </c>
      <c r="BT21" s="79">
        <v>8.8000000000000007</v>
      </c>
      <c r="BU21" s="84"/>
      <c r="BV21" s="85">
        <v>503</v>
      </c>
      <c r="BW21" s="75">
        <v>285.39999999999998</v>
      </c>
      <c r="BX21" s="79">
        <v>299.89999999999998</v>
      </c>
      <c r="BY21" s="75">
        <v>286.7</v>
      </c>
      <c r="BZ21" s="79">
        <v>273.60000000000002</v>
      </c>
      <c r="CA21" s="37" t="b">
        <f t="shared" si="10"/>
        <v>1</v>
      </c>
      <c r="CB21" s="37" t="b">
        <f t="shared" si="10"/>
        <v>1</v>
      </c>
      <c r="CC21" s="37" t="b">
        <f t="shared" si="11"/>
        <v>1</v>
      </c>
      <c r="CD21" s="86">
        <v>273.60000000000002</v>
      </c>
      <c r="CE21" s="38">
        <f t="shared" si="12"/>
        <v>-12.699999999999932</v>
      </c>
      <c r="CF21" s="38">
        <v>31.367999999999999</v>
      </c>
      <c r="CG21" s="38">
        <f t="shared" si="13"/>
        <v>0</v>
      </c>
      <c r="CH21" s="87"/>
    </row>
    <row r="22" spans="1:86" ht="19.5" x14ac:dyDescent="0.25">
      <c r="A22" s="90"/>
      <c r="B22" s="91" t="s">
        <v>74</v>
      </c>
      <c r="C22" s="213" t="s">
        <v>168</v>
      </c>
      <c r="D22" s="71"/>
      <c r="E22" s="1"/>
      <c r="F22" s="1">
        <v>0</v>
      </c>
      <c r="G22" s="1">
        <v>0</v>
      </c>
      <c r="H22" s="1"/>
      <c r="I22" s="72">
        <v>0</v>
      </c>
      <c r="J22" s="73">
        <v>0</v>
      </c>
      <c r="K22" s="73">
        <v>0</v>
      </c>
      <c r="L22" s="73">
        <v>0</v>
      </c>
      <c r="M22" s="73">
        <v>0</v>
      </c>
      <c r="N22" s="74"/>
      <c r="O22" s="92">
        <v>0</v>
      </c>
      <c r="P22" s="92">
        <v>0</v>
      </c>
      <c r="Q22" s="28">
        <f t="shared" si="0"/>
        <v>0</v>
      </c>
      <c r="R22" s="29">
        <f t="shared" si="0"/>
        <v>0</v>
      </c>
      <c r="S22" s="29"/>
      <c r="T22" s="29">
        <f t="shared" si="1"/>
        <v>0</v>
      </c>
      <c r="U22" s="93"/>
      <c r="V22" s="29">
        <f t="shared" si="2"/>
        <v>0</v>
      </c>
      <c r="W22" s="29">
        <f t="shared" si="2"/>
        <v>0</v>
      </c>
      <c r="X22" s="29">
        <f t="shared" si="2"/>
        <v>0</v>
      </c>
      <c r="Y22" s="93"/>
      <c r="Z22" s="94"/>
      <c r="AA22" s="94"/>
      <c r="AB22" s="95"/>
      <c r="AC22" s="94"/>
      <c r="AD22" s="94"/>
      <c r="AE22" s="95"/>
      <c r="AF22" s="94"/>
      <c r="AG22" s="94"/>
      <c r="AH22" s="95"/>
      <c r="AI22" s="29">
        <f t="shared" si="4"/>
        <v>0</v>
      </c>
      <c r="AJ22" s="30">
        <f t="shared" si="4"/>
        <v>0</v>
      </c>
      <c r="AK22" s="30">
        <f t="shared" si="4"/>
        <v>0</v>
      </c>
      <c r="AL22" s="93"/>
      <c r="AM22" s="94"/>
      <c r="AN22" s="94"/>
      <c r="AO22" s="96"/>
      <c r="AP22" s="94"/>
      <c r="AQ22" s="94"/>
      <c r="AR22" s="95"/>
      <c r="AS22" s="94"/>
      <c r="AT22" s="94"/>
      <c r="AU22" s="95"/>
      <c r="AV22" s="29">
        <f t="shared" si="6"/>
        <v>0</v>
      </c>
      <c r="AW22" s="30">
        <f t="shared" si="6"/>
        <v>0</v>
      </c>
      <c r="AX22" s="30">
        <f t="shared" si="6"/>
        <v>0</v>
      </c>
      <c r="AY22" s="93"/>
      <c r="AZ22" s="94"/>
      <c r="BA22" s="94"/>
      <c r="BB22" s="95"/>
      <c r="BC22" s="94"/>
      <c r="BD22" s="94"/>
      <c r="BE22" s="95"/>
      <c r="BF22" s="94"/>
      <c r="BG22" s="94"/>
      <c r="BH22" s="95"/>
      <c r="BI22" s="29">
        <f t="shared" si="8"/>
        <v>0</v>
      </c>
      <c r="BJ22" s="30">
        <f t="shared" si="8"/>
        <v>0</v>
      </c>
      <c r="BK22" s="30">
        <f t="shared" si="8"/>
        <v>0</v>
      </c>
      <c r="BL22" s="93"/>
      <c r="BM22" s="97"/>
      <c r="BN22" s="94"/>
      <c r="BO22" s="95"/>
      <c r="BP22" s="94"/>
      <c r="BQ22" s="94"/>
      <c r="BR22" s="95"/>
      <c r="BS22" s="94"/>
      <c r="BT22" s="94"/>
      <c r="BU22" s="98"/>
      <c r="BV22" s="99"/>
      <c r="BW22" s="92"/>
      <c r="BX22" s="94"/>
      <c r="BY22" s="92"/>
      <c r="BZ22" s="94"/>
      <c r="CA22" s="37" t="b">
        <f t="shared" si="10"/>
        <v>1</v>
      </c>
      <c r="CB22" s="37" t="b">
        <f t="shared" si="10"/>
        <v>1</v>
      </c>
      <c r="CC22" s="37" t="b">
        <f t="shared" si="11"/>
        <v>1</v>
      </c>
      <c r="CD22" s="100"/>
      <c r="CE22" s="38">
        <f t="shared" si="12"/>
        <v>0</v>
      </c>
      <c r="CF22" s="38"/>
      <c r="CG22" s="38">
        <f t="shared" si="13"/>
        <v>0</v>
      </c>
      <c r="CH22" s="87"/>
    </row>
    <row r="23" spans="1:86" ht="39" x14ac:dyDescent="0.25">
      <c r="A23" s="52">
        <v>3</v>
      </c>
      <c r="B23" s="91" t="s">
        <v>75</v>
      </c>
      <c r="C23" s="210" t="s">
        <v>169</v>
      </c>
      <c r="D23" s="101" t="s">
        <v>46</v>
      </c>
      <c r="E23" s="102">
        <v>3720.8539999999998</v>
      </c>
      <c r="F23" s="102">
        <v>3984.6559999999999</v>
      </c>
      <c r="G23" s="102">
        <v>4047.7</v>
      </c>
      <c r="H23" s="102"/>
      <c r="I23" s="103">
        <v>3292.3</v>
      </c>
      <c r="J23" s="104">
        <v>3341.7409999999995</v>
      </c>
      <c r="K23" s="104">
        <v>3324.6849999999999</v>
      </c>
      <c r="L23" s="104">
        <v>3696.1039999999998</v>
      </c>
      <c r="M23" s="104">
        <v>3699.7380000000003</v>
      </c>
      <c r="N23" s="105">
        <v>4146.7139999999999</v>
      </c>
      <c r="O23" s="106">
        <v>3443.5</v>
      </c>
      <c r="P23" s="106">
        <v>3610.7</v>
      </c>
      <c r="Q23" s="28">
        <f t="shared" si="0"/>
        <v>3610.7</v>
      </c>
      <c r="R23" s="29">
        <f t="shared" si="0"/>
        <v>3610.7</v>
      </c>
      <c r="S23" s="29"/>
      <c r="T23" s="29">
        <f t="shared" si="1"/>
        <v>262.098883</v>
      </c>
      <c r="U23" s="107">
        <f>Q23/Q3*100</f>
        <v>26.599725950700591</v>
      </c>
      <c r="V23" s="29">
        <f t="shared" si="2"/>
        <v>902.5</v>
      </c>
      <c r="W23" s="29">
        <f t="shared" si="2"/>
        <v>902.5</v>
      </c>
      <c r="X23" s="29">
        <f t="shared" si="2"/>
        <v>262.098883</v>
      </c>
      <c r="Y23" s="107">
        <f>V23/V3*100</f>
        <v>26.50202619369237</v>
      </c>
      <c r="Z23" s="108">
        <f t="shared" ref="Z23:AH23" si="37">Z24+Z25</f>
        <v>308.7</v>
      </c>
      <c r="AA23" s="108">
        <f t="shared" si="37"/>
        <v>308.7</v>
      </c>
      <c r="AB23" s="109">
        <f t="shared" si="37"/>
        <v>262.098883</v>
      </c>
      <c r="AC23" s="108">
        <f t="shared" si="37"/>
        <v>281.7</v>
      </c>
      <c r="AD23" s="108">
        <f t="shared" si="37"/>
        <v>281.7</v>
      </c>
      <c r="AE23" s="109">
        <f t="shared" si="37"/>
        <v>0</v>
      </c>
      <c r="AF23" s="108">
        <f t="shared" si="37"/>
        <v>312.10000000000002</v>
      </c>
      <c r="AG23" s="108">
        <f t="shared" si="37"/>
        <v>312.10000000000002</v>
      </c>
      <c r="AH23" s="109">
        <f t="shared" si="37"/>
        <v>0</v>
      </c>
      <c r="AI23" s="29">
        <f t="shared" si="4"/>
        <v>676.7</v>
      </c>
      <c r="AJ23" s="30">
        <f t="shared" si="4"/>
        <v>676.7</v>
      </c>
      <c r="AK23" s="30">
        <f t="shared" si="4"/>
        <v>0</v>
      </c>
      <c r="AL23" s="107">
        <f>AI23/AI3*100</f>
        <v>26.052976052976057</v>
      </c>
      <c r="AM23" s="108">
        <f t="shared" ref="AM23:AU23" si="38">AM24+AM25</f>
        <v>302.89999999999998</v>
      </c>
      <c r="AN23" s="108">
        <f t="shared" si="38"/>
        <v>302.89999999999998</v>
      </c>
      <c r="AO23" s="110">
        <f t="shared" si="38"/>
        <v>0</v>
      </c>
      <c r="AP23" s="108">
        <f t="shared" si="38"/>
        <v>210.5</v>
      </c>
      <c r="AQ23" s="108">
        <f t="shared" si="38"/>
        <v>210.5</v>
      </c>
      <c r="AR23" s="109">
        <f t="shared" si="38"/>
        <v>0</v>
      </c>
      <c r="AS23" s="108">
        <f t="shared" si="38"/>
        <v>163.30000000000001</v>
      </c>
      <c r="AT23" s="108">
        <f t="shared" si="38"/>
        <v>163.30000000000001</v>
      </c>
      <c r="AU23" s="109">
        <f t="shared" si="38"/>
        <v>0</v>
      </c>
      <c r="AV23" s="29">
        <f t="shared" si="6"/>
        <v>1027.8</v>
      </c>
      <c r="AW23" s="30">
        <f t="shared" si="6"/>
        <v>1027.8</v>
      </c>
      <c r="AX23" s="30">
        <f t="shared" si="6"/>
        <v>0</v>
      </c>
      <c r="AY23" s="107">
        <f>AV23/AV3*100</f>
        <v>27.733405288720991</v>
      </c>
      <c r="AZ23" s="108">
        <f t="shared" ref="AZ23:BH23" si="39">AZ24+AZ25</f>
        <v>332.5</v>
      </c>
      <c r="BA23" s="108">
        <f t="shared" si="39"/>
        <v>332.5</v>
      </c>
      <c r="BB23" s="109">
        <f t="shared" si="39"/>
        <v>0</v>
      </c>
      <c r="BC23" s="108">
        <f t="shared" si="39"/>
        <v>359</v>
      </c>
      <c r="BD23" s="108">
        <f t="shared" si="39"/>
        <v>359</v>
      </c>
      <c r="BE23" s="109">
        <f t="shared" si="39"/>
        <v>0</v>
      </c>
      <c r="BF23" s="108">
        <f t="shared" si="39"/>
        <v>336.3</v>
      </c>
      <c r="BG23" s="108">
        <f t="shared" si="39"/>
        <v>336.3</v>
      </c>
      <c r="BH23" s="109">
        <f t="shared" si="39"/>
        <v>0</v>
      </c>
      <c r="BI23" s="29">
        <f t="shared" si="8"/>
        <v>1003.7</v>
      </c>
      <c r="BJ23" s="30">
        <f t="shared" si="8"/>
        <v>1003.7</v>
      </c>
      <c r="BK23" s="30">
        <f t="shared" si="8"/>
        <v>0</v>
      </c>
      <c r="BL23" s="107">
        <f>BI23/BI3*100</f>
        <v>25.966264810886329</v>
      </c>
      <c r="BM23" s="111">
        <f t="shared" ref="BM23:BU23" si="40">BM24+BM25</f>
        <v>332.5</v>
      </c>
      <c r="BN23" s="108">
        <f t="shared" si="40"/>
        <v>332.5</v>
      </c>
      <c r="BO23" s="109">
        <f t="shared" si="40"/>
        <v>0</v>
      </c>
      <c r="BP23" s="108">
        <f t="shared" si="40"/>
        <v>336.7</v>
      </c>
      <c r="BQ23" s="108">
        <f t="shared" si="40"/>
        <v>336.7</v>
      </c>
      <c r="BR23" s="109">
        <f t="shared" si="40"/>
        <v>0</v>
      </c>
      <c r="BS23" s="108">
        <f t="shared" si="40"/>
        <v>334.5</v>
      </c>
      <c r="BT23" s="108">
        <f t="shared" si="40"/>
        <v>334.5</v>
      </c>
      <c r="BU23" s="112">
        <f t="shared" si="40"/>
        <v>0</v>
      </c>
      <c r="BV23" s="113">
        <v>4003.6680000000001</v>
      </c>
      <c r="BW23" s="106">
        <v>3571.9</v>
      </c>
      <c r="BX23" s="108">
        <f>BX24+BX25</f>
        <v>3696.8000000000006</v>
      </c>
      <c r="BY23" s="106">
        <v>3520.7</v>
      </c>
      <c r="BZ23" s="108">
        <f>BZ24+BZ25</f>
        <v>3370.0000000000005</v>
      </c>
      <c r="CA23" s="37" t="b">
        <f t="shared" si="10"/>
        <v>1</v>
      </c>
      <c r="CB23" s="37" t="b">
        <f t="shared" si="10"/>
        <v>1</v>
      </c>
      <c r="CC23" s="37" t="b">
        <f t="shared" si="11"/>
        <v>1</v>
      </c>
      <c r="CD23" s="114">
        <v>2800.1</v>
      </c>
      <c r="CE23" s="38">
        <f t="shared" si="12"/>
        <v>-810.59999999999991</v>
      </c>
      <c r="CF23" s="38">
        <v>262.098883</v>
      </c>
      <c r="CG23" s="38">
        <f t="shared" si="13"/>
        <v>0</v>
      </c>
      <c r="CH23" s="109">
        <f>CH24+CH25</f>
        <v>0</v>
      </c>
    </row>
    <row r="24" spans="1:86" ht="18.75" x14ac:dyDescent="0.25">
      <c r="A24" s="115" t="s">
        <v>76</v>
      </c>
      <c r="B24" s="116" t="s">
        <v>77</v>
      </c>
      <c r="C24" s="211" t="s">
        <v>170</v>
      </c>
      <c r="D24" s="117" t="s">
        <v>46</v>
      </c>
      <c r="E24" s="118">
        <v>3650.1409999999996</v>
      </c>
      <c r="F24" s="118">
        <v>3900.8</v>
      </c>
      <c r="G24" s="118">
        <v>3964.1000000000004</v>
      </c>
      <c r="H24" s="118"/>
      <c r="I24" s="119">
        <v>3229.6000000000004</v>
      </c>
      <c r="J24" s="120">
        <v>3270.6499999999996</v>
      </c>
      <c r="K24" s="120">
        <v>3252.759</v>
      </c>
      <c r="L24" s="120">
        <v>3628.1</v>
      </c>
      <c r="M24" s="120">
        <v>3632.2000000000003</v>
      </c>
      <c r="N24" s="121">
        <v>4077.7</v>
      </c>
      <c r="O24" s="122">
        <v>3377.8</v>
      </c>
      <c r="P24" s="122">
        <v>3541.5</v>
      </c>
      <c r="Q24" s="28">
        <f t="shared" si="0"/>
        <v>3541.5</v>
      </c>
      <c r="R24" s="29">
        <f t="shared" si="0"/>
        <v>3541.5</v>
      </c>
      <c r="S24" s="29"/>
      <c r="T24" s="29">
        <f t="shared" si="1"/>
        <v>261.24288300000001</v>
      </c>
      <c r="U24" s="123">
        <f>Q24/Q3*100</f>
        <v>26.089935318471806</v>
      </c>
      <c r="V24" s="29">
        <f t="shared" si="2"/>
        <v>882.9</v>
      </c>
      <c r="W24" s="29">
        <f t="shared" si="2"/>
        <v>882.9</v>
      </c>
      <c r="X24" s="29">
        <f t="shared" si="2"/>
        <v>261.24288300000001</v>
      </c>
      <c r="Y24" s="123">
        <f>V24/V3*100</f>
        <v>25.926469724555119</v>
      </c>
      <c r="Z24" s="124">
        <v>301.89999999999998</v>
      </c>
      <c r="AA24" s="124">
        <v>301.89999999999998</v>
      </c>
      <c r="AB24" s="125">
        <v>261.24288300000001</v>
      </c>
      <c r="AC24" s="124">
        <v>275.5</v>
      </c>
      <c r="AD24" s="124">
        <v>275.5</v>
      </c>
      <c r="AE24" s="125"/>
      <c r="AF24" s="124">
        <v>305.5</v>
      </c>
      <c r="AG24" s="124">
        <v>305.5</v>
      </c>
      <c r="AH24" s="125"/>
      <c r="AI24" s="29">
        <f t="shared" si="4"/>
        <v>666.9</v>
      </c>
      <c r="AJ24" s="30">
        <f t="shared" si="4"/>
        <v>666.9</v>
      </c>
      <c r="AK24" s="30">
        <f t="shared" si="4"/>
        <v>0</v>
      </c>
      <c r="AL24" s="123">
        <f>AI24/AI3*100</f>
        <v>25.675675675675681</v>
      </c>
      <c r="AM24" s="124">
        <v>296.39999999999998</v>
      </c>
      <c r="AN24" s="124">
        <v>296.39999999999998</v>
      </c>
      <c r="AO24" s="126"/>
      <c r="AP24" s="124">
        <v>208</v>
      </c>
      <c r="AQ24" s="124">
        <v>208</v>
      </c>
      <c r="AR24" s="125"/>
      <c r="AS24" s="124">
        <v>162.5</v>
      </c>
      <c r="AT24" s="124">
        <v>162.5</v>
      </c>
      <c r="AU24" s="125"/>
      <c r="AV24" s="29">
        <f t="shared" si="6"/>
        <v>1009.5</v>
      </c>
      <c r="AW24" s="30">
        <f t="shared" si="6"/>
        <v>1009.5</v>
      </c>
      <c r="AX24" s="30">
        <f t="shared" si="6"/>
        <v>0</v>
      </c>
      <c r="AY24" s="123">
        <f>AV24/AV3*100</f>
        <v>27.239611440906636</v>
      </c>
      <c r="AZ24" s="124">
        <v>327.39999999999998</v>
      </c>
      <c r="BA24" s="124">
        <v>327.39999999999998</v>
      </c>
      <c r="BB24" s="125"/>
      <c r="BC24" s="124">
        <v>352.3</v>
      </c>
      <c r="BD24" s="124">
        <v>352.3</v>
      </c>
      <c r="BE24" s="125"/>
      <c r="BF24" s="124">
        <v>329.8</v>
      </c>
      <c r="BG24" s="124">
        <v>329.8</v>
      </c>
      <c r="BH24" s="125"/>
      <c r="BI24" s="29">
        <f t="shared" si="8"/>
        <v>982.19999999999993</v>
      </c>
      <c r="BJ24" s="30">
        <f t="shared" si="8"/>
        <v>982.19999999999993</v>
      </c>
      <c r="BK24" s="30">
        <f t="shared" si="8"/>
        <v>0</v>
      </c>
      <c r="BL24" s="123">
        <f>BI24/BI3*100</f>
        <v>25.410048119211464</v>
      </c>
      <c r="BM24" s="127">
        <v>325.5</v>
      </c>
      <c r="BN24" s="124">
        <v>325.5</v>
      </c>
      <c r="BO24" s="125"/>
      <c r="BP24" s="124">
        <v>329.8</v>
      </c>
      <c r="BQ24" s="124">
        <v>329.8</v>
      </c>
      <c r="BR24" s="125"/>
      <c r="BS24" s="124">
        <v>326.89999999999998</v>
      </c>
      <c r="BT24" s="124">
        <v>326.89999999999998</v>
      </c>
      <c r="BU24" s="128"/>
      <c r="BV24" s="129">
        <v>3929</v>
      </c>
      <c r="BW24" s="122">
        <v>3510.9</v>
      </c>
      <c r="BX24" s="124">
        <v>3644.7000000000007</v>
      </c>
      <c r="BY24" s="122">
        <v>3452</v>
      </c>
      <c r="BZ24" s="124">
        <v>3302.5000000000005</v>
      </c>
      <c r="CA24" s="37" t="b">
        <f t="shared" si="10"/>
        <v>1</v>
      </c>
      <c r="CB24" s="37" t="b">
        <f t="shared" si="10"/>
        <v>1</v>
      </c>
      <c r="CC24" s="37" t="b">
        <f t="shared" si="11"/>
        <v>1</v>
      </c>
      <c r="CD24" s="130">
        <v>2777.5</v>
      </c>
      <c r="CE24" s="38">
        <f t="shared" si="12"/>
        <v>-764</v>
      </c>
      <c r="CF24" s="38">
        <v>261.24288300000001</v>
      </c>
      <c r="CG24" s="38">
        <f t="shared" si="13"/>
        <v>0</v>
      </c>
      <c r="CH24" s="125"/>
    </row>
    <row r="25" spans="1:86" ht="18.75" x14ac:dyDescent="0.3">
      <c r="A25" s="115" t="s">
        <v>78</v>
      </c>
      <c r="B25" s="131" t="s">
        <v>57</v>
      </c>
      <c r="C25" s="211" t="s">
        <v>171</v>
      </c>
      <c r="D25" s="117" t="s">
        <v>46</v>
      </c>
      <c r="E25" s="118">
        <v>70.712999999999994</v>
      </c>
      <c r="F25" s="118">
        <v>83.855999999999995</v>
      </c>
      <c r="G25" s="118">
        <v>83.6</v>
      </c>
      <c r="H25" s="118"/>
      <c r="I25" s="119">
        <v>62.699999999999996</v>
      </c>
      <c r="J25" s="120">
        <v>71.090999999999994</v>
      </c>
      <c r="K25" s="120">
        <v>71.926000000000002</v>
      </c>
      <c r="L25" s="120">
        <v>68.004000000000005</v>
      </c>
      <c r="M25" s="120">
        <v>67.537999999999997</v>
      </c>
      <c r="N25" s="121">
        <v>69.013999999999996</v>
      </c>
      <c r="O25" s="122">
        <v>65.7</v>
      </c>
      <c r="P25" s="122">
        <v>69.2</v>
      </c>
      <c r="Q25" s="28">
        <f t="shared" si="0"/>
        <v>69.2</v>
      </c>
      <c r="R25" s="29">
        <f t="shared" si="0"/>
        <v>69.2</v>
      </c>
      <c r="S25" s="29"/>
      <c r="T25" s="29">
        <f t="shared" si="1"/>
        <v>0.85599999999999998</v>
      </c>
      <c r="U25" s="123">
        <f>Q25/Q3*100</f>
        <v>0.50979063222878707</v>
      </c>
      <c r="V25" s="29">
        <f t="shared" si="2"/>
        <v>19.600000000000001</v>
      </c>
      <c r="W25" s="29">
        <f t="shared" si="2"/>
        <v>19.600000000000001</v>
      </c>
      <c r="X25" s="29">
        <f t="shared" si="2"/>
        <v>0.85599999999999998</v>
      </c>
      <c r="Y25" s="123">
        <f>V25/V3*100</f>
        <v>0.57555646913725267</v>
      </c>
      <c r="Z25" s="124">
        <v>6.8</v>
      </c>
      <c r="AA25" s="124">
        <v>6.8</v>
      </c>
      <c r="AB25" s="125">
        <v>0.85599999999999998</v>
      </c>
      <c r="AC25" s="124">
        <v>6.2</v>
      </c>
      <c r="AD25" s="124">
        <v>6.2</v>
      </c>
      <c r="AE25" s="125"/>
      <c r="AF25" s="124">
        <v>6.6</v>
      </c>
      <c r="AG25" s="124">
        <v>6.6</v>
      </c>
      <c r="AH25" s="125"/>
      <c r="AI25" s="29">
        <f t="shared" si="4"/>
        <v>9.8000000000000007</v>
      </c>
      <c r="AJ25" s="30">
        <f t="shared" si="4"/>
        <v>9.8000000000000007</v>
      </c>
      <c r="AK25" s="30">
        <f t="shared" si="4"/>
        <v>0</v>
      </c>
      <c r="AL25" s="123">
        <f>AI25/AI3*100</f>
        <v>0.37730037730037741</v>
      </c>
      <c r="AM25" s="124">
        <v>6.5</v>
      </c>
      <c r="AN25" s="124">
        <v>6.5</v>
      </c>
      <c r="AO25" s="126"/>
      <c r="AP25" s="124">
        <v>2.5</v>
      </c>
      <c r="AQ25" s="124">
        <v>2.5</v>
      </c>
      <c r="AR25" s="125"/>
      <c r="AS25" s="124">
        <v>0.8</v>
      </c>
      <c r="AT25" s="124">
        <v>0.8</v>
      </c>
      <c r="AU25" s="125"/>
      <c r="AV25" s="29">
        <f t="shared" si="6"/>
        <v>18.3</v>
      </c>
      <c r="AW25" s="30">
        <f t="shared" si="6"/>
        <v>18.3</v>
      </c>
      <c r="AX25" s="30">
        <f t="shared" si="6"/>
        <v>0</v>
      </c>
      <c r="AY25" s="123">
        <f>AV25/AV3*100</f>
        <v>0.49379384781435509</v>
      </c>
      <c r="AZ25" s="124">
        <v>5.0999999999999996</v>
      </c>
      <c r="BA25" s="124">
        <v>5.0999999999999996</v>
      </c>
      <c r="BB25" s="125"/>
      <c r="BC25" s="124">
        <v>6.7</v>
      </c>
      <c r="BD25" s="124">
        <v>6.7</v>
      </c>
      <c r="BE25" s="125"/>
      <c r="BF25" s="124">
        <v>6.5</v>
      </c>
      <c r="BG25" s="124">
        <v>6.5</v>
      </c>
      <c r="BH25" s="125"/>
      <c r="BI25" s="29">
        <f t="shared" si="8"/>
        <v>21.5</v>
      </c>
      <c r="BJ25" s="30">
        <f t="shared" si="8"/>
        <v>21.5</v>
      </c>
      <c r="BK25" s="30">
        <f t="shared" si="8"/>
        <v>0</v>
      </c>
      <c r="BL25" s="123">
        <f>BI25/BI3*100</f>
        <v>0.5562166916748591</v>
      </c>
      <c r="BM25" s="127">
        <v>7</v>
      </c>
      <c r="BN25" s="124">
        <v>7</v>
      </c>
      <c r="BO25" s="125"/>
      <c r="BP25" s="124">
        <v>6.9</v>
      </c>
      <c r="BQ25" s="124">
        <v>6.9</v>
      </c>
      <c r="BR25" s="125"/>
      <c r="BS25" s="124">
        <v>7.6</v>
      </c>
      <c r="BT25" s="124">
        <v>7.6</v>
      </c>
      <c r="BU25" s="128"/>
      <c r="BV25" s="129">
        <v>74.668000000000006</v>
      </c>
      <c r="BW25" s="122">
        <v>61</v>
      </c>
      <c r="BX25" s="124">
        <v>52.1</v>
      </c>
      <c r="BY25" s="122">
        <v>68.7</v>
      </c>
      <c r="BZ25" s="124">
        <v>67.5</v>
      </c>
      <c r="CA25" s="37" t="b">
        <f t="shared" si="10"/>
        <v>1</v>
      </c>
      <c r="CB25" s="37" t="b">
        <f t="shared" si="10"/>
        <v>1</v>
      </c>
      <c r="CC25" s="37" t="b">
        <f t="shared" si="11"/>
        <v>1</v>
      </c>
      <c r="CD25" s="130">
        <v>22.6</v>
      </c>
      <c r="CE25" s="38">
        <f t="shared" si="12"/>
        <v>-46.6</v>
      </c>
      <c r="CF25" s="38">
        <v>0.85599999999999998</v>
      </c>
      <c r="CG25" s="38">
        <f t="shared" si="13"/>
        <v>0</v>
      </c>
      <c r="CH25" s="125"/>
    </row>
    <row r="26" spans="1:86" ht="37.5" x14ac:dyDescent="0.25">
      <c r="A26" s="50">
        <v>4</v>
      </c>
      <c r="B26" s="65" t="s">
        <v>79</v>
      </c>
      <c r="C26" s="213" t="s">
        <v>172</v>
      </c>
      <c r="D26" s="63" t="s">
        <v>46</v>
      </c>
      <c r="E26" s="23">
        <v>10945.915000000001</v>
      </c>
      <c r="F26" s="23">
        <v>12160.399999999998</v>
      </c>
      <c r="G26" s="23">
        <v>12296.300000000001</v>
      </c>
      <c r="H26" s="23"/>
      <c r="I26" s="24">
        <v>10037.900000000001</v>
      </c>
      <c r="J26" s="25">
        <v>9467.4559999999983</v>
      </c>
      <c r="K26" s="25">
        <v>9175.2219999999998</v>
      </c>
      <c r="L26" s="25">
        <v>10913.2</v>
      </c>
      <c r="M26" s="25">
        <v>10915.599999999999</v>
      </c>
      <c r="N26" s="26">
        <v>12250.800000000001</v>
      </c>
      <c r="O26" s="27">
        <v>9813.1999999999989</v>
      </c>
      <c r="P26" s="27">
        <v>10260.200000000001</v>
      </c>
      <c r="Q26" s="28">
        <f t="shared" si="0"/>
        <v>10260.200000000001</v>
      </c>
      <c r="R26" s="29">
        <f t="shared" si="0"/>
        <v>10260.200000000001</v>
      </c>
      <c r="S26" s="29"/>
      <c r="T26" s="29">
        <f t="shared" si="1"/>
        <v>620.63202200000001</v>
      </c>
      <c r="U26" s="30">
        <f>Q26/Q3*100</f>
        <v>75.586038219563605</v>
      </c>
      <c r="V26" s="29">
        <f t="shared" si="2"/>
        <v>2548.3000000000002</v>
      </c>
      <c r="W26" s="29">
        <f t="shared" si="2"/>
        <v>2548.3000000000002</v>
      </c>
      <c r="X26" s="29">
        <f t="shared" si="2"/>
        <v>620.63202200000001</v>
      </c>
      <c r="Y26" s="30">
        <f>V26/V3*100</f>
        <v>74.831150525635763</v>
      </c>
      <c r="Z26" s="31">
        <f t="shared" ref="Z26:AH26" si="41">Z27+Z35+Z46+Z55+Z56+Z62+Z66+Z67+Z68+Z69+Z70+Z71</f>
        <v>878.20000000000016</v>
      </c>
      <c r="AA26" s="31">
        <f t="shared" si="41"/>
        <v>878.20000000000016</v>
      </c>
      <c r="AB26" s="33">
        <f t="shared" si="41"/>
        <v>620.63202200000001</v>
      </c>
      <c r="AC26" s="31">
        <f t="shared" si="41"/>
        <v>793.19999999999993</v>
      </c>
      <c r="AD26" s="31">
        <f t="shared" si="41"/>
        <v>793.19999999999993</v>
      </c>
      <c r="AE26" s="33">
        <f t="shared" si="41"/>
        <v>0</v>
      </c>
      <c r="AF26" s="31">
        <f t="shared" si="41"/>
        <v>876.9</v>
      </c>
      <c r="AG26" s="31">
        <f t="shared" si="41"/>
        <v>876.9</v>
      </c>
      <c r="AH26" s="33">
        <f t="shared" si="41"/>
        <v>0</v>
      </c>
      <c r="AI26" s="29">
        <f t="shared" si="4"/>
        <v>1989</v>
      </c>
      <c r="AJ26" s="30">
        <f t="shared" si="4"/>
        <v>1989</v>
      </c>
      <c r="AK26" s="30">
        <f t="shared" si="4"/>
        <v>0</v>
      </c>
      <c r="AL26" s="30">
        <f>AI26/AI3*100</f>
        <v>76.576576576576585</v>
      </c>
      <c r="AM26" s="31">
        <f t="shared" ref="AM26:AU26" si="42">AM27+AM35+AM46+AM55+AM56+AM62+AM66+AM67+AM68+AM69+AM70+AM71</f>
        <v>865.9</v>
      </c>
      <c r="AN26" s="31">
        <f t="shared" si="42"/>
        <v>865.9</v>
      </c>
      <c r="AO26" s="33">
        <f t="shared" si="42"/>
        <v>0</v>
      </c>
      <c r="AP26" s="31">
        <f t="shared" si="42"/>
        <v>618.49999999999989</v>
      </c>
      <c r="AQ26" s="31">
        <f t="shared" si="42"/>
        <v>618.49999999999989</v>
      </c>
      <c r="AR26" s="33">
        <f t="shared" si="42"/>
        <v>0</v>
      </c>
      <c r="AS26" s="31">
        <f t="shared" si="42"/>
        <v>504.6</v>
      </c>
      <c r="AT26" s="31">
        <f t="shared" si="42"/>
        <v>504.6</v>
      </c>
      <c r="AU26" s="33">
        <f t="shared" si="42"/>
        <v>0</v>
      </c>
      <c r="AV26" s="29">
        <f t="shared" si="6"/>
        <v>2822</v>
      </c>
      <c r="AW26" s="30">
        <f t="shared" si="6"/>
        <v>2822</v>
      </c>
      <c r="AX26" s="30">
        <f t="shared" si="6"/>
        <v>0</v>
      </c>
      <c r="AY26" s="30">
        <f>AV26/AV3*100</f>
        <v>76.146788990825684</v>
      </c>
      <c r="AZ26" s="31">
        <f t="shared" ref="AZ26:BH26" si="43">AZ27+AZ35+AZ46+AZ55+AZ56+AZ62+AZ66+AZ67+AZ68+AZ69+AZ70+AZ71</f>
        <v>933.50000000000011</v>
      </c>
      <c r="BA26" s="31">
        <f t="shared" si="43"/>
        <v>933.50000000000011</v>
      </c>
      <c r="BB26" s="33">
        <f t="shared" si="43"/>
        <v>0</v>
      </c>
      <c r="BC26" s="31">
        <f t="shared" si="43"/>
        <v>931.1</v>
      </c>
      <c r="BD26" s="31">
        <f t="shared" si="43"/>
        <v>931.1</v>
      </c>
      <c r="BE26" s="33">
        <f t="shared" si="43"/>
        <v>0</v>
      </c>
      <c r="BF26" s="31">
        <f t="shared" si="43"/>
        <v>957.4</v>
      </c>
      <c r="BG26" s="31">
        <f t="shared" si="43"/>
        <v>957.4</v>
      </c>
      <c r="BH26" s="33">
        <f t="shared" si="43"/>
        <v>0</v>
      </c>
      <c r="BI26" s="29">
        <f t="shared" si="8"/>
        <v>2900.8999999999996</v>
      </c>
      <c r="BJ26" s="30">
        <f t="shared" si="8"/>
        <v>2900.8999999999996</v>
      </c>
      <c r="BK26" s="30">
        <f t="shared" si="8"/>
        <v>0</v>
      </c>
      <c r="BL26" s="30">
        <f>BI26/BI3*100</f>
        <v>75.047860506027831</v>
      </c>
      <c r="BM26" s="34">
        <f t="shared" ref="BM26:BU26" si="44">BM27+BM35+BM46+BM55+BM56+BM62+BM66+BM67+BM68+BM69+BM70+BM71</f>
        <v>985.39999999999964</v>
      </c>
      <c r="BN26" s="31">
        <f t="shared" si="44"/>
        <v>985.39999999999964</v>
      </c>
      <c r="BO26" s="33">
        <f t="shared" si="44"/>
        <v>0</v>
      </c>
      <c r="BP26" s="31">
        <f t="shared" si="44"/>
        <v>939.5</v>
      </c>
      <c r="BQ26" s="31">
        <f t="shared" si="44"/>
        <v>939.5</v>
      </c>
      <c r="BR26" s="33">
        <f t="shared" si="44"/>
        <v>0</v>
      </c>
      <c r="BS26" s="31">
        <f t="shared" si="44"/>
        <v>976.00000000000011</v>
      </c>
      <c r="BT26" s="31">
        <f t="shared" si="44"/>
        <v>976.00000000000011</v>
      </c>
      <c r="BU26" s="132">
        <f t="shared" si="44"/>
        <v>0</v>
      </c>
      <c r="BV26" s="36">
        <v>11749.2</v>
      </c>
      <c r="BW26" s="27">
        <v>10201.700000000001</v>
      </c>
      <c r="BX26" s="31">
        <f>BX27+BX35+BX46+BX55+BX56+BX62+BX66+BX67+BX68+BX69+BX70+BX71</f>
        <v>10581.599999999999</v>
      </c>
      <c r="BY26" s="27">
        <v>9964.5</v>
      </c>
      <c r="BZ26" s="31">
        <f>BZ27+BZ35+BZ46+BZ55+BZ56+BZ62+BZ66+BZ67+BZ68+BZ69+BZ70+BZ71</f>
        <v>9531.5999999999967</v>
      </c>
      <c r="CA26" s="37" t="b">
        <f t="shared" si="10"/>
        <v>1</v>
      </c>
      <c r="CB26" s="37" t="b">
        <f t="shared" si="10"/>
        <v>1</v>
      </c>
      <c r="CC26" s="37" t="b">
        <f t="shared" si="11"/>
        <v>1</v>
      </c>
      <c r="CD26" s="38">
        <v>8068.6</v>
      </c>
      <c r="CE26" s="38">
        <f t="shared" si="12"/>
        <v>-2191.6000000000004</v>
      </c>
      <c r="CF26" s="38">
        <v>620.63202200000001</v>
      </c>
      <c r="CG26" s="38">
        <f t="shared" si="13"/>
        <v>0</v>
      </c>
      <c r="CH26" s="33">
        <f>CH27+CH35+CH46+CH55+CH56+CH62+CH66+CH67+CH68+CH69+CH70+CH71</f>
        <v>0</v>
      </c>
    </row>
    <row r="27" spans="1:86" ht="18.75" x14ac:dyDescent="0.25">
      <c r="A27" s="230" t="s">
        <v>80</v>
      </c>
      <c r="B27" s="239" t="s">
        <v>81</v>
      </c>
      <c r="C27" s="210" t="s">
        <v>173</v>
      </c>
      <c r="D27" s="63" t="s">
        <v>46</v>
      </c>
      <c r="E27" s="23">
        <v>4017.6450000000004</v>
      </c>
      <c r="F27" s="23">
        <v>4481.6999999999989</v>
      </c>
      <c r="G27" s="23">
        <v>4529.2999999999993</v>
      </c>
      <c r="H27" s="23"/>
      <c r="I27" s="24">
        <v>3695.4000000000005</v>
      </c>
      <c r="J27" s="25">
        <v>3462.0709999999999</v>
      </c>
      <c r="K27" s="25">
        <v>3350.1110000000003</v>
      </c>
      <c r="L27" s="25">
        <v>4008.9000000000005</v>
      </c>
      <c r="M27" s="25">
        <v>4010.7</v>
      </c>
      <c r="N27" s="26">
        <v>4505.3999999999996</v>
      </c>
      <c r="O27" s="27">
        <v>3526.5</v>
      </c>
      <c r="P27" s="27">
        <v>3682.1000000000004</v>
      </c>
      <c r="Q27" s="28">
        <f t="shared" si="0"/>
        <v>3682.1000000000004</v>
      </c>
      <c r="R27" s="29">
        <f t="shared" si="0"/>
        <v>3682.1000000000004</v>
      </c>
      <c r="S27" s="29"/>
      <c r="T27" s="29">
        <f t="shared" si="1"/>
        <v>203.70835300000002</v>
      </c>
      <c r="U27" s="29">
        <f>Q27/Q3*100</f>
        <v>27.125723799560937</v>
      </c>
      <c r="V27" s="29">
        <f t="shared" si="2"/>
        <v>900.50000000000011</v>
      </c>
      <c r="W27" s="29">
        <f t="shared" si="2"/>
        <v>900.50000000000011</v>
      </c>
      <c r="X27" s="29">
        <f t="shared" si="2"/>
        <v>203.70835300000002</v>
      </c>
      <c r="Y27" s="29">
        <f>V27/V3*100</f>
        <v>26.443295941739592</v>
      </c>
      <c r="Z27" s="31">
        <f t="shared" ref="Z27:AH28" si="45">Z29+Z31+Z33</f>
        <v>311</v>
      </c>
      <c r="AA27" s="31">
        <f t="shared" si="45"/>
        <v>311</v>
      </c>
      <c r="AB27" s="32">
        <f t="shared" si="45"/>
        <v>203.70835300000002</v>
      </c>
      <c r="AC27" s="31">
        <f t="shared" si="45"/>
        <v>280.7</v>
      </c>
      <c r="AD27" s="31">
        <f t="shared" si="45"/>
        <v>280.7</v>
      </c>
      <c r="AE27" s="32">
        <f t="shared" si="45"/>
        <v>0</v>
      </c>
      <c r="AF27" s="31">
        <f t="shared" si="45"/>
        <v>308.80000000000007</v>
      </c>
      <c r="AG27" s="31">
        <f t="shared" si="45"/>
        <v>308.80000000000007</v>
      </c>
      <c r="AH27" s="32">
        <f t="shared" si="45"/>
        <v>0</v>
      </c>
      <c r="AI27" s="29">
        <f t="shared" si="4"/>
        <v>724</v>
      </c>
      <c r="AJ27" s="30">
        <f t="shared" si="4"/>
        <v>724</v>
      </c>
      <c r="AK27" s="30">
        <f t="shared" si="4"/>
        <v>0</v>
      </c>
      <c r="AL27" s="29">
        <f>AI27/AI3*100</f>
        <v>27.874027874027878</v>
      </c>
      <c r="AM27" s="31">
        <f t="shared" ref="AM27:AU28" si="46">AM29+AM31+AM33</f>
        <v>314.10000000000002</v>
      </c>
      <c r="AN27" s="31">
        <f t="shared" si="46"/>
        <v>314.10000000000002</v>
      </c>
      <c r="AO27" s="33">
        <f t="shared" si="46"/>
        <v>0</v>
      </c>
      <c r="AP27" s="31">
        <f t="shared" si="46"/>
        <v>225.79999999999998</v>
      </c>
      <c r="AQ27" s="31">
        <f t="shared" si="46"/>
        <v>225.79999999999998</v>
      </c>
      <c r="AR27" s="32">
        <f t="shared" si="46"/>
        <v>0</v>
      </c>
      <c r="AS27" s="31">
        <f t="shared" si="46"/>
        <v>184.1</v>
      </c>
      <c r="AT27" s="31">
        <f t="shared" si="46"/>
        <v>184.1</v>
      </c>
      <c r="AU27" s="32">
        <f t="shared" si="46"/>
        <v>0</v>
      </c>
      <c r="AV27" s="29">
        <f t="shared" si="6"/>
        <v>1027.6000000000001</v>
      </c>
      <c r="AW27" s="30">
        <f t="shared" si="6"/>
        <v>1027.6000000000001</v>
      </c>
      <c r="AX27" s="30">
        <f t="shared" si="6"/>
        <v>0</v>
      </c>
      <c r="AY27" s="29">
        <f>AV27/AV3*100</f>
        <v>27.728008634646521</v>
      </c>
      <c r="AZ27" s="31">
        <f t="shared" ref="AZ27:BH28" si="47">AZ29+AZ31+AZ33</f>
        <v>342.09999999999997</v>
      </c>
      <c r="BA27" s="31">
        <f t="shared" si="47"/>
        <v>342.09999999999997</v>
      </c>
      <c r="BB27" s="32">
        <f t="shared" si="47"/>
        <v>0</v>
      </c>
      <c r="BC27" s="31">
        <f t="shared" si="47"/>
        <v>338.30000000000007</v>
      </c>
      <c r="BD27" s="31">
        <f t="shared" si="47"/>
        <v>338.30000000000007</v>
      </c>
      <c r="BE27" s="32">
        <f t="shared" si="47"/>
        <v>0</v>
      </c>
      <c r="BF27" s="31">
        <f t="shared" si="47"/>
        <v>347.2</v>
      </c>
      <c r="BG27" s="31">
        <f t="shared" si="47"/>
        <v>347.2</v>
      </c>
      <c r="BH27" s="32">
        <f t="shared" si="47"/>
        <v>0</v>
      </c>
      <c r="BI27" s="29">
        <f t="shared" si="8"/>
        <v>1030</v>
      </c>
      <c r="BJ27" s="30">
        <f t="shared" si="8"/>
        <v>1030</v>
      </c>
      <c r="BK27" s="30">
        <f t="shared" si="8"/>
        <v>0</v>
      </c>
      <c r="BL27" s="29">
        <f>BI27/BI3*100</f>
        <v>26.646660112795573</v>
      </c>
      <c r="BM27" s="34">
        <f t="shared" ref="BM27:BU28" si="48">BM29+BM31+BM33</f>
        <v>354.29999999999995</v>
      </c>
      <c r="BN27" s="31">
        <f t="shared" si="48"/>
        <v>354.29999999999995</v>
      </c>
      <c r="BO27" s="32">
        <f t="shared" si="48"/>
        <v>0</v>
      </c>
      <c r="BP27" s="31">
        <f t="shared" si="48"/>
        <v>328.6</v>
      </c>
      <c r="BQ27" s="31">
        <f t="shared" si="48"/>
        <v>328.6</v>
      </c>
      <c r="BR27" s="32">
        <f t="shared" si="48"/>
        <v>0</v>
      </c>
      <c r="BS27" s="31">
        <f t="shared" si="48"/>
        <v>347.1</v>
      </c>
      <c r="BT27" s="31">
        <f t="shared" si="48"/>
        <v>347.1</v>
      </c>
      <c r="BU27" s="35">
        <f t="shared" si="48"/>
        <v>0</v>
      </c>
      <c r="BV27" s="36">
        <v>4328.8999999999996</v>
      </c>
      <c r="BW27" s="27">
        <v>3670.3</v>
      </c>
      <c r="BX27" s="31">
        <f t="shared" ref="BX27:BX28" si="49">BX29+BX31+BX33</f>
        <v>3804.3000000000006</v>
      </c>
      <c r="BY27" s="27">
        <v>3588.9</v>
      </c>
      <c r="BZ27" s="31">
        <f t="shared" ref="BZ27:BZ28" si="50">BZ29+BZ31+BZ33</f>
        <v>3433.1999999999994</v>
      </c>
      <c r="CA27" s="37" t="b">
        <f t="shared" si="10"/>
        <v>1</v>
      </c>
      <c r="CB27" s="37" t="b">
        <f t="shared" si="10"/>
        <v>1</v>
      </c>
      <c r="CC27" s="37" t="b">
        <f t="shared" si="11"/>
        <v>1</v>
      </c>
      <c r="CD27" s="38">
        <v>2907.5</v>
      </c>
      <c r="CE27" s="38">
        <f t="shared" si="12"/>
        <v>-774.60000000000036</v>
      </c>
      <c r="CF27" s="38">
        <v>203.70835299999999</v>
      </c>
      <c r="CG27" s="38">
        <f t="shared" si="13"/>
        <v>0</v>
      </c>
      <c r="CH27" s="32">
        <f t="shared" ref="CH27:CH28" si="51">CH29+CH31+CH33</f>
        <v>0</v>
      </c>
    </row>
    <row r="28" spans="1:86" ht="18.75" x14ac:dyDescent="0.25">
      <c r="A28" s="230"/>
      <c r="B28" s="239"/>
      <c r="C28" s="210" t="s">
        <v>174</v>
      </c>
      <c r="D28" s="44" t="s">
        <v>49</v>
      </c>
      <c r="E28" s="45">
        <v>5763.5770000000002</v>
      </c>
      <c r="F28" s="45">
        <v>6441</v>
      </c>
      <c r="G28" s="45">
        <v>6508.5999999999995</v>
      </c>
      <c r="H28" s="45"/>
      <c r="I28" s="46">
        <v>5312.6</v>
      </c>
      <c r="J28" s="47">
        <v>4983.1549999999997</v>
      </c>
      <c r="K28" s="47">
        <v>4817.3510000000006</v>
      </c>
      <c r="L28" s="47">
        <v>5773.2</v>
      </c>
      <c r="M28" s="47">
        <v>5775.7000000000007</v>
      </c>
      <c r="N28" s="26">
        <v>6488.3000000000011</v>
      </c>
      <c r="O28" s="27">
        <v>5084.3</v>
      </c>
      <c r="P28" s="27">
        <v>5308.6</v>
      </c>
      <c r="Q28" s="28">
        <f t="shared" si="0"/>
        <v>5308.6</v>
      </c>
      <c r="R28" s="29">
        <f t="shared" si="0"/>
        <v>5308.6</v>
      </c>
      <c r="S28" s="29"/>
      <c r="T28" s="29">
        <f t="shared" si="1"/>
        <v>293.06337600000001</v>
      </c>
      <c r="U28" s="30">
        <f>Q28*100/Q5</f>
        <v>54.806372017633521</v>
      </c>
      <c r="V28" s="29">
        <f t="shared" si="2"/>
        <v>1298.4000000000001</v>
      </c>
      <c r="W28" s="29">
        <f t="shared" si="2"/>
        <v>1298.4000000000001</v>
      </c>
      <c r="X28" s="29">
        <f t="shared" si="2"/>
        <v>293.06337600000001</v>
      </c>
      <c r="Y28" s="30">
        <f>V28*100/V5</f>
        <v>53.432098765432102</v>
      </c>
      <c r="Z28" s="31">
        <f t="shared" si="45"/>
        <v>448.40000000000003</v>
      </c>
      <c r="AA28" s="31">
        <f t="shared" si="45"/>
        <v>448.40000000000003</v>
      </c>
      <c r="AB28" s="32">
        <f t="shared" si="45"/>
        <v>293.06337600000001</v>
      </c>
      <c r="AC28" s="31">
        <f t="shared" si="45"/>
        <v>404.7</v>
      </c>
      <c r="AD28" s="31">
        <f t="shared" si="45"/>
        <v>404.7</v>
      </c>
      <c r="AE28" s="32">
        <f t="shared" si="45"/>
        <v>0</v>
      </c>
      <c r="AF28" s="31">
        <f t="shared" si="45"/>
        <v>445.30000000000007</v>
      </c>
      <c r="AG28" s="31">
        <f t="shared" si="45"/>
        <v>445.30000000000007</v>
      </c>
      <c r="AH28" s="32">
        <f t="shared" si="45"/>
        <v>0</v>
      </c>
      <c r="AI28" s="29">
        <f t="shared" si="4"/>
        <v>1043.7</v>
      </c>
      <c r="AJ28" s="30">
        <f t="shared" si="4"/>
        <v>1043.7</v>
      </c>
      <c r="AK28" s="30">
        <f t="shared" si="4"/>
        <v>0</v>
      </c>
      <c r="AL28" s="30">
        <f>AI28*100/AI5</f>
        <v>56.312722563936546</v>
      </c>
      <c r="AM28" s="31">
        <f t="shared" si="46"/>
        <v>452.90000000000003</v>
      </c>
      <c r="AN28" s="31">
        <f t="shared" si="46"/>
        <v>452.90000000000003</v>
      </c>
      <c r="AO28" s="33">
        <f t="shared" si="46"/>
        <v>0</v>
      </c>
      <c r="AP28" s="31">
        <f t="shared" si="46"/>
        <v>325.50000000000006</v>
      </c>
      <c r="AQ28" s="31">
        <f t="shared" si="46"/>
        <v>325.50000000000006</v>
      </c>
      <c r="AR28" s="32">
        <f t="shared" si="46"/>
        <v>0</v>
      </c>
      <c r="AS28" s="31">
        <f t="shared" si="46"/>
        <v>265.3</v>
      </c>
      <c r="AT28" s="31">
        <f t="shared" si="46"/>
        <v>265.3</v>
      </c>
      <c r="AU28" s="32">
        <f t="shared" si="46"/>
        <v>0</v>
      </c>
      <c r="AV28" s="29">
        <f t="shared" si="6"/>
        <v>1481.6</v>
      </c>
      <c r="AW28" s="30">
        <f t="shared" si="6"/>
        <v>1481.6</v>
      </c>
      <c r="AX28" s="30">
        <f t="shared" si="6"/>
        <v>0</v>
      </c>
      <c r="AY28" s="30">
        <f>AV28*100/AV5</f>
        <v>56.025713745509549</v>
      </c>
      <c r="AZ28" s="31">
        <f t="shared" si="47"/>
        <v>493.2</v>
      </c>
      <c r="BA28" s="31">
        <f t="shared" si="47"/>
        <v>493.2</v>
      </c>
      <c r="BB28" s="32">
        <f t="shared" si="47"/>
        <v>0</v>
      </c>
      <c r="BC28" s="31">
        <f t="shared" si="47"/>
        <v>487.8</v>
      </c>
      <c r="BD28" s="31">
        <f t="shared" si="47"/>
        <v>487.8</v>
      </c>
      <c r="BE28" s="32">
        <f t="shared" si="47"/>
        <v>0</v>
      </c>
      <c r="BF28" s="31">
        <f t="shared" si="47"/>
        <v>500.6</v>
      </c>
      <c r="BG28" s="31">
        <f t="shared" si="47"/>
        <v>500.6</v>
      </c>
      <c r="BH28" s="32">
        <f t="shared" si="47"/>
        <v>0</v>
      </c>
      <c r="BI28" s="29">
        <f t="shared" si="8"/>
        <v>1484.9</v>
      </c>
      <c r="BJ28" s="30">
        <f t="shared" si="8"/>
        <v>1484.9</v>
      </c>
      <c r="BK28" s="30">
        <f t="shared" si="8"/>
        <v>0</v>
      </c>
      <c r="BL28" s="30">
        <f>BI28*100/BI5</f>
        <v>53.835834964832138</v>
      </c>
      <c r="BM28" s="34">
        <f t="shared" si="48"/>
        <v>510.8</v>
      </c>
      <c r="BN28" s="31">
        <f t="shared" si="48"/>
        <v>510.8</v>
      </c>
      <c r="BO28" s="32">
        <f t="shared" si="48"/>
        <v>0</v>
      </c>
      <c r="BP28" s="31">
        <f t="shared" si="48"/>
        <v>473.8</v>
      </c>
      <c r="BQ28" s="31">
        <f t="shared" si="48"/>
        <v>473.8</v>
      </c>
      <c r="BR28" s="32">
        <f t="shared" si="48"/>
        <v>0</v>
      </c>
      <c r="BS28" s="31">
        <f t="shared" si="48"/>
        <v>500.3</v>
      </c>
      <c r="BT28" s="31">
        <f t="shared" si="48"/>
        <v>500.3</v>
      </c>
      <c r="BU28" s="35">
        <f t="shared" si="48"/>
        <v>0</v>
      </c>
      <c r="BV28" s="36">
        <v>6234</v>
      </c>
      <c r="BW28" s="27">
        <v>5291.7000000000007</v>
      </c>
      <c r="BX28" s="31">
        <f t="shared" si="49"/>
        <v>5484.8</v>
      </c>
      <c r="BY28" s="27">
        <v>5174.3</v>
      </c>
      <c r="BZ28" s="31">
        <f t="shared" si="50"/>
        <v>4949.8</v>
      </c>
      <c r="CA28" s="37" t="b">
        <f t="shared" si="10"/>
        <v>1</v>
      </c>
      <c r="CB28" s="37" t="b">
        <f t="shared" si="10"/>
        <v>1</v>
      </c>
      <c r="CC28" s="37" t="b">
        <f t="shared" si="11"/>
        <v>1</v>
      </c>
      <c r="CD28" s="38">
        <v>4189.5</v>
      </c>
      <c r="CE28" s="38">
        <f t="shared" si="12"/>
        <v>-1119.1000000000004</v>
      </c>
      <c r="CF28" s="38">
        <v>293.06337600000001</v>
      </c>
      <c r="CG28" s="38">
        <f t="shared" si="13"/>
        <v>0</v>
      </c>
      <c r="CH28" s="32">
        <f t="shared" si="51"/>
        <v>0</v>
      </c>
    </row>
    <row r="29" spans="1:86" ht="18.75" x14ac:dyDescent="0.25">
      <c r="A29" s="240" t="s">
        <v>82</v>
      </c>
      <c r="B29" s="236" t="s">
        <v>83</v>
      </c>
      <c r="C29" s="211" t="s">
        <v>175</v>
      </c>
      <c r="D29" s="71" t="s">
        <v>46</v>
      </c>
      <c r="E29" s="1">
        <v>3681.7849999999999</v>
      </c>
      <c r="F29" s="1">
        <v>4103.9999999999991</v>
      </c>
      <c r="G29" s="1">
        <v>4162.6000000000004</v>
      </c>
      <c r="H29" s="1"/>
      <c r="I29" s="72">
        <v>3298.9</v>
      </c>
      <c r="J29" s="73">
        <v>3106.183</v>
      </c>
      <c r="K29" s="73">
        <v>2998.0510000000004</v>
      </c>
      <c r="L29" s="73">
        <v>3647</v>
      </c>
      <c r="M29" s="73">
        <v>3647.2</v>
      </c>
      <c r="N29" s="74">
        <v>4122.7</v>
      </c>
      <c r="O29" s="92">
        <v>3215.3</v>
      </c>
      <c r="P29" s="92">
        <v>3363.2000000000003</v>
      </c>
      <c r="Q29" s="28">
        <f t="shared" si="0"/>
        <v>3363.2000000000003</v>
      </c>
      <c r="R29" s="29">
        <f t="shared" si="0"/>
        <v>3363.2000000000003</v>
      </c>
      <c r="S29" s="29"/>
      <c r="T29" s="29">
        <f t="shared" si="1"/>
        <v>184.44954200000001</v>
      </c>
      <c r="U29" s="29">
        <f>Q29/Q3*100</f>
        <v>24.776414079651108</v>
      </c>
      <c r="V29" s="29">
        <f t="shared" si="2"/>
        <v>818.9</v>
      </c>
      <c r="W29" s="29">
        <f t="shared" si="2"/>
        <v>818.9</v>
      </c>
      <c r="X29" s="29">
        <f t="shared" si="2"/>
        <v>184.44954200000001</v>
      </c>
      <c r="Y29" s="29">
        <f>V29/V3*100</f>
        <v>24.04710166206613</v>
      </c>
      <c r="Z29" s="79">
        <v>282.7</v>
      </c>
      <c r="AA29" s="79">
        <v>282.7</v>
      </c>
      <c r="AB29" s="64">
        <v>184.44954200000001</v>
      </c>
      <c r="AC29" s="79">
        <v>255.1</v>
      </c>
      <c r="AD29" s="79">
        <v>255.1</v>
      </c>
      <c r="AE29" s="64"/>
      <c r="AF29" s="79">
        <v>281.10000000000002</v>
      </c>
      <c r="AG29" s="79">
        <v>281.10000000000002</v>
      </c>
      <c r="AH29" s="64"/>
      <c r="AI29" s="29">
        <f t="shared" si="4"/>
        <v>655</v>
      </c>
      <c r="AJ29" s="30">
        <f t="shared" si="4"/>
        <v>655</v>
      </c>
      <c r="AK29" s="30">
        <f t="shared" si="4"/>
        <v>0</v>
      </c>
      <c r="AL29" s="29">
        <f>AI29/AI3*100</f>
        <v>25.217525217525221</v>
      </c>
      <c r="AM29" s="79">
        <v>288.3</v>
      </c>
      <c r="AN29" s="79">
        <v>288.3</v>
      </c>
      <c r="AO29" s="133"/>
      <c r="AP29" s="79">
        <v>203.1</v>
      </c>
      <c r="AQ29" s="79">
        <v>203.1</v>
      </c>
      <c r="AR29" s="64"/>
      <c r="AS29" s="79">
        <v>163.6</v>
      </c>
      <c r="AT29" s="79">
        <v>163.6</v>
      </c>
      <c r="AU29" s="64"/>
      <c r="AV29" s="29">
        <f t="shared" si="6"/>
        <v>945.90000000000009</v>
      </c>
      <c r="AW29" s="30">
        <f t="shared" si="6"/>
        <v>945.90000000000009</v>
      </c>
      <c r="AX29" s="30">
        <f t="shared" si="6"/>
        <v>0</v>
      </c>
      <c r="AY29" s="29">
        <f>AV29/AV3*100</f>
        <v>25.523475445223966</v>
      </c>
      <c r="AZ29" s="79">
        <v>314.3</v>
      </c>
      <c r="BA29" s="79">
        <v>314.3</v>
      </c>
      <c r="BB29" s="64"/>
      <c r="BC29" s="79">
        <v>311.60000000000002</v>
      </c>
      <c r="BD29" s="79">
        <v>311.60000000000002</v>
      </c>
      <c r="BE29" s="64"/>
      <c r="BF29" s="79">
        <v>320</v>
      </c>
      <c r="BG29" s="79">
        <v>320</v>
      </c>
      <c r="BH29" s="64"/>
      <c r="BI29" s="29">
        <f t="shared" si="8"/>
        <v>943.4</v>
      </c>
      <c r="BJ29" s="30">
        <f t="shared" si="8"/>
        <v>943.4</v>
      </c>
      <c r="BK29" s="30">
        <f t="shared" si="8"/>
        <v>0</v>
      </c>
      <c r="BL29" s="29">
        <f>BI29/BI3*100</f>
        <v>24.406271019816838</v>
      </c>
      <c r="BM29" s="83">
        <v>325.39999999999998</v>
      </c>
      <c r="BN29" s="79">
        <v>325.39999999999998</v>
      </c>
      <c r="BO29" s="64"/>
      <c r="BP29" s="79">
        <v>300.60000000000002</v>
      </c>
      <c r="BQ29" s="79">
        <v>300.60000000000002</v>
      </c>
      <c r="BR29" s="64"/>
      <c r="BS29" s="79">
        <v>317.39999999999998</v>
      </c>
      <c r="BT29" s="79">
        <v>317.39999999999998</v>
      </c>
      <c r="BU29" s="134"/>
      <c r="BV29" s="99">
        <v>3960.1</v>
      </c>
      <c r="BW29" s="92">
        <v>3349.8</v>
      </c>
      <c r="BX29" s="79">
        <v>3471.8000000000006</v>
      </c>
      <c r="BY29" s="92">
        <v>3275.4</v>
      </c>
      <c r="BZ29" s="79">
        <v>3125.9999999999995</v>
      </c>
      <c r="CA29" s="37" t="b">
        <f t="shared" si="10"/>
        <v>1</v>
      </c>
      <c r="CB29" s="37" t="b">
        <f t="shared" si="10"/>
        <v>1</v>
      </c>
      <c r="CC29" s="37" t="b">
        <f t="shared" si="11"/>
        <v>1</v>
      </c>
      <c r="CD29" s="100">
        <v>2644.8</v>
      </c>
      <c r="CE29" s="38">
        <f t="shared" si="12"/>
        <v>-718.40000000000009</v>
      </c>
      <c r="CF29" s="38">
        <v>184.44954200000001</v>
      </c>
      <c r="CG29" s="38">
        <f t="shared" si="13"/>
        <v>0</v>
      </c>
      <c r="CH29" s="64"/>
    </row>
    <row r="30" spans="1:86" ht="18.75" x14ac:dyDescent="0.25">
      <c r="A30" s="240"/>
      <c r="B30" s="236"/>
      <c r="C30" s="211" t="s">
        <v>176</v>
      </c>
      <c r="D30" s="135" t="s">
        <v>49</v>
      </c>
      <c r="E30" s="136">
        <v>5292.9620000000004</v>
      </c>
      <c r="F30" s="136">
        <v>5898.2</v>
      </c>
      <c r="G30" s="136">
        <v>5981.6</v>
      </c>
      <c r="H30" s="136"/>
      <c r="I30" s="137">
        <v>4742.5</v>
      </c>
      <c r="J30" s="138">
        <v>4476.317</v>
      </c>
      <c r="K30" s="138">
        <v>4321.6509999999998</v>
      </c>
      <c r="L30" s="138">
        <v>5252</v>
      </c>
      <c r="M30" s="138">
        <v>5252.3</v>
      </c>
      <c r="N30" s="74">
        <v>5937.1</v>
      </c>
      <c r="O30" s="92">
        <v>4635.7</v>
      </c>
      <c r="P30" s="92">
        <v>4848.3999999999996</v>
      </c>
      <c r="Q30" s="28">
        <f t="shared" si="0"/>
        <v>4848.3999999999996</v>
      </c>
      <c r="R30" s="29">
        <f t="shared" si="0"/>
        <v>4848.3999999999996</v>
      </c>
      <c r="S30" s="29"/>
      <c r="T30" s="29">
        <f t="shared" si="1"/>
        <v>265.35684300000003</v>
      </c>
      <c r="U30" s="93"/>
      <c r="V30" s="29">
        <f t="shared" si="2"/>
        <v>1182.3000000000002</v>
      </c>
      <c r="W30" s="29">
        <f t="shared" si="2"/>
        <v>1182.3000000000002</v>
      </c>
      <c r="X30" s="29">
        <f t="shared" si="2"/>
        <v>265.35684300000003</v>
      </c>
      <c r="Y30" s="93"/>
      <c r="Z30" s="79">
        <v>408.2</v>
      </c>
      <c r="AA30" s="79">
        <v>408.2</v>
      </c>
      <c r="AB30" s="64">
        <v>265.35684300000003</v>
      </c>
      <c r="AC30" s="79">
        <v>368.5</v>
      </c>
      <c r="AD30" s="79">
        <v>368.5</v>
      </c>
      <c r="AE30" s="64"/>
      <c r="AF30" s="79">
        <v>405.6</v>
      </c>
      <c r="AG30" s="79">
        <v>405.6</v>
      </c>
      <c r="AH30" s="64"/>
      <c r="AI30" s="29">
        <f t="shared" si="4"/>
        <v>944.5</v>
      </c>
      <c r="AJ30" s="30">
        <f t="shared" si="4"/>
        <v>944.5</v>
      </c>
      <c r="AK30" s="30">
        <f t="shared" si="4"/>
        <v>0</v>
      </c>
      <c r="AL30" s="93"/>
      <c r="AM30" s="79">
        <v>415.7</v>
      </c>
      <c r="AN30" s="79">
        <v>415.7</v>
      </c>
      <c r="AO30" s="133"/>
      <c r="AP30" s="79">
        <v>292.60000000000002</v>
      </c>
      <c r="AQ30" s="79">
        <v>292.60000000000002</v>
      </c>
      <c r="AR30" s="64"/>
      <c r="AS30" s="79">
        <v>236.2</v>
      </c>
      <c r="AT30" s="79">
        <v>236.2</v>
      </c>
      <c r="AU30" s="64"/>
      <c r="AV30" s="29">
        <f t="shared" si="6"/>
        <v>1363.1</v>
      </c>
      <c r="AW30" s="30">
        <f t="shared" si="6"/>
        <v>1363.1</v>
      </c>
      <c r="AX30" s="30">
        <f t="shared" si="6"/>
        <v>0</v>
      </c>
      <c r="AY30" s="93"/>
      <c r="AZ30" s="79">
        <v>453</v>
      </c>
      <c r="BA30" s="79">
        <v>453</v>
      </c>
      <c r="BB30" s="64"/>
      <c r="BC30" s="79">
        <v>448.8</v>
      </c>
      <c r="BD30" s="79">
        <v>448.8</v>
      </c>
      <c r="BE30" s="64"/>
      <c r="BF30" s="79">
        <v>461.3</v>
      </c>
      <c r="BG30" s="79">
        <v>461.3</v>
      </c>
      <c r="BH30" s="64"/>
      <c r="BI30" s="29">
        <f t="shared" si="8"/>
        <v>1358.5</v>
      </c>
      <c r="BJ30" s="30">
        <f t="shared" si="8"/>
        <v>1358.5</v>
      </c>
      <c r="BK30" s="30">
        <f t="shared" si="8"/>
        <v>0</v>
      </c>
      <c r="BL30" s="93"/>
      <c r="BM30" s="83">
        <v>468.5</v>
      </c>
      <c r="BN30" s="79">
        <v>468.5</v>
      </c>
      <c r="BO30" s="64"/>
      <c r="BP30" s="79">
        <v>433.3</v>
      </c>
      <c r="BQ30" s="79">
        <v>433.3</v>
      </c>
      <c r="BR30" s="64"/>
      <c r="BS30" s="79">
        <v>456.7</v>
      </c>
      <c r="BT30" s="79">
        <v>456.7</v>
      </c>
      <c r="BU30" s="134"/>
      <c r="BV30" s="99">
        <v>5702.9</v>
      </c>
      <c r="BW30" s="92">
        <v>4829.6000000000004</v>
      </c>
      <c r="BX30" s="79">
        <v>5003.2</v>
      </c>
      <c r="BY30" s="92">
        <v>4722.3</v>
      </c>
      <c r="BZ30" s="79">
        <v>4504.3999999999996</v>
      </c>
      <c r="CA30" s="37" t="b">
        <f t="shared" si="10"/>
        <v>1</v>
      </c>
      <c r="CB30" s="37" t="b">
        <f t="shared" si="10"/>
        <v>1</v>
      </c>
      <c r="CC30" s="37" t="b">
        <f t="shared" si="11"/>
        <v>1</v>
      </c>
      <c r="CD30" s="100">
        <v>3810.7</v>
      </c>
      <c r="CE30" s="38">
        <f t="shared" si="12"/>
        <v>-1037.6999999999998</v>
      </c>
      <c r="CF30" s="38">
        <v>265.35684300000003</v>
      </c>
      <c r="CG30" s="38">
        <f t="shared" si="13"/>
        <v>0</v>
      </c>
      <c r="CH30" s="64"/>
    </row>
    <row r="31" spans="1:86" ht="18.75" x14ac:dyDescent="0.25">
      <c r="A31" s="90" t="s">
        <v>84</v>
      </c>
      <c r="B31" s="235" t="s">
        <v>85</v>
      </c>
      <c r="C31" s="211" t="s">
        <v>177</v>
      </c>
      <c r="D31" s="71" t="s">
        <v>46</v>
      </c>
      <c r="E31" s="1">
        <v>94.438000000000002</v>
      </c>
      <c r="F31" s="1">
        <v>97.600000000000023</v>
      </c>
      <c r="G31" s="1">
        <v>97.9</v>
      </c>
      <c r="H31" s="1"/>
      <c r="I31" s="72">
        <v>98.1</v>
      </c>
      <c r="J31" s="73">
        <v>93.072999999999993</v>
      </c>
      <c r="K31" s="73">
        <v>96.37700000000001</v>
      </c>
      <c r="L31" s="73">
        <v>93.699999999999989</v>
      </c>
      <c r="M31" s="73">
        <v>94.799999999999983</v>
      </c>
      <c r="N31" s="74">
        <v>95.5</v>
      </c>
      <c r="O31" s="92">
        <v>93.600000000000009</v>
      </c>
      <c r="P31" s="92">
        <v>94.9</v>
      </c>
      <c r="Q31" s="28">
        <f t="shared" si="0"/>
        <v>94.9</v>
      </c>
      <c r="R31" s="29">
        <f t="shared" si="0"/>
        <v>94.9</v>
      </c>
      <c r="S31" s="29"/>
      <c r="T31" s="29">
        <f t="shared" si="1"/>
        <v>8.6439920000000008</v>
      </c>
      <c r="U31" s="93">
        <f>Q31/Q3*100</f>
        <v>0.69912039015190597</v>
      </c>
      <c r="V31" s="29">
        <f t="shared" si="2"/>
        <v>25.700000000000003</v>
      </c>
      <c r="W31" s="29">
        <f t="shared" si="2"/>
        <v>25.700000000000003</v>
      </c>
      <c r="X31" s="29">
        <f t="shared" si="2"/>
        <v>8.6439920000000008</v>
      </c>
      <c r="Y31" s="93">
        <f>V31/V3*100</f>
        <v>0.75468373759323437</v>
      </c>
      <c r="Z31" s="79">
        <v>8.8000000000000007</v>
      </c>
      <c r="AA31" s="79">
        <v>8.8000000000000007</v>
      </c>
      <c r="AB31" s="64">
        <v>8.6439920000000008</v>
      </c>
      <c r="AC31" s="79">
        <v>8.3000000000000007</v>
      </c>
      <c r="AD31" s="79">
        <v>8.3000000000000007</v>
      </c>
      <c r="AE31" s="64"/>
      <c r="AF31" s="79">
        <v>8.6</v>
      </c>
      <c r="AG31" s="79">
        <v>8.6</v>
      </c>
      <c r="AH31" s="64"/>
      <c r="AI31" s="29">
        <f t="shared" si="4"/>
        <v>21.6</v>
      </c>
      <c r="AJ31" s="30">
        <f t="shared" si="4"/>
        <v>21.6</v>
      </c>
      <c r="AK31" s="30">
        <f t="shared" si="4"/>
        <v>0</v>
      </c>
      <c r="AL31" s="93">
        <f>AI31/AI3*100</f>
        <v>0.83160083160083187</v>
      </c>
      <c r="AM31" s="79">
        <v>7.7</v>
      </c>
      <c r="AN31" s="79">
        <v>7.7</v>
      </c>
      <c r="AO31" s="133"/>
      <c r="AP31" s="79">
        <v>7</v>
      </c>
      <c r="AQ31" s="79">
        <v>7</v>
      </c>
      <c r="AR31" s="64"/>
      <c r="AS31" s="79">
        <v>6.9</v>
      </c>
      <c r="AT31" s="79">
        <v>6.9</v>
      </c>
      <c r="AU31" s="64"/>
      <c r="AV31" s="29">
        <f t="shared" si="6"/>
        <v>22.3</v>
      </c>
      <c r="AW31" s="30">
        <f t="shared" si="6"/>
        <v>22.3</v>
      </c>
      <c r="AX31" s="30">
        <f t="shared" si="6"/>
        <v>0</v>
      </c>
      <c r="AY31" s="93">
        <f>AV31/AV3*100</f>
        <v>0.60172692930383165</v>
      </c>
      <c r="AZ31" s="79">
        <v>7.4</v>
      </c>
      <c r="BA31" s="79">
        <v>7.4</v>
      </c>
      <c r="BB31" s="64"/>
      <c r="BC31" s="79">
        <v>7.1</v>
      </c>
      <c r="BD31" s="79">
        <v>7.1</v>
      </c>
      <c r="BE31" s="64"/>
      <c r="BF31" s="79">
        <v>7.8</v>
      </c>
      <c r="BG31" s="79">
        <v>7.8</v>
      </c>
      <c r="BH31" s="64"/>
      <c r="BI31" s="29">
        <f t="shared" si="8"/>
        <v>25.300000000000004</v>
      </c>
      <c r="BJ31" s="30">
        <f t="shared" si="8"/>
        <v>25.300000000000004</v>
      </c>
      <c r="BK31" s="30">
        <f t="shared" si="8"/>
        <v>0</v>
      </c>
      <c r="BL31" s="93">
        <f>BI31/BI3*100</f>
        <v>0.65452475811041566</v>
      </c>
      <c r="BM31" s="83">
        <v>8.4</v>
      </c>
      <c r="BN31" s="79">
        <v>8.4</v>
      </c>
      <c r="BO31" s="64"/>
      <c r="BP31" s="79">
        <v>8.3000000000000007</v>
      </c>
      <c r="BQ31" s="79">
        <v>8.3000000000000007</v>
      </c>
      <c r="BR31" s="64"/>
      <c r="BS31" s="79">
        <v>8.6</v>
      </c>
      <c r="BT31" s="79">
        <v>8.6</v>
      </c>
      <c r="BU31" s="134"/>
      <c r="BV31" s="99">
        <v>96.5</v>
      </c>
      <c r="BW31" s="92">
        <v>94.2</v>
      </c>
      <c r="BX31" s="79">
        <v>94.200000000000017</v>
      </c>
      <c r="BY31" s="92">
        <v>93.8</v>
      </c>
      <c r="BZ31" s="79">
        <v>93.200000000000017</v>
      </c>
      <c r="CA31" s="37" t="b">
        <f t="shared" si="10"/>
        <v>1</v>
      </c>
      <c r="CB31" s="37" t="b">
        <f t="shared" si="10"/>
        <v>1</v>
      </c>
      <c r="CC31" s="37" t="b">
        <f t="shared" si="11"/>
        <v>1</v>
      </c>
      <c r="CD31" s="100">
        <v>82.8</v>
      </c>
      <c r="CE31" s="38">
        <f t="shared" si="12"/>
        <v>-12.100000000000009</v>
      </c>
      <c r="CF31" s="38">
        <v>8.6439920000000008</v>
      </c>
      <c r="CG31" s="38">
        <f t="shared" si="13"/>
        <v>0</v>
      </c>
      <c r="CH31" s="64"/>
    </row>
    <row r="32" spans="1:86" ht="18.75" x14ac:dyDescent="0.25">
      <c r="A32" s="90"/>
      <c r="B32" s="235"/>
      <c r="C32" s="211" t="s">
        <v>178</v>
      </c>
      <c r="D32" s="135" t="s">
        <v>49</v>
      </c>
      <c r="E32" s="136">
        <v>135.767</v>
      </c>
      <c r="F32" s="136">
        <v>140.20000000000002</v>
      </c>
      <c r="G32" s="136">
        <v>140.69999999999999</v>
      </c>
      <c r="H32" s="136"/>
      <c r="I32" s="137">
        <v>141.1</v>
      </c>
      <c r="J32" s="138">
        <v>134.20400000000001</v>
      </c>
      <c r="K32" s="138">
        <v>138.93299999999999</v>
      </c>
      <c r="L32" s="138">
        <v>134.89999999999998</v>
      </c>
      <c r="M32" s="138">
        <v>136.5</v>
      </c>
      <c r="N32" s="74">
        <v>137.6</v>
      </c>
      <c r="O32" s="92">
        <v>134.89999999999998</v>
      </c>
      <c r="P32" s="92">
        <v>137.30000000000001</v>
      </c>
      <c r="Q32" s="28">
        <f t="shared" si="0"/>
        <v>137.30000000000001</v>
      </c>
      <c r="R32" s="29">
        <f t="shared" si="0"/>
        <v>137.30000000000001</v>
      </c>
      <c r="S32" s="29"/>
      <c r="T32" s="29">
        <f t="shared" si="1"/>
        <v>12.43561</v>
      </c>
      <c r="U32" s="93"/>
      <c r="V32" s="29">
        <f t="shared" si="2"/>
        <v>35.5</v>
      </c>
      <c r="W32" s="29">
        <f t="shared" si="2"/>
        <v>35.5</v>
      </c>
      <c r="X32" s="29">
        <f t="shared" si="2"/>
        <v>12.43561</v>
      </c>
      <c r="Y32" s="93"/>
      <c r="Z32" s="79">
        <v>12.1</v>
      </c>
      <c r="AA32" s="79">
        <v>12.1</v>
      </c>
      <c r="AB32" s="64">
        <v>12.43561</v>
      </c>
      <c r="AC32" s="79">
        <v>11.3</v>
      </c>
      <c r="AD32" s="79">
        <v>11.3</v>
      </c>
      <c r="AE32" s="64"/>
      <c r="AF32" s="79">
        <v>12.1</v>
      </c>
      <c r="AG32" s="79">
        <v>12.1</v>
      </c>
      <c r="AH32" s="64"/>
      <c r="AI32" s="29">
        <f t="shared" si="4"/>
        <v>30.9</v>
      </c>
      <c r="AJ32" s="30">
        <f t="shared" si="4"/>
        <v>30.9</v>
      </c>
      <c r="AK32" s="30">
        <f t="shared" si="4"/>
        <v>0</v>
      </c>
      <c r="AL32" s="93"/>
      <c r="AM32" s="79">
        <v>11.1</v>
      </c>
      <c r="AN32" s="79">
        <v>11.1</v>
      </c>
      <c r="AO32" s="133"/>
      <c r="AP32" s="79">
        <v>10.3</v>
      </c>
      <c r="AQ32" s="79">
        <v>10.3</v>
      </c>
      <c r="AR32" s="64"/>
      <c r="AS32" s="79">
        <v>9.5</v>
      </c>
      <c r="AT32" s="79">
        <v>9.5</v>
      </c>
      <c r="AU32" s="64"/>
      <c r="AV32" s="29">
        <f t="shared" si="6"/>
        <v>32.799999999999997</v>
      </c>
      <c r="AW32" s="30">
        <f t="shared" si="6"/>
        <v>32.799999999999997</v>
      </c>
      <c r="AX32" s="30">
        <f t="shared" si="6"/>
        <v>0</v>
      </c>
      <c r="AY32" s="93"/>
      <c r="AZ32" s="79">
        <v>10.8</v>
      </c>
      <c r="BA32" s="79">
        <v>10.8</v>
      </c>
      <c r="BB32" s="64"/>
      <c r="BC32" s="79">
        <v>10.8</v>
      </c>
      <c r="BD32" s="79">
        <v>10.8</v>
      </c>
      <c r="BE32" s="64"/>
      <c r="BF32" s="79">
        <v>11.2</v>
      </c>
      <c r="BG32" s="79">
        <v>11.2</v>
      </c>
      <c r="BH32" s="64"/>
      <c r="BI32" s="29">
        <f t="shared" si="8"/>
        <v>38.099999999999994</v>
      </c>
      <c r="BJ32" s="30">
        <f t="shared" si="8"/>
        <v>38.099999999999994</v>
      </c>
      <c r="BK32" s="30">
        <f t="shared" si="8"/>
        <v>0</v>
      </c>
      <c r="BL32" s="93"/>
      <c r="BM32" s="83">
        <v>12.7</v>
      </c>
      <c r="BN32" s="79">
        <v>12.7</v>
      </c>
      <c r="BO32" s="64"/>
      <c r="BP32" s="79">
        <v>12.1</v>
      </c>
      <c r="BQ32" s="79">
        <v>12.1</v>
      </c>
      <c r="BR32" s="64"/>
      <c r="BS32" s="79">
        <v>13.3</v>
      </c>
      <c r="BT32" s="79">
        <v>13.3</v>
      </c>
      <c r="BU32" s="134"/>
      <c r="BV32" s="99">
        <v>139</v>
      </c>
      <c r="BW32" s="92">
        <v>135.80000000000001</v>
      </c>
      <c r="BX32" s="79">
        <v>138.1</v>
      </c>
      <c r="BY32" s="92">
        <v>135.30000000000001</v>
      </c>
      <c r="BZ32" s="79">
        <v>136.80000000000001</v>
      </c>
      <c r="CA32" s="37" t="b">
        <f t="shared" si="10"/>
        <v>1</v>
      </c>
      <c r="CB32" s="37" t="b">
        <f t="shared" si="10"/>
        <v>1</v>
      </c>
      <c r="CC32" s="37" t="b">
        <f t="shared" si="11"/>
        <v>1</v>
      </c>
      <c r="CD32" s="100">
        <v>119.4</v>
      </c>
      <c r="CE32" s="38">
        <f t="shared" si="12"/>
        <v>-17.900000000000006</v>
      </c>
      <c r="CF32" s="38">
        <v>12.43561</v>
      </c>
      <c r="CG32" s="38">
        <f t="shared" si="13"/>
        <v>0</v>
      </c>
      <c r="CH32" s="64"/>
    </row>
    <row r="33" spans="1:86" ht="18.75" x14ac:dyDescent="0.25">
      <c r="A33" s="90" t="s">
        <v>86</v>
      </c>
      <c r="B33" s="236" t="s">
        <v>147</v>
      </c>
      <c r="C33" s="211" t="s">
        <v>179</v>
      </c>
      <c r="D33" s="71" t="s">
        <v>46</v>
      </c>
      <c r="E33" s="1">
        <v>241.42200000000003</v>
      </c>
      <c r="F33" s="1">
        <v>280.10000000000002</v>
      </c>
      <c r="G33" s="1">
        <v>268.79999999999995</v>
      </c>
      <c r="H33" s="1"/>
      <c r="I33" s="72">
        <v>298.39999999999998</v>
      </c>
      <c r="J33" s="73">
        <v>262.81500000000005</v>
      </c>
      <c r="K33" s="73">
        <v>255.68299999999999</v>
      </c>
      <c r="L33" s="73">
        <v>268.2</v>
      </c>
      <c r="M33" s="73">
        <v>268.7</v>
      </c>
      <c r="N33" s="74">
        <v>287.2</v>
      </c>
      <c r="O33" s="92">
        <v>217.60000000000002</v>
      </c>
      <c r="P33" s="92">
        <v>224</v>
      </c>
      <c r="Q33" s="28">
        <f t="shared" si="0"/>
        <v>224</v>
      </c>
      <c r="R33" s="29">
        <f t="shared" si="0"/>
        <v>224</v>
      </c>
      <c r="S33" s="29"/>
      <c r="T33" s="29">
        <f t="shared" si="1"/>
        <v>10.614819000000001</v>
      </c>
      <c r="U33" s="93">
        <f>Q33/Q3*100</f>
        <v>1.6501893297579233</v>
      </c>
      <c r="V33" s="29">
        <f t="shared" si="2"/>
        <v>55.9</v>
      </c>
      <c r="W33" s="29">
        <f t="shared" si="2"/>
        <v>55.9</v>
      </c>
      <c r="X33" s="29">
        <f t="shared" si="2"/>
        <v>10.614819000000001</v>
      </c>
      <c r="Y33" s="93">
        <f>V33/V3*100</f>
        <v>1.6415105420802254</v>
      </c>
      <c r="Z33" s="79">
        <v>19.5</v>
      </c>
      <c r="AA33" s="79">
        <v>19.5</v>
      </c>
      <c r="AB33" s="64">
        <v>10.614819000000001</v>
      </c>
      <c r="AC33" s="79">
        <v>17.3</v>
      </c>
      <c r="AD33" s="79">
        <v>17.3</v>
      </c>
      <c r="AE33" s="64"/>
      <c r="AF33" s="79">
        <v>19.100000000000001</v>
      </c>
      <c r="AG33" s="79">
        <v>19.100000000000001</v>
      </c>
      <c r="AH33" s="64"/>
      <c r="AI33" s="29">
        <f t="shared" si="4"/>
        <v>47.4</v>
      </c>
      <c r="AJ33" s="30">
        <f t="shared" si="4"/>
        <v>47.4</v>
      </c>
      <c r="AK33" s="30">
        <f t="shared" si="4"/>
        <v>0</v>
      </c>
      <c r="AL33" s="93">
        <f>AI33/AI3*100</f>
        <v>1.8249018249018252</v>
      </c>
      <c r="AM33" s="79">
        <v>18.100000000000001</v>
      </c>
      <c r="AN33" s="79">
        <v>18.100000000000001</v>
      </c>
      <c r="AO33" s="133"/>
      <c r="AP33" s="79">
        <v>15.7</v>
      </c>
      <c r="AQ33" s="79">
        <v>15.7</v>
      </c>
      <c r="AR33" s="64"/>
      <c r="AS33" s="79">
        <v>13.6</v>
      </c>
      <c r="AT33" s="79">
        <v>13.6</v>
      </c>
      <c r="AU33" s="64"/>
      <c r="AV33" s="29">
        <f t="shared" si="6"/>
        <v>59.4</v>
      </c>
      <c r="AW33" s="30">
        <f t="shared" si="6"/>
        <v>59.4</v>
      </c>
      <c r="AX33" s="30">
        <f t="shared" si="6"/>
        <v>0</v>
      </c>
      <c r="AY33" s="93">
        <f>AV33/AV3*100</f>
        <v>1.6028062601187263</v>
      </c>
      <c r="AZ33" s="79">
        <v>20.399999999999999</v>
      </c>
      <c r="BA33" s="79">
        <v>20.399999999999999</v>
      </c>
      <c r="BB33" s="64"/>
      <c r="BC33" s="79">
        <v>19.600000000000001</v>
      </c>
      <c r="BD33" s="79">
        <v>19.600000000000001</v>
      </c>
      <c r="BE33" s="64"/>
      <c r="BF33" s="79">
        <v>19.399999999999999</v>
      </c>
      <c r="BG33" s="79">
        <v>19.399999999999999</v>
      </c>
      <c r="BH33" s="64"/>
      <c r="BI33" s="29">
        <f t="shared" si="8"/>
        <v>61.300000000000004</v>
      </c>
      <c r="BJ33" s="30">
        <f t="shared" si="8"/>
        <v>61.300000000000004</v>
      </c>
      <c r="BK33" s="30">
        <f t="shared" si="8"/>
        <v>0</v>
      </c>
      <c r="BL33" s="93">
        <f>BI33/BI3*100</f>
        <v>1.5858643348683192</v>
      </c>
      <c r="BM33" s="83">
        <v>20.5</v>
      </c>
      <c r="BN33" s="79">
        <v>20.5</v>
      </c>
      <c r="BO33" s="64"/>
      <c r="BP33" s="79">
        <v>19.7</v>
      </c>
      <c r="BQ33" s="79">
        <v>19.7</v>
      </c>
      <c r="BR33" s="64"/>
      <c r="BS33" s="79">
        <v>21.1</v>
      </c>
      <c r="BT33" s="79">
        <v>21.1</v>
      </c>
      <c r="BU33" s="134"/>
      <c r="BV33" s="99">
        <v>272.3</v>
      </c>
      <c r="BW33" s="92">
        <v>226.3</v>
      </c>
      <c r="BX33" s="79">
        <v>238.3</v>
      </c>
      <c r="BY33" s="92">
        <v>219.7</v>
      </c>
      <c r="BZ33" s="79">
        <v>214</v>
      </c>
      <c r="CA33" s="37" t="b">
        <f t="shared" si="10"/>
        <v>1</v>
      </c>
      <c r="CB33" s="37" t="b">
        <f t="shared" si="10"/>
        <v>1</v>
      </c>
      <c r="CC33" s="37" t="b">
        <f t="shared" si="11"/>
        <v>1</v>
      </c>
      <c r="CD33" s="100">
        <v>179.9</v>
      </c>
      <c r="CE33" s="38">
        <f t="shared" si="12"/>
        <v>-44.099999999999994</v>
      </c>
      <c r="CF33" s="38">
        <v>10.614819000000001</v>
      </c>
      <c r="CG33" s="38">
        <f t="shared" si="13"/>
        <v>0</v>
      </c>
      <c r="CH33" s="64"/>
    </row>
    <row r="34" spans="1:86" ht="18.75" x14ac:dyDescent="0.25">
      <c r="A34" s="90"/>
      <c r="B34" s="236"/>
      <c r="C34" s="211" t="s">
        <v>180</v>
      </c>
      <c r="D34" s="135" t="s">
        <v>49</v>
      </c>
      <c r="E34" s="136">
        <v>334.84800000000001</v>
      </c>
      <c r="F34" s="136">
        <v>402.6</v>
      </c>
      <c r="G34" s="136">
        <v>386.30000000000007</v>
      </c>
      <c r="H34" s="136"/>
      <c r="I34" s="137">
        <v>429</v>
      </c>
      <c r="J34" s="138">
        <v>372.63400000000001</v>
      </c>
      <c r="K34" s="138">
        <v>356.767</v>
      </c>
      <c r="L34" s="138">
        <v>386.3</v>
      </c>
      <c r="M34" s="138">
        <v>386.90000000000003</v>
      </c>
      <c r="N34" s="74">
        <v>413.6</v>
      </c>
      <c r="O34" s="92">
        <v>313.7</v>
      </c>
      <c r="P34" s="92">
        <v>322.89999999999998</v>
      </c>
      <c r="Q34" s="28">
        <f t="shared" si="0"/>
        <v>322.89999999999998</v>
      </c>
      <c r="R34" s="29">
        <f t="shared" si="0"/>
        <v>322.89999999999998</v>
      </c>
      <c r="S34" s="29"/>
      <c r="T34" s="29">
        <f t="shared" si="1"/>
        <v>15.270923</v>
      </c>
      <c r="U34" s="93"/>
      <c r="V34" s="29">
        <f t="shared" si="2"/>
        <v>80.599999999999994</v>
      </c>
      <c r="W34" s="29">
        <f t="shared" si="2"/>
        <v>80.599999999999994</v>
      </c>
      <c r="X34" s="29">
        <f t="shared" si="2"/>
        <v>15.270923</v>
      </c>
      <c r="Y34" s="93"/>
      <c r="Z34" s="79">
        <v>28.1</v>
      </c>
      <c r="AA34" s="79">
        <v>28.1</v>
      </c>
      <c r="AB34" s="64">
        <v>15.270923</v>
      </c>
      <c r="AC34" s="79">
        <v>24.9</v>
      </c>
      <c r="AD34" s="79">
        <v>24.9</v>
      </c>
      <c r="AE34" s="64"/>
      <c r="AF34" s="79">
        <v>27.6</v>
      </c>
      <c r="AG34" s="79">
        <v>27.6</v>
      </c>
      <c r="AH34" s="64"/>
      <c r="AI34" s="29">
        <f t="shared" si="4"/>
        <v>68.300000000000011</v>
      </c>
      <c r="AJ34" s="30">
        <f t="shared" si="4"/>
        <v>68.300000000000011</v>
      </c>
      <c r="AK34" s="30">
        <f t="shared" si="4"/>
        <v>0</v>
      </c>
      <c r="AL34" s="93"/>
      <c r="AM34" s="79">
        <v>26.1</v>
      </c>
      <c r="AN34" s="79">
        <v>26.1</v>
      </c>
      <c r="AO34" s="133"/>
      <c r="AP34" s="79">
        <v>22.6</v>
      </c>
      <c r="AQ34" s="79">
        <v>22.6</v>
      </c>
      <c r="AR34" s="64"/>
      <c r="AS34" s="79">
        <v>19.600000000000001</v>
      </c>
      <c r="AT34" s="79">
        <v>19.600000000000001</v>
      </c>
      <c r="AU34" s="64"/>
      <c r="AV34" s="29">
        <f t="shared" si="6"/>
        <v>85.699999999999989</v>
      </c>
      <c r="AW34" s="30">
        <f t="shared" si="6"/>
        <v>85.699999999999989</v>
      </c>
      <c r="AX34" s="30">
        <f t="shared" si="6"/>
        <v>0</v>
      </c>
      <c r="AY34" s="93"/>
      <c r="AZ34" s="79">
        <v>29.4</v>
      </c>
      <c r="BA34" s="79">
        <v>29.4</v>
      </c>
      <c r="BB34" s="64"/>
      <c r="BC34" s="79">
        <v>28.2</v>
      </c>
      <c r="BD34" s="79">
        <v>28.2</v>
      </c>
      <c r="BE34" s="64"/>
      <c r="BF34" s="79">
        <v>28.1</v>
      </c>
      <c r="BG34" s="79">
        <v>28.1</v>
      </c>
      <c r="BH34" s="64"/>
      <c r="BI34" s="29">
        <f t="shared" si="8"/>
        <v>88.3</v>
      </c>
      <c r="BJ34" s="30">
        <f t="shared" si="8"/>
        <v>88.3</v>
      </c>
      <c r="BK34" s="30">
        <f t="shared" si="8"/>
        <v>0</v>
      </c>
      <c r="BL34" s="93"/>
      <c r="BM34" s="83">
        <v>29.6</v>
      </c>
      <c r="BN34" s="79">
        <v>29.6</v>
      </c>
      <c r="BO34" s="64"/>
      <c r="BP34" s="79">
        <v>28.4</v>
      </c>
      <c r="BQ34" s="79">
        <v>28.4</v>
      </c>
      <c r="BR34" s="64"/>
      <c r="BS34" s="79">
        <v>30.3</v>
      </c>
      <c r="BT34" s="79">
        <v>30.3</v>
      </c>
      <c r="BU34" s="134"/>
      <c r="BV34" s="99">
        <v>392.1</v>
      </c>
      <c r="BW34" s="92">
        <v>326.3</v>
      </c>
      <c r="BX34" s="79">
        <v>343.5</v>
      </c>
      <c r="BY34" s="92">
        <v>316.7</v>
      </c>
      <c r="BZ34" s="79">
        <v>308.60000000000002</v>
      </c>
      <c r="CA34" s="37" t="b">
        <f t="shared" si="10"/>
        <v>1</v>
      </c>
      <c r="CB34" s="37" t="b">
        <f t="shared" si="10"/>
        <v>1</v>
      </c>
      <c r="CC34" s="37" t="b">
        <f t="shared" si="11"/>
        <v>1</v>
      </c>
      <c r="CD34" s="100">
        <v>259.39999999999998</v>
      </c>
      <c r="CE34" s="38">
        <f t="shared" si="12"/>
        <v>-63.5</v>
      </c>
      <c r="CF34" s="38">
        <v>15.270923</v>
      </c>
      <c r="CG34" s="38">
        <f t="shared" si="13"/>
        <v>0</v>
      </c>
      <c r="CH34" s="64"/>
    </row>
    <row r="35" spans="1:86" ht="18.75" x14ac:dyDescent="0.25">
      <c r="A35" s="48" t="s">
        <v>87</v>
      </c>
      <c r="B35" s="65" t="s">
        <v>88</v>
      </c>
      <c r="C35" s="210" t="s">
        <v>181</v>
      </c>
      <c r="D35" s="63" t="s">
        <v>46</v>
      </c>
      <c r="E35" s="23">
        <v>3927.2339999999999</v>
      </c>
      <c r="F35" s="23">
        <v>4390.7</v>
      </c>
      <c r="G35" s="23">
        <v>4443.3999999999996</v>
      </c>
      <c r="H35" s="23"/>
      <c r="I35" s="24">
        <v>3629</v>
      </c>
      <c r="J35" s="25">
        <v>3453.2940000000003</v>
      </c>
      <c r="K35" s="25">
        <v>3355.87</v>
      </c>
      <c r="L35" s="25">
        <v>3948.5</v>
      </c>
      <c r="M35" s="25">
        <v>3948.7</v>
      </c>
      <c r="N35" s="26">
        <v>4431.2000000000007</v>
      </c>
      <c r="O35" s="27">
        <v>3608.7</v>
      </c>
      <c r="P35" s="27">
        <v>3776.1</v>
      </c>
      <c r="Q35" s="28">
        <f t="shared" si="0"/>
        <v>3776.1</v>
      </c>
      <c r="R35" s="29">
        <f t="shared" si="0"/>
        <v>3776.1</v>
      </c>
      <c r="S35" s="29"/>
      <c r="T35" s="29">
        <f t="shared" si="1"/>
        <v>237.15433999999999</v>
      </c>
      <c r="U35" s="29">
        <f>Q35/Q3*100</f>
        <v>27.818213964727207</v>
      </c>
      <c r="V35" s="29">
        <f t="shared" ref="V35:X74" si="52">Z35+AC35+AF35</f>
        <v>947.6</v>
      </c>
      <c r="W35" s="29">
        <f t="shared" si="52"/>
        <v>947.6</v>
      </c>
      <c r="X35" s="29">
        <f t="shared" si="52"/>
        <v>237.15433999999999</v>
      </c>
      <c r="Y35" s="29">
        <f>V35/V3*100</f>
        <v>27.826393375227582</v>
      </c>
      <c r="Z35" s="31">
        <f t="shared" ref="Z35:AH35" si="53">Z36</f>
        <v>326.10000000000002</v>
      </c>
      <c r="AA35" s="31">
        <f t="shared" si="53"/>
        <v>326.10000000000002</v>
      </c>
      <c r="AB35" s="33">
        <f t="shared" si="53"/>
        <v>237.15433999999999</v>
      </c>
      <c r="AC35" s="31">
        <f t="shared" si="53"/>
        <v>294.5</v>
      </c>
      <c r="AD35" s="31">
        <f t="shared" si="53"/>
        <v>294.5</v>
      </c>
      <c r="AE35" s="33">
        <f t="shared" si="53"/>
        <v>0</v>
      </c>
      <c r="AF35" s="31">
        <f t="shared" si="53"/>
        <v>327</v>
      </c>
      <c r="AG35" s="31">
        <f t="shared" si="53"/>
        <v>327</v>
      </c>
      <c r="AH35" s="33">
        <f t="shared" si="53"/>
        <v>0</v>
      </c>
      <c r="AI35" s="29">
        <f t="shared" ref="AI35:AK74" si="54">AM35+AP35+AS35</f>
        <v>723</v>
      </c>
      <c r="AJ35" s="30">
        <f t="shared" si="54"/>
        <v>723</v>
      </c>
      <c r="AK35" s="30">
        <f t="shared" si="54"/>
        <v>0</v>
      </c>
      <c r="AL35" s="29">
        <f>AI35/AI3*100</f>
        <v>27.835527835527841</v>
      </c>
      <c r="AM35" s="31">
        <f t="shared" ref="AM35:AU35" si="55">AM36</f>
        <v>316.5</v>
      </c>
      <c r="AN35" s="31">
        <f t="shared" si="55"/>
        <v>316.5</v>
      </c>
      <c r="AO35" s="33">
        <f t="shared" si="55"/>
        <v>0</v>
      </c>
      <c r="AP35" s="31">
        <f t="shared" si="55"/>
        <v>224.2</v>
      </c>
      <c r="AQ35" s="31">
        <f t="shared" si="55"/>
        <v>224.2</v>
      </c>
      <c r="AR35" s="33">
        <f t="shared" si="55"/>
        <v>0</v>
      </c>
      <c r="AS35" s="31">
        <f t="shared" si="55"/>
        <v>182.3</v>
      </c>
      <c r="AT35" s="31">
        <f t="shared" si="55"/>
        <v>182.3</v>
      </c>
      <c r="AU35" s="33">
        <f t="shared" si="55"/>
        <v>0</v>
      </c>
      <c r="AV35" s="29">
        <f t="shared" ref="AV35:AX74" si="56">AZ35+BC35+BF35</f>
        <v>1031</v>
      </c>
      <c r="AW35" s="30">
        <f t="shared" si="56"/>
        <v>1031</v>
      </c>
      <c r="AX35" s="30">
        <f t="shared" si="56"/>
        <v>0</v>
      </c>
      <c r="AY35" s="29">
        <f>AV35/AV3*100</f>
        <v>27.819751753912573</v>
      </c>
      <c r="AZ35" s="31">
        <f t="shared" ref="AZ35:BH35" si="57">AZ36</f>
        <v>339.80000000000007</v>
      </c>
      <c r="BA35" s="31">
        <f t="shared" si="57"/>
        <v>339.80000000000007</v>
      </c>
      <c r="BB35" s="33">
        <f t="shared" si="57"/>
        <v>0</v>
      </c>
      <c r="BC35" s="31">
        <f t="shared" si="57"/>
        <v>340.6</v>
      </c>
      <c r="BD35" s="31">
        <f t="shared" si="57"/>
        <v>340.6</v>
      </c>
      <c r="BE35" s="33">
        <f t="shared" si="57"/>
        <v>0</v>
      </c>
      <c r="BF35" s="31">
        <f t="shared" si="57"/>
        <v>350.6</v>
      </c>
      <c r="BG35" s="31">
        <f t="shared" si="57"/>
        <v>350.6</v>
      </c>
      <c r="BH35" s="33">
        <f t="shared" si="57"/>
        <v>0</v>
      </c>
      <c r="BI35" s="29">
        <f t="shared" ref="BI35:BK74" si="58">BM35+BP35+BS35</f>
        <v>1074.5</v>
      </c>
      <c r="BJ35" s="30">
        <f t="shared" si="58"/>
        <v>1074.5</v>
      </c>
      <c r="BK35" s="30">
        <f t="shared" si="58"/>
        <v>0</v>
      </c>
      <c r="BL35" s="29">
        <f>BI35/BI3*100</f>
        <v>27.797899311843537</v>
      </c>
      <c r="BM35" s="34">
        <f t="shared" ref="BM35:BU35" si="59">BM36</f>
        <v>362.3</v>
      </c>
      <c r="BN35" s="31">
        <f t="shared" si="59"/>
        <v>362.3</v>
      </c>
      <c r="BO35" s="33">
        <f t="shared" si="59"/>
        <v>0</v>
      </c>
      <c r="BP35" s="31">
        <f t="shared" si="59"/>
        <v>350.6</v>
      </c>
      <c r="BQ35" s="31">
        <f t="shared" si="59"/>
        <v>350.6</v>
      </c>
      <c r="BR35" s="33">
        <f t="shared" si="59"/>
        <v>0</v>
      </c>
      <c r="BS35" s="31">
        <f t="shared" si="59"/>
        <v>361.6</v>
      </c>
      <c r="BT35" s="31">
        <f t="shared" si="59"/>
        <v>361.6</v>
      </c>
      <c r="BU35" s="33">
        <f t="shared" si="59"/>
        <v>0</v>
      </c>
      <c r="BV35" s="26">
        <v>4252.8</v>
      </c>
      <c r="BW35" s="27">
        <v>3751.7</v>
      </c>
      <c r="BX35" s="31">
        <f>BX36</f>
        <v>3889.4000000000005</v>
      </c>
      <c r="BY35" s="27">
        <v>3671.8</v>
      </c>
      <c r="BZ35" s="31">
        <f>BZ36</f>
        <v>3512.9</v>
      </c>
      <c r="CA35" s="37" t="b">
        <f t="shared" ref="CA35:CB75" si="60">Q35=Z35+AC35+AF35+AM35+AP35+AS35+AZ35+BC35+BF35+BM35+BP35+BS35</f>
        <v>1</v>
      </c>
      <c r="CB35" s="37" t="b">
        <f t="shared" si="60"/>
        <v>1</v>
      </c>
      <c r="CC35" s="37" t="b">
        <f t="shared" si="11"/>
        <v>1</v>
      </c>
      <c r="CD35" s="38">
        <v>2950.7</v>
      </c>
      <c r="CE35" s="38">
        <f t="shared" si="12"/>
        <v>-825.40000000000009</v>
      </c>
      <c r="CF35" s="38">
        <v>237.15433999999999</v>
      </c>
      <c r="CG35" s="38">
        <f t="shared" si="13"/>
        <v>0</v>
      </c>
      <c r="CH35" s="32">
        <f>CH36</f>
        <v>0</v>
      </c>
    </row>
    <row r="36" spans="1:86" ht="18.75" x14ac:dyDescent="0.3">
      <c r="A36" s="90" t="s">
        <v>89</v>
      </c>
      <c r="B36" s="139" t="s">
        <v>90</v>
      </c>
      <c r="C36" s="211" t="s">
        <v>182</v>
      </c>
      <c r="D36" s="71" t="s">
        <v>46</v>
      </c>
      <c r="E36" s="1">
        <v>3927.2339999999999</v>
      </c>
      <c r="F36" s="1">
        <v>4390.7</v>
      </c>
      <c r="G36" s="1">
        <v>4443.3999999999996</v>
      </c>
      <c r="H36" s="1"/>
      <c r="I36" s="72">
        <v>3629</v>
      </c>
      <c r="J36" s="73">
        <v>3453.2940000000003</v>
      </c>
      <c r="K36" s="73">
        <v>3355.87</v>
      </c>
      <c r="L36" s="73">
        <v>3948.5</v>
      </c>
      <c r="M36" s="73">
        <v>3948.7</v>
      </c>
      <c r="N36" s="74">
        <v>4431.2000000000007</v>
      </c>
      <c r="O36" s="92">
        <v>3608.7</v>
      </c>
      <c r="P36" s="92">
        <v>3776.1</v>
      </c>
      <c r="Q36" s="28">
        <f t="shared" si="0"/>
        <v>3776.1</v>
      </c>
      <c r="R36" s="29">
        <f t="shared" si="0"/>
        <v>3776.1</v>
      </c>
      <c r="S36" s="29"/>
      <c r="T36" s="29">
        <f t="shared" si="1"/>
        <v>237.15433999999999</v>
      </c>
      <c r="U36" s="140">
        <f>Q35*100/Q43</f>
        <v>52.07120990650597</v>
      </c>
      <c r="V36" s="29">
        <f t="shared" si="52"/>
        <v>947.6</v>
      </c>
      <c r="W36" s="29">
        <f t="shared" si="52"/>
        <v>947.6</v>
      </c>
      <c r="X36" s="29">
        <f t="shared" si="52"/>
        <v>237.15433999999999</v>
      </c>
      <c r="Y36" s="140">
        <f>V35*100/V43</f>
        <v>52.241027620045202</v>
      </c>
      <c r="Z36" s="94">
        <f t="shared" ref="Z36:AH36" si="61">Z37+Z38+Z39+Z40+Z41</f>
        <v>326.10000000000002</v>
      </c>
      <c r="AA36" s="94">
        <f t="shared" si="61"/>
        <v>326.10000000000002</v>
      </c>
      <c r="AB36" s="95">
        <f t="shared" si="61"/>
        <v>237.15433999999999</v>
      </c>
      <c r="AC36" s="94">
        <f t="shared" si="61"/>
        <v>294.5</v>
      </c>
      <c r="AD36" s="94">
        <f t="shared" si="61"/>
        <v>294.5</v>
      </c>
      <c r="AE36" s="95">
        <f t="shared" si="61"/>
        <v>0</v>
      </c>
      <c r="AF36" s="94">
        <f t="shared" si="61"/>
        <v>327</v>
      </c>
      <c r="AG36" s="94">
        <f t="shared" si="61"/>
        <v>327</v>
      </c>
      <c r="AH36" s="95">
        <f t="shared" si="61"/>
        <v>0</v>
      </c>
      <c r="AI36" s="29">
        <f t="shared" si="54"/>
        <v>723</v>
      </c>
      <c r="AJ36" s="30">
        <f t="shared" si="54"/>
        <v>723</v>
      </c>
      <c r="AK36" s="30">
        <f t="shared" si="54"/>
        <v>0</v>
      </c>
      <c r="AL36" s="140">
        <f>AI35*100/AI43</f>
        <v>52.513073794305626</v>
      </c>
      <c r="AM36" s="94">
        <f t="shared" ref="AM36:AU36" si="62">AM37+AM38+AM39+AM40+AM41</f>
        <v>316.5</v>
      </c>
      <c r="AN36" s="94">
        <f t="shared" si="62"/>
        <v>316.5</v>
      </c>
      <c r="AO36" s="96">
        <f t="shared" si="62"/>
        <v>0</v>
      </c>
      <c r="AP36" s="94">
        <f t="shared" si="62"/>
        <v>224.2</v>
      </c>
      <c r="AQ36" s="94">
        <f t="shared" si="62"/>
        <v>224.2</v>
      </c>
      <c r="AR36" s="95">
        <f t="shared" si="62"/>
        <v>0</v>
      </c>
      <c r="AS36" s="94">
        <f t="shared" si="62"/>
        <v>182.3</v>
      </c>
      <c r="AT36" s="94">
        <f t="shared" si="62"/>
        <v>182.3</v>
      </c>
      <c r="AU36" s="95">
        <f t="shared" si="62"/>
        <v>0</v>
      </c>
      <c r="AV36" s="29">
        <f t="shared" si="56"/>
        <v>1031</v>
      </c>
      <c r="AW36" s="30">
        <f t="shared" si="56"/>
        <v>1031</v>
      </c>
      <c r="AX36" s="30">
        <f t="shared" si="56"/>
        <v>0</v>
      </c>
      <c r="AY36" s="140">
        <f>AV35*100/AV43</f>
        <v>50.979034810126578</v>
      </c>
      <c r="AZ36" s="94">
        <f t="shared" ref="AZ36:BH36" si="63">AZ37+AZ38+AZ39+AZ40+AZ41</f>
        <v>339.80000000000007</v>
      </c>
      <c r="BA36" s="94">
        <f t="shared" si="63"/>
        <v>339.80000000000007</v>
      </c>
      <c r="BB36" s="95">
        <f t="shared" si="63"/>
        <v>0</v>
      </c>
      <c r="BC36" s="94">
        <f t="shared" si="63"/>
        <v>340.6</v>
      </c>
      <c r="BD36" s="94">
        <f t="shared" si="63"/>
        <v>340.6</v>
      </c>
      <c r="BE36" s="95">
        <f t="shared" si="63"/>
        <v>0</v>
      </c>
      <c r="BF36" s="94">
        <f t="shared" si="63"/>
        <v>350.6</v>
      </c>
      <c r="BG36" s="94">
        <f t="shared" si="63"/>
        <v>350.6</v>
      </c>
      <c r="BH36" s="95">
        <f t="shared" si="63"/>
        <v>0</v>
      </c>
      <c r="BI36" s="29">
        <f t="shared" si="58"/>
        <v>1074.5</v>
      </c>
      <c r="BJ36" s="30">
        <f t="shared" si="58"/>
        <v>1074.5</v>
      </c>
      <c r="BK36" s="30">
        <f t="shared" si="58"/>
        <v>0</v>
      </c>
      <c r="BL36" s="140">
        <f>BI35*100/BI43</f>
        <v>52.705155245990099</v>
      </c>
      <c r="BM36" s="97">
        <f t="shared" ref="BM36:BU36" si="64">BM37+BM38+BM39+BM40+BM41</f>
        <v>362.3</v>
      </c>
      <c r="BN36" s="94">
        <f t="shared" si="64"/>
        <v>362.3</v>
      </c>
      <c r="BO36" s="95">
        <f t="shared" si="64"/>
        <v>0</v>
      </c>
      <c r="BP36" s="94">
        <f t="shared" si="64"/>
        <v>350.6</v>
      </c>
      <c r="BQ36" s="94">
        <f t="shared" si="64"/>
        <v>350.6</v>
      </c>
      <c r="BR36" s="95">
        <f t="shared" si="64"/>
        <v>0</v>
      </c>
      <c r="BS36" s="94">
        <f t="shared" si="64"/>
        <v>361.6</v>
      </c>
      <c r="BT36" s="94">
        <f t="shared" si="64"/>
        <v>361.6</v>
      </c>
      <c r="BU36" s="98">
        <f t="shared" si="64"/>
        <v>0</v>
      </c>
      <c r="BV36" s="99">
        <v>4252.8</v>
      </c>
      <c r="BW36" s="92">
        <v>3751.7</v>
      </c>
      <c r="BX36" s="95">
        <f>BX37+BX38+BX39+BX40+BX41</f>
        <v>3889.4000000000005</v>
      </c>
      <c r="BY36" s="92">
        <v>3671.8</v>
      </c>
      <c r="BZ36" s="95">
        <f>BZ37+BZ38+BZ39+BZ40+BZ41</f>
        <v>3512.9</v>
      </c>
      <c r="CA36" s="37" t="b">
        <f t="shared" si="60"/>
        <v>1</v>
      </c>
      <c r="CB36" s="37" t="b">
        <f t="shared" si="60"/>
        <v>1</v>
      </c>
      <c r="CC36" s="37" t="b">
        <f t="shared" si="11"/>
        <v>1</v>
      </c>
      <c r="CD36" s="100">
        <v>2950.7</v>
      </c>
      <c r="CE36" s="38">
        <f t="shared" si="12"/>
        <v>-825.40000000000009</v>
      </c>
      <c r="CF36" s="38">
        <v>237.15433999999999</v>
      </c>
      <c r="CG36" s="38">
        <f t="shared" si="13"/>
        <v>0</v>
      </c>
      <c r="CH36" s="95">
        <f>CH37+CH38+CH39+CH40+CH41</f>
        <v>0</v>
      </c>
    </row>
    <row r="37" spans="1:86" ht="18.75" x14ac:dyDescent="0.3">
      <c r="A37" s="90" t="s">
        <v>91</v>
      </c>
      <c r="B37" s="141" t="s">
        <v>92</v>
      </c>
      <c r="C37" s="214" t="s">
        <v>183</v>
      </c>
      <c r="D37" s="71" t="s">
        <v>46</v>
      </c>
      <c r="E37" s="1">
        <v>1140.9639999999999</v>
      </c>
      <c r="F37" s="1">
        <v>1280</v>
      </c>
      <c r="G37" s="1">
        <v>1245.0999999999999</v>
      </c>
      <c r="H37" s="1"/>
      <c r="I37" s="72">
        <v>1455.9999999999998</v>
      </c>
      <c r="J37" s="73">
        <v>1324.1169999999997</v>
      </c>
      <c r="K37" s="73">
        <v>1228.8179999999998</v>
      </c>
      <c r="L37" s="73">
        <v>1314</v>
      </c>
      <c r="M37" s="73">
        <v>1356.8000000000002</v>
      </c>
      <c r="N37" s="74">
        <v>1314</v>
      </c>
      <c r="O37" s="92">
        <v>1327</v>
      </c>
      <c r="P37" s="92">
        <v>1327</v>
      </c>
      <c r="Q37" s="28">
        <f t="shared" si="0"/>
        <v>1327</v>
      </c>
      <c r="R37" s="29">
        <f t="shared" si="0"/>
        <v>1327</v>
      </c>
      <c r="S37" s="29"/>
      <c r="T37" s="29">
        <f t="shared" si="1"/>
        <v>119.908646</v>
      </c>
      <c r="U37" s="93"/>
      <c r="V37" s="29">
        <f t="shared" si="52"/>
        <v>342.70000000000005</v>
      </c>
      <c r="W37" s="29">
        <f t="shared" si="52"/>
        <v>342.70000000000005</v>
      </c>
      <c r="X37" s="29">
        <f t="shared" si="52"/>
        <v>119.908646</v>
      </c>
      <c r="Y37" s="93"/>
      <c r="Z37" s="79">
        <v>112.7</v>
      </c>
      <c r="AA37" s="79">
        <v>112.7</v>
      </c>
      <c r="AB37" s="64">
        <v>119.908646</v>
      </c>
      <c r="AC37" s="79">
        <v>101.7</v>
      </c>
      <c r="AD37" s="79">
        <v>101.7</v>
      </c>
      <c r="AE37" s="64"/>
      <c r="AF37" s="79">
        <v>128.30000000000001</v>
      </c>
      <c r="AG37" s="79">
        <v>128.30000000000001</v>
      </c>
      <c r="AH37" s="64"/>
      <c r="AI37" s="29">
        <f t="shared" si="54"/>
        <v>313.10000000000002</v>
      </c>
      <c r="AJ37" s="30">
        <f t="shared" si="54"/>
        <v>313.10000000000002</v>
      </c>
      <c r="AK37" s="30">
        <f t="shared" si="54"/>
        <v>0</v>
      </c>
      <c r="AL37" s="93"/>
      <c r="AM37" s="79">
        <v>109.1</v>
      </c>
      <c r="AN37" s="79">
        <v>109.1</v>
      </c>
      <c r="AO37" s="133"/>
      <c r="AP37" s="79">
        <v>102</v>
      </c>
      <c r="AQ37" s="79">
        <v>102</v>
      </c>
      <c r="AR37" s="64"/>
      <c r="AS37" s="79">
        <v>102</v>
      </c>
      <c r="AT37" s="79">
        <v>102</v>
      </c>
      <c r="AU37" s="64"/>
      <c r="AV37" s="29">
        <f t="shared" si="56"/>
        <v>311.89999999999998</v>
      </c>
      <c r="AW37" s="30">
        <f t="shared" si="56"/>
        <v>311.89999999999998</v>
      </c>
      <c r="AX37" s="30">
        <f t="shared" si="56"/>
        <v>0</v>
      </c>
      <c r="AY37" s="93"/>
      <c r="AZ37" s="79">
        <v>102</v>
      </c>
      <c r="BA37" s="79">
        <v>102</v>
      </c>
      <c r="BB37" s="64"/>
      <c r="BC37" s="79">
        <v>102</v>
      </c>
      <c r="BD37" s="79">
        <v>102</v>
      </c>
      <c r="BE37" s="64"/>
      <c r="BF37" s="79">
        <v>107.9</v>
      </c>
      <c r="BG37" s="79">
        <v>107.9</v>
      </c>
      <c r="BH37" s="64"/>
      <c r="BI37" s="29">
        <f t="shared" si="58"/>
        <v>359.3</v>
      </c>
      <c r="BJ37" s="30">
        <f t="shared" si="58"/>
        <v>359.3</v>
      </c>
      <c r="BK37" s="30">
        <f t="shared" si="58"/>
        <v>0</v>
      </c>
      <c r="BL37" s="93"/>
      <c r="BM37" s="83">
        <v>112.7</v>
      </c>
      <c r="BN37" s="79">
        <v>112.7</v>
      </c>
      <c r="BO37" s="64"/>
      <c r="BP37" s="79">
        <v>120.7</v>
      </c>
      <c r="BQ37" s="79">
        <v>120.7</v>
      </c>
      <c r="BR37" s="64"/>
      <c r="BS37" s="79">
        <v>125.9</v>
      </c>
      <c r="BT37" s="79">
        <v>125.9</v>
      </c>
      <c r="BU37" s="134"/>
      <c r="BV37" s="99">
        <v>1314</v>
      </c>
      <c r="BW37" s="92">
        <v>1327</v>
      </c>
      <c r="BX37" s="79">
        <v>1327</v>
      </c>
      <c r="BY37" s="92">
        <v>1327</v>
      </c>
      <c r="BZ37" s="79">
        <v>1327</v>
      </c>
      <c r="CA37" s="37" t="b">
        <f t="shared" si="60"/>
        <v>1</v>
      </c>
      <c r="CB37" s="37" t="b">
        <f t="shared" si="60"/>
        <v>1</v>
      </c>
      <c r="CC37" s="37" t="b">
        <f t="shared" si="11"/>
        <v>1</v>
      </c>
      <c r="CD37" s="100">
        <v>1327</v>
      </c>
      <c r="CE37" s="38">
        <f t="shared" si="12"/>
        <v>0</v>
      </c>
      <c r="CF37" s="38">
        <v>119.908646</v>
      </c>
      <c r="CG37" s="38">
        <f t="shared" si="13"/>
        <v>0</v>
      </c>
      <c r="CH37" s="64"/>
    </row>
    <row r="38" spans="1:86" ht="18.75" x14ac:dyDescent="0.3">
      <c r="A38" s="90" t="s">
        <v>93</v>
      </c>
      <c r="B38" s="141" t="s">
        <v>94</v>
      </c>
      <c r="C38" s="214" t="s">
        <v>184</v>
      </c>
      <c r="D38" s="71" t="s">
        <v>46</v>
      </c>
      <c r="E38" s="1">
        <v>1625.0619999999999</v>
      </c>
      <c r="F38" s="1">
        <v>1078.8</v>
      </c>
      <c r="G38" s="1">
        <v>1185.3000000000002</v>
      </c>
      <c r="H38" s="1"/>
      <c r="I38" s="72">
        <v>573.19999999999993</v>
      </c>
      <c r="J38" s="73">
        <v>783.08500000000004</v>
      </c>
      <c r="K38" s="73">
        <v>863.48800000000006</v>
      </c>
      <c r="L38" s="73">
        <v>745</v>
      </c>
      <c r="M38" s="73">
        <v>785.1</v>
      </c>
      <c r="N38" s="74">
        <v>1195.3</v>
      </c>
      <c r="O38" s="92">
        <v>444.9</v>
      </c>
      <c r="P38" s="92">
        <v>753.80000000000007</v>
      </c>
      <c r="Q38" s="28">
        <f t="shared" si="0"/>
        <v>753.80000000000007</v>
      </c>
      <c r="R38" s="29">
        <f t="shared" si="0"/>
        <v>753.80000000000007</v>
      </c>
      <c r="S38" s="29"/>
      <c r="T38" s="29">
        <f t="shared" si="1"/>
        <v>7.6158640000000002</v>
      </c>
      <c r="U38" s="93"/>
      <c r="V38" s="29">
        <f t="shared" si="52"/>
        <v>317.10000000000002</v>
      </c>
      <c r="W38" s="29">
        <f t="shared" si="52"/>
        <v>317.10000000000002</v>
      </c>
      <c r="X38" s="29">
        <f t="shared" si="52"/>
        <v>7.6158640000000002</v>
      </c>
      <c r="Y38" s="93"/>
      <c r="Z38" s="79">
        <v>81</v>
      </c>
      <c r="AA38" s="79">
        <v>81</v>
      </c>
      <c r="AB38" s="64">
        <v>7.6158640000000002</v>
      </c>
      <c r="AC38" s="79">
        <v>70.900000000000006</v>
      </c>
      <c r="AD38" s="79">
        <v>70.900000000000006</v>
      </c>
      <c r="AE38" s="64"/>
      <c r="AF38" s="79">
        <v>165.2</v>
      </c>
      <c r="AG38" s="79">
        <v>165.2</v>
      </c>
      <c r="AH38" s="64"/>
      <c r="AI38" s="29">
        <f t="shared" si="54"/>
        <v>28</v>
      </c>
      <c r="AJ38" s="30">
        <f t="shared" si="54"/>
        <v>28</v>
      </c>
      <c r="AK38" s="30">
        <f t="shared" si="54"/>
        <v>0</v>
      </c>
      <c r="AL38" s="93"/>
      <c r="AM38" s="79">
        <v>21.9</v>
      </c>
      <c r="AN38" s="79">
        <v>21.9</v>
      </c>
      <c r="AO38" s="133"/>
      <c r="AP38" s="79">
        <v>3.1</v>
      </c>
      <c r="AQ38" s="79">
        <v>3.1</v>
      </c>
      <c r="AR38" s="64"/>
      <c r="AS38" s="79">
        <v>3</v>
      </c>
      <c r="AT38" s="79">
        <v>3</v>
      </c>
      <c r="AU38" s="64"/>
      <c r="AV38" s="29">
        <f t="shared" si="56"/>
        <v>197.60000000000002</v>
      </c>
      <c r="AW38" s="30">
        <f t="shared" si="56"/>
        <v>197.60000000000002</v>
      </c>
      <c r="AX38" s="30">
        <f t="shared" si="56"/>
        <v>0</v>
      </c>
      <c r="AY38" s="93"/>
      <c r="AZ38" s="79">
        <v>43.8</v>
      </c>
      <c r="BA38" s="79">
        <v>43.8</v>
      </c>
      <c r="BB38" s="64"/>
      <c r="BC38" s="79">
        <v>75.400000000000006</v>
      </c>
      <c r="BD38" s="79">
        <v>75.400000000000006</v>
      </c>
      <c r="BE38" s="64"/>
      <c r="BF38" s="79">
        <v>78.400000000000006</v>
      </c>
      <c r="BG38" s="79">
        <v>78.400000000000006</v>
      </c>
      <c r="BH38" s="64"/>
      <c r="BI38" s="29">
        <f t="shared" si="58"/>
        <v>211.10000000000002</v>
      </c>
      <c r="BJ38" s="30">
        <f t="shared" si="58"/>
        <v>211.10000000000002</v>
      </c>
      <c r="BK38" s="30">
        <f t="shared" si="58"/>
        <v>0</v>
      </c>
      <c r="BL38" s="93"/>
      <c r="BM38" s="83">
        <v>79.7</v>
      </c>
      <c r="BN38" s="79">
        <v>79.7</v>
      </c>
      <c r="BO38" s="64"/>
      <c r="BP38" s="79">
        <v>65.599999999999994</v>
      </c>
      <c r="BQ38" s="79">
        <v>65.599999999999994</v>
      </c>
      <c r="BR38" s="64"/>
      <c r="BS38" s="79">
        <v>65.8</v>
      </c>
      <c r="BT38" s="79">
        <v>65.8</v>
      </c>
      <c r="BU38" s="134"/>
      <c r="BV38" s="99">
        <v>1016.9</v>
      </c>
      <c r="BW38" s="92">
        <v>546</v>
      </c>
      <c r="BX38" s="79">
        <v>653.90000000000032</v>
      </c>
      <c r="BY38" s="92">
        <v>556.6</v>
      </c>
      <c r="BZ38" s="79">
        <v>429.5</v>
      </c>
      <c r="CA38" s="37" t="b">
        <f t="shared" si="60"/>
        <v>1</v>
      </c>
      <c r="CB38" s="37" t="b">
        <f t="shared" si="60"/>
        <v>1</v>
      </c>
      <c r="CC38" s="37" t="b">
        <f t="shared" si="11"/>
        <v>1</v>
      </c>
      <c r="CD38" s="100">
        <v>231.3</v>
      </c>
      <c r="CE38" s="38">
        <f t="shared" si="12"/>
        <v>-522.5</v>
      </c>
      <c r="CF38" s="38">
        <v>7.6158640000000002</v>
      </c>
      <c r="CG38" s="38">
        <f t="shared" si="13"/>
        <v>0</v>
      </c>
      <c r="CH38" s="64"/>
    </row>
    <row r="39" spans="1:86" ht="18.75" x14ac:dyDescent="0.3">
      <c r="A39" s="90" t="s">
        <v>95</v>
      </c>
      <c r="B39" s="141" t="s">
        <v>96</v>
      </c>
      <c r="C39" s="214" t="s">
        <v>185</v>
      </c>
      <c r="D39" s="71" t="s">
        <v>46</v>
      </c>
      <c r="E39" s="1">
        <v>1161.2080000000001</v>
      </c>
      <c r="F39" s="1">
        <v>1831.9</v>
      </c>
      <c r="G39" s="1">
        <v>1813</v>
      </c>
      <c r="H39" s="1"/>
      <c r="I39" s="72">
        <v>1511.8000000000002</v>
      </c>
      <c r="J39" s="73">
        <v>1191.105</v>
      </c>
      <c r="K39" s="73">
        <v>1087.027</v>
      </c>
      <c r="L39" s="73">
        <v>1717.9</v>
      </c>
      <c r="M39" s="73">
        <v>1641.8000000000002</v>
      </c>
      <c r="N39" s="74">
        <v>1831.9</v>
      </c>
      <c r="O39" s="92">
        <v>1746.8</v>
      </c>
      <c r="P39" s="92">
        <v>1605.3000000000002</v>
      </c>
      <c r="Q39" s="28">
        <f t="shared" si="0"/>
        <v>1605.3000000000002</v>
      </c>
      <c r="R39" s="29">
        <f t="shared" si="0"/>
        <v>1605.3000000000002</v>
      </c>
      <c r="S39" s="29"/>
      <c r="T39" s="29">
        <f t="shared" si="1"/>
        <v>109.62983</v>
      </c>
      <c r="U39" s="93"/>
      <c r="V39" s="29">
        <f t="shared" si="52"/>
        <v>254.3</v>
      </c>
      <c r="W39" s="29">
        <f t="shared" si="52"/>
        <v>254.3</v>
      </c>
      <c r="X39" s="29">
        <f t="shared" si="52"/>
        <v>109.62983</v>
      </c>
      <c r="Y39" s="93"/>
      <c r="Z39" s="79">
        <v>132.4</v>
      </c>
      <c r="AA39" s="79">
        <v>132.4</v>
      </c>
      <c r="AB39" s="64">
        <v>109.62983</v>
      </c>
      <c r="AC39" s="79">
        <v>121.9</v>
      </c>
      <c r="AD39" s="79">
        <v>121.9</v>
      </c>
      <c r="AE39" s="64"/>
      <c r="AF39" s="79">
        <v>0</v>
      </c>
      <c r="AG39" s="79">
        <v>0</v>
      </c>
      <c r="AH39" s="64"/>
      <c r="AI39" s="29">
        <f t="shared" si="54"/>
        <v>349.5</v>
      </c>
      <c r="AJ39" s="30">
        <f t="shared" si="54"/>
        <v>349.5</v>
      </c>
      <c r="AK39" s="30">
        <f t="shared" si="54"/>
        <v>0</v>
      </c>
      <c r="AL39" s="93"/>
      <c r="AM39" s="79">
        <v>153.1</v>
      </c>
      <c r="AN39" s="79">
        <v>153.1</v>
      </c>
      <c r="AO39" s="133"/>
      <c r="AP39" s="79">
        <v>119.1</v>
      </c>
      <c r="AQ39" s="79">
        <v>119.1</v>
      </c>
      <c r="AR39" s="64"/>
      <c r="AS39" s="79">
        <v>77.3</v>
      </c>
      <c r="AT39" s="79">
        <v>77.3</v>
      </c>
      <c r="AU39" s="64"/>
      <c r="AV39" s="29">
        <f t="shared" si="56"/>
        <v>497.40000000000003</v>
      </c>
      <c r="AW39" s="30">
        <f t="shared" si="56"/>
        <v>497.40000000000003</v>
      </c>
      <c r="AX39" s="30">
        <f t="shared" si="56"/>
        <v>0</v>
      </c>
      <c r="AY39" s="93"/>
      <c r="AZ39" s="79">
        <v>169.9</v>
      </c>
      <c r="BA39" s="79">
        <v>169.9</v>
      </c>
      <c r="BB39" s="64"/>
      <c r="BC39" s="79">
        <v>163.19999999999999</v>
      </c>
      <c r="BD39" s="79">
        <v>163.19999999999999</v>
      </c>
      <c r="BE39" s="64"/>
      <c r="BF39" s="79">
        <v>164.3</v>
      </c>
      <c r="BG39" s="79">
        <v>164.3</v>
      </c>
      <c r="BH39" s="64"/>
      <c r="BI39" s="29">
        <f t="shared" si="58"/>
        <v>504.1</v>
      </c>
      <c r="BJ39" s="30">
        <f t="shared" si="58"/>
        <v>504.1</v>
      </c>
      <c r="BK39" s="30">
        <f t="shared" si="58"/>
        <v>0</v>
      </c>
      <c r="BL39" s="93"/>
      <c r="BM39" s="83">
        <v>169.9</v>
      </c>
      <c r="BN39" s="79">
        <v>169.9</v>
      </c>
      <c r="BO39" s="64"/>
      <c r="BP39" s="79">
        <v>164.3</v>
      </c>
      <c r="BQ39" s="79">
        <v>164.3</v>
      </c>
      <c r="BR39" s="64"/>
      <c r="BS39" s="79">
        <v>169.9</v>
      </c>
      <c r="BT39" s="79">
        <v>169.9</v>
      </c>
      <c r="BU39" s="134"/>
      <c r="BV39" s="99">
        <v>1831.9</v>
      </c>
      <c r="BW39" s="92">
        <v>1788.7</v>
      </c>
      <c r="BX39" s="79">
        <v>1818.5</v>
      </c>
      <c r="BY39" s="92">
        <v>1698.2</v>
      </c>
      <c r="BZ39" s="79">
        <v>1666.4</v>
      </c>
      <c r="CA39" s="37" t="b">
        <f t="shared" si="60"/>
        <v>1</v>
      </c>
      <c r="CB39" s="37" t="b">
        <f t="shared" si="60"/>
        <v>1</v>
      </c>
      <c r="CC39" s="37" t="b">
        <f t="shared" si="11"/>
        <v>1</v>
      </c>
      <c r="CD39" s="100">
        <v>1242.4000000000001</v>
      </c>
      <c r="CE39" s="38">
        <f t="shared" si="12"/>
        <v>-362.90000000000009</v>
      </c>
      <c r="CF39" s="38">
        <v>109.62983</v>
      </c>
      <c r="CG39" s="38">
        <f t="shared" si="13"/>
        <v>0</v>
      </c>
      <c r="CH39" s="64"/>
    </row>
    <row r="40" spans="1:86" ht="18.75" x14ac:dyDescent="0.3">
      <c r="A40" s="90" t="s">
        <v>97</v>
      </c>
      <c r="B40" s="141" t="s">
        <v>98</v>
      </c>
      <c r="C40" s="214" t="s">
        <v>186</v>
      </c>
      <c r="D40" s="71" t="s">
        <v>46</v>
      </c>
      <c r="E40" s="1">
        <v>0</v>
      </c>
      <c r="F40" s="1">
        <v>200</v>
      </c>
      <c r="G40" s="1">
        <v>200</v>
      </c>
      <c r="H40" s="1"/>
      <c r="I40" s="72">
        <v>88.000000000000014</v>
      </c>
      <c r="J40" s="73">
        <v>154.98699999999999</v>
      </c>
      <c r="K40" s="73">
        <v>176.53700000000001</v>
      </c>
      <c r="L40" s="73">
        <v>171.6</v>
      </c>
      <c r="M40" s="73">
        <v>165</v>
      </c>
      <c r="N40" s="74">
        <v>90</v>
      </c>
      <c r="O40" s="92">
        <v>90</v>
      </c>
      <c r="P40" s="92">
        <v>90</v>
      </c>
      <c r="Q40" s="28">
        <f t="shared" si="0"/>
        <v>90</v>
      </c>
      <c r="R40" s="29">
        <f t="shared" si="0"/>
        <v>90</v>
      </c>
      <c r="S40" s="29"/>
      <c r="T40" s="29">
        <f t="shared" si="1"/>
        <v>0</v>
      </c>
      <c r="U40" s="93"/>
      <c r="V40" s="29">
        <f t="shared" si="52"/>
        <v>33.5</v>
      </c>
      <c r="W40" s="29">
        <f t="shared" si="52"/>
        <v>33.5</v>
      </c>
      <c r="X40" s="29">
        <f t="shared" si="52"/>
        <v>0</v>
      </c>
      <c r="Y40" s="93"/>
      <c r="Z40" s="79">
        <v>0</v>
      </c>
      <c r="AA40" s="79">
        <v>0</v>
      </c>
      <c r="AB40" s="64">
        <v>0</v>
      </c>
      <c r="AC40" s="79">
        <v>0</v>
      </c>
      <c r="AD40" s="79">
        <v>0</v>
      </c>
      <c r="AE40" s="64"/>
      <c r="AF40" s="79">
        <v>33.5</v>
      </c>
      <c r="AG40" s="79">
        <v>33.5</v>
      </c>
      <c r="AH40" s="64"/>
      <c r="AI40" s="29">
        <f t="shared" si="54"/>
        <v>32.4</v>
      </c>
      <c r="AJ40" s="30">
        <f t="shared" si="54"/>
        <v>32.4</v>
      </c>
      <c r="AK40" s="30">
        <f t="shared" si="54"/>
        <v>0</v>
      </c>
      <c r="AL40" s="93"/>
      <c r="AM40" s="79">
        <v>32.4</v>
      </c>
      <c r="AN40" s="79">
        <v>32.4</v>
      </c>
      <c r="AO40" s="133"/>
      <c r="AP40" s="79">
        <v>0</v>
      </c>
      <c r="AQ40" s="79">
        <v>0</v>
      </c>
      <c r="AR40" s="64"/>
      <c r="AS40" s="79">
        <v>0</v>
      </c>
      <c r="AT40" s="79">
        <v>0</v>
      </c>
      <c r="AU40" s="64"/>
      <c r="AV40" s="29">
        <f t="shared" si="56"/>
        <v>24.1</v>
      </c>
      <c r="AW40" s="30">
        <f t="shared" si="56"/>
        <v>24.1</v>
      </c>
      <c r="AX40" s="30">
        <f t="shared" si="56"/>
        <v>0</v>
      </c>
      <c r="AY40" s="93"/>
      <c r="AZ40" s="79">
        <v>24.1</v>
      </c>
      <c r="BA40" s="79">
        <v>24.1</v>
      </c>
      <c r="BB40" s="64"/>
      <c r="BC40" s="79">
        <v>0</v>
      </c>
      <c r="BD40" s="79">
        <v>0</v>
      </c>
      <c r="BE40" s="64"/>
      <c r="BF40" s="79">
        <v>0</v>
      </c>
      <c r="BG40" s="79">
        <v>0</v>
      </c>
      <c r="BH40" s="64"/>
      <c r="BI40" s="29">
        <f t="shared" si="58"/>
        <v>0</v>
      </c>
      <c r="BJ40" s="30">
        <f t="shared" si="58"/>
        <v>0</v>
      </c>
      <c r="BK40" s="30">
        <f t="shared" si="58"/>
        <v>0</v>
      </c>
      <c r="BL40" s="93"/>
      <c r="BM40" s="83">
        <v>0</v>
      </c>
      <c r="BN40" s="79">
        <v>0</v>
      </c>
      <c r="BO40" s="64"/>
      <c r="BP40" s="79">
        <v>0</v>
      </c>
      <c r="BQ40" s="79">
        <v>0</v>
      </c>
      <c r="BR40" s="64"/>
      <c r="BS40" s="79">
        <v>0</v>
      </c>
      <c r="BT40" s="79">
        <v>0</v>
      </c>
      <c r="BU40" s="134"/>
      <c r="BV40" s="99">
        <v>90</v>
      </c>
      <c r="BW40" s="92">
        <v>90</v>
      </c>
      <c r="BX40" s="79">
        <v>90</v>
      </c>
      <c r="BY40" s="92">
        <v>90</v>
      </c>
      <c r="BZ40" s="79">
        <v>90</v>
      </c>
      <c r="CA40" s="37" t="b">
        <f t="shared" si="60"/>
        <v>1</v>
      </c>
      <c r="CB40" s="37" t="b">
        <f t="shared" si="60"/>
        <v>1</v>
      </c>
      <c r="CC40" s="37" t="b">
        <f t="shared" si="11"/>
        <v>1</v>
      </c>
      <c r="CD40" s="100">
        <v>150</v>
      </c>
      <c r="CE40" s="38">
        <f t="shared" si="12"/>
        <v>60</v>
      </c>
      <c r="CF40" s="38"/>
      <c r="CG40" s="38">
        <f t="shared" si="13"/>
        <v>0</v>
      </c>
      <c r="CH40" s="64"/>
    </row>
    <row r="41" spans="1:86" ht="18.75" x14ac:dyDescent="0.3">
      <c r="A41" s="90" t="s">
        <v>99</v>
      </c>
      <c r="B41" s="141" t="s">
        <v>100</v>
      </c>
      <c r="C41" s="215" t="s">
        <v>187</v>
      </c>
      <c r="D41" s="71" t="s">
        <v>46</v>
      </c>
      <c r="E41" s="1"/>
      <c r="F41" s="1"/>
      <c r="G41" s="1"/>
      <c r="H41" s="1"/>
      <c r="I41" s="72"/>
      <c r="J41" s="73"/>
      <c r="K41" s="73"/>
      <c r="L41" s="73"/>
      <c r="M41" s="73"/>
      <c r="N41" s="74"/>
      <c r="O41" s="92"/>
      <c r="P41" s="92"/>
      <c r="Q41" s="28">
        <f t="shared" si="0"/>
        <v>0</v>
      </c>
      <c r="R41" s="29">
        <f>W41+AJ41+AW41+BJ41</f>
        <v>0</v>
      </c>
      <c r="S41" s="29"/>
      <c r="T41" s="29">
        <f t="shared" si="1"/>
        <v>0</v>
      </c>
      <c r="U41" s="93"/>
      <c r="V41" s="29">
        <f t="shared" si="52"/>
        <v>0</v>
      </c>
      <c r="W41" s="29">
        <f t="shared" si="52"/>
        <v>0</v>
      </c>
      <c r="X41" s="29">
        <f t="shared" si="52"/>
        <v>0</v>
      </c>
      <c r="Y41" s="93"/>
      <c r="Z41" s="79"/>
      <c r="AA41" s="79"/>
      <c r="AB41" s="64">
        <v>0</v>
      </c>
      <c r="AC41" s="79"/>
      <c r="AD41" s="79"/>
      <c r="AE41" s="64"/>
      <c r="AF41" s="79"/>
      <c r="AG41" s="79"/>
      <c r="AH41" s="64"/>
      <c r="AI41" s="29">
        <f t="shared" si="54"/>
        <v>0</v>
      </c>
      <c r="AJ41" s="30">
        <f t="shared" si="54"/>
        <v>0</v>
      </c>
      <c r="AK41" s="30">
        <f t="shared" si="54"/>
        <v>0</v>
      </c>
      <c r="AL41" s="93"/>
      <c r="AM41" s="79"/>
      <c r="AN41" s="79"/>
      <c r="AO41" s="133"/>
      <c r="AP41" s="79"/>
      <c r="AQ41" s="79"/>
      <c r="AR41" s="64"/>
      <c r="AS41" s="79"/>
      <c r="AT41" s="79"/>
      <c r="AU41" s="64"/>
      <c r="AV41" s="29">
        <f t="shared" si="56"/>
        <v>0</v>
      </c>
      <c r="AW41" s="30">
        <f t="shared" si="56"/>
        <v>0</v>
      </c>
      <c r="AX41" s="30">
        <f t="shared" si="56"/>
        <v>0</v>
      </c>
      <c r="AY41" s="93"/>
      <c r="AZ41" s="79"/>
      <c r="BA41" s="79"/>
      <c r="BB41" s="64"/>
      <c r="BC41" s="79"/>
      <c r="BD41" s="79"/>
      <c r="BE41" s="64"/>
      <c r="BF41" s="79"/>
      <c r="BG41" s="79"/>
      <c r="BH41" s="64"/>
      <c r="BI41" s="29">
        <f t="shared" si="58"/>
        <v>0</v>
      </c>
      <c r="BJ41" s="30">
        <f t="shared" si="58"/>
        <v>0</v>
      </c>
      <c r="BK41" s="30">
        <f t="shared" si="58"/>
        <v>0</v>
      </c>
      <c r="BL41" s="93"/>
      <c r="BM41" s="83"/>
      <c r="BN41" s="79"/>
      <c r="BO41" s="64"/>
      <c r="BP41" s="79"/>
      <c r="BQ41" s="79"/>
      <c r="BR41" s="64"/>
      <c r="BS41" s="79"/>
      <c r="BT41" s="79"/>
      <c r="BU41" s="134"/>
      <c r="BV41" s="99"/>
      <c r="BW41" s="92"/>
      <c r="BX41" s="79"/>
      <c r="BY41" s="92"/>
      <c r="BZ41" s="79"/>
      <c r="CA41" s="37" t="b">
        <f t="shared" si="60"/>
        <v>1</v>
      </c>
      <c r="CB41" s="37" t="b">
        <f t="shared" si="60"/>
        <v>1</v>
      </c>
      <c r="CC41" s="37" t="b">
        <f t="shared" si="11"/>
        <v>1</v>
      </c>
      <c r="CD41" s="100"/>
      <c r="CE41" s="38"/>
      <c r="CF41" s="38"/>
      <c r="CG41" s="38"/>
      <c r="CH41" s="64"/>
    </row>
    <row r="42" spans="1:86" ht="19.5" x14ac:dyDescent="0.25">
      <c r="A42" s="90"/>
      <c r="B42" s="91" t="s">
        <v>74</v>
      </c>
      <c r="C42" s="211" t="s">
        <v>188</v>
      </c>
      <c r="D42" s="71"/>
      <c r="E42" s="1"/>
      <c r="F42" s="1"/>
      <c r="G42" s="1"/>
      <c r="H42" s="1"/>
      <c r="I42" s="72"/>
      <c r="J42" s="73">
        <v>0</v>
      </c>
      <c r="K42" s="73"/>
      <c r="L42" s="73"/>
      <c r="M42" s="73"/>
      <c r="N42" s="74"/>
      <c r="O42" s="92"/>
      <c r="P42" s="92"/>
      <c r="Q42" s="28"/>
      <c r="R42" s="29"/>
      <c r="S42" s="29"/>
      <c r="T42" s="29"/>
      <c r="U42" s="93"/>
      <c r="V42" s="29">
        <f t="shared" si="52"/>
        <v>0</v>
      </c>
      <c r="W42" s="29">
        <f t="shared" si="52"/>
        <v>0</v>
      </c>
      <c r="X42" s="29">
        <f t="shared" si="52"/>
        <v>0</v>
      </c>
      <c r="Y42" s="93"/>
      <c r="Z42" s="94"/>
      <c r="AA42" s="94"/>
      <c r="AB42" s="95"/>
      <c r="AC42" s="94"/>
      <c r="AD42" s="94"/>
      <c r="AE42" s="95"/>
      <c r="AF42" s="94"/>
      <c r="AG42" s="94"/>
      <c r="AH42" s="95"/>
      <c r="AI42" s="29">
        <f t="shared" si="54"/>
        <v>0</v>
      </c>
      <c r="AJ42" s="30">
        <f t="shared" si="54"/>
        <v>0</v>
      </c>
      <c r="AK42" s="30">
        <f t="shared" si="54"/>
        <v>0</v>
      </c>
      <c r="AL42" s="93"/>
      <c r="AM42" s="94"/>
      <c r="AN42" s="94"/>
      <c r="AO42" s="96"/>
      <c r="AP42" s="94"/>
      <c r="AQ42" s="94"/>
      <c r="AR42" s="95"/>
      <c r="AS42" s="94"/>
      <c r="AT42" s="94"/>
      <c r="AU42" s="95"/>
      <c r="AV42" s="29">
        <f t="shared" si="56"/>
        <v>0</v>
      </c>
      <c r="AW42" s="30">
        <f t="shared" si="56"/>
        <v>0</v>
      </c>
      <c r="AX42" s="30">
        <f t="shared" si="56"/>
        <v>0</v>
      </c>
      <c r="AY42" s="93"/>
      <c r="AZ42" s="94"/>
      <c r="BA42" s="94"/>
      <c r="BB42" s="95"/>
      <c r="BC42" s="94"/>
      <c r="BD42" s="94"/>
      <c r="BE42" s="95"/>
      <c r="BF42" s="94"/>
      <c r="BG42" s="94"/>
      <c r="BH42" s="95"/>
      <c r="BI42" s="29">
        <f t="shared" si="58"/>
        <v>0</v>
      </c>
      <c r="BJ42" s="30">
        <f t="shared" si="58"/>
        <v>0</v>
      </c>
      <c r="BK42" s="30">
        <f t="shared" si="58"/>
        <v>0</v>
      </c>
      <c r="BL42" s="93"/>
      <c r="BM42" s="97"/>
      <c r="BN42" s="94"/>
      <c r="BO42" s="95"/>
      <c r="BP42" s="94"/>
      <c r="BQ42" s="94"/>
      <c r="BR42" s="95"/>
      <c r="BS42" s="94"/>
      <c r="BT42" s="94"/>
      <c r="BU42" s="98"/>
      <c r="BV42" s="99"/>
      <c r="BW42" s="92"/>
      <c r="BX42" s="94"/>
      <c r="BY42" s="92"/>
      <c r="BZ42" s="94"/>
      <c r="CA42" s="37" t="b">
        <f t="shared" si="60"/>
        <v>1</v>
      </c>
      <c r="CB42" s="37" t="b">
        <f t="shared" si="60"/>
        <v>1</v>
      </c>
      <c r="CC42" s="37" t="b">
        <f t="shared" si="11"/>
        <v>1</v>
      </c>
      <c r="CD42" s="100"/>
      <c r="CE42" s="38">
        <f t="shared" si="12"/>
        <v>0</v>
      </c>
      <c r="CF42" s="38"/>
      <c r="CG42" s="38">
        <f t="shared" si="13"/>
        <v>0</v>
      </c>
      <c r="CH42" s="95"/>
    </row>
    <row r="43" spans="1:86" ht="18.75" x14ac:dyDescent="0.25">
      <c r="A43" s="90"/>
      <c r="B43" s="142" t="s">
        <v>101</v>
      </c>
      <c r="C43" s="215" t="s">
        <v>189</v>
      </c>
      <c r="D43" s="71" t="s">
        <v>46</v>
      </c>
      <c r="E43" s="1">
        <v>7474.3009999999995</v>
      </c>
      <c r="F43" s="1">
        <v>8197.7999999999993</v>
      </c>
      <c r="G43" s="1">
        <v>8312.6</v>
      </c>
      <c r="H43" s="1"/>
      <c r="I43" s="72">
        <v>6793.2999999999993</v>
      </c>
      <c r="J43" s="73">
        <v>6591.5910000000003</v>
      </c>
      <c r="K43" s="73">
        <v>6461.2469999999994</v>
      </c>
      <c r="L43" s="73">
        <v>7503.1</v>
      </c>
      <c r="M43" s="73">
        <v>7507.5000000000009</v>
      </c>
      <c r="N43" s="74">
        <v>8429</v>
      </c>
      <c r="O43" s="92">
        <v>6923.6</v>
      </c>
      <c r="P43" s="92">
        <v>7251.8</v>
      </c>
      <c r="Q43" s="28">
        <f t="shared" ref="Q43:R74" si="65">V43+AI43+AV43+BI43</f>
        <v>7251.8</v>
      </c>
      <c r="R43" s="29">
        <f t="shared" si="65"/>
        <v>7251.8</v>
      </c>
      <c r="S43" s="29"/>
      <c r="T43" s="29">
        <f t="shared" si="1"/>
        <v>460.40707300000003</v>
      </c>
      <c r="U43" s="93">
        <f>Q43*100/Q3</f>
        <v>53.423406167582627</v>
      </c>
      <c r="V43" s="29">
        <f t="shared" si="52"/>
        <v>1813.9</v>
      </c>
      <c r="W43" s="29">
        <f t="shared" si="52"/>
        <v>1813.9</v>
      </c>
      <c r="X43" s="29">
        <f t="shared" si="52"/>
        <v>460.40707300000003</v>
      </c>
      <c r="Y43" s="93">
        <f>V43*100/V3</f>
        <v>53.265402008574618</v>
      </c>
      <c r="Z43" s="94">
        <f t="shared" ref="Z43:AH43" si="66">Z44+Z45</f>
        <v>622.6</v>
      </c>
      <c r="AA43" s="94">
        <f t="shared" si="66"/>
        <v>622.6</v>
      </c>
      <c r="AB43" s="95">
        <f t="shared" si="66"/>
        <v>460.40707300000003</v>
      </c>
      <c r="AC43" s="94">
        <f t="shared" si="66"/>
        <v>565.1</v>
      </c>
      <c r="AD43" s="94">
        <f t="shared" si="66"/>
        <v>565.1</v>
      </c>
      <c r="AE43" s="95">
        <f t="shared" si="66"/>
        <v>0</v>
      </c>
      <c r="AF43" s="94">
        <f t="shared" si="66"/>
        <v>626.20000000000005</v>
      </c>
      <c r="AG43" s="94">
        <f t="shared" si="66"/>
        <v>626.20000000000005</v>
      </c>
      <c r="AH43" s="95">
        <f t="shared" si="66"/>
        <v>0</v>
      </c>
      <c r="AI43" s="29">
        <f t="shared" si="54"/>
        <v>1376.8000000000002</v>
      </c>
      <c r="AJ43" s="30">
        <f t="shared" si="54"/>
        <v>1376.8000000000002</v>
      </c>
      <c r="AK43" s="30">
        <f t="shared" si="54"/>
        <v>0</v>
      </c>
      <c r="AL43" s="93">
        <f>AI43*100/AI3</f>
        <v>53.006853006853028</v>
      </c>
      <c r="AM43" s="94">
        <f t="shared" ref="AM43:AU43" si="67">AM44+AM45</f>
        <v>606.70000000000005</v>
      </c>
      <c r="AN43" s="94">
        <f t="shared" si="67"/>
        <v>606.70000000000005</v>
      </c>
      <c r="AO43" s="96">
        <f t="shared" si="67"/>
        <v>0</v>
      </c>
      <c r="AP43" s="94">
        <f t="shared" si="67"/>
        <v>428.40000000000003</v>
      </c>
      <c r="AQ43" s="94">
        <f t="shared" si="67"/>
        <v>428.40000000000003</v>
      </c>
      <c r="AR43" s="95">
        <f t="shared" si="67"/>
        <v>0</v>
      </c>
      <c r="AS43" s="94">
        <f t="shared" si="67"/>
        <v>341.7</v>
      </c>
      <c r="AT43" s="94">
        <f t="shared" si="67"/>
        <v>341.7</v>
      </c>
      <c r="AU43" s="95">
        <f t="shared" si="67"/>
        <v>0</v>
      </c>
      <c r="AV43" s="29">
        <f t="shared" si="56"/>
        <v>2022.4</v>
      </c>
      <c r="AW43" s="30">
        <f t="shared" si="56"/>
        <v>2022.4</v>
      </c>
      <c r="AX43" s="30">
        <f t="shared" si="56"/>
        <v>0</v>
      </c>
      <c r="AY43" s="93">
        <f>AV43*100/AV3</f>
        <v>54.570966001079334</v>
      </c>
      <c r="AZ43" s="94">
        <f t="shared" ref="AZ43:BH43" si="68">AZ44+AZ45</f>
        <v>660.8</v>
      </c>
      <c r="BA43" s="94">
        <f t="shared" si="68"/>
        <v>660.8</v>
      </c>
      <c r="BB43" s="95">
        <f t="shared" si="68"/>
        <v>0</v>
      </c>
      <c r="BC43" s="94">
        <f t="shared" si="68"/>
        <v>687.19999999999993</v>
      </c>
      <c r="BD43" s="94">
        <f t="shared" si="68"/>
        <v>687.19999999999993</v>
      </c>
      <c r="BE43" s="95">
        <f t="shared" si="68"/>
        <v>0</v>
      </c>
      <c r="BF43" s="94">
        <f t="shared" si="68"/>
        <v>674.40000000000009</v>
      </c>
      <c r="BG43" s="94">
        <f t="shared" si="68"/>
        <v>674.40000000000009</v>
      </c>
      <c r="BH43" s="95">
        <f t="shared" si="68"/>
        <v>0</v>
      </c>
      <c r="BI43" s="29">
        <f t="shared" si="58"/>
        <v>2038.6999999999998</v>
      </c>
      <c r="BJ43" s="30">
        <f t="shared" si="58"/>
        <v>2038.6999999999998</v>
      </c>
      <c r="BK43" s="30">
        <f t="shared" si="58"/>
        <v>0</v>
      </c>
      <c r="BL43" s="93">
        <f>BI43*100/BI3</f>
        <v>52.742277642676044</v>
      </c>
      <c r="BM43" s="97">
        <f t="shared" ref="BM43:BU43" si="69">BM44+BM45</f>
        <v>681.69999999999993</v>
      </c>
      <c r="BN43" s="94">
        <f t="shared" si="69"/>
        <v>681.69999999999993</v>
      </c>
      <c r="BO43" s="95">
        <f t="shared" si="69"/>
        <v>0</v>
      </c>
      <c r="BP43" s="94">
        <f t="shared" si="69"/>
        <v>674.6</v>
      </c>
      <c r="BQ43" s="94">
        <f t="shared" si="69"/>
        <v>674.6</v>
      </c>
      <c r="BR43" s="95">
        <f t="shared" si="69"/>
        <v>0</v>
      </c>
      <c r="BS43" s="94">
        <f t="shared" si="69"/>
        <v>682.4</v>
      </c>
      <c r="BT43" s="94">
        <f t="shared" si="69"/>
        <v>682.4</v>
      </c>
      <c r="BU43" s="98">
        <f t="shared" si="69"/>
        <v>0</v>
      </c>
      <c r="BV43" s="99">
        <v>8104.9</v>
      </c>
      <c r="BW43" s="92">
        <v>7197.3</v>
      </c>
      <c r="BX43" s="94">
        <f>BX44+BX45</f>
        <v>7466.4</v>
      </c>
      <c r="BY43" s="92">
        <v>7059.9000000000005</v>
      </c>
      <c r="BZ43" s="94">
        <f>BZ44+BZ45</f>
        <v>6753.9</v>
      </c>
      <c r="CA43" s="37" t="b">
        <f t="shared" si="60"/>
        <v>1</v>
      </c>
      <c r="CB43" s="37" t="b">
        <f t="shared" si="60"/>
        <v>1</v>
      </c>
      <c r="CC43" s="37" t="b">
        <f t="shared" si="11"/>
        <v>1</v>
      </c>
      <c r="CD43" s="100">
        <v>6915</v>
      </c>
      <c r="CE43" s="38">
        <f t="shared" si="12"/>
        <v>-336.80000000000018</v>
      </c>
      <c r="CF43" s="38">
        <v>460.40707300000003</v>
      </c>
      <c r="CG43" s="38">
        <f t="shared" si="13"/>
        <v>0</v>
      </c>
      <c r="CH43" s="95">
        <f>CH44+CH45</f>
        <v>0</v>
      </c>
    </row>
    <row r="44" spans="1:86" ht="18.75" x14ac:dyDescent="0.25">
      <c r="A44" s="90"/>
      <c r="B44" s="142" t="s">
        <v>102</v>
      </c>
      <c r="C44" s="215" t="s">
        <v>190</v>
      </c>
      <c r="D44" s="71" t="s">
        <v>46</v>
      </c>
      <c r="E44" s="1">
        <v>8.5019999999999989</v>
      </c>
      <c r="F44" s="1">
        <v>14.9</v>
      </c>
      <c r="G44" s="1">
        <v>15.899999999999999</v>
      </c>
      <c r="H44" s="1"/>
      <c r="I44" s="72">
        <v>9.8000000000000007</v>
      </c>
      <c r="J44" s="73">
        <v>10.11</v>
      </c>
      <c r="K44" s="73">
        <v>10.079000000000001</v>
      </c>
      <c r="L44" s="73">
        <v>11.2</v>
      </c>
      <c r="M44" s="73">
        <v>11.2</v>
      </c>
      <c r="N44" s="74">
        <v>12.1</v>
      </c>
      <c r="O44" s="92">
        <v>11.700000000000001</v>
      </c>
      <c r="P44" s="92">
        <v>12.6</v>
      </c>
      <c r="Q44" s="28">
        <f t="shared" si="65"/>
        <v>12.6</v>
      </c>
      <c r="R44" s="29">
        <f t="shared" si="65"/>
        <v>12.6</v>
      </c>
      <c r="S44" s="29"/>
      <c r="T44" s="29">
        <f t="shared" si="1"/>
        <v>0</v>
      </c>
      <c r="U44" s="93"/>
      <c r="V44" s="29">
        <f t="shared" si="52"/>
        <v>3.8</v>
      </c>
      <c r="W44" s="29">
        <f t="shared" si="52"/>
        <v>3.8</v>
      </c>
      <c r="X44" s="29">
        <f t="shared" si="52"/>
        <v>0</v>
      </c>
      <c r="Y44" s="93"/>
      <c r="Z44" s="79">
        <v>1.4</v>
      </c>
      <c r="AA44" s="79">
        <v>1.4</v>
      </c>
      <c r="AB44" s="64">
        <v>0</v>
      </c>
      <c r="AC44" s="79">
        <v>1.2</v>
      </c>
      <c r="AD44" s="79">
        <v>1.2</v>
      </c>
      <c r="AE44" s="64"/>
      <c r="AF44" s="79">
        <v>1.2</v>
      </c>
      <c r="AG44" s="79">
        <v>1.2</v>
      </c>
      <c r="AH44" s="64"/>
      <c r="AI44" s="29">
        <f t="shared" si="54"/>
        <v>1.5</v>
      </c>
      <c r="AJ44" s="30">
        <f t="shared" si="54"/>
        <v>1.5</v>
      </c>
      <c r="AK44" s="30">
        <f t="shared" si="54"/>
        <v>0</v>
      </c>
      <c r="AL44" s="93"/>
      <c r="AM44" s="79">
        <v>1.2</v>
      </c>
      <c r="AN44" s="79">
        <v>1.2</v>
      </c>
      <c r="AO44" s="133"/>
      <c r="AP44" s="79">
        <v>0.3</v>
      </c>
      <c r="AQ44" s="79">
        <v>0.3</v>
      </c>
      <c r="AR44" s="64"/>
      <c r="AS44" s="79">
        <v>0</v>
      </c>
      <c r="AT44" s="79">
        <v>0</v>
      </c>
      <c r="AU44" s="64"/>
      <c r="AV44" s="29">
        <f t="shared" si="56"/>
        <v>3.4000000000000004</v>
      </c>
      <c r="AW44" s="30">
        <f t="shared" si="56"/>
        <v>3.4000000000000004</v>
      </c>
      <c r="AX44" s="30">
        <f t="shared" si="56"/>
        <v>0</v>
      </c>
      <c r="AY44" s="93"/>
      <c r="AZ44" s="79">
        <v>0.9</v>
      </c>
      <c r="BA44" s="79">
        <v>0.9</v>
      </c>
      <c r="BB44" s="64"/>
      <c r="BC44" s="79">
        <v>1.3</v>
      </c>
      <c r="BD44" s="79">
        <v>1.3</v>
      </c>
      <c r="BE44" s="64"/>
      <c r="BF44" s="79">
        <v>1.2</v>
      </c>
      <c r="BG44" s="79">
        <v>1.2</v>
      </c>
      <c r="BH44" s="64"/>
      <c r="BI44" s="29">
        <f t="shared" si="58"/>
        <v>3.9</v>
      </c>
      <c r="BJ44" s="30">
        <f t="shared" si="58"/>
        <v>3.9</v>
      </c>
      <c r="BK44" s="30">
        <f t="shared" si="58"/>
        <v>0</v>
      </c>
      <c r="BL44" s="93"/>
      <c r="BM44" s="83">
        <v>1.3</v>
      </c>
      <c r="BN44" s="79">
        <v>1.3</v>
      </c>
      <c r="BO44" s="64"/>
      <c r="BP44" s="79">
        <v>1.2</v>
      </c>
      <c r="BQ44" s="79">
        <v>1.2</v>
      </c>
      <c r="BR44" s="64"/>
      <c r="BS44" s="79">
        <v>1.4</v>
      </c>
      <c r="BT44" s="79">
        <v>1.4</v>
      </c>
      <c r="BU44" s="134"/>
      <c r="BV44" s="99">
        <v>13.7</v>
      </c>
      <c r="BW44" s="92">
        <v>10.5</v>
      </c>
      <c r="BX44" s="79">
        <v>8.4</v>
      </c>
      <c r="BY44" s="92">
        <v>12.1</v>
      </c>
      <c r="BZ44" s="79">
        <v>12.100000000000001</v>
      </c>
      <c r="CA44" s="37" t="b">
        <f t="shared" si="60"/>
        <v>1</v>
      </c>
      <c r="CB44" s="37" t="b">
        <f t="shared" si="60"/>
        <v>1</v>
      </c>
      <c r="CC44" s="37" t="b">
        <f t="shared" si="11"/>
        <v>1</v>
      </c>
      <c r="CD44" s="100">
        <v>5.0999999999999996</v>
      </c>
      <c r="CE44" s="38">
        <f t="shared" si="12"/>
        <v>-7.5</v>
      </c>
      <c r="CF44" s="38"/>
      <c r="CG44" s="38">
        <f t="shared" si="13"/>
        <v>0</v>
      </c>
      <c r="CH44" s="64"/>
    </row>
    <row r="45" spans="1:86" ht="18.75" x14ac:dyDescent="0.25">
      <c r="A45" s="90"/>
      <c r="B45" s="142" t="s">
        <v>148</v>
      </c>
      <c r="C45" s="215" t="s">
        <v>191</v>
      </c>
      <c r="D45" s="71" t="s">
        <v>46</v>
      </c>
      <c r="E45" s="1">
        <v>7465.7990000000009</v>
      </c>
      <c r="F45" s="1">
        <v>8182.9000000000005</v>
      </c>
      <c r="G45" s="1">
        <v>8296.7000000000007</v>
      </c>
      <c r="H45" s="1"/>
      <c r="I45" s="72">
        <v>6783.5</v>
      </c>
      <c r="J45" s="73">
        <v>6581.4809999999998</v>
      </c>
      <c r="K45" s="73">
        <v>6451.1680000000006</v>
      </c>
      <c r="L45" s="73">
        <v>7491.9000000000005</v>
      </c>
      <c r="M45" s="73">
        <v>7496.2999999999993</v>
      </c>
      <c r="N45" s="74">
        <v>8416.9</v>
      </c>
      <c r="O45" s="92">
        <v>6911.9000000000005</v>
      </c>
      <c r="P45" s="92">
        <v>7239.2</v>
      </c>
      <c r="Q45" s="28">
        <f t="shared" si="65"/>
        <v>7239.2</v>
      </c>
      <c r="R45" s="29">
        <f t="shared" si="65"/>
        <v>7239.2</v>
      </c>
      <c r="S45" s="29"/>
      <c r="T45" s="29">
        <f t="shared" si="1"/>
        <v>460.40707300000003</v>
      </c>
      <c r="U45" s="93"/>
      <c r="V45" s="29">
        <f t="shared" si="52"/>
        <v>1810.1</v>
      </c>
      <c r="W45" s="29">
        <f t="shared" si="52"/>
        <v>1810.1</v>
      </c>
      <c r="X45" s="29">
        <f t="shared" si="52"/>
        <v>460.40707300000003</v>
      </c>
      <c r="Y45" s="93"/>
      <c r="Z45" s="79">
        <v>621.20000000000005</v>
      </c>
      <c r="AA45" s="79">
        <v>621.20000000000005</v>
      </c>
      <c r="AB45" s="64">
        <v>460.40707300000003</v>
      </c>
      <c r="AC45" s="79">
        <v>563.9</v>
      </c>
      <c r="AD45" s="79">
        <v>563.9</v>
      </c>
      <c r="AE45" s="64"/>
      <c r="AF45" s="79">
        <v>625</v>
      </c>
      <c r="AG45" s="79">
        <v>625</v>
      </c>
      <c r="AH45" s="64"/>
      <c r="AI45" s="29">
        <f t="shared" si="54"/>
        <v>1375.3</v>
      </c>
      <c r="AJ45" s="30">
        <f t="shared" si="54"/>
        <v>1375.3</v>
      </c>
      <c r="AK45" s="30">
        <f t="shared" si="54"/>
        <v>0</v>
      </c>
      <c r="AL45" s="93"/>
      <c r="AM45" s="79">
        <v>605.5</v>
      </c>
      <c r="AN45" s="79">
        <v>605.5</v>
      </c>
      <c r="AO45" s="133"/>
      <c r="AP45" s="79">
        <v>428.1</v>
      </c>
      <c r="AQ45" s="79">
        <v>428.1</v>
      </c>
      <c r="AR45" s="64"/>
      <c r="AS45" s="79">
        <v>341.7</v>
      </c>
      <c r="AT45" s="79">
        <v>341.7</v>
      </c>
      <c r="AU45" s="64"/>
      <c r="AV45" s="29">
        <f t="shared" si="56"/>
        <v>2019</v>
      </c>
      <c r="AW45" s="30">
        <f t="shared" si="56"/>
        <v>2019</v>
      </c>
      <c r="AX45" s="30">
        <f t="shared" si="56"/>
        <v>0</v>
      </c>
      <c r="AY45" s="93"/>
      <c r="AZ45" s="79">
        <v>659.9</v>
      </c>
      <c r="BA45" s="79">
        <v>659.9</v>
      </c>
      <c r="BB45" s="64"/>
      <c r="BC45" s="79">
        <v>685.9</v>
      </c>
      <c r="BD45" s="79">
        <v>685.9</v>
      </c>
      <c r="BE45" s="64"/>
      <c r="BF45" s="79">
        <v>673.2</v>
      </c>
      <c r="BG45" s="79">
        <v>673.2</v>
      </c>
      <c r="BH45" s="64"/>
      <c r="BI45" s="29">
        <f t="shared" si="58"/>
        <v>2034.8</v>
      </c>
      <c r="BJ45" s="30">
        <f t="shared" si="58"/>
        <v>2034.8</v>
      </c>
      <c r="BK45" s="30">
        <f t="shared" si="58"/>
        <v>0</v>
      </c>
      <c r="BL45" s="93"/>
      <c r="BM45" s="83">
        <v>680.4</v>
      </c>
      <c r="BN45" s="79">
        <v>680.4</v>
      </c>
      <c r="BO45" s="64"/>
      <c r="BP45" s="79">
        <v>673.4</v>
      </c>
      <c r="BQ45" s="79">
        <v>673.4</v>
      </c>
      <c r="BR45" s="64"/>
      <c r="BS45" s="79">
        <v>681</v>
      </c>
      <c r="BT45" s="79">
        <v>681</v>
      </c>
      <c r="BU45" s="134"/>
      <c r="BV45" s="99">
        <v>8091.2</v>
      </c>
      <c r="BW45" s="92">
        <v>7186.8</v>
      </c>
      <c r="BX45" s="79">
        <v>7458</v>
      </c>
      <c r="BY45" s="92">
        <v>7047.8</v>
      </c>
      <c r="BZ45" s="79">
        <v>6741.7999999999993</v>
      </c>
      <c r="CA45" s="37" t="b">
        <f t="shared" si="60"/>
        <v>1</v>
      </c>
      <c r="CB45" s="37" t="b">
        <f t="shared" si="60"/>
        <v>1</v>
      </c>
      <c r="CC45" s="37" t="b">
        <f t="shared" si="11"/>
        <v>1</v>
      </c>
      <c r="CD45" s="100">
        <v>6909.9</v>
      </c>
      <c r="CE45" s="38">
        <f t="shared" si="12"/>
        <v>-329.30000000000018</v>
      </c>
      <c r="CF45" s="38">
        <v>460.40707300000003</v>
      </c>
      <c r="CG45" s="38">
        <f t="shared" si="13"/>
        <v>0</v>
      </c>
      <c r="CH45" s="64"/>
    </row>
    <row r="46" spans="1:86" ht="18.75" x14ac:dyDescent="0.3">
      <c r="A46" s="48" t="s">
        <v>103</v>
      </c>
      <c r="B46" s="143" t="s">
        <v>104</v>
      </c>
      <c r="C46" s="216" t="s">
        <v>192</v>
      </c>
      <c r="D46" s="63" t="s">
        <v>46</v>
      </c>
      <c r="E46" s="23">
        <v>118.881</v>
      </c>
      <c r="F46" s="23">
        <v>77.199999999999989</v>
      </c>
      <c r="G46" s="23">
        <v>80.099999999999994</v>
      </c>
      <c r="H46" s="23"/>
      <c r="I46" s="24">
        <v>30</v>
      </c>
      <c r="J46" s="25">
        <v>64.246000000000009</v>
      </c>
      <c r="K46" s="25">
        <v>52.646000000000001</v>
      </c>
      <c r="L46" s="25">
        <v>96.6</v>
      </c>
      <c r="M46" s="25">
        <v>98</v>
      </c>
      <c r="N46" s="26">
        <v>168.5</v>
      </c>
      <c r="O46" s="27">
        <v>85.4</v>
      </c>
      <c r="P46" s="27">
        <v>81.400000000000006</v>
      </c>
      <c r="Q46" s="28">
        <f t="shared" si="65"/>
        <v>81.400000000000006</v>
      </c>
      <c r="R46" s="29">
        <f t="shared" si="65"/>
        <v>81.400000000000006</v>
      </c>
      <c r="S46" s="29"/>
      <c r="T46" s="29">
        <f t="shared" si="1"/>
        <v>27.933160000000001</v>
      </c>
      <c r="U46" s="29"/>
      <c r="V46" s="29">
        <f t="shared" si="52"/>
        <v>0</v>
      </c>
      <c r="W46" s="29">
        <f t="shared" si="52"/>
        <v>0</v>
      </c>
      <c r="X46" s="29">
        <f t="shared" si="52"/>
        <v>27.933160000000001</v>
      </c>
      <c r="Y46" s="29"/>
      <c r="Z46" s="31">
        <f t="shared" ref="Z46:AH56" si="70">Z47</f>
        <v>0</v>
      </c>
      <c r="AA46" s="31">
        <f t="shared" si="70"/>
        <v>0</v>
      </c>
      <c r="AB46" s="32">
        <f t="shared" si="70"/>
        <v>27.933160000000001</v>
      </c>
      <c r="AC46" s="31">
        <f t="shared" si="70"/>
        <v>0</v>
      </c>
      <c r="AD46" s="31">
        <f t="shared" si="70"/>
        <v>0</v>
      </c>
      <c r="AE46" s="32">
        <f t="shared" si="70"/>
        <v>0</v>
      </c>
      <c r="AF46" s="31">
        <f t="shared" si="70"/>
        <v>0</v>
      </c>
      <c r="AG46" s="31">
        <f t="shared" si="70"/>
        <v>0</v>
      </c>
      <c r="AH46" s="32">
        <f t="shared" si="70"/>
        <v>0</v>
      </c>
      <c r="AI46" s="29">
        <f t="shared" si="54"/>
        <v>41.7</v>
      </c>
      <c r="AJ46" s="30">
        <f t="shared" si="54"/>
        <v>41.7</v>
      </c>
      <c r="AK46" s="30">
        <f t="shared" si="54"/>
        <v>0</v>
      </c>
      <c r="AL46" s="29"/>
      <c r="AM46" s="31">
        <f t="shared" ref="AM46:AU56" si="71">AM47</f>
        <v>0</v>
      </c>
      <c r="AN46" s="31">
        <f t="shared" si="71"/>
        <v>0</v>
      </c>
      <c r="AO46" s="33">
        <f t="shared" si="71"/>
        <v>0</v>
      </c>
      <c r="AP46" s="31">
        <f t="shared" si="71"/>
        <v>18.399999999999999</v>
      </c>
      <c r="AQ46" s="31">
        <f t="shared" si="71"/>
        <v>18.399999999999999</v>
      </c>
      <c r="AR46" s="32">
        <f t="shared" si="71"/>
        <v>0</v>
      </c>
      <c r="AS46" s="31">
        <f t="shared" si="71"/>
        <v>23.3</v>
      </c>
      <c r="AT46" s="31">
        <f t="shared" si="71"/>
        <v>23.3</v>
      </c>
      <c r="AU46" s="32">
        <f t="shared" si="71"/>
        <v>0</v>
      </c>
      <c r="AV46" s="29">
        <f t="shared" si="56"/>
        <v>31.5</v>
      </c>
      <c r="AW46" s="30">
        <f t="shared" si="56"/>
        <v>31.5</v>
      </c>
      <c r="AX46" s="30">
        <f t="shared" si="56"/>
        <v>0</v>
      </c>
      <c r="AY46" s="29"/>
      <c r="AZ46" s="31">
        <f t="shared" ref="AZ46:BH56" si="72">AZ47</f>
        <v>14.3</v>
      </c>
      <c r="BA46" s="31">
        <f t="shared" si="72"/>
        <v>14.3</v>
      </c>
      <c r="BB46" s="32">
        <f t="shared" si="72"/>
        <v>0</v>
      </c>
      <c r="BC46" s="31">
        <f t="shared" si="72"/>
        <v>8.6</v>
      </c>
      <c r="BD46" s="31">
        <f t="shared" si="72"/>
        <v>8.6</v>
      </c>
      <c r="BE46" s="33">
        <f t="shared" si="72"/>
        <v>0</v>
      </c>
      <c r="BF46" s="31">
        <f t="shared" si="72"/>
        <v>8.6</v>
      </c>
      <c r="BG46" s="31">
        <f t="shared" si="72"/>
        <v>8.6</v>
      </c>
      <c r="BH46" s="32">
        <f t="shared" si="72"/>
        <v>0</v>
      </c>
      <c r="BI46" s="29">
        <f t="shared" si="58"/>
        <v>8.1999999999999993</v>
      </c>
      <c r="BJ46" s="30">
        <f t="shared" si="58"/>
        <v>8.1999999999999993</v>
      </c>
      <c r="BK46" s="30">
        <f t="shared" si="58"/>
        <v>0</v>
      </c>
      <c r="BL46" s="29"/>
      <c r="BM46" s="34">
        <f t="shared" ref="BM46:BU56" si="73">BM47</f>
        <v>2.8</v>
      </c>
      <c r="BN46" s="31">
        <f t="shared" si="73"/>
        <v>2.8</v>
      </c>
      <c r="BO46" s="32">
        <f t="shared" si="73"/>
        <v>0</v>
      </c>
      <c r="BP46" s="31">
        <f t="shared" si="73"/>
        <v>2.6</v>
      </c>
      <c r="BQ46" s="31">
        <f t="shared" si="73"/>
        <v>2.6</v>
      </c>
      <c r="BR46" s="32">
        <f t="shared" si="73"/>
        <v>0</v>
      </c>
      <c r="BS46" s="31">
        <f t="shared" si="73"/>
        <v>2.8</v>
      </c>
      <c r="BT46" s="31">
        <f t="shared" si="73"/>
        <v>2.8</v>
      </c>
      <c r="BU46" s="35">
        <f t="shared" si="73"/>
        <v>0</v>
      </c>
      <c r="BV46" s="36">
        <v>86.9</v>
      </c>
      <c r="BW46" s="27">
        <v>130.80000000000001</v>
      </c>
      <c r="BX46" s="31">
        <f>BX47</f>
        <v>207.39999999999998</v>
      </c>
      <c r="BY46" s="27">
        <v>75.099999999999994</v>
      </c>
      <c r="BZ46" s="31">
        <f>BZ47</f>
        <v>66.900000000000006</v>
      </c>
      <c r="CA46" s="37" t="b">
        <f t="shared" si="60"/>
        <v>1</v>
      </c>
      <c r="CB46" s="37" t="b">
        <f t="shared" si="60"/>
        <v>1</v>
      </c>
      <c r="CC46" s="37" t="b">
        <f t="shared" si="11"/>
        <v>1</v>
      </c>
      <c r="CD46" s="38">
        <v>73.099999999999994</v>
      </c>
      <c r="CE46" s="38">
        <f t="shared" si="12"/>
        <v>-8.3000000000000114</v>
      </c>
      <c r="CF46" s="38">
        <v>27.933160000000001</v>
      </c>
      <c r="CG46" s="38">
        <f t="shared" si="13"/>
        <v>0</v>
      </c>
      <c r="CH46" s="32">
        <f>CH47</f>
        <v>0</v>
      </c>
    </row>
    <row r="47" spans="1:86" ht="18.75" x14ac:dyDescent="0.3">
      <c r="A47" s="90" t="s">
        <v>105</v>
      </c>
      <c r="B47" s="139" t="s">
        <v>106</v>
      </c>
      <c r="C47" s="211" t="s">
        <v>193</v>
      </c>
      <c r="D47" s="71" t="s">
        <v>46</v>
      </c>
      <c r="E47" s="1">
        <v>118.881</v>
      </c>
      <c r="F47" s="1">
        <v>77.199999999999989</v>
      </c>
      <c r="G47" s="1">
        <v>80.099999999999994</v>
      </c>
      <c r="H47" s="1"/>
      <c r="I47" s="72">
        <v>30</v>
      </c>
      <c r="J47" s="73">
        <v>64.246000000000009</v>
      </c>
      <c r="K47" s="73">
        <v>52.646000000000001</v>
      </c>
      <c r="L47" s="73">
        <v>96.6</v>
      </c>
      <c r="M47" s="73">
        <v>98</v>
      </c>
      <c r="N47" s="74">
        <v>168.5</v>
      </c>
      <c r="O47" s="92">
        <v>85.4</v>
      </c>
      <c r="P47" s="92">
        <v>81.400000000000006</v>
      </c>
      <c r="Q47" s="28">
        <f t="shared" si="65"/>
        <v>81.400000000000006</v>
      </c>
      <c r="R47" s="29">
        <f t="shared" si="65"/>
        <v>81.400000000000006</v>
      </c>
      <c r="S47" s="29"/>
      <c r="T47" s="29">
        <f t="shared" si="1"/>
        <v>27.933160000000001</v>
      </c>
      <c r="U47" s="93"/>
      <c r="V47" s="29">
        <f t="shared" si="52"/>
        <v>0</v>
      </c>
      <c r="W47" s="29">
        <f t="shared" si="52"/>
        <v>0</v>
      </c>
      <c r="X47" s="29">
        <f t="shared" si="52"/>
        <v>27.933160000000001</v>
      </c>
      <c r="Y47" s="93"/>
      <c r="Z47" s="79">
        <v>0</v>
      </c>
      <c r="AA47" s="79">
        <v>0</v>
      </c>
      <c r="AB47" s="64">
        <v>27.933160000000001</v>
      </c>
      <c r="AC47" s="79">
        <v>0</v>
      </c>
      <c r="AD47" s="79">
        <v>0</v>
      </c>
      <c r="AE47" s="64"/>
      <c r="AF47" s="79">
        <v>0</v>
      </c>
      <c r="AG47" s="79">
        <v>0</v>
      </c>
      <c r="AH47" s="64"/>
      <c r="AI47" s="29">
        <f t="shared" si="54"/>
        <v>41.7</v>
      </c>
      <c r="AJ47" s="30">
        <f t="shared" si="54"/>
        <v>41.7</v>
      </c>
      <c r="AK47" s="30">
        <f t="shared" si="54"/>
        <v>0</v>
      </c>
      <c r="AL47" s="93"/>
      <c r="AM47" s="79">
        <v>0</v>
      </c>
      <c r="AN47" s="79">
        <v>0</v>
      </c>
      <c r="AO47" s="133"/>
      <c r="AP47" s="79">
        <v>18.399999999999999</v>
      </c>
      <c r="AQ47" s="79">
        <v>18.399999999999999</v>
      </c>
      <c r="AR47" s="64"/>
      <c r="AS47" s="79">
        <v>23.3</v>
      </c>
      <c r="AT47" s="79">
        <v>23.3</v>
      </c>
      <c r="AU47" s="64"/>
      <c r="AV47" s="29">
        <f t="shared" si="56"/>
        <v>31.5</v>
      </c>
      <c r="AW47" s="30">
        <f t="shared" si="56"/>
        <v>31.5</v>
      </c>
      <c r="AX47" s="30">
        <f t="shared" si="56"/>
        <v>0</v>
      </c>
      <c r="AY47" s="93"/>
      <c r="AZ47" s="79">
        <v>14.3</v>
      </c>
      <c r="BA47" s="79">
        <v>14.3</v>
      </c>
      <c r="BB47" s="64"/>
      <c r="BC47" s="79">
        <v>8.6</v>
      </c>
      <c r="BD47" s="79">
        <v>8.6</v>
      </c>
      <c r="BE47" s="64"/>
      <c r="BF47" s="79">
        <v>8.6</v>
      </c>
      <c r="BG47" s="79">
        <v>8.6</v>
      </c>
      <c r="BH47" s="64"/>
      <c r="BI47" s="29">
        <f t="shared" si="58"/>
        <v>8.1999999999999993</v>
      </c>
      <c r="BJ47" s="30">
        <f t="shared" si="58"/>
        <v>8.1999999999999993</v>
      </c>
      <c r="BK47" s="30">
        <f t="shared" si="58"/>
        <v>0</v>
      </c>
      <c r="BL47" s="93"/>
      <c r="BM47" s="83">
        <v>2.8</v>
      </c>
      <c r="BN47" s="79">
        <v>2.8</v>
      </c>
      <c r="BO47" s="64"/>
      <c r="BP47" s="79">
        <v>2.6</v>
      </c>
      <c r="BQ47" s="79">
        <v>2.6</v>
      </c>
      <c r="BR47" s="64"/>
      <c r="BS47" s="79">
        <v>2.8</v>
      </c>
      <c r="BT47" s="79">
        <v>2.8</v>
      </c>
      <c r="BU47" s="134"/>
      <c r="BV47" s="99">
        <v>86.9</v>
      </c>
      <c r="BW47" s="92">
        <v>130.80000000000001</v>
      </c>
      <c r="BX47" s="79">
        <v>207.39999999999998</v>
      </c>
      <c r="BY47" s="92">
        <v>75.099999999999994</v>
      </c>
      <c r="BZ47" s="79">
        <v>66.900000000000006</v>
      </c>
      <c r="CA47" s="37" t="b">
        <f t="shared" si="60"/>
        <v>1</v>
      </c>
      <c r="CB47" s="37" t="b">
        <f t="shared" si="60"/>
        <v>1</v>
      </c>
      <c r="CC47" s="37" t="b">
        <f t="shared" si="11"/>
        <v>1</v>
      </c>
      <c r="CD47" s="100">
        <v>73.099999999999994</v>
      </c>
      <c r="CE47" s="38">
        <f t="shared" si="12"/>
        <v>-8.3000000000000114</v>
      </c>
      <c r="CF47" s="38">
        <v>27.933160000000001</v>
      </c>
      <c r="CG47" s="38">
        <f t="shared" si="13"/>
        <v>0</v>
      </c>
      <c r="CH47" s="64"/>
    </row>
    <row r="48" spans="1:86" ht="18.75" x14ac:dyDescent="0.3">
      <c r="A48" s="115"/>
      <c r="B48" s="144" t="s">
        <v>107</v>
      </c>
      <c r="C48" s="211" t="s">
        <v>194</v>
      </c>
      <c r="D48" s="71" t="s">
        <v>46</v>
      </c>
      <c r="E48" s="1">
        <v>23.503999999999998</v>
      </c>
      <c r="F48" s="1">
        <v>14.100000000000001</v>
      </c>
      <c r="G48" s="1">
        <v>15</v>
      </c>
      <c r="H48" s="1"/>
      <c r="I48" s="72">
        <v>5.6000000000000005</v>
      </c>
      <c r="J48" s="73">
        <v>12.551000000000002</v>
      </c>
      <c r="K48" s="73">
        <v>10.351000000000001</v>
      </c>
      <c r="L48" s="73">
        <v>18.5</v>
      </c>
      <c r="M48" s="73">
        <v>18.700000000000003</v>
      </c>
      <c r="N48" s="74">
        <v>31.9</v>
      </c>
      <c r="O48" s="92">
        <v>15.5</v>
      </c>
      <c r="P48" s="92">
        <v>13.3</v>
      </c>
      <c r="Q48" s="28">
        <f t="shared" si="65"/>
        <v>13.3</v>
      </c>
      <c r="R48" s="29">
        <f t="shared" si="65"/>
        <v>13.3</v>
      </c>
      <c r="S48" s="29"/>
      <c r="T48" s="29">
        <f t="shared" si="1"/>
        <v>10.832000000000001</v>
      </c>
      <c r="U48" s="93"/>
      <c r="V48" s="29">
        <f t="shared" si="52"/>
        <v>0</v>
      </c>
      <c r="W48" s="29">
        <f t="shared" si="52"/>
        <v>0</v>
      </c>
      <c r="X48" s="29">
        <f t="shared" si="52"/>
        <v>10.832000000000001</v>
      </c>
      <c r="Y48" s="93"/>
      <c r="Z48" s="79">
        <v>0</v>
      </c>
      <c r="AA48" s="79">
        <v>0</v>
      </c>
      <c r="AB48" s="64">
        <v>10.832000000000001</v>
      </c>
      <c r="AC48" s="79">
        <v>0</v>
      </c>
      <c r="AD48" s="79">
        <v>0</v>
      </c>
      <c r="AE48" s="64"/>
      <c r="AF48" s="79">
        <v>0</v>
      </c>
      <c r="AG48" s="79">
        <v>0</v>
      </c>
      <c r="AH48" s="64"/>
      <c r="AI48" s="29">
        <f t="shared" si="54"/>
        <v>7.5</v>
      </c>
      <c r="AJ48" s="30">
        <f t="shared" si="54"/>
        <v>7.5</v>
      </c>
      <c r="AK48" s="30">
        <f t="shared" si="54"/>
        <v>0</v>
      </c>
      <c r="AL48" s="93"/>
      <c r="AM48" s="79">
        <v>0</v>
      </c>
      <c r="AN48" s="79">
        <v>0</v>
      </c>
      <c r="AO48" s="133"/>
      <c r="AP48" s="79">
        <v>3.3</v>
      </c>
      <c r="AQ48" s="79">
        <v>3.3</v>
      </c>
      <c r="AR48" s="64"/>
      <c r="AS48" s="79">
        <v>4.2</v>
      </c>
      <c r="AT48" s="79">
        <v>4.2</v>
      </c>
      <c r="AU48" s="64"/>
      <c r="AV48" s="29">
        <f t="shared" si="56"/>
        <v>5.8000000000000007</v>
      </c>
      <c r="AW48" s="30">
        <f t="shared" si="56"/>
        <v>5.8000000000000007</v>
      </c>
      <c r="AX48" s="30">
        <f t="shared" si="56"/>
        <v>0</v>
      </c>
      <c r="AY48" s="93"/>
      <c r="AZ48" s="79">
        <v>2.6</v>
      </c>
      <c r="BA48" s="79">
        <v>2.6</v>
      </c>
      <c r="BB48" s="64"/>
      <c r="BC48" s="79">
        <v>1.6</v>
      </c>
      <c r="BD48" s="79">
        <v>1.6</v>
      </c>
      <c r="BE48" s="64"/>
      <c r="BF48" s="79">
        <v>1.6</v>
      </c>
      <c r="BG48" s="79">
        <v>1.6</v>
      </c>
      <c r="BH48" s="64"/>
      <c r="BI48" s="29">
        <f t="shared" si="58"/>
        <v>0</v>
      </c>
      <c r="BJ48" s="30">
        <f t="shared" si="58"/>
        <v>0</v>
      </c>
      <c r="BK48" s="30">
        <f t="shared" si="58"/>
        <v>0</v>
      </c>
      <c r="BL48" s="93"/>
      <c r="BM48" s="83">
        <v>0</v>
      </c>
      <c r="BN48" s="79">
        <v>0</v>
      </c>
      <c r="BO48" s="64"/>
      <c r="BP48" s="79">
        <v>0</v>
      </c>
      <c r="BQ48" s="79">
        <v>0</v>
      </c>
      <c r="BR48" s="64"/>
      <c r="BS48" s="79">
        <v>0</v>
      </c>
      <c r="BT48" s="79">
        <v>0</v>
      </c>
      <c r="BU48" s="134"/>
      <c r="BV48" s="99">
        <v>16.400000000000002</v>
      </c>
      <c r="BW48" s="92">
        <v>23.8</v>
      </c>
      <c r="BX48" s="79">
        <v>37.6</v>
      </c>
      <c r="BY48" s="92">
        <v>13.7</v>
      </c>
      <c r="BZ48" s="79">
        <v>12.1</v>
      </c>
      <c r="CA48" s="37" t="b">
        <f t="shared" si="60"/>
        <v>1</v>
      </c>
      <c r="CB48" s="37" t="b">
        <f t="shared" si="60"/>
        <v>1</v>
      </c>
      <c r="CC48" s="37" t="b">
        <f t="shared" si="11"/>
        <v>1</v>
      </c>
      <c r="CD48" s="100">
        <v>13.3</v>
      </c>
      <c r="CE48" s="38">
        <f t="shared" si="12"/>
        <v>0</v>
      </c>
      <c r="CF48" s="38">
        <v>10.832000000000001</v>
      </c>
      <c r="CG48" s="38">
        <f t="shared" si="13"/>
        <v>0</v>
      </c>
      <c r="CH48" s="64"/>
    </row>
    <row r="49" spans="1:86" ht="19.5" x14ac:dyDescent="0.35">
      <c r="A49" s="145"/>
      <c r="B49" s="146" t="s">
        <v>74</v>
      </c>
      <c r="C49" s="211" t="s">
        <v>195</v>
      </c>
      <c r="D49" s="147"/>
      <c r="E49" s="118"/>
      <c r="F49" s="118"/>
      <c r="G49" s="118"/>
      <c r="H49" s="118"/>
      <c r="I49" s="119"/>
      <c r="J49" s="120">
        <v>0</v>
      </c>
      <c r="K49" s="120"/>
      <c r="L49" s="120"/>
      <c r="M49" s="120"/>
      <c r="N49" s="121"/>
      <c r="O49" s="122"/>
      <c r="P49" s="122"/>
      <c r="Q49" s="28"/>
      <c r="R49" s="29"/>
      <c r="S49" s="29"/>
      <c r="T49" s="29"/>
      <c r="U49" s="123"/>
      <c r="V49" s="29">
        <f t="shared" si="52"/>
        <v>0</v>
      </c>
      <c r="W49" s="29">
        <f t="shared" si="52"/>
        <v>0</v>
      </c>
      <c r="X49" s="29">
        <f t="shared" si="52"/>
        <v>0</v>
      </c>
      <c r="Y49" s="123"/>
      <c r="Z49" s="148"/>
      <c r="AA49" s="148"/>
      <c r="AB49" s="149"/>
      <c r="AC49" s="148"/>
      <c r="AD49" s="148"/>
      <c r="AE49" s="149"/>
      <c r="AF49" s="148"/>
      <c r="AG49" s="148"/>
      <c r="AH49" s="149"/>
      <c r="AI49" s="29">
        <f t="shared" si="54"/>
        <v>0</v>
      </c>
      <c r="AJ49" s="30">
        <f t="shared" si="54"/>
        <v>0</v>
      </c>
      <c r="AK49" s="30">
        <f t="shared" si="54"/>
        <v>0</v>
      </c>
      <c r="AL49" s="123"/>
      <c r="AM49" s="148"/>
      <c r="AN49" s="148"/>
      <c r="AO49" s="150"/>
      <c r="AP49" s="148"/>
      <c r="AQ49" s="148"/>
      <c r="AR49" s="149"/>
      <c r="AS49" s="148"/>
      <c r="AT49" s="148"/>
      <c r="AU49" s="149"/>
      <c r="AV49" s="29">
        <f t="shared" si="56"/>
        <v>0</v>
      </c>
      <c r="AW49" s="30">
        <f t="shared" si="56"/>
        <v>0</v>
      </c>
      <c r="AX49" s="30">
        <f t="shared" si="56"/>
        <v>0</v>
      </c>
      <c r="AY49" s="123"/>
      <c r="AZ49" s="148"/>
      <c r="BA49" s="148"/>
      <c r="BB49" s="149"/>
      <c r="BC49" s="148"/>
      <c r="BD49" s="148"/>
      <c r="BE49" s="149"/>
      <c r="BF49" s="148"/>
      <c r="BG49" s="148"/>
      <c r="BH49" s="149"/>
      <c r="BI49" s="29">
        <f t="shared" si="58"/>
        <v>0</v>
      </c>
      <c r="BJ49" s="30">
        <f t="shared" si="58"/>
        <v>0</v>
      </c>
      <c r="BK49" s="30">
        <f t="shared" si="58"/>
        <v>0</v>
      </c>
      <c r="BL49" s="123"/>
      <c r="BM49" s="151"/>
      <c r="BN49" s="148"/>
      <c r="BO49" s="149"/>
      <c r="BP49" s="148"/>
      <c r="BQ49" s="148"/>
      <c r="BR49" s="149"/>
      <c r="BS49" s="148"/>
      <c r="BT49" s="148"/>
      <c r="BU49" s="152"/>
      <c r="BV49" s="129"/>
      <c r="BW49" s="122"/>
      <c r="BX49" s="148"/>
      <c r="BY49" s="122"/>
      <c r="BZ49" s="148"/>
      <c r="CA49" s="37" t="b">
        <f t="shared" si="60"/>
        <v>1</v>
      </c>
      <c r="CB49" s="37" t="b">
        <f t="shared" si="60"/>
        <v>1</v>
      </c>
      <c r="CC49" s="37" t="b">
        <f t="shared" si="11"/>
        <v>1</v>
      </c>
      <c r="CD49" s="130"/>
      <c r="CE49" s="38">
        <f t="shared" si="12"/>
        <v>0</v>
      </c>
      <c r="CF49" s="38"/>
      <c r="CG49" s="38">
        <f t="shared" si="13"/>
        <v>0</v>
      </c>
      <c r="CH49" s="125"/>
    </row>
    <row r="50" spans="1:86" ht="18.75" x14ac:dyDescent="0.3">
      <c r="A50" s="145"/>
      <c r="B50" s="153" t="s">
        <v>108</v>
      </c>
      <c r="C50" s="215" t="s">
        <v>196</v>
      </c>
      <c r="D50" s="147" t="s">
        <v>46</v>
      </c>
      <c r="E50" s="118">
        <v>118.881</v>
      </c>
      <c r="F50" s="118">
        <v>77.199999999999989</v>
      </c>
      <c r="G50" s="118">
        <v>80.099999999999994</v>
      </c>
      <c r="H50" s="118"/>
      <c r="I50" s="119">
        <v>30</v>
      </c>
      <c r="J50" s="120">
        <v>64.246000000000009</v>
      </c>
      <c r="K50" s="120">
        <v>52.646000000000001</v>
      </c>
      <c r="L50" s="120">
        <v>96.6</v>
      </c>
      <c r="M50" s="120">
        <v>98</v>
      </c>
      <c r="N50" s="121">
        <v>168.5</v>
      </c>
      <c r="O50" s="122">
        <v>85.4</v>
      </c>
      <c r="P50" s="122">
        <v>81.400000000000006</v>
      </c>
      <c r="Q50" s="28">
        <f t="shared" si="65"/>
        <v>81.400000000000006</v>
      </c>
      <c r="R50" s="29">
        <f t="shared" si="65"/>
        <v>81.400000000000006</v>
      </c>
      <c r="S50" s="29"/>
      <c r="T50" s="29">
        <f t="shared" si="1"/>
        <v>30.033650000000002</v>
      </c>
      <c r="U50" s="123"/>
      <c r="V50" s="29">
        <f t="shared" si="52"/>
        <v>0</v>
      </c>
      <c r="W50" s="29">
        <f t="shared" si="52"/>
        <v>0</v>
      </c>
      <c r="X50" s="29">
        <f t="shared" si="52"/>
        <v>30.033650000000002</v>
      </c>
      <c r="Y50" s="123"/>
      <c r="Z50" s="124">
        <v>0</v>
      </c>
      <c r="AA50" s="124">
        <v>0</v>
      </c>
      <c r="AB50" s="125">
        <v>30.033650000000002</v>
      </c>
      <c r="AC50" s="124">
        <v>0</v>
      </c>
      <c r="AD50" s="124">
        <v>0</v>
      </c>
      <c r="AE50" s="125"/>
      <c r="AF50" s="124">
        <v>0</v>
      </c>
      <c r="AG50" s="124">
        <v>0</v>
      </c>
      <c r="AH50" s="125"/>
      <c r="AI50" s="29">
        <f t="shared" si="54"/>
        <v>41.7</v>
      </c>
      <c r="AJ50" s="30">
        <f t="shared" si="54"/>
        <v>41.7</v>
      </c>
      <c r="AK50" s="30">
        <f t="shared" si="54"/>
        <v>0</v>
      </c>
      <c r="AL50" s="123"/>
      <c r="AM50" s="124">
        <v>0</v>
      </c>
      <c r="AN50" s="124">
        <v>0</v>
      </c>
      <c r="AO50" s="154"/>
      <c r="AP50" s="124">
        <v>18.399999999999999</v>
      </c>
      <c r="AQ50" s="124">
        <v>18.399999999999999</v>
      </c>
      <c r="AR50" s="125"/>
      <c r="AS50" s="124">
        <v>23.3</v>
      </c>
      <c r="AT50" s="124">
        <v>23.3</v>
      </c>
      <c r="AU50" s="155"/>
      <c r="AV50" s="29">
        <f t="shared" si="56"/>
        <v>31.5</v>
      </c>
      <c r="AW50" s="30">
        <f t="shared" si="56"/>
        <v>31.5</v>
      </c>
      <c r="AX50" s="30">
        <f t="shared" si="56"/>
        <v>0</v>
      </c>
      <c r="AY50" s="123"/>
      <c r="AZ50" s="124">
        <v>14.3</v>
      </c>
      <c r="BA50" s="124">
        <v>14.3</v>
      </c>
      <c r="BB50" s="125"/>
      <c r="BC50" s="124">
        <v>8.6</v>
      </c>
      <c r="BD50" s="124">
        <v>8.6</v>
      </c>
      <c r="BE50" s="64"/>
      <c r="BF50" s="124">
        <v>8.6</v>
      </c>
      <c r="BG50" s="124">
        <v>8.6</v>
      </c>
      <c r="BH50" s="125"/>
      <c r="BI50" s="29">
        <f t="shared" si="58"/>
        <v>8.1999999999999993</v>
      </c>
      <c r="BJ50" s="30">
        <f t="shared" si="58"/>
        <v>8.1999999999999993</v>
      </c>
      <c r="BK50" s="30">
        <f t="shared" si="58"/>
        <v>0</v>
      </c>
      <c r="BL50" s="123"/>
      <c r="BM50" s="127">
        <v>2.8</v>
      </c>
      <c r="BN50" s="124">
        <v>2.8</v>
      </c>
      <c r="BO50" s="125"/>
      <c r="BP50" s="124">
        <v>2.6</v>
      </c>
      <c r="BQ50" s="124">
        <v>2.6</v>
      </c>
      <c r="BR50" s="125"/>
      <c r="BS50" s="124">
        <v>2.8</v>
      </c>
      <c r="BT50" s="124">
        <v>2.8</v>
      </c>
      <c r="BU50" s="128"/>
      <c r="BV50" s="129">
        <v>86.9</v>
      </c>
      <c r="BW50" s="122">
        <v>130.80000000000001</v>
      </c>
      <c r="BX50" s="124">
        <v>207.39999999999998</v>
      </c>
      <c r="BY50" s="122">
        <v>75.099999999999994</v>
      </c>
      <c r="BZ50" s="124">
        <v>66.900000000000006</v>
      </c>
      <c r="CA50" s="37" t="b">
        <f t="shared" si="60"/>
        <v>1</v>
      </c>
      <c r="CB50" s="37" t="b">
        <f t="shared" si="60"/>
        <v>1</v>
      </c>
      <c r="CC50" s="37" t="b">
        <f t="shared" si="11"/>
        <v>1</v>
      </c>
      <c r="CD50" s="130">
        <v>73.099999999999994</v>
      </c>
      <c r="CE50" s="38">
        <f t="shared" si="12"/>
        <v>-8.3000000000000114</v>
      </c>
      <c r="CF50" s="38">
        <v>30.033650000000002</v>
      </c>
      <c r="CG50" s="38">
        <f t="shared" si="13"/>
        <v>0</v>
      </c>
      <c r="CH50" s="125"/>
    </row>
    <row r="51" spans="1:86" ht="18.75" x14ac:dyDescent="0.3">
      <c r="A51" s="156"/>
      <c r="B51" s="153" t="s">
        <v>109</v>
      </c>
      <c r="C51" s="215" t="s">
        <v>197</v>
      </c>
      <c r="D51" s="147" t="s">
        <v>46</v>
      </c>
      <c r="E51" s="118">
        <v>498.14300000000003</v>
      </c>
      <c r="F51" s="118">
        <v>568.79999999999995</v>
      </c>
      <c r="G51" s="118">
        <v>576.5</v>
      </c>
      <c r="H51" s="118"/>
      <c r="I51" s="119">
        <v>446.9</v>
      </c>
      <c r="J51" s="120">
        <v>426.20600000000002</v>
      </c>
      <c r="K51" s="120">
        <v>407.19299999999998</v>
      </c>
      <c r="L51" s="120">
        <v>499.99999999999994</v>
      </c>
      <c r="M51" s="120">
        <v>499.5</v>
      </c>
      <c r="N51" s="121">
        <v>567.20000000000005</v>
      </c>
      <c r="O51" s="122">
        <v>436.7</v>
      </c>
      <c r="P51" s="122">
        <v>455.6</v>
      </c>
      <c r="Q51" s="28">
        <f t="shared" si="65"/>
        <v>455.6</v>
      </c>
      <c r="R51" s="29">
        <f t="shared" si="65"/>
        <v>455.6</v>
      </c>
      <c r="S51" s="29"/>
      <c r="T51" s="29">
        <f t="shared" si="1"/>
        <v>30.033650000000002</v>
      </c>
      <c r="U51" s="123">
        <f t="shared" ref="U51:U52" si="74">Q51/Q3*100</f>
        <v>3.356367226061205</v>
      </c>
      <c r="V51" s="29">
        <f t="shared" si="52"/>
        <v>112.3</v>
      </c>
      <c r="W51" s="29">
        <f t="shared" si="52"/>
        <v>112.3</v>
      </c>
      <c r="X51" s="29">
        <f t="shared" si="52"/>
        <v>30.033650000000002</v>
      </c>
      <c r="Y51" s="123">
        <f>V51/V3*100</f>
        <v>3.2977036471486461</v>
      </c>
      <c r="Z51" s="124">
        <v>39</v>
      </c>
      <c r="AA51" s="124">
        <v>39</v>
      </c>
      <c r="AB51" s="125">
        <v>30.033650000000002</v>
      </c>
      <c r="AC51" s="124">
        <v>35</v>
      </c>
      <c r="AD51" s="124">
        <v>35</v>
      </c>
      <c r="AE51" s="125"/>
      <c r="AF51" s="124">
        <v>38.299999999999997</v>
      </c>
      <c r="AG51" s="124">
        <v>38.299999999999997</v>
      </c>
      <c r="AH51" s="125"/>
      <c r="AI51" s="29">
        <f t="shared" si="54"/>
        <v>90.8</v>
      </c>
      <c r="AJ51" s="30">
        <f t="shared" si="54"/>
        <v>90.8</v>
      </c>
      <c r="AK51" s="30">
        <f t="shared" si="54"/>
        <v>0</v>
      </c>
      <c r="AL51" s="123">
        <f>AI51/AI3*100</f>
        <v>3.4958034958034965</v>
      </c>
      <c r="AM51" s="124">
        <v>39.4</v>
      </c>
      <c r="AN51" s="124">
        <v>39.4</v>
      </c>
      <c r="AO51" s="126"/>
      <c r="AP51" s="124">
        <v>28.1</v>
      </c>
      <c r="AQ51" s="124">
        <v>28.1</v>
      </c>
      <c r="AR51" s="125"/>
      <c r="AS51" s="124">
        <v>23.3</v>
      </c>
      <c r="AT51" s="124">
        <v>23.3</v>
      </c>
      <c r="AU51" s="125"/>
      <c r="AV51" s="29">
        <f t="shared" si="56"/>
        <v>122.7</v>
      </c>
      <c r="AW51" s="30">
        <f t="shared" si="56"/>
        <v>122.7</v>
      </c>
      <c r="AX51" s="30">
        <f t="shared" si="56"/>
        <v>0</v>
      </c>
      <c r="AY51" s="123">
        <f>AV51/AV3*100</f>
        <v>3.3108472746896926</v>
      </c>
      <c r="AZ51" s="124">
        <v>41.5</v>
      </c>
      <c r="BA51" s="124">
        <v>41.5</v>
      </c>
      <c r="BB51" s="125"/>
      <c r="BC51" s="124">
        <v>40.200000000000003</v>
      </c>
      <c r="BD51" s="124">
        <v>40.200000000000003</v>
      </c>
      <c r="BE51" s="125"/>
      <c r="BF51" s="124">
        <v>41</v>
      </c>
      <c r="BG51" s="124">
        <v>41</v>
      </c>
      <c r="BH51" s="125"/>
      <c r="BI51" s="29">
        <f t="shared" si="58"/>
        <v>129.80000000000001</v>
      </c>
      <c r="BJ51" s="30">
        <f t="shared" si="58"/>
        <v>129.80000000000001</v>
      </c>
      <c r="BK51" s="30">
        <f t="shared" si="58"/>
        <v>0</v>
      </c>
      <c r="BL51" s="123">
        <f t="shared" ref="BL51:BL52" si="75">BI51/BI3*100</f>
        <v>3.3579965850882196</v>
      </c>
      <c r="BM51" s="127">
        <v>43.9</v>
      </c>
      <c r="BN51" s="124">
        <v>43.9</v>
      </c>
      <c r="BO51" s="125"/>
      <c r="BP51" s="124">
        <v>42.5</v>
      </c>
      <c r="BQ51" s="124">
        <v>42.5</v>
      </c>
      <c r="BR51" s="125"/>
      <c r="BS51" s="124">
        <v>43.4</v>
      </c>
      <c r="BT51" s="124">
        <v>43.4</v>
      </c>
      <c r="BU51" s="128"/>
      <c r="BV51" s="129">
        <v>545</v>
      </c>
      <c r="BW51" s="122">
        <v>454.8</v>
      </c>
      <c r="BX51" s="124">
        <v>471.2</v>
      </c>
      <c r="BY51" s="122">
        <v>444.5</v>
      </c>
      <c r="BZ51" s="124">
        <v>425</v>
      </c>
      <c r="CA51" s="37" t="b">
        <f t="shared" si="60"/>
        <v>1</v>
      </c>
      <c r="CB51" s="37" t="b">
        <f t="shared" si="60"/>
        <v>1</v>
      </c>
      <c r="CC51" s="37" t="b">
        <f t="shared" si="11"/>
        <v>1</v>
      </c>
      <c r="CD51" s="130">
        <v>350.1</v>
      </c>
      <c r="CE51" s="38">
        <f t="shared" si="12"/>
        <v>-105.5</v>
      </c>
      <c r="CF51" s="38">
        <v>30.033650000000002</v>
      </c>
      <c r="CG51" s="38">
        <f t="shared" si="13"/>
        <v>0</v>
      </c>
      <c r="CH51" s="125"/>
    </row>
    <row r="52" spans="1:86" ht="18.75" x14ac:dyDescent="0.3">
      <c r="A52" s="156"/>
      <c r="B52" s="157" t="s">
        <v>107</v>
      </c>
      <c r="C52" s="215" t="s">
        <v>198</v>
      </c>
      <c r="D52" s="147" t="s">
        <v>46</v>
      </c>
      <c r="E52" s="118">
        <v>92.643000000000001</v>
      </c>
      <c r="F52" s="118">
        <v>103.1</v>
      </c>
      <c r="G52" s="118">
        <v>108</v>
      </c>
      <c r="H52" s="118"/>
      <c r="I52" s="119">
        <v>83</v>
      </c>
      <c r="J52" s="120">
        <v>80.344000000000008</v>
      </c>
      <c r="K52" s="120">
        <v>72.718000000000004</v>
      </c>
      <c r="L52" s="120">
        <v>94.699999999999989</v>
      </c>
      <c r="M52" s="120">
        <v>94.7</v>
      </c>
      <c r="N52" s="121">
        <v>107.5</v>
      </c>
      <c r="O52" s="122">
        <v>79.099999999999994</v>
      </c>
      <c r="P52" s="122">
        <v>82.5</v>
      </c>
      <c r="Q52" s="28">
        <f t="shared" si="65"/>
        <v>82.5</v>
      </c>
      <c r="R52" s="29">
        <f t="shared" si="65"/>
        <v>82.5</v>
      </c>
      <c r="S52" s="29"/>
      <c r="T52" s="29">
        <f t="shared" si="1"/>
        <v>10.832000000000001</v>
      </c>
      <c r="U52" s="123">
        <f t="shared" si="74"/>
        <v>0.79900052298216062</v>
      </c>
      <c r="V52" s="29">
        <f t="shared" si="52"/>
        <v>20.299999999999997</v>
      </c>
      <c r="W52" s="29">
        <f t="shared" si="52"/>
        <v>20.299999999999997</v>
      </c>
      <c r="X52" s="29">
        <f t="shared" si="52"/>
        <v>10.832000000000001</v>
      </c>
      <c r="Y52" s="123"/>
      <c r="Z52" s="124">
        <v>7.1</v>
      </c>
      <c r="AA52" s="124">
        <v>7.1</v>
      </c>
      <c r="AB52" s="125">
        <v>10.832000000000001</v>
      </c>
      <c r="AC52" s="124">
        <v>6.3</v>
      </c>
      <c r="AD52" s="124">
        <v>6.3</v>
      </c>
      <c r="AE52" s="125"/>
      <c r="AF52" s="124">
        <v>6.9</v>
      </c>
      <c r="AG52" s="124">
        <v>6.9</v>
      </c>
      <c r="AH52" s="125"/>
      <c r="AI52" s="29">
        <f t="shared" si="54"/>
        <v>16.399999999999999</v>
      </c>
      <c r="AJ52" s="30">
        <f t="shared" si="54"/>
        <v>16.399999999999999</v>
      </c>
      <c r="AK52" s="30">
        <f t="shared" si="54"/>
        <v>0</v>
      </c>
      <c r="AL52" s="123"/>
      <c r="AM52" s="124">
        <v>7.1</v>
      </c>
      <c r="AN52" s="124">
        <v>7.1</v>
      </c>
      <c r="AO52" s="126"/>
      <c r="AP52" s="124">
        <v>5.0999999999999996</v>
      </c>
      <c r="AQ52" s="124">
        <v>5.0999999999999996</v>
      </c>
      <c r="AR52" s="125"/>
      <c r="AS52" s="124">
        <v>4.2</v>
      </c>
      <c r="AT52" s="124">
        <v>4.2</v>
      </c>
      <c r="AU52" s="125"/>
      <c r="AV52" s="29">
        <f t="shared" si="56"/>
        <v>22.200000000000003</v>
      </c>
      <c r="AW52" s="30">
        <f t="shared" si="56"/>
        <v>22.200000000000003</v>
      </c>
      <c r="AX52" s="30">
        <f t="shared" si="56"/>
        <v>0</v>
      </c>
      <c r="AY52" s="123"/>
      <c r="AZ52" s="124">
        <v>7.5</v>
      </c>
      <c r="BA52" s="124">
        <v>7.5</v>
      </c>
      <c r="BB52" s="125"/>
      <c r="BC52" s="124">
        <v>7.3</v>
      </c>
      <c r="BD52" s="124">
        <v>7.3</v>
      </c>
      <c r="BE52" s="125"/>
      <c r="BF52" s="124">
        <v>7.4</v>
      </c>
      <c r="BG52" s="124">
        <v>7.4</v>
      </c>
      <c r="BH52" s="125"/>
      <c r="BI52" s="29">
        <f t="shared" si="58"/>
        <v>23.6</v>
      </c>
      <c r="BJ52" s="30">
        <f t="shared" si="58"/>
        <v>23.6</v>
      </c>
      <c r="BK52" s="30">
        <f t="shared" si="58"/>
        <v>0</v>
      </c>
      <c r="BL52" s="123">
        <f t="shared" si="75"/>
        <v>0.80263918647757038</v>
      </c>
      <c r="BM52" s="127">
        <v>8</v>
      </c>
      <c r="BN52" s="124">
        <v>8</v>
      </c>
      <c r="BO52" s="125"/>
      <c r="BP52" s="124">
        <v>7.7</v>
      </c>
      <c r="BQ52" s="124">
        <v>7.7</v>
      </c>
      <c r="BR52" s="125"/>
      <c r="BS52" s="124">
        <v>7.9</v>
      </c>
      <c r="BT52" s="124">
        <v>7.9</v>
      </c>
      <c r="BU52" s="128"/>
      <c r="BV52" s="129">
        <v>103.3</v>
      </c>
      <c r="BW52" s="122">
        <v>82.4</v>
      </c>
      <c r="BX52" s="124">
        <v>85.5</v>
      </c>
      <c r="BY52" s="122">
        <v>80.7</v>
      </c>
      <c r="BZ52" s="124">
        <v>77</v>
      </c>
      <c r="CA52" s="37" t="b">
        <f t="shared" si="60"/>
        <v>1</v>
      </c>
      <c r="CB52" s="37" t="b">
        <f t="shared" si="60"/>
        <v>1</v>
      </c>
      <c r="CC52" s="37" t="b">
        <f t="shared" si="11"/>
        <v>1</v>
      </c>
      <c r="CD52" s="130">
        <v>63.1</v>
      </c>
      <c r="CE52" s="38">
        <f t="shared" si="12"/>
        <v>-19.399999999999999</v>
      </c>
      <c r="CF52" s="38">
        <v>10.832000000000001</v>
      </c>
      <c r="CG52" s="38">
        <f t="shared" si="13"/>
        <v>0</v>
      </c>
      <c r="CH52" s="125"/>
    </row>
    <row r="53" spans="1:86" ht="18.75" x14ac:dyDescent="0.3">
      <c r="A53" s="145"/>
      <c r="B53" s="153" t="s">
        <v>110</v>
      </c>
      <c r="C53" s="215" t="s">
        <v>199</v>
      </c>
      <c r="D53" s="147" t="s">
        <v>46</v>
      </c>
      <c r="E53" s="118">
        <v>379.18700000000001</v>
      </c>
      <c r="F53" s="118">
        <v>491.6</v>
      </c>
      <c r="G53" s="118">
        <v>496.4</v>
      </c>
      <c r="H53" s="118"/>
      <c r="I53" s="119">
        <v>416.9</v>
      </c>
      <c r="J53" s="120">
        <v>361.72200000000004</v>
      </c>
      <c r="K53" s="120">
        <v>354.68099999999998</v>
      </c>
      <c r="L53" s="120">
        <v>403.4</v>
      </c>
      <c r="M53" s="120">
        <v>401.5</v>
      </c>
      <c r="N53" s="121">
        <v>398.7</v>
      </c>
      <c r="O53" s="122">
        <v>351.29999999999995</v>
      </c>
      <c r="P53" s="122">
        <v>374.19999999999993</v>
      </c>
      <c r="Q53" s="28">
        <f t="shared" si="65"/>
        <v>374.19999999999993</v>
      </c>
      <c r="R53" s="29">
        <f t="shared" si="65"/>
        <v>374.19999999999993</v>
      </c>
      <c r="S53" s="29"/>
      <c r="T53" s="29">
        <f t="shared" si="1"/>
        <v>0</v>
      </c>
      <c r="U53" s="123"/>
      <c r="V53" s="29">
        <f t="shared" si="52"/>
        <v>112.3</v>
      </c>
      <c r="W53" s="29">
        <f t="shared" si="52"/>
        <v>112.3</v>
      </c>
      <c r="X53" s="29">
        <f t="shared" si="52"/>
        <v>0</v>
      </c>
      <c r="Y53" s="123"/>
      <c r="Z53" s="124">
        <v>39</v>
      </c>
      <c r="AA53" s="124">
        <v>39</v>
      </c>
      <c r="AB53" s="125">
        <v>0</v>
      </c>
      <c r="AC53" s="124">
        <v>35</v>
      </c>
      <c r="AD53" s="124">
        <v>35</v>
      </c>
      <c r="AE53" s="125"/>
      <c r="AF53" s="124">
        <v>38.299999999999997</v>
      </c>
      <c r="AG53" s="124">
        <v>38.299999999999997</v>
      </c>
      <c r="AH53" s="125"/>
      <c r="AI53" s="29">
        <f t="shared" si="54"/>
        <v>49.099999999999994</v>
      </c>
      <c r="AJ53" s="30">
        <f t="shared" si="54"/>
        <v>49.099999999999994</v>
      </c>
      <c r="AK53" s="30">
        <f t="shared" si="54"/>
        <v>0</v>
      </c>
      <c r="AL53" s="123"/>
      <c r="AM53" s="124">
        <v>39.4</v>
      </c>
      <c r="AN53" s="124">
        <v>39.4</v>
      </c>
      <c r="AO53" s="126"/>
      <c r="AP53" s="124">
        <v>9.6999999999999993</v>
      </c>
      <c r="AQ53" s="124">
        <v>9.6999999999999993</v>
      </c>
      <c r="AR53" s="125"/>
      <c r="AS53" s="124">
        <v>0</v>
      </c>
      <c r="AT53" s="124">
        <v>0</v>
      </c>
      <c r="AU53" s="125"/>
      <c r="AV53" s="29">
        <f t="shared" si="56"/>
        <v>91.199999999999989</v>
      </c>
      <c r="AW53" s="30">
        <f t="shared" si="56"/>
        <v>91.199999999999989</v>
      </c>
      <c r="AX53" s="30">
        <f t="shared" si="56"/>
        <v>0</v>
      </c>
      <c r="AY53" s="123"/>
      <c r="AZ53" s="124">
        <v>27.2</v>
      </c>
      <c r="BA53" s="124">
        <v>27.2</v>
      </c>
      <c r="BB53" s="125"/>
      <c r="BC53" s="124">
        <v>31.6</v>
      </c>
      <c r="BD53" s="124">
        <v>31.6</v>
      </c>
      <c r="BE53" s="125"/>
      <c r="BF53" s="124">
        <v>32.4</v>
      </c>
      <c r="BG53" s="124">
        <v>32.4</v>
      </c>
      <c r="BH53" s="125"/>
      <c r="BI53" s="29">
        <f t="shared" si="58"/>
        <v>121.6</v>
      </c>
      <c r="BJ53" s="30">
        <f t="shared" si="58"/>
        <v>121.6</v>
      </c>
      <c r="BK53" s="30">
        <f t="shared" si="58"/>
        <v>0</v>
      </c>
      <c r="BL53" s="123"/>
      <c r="BM53" s="127">
        <v>41.1</v>
      </c>
      <c r="BN53" s="124">
        <v>41.1</v>
      </c>
      <c r="BO53" s="125"/>
      <c r="BP53" s="124">
        <v>39.9</v>
      </c>
      <c r="BQ53" s="124">
        <v>39.9</v>
      </c>
      <c r="BR53" s="125"/>
      <c r="BS53" s="124">
        <v>40.6</v>
      </c>
      <c r="BT53" s="124">
        <v>40.6</v>
      </c>
      <c r="BU53" s="128"/>
      <c r="BV53" s="129">
        <v>458.1</v>
      </c>
      <c r="BW53" s="122">
        <v>324</v>
      </c>
      <c r="BX53" s="124">
        <v>263.8</v>
      </c>
      <c r="BY53" s="122">
        <v>369.4</v>
      </c>
      <c r="BZ53" s="124">
        <v>358.09999999999997</v>
      </c>
      <c r="CA53" s="37" t="b">
        <f t="shared" si="60"/>
        <v>1</v>
      </c>
      <c r="CB53" s="37" t="b">
        <f t="shared" si="60"/>
        <v>1</v>
      </c>
      <c r="CC53" s="37" t="b">
        <f t="shared" si="11"/>
        <v>1</v>
      </c>
      <c r="CD53" s="130">
        <v>277</v>
      </c>
      <c r="CE53" s="38">
        <f t="shared" si="12"/>
        <v>-97.199999999999932</v>
      </c>
      <c r="CF53" s="38"/>
      <c r="CG53" s="38">
        <f t="shared" si="13"/>
        <v>0</v>
      </c>
      <c r="CH53" s="125"/>
    </row>
    <row r="54" spans="1:86" ht="18.75" x14ac:dyDescent="0.3">
      <c r="A54" s="115"/>
      <c r="B54" s="158" t="s">
        <v>107</v>
      </c>
      <c r="C54" s="215" t="s">
        <v>200</v>
      </c>
      <c r="D54" s="117" t="s">
        <v>46</v>
      </c>
      <c r="E54" s="118">
        <v>69.13900000000001</v>
      </c>
      <c r="F54" s="118">
        <v>89</v>
      </c>
      <c r="G54" s="118">
        <v>93</v>
      </c>
      <c r="H54" s="118"/>
      <c r="I54" s="119">
        <v>77.400000000000006</v>
      </c>
      <c r="J54" s="120">
        <v>64.811999999999998</v>
      </c>
      <c r="K54" s="120">
        <v>62.366999999999997</v>
      </c>
      <c r="L54" s="120">
        <v>76.2</v>
      </c>
      <c r="M54" s="120">
        <v>76</v>
      </c>
      <c r="N54" s="121">
        <v>75.599999999999994</v>
      </c>
      <c r="O54" s="122">
        <v>63.599999999999994</v>
      </c>
      <c r="P54" s="122">
        <v>69.199999999999989</v>
      </c>
      <c r="Q54" s="28">
        <f t="shared" si="65"/>
        <v>69.199999999999989</v>
      </c>
      <c r="R54" s="29">
        <f t="shared" si="65"/>
        <v>69.199999999999989</v>
      </c>
      <c r="S54" s="29"/>
      <c r="T54" s="29">
        <f t="shared" si="1"/>
        <v>0</v>
      </c>
      <c r="U54" s="123"/>
      <c r="V54" s="29">
        <f t="shared" si="52"/>
        <v>20.299999999999997</v>
      </c>
      <c r="W54" s="29">
        <f t="shared" si="52"/>
        <v>20.299999999999997</v>
      </c>
      <c r="X54" s="29">
        <f t="shared" si="52"/>
        <v>0</v>
      </c>
      <c r="Y54" s="123"/>
      <c r="Z54" s="124">
        <v>7.1</v>
      </c>
      <c r="AA54" s="124">
        <v>7.1</v>
      </c>
      <c r="AB54" s="125">
        <v>0</v>
      </c>
      <c r="AC54" s="124">
        <v>6.3</v>
      </c>
      <c r="AD54" s="124">
        <v>6.3</v>
      </c>
      <c r="AE54" s="125"/>
      <c r="AF54" s="124">
        <v>6.9</v>
      </c>
      <c r="AG54" s="124">
        <v>6.9</v>
      </c>
      <c r="AH54" s="125"/>
      <c r="AI54" s="29">
        <f t="shared" si="54"/>
        <v>8.9</v>
      </c>
      <c r="AJ54" s="30">
        <f t="shared" si="54"/>
        <v>8.9</v>
      </c>
      <c r="AK54" s="30">
        <f t="shared" si="54"/>
        <v>0</v>
      </c>
      <c r="AL54" s="123"/>
      <c r="AM54" s="124">
        <v>7.1</v>
      </c>
      <c r="AN54" s="124">
        <v>7.1</v>
      </c>
      <c r="AO54" s="126"/>
      <c r="AP54" s="124">
        <v>1.8</v>
      </c>
      <c r="AQ54" s="124">
        <v>1.8</v>
      </c>
      <c r="AR54" s="125"/>
      <c r="AS54" s="124">
        <v>0</v>
      </c>
      <c r="AT54" s="124">
        <v>0</v>
      </c>
      <c r="AU54" s="125"/>
      <c r="AV54" s="29">
        <f t="shared" si="56"/>
        <v>16.400000000000002</v>
      </c>
      <c r="AW54" s="30">
        <f t="shared" si="56"/>
        <v>16.400000000000002</v>
      </c>
      <c r="AX54" s="30">
        <f t="shared" si="56"/>
        <v>0</v>
      </c>
      <c r="AY54" s="123"/>
      <c r="AZ54" s="124">
        <v>4.9000000000000004</v>
      </c>
      <c r="BA54" s="124">
        <v>4.9000000000000004</v>
      </c>
      <c r="BB54" s="125"/>
      <c r="BC54" s="124">
        <v>5.7</v>
      </c>
      <c r="BD54" s="124">
        <v>5.7</v>
      </c>
      <c r="BE54" s="125"/>
      <c r="BF54" s="124">
        <v>5.8</v>
      </c>
      <c r="BG54" s="124">
        <v>5.8</v>
      </c>
      <c r="BH54" s="125"/>
      <c r="BI54" s="29">
        <f t="shared" si="58"/>
        <v>23.6</v>
      </c>
      <c r="BJ54" s="30">
        <f t="shared" si="58"/>
        <v>23.6</v>
      </c>
      <c r="BK54" s="30">
        <f t="shared" si="58"/>
        <v>0</v>
      </c>
      <c r="BL54" s="123"/>
      <c r="BM54" s="127">
        <v>8</v>
      </c>
      <c r="BN54" s="124">
        <v>8</v>
      </c>
      <c r="BO54" s="125"/>
      <c r="BP54" s="124">
        <v>7.7</v>
      </c>
      <c r="BQ54" s="124">
        <v>7.7</v>
      </c>
      <c r="BR54" s="125"/>
      <c r="BS54" s="124">
        <v>7.9</v>
      </c>
      <c r="BT54" s="124">
        <v>7.9</v>
      </c>
      <c r="BU54" s="128"/>
      <c r="BV54" s="129">
        <v>86.899999999999991</v>
      </c>
      <c r="BW54" s="122">
        <v>58.6</v>
      </c>
      <c r="BX54" s="124">
        <v>47.9</v>
      </c>
      <c r="BY54" s="122">
        <v>67</v>
      </c>
      <c r="BZ54" s="124">
        <v>64.900000000000006</v>
      </c>
      <c r="CA54" s="37" t="b">
        <f t="shared" si="60"/>
        <v>1</v>
      </c>
      <c r="CB54" s="37" t="b">
        <f t="shared" si="60"/>
        <v>1</v>
      </c>
      <c r="CC54" s="37" t="b">
        <f t="shared" si="11"/>
        <v>1</v>
      </c>
      <c r="CD54" s="130">
        <v>49.8</v>
      </c>
      <c r="CE54" s="38">
        <f t="shared" si="12"/>
        <v>-19.399999999999991</v>
      </c>
      <c r="CF54" s="38"/>
      <c r="CG54" s="38">
        <f t="shared" si="13"/>
        <v>0</v>
      </c>
      <c r="CH54" s="125"/>
    </row>
    <row r="55" spans="1:86" ht="18.75" x14ac:dyDescent="0.25">
      <c r="A55" s="48" t="s">
        <v>111</v>
      </c>
      <c r="B55" s="65" t="s">
        <v>112</v>
      </c>
      <c r="C55" s="216" t="s">
        <v>201</v>
      </c>
      <c r="D55" s="63" t="s">
        <v>46</v>
      </c>
      <c r="E55" s="23">
        <v>265.20299999999997</v>
      </c>
      <c r="F55" s="23">
        <v>332.7</v>
      </c>
      <c r="G55" s="23">
        <v>335.5</v>
      </c>
      <c r="H55" s="23"/>
      <c r="I55" s="24">
        <v>299.20000000000005</v>
      </c>
      <c r="J55" s="25">
        <v>244.07599999999999</v>
      </c>
      <c r="K55" s="25">
        <v>235.06099999999998</v>
      </c>
      <c r="L55" s="25">
        <v>278.2</v>
      </c>
      <c r="M55" s="25">
        <v>277.40000000000003</v>
      </c>
      <c r="N55" s="26">
        <v>269.8</v>
      </c>
      <c r="O55" s="27">
        <v>215.60000000000002</v>
      </c>
      <c r="P55" s="27">
        <v>230.3</v>
      </c>
      <c r="Q55" s="28">
        <f t="shared" si="65"/>
        <v>230.3</v>
      </c>
      <c r="R55" s="29">
        <f t="shared" si="65"/>
        <v>230.3</v>
      </c>
      <c r="S55" s="29"/>
      <c r="T55" s="29">
        <f t="shared" si="1"/>
        <v>0</v>
      </c>
      <c r="U55" s="29">
        <f>Q55/Q3*100</f>
        <v>1.6966009046573649</v>
      </c>
      <c r="V55" s="29">
        <f t="shared" si="52"/>
        <v>71.599999999999994</v>
      </c>
      <c r="W55" s="29">
        <f t="shared" si="52"/>
        <v>71.599999999999994</v>
      </c>
      <c r="X55" s="29">
        <f t="shared" si="52"/>
        <v>0</v>
      </c>
      <c r="Y55" s="29">
        <f>V55/V3*100</f>
        <v>2.1025430199095552</v>
      </c>
      <c r="Z55" s="39">
        <v>24.9</v>
      </c>
      <c r="AA55" s="39">
        <v>24.9</v>
      </c>
      <c r="AB55" s="40">
        <v>0</v>
      </c>
      <c r="AC55" s="39">
        <v>22.3</v>
      </c>
      <c r="AD55" s="39">
        <v>22.3</v>
      </c>
      <c r="AE55" s="40"/>
      <c r="AF55" s="39">
        <v>24.4</v>
      </c>
      <c r="AG55" s="39">
        <v>24.4</v>
      </c>
      <c r="AH55" s="40"/>
      <c r="AI55" s="29">
        <f t="shared" si="54"/>
        <v>31.3</v>
      </c>
      <c r="AJ55" s="30">
        <f t="shared" si="54"/>
        <v>31.3</v>
      </c>
      <c r="AK55" s="30">
        <f t="shared" si="54"/>
        <v>0</v>
      </c>
      <c r="AL55" s="29">
        <f>AI55/AI3*100</f>
        <v>1.2050512050512052</v>
      </c>
      <c r="AM55" s="39">
        <v>25.1</v>
      </c>
      <c r="AN55" s="39">
        <v>25.1</v>
      </c>
      <c r="AO55" s="41"/>
      <c r="AP55" s="39">
        <v>6.2</v>
      </c>
      <c r="AQ55" s="39">
        <v>6.2</v>
      </c>
      <c r="AR55" s="40"/>
      <c r="AS55" s="39">
        <v>0</v>
      </c>
      <c r="AT55" s="39">
        <v>0</v>
      </c>
      <c r="AU55" s="40"/>
      <c r="AV55" s="29">
        <f t="shared" si="56"/>
        <v>49.900000000000006</v>
      </c>
      <c r="AW55" s="30">
        <f t="shared" si="56"/>
        <v>49.900000000000006</v>
      </c>
      <c r="AX55" s="30">
        <f t="shared" si="56"/>
        <v>0</v>
      </c>
      <c r="AY55" s="29">
        <f>AV55/AV3*100</f>
        <v>1.3464651915812198</v>
      </c>
      <c r="AZ55" s="39">
        <v>14.9</v>
      </c>
      <c r="BA55" s="39">
        <v>14.9</v>
      </c>
      <c r="BB55" s="40"/>
      <c r="BC55" s="39">
        <v>17.3</v>
      </c>
      <c r="BD55" s="39">
        <v>17.3</v>
      </c>
      <c r="BE55" s="40"/>
      <c r="BF55" s="39">
        <v>17.7</v>
      </c>
      <c r="BG55" s="39">
        <v>17.7</v>
      </c>
      <c r="BH55" s="40"/>
      <c r="BI55" s="29">
        <f t="shared" si="58"/>
        <v>77.5</v>
      </c>
      <c r="BJ55" s="30">
        <f t="shared" si="58"/>
        <v>77.5</v>
      </c>
      <c r="BK55" s="30">
        <f t="shared" si="58"/>
        <v>0</v>
      </c>
      <c r="BL55" s="29">
        <f>BI55/BI3*100</f>
        <v>2.0049671444093757</v>
      </c>
      <c r="BM55" s="42">
        <v>26.1</v>
      </c>
      <c r="BN55" s="39">
        <v>26.1</v>
      </c>
      <c r="BO55" s="40"/>
      <c r="BP55" s="39">
        <v>25.5</v>
      </c>
      <c r="BQ55" s="39">
        <v>25.5</v>
      </c>
      <c r="BR55" s="40"/>
      <c r="BS55" s="39">
        <v>25.9</v>
      </c>
      <c r="BT55" s="39">
        <v>25.9</v>
      </c>
      <c r="BU55" s="43"/>
      <c r="BV55" s="36">
        <v>307.60000000000002</v>
      </c>
      <c r="BW55" s="27">
        <v>201.6</v>
      </c>
      <c r="BX55" s="39">
        <v>168.2</v>
      </c>
      <c r="BY55" s="27">
        <v>226.9</v>
      </c>
      <c r="BZ55" s="39">
        <v>219.8</v>
      </c>
      <c r="CA55" s="37" t="b">
        <f t="shared" si="60"/>
        <v>1</v>
      </c>
      <c r="CB55" s="37" t="b">
        <f t="shared" si="60"/>
        <v>1</v>
      </c>
      <c r="CC55" s="37" t="b">
        <f t="shared" si="11"/>
        <v>1</v>
      </c>
      <c r="CD55" s="38">
        <v>176.4</v>
      </c>
      <c r="CE55" s="38">
        <f t="shared" si="12"/>
        <v>-53.900000000000006</v>
      </c>
      <c r="CF55" s="38"/>
      <c r="CG55" s="38">
        <f t="shared" si="13"/>
        <v>0</v>
      </c>
      <c r="CH55" s="40"/>
    </row>
    <row r="56" spans="1:86" ht="18.75" x14ac:dyDescent="0.3">
      <c r="A56" s="48" t="s">
        <v>113</v>
      </c>
      <c r="B56" s="143" t="s">
        <v>114</v>
      </c>
      <c r="C56" s="216" t="s">
        <v>202</v>
      </c>
      <c r="D56" s="63" t="s">
        <v>46</v>
      </c>
      <c r="E56" s="23">
        <v>946.16300000000001</v>
      </c>
      <c r="F56" s="23">
        <v>578</v>
      </c>
      <c r="G56" s="23">
        <v>638.59999999999991</v>
      </c>
      <c r="H56" s="23"/>
      <c r="I56" s="24">
        <v>692.30000000000007</v>
      </c>
      <c r="J56" s="25">
        <v>344.83199999999999</v>
      </c>
      <c r="K56" s="25">
        <v>282.23199999999997</v>
      </c>
      <c r="L56" s="25">
        <v>730.2</v>
      </c>
      <c r="M56" s="25">
        <v>730.59999999999991</v>
      </c>
      <c r="N56" s="26">
        <v>764.1</v>
      </c>
      <c r="O56" s="27">
        <v>428.7</v>
      </c>
      <c r="P56" s="27">
        <v>442.5</v>
      </c>
      <c r="Q56" s="28">
        <f t="shared" si="65"/>
        <v>442.5</v>
      </c>
      <c r="R56" s="29">
        <f t="shared" si="65"/>
        <v>442.5</v>
      </c>
      <c r="S56" s="29"/>
      <c r="T56" s="29">
        <f t="shared" si="1"/>
        <v>151.83616900000001</v>
      </c>
      <c r="U56" s="29">
        <f>Q57/Q3*100</f>
        <v>3.2598606179369689</v>
      </c>
      <c r="V56" s="29">
        <f t="shared" si="52"/>
        <v>14.000000000000002</v>
      </c>
      <c r="W56" s="29">
        <f t="shared" si="52"/>
        <v>14.000000000000002</v>
      </c>
      <c r="X56" s="29">
        <f t="shared" si="52"/>
        <v>151.83616900000001</v>
      </c>
      <c r="Y56" s="29"/>
      <c r="Z56" s="31">
        <f t="shared" si="70"/>
        <v>4.7</v>
      </c>
      <c r="AA56" s="31">
        <f t="shared" si="70"/>
        <v>4.7</v>
      </c>
      <c r="AB56" s="32">
        <f t="shared" si="70"/>
        <v>151.83616900000001</v>
      </c>
      <c r="AC56" s="31">
        <f t="shared" si="70"/>
        <v>4.4000000000000004</v>
      </c>
      <c r="AD56" s="31">
        <f t="shared" si="70"/>
        <v>4.4000000000000004</v>
      </c>
      <c r="AE56" s="32">
        <f t="shared" si="70"/>
        <v>0</v>
      </c>
      <c r="AF56" s="31">
        <f t="shared" si="70"/>
        <v>4.9000000000000004</v>
      </c>
      <c r="AG56" s="31">
        <f t="shared" si="70"/>
        <v>4.9000000000000004</v>
      </c>
      <c r="AH56" s="32">
        <f t="shared" si="70"/>
        <v>0</v>
      </c>
      <c r="AI56" s="29">
        <f t="shared" si="54"/>
        <v>210.5</v>
      </c>
      <c r="AJ56" s="30">
        <f t="shared" si="54"/>
        <v>210.5</v>
      </c>
      <c r="AK56" s="30">
        <f t="shared" si="54"/>
        <v>0</v>
      </c>
      <c r="AL56" s="29">
        <f>AI57/AI3*100</f>
        <v>8.1042581042581059</v>
      </c>
      <c r="AM56" s="31">
        <f t="shared" si="71"/>
        <v>10.1</v>
      </c>
      <c r="AN56" s="31">
        <f t="shared" si="71"/>
        <v>10.1</v>
      </c>
      <c r="AO56" s="33">
        <f t="shared" si="71"/>
        <v>0</v>
      </c>
      <c r="AP56" s="31">
        <f t="shared" si="71"/>
        <v>85.5</v>
      </c>
      <c r="AQ56" s="31">
        <f t="shared" si="71"/>
        <v>85.5</v>
      </c>
      <c r="AR56" s="32">
        <f t="shared" si="71"/>
        <v>0</v>
      </c>
      <c r="AS56" s="31">
        <f t="shared" si="71"/>
        <v>114.9</v>
      </c>
      <c r="AT56" s="31">
        <f t="shared" si="71"/>
        <v>114.9</v>
      </c>
      <c r="AU56" s="32">
        <f t="shared" si="71"/>
        <v>0</v>
      </c>
      <c r="AV56" s="29">
        <f t="shared" si="56"/>
        <v>130.80000000000001</v>
      </c>
      <c r="AW56" s="30">
        <f t="shared" si="56"/>
        <v>130.80000000000001</v>
      </c>
      <c r="AX56" s="30">
        <f t="shared" si="56"/>
        <v>0</v>
      </c>
      <c r="AY56" s="29">
        <f>AV57/AV3*100</f>
        <v>3.5294117647058831</v>
      </c>
      <c r="AZ56" s="31">
        <f t="shared" si="72"/>
        <v>78.2</v>
      </c>
      <c r="BA56" s="31">
        <f t="shared" si="72"/>
        <v>78.2</v>
      </c>
      <c r="BB56" s="32">
        <f t="shared" si="72"/>
        <v>0</v>
      </c>
      <c r="BC56" s="31">
        <f t="shared" si="72"/>
        <v>19.899999999999999</v>
      </c>
      <c r="BD56" s="31">
        <f t="shared" si="72"/>
        <v>19.899999999999999</v>
      </c>
      <c r="BE56" s="32">
        <f t="shared" si="72"/>
        <v>0</v>
      </c>
      <c r="BF56" s="31">
        <f t="shared" si="72"/>
        <v>32.700000000000003</v>
      </c>
      <c r="BG56" s="31">
        <f t="shared" si="72"/>
        <v>32.700000000000003</v>
      </c>
      <c r="BH56" s="32">
        <f t="shared" si="72"/>
        <v>0</v>
      </c>
      <c r="BI56" s="29">
        <f t="shared" si="58"/>
        <v>87.199999999999989</v>
      </c>
      <c r="BJ56" s="30">
        <f t="shared" si="58"/>
        <v>87.199999999999989</v>
      </c>
      <c r="BK56" s="30">
        <f t="shared" si="58"/>
        <v>0</v>
      </c>
      <c r="BL56" s="29">
        <f>BI57/BI3*100</f>
        <v>2.255911419258033</v>
      </c>
      <c r="BM56" s="34">
        <f t="shared" si="73"/>
        <v>33.4</v>
      </c>
      <c r="BN56" s="31">
        <f t="shared" si="73"/>
        <v>33.4</v>
      </c>
      <c r="BO56" s="32">
        <f t="shared" si="73"/>
        <v>0</v>
      </c>
      <c r="BP56" s="31">
        <f t="shared" si="73"/>
        <v>26.7</v>
      </c>
      <c r="BQ56" s="31">
        <f t="shared" si="73"/>
        <v>26.7</v>
      </c>
      <c r="BR56" s="32">
        <f t="shared" si="73"/>
        <v>0</v>
      </c>
      <c r="BS56" s="31">
        <f t="shared" si="73"/>
        <v>27.1</v>
      </c>
      <c r="BT56" s="31">
        <f t="shared" si="73"/>
        <v>27.1</v>
      </c>
      <c r="BU56" s="35">
        <f t="shared" si="73"/>
        <v>0</v>
      </c>
      <c r="BV56" s="36">
        <v>294.5</v>
      </c>
      <c r="BW56" s="27">
        <v>715.5</v>
      </c>
      <c r="BX56" s="31">
        <f>BX57</f>
        <v>1118.2</v>
      </c>
      <c r="BY56" s="27">
        <v>380</v>
      </c>
      <c r="BZ56" s="31">
        <f>BZ57</f>
        <v>300.80000000000007</v>
      </c>
      <c r="CA56" s="37" t="b">
        <f t="shared" si="60"/>
        <v>1</v>
      </c>
      <c r="CB56" s="37" t="b">
        <f t="shared" si="60"/>
        <v>1</v>
      </c>
      <c r="CC56" s="37" t="b">
        <f t="shared" si="11"/>
        <v>1</v>
      </c>
      <c r="CD56" s="38">
        <v>560.70000000000005</v>
      </c>
      <c r="CE56" s="38">
        <f t="shared" si="12"/>
        <v>118.20000000000005</v>
      </c>
      <c r="CF56" s="38">
        <v>151.83616900000001</v>
      </c>
      <c r="CG56" s="38">
        <f t="shared" si="13"/>
        <v>0</v>
      </c>
      <c r="CH56" s="32">
        <f>CH57</f>
        <v>0</v>
      </c>
    </row>
    <row r="57" spans="1:86" ht="18.75" x14ac:dyDescent="0.3">
      <c r="A57" s="159" t="s">
        <v>115</v>
      </c>
      <c r="B57" s="160" t="s">
        <v>116</v>
      </c>
      <c r="C57" s="211" t="s">
        <v>203</v>
      </c>
      <c r="D57" s="161" t="s">
        <v>46</v>
      </c>
      <c r="E57" s="162">
        <v>946.16300000000001</v>
      </c>
      <c r="F57" s="162">
        <v>578</v>
      </c>
      <c r="G57" s="162">
        <v>638.59999999999991</v>
      </c>
      <c r="H57" s="162"/>
      <c r="I57" s="163">
        <v>692.30000000000007</v>
      </c>
      <c r="J57" s="164">
        <v>344.83199999999999</v>
      </c>
      <c r="K57" s="164">
        <v>282.23199999999997</v>
      </c>
      <c r="L57" s="164">
        <v>730.2</v>
      </c>
      <c r="M57" s="164">
        <v>730.59999999999991</v>
      </c>
      <c r="N57" s="165">
        <v>764.1</v>
      </c>
      <c r="O57" s="166">
        <v>428.7</v>
      </c>
      <c r="P57" s="166">
        <v>442.5</v>
      </c>
      <c r="Q57" s="28">
        <f t="shared" si="65"/>
        <v>442.5</v>
      </c>
      <c r="R57" s="28">
        <f t="shared" si="65"/>
        <v>442.5</v>
      </c>
      <c r="S57" s="28"/>
      <c r="T57" s="28">
        <f t="shared" si="1"/>
        <v>151.83616900000001</v>
      </c>
      <c r="U57" s="167"/>
      <c r="V57" s="28">
        <f t="shared" si="52"/>
        <v>14.000000000000002</v>
      </c>
      <c r="W57" s="28">
        <f t="shared" si="52"/>
        <v>14.000000000000002</v>
      </c>
      <c r="X57" s="28">
        <f t="shared" si="52"/>
        <v>151.83616900000001</v>
      </c>
      <c r="Y57" s="167"/>
      <c r="Z57" s="83">
        <v>4.7</v>
      </c>
      <c r="AA57" s="83">
        <v>4.7</v>
      </c>
      <c r="AB57" s="168">
        <v>151.83616900000001</v>
      </c>
      <c r="AC57" s="83">
        <v>4.4000000000000004</v>
      </c>
      <c r="AD57" s="83">
        <v>4.4000000000000004</v>
      </c>
      <c r="AE57" s="169"/>
      <c r="AF57" s="83">
        <v>4.9000000000000004</v>
      </c>
      <c r="AG57" s="83">
        <v>4.9000000000000004</v>
      </c>
      <c r="AH57" s="169"/>
      <c r="AI57" s="28">
        <f t="shared" si="54"/>
        <v>210.5</v>
      </c>
      <c r="AJ57" s="28">
        <f t="shared" si="54"/>
        <v>210.5</v>
      </c>
      <c r="AK57" s="28">
        <f t="shared" si="54"/>
        <v>0</v>
      </c>
      <c r="AL57" s="167"/>
      <c r="AM57" s="83">
        <v>10.1</v>
      </c>
      <c r="AN57" s="83">
        <v>10.1</v>
      </c>
      <c r="AO57" s="166"/>
      <c r="AP57" s="83">
        <v>85.5</v>
      </c>
      <c r="AQ57" s="83">
        <v>85.5</v>
      </c>
      <c r="AR57" s="169"/>
      <c r="AS57" s="83">
        <v>114.9</v>
      </c>
      <c r="AT57" s="83">
        <v>114.9</v>
      </c>
      <c r="AU57" s="169"/>
      <c r="AV57" s="28">
        <f t="shared" si="56"/>
        <v>130.80000000000001</v>
      </c>
      <c r="AW57" s="28">
        <f t="shared" si="56"/>
        <v>130.80000000000001</v>
      </c>
      <c r="AX57" s="28">
        <f t="shared" si="56"/>
        <v>0</v>
      </c>
      <c r="AY57" s="167"/>
      <c r="AZ57" s="83">
        <v>78.2</v>
      </c>
      <c r="BA57" s="83">
        <v>78.2</v>
      </c>
      <c r="BB57" s="169"/>
      <c r="BC57" s="83">
        <v>19.899999999999999</v>
      </c>
      <c r="BD57" s="83">
        <v>19.899999999999999</v>
      </c>
      <c r="BE57" s="169"/>
      <c r="BF57" s="83">
        <v>32.700000000000003</v>
      </c>
      <c r="BG57" s="83">
        <v>32.700000000000003</v>
      </c>
      <c r="BH57" s="169"/>
      <c r="BI57" s="28">
        <f t="shared" si="58"/>
        <v>87.199999999999989</v>
      </c>
      <c r="BJ57" s="28">
        <f t="shared" si="58"/>
        <v>87.199999999999989</v>
      </c>
      <c r="BK57" s="28">
        <f t="shared" si="58"/>
        <v>0</v>
      </c>
      <c r="BL57" s="167"/>
      <c r="BM57" s="83">
        <v>33.4</v>
      </c>
      <c r="BN57" s="83">
        <v>33.4</v>
      </c>
      <c r="BO57" s="169"/>
      <c r="BP57" s="83">
        <v>26.7</v>
      </c>
      <c r="BQ57" s="83">
        <v>26.7</v>
      </c>
      <c r="BR57" s="169"/>
      <c r="BS57" s="83">
        <v>27.1</v>
      </c>
      <c r="BT57" s="83">
        <v>27.1</v>
      </c>
      <c r="BU57" s="170"/>
      <c r="BV57" s="171">
        <v>294.5</v>
      </c>
      <c r="BW57" s="166">
        <v>715.5</v>
      </c>
      <c r="BX57" s="83">
        <v>1118.2</v>
      </c>
      <c r="BY57" s="166">
        <v>380</v>
      </c>
      <c r="BZ57" s="83">
        <v>300.80000000000007</v>
      </c>
      <c r="CA57" s="172" t="b">
        <f t="shared" si="60"/>
        <v>1</v>
      </c>
      <c r="CB57" s="172" t="b">
        <f t="shared" si="60"/>
        <v>1</v>
      </c>
      <c r="CC57" s="172" t="b">
        <f t="shared" si="11"/>
        <v>1</v>
      </c>
      <c r="CD57" s="173">
        <v>560.70000000000005</v>
      </c>
      <c r="CE57" s="174">
        <f t="shared" si="12"/>
        <v>118.20000000000005</v>
      </c>
      <c r="CF57" s="174">
        <v>151.83616900000001</v>
      </c>
      <c r="CG57" s="174">
        <f t="shared" si="13"/>
        <v>0</v>
      </c>
      <c r="CH57" s="169"/>
    </row>
    <row r="58" spans="1:86" ht="19.5" x14ac:dyDescent="0.35">
      <c r="A58" s="175"/>
      <c r="B58" s="146" t="s">
        <v>74</v>
      </c>
      <c r="C58" s="211" t="s">
        <v>204</v>
      </c>
      <c r="D58" s="176"/>
      <c r="E58" s="1">
        <v>0</v>
      </c>
      <c r="F58" s="1">
        <v>0</v>
      </c>
      <c r="G58" s="1">
        <v>0</v>
      </c>
      <c r="H58" s="1"/>
      <c r="I58" s="72">
        <v>0</v>
      </c>
      <c r="J58" s="73">
        <v>0</v>
      </c>
      <c r="K58" s="73">
        <v>0</v>
      </c>
      <c r="L58" s="73">
        <v>0</v>
      </c>
      <c r="M58" s="73">
        <v>0</v>
      </c>
      <c r="N58" s="74"/>
      <c r="O58" s="92">
        <v>0</v>
      </c>
      <c r="P58" s="92">
        <v>0</v>
      </c>
      <c r="Q58" s="28">
        <f t="shared" si="65"/>
        <v>0</v>
      </c>
      <c r="R58" s="29">
        <f t="shared" si="65"/>
        <v>0</v>
      </c>
      <c r="S58" s="29"/>
      <c r="T58" s="29">
        <f t="shared" si="1"/>
        <v>0</v>
      </c>
      <c r="U58" s="93"/>
      <c r="V58" s="29">
        <f t="shared" si="52"/>
        <v>0</v>
      </c>
      <c r="W58" s="29">
        <f t="shared" si="52"/>
        <v>0</v>
      </c>
      <c r="X58" s="29">
        <f t="shared" si="52"/>
        <v>0</v>
      </c>
      <c r="Y58" s="93"/>
      <c r="Z58" s="94"/>
      <c r="AA58" s="94"/>
      <c r="AB58" s="95"/>
      <c r="AC58" s="94"/>
      <c r="AD58" s="94"/>
      <c r="AE58" s="95"/>
      <c r="AF58" s="94"/>
      <c r="AG58" s="94"/>
      <c r="AH58" s="95"/>
      <c r="AI58" s="29">
        <f t="shared" si="54"/>
        <v>0</v>
      </c>
      <c r="AJ58" s="30">
        <f t="shared" si="54"/>
        <v>0</v>
      </c>
      <c r="AK58" s="30">
        <f t="shared" si="54"/>
        <v>0</v>
      </c>
      <c r="AL58" s="93"/>
      <c r="AM58" s="94"/>
      <c r="AN58" s="94"/>
      <c r="AO58" s="96"/>
      <c r="AP58" s="94"/>
      <c r="AQ58" s="94"/>
      <c r="AR58" s="95"/>
      <c r="AS58" s="94"/>
      <c r="AT58" s="94"/>
      <c r="AU58" s="95"/>
      <c r="AV58" s="29">
        <f t="shared" si="56"/>
        <v>0</v>
      </c>
      <c r="AW58" s="30">
        <f t="shared" si="56"/>
        <v>0</v>
      </c>
      <c r="AX58" s="30">
        <f t="shared" si="56"/>
        <v>0</v>
      </c>
      <c r="AY58" s="93"/>
      <c r="AZ58" s="94"/>
      <c r="BA58" s="94"/>
      <c r="BB58" s="95"/>
      <c r="BC58" s="94"/>
      <c r="BD58" s="94"/>
      <c r="BE58" s="95"/>
      <c r="BF58" s="94"/>
      <c r="BG58" s="94"/>
      <c r="BH58" s="95"/>
      <c r="BI58" s="29">
        <f t="shared" si="58"/>
        <v>0</v>
      </c>
      <c r="BJ58" s="30">
        <f t="shared" si="58"/>
        <v>0</v>
      </c>
      <c r="BK58" s="30">
        <f t="shared" si="58"/>
        <v>0</v>
      </c>
      <c r="BL58" s="93"/>
      <c r="BM58" s="97"/>
      <c r="BN58" s="94"/>
      <c r="BO58" s="95"/>
      <c r="BP58" s="94"/>
      <c r="BQ58" s="94"/>
      <c r="BR58" s="95"/>
      <c r="BS58" s="94"/>
      <c r="BT58" s="94"/>
      <c r="BU58" s="98"/>
      <c r="BV58" s="99"/>
      <c r="BW58" s="92"/>
      <c r="BX58" s="94"/>
      <c r="BY58" s="92"/>
      <c r="BZ58" s="94"/>
      <c r="CA58" s="37" t="b">
        <f t="shared" si="60"/>
        <v>1</v>
      </c>
      <c r="CB58" s="37" t="b">
        <f t="shared" si="60"/>
        <v>1</v>
      </c>
      <c r="CC58" s="37" t="b">
        <f t="shared" si="11"/>
        <v>1</v>
      </c>
      <c r="CD58" s="100"/>
      <c r="CE58" s="38">
        <f t="shared" si="12"/>
        <v>0</v>
      </c>
      <c r="CF58" s="38"/>
      <c r="CG58" s="38">
        <f t="shared" si="13"/>
        <v>0</v>
      </c>
      <c r="CH58" s="95"/>
    </row>
    <row r="59" spans="1:86" ht="18.75" x14ac:dyDescent="0.3">
      <c r="A59" s="115"/>
      <c r="B59" s="131" t="s">
        <v>117</v>
      </c>
      <c r="C59" s="215" t="s">
        <v>205</v>
      </c>
      <c r="D59" s="71" t="s">
        <v>46</v>
      </c>
      <c r="E59" s="1">
        <v>946.16300000000012</v>
      </c>
      <c r="F59" s="1">
        <v>578</v>
      </c>
      <c r="G59" s="1">
        <v>638.59999999999991</v>
      </c>
      <c r="H59" s="1"/>
      <c r="I59" s="72">
        <v>692.30000000000007</v>
      </c>
      <c r="J59" s="73">
        <v>344.83199999999999</v>
      </c>
      <c r="K59" s="73">
        <v>282.23199999999997</v>
      </c>
      <c r="L59" s="73">
        <v>730.2</v>
      </c>
      <c r="M59" s="73">
        <v>0</v>
      </c>
      <c r="N59" s="74">
        <v>764.1</v>
      </c>
      <c r="O59" s="92">
        <v>428.7</v>
      </c>
      <c r="P59" s="92">
        <v>442.5</v>
      </c>
      <c r="Q59" s="28">
        <f t="shared" si="65"/>
        <v>442.5</v>
      </c>
      <c r="R59" s="29">
        <f t="shared" si="65"/>
        <v>442.5</v>
      </c>
      <c r="S59" s="29"/>
      <c r="T59" s="29">
        <f t="shared" si="1"/>
        <v>133.57105000000001</v>
      </c>
      <c r="U59" s="93"/>
      <c r="V59" s="29">
        <f t="shared" si="52"/>
        <v>14.000000000000002</v>
      </c>
      <c r="W59" s="29">
        <f t="shared" si="52"/>
        <v>14.000000000000002</v>
      </c>
      <c r="X59" s="29">
        <f t="shared" si="52"/>
        <v>133.57105000000001</v>
      </c>
      <c r="Y59" s="93"/>
      <c r="Z59" s="79">
        <v>4.7</v>
      </c>
      <c r="AA59" s="79">
        <v>4.7</v>
      </c>
      <c r="AB59" s="133">
        <v>133.57105000000001</v>
      </c>
      <c r="AC59" s="79">
        <v>4.4000000000000004</v>
      </c>
      <c r="AD59" s="79">
        <v>4.4000000000000004</v>
      </c>
      <c r="AE59" s="64"/>
      <c r="AF59" s="79">
        <v>4.9000000000000004</v>
      </c>
      <c r="AG59" s="79">
        <v>4.9000000000000004</v>
      </c>
      <c r="AH59" s="64"/>
      <c r="AI59" s="29">
        <f t="shared" si="54"/>
        <v>210.5</v>
      </c>
      <c r="AJ59" s="30">
        <f t="shared" si="54"/>
        <v>210.5</v>
      </c>
      <c r="AK59" s="30">
        <f t="shared" si="54"/>
        <v>0</v>
      </c>
      <c r="AL59" s="93"/>
      <c r="AM59" s="79">
        <v>10.1</v>
      </c>
      <c r="AN59" s="79">
        <v>10.1</v>
      </c>
      <c r="AO59" s="133"/>
      <c r="AP59" s="79">
        <v>85.5</v>
      </c>
      <c r="AQ59" s="79">
        <v>85.5</v>
      </c>
      <c r="AR59" s="64"/>
      <c r="AS59" s="79">
        <v>114.9</v>
      </c>
      <c r="AT59" s="79">
        <v>114.9</v>
      </c>
      <c r="AU59" s="64"/>
      <c r="AV59" s="29">
        <f t="shared" si="56"/>
        <v>130.80000000000001</v>
      </c>
      <c r="AW59" s="30">
        <f t="shared" si="56"/>
        <v>130.80000000000001</v>
      </c>
      <c r="AX59" s="30">
        <f t="shared" si="56"/>
        <v>0</v>
      </c>
      <c r="AY59" s="93"/>
      <c r="AZ59" s="79">
        <v>78.2</v>
      </c>
      <c r="BA59" s="79">
        <v>78.2</v>
      </c>
      <c r="BB59" s="64"/>
      <c r="BC59" s="79">
        <v>19.899999999999999</v>
      </c>
      <c r="BD59" s="79">
        <v>19.899999999999999</v>
      </c>
      <c r="BE59" s="64"/>
      <c r="BF59" s="79">
        <v>32.700000000000003</v>
      </c>
      <c r="BG59" s="79">
        <v>32.700000000000003</v>
      </c>
      <c r="BH59" s="64"/>
      <c r="BI59" s="29">
        <f t="shared" si="58"/>
        <v>87.199999999999989</v>
      </c>
      <c r="BJ59" s="30">
        <f t="shared" si="58"/>
        <v>87.199999999999989</v>
      </c>
      <c r="BK59" s="30">
        <f t="shared" si="58"/>
        <v>0</v>
      </c>
      <c r="BL59" s="93"/>
      <c r="BM59" s="83">
        <v>33.4</v>
      </c>
      <c r="BN59" s="79">
        <v>33.4</v>
      </c>
      <c r="BO59" s="64"/>
      <c r="BP59" s="79">
        <v>26.7</v>
      </c>
      <c r="BQ59" s="79">
        <v>26.7</v>
      </c>
      <c r="BR59" s="64"/>
      <c r="BS59" s="79">
        <v>27.1</v>
      </c>
      <c r="BT59" s="79">
        <v>27.1</v>
      </c>
      <c r="BU59" s="134"/>
      <c r="BV59" s="99">
        <v>294.5</v>
      </c>
      <c r="BW59" s="92">
        <v>715.5</v>
      </c>
      <c r="BX59" s="79">
        <v>1118.2</v>
      </c>
      <c r="BY59" s="92">
        <v>380</v>
      </c>
      <c r="BZ59" s="79">
        <v>300.80000000000007</v>
      </c>
      <c r="CA59" s="37" t="b">
        <f t="shared" si="60"/>
        <v>1</v>
      </c>
      <c r="CB59" s="37" t="b">
        <f t="shared" si="60"/>
        <v>1</v>
      </c>
      <c r="CC59" s="37" t="b">
        <f t="shared" si="11"/>
        <v>1</v>
      </c>
      <c r="CD59" s="100">
        <v>560.70000000000005</v>
      </c>
      <c r="CE59" s="38">
        <f t="shared" si="12"/>
        <v>118.20000000000005</v>
      </c>
      <c r="CF59" s="38">
        <v>133.57105000000001</v>
      </c>
      <c r="CG59" s="38">
        <f t="shared" si="13"/>
        <v>0</v>
      </c>
      <c r="CH59" s="64"/>
    </row>
    <row r="60" spans="1:86" ht="18.75" x14ac:dyDescent="0.3">
      <c r="A60" s="115"/>
      <c r="B60" s="131" t="s">
        <v>118</v>
      </c>
      <c r="C60" s="215" t="s">
        <v>206</v>
      </c>
      <c r="D60" s="71" t="s">
        <v>46</v>
      </c>
      <c r="E60" s="1">
        <v>2548.0370000000003</v>
      </c>
      <c r="F60" s="1">
        <v>2775.2</v>
      </c>
      <c r="G60" s="1">
        <v>2807</v>
      </c>
      <c r="H60" s="1"/>
      <c r="I60" s="72">
        <v>2310.6</v>
      </c>
      <c r="J60" s="73">
        <v>2184.2109999999998</v>
      </c>
      <c r="K60" s="73">
        <v>2124.4549999999999</v>
      </c>
      <c r="L60" s="73">
        <v>2493.2999999999997</v>
      </c>
      <c r="M60" s="73">
        <v>2493.6999999999998</v>
      </c>
      <c r="N60" s="74">
        <v>2784.6</v>
      </c>
      <c r="O60" s="92">
        <v>2275.5</v>
      </c>
      <c r="P60" s="92">
        <v>2381.6999999999998</v>
      </c>
      <c r="Q60" s="28">
        <f t="shared" si="65"/>
        <v>2381.6999999999998</v>
      </c>
      <c r="R60" s="29">
        <f t="shared" si="65"/>
        <v>2381.6999999999998</v>
      </c>
      <c r="S60" s="29"/>
      <c r="T60" s="29">
        <f t="shared" si="1"/>
        <v>133.57105000000001</v>
      </c>
      <c r="U60" s="93">
        <f>Q60/Q3*100</f>
        <v>17.545785386984132</v>
      </c>
      <c r="V60" s="29">
        <f t="shared" si="52"/>
        <v>597.79999999999995</v>
      </c>
      <c r="W60" s="29">
        <f t="shared" si="52"/>
        <v>597.79999999999995</v>
      </c>
      <c r="X60" s="29">
        <f t="shared" si="52"/>
        <v>133.57105000000001</v>
      </c>
      <c r="Y60" s="93">
        <f>V60/V3*100</f>
        <v>17.554472308686204</v>
      </c>
      <c r="Z60" s="79">
        <v>205.8</v>
      </c>
      <c r="AA60" s="79">
        <v>205.8</v>
      </c>
      <c r="AB60" s="64">
        <v>133.57105000000001</v>
      </c>
      <c r="AC60" s="79">
        <v>186</v>
      </c>
      <c r="AD60" s="79">
        <v>186</v>
      </c>
      <c r="AE60" s="64"/>
      <c r="AF60" s="79">
        <v>206</v>
      </c>
      <c r="AG60" s="79">
        <v>206</v>
      </c>
      <c r="AH60" s="64"/>
      <c r="AI60" s="29">
        <f t="shared" si="54"/>
        <v>455.20000000000005</v>
      </c>
      <c r="AJ60" s="30">
        <f t="shared" si="54"/>
        <v>455.20000000000005</v>
      </c>
      <c r="AK60" s="30">
        <f t="shared" si="54"/>
        <v>0</v>
      </c>
      <c r="AL60" s="93">
        <f>AI60/AI3*100</f>
        <v>17.525217525217528</v>
      </c>
      <c r="AM60" s="79">
        <v>199</v>
      </c>
      <c r="AN60" s="79">
        <v>199</v>
      </c>
      <c r="AO60" s="133"/>
      <c r="AP60" s="79">
        <v>141.30000000000001</v>
      </c>
      <c r="AQ60" s="79">
        <v>141.30000000000001</v>
      </c>
      <c r="AR60" s="64"/>
      <c r="AS60" s="79">
        <v>114.9</v>
      </c>
      <c r="AT60" s="79">
        <v>114.9</v>
      </c>
      <c r="AU60" s="64"/>
      <c r="AV60" s="29">
        <f t="shared" si="56"/>
        <v>650.6</v>
      </c>
      <c r="AW60" s="30">
        <f t="shared" si="56"/>
        <v>650.6</v>
      </c>
      <c r="AX60" s="30">
        <f t="shared" si="56"/>
        <v>0</v>
      </c>
      <c r="AY60" s="93">
        <f>AV60/AV3*100</f>
        <v>17.555315704263357</v>
      </c>
      <c r="AZ60" s="79">
        <v>213.9</v>
      </c>
      <c r="BA60" s="79">
        <v>213.9</v>
      </c>
      <c r="BB60" s="64"/>
      <c r="BC60" s="79">
        <v>215.1</v>
      </c>
      <c r="BD60" s="79">
        <v>215.1</v>
      </c>
      <c r="BE60" s="64"/>
      <c r="BF60" s="79">
        <v>221.6</v>
      </c>
      <c r="BG60" s="79">
        <v>221.6</v>
      </c>
      <c r="BH60" s="64"/>
      <c r="BI60" s="29">
        <f t="shared" si="58"/>
        <v>678.09999999999991</v>
      </c>
      <c r="BJ60" s="30">
        <f t="shared" si="58"/>
        <v>678.09999999999991</v>
      </c>
      <c r="BK60" s="30">
        <f t="shared" si="58"/>
        <v>0</v>
      </c>
      <c r="BL60" s="93">
        <f>BI60/BI3*100</f>
        <v>17.542815749987064</v>
      </c>
      <c r="BM60" s="83">
        <v>228.6</v>
      </c>
      <c r="BN60" s="79">
        <v>228.6</v>
      </c>
      <c r="BO60" s="64"/>
      <c r="BP60" s="79">
        <v>221.3</v>
      </c>
      <c r="BQ60" s="79">
        <v>221.3</v>
      </c>
      <c r="BR60" s="64"/>
      <c r="BS60" s="79">
        <v>228.2</v>
      </c>
      <c r="BT60" s="79">
        <v>228.2</v>
      </c>
      <c r="BU60" s="134"/>
      <c r="BV60" s="99">
        <v>2661.3</v>
      </c>
      <c r="BW60" s="92">
        <v>2356.1</v>
      </c>
      <c r="BX60" s="79">
        <v>2442.3999999999996</v>
      </c>
      <c r="BY60" s="92">
        <v>125.5</v>
      </c>
      <c r="BZ60" s="79">
        <v>2197.1</v>
      </c>
      <c r="CA60" s="37" t="b">
        <f t="shared" si="60"/>
        <v>1</v>
      </c>
      <c r="CB60" s="37" t="b">
        <f t="shared" si="60"/>
        <v>1</v>
      </c>
      <c r="CC60" s="37" t="b">
        <f t="shared" si="11"/>
        <v>1</v>
      </c>
      <c r="CD60" s="100">
        <v>1865.8</v>
      </c>
      <c r="CE60" s="38">
        <f t="shared" si="12"/>
        <v>-515.89999999999986</v>
      </c>
      <c r="CF60" s="38">
        <v>133.57105000000001</v>
      </c>
      <c r="CG60" s="38">
        <f t="shared" si="13"/>
        <v>0</v>
      </c>
      <c r="CH60" s="64"/>
    </row>
    <row r="61" spans="1:86" ht="18.75" x14ac:dyDescent="0.3">
      <c r="A61" s="115"/>
      <c r="B61" s="131" t="s">
        <v>119</v>
      </c>
      <c r="C61" s="215" t="s">
        <v>207</v>
      </c>
      <c r="D61" s="71" t="s">
        <v>46</v>
      </c>
      <c r="E61" s="1">
        <v>1601.8330000000001</v>
      </c>
      <c r="F61" s="1">
        <v>2197.2000000000003</v>
      </c>
      <c r="G61" s="1">
        <v>2168.4</v>
      </c>
      <c r="H61" s="1"/>
      <c r="I61" s="72">
        <v>1618.3</v>
      </c>
      <c r="J61" s="73">
        <v>1827.5520000000001</v>
      </c>
      <c r="K61" s="73">
        <v>1831.0960000000002</v>
      </c>
      <c r="L61" s="73">
        <v>1763.1</v>
      </c>
      <c r="M61" s="73">
        <v>1763.1</v>
      </c>
      <c r="N61" s="74">
        <v>2020.5</v>
      </c>
      <c r="O61" s="92">
        <v>1846.8</v>
      </c>
      <c r="P61" s="92">
        <v>1939.1999999999998</v>
      </c>
      <c r="Q61" s="28">
        <f t="shared" si="65"/>
        <v>1939.1999999999998</v>
      </c>
      <c r="R61" s="29">
        <f t="shared" si="65"/>
        <v>1939.1999999999998</v>
      </c>
      <c r="S61" s="29"/>
      <c r="T61" s="29">
        <f t="shared" si="1"/>
        <v>0</v>
      </c>
      <c r="U61" s="93">
        <f>Q61/Q60*100</f>
        <v>81.420833858168535</v>
      </c>
      <c r="V61" s="29">
        <f t="shared" si="52"/>
        <v>583.79999999999995</v>
      </c>
      <c r="W61" s="29">
        <f t="shared" si="52"/>
        <v>583.79999999999995</v>
      </c>
      <c r="X61" s="29">
        <f t="shared" si="52"/>
        <v>0</v>
      </c>
      <c r="Y61" s="93">
        <f>V61/V60*100</f>
        <v>97.658079625292743</v>
      </c>
      <c r="Z61" s="177">
        <v>201.1</v>
      </c>
      <c r="AA61" s="177">
        <v>201.1</v>
      </c>
      <c r="AB61" s="178">
        <v>0</v>
      </c>
      <c r="AC61" s="177">
        <v>181.6</v>
      </c>
      <c r="AD61" s="177">
        <v>181.6</v>
      </c>
      <c r="AE61" s="178"/>
      <c r="AF61" s="177">
        <v>201.1</v>
      </c>
      <c r="AG61" s="177">
        <v>201.1</v>
      </c>
      <c r="AH61" s="178"/>
      <c r="AI61" s="29">
        <f t="shared" si="54"/>
        <v>244.7</v>
      </c>
      <c r="AJ61" s="30">
        <f t="shared" si="54"/>
        <v>244.7</v>
      </c>
      <c r="AK61" s="30">
        <f t="shared" si="54"/>
        <v>0</v>
      </c>
      <c r="AL61" s="93">
        <f>AI61/AI60*100</f>
        <v>53.756590509666069</v>
      </c>
      <c r="AM61" s="177">
        <v>188.9</v>
      </c>
      <c r="AN61" s="177">
        <v>188.9</v>
      </c>
      <c r="AO61" s="179"/>
      <c r="AP61" s="177">
        <v>55.8</v>
      </c>
      <c r="AQ61" s="177">
        <v>55.8</v>
      </c>
      <c r="AR61" s="178"/>
      <c r="AS61" s="177">
        <v>0</v>
      </c>
      <c r="AT61" s="177">
        <v>0</v>
      </c>
      <c r="AU61" s="178"/>
      <c r="AV61" s="29">
        <f t="shared" si="56"/>
        <v>519.79999999999995</v>
      </c>
      <c r="AW61" s="30">
        <f t="shared" si="56"/>
        <v>519.79999999999995</v>
      </c>
      <c r="AX61" s="30">
        <f t="shared" si="56"/>
        <v>0</v>
      </c>
      <c r="AY61" s="93">
        <f>AV61/AV60*100</f>
        <v>79.895481094374404</v>
      </c>
      <c r="AZ61" s="177">
        <v>135.69999999999999</v>
      </c>
      <c r="BA61" s="177">
        <v>135.69999999999999</v>
      </c>
      <c r="BB61" s="178"/>
      <c r="BC61" s="177">
        <v>195.2</v>
      </c>
      <c r="BD61" s="177">
        <v>195.2</v>
      </c>
      <c r="BE61" s="178"/>
      <c r="BF61" s="177">
        <v>188.9</v>
      </c>
      <c r="BG61" s="177">
        <v>188.9</v>
      </c>
      <c r="BH61" s="178"/>
      <c r="BI61" s="29">
        <f t="shared" si="58"/>
        <v>590.9</v>
      </c>
      <c r="BJ61" s="30">
        <f t="shared" si="58"/>
        <v>590.9</v>
      </c>
      <c r="BK61" s="30">
        <f t="shared" si="58"/>
        <v>0</v>
      </c>
      <c r="BL61" s="93">
        <f>BI61/BI60*100</f>
        <v>87.140539743400694</v>
      </c>
      <c r="BM61" s="180">
        <v>195.2</v>
      </c>
      <c r="BN61" s="177">
        <v>195.2</v>
      </c>
      <c r="BO61" s="179"/>
      <c r="BP61" s="177">
        <v>194.6</v>
      </c>
      <c r="BQ61" s="177">
        <v>194.6</v>
      </c>
      <c r="BR61" s="179"/>
      <c r="BS61" s="177">
        <v>201.1</v>
      </c>
      <c r="BT61" s="177">
        <v>201.1</v>
      </c>
      <c r="BU61" s="179"/>
      <c r="BV61" s="74">
        <v>2366.8000000000002</v>
      </c>
      <c r="BW61" s="92">
        <v>1640.6</v>
      </c>
      <c r="BX61" s="177">
        <v>1324.2</v>
      </c>
      <c r="BY61" s="92">
        <v>1916.3</v>
      </c>
      <c r="BZ61" s="177">
        <v>1896.3000000000002</v>
      </c>
      <c r="CA61" s="37" t="b">
        <f t="shared" si="60"/>
        <v>1</v>
      </c>
      <c r="CB61" s="37" t="b">
        <f t="shared" si="60"/>
        <v>1</v>
      </c>
      <c r="CC61" s="37" t="b">
        <f t="shared" si="11"/>
        <v>1</v>
      </c>
      <c r="CD61" s="100">
        <v>1305.0999999999999</v>
      </c>
      <c r="CE61" s="38">
        <f t="shared" si="12"/>
        <v>-634.09999999999991</v>
      </c>
      <c r="CF61" s="38"/>
      <c r="CG61" s="38">
        <f t="shared" si="13"/>
        <v>0</v>
      </c>
      <c r="CH61" s="64"/>
    </row>
    <row r="62" spans="1:86" ht="18.75" x14ac:dyDescent="0.3">
      <c r="A62" s="48" t="s">
        <v>120</v>
      </c>
      <c r="B62" s="143" t="s">
        <v>121</v>
      </c>
      <c r="C62" s="210" t="s">
        <v>208</v>
      </c>
      <c r="D62" s="63" t="s">
        <v>46</v>
      </c>
      <c r="E62" s="23">
        <v>680.5</v>
      </c>
      <c r="F62" s="23">
        <v>988.6</v>
      </c>
      <c r="G62" s="23">
        <v>974.30000000000007</v>
      </c>
      <c r="H62" s="23"/>
      <c r="I62" s="24">
        <v>724.7</v>
      </c>
      <c r="J62" s="25">
        <v>815.28300000000002</v>
      </c>
      <c r="K62" s="25">
        <v>799.178</v>
      </c>
      <c r="L62" s="25">
        <v>778.2</v>
      </c>
      <c r="M62" s="25">
        <v>778.2</v>
      </c>
      <c r="N62" s="26">
        <v>854.1</v>
      </c>
      <c r="O62" s="181">
        <v>783.80000000000007</v>
      </c>
      <c r="P62" s="181">
        <v>820.3</v>
      </c>
      <c r="Q62" s="28">
        <f t="shared" si="65"/>
        <v>820.3</v>
      </c>
      <c r="R62" s="29">
        <f t="shared" si="65"/>
        <v>820.3</v>
      </c>
      <c r="S62" s="29"/>
      <c r="T62" s="29">
        <f t="shared" si="1"/>
        <v>0</v>
      </c>
      <c r="U62" s="29">
        <f>Q62/Q3*100</f>
        <v>6.0430817285733234</v>
      </c>
      <c r="V62" s="29">
        <f t="shared" si="52"/>
        <v>247.8</v>
      </c>
      <c r="W62" s="29">
        <f t="shared" si="52"/>
        <v>247.8</v>
      </c>
      <c r="X62" s="29">
        <f t="shared" si="52"/>
        <v>0</v>
      </c>
      <c r="Y62" s="29">
        <f>V62/V3*100</f>
        <v>7.2766782169495503</v>
      </c>
      <c r="Z62" s="182">
        <f t="shared" ref="Z62:AH62" si="76">Z64+Z65+Z63</f>
        <v>85.7</v>
      </c>
      <c r="AA62" s="182">
        <f t="shared" si="76"/>
        <v>85.7</v>
      </c>
      <c r="AB62" s="32">
        <f t="shared" si="76"/>
        <v>0</v>
      </c>
      <c r="AC62" s="182">
        <f t="shared" si="76"/>
        <v>77.2</v>
      </c>
      <c r="AD62" s="182">
        <f t="shared" si="76"/>
        <v>77.2</v>
      </c>
      <c r="AE62" s="32">
        <f t="shared" si="76"/>
        <v>0</v>
      </c>
      <c r="AF62" s="182">
        <f t="shared" si="76"/>
        <v>84.9</v>
      </c>
      <c r="AG62" s="182">
        <f t="shared" si="76"/>
        <v>84.9</v>
      </c>
      <c r="AH62" s="32">
        <f t="shared" si="76"/>
        <v>0</v>
      </c>
      <c r="AI62" s="29">
        <f t="shared" si="54"/>
        <v>107.10000000000001</v>
      </c>
      <c r="AJ62" s="30">
        <f t="shared" si="54"/>
        <v>107.10000000000001</v>
      </c>
      <c r="AK62" s="30">
        <f t="shared" si="54"/>
        <v>0</v>
      </c>
      <c r="AL62" s="29">
        <f>AI62/AI3*100</f>
        <v>4.1233541233541242</v>
      </c>
      <c r="AM62" s="182">
        <f t="shared" ref="AM62:AU62" si="77">AM64+AM65+AM63</f>
        <v>82.9</v>
      </c>
      <c r="AN62" s="182">
        <f t="shared" si="77"/>
        <v>82.9</v>
      </c>
      <c r="AO62" s="32">
        <f t="shared" si="77"/>
        <v>0</v>
      </c>
      <c r="AP62" s="182">
        <f t="shared" si="77"/>
        <v>24.2</v>
      </c>
      <c r="AQ62" s="182">
        <f t="shared" si="77"/>
        <v>24.2</v>
      </c>
      <c r="AR62" s="32">
        <f t="shared" si="77"/>
        <v>0</v>
      </c>
      <c r="AS62" s="182">
        <f t="shared" si="77"/>
        <v>0</v>
      </c>
      <c r="AT62" s="182">
        <f t="shared" si="77"/>
        <v>0</v>
      </c>
      <c r="AU62" s="32">
        <f t="shared" si="77"/>
        <v>0</v>
      </c>
      <c r="AV62" s="29">
        <f t="shared" si="56"/>
        <v>209.1</v>
      </c>
      <c r="AW62" s="30">
        <f t="shared" si="56"/>
        <v>209.1</v>
      </c>
      <c r="AX62" s="30">
        <f t="shared" si="56"/>
        <v>0</v>
      </c>
      <c r="AY62" s="29">
        <f>AV62/AV3*100</f>
        <v>5.6422018348623846</v>
      </c>
      <c r="AZ62" s="182">
        <f t="shared" ref="AZ62:BH62" si="78">AZ64+AZ65+AZ63</f>
        <v>33.5</v>
      </c>
      <c r="BA62" s="182">
        <f t="shared" si="78"/>
        <v>33.5</v>
      </c>
      <c r="BB62" s="32">
        <f t="shared" si="78"/>
        <v>0</v>
      </c>
      <c r="BC62" s="182">
        <f t="shared" si="78"/>
        <v>89.3</v>
      </c>
      <c r="BD62" s="182">
        <f t="shared" si="78"/>
        <v>89.3</v>
      </c>
      <c r="BE62" s="32">
        <f t="shared" si="78"/>
        <v>0</v>
      </c>
      <c r="BF62" s="182">
        <f t="shared" si="78"/>
        <v>86.3</v>
      </c>
      <c r="BG62" s="182">
        <f t="shared" si="78"/>
        <v>86.3</v>
      </c>
      <c r="BH62" s="32">
        <f t="shared" si="78"/>
        <v>0</v>
      </c>
      <c r="BI62" s="29">
        <f t="shared" si="58"/>
        <v>256.29999999999995</v>
      </c>
      <c r="BJ62" s="30">
        <f t="shared" si="58"/>
        <v>256.29999999999995</v>
      </c>
      <c r="BK62" s="30">
        <f t="shared" si="58"/>
        <v>0</v>
      </c>
      <c r="BL62" s="29">
        <f>BI62/BI3*100</f>
        <v>6.6306203756402944</v>
      </c>
      <c r="BM62" s="183">
        <f t="shared" ref="BM62:BU62" si="79">BM64+BM65+BM63</f>
        <v>88.8</v>
      </c>
      <c r="BN62" s="182">
        <f t="shared" si="79"/>
        <v>88.8</v>
      </c>
      <c r="BO62" s="32">
        <f t="shared" si="79"/>
        <v>0</v>
      </c>
      <c r="BP62" s="182">
        <f t="shared" si="79"/>
        <v>82.4</v>
      </c>
      <c r="BQ62" s="182">
        <f t="shared" si="79"/>
        <v>82.4</v>
      </c>
      <c r="BR62" s="32">
        <f t="shared" si="79"/>
        <v>0</v>
      </c>
      <c r="BS62" s="182">
        <f t="shared" si="79"/>
        <v>85.1</v>
      </c>
      <c r="BT62" s="182">
        <f t="shared" si="79"/>
        <v>85.1</v>
      </c>
      <c r="BU62" s="32">
        <f t="shared" si="79"/>
        <v>0</v>
      </c>
      <c r="BV62" s="26">
        <v>1061.3</v>
      </c>
      <c r="BW62" s="181">
        <v>688.5</v>
      </c>
      <c r="BX62" s="182">
        <f>BX64+BX65+BX63</f>
        <v>523.6</v>
      </c>
      <c r="BY62" s="181">
        <v>813.9</v>
      </c>
      <c r="BZ62" s="182">
        <f>BZ64+BZ65+BZ63</f>
        <v>803.1</v>
      </c>
      <c r="CA62" s="37" t="b">
        <f t="shared" si="60"/>
        <v>1</v>
      </c>
      <c r="CB62" s="37" t="b">
        <f t="shared" si="60"/>
        <v>1</v>
      </c>
      <c r="CC62" s="37" t="b">
        <f t="shared" si="11"/>
        <v>1</v>
      </c>
      <c r="CD62" s="38">
        <v>258.60000000000002</v>
      </c>
      <c r="CE62" s="38">
        <f t="shared" si="12"/>
        <v>-561.69999999999993</v>
      </c>
      <c r="CF62" s="38"/>
      <c r="CG62" s="38">
        <f t="shared" si="13"/>
        <v>0</v>
      </c>
      <c r="CH62" s="32">
        <f>CH64+CH65+CH63</f>
        <v>0</v>
      </c>
    </row>
    <row r="63" spans="1:86" ht="18.75" x14ac:dyDescent="0.3">
      <c r="A63" s="48"/>
      <c r="B63" s="184" t="s">
        <v>122</v>
      </c>
      <c r="C63" s="217" t="s">
        <v>209</v>
      </c>
      <c r="D63" s="63" t="s">
        <v>46</v>
      </c>
      <c r="E63" s="23">
        <v>5.7629999999999999</v>
      </c>
      <c r="F63" s="23"/>
      <c r="G63" s="23">
        <v>0</v>
      </c>
      <c r="H63" s="23"/>
      <c r="I63" s="24">
        <v>0</v>
      </c>
      <c r="J63" s="25">
        <v>0</v>
      </c>
      <c r="K63" s="25">
        <v>0</v>
      </c>
      <c r="L63" s="25">
        <v>0</v>
      </c>
      <c r="M63" s="25">
        <v>0</v>
      </c>
      <c r="N63" s="26">
        <v>0</v>
      </c>
      <c r="O63" s="92">
        <v>0</v>
      </c>
      <c r="P63" s="92">
        <v>0</v>
      </c>
      <c r="Q63" s="28">
        <f t="shared" si="65"/>
        <v>0</v>
      </c>
      <c r="R63" s="29">
        <f t="shared" si="65"/>
        <v>0</v>
      </c>
      <c r="S63" s="29"/>
      <c r="T63" s="29">
        <f t="shared" si="1"/>
        <v>0</v>
      </c>
      <c r="U63" s="93"/>
      <c r="V63" s="29">
        <f t="shared" si="52"/>
        <v>0</v>
      </c>
      <c r="W63" s="29">
        <f t="shared" si="52"/>
        <v>0</v>
      </c>
      <c r="X63" s="29">
        <f t="shared" si="52"/>
        <v>0</v>
      </c>
      <c r="Y63" s="93"/>
      <c r="Z63" s="79">
        <v>0</v>
      </c>
      <c r="AA63" s="79">
        <v>0</v>
      </c>
      <c r="AB63" s="64">
        <v>0</v>
      </c>
      <c r="AC63" s="79">
        <v>0</v>
      </c>
      <c r="AD63" s="79">
        <v>0</v>
      </c>
      <c r="AE63" s="64"/>
      <c r="AF63" s="79">
        <v>0</v>
      </c>
      <c r="AG63" s="79">
        <v>0</v>
      </c>
      <c r="AH63" s="64"/>
      <c r="AI63" s="29">
        <f t="shared" si="54"/>
        <v>0</v>
      </c>
      <c r="AJ63" s="30">
        <f t="shared" si="54"/>
        <v>0</v>
      </c>
      <c r="AK63" s="30">
        <f t="shared" si="54"/>
        <v>0</v>
      </c>
      <c r="AL63" s="93"/>
      <c r="AM63" s="79">
        <v>0</v>
      </c>
      <c r="AN63" s="79">
        <v>0</v>
      </c>
      <c r="AO63" s="133"/>
      <c r="AP63" s="79">
        <v>0</v>
      </c>
      <c r="AQ63" s="79">
        <v>0</v>
      </c>
      <c r="AR63" s="64"/>
      <c r="AS63" s="79">
        <v>0</v>
      </c>
      <c r="AT63" s="79">
        <v>0</v>
      </c>
      <c r="AU63" s="64"/>
      <c r="AV63" s="29">
        <f t="shared" si="56"/>
        <v>0</v>
      </c>
      <c r="AW63" s="30">
        <f t="shared" si="56"/>
        <v>0</v>
      </c>
      <c r="AX63" s="30">
        <f t="shared" si="56"/>
        <v>0</v>
      </c>
      <c r="AY63" s="93"/>
      <c r="AZ63" s="79">
        <v>0</v>
      </c>
      <c r="BA63" s="79">
        <v>0</v>
      </c>
      <c r="BB63" s="64"/>
      <c r="BC63" s="79">
        <v>0</v>
      </c>
      <c r="BD63" s="79">
        <v>0</v>
      </c>
      <c r="BE63" s="64"/>
      <c r="BF63" s="79">
        <v>0</v>
      </c>
      <c r="BG63" s="79">
        <v>0</v>
      </c>
      <c r="BH63" s="64"/>
      <c r="BI63" s="29">
        <f t="shared" si="58"/>
        <v>0</v>
      </c>
      <c r="BJ63" s="30">
        <f t="shared" si="58"/>
        <v>0</v>
      </c>
      <c r="BK63" s="30">
        <f t="shared" si="58"/>
        <v>0</v>
      </c>
      <c r="BL63" s="93"/>
      <c r="BM63" s="83">
        <v>0</v>
      </c>
      <c r="BN63" s="79">
        <v>0</v>
      </c>
      <c r="BO63" s="64"/>
      <c r="BP63" s="79">
        <v>0</v>
      </c>
      <c r="BQ63" s="79">
        <v>0</v>
      </c>
      <c r="BR63" s="64"/>
      <c r="BS63" s="79">
        <v>0</v>
      </c>
      <c r="BT63" s="79">
        <v>0</v>
      </c>
      <c r="BU63" s="134"/>
      <c r="BV63" s="99">
        <v>0</v>
      </c>
      <c r="BW63" s="92">
        <v>0</v>
      </c>
      <c r="BX63" s="79">
        <v>0</v>
      </c>
      <c r="BY63" s="92">
        <v>0</v>
      </c>
      <c r="BZ63" s="79">
        <v>0</v>
      </c>
      <c r="CA63" s="37" t="b">
        <f t="shared" si="60"/>
        <v>1</v>
      </c>
      <c r="CB63" s="37" t="b">
        <f t="shared" si="60"/>
        <v>1</v>
      </c>
      <c r="CC63" s="37" t="b">
        <f t="shared" si="11"/>
        <v>1</v>
      </c>
      <c r="CD63" s="38"/>
      <c r="CE63" s="38">
        <f t="shared" si="12"/>
        <v>0</v>
      </c>
      <c r="CF63" s="38"/>
      <c r="CG63" s="38">
        <f t="shared" si="13"/>
        <v>0</v>
      </c>
      <c r="CH63" s="64"/>
    </row>
    <row r="64" spans="1:86" ht="18.75" x14ac:dyDescent="0.3">
      <c r="A64" s="90" t="s">
        <v>123</v>
      </c>
      <c r="B64" s="184" t="s">
        <v>124</v>
      </c>
      <c r="C64" s="217" t="s">
        <v>210</v>
      </c>
      <c r="D64" s="71" t="s">
        <v>46</v>
      </c>
      <c r="E64" s="1">
        <v>466.15900000000005</v>
      </c>
      <c r="F64" s="1">
        <v>693.6</v>
      </c>
      <c r="G64" s="1">
        <v>729.30000000000007</v>
      </c>
      <c r="H64" s="1"/>
      <c r="I64" s="72">
        <v>534.70000000000005</v>
      </c>
      <c r="J64" s="73">
        <v>547.25199999999995</v>
      </c>
      <c r="K64" s="73">
        <v>520.20000000000005</v>
      </c>
      <c r="L64" s="73">
        <v>548.20000000000005</v>
      </c>
      <c r="M64" s="73">
        <v>548.20000000000005</v>
      </c>
      <c r="N64" s="74">
        <v>634.1</v>
      </c>
      <c r="O64" s="92">
        <v>518.80000000000007</v>
      </c>
      <c r="P64" s="92">
        <v>525.29999999999995</v>
      </c>
      <c r="Q64" s="28">
        <f t="shared" si="65"/>
        <v>525.29999999999995</v>
      </c>
      <c r="R64" s="29">
        <f t="shared" si="65"/>
        <v>525.29999999999995</v>
      </c>
      <c r="S64" s="29"/>
      <c r="T64" s="29">
        <f t="shared" si="1"/>
        <v>0</v>
      </c>
      <c r="U64" s="93">
        <f>Q62*100/Q61</f>
        <v>42.300948844884495</v>
      </c>
      <c r="V64" s="29">
        <f t="shared" si="52"/>
        <v>157.80000000000001</v>
      </c>
      <c r="W64" s="29">
        <f t="shared" si="52"/>
        <v>157.80000000000001</v>
      </c>
      <c r="X64" s="29">
        <f t="shared" si="52"/>
        <v>0</v>
      </c>
      <c r="Y64" s="93">
        <f>V62*100/V61</f>
        <v>42.446043165467628</v>
      </c>
      <c r="Z64" s="79">
        <v>55.7</v>
      </c>
      <c r="AA64" s="79">
        <v>55.7</v>
      </c>
      <c r="AB64" s="64">
        <v>0</v>
      </c>
      <c r="AC64" s="79">
        <v>47.2</v>
      </c>
      <c r="AD64" s="79">
        <v>47.2</v>
      </c>
      <c r="AE64" s="64"/>
      <c r="AF64" s="79">
        <v>54.9</v>
      </c>
      <c r="AG64" s="79">
        <v>54.9</v>
      </c>
      <c r="AH64" s="64"/>
      <c r="AI64" s="29">
        <f t="shared" si="54"/>
        <v>62.099999999999994</v>
      </c>
      <c r="AJ64" s="30">
        <f t="shared" si="54"/>
        <v>62.099999999999994</v>
      </c>
      <c r="AK64" s="30">
        <f t="shared" si="54"/>
        <v>0</v>
      </c>
      <c r="AL64" s="93">
        <f>AI62*100/AI61</f>
        <v>43.76787903555374</v>
      </c>
      <c r="AM64" s="79">
        <v>47.9</v>
      </c>
      <c r="AN64" s="79">
        <v>47.9</v>
      </c>
      <c r="AO64" s="133"/>
      <c r="AP64" s="79">
        <v>14.2</v>
      </c>
      <c r="AQ64" s="79">
        <v>14.2</v>
      </c>
      <c r="AR64" s="64"/>
      <c r="AS64" s="79">
        <v>0</v>
      </c>
      <c r="AT64" s="79">
        <v>0</v>
      </c>
      <c r="AU64" s="64"/>
      <c r="AV64" s="29">
        <f t="shared" si="56"/>
        <v>139.1</v>
      </c>
      <c r="AW64" s="30">
        <f t="shared" si="56"/>
        <v>139.1</v>
      </c>
      <c r="AX64" s="30">
        <f t="shared" si="56"/>
        <v>0</v>
      </c>
      <c r="AY64" s="93">
        <f>AV62*100/AV61</f>
        <v>40.227010388611006</v>
      </c>
      <c r="AZ64" s="79">
        <v>33.5</v>
      </c>
      <c r="BA64" s="79">
        <v>33.5</v>
      </c>
      <c r="BB64" s="64"/>
      <c r="BC64" s="79">
        <v>54.3</v>
      </c>
      <c r="BD64" s="79">
        <v>54.3</v>
      </c>
      <c r="BE64" s="64"/>
      <c r="BF64" s="79">
        <v>51.3</v>
      </c>
      <c r="BG64" s="79">
        <v>51.3</v>
      </c>
      <c r="BH64" s="64"/>
      <c r="BI64" s="29">
        <f t="shared" si="58"/>
        <v>166.29999999999998</v>
      </c>
      <c r="BJ64" s="30">
        <f t="shared" si="58"/>
        <v>166.29999999999998</v>
      </c>
      <c r="BK64" s="30">
        <f t="shared" si="58"/>
        <v>0</v>
      </c>
      <c r="BL64" s="93">
        <f>BI62*100/BI61</f>
        <v>43.374513454053137</v>
      </c>
      <c r="BM64" s="83">
        <v>58.8</v>
      </c>
      <c r="BN64" s="79">
        <v>58.8</v>
      </c>
      <c r="BO64" s="64"/>
      <c r="BP64" s="79">
        <v>52.4</v>
      </c>
      <c r="BQ64" s="79">
        <v>52.4</v>
      </c>
      <c r="BR64" s="64"/>
      <c r="BS64" s="79">
        <v>55.1</v>
      </c>
      <c r="BT64" s="79">
        <v>55.1</v>
      </c>
      <c r="BU64" s="134"/>
      <c r="BV64" s="99">
        <v>761.3</v>
      </c>
      <c r="BW64" s="92">
        <v>458.5</v>
      </c>
      <c r="BX64" s="79">
        <v>353.6</v>
      </c>
      <c r="BY64" s="92">
        <v>548.9</v>
      </c>
      <c r="BZ64" s="79">
        <v>538.1</v>
      </c>
      <c r="CA64" s="37" t="b">
        <f t="shared" si="60"/>
        <v>1</v>
      </c>
      <c r="CB64" s="37" t="b">
        <f t="shared" si="60"/>
        <v>1</v>
      </c>
      <c r="CC64" s="37" t="b">
        <f t="shared" si="11"/>
        <v>1</v>
      </c>
      <c r="CD64" s="100">
        <v>158.6</v>
      </c>
      <c r="CE64" s="38">
        <f t="shared" si="12"/>
        <v>-366.69999999999993</v>
      </c>
      <c r="CF64" s="38"/>
      <c r="CG64" s="38">
        <f t="shared" si="13"/>
        <v>0</v>
      </c>
      <c r="CH64" s="64"/>
    </row>
    <row r="65" spans="1:86" ht="18.75" x14ac:dyDescent="0.3">
      <c r="A65" s="90" t="s">
        <v>125</v>
      </c>
      <c r="B65" s="184" t="s">
        <v>126</v>
      </c>
      <c r="C65" s="217" t="s">
        <v>211</v>
      </c>
      <c r="D65" s="71" t="s">
        <v>46</v>
      </c>
      <c r="E65" s="1">
        <v>208.57800000000003</v>
      </c>
      <c r="F65" s="1">
        <v>295</v>
      </c>
      <c r="G65" s="1">
        <v>245</v>
      </c>
      <c r="H65" s="1"/>
      <c r="I65" s="72">
        <v>190</v>
      </c>
      <c r="J65" s="73">
        <v>268.03100000000001</v>
      </c>
      <c r="K65" s="73">
        <v>278.97799999999995</v>
      </c>
      <c r="L65" s="73">
        <v>230</v>
      </c>
      <c r="M65" s="73">
        <v>230</v>
      </c>
      <c r="N65" s="74">
        <v>220</v>
      </c>
      <c r="O65" s="92">
        <v>265</v>
      </c>
      <c r="P65" s="92">
        <v>295</v>
      </c>
      <c r="Q65" s="28">
        <f t="shared" si="65"/>
        <v>295</v>
      </c>
      <c r="R65" s="29">
        <f t="shared" si="65"/>
        <v>295</v>
      </c>
      <c r="S65" s="29"/>
      <c r="T65" s="29">
        <f t="shared" si="1"/>
        <v>0</v>
      </c>
      <c r="U65" s="93"/>
      <c r="V65" s="29">
        <f t="shared" si="52"/>
        <v>90</v>
      </c>
      <c r="W65" s="29">
        <f t="shared" si="52"/>
        <v>90</v>
      </c>
      <c r="X65" s="29">
        <f t="shared" si="52"/>
        <v>0</v>
      </c>
      <c r="Y65" s="93"/>
      <c r="Z65" s="79">
        <v>30</v>
      </c>
      <c r="AA65" s="79">
        <v>30</v>
      </c>
      <c r="AB65" s="64">
        <v>0</v>
      </c>
      <c r="AC65" s="79">
        <v>30</v>
      </c>
      <c r="AD65" s="79">
        <v>30</v>
      </c>
      <c r="AE65" s="64"/>
      <c r="AF65" s="79">
        <v>30</v>
      </c>
      <c r="AG65" s="79">
        <v>30</v>
      </c>
      <c r="AH65" s="64"/>
      <c r="AI65" s="29">
        <f t="shared" si="54"/>
        <v>45</v>
      </c>
      <c r="AJ65" s="30">
        <f t="shared" si="54"/>
        <v>45</v>
      </c>
      <c r="AK65" s="30">
        <f t="shared" si="54"/>
        <v>0</v>
      </c>
      <c r="AL65" s="93"/>
      <c r="AM65" s="79">
        <v>35</v>
      </c>
      <c r="AN65" s="79">
        <v>35</v>
      </c>
      <c r="AO65" s="133"/>
      <c r="AP65" s="79">
        <v>10</v>
      </c>
      <c r="AQ65" s="79">
        <v>10</v>
      </c>
      <c r="AR65" s="64"/>
      <c r="AS65" s="79">
        <v>0</v>
      </c>
      <c r="AT65" s="79">
        <v>0</v>
      </c>
      <c r="AU65" s="64"/>
      <c r="AV65" s="29">
        <f t="shared" si="56"/>
        <v>70</v>
      </c>
      <c r="AW65" s="30">
        <f t="shared" si="56"/>
        <v>70</v>
      </c>
      <c r="AX65" s="30">
        <f t="shared" si="56"/>
        <v>0</v>
      </c>
      <c r="AY65" s="93"/>
      <c r="AZ65" s="79">
        <v>0</v>
      </c>
      <c r="BA65" s="79">
        <v>0</v>
      </c>
      <c r="BB65" s="64"/>
      <c r="BC65" s="79">
        <v>35</v>
      </c>
      <c r="BD65" s="79">
        <v>35</v>
      </c>
      <c r="BE65" s="64"/>
      <c r="BF65" s="79">
        <v>35</v>
      </c>
      <c r="BG65" s="79">
        <v>35</v>
      </c>
      <c r="BH65" s="64"/>
      <c r="BI65" s="29">
        <f t="shared" si="58"/>
        <v>90</v>
      </c>
      <c r="BJ65" s="30">
        <f t="shared" si="58"/>
        <v>90</v>
      </c>
      <c r="BK65" s="30">
        <f t="shared" si="58"/>
        <v>0</v>
      </c>
      <c r="BL65" s="93"/>
      <c r="BM65" s="83">
        <v>30</v>
      </c>
      <c r="BN65" s="79">
        <v>30</v>
      </c>
      <c r="BO65" s="64"/>
      <c r="BP65" s="79">
        <v>30</v>
      </c>
      <c r="BQ65" s="79">
        <v>30</v>
      </c>
      <c r="BR65" s="64"/>
      <c r="BS65" s="79">
        <v>30</v>
      </c>
      <c r="BT65" s="79">
        <v>30</v>
      </c>
      <c r="BU65" s="134"/>
      <c r="BV65" s="99">
        <v>300</v>
      </c>
      <c r="BW65" s="92">
        <v>230</v>
      </c>
      <c r="BX65" s="79">
        <v>170</v>
      </c>
      <c r="BY65" s="92">
        <v>265</v>
      </c>
      <c r="BZ65" s="79">
        <v>265</v>
      </c>
      <c r="CA65" s="37" t="b">
        <f t="shared" si="60"/>
        <v>1</v>
      </c>
      <c r="CB65" s="37" t="b">
        <f t="shared" si="60"/>
        <v>1</v>
      </c>
      <c r="CC65" s="37" t="b">
        <f t="shared" si="11"/>
        <v>1</v>
      </c>
      <c r="CD65" s="100">
        <v>100</v>
      </c>
      <c r="CE65" s="38">
        <f t="shared" si="12"/>
        <v>-195</v>
      </c>
      <c r="CF65" s="38"/>
      <c r="CG65" s="38">
        <f t="shared" si="13"/>
        <v>0</v>
      </c>
      <c r="CH65" s="64"/>
    </row>
    <row r="66" spans="1:86" ht="18.75" x14ac:dyDescent="0.3">
      <c r="A66" s="48" t="s">
        <v>127</v>
      </c>
      <c r="B66" s="143" t="s">
        <v>128</v>
      </c>
      <c r="C66" s="216" t="s">
        <v>212</v>
      </c>
      <c r="D66" s="63" t="s">
        <v>46</v>
      </c>
      <c r="E66" s="23">
        <v>80.234000000000009</v>
      </c>
      <c r="F66" s="23">
        <v>58.5</v>
      </c>
      <c r="G66" s="23">
        <v>58.099999999999994</v>
      </c>
      <c r="H66" s="23"/>
      <c r="I66" s="24">
        <v>71.099999999999994</v>
      </c>
      <c r="J66" s="25">
        <v>63.769999999999996</v>
      </c>
      <c r="K66" s="25">
        <v>76.923999999999992</v>
      </c>
      <c r="L66" s="25">
        <v>55.099999999999994</v>
      </c>
      <c r="M66" s="25">
        <v>55.099999999999994</v>
      </c>
      <c r="N66" s="26">
        <v>101.8</v>
      </c>
      <c r="O66" s="27">
        <v>53.699999999999996</v>
      </c>
      <c r="P66" s="27">
        <v>56.4</v>
      </c>
      <c r="Q66" s="28">
        <f t="shared" si="65"/>
        <v>56.4</v>
      </c>
      <c r="R66" s="29">
        <f t="shared" si="65"/>
        <v>56.4</v>
      </c>
      <c r="S66" s="29"/>
      <c r="T66" s="29">
        <f t="shared" si="1"/>
        <v>0</v>
      </c>
      <c r="U66" s="29">
        <f>Q66/Q3*100</f>
        <v>0.41549409909976281</v>
      </c>
      <c r="V66" s="29">
        <f t="shared" si="52"/>
        <v>6.2</v>
      </c>
      <c r="W66" s="29">
        <f t="shared" si="52"/>
        <v>6.2</v>
      </c>
      <c r="X66" s="29">
        <f t="shared" si="52"/>
        <v>0</v>
      </c>
      <c r="Y66" s="29">
        <f>V66/V3*100</f>
        <v>0.1820637810536207</v>
      </c>
      <c r="Z66" s="39">
        <v>1.8</v>
      </c>
      <c r="AA66" s="39">
        <v>1.8</v>
      </c>
      <c r="AB66" s="40">
        <v>0</v>
      </c>
      <c r="AC66" s="39">
        <v>1.8</v>
      </c>
      <c r="AD66" s="39">
        <v>1.8</v>
      </c>
      <c r="AE66" s="40"/>
      <c r="AF66" s="39">
        <v>2.6</v>
      </c>
      <c r="AG66" s="39">
        <v>2.6</v>
      </c>
      <c r="AH66" s="40"/>
      <c r="AI66" s="29">
        <f t="shared" si="54"/>
        <v>7.3000000000000007</v>
      </c>
      <c r="AJ66" s="30">
        <f t="shared" si="54"/>
        <v>7.3000000000000007</v>
      </c>
      <c r="AK66" s="30">
        <f t="shared" si="54"/>
        <v>0</v>
      </c>
      <c r="AL66" s="29">
        <f>AI66/AI3*100</f>
        <v>0.28105028105028113</v>
      </c>
      <c r="AM66" s="39">
        <v>5.4</v>
      </c>
      <c r="AN66" s="39">
        <v>5.4</v>
      </c>
      <c r="AO66" s="41"/>
      <c r="AP66" s="39">
        <v>1.9</v>
      </c>
      <c r="AQ66" s="39">
        <v>1.9</v>
      </c>
      <c r="AR66" s="40"/>
      <c r="AS66" s="39">
        <v>0</v>
      </c>
      <c r="AT66" s="39">
        <v>0</v>
      </c>
      <c r="AU66" s="40"/>
      <c r="AV66" s="29">
        <f t="shared" si="56"/>
        <v>37.5</v>
      </c>
      <c r="AW66" s="30">
        <f t="shared" si="56"/>
        <v>37.5</v>
      </c>
      <c r="AX66" s="30">
        <f t="shared" si="56"/>
        <v>0</v>
      </c>
      <c r="AY66" s="29">
        <f>AV66/AV3*100</f>
        <v>1.0118726389638424</v>
      </c>
      <c r="AZ66" s="39">
        <v>33.5</v>
      </c>
      <c r="BA66" s="39">
        <v>33.5</v>
      </c>
      <c r="BB66" s="40"/>
      <c r="BC66" s="39">
        <v>2</v>
      </c>
      <c r="BD66" s="39">
        <v>2</v>
      </c>
      <c r="BE66" s="40"/>
      <c r="BF66" s="39">
        <v>2</v>
      </c>
      <c r="BG66" s="39">
        <v>2</v>
      </c>
      <c r="BH66" s="40"/>
      <c r="BI66" s="29">
        <f t="shared" si="58"/>
        <v>5.4</v>
      </c>
      <c r="BJ66" s="30">
        <f t="shared" si="58"/>
        <v>5.4</v>
      </c>
      <c r="BK66" s="30">
        <f t="shared" si="58"/>
        <v>0</v>
      </c>
      <c r="BL66" s="29">
        <f>BI66/BI3*100</f>
        <v>0.13970093651368554</v>
      </c>
      <c r="BM66" s="42">
        <v>1.8</v>
      </c>
      <c r="BN66" s="39">
        <v>1.8</v>
      </c>
      <c r="BO66" s="40"/>
      <c r="BP66" s="39">
        <v>1.8</v>
      </c>
      <c r="BQ66" s="39">
        <v>1.8</v>
      </c>
      <c r="BR66" s="40"/>
      <c r="BS66" s="39">
        <v>1.8</v>
      </c>
      <c r="BT66" s="39">
        <v>1.8</v>
      </c>
      <c r="BU66" s="43"/>
      <c r="BV66" s="36">
        <v>66.7</v>
      </c>
      <c r="BW66" s="27">
        <v>52</v>
      </c>
      <c r="BX66" s="39">
        <v>67</v>
      </c>
      <c r="BY66" s="27">
        <v>54.2</v>
      </c>
      <c r="BZ66" s="39">
        <v>56.3</v>
      </c>
      <c r="CA66" s="37" t="b">
        <f t="shared" si="60"/>
        <v>1</v>
      </c>
      <c r="CB66" s="37" t="b">
        <f t="shared" si="60"/>
        <v>1</v>
      </c>
      <c r="CC66" s="37" t="b">
        <f t="shared" si="11"/>
        <v>1</v>
      </c>
      <c r="CD66" s="38">
        <v>373.1</v>
      </c>
      <c r="CE66" s="38">
        <f t="shared" si="12"/>
        <v>316.70000000000005</v>
      </c>
      <c r="CF66" s="38"/>
      <c r="CG66" s="38">
        <f t="shared" si="13"/>
        <v>0</v>
      </c>
      <c r="CH66" s="40"/>
    </row>
    <row r="67" spans="1:86" ht="18.75" x14ac:dyDescent="0.3">
      <c r="A67" s="48" t="s">
        <v>129</v>
      </c>
      <c r="B67" s="143" t="s">
        <v>130</v>
      </c>
      <c r="C67" s="216" t="s">
        <v>213</v>
      </c>
      <c r="D67" s="63" t="s">
        <v>46</v>
      </c>
      <c r="E67" s="23">
        <v>0</v>
      </c>
      <c r="F67" s="23">
        <v>0</v>
      </c>
      <c r="G67" s="23">
        <v>0</v>
      </c>
      <c r="H67" s="23"/>
      <c r="I67" s="24">
        <v>0</v>
      </c>
      <c r="J67" s="25">
        <v>0</v>
      </c>
      <c r="K67" s="25">
        <v>0</v>
      </c>
      <c r="L67" s="25">
        <v>0</v>
      </c>
      <c r="M67" s="25">
        <v>0</v>
      </c>
      <c r="N67" s="26">
        <v>0</v>
      </c>
      <c r="O67" s="27">
        <v>0</v>
      </c>
      <c r="P67" s="27">
        <v>0</v>
      </c>
      <c r="Q67" s="28">
        <f t="shared" si="65"/>
        <v>0</v>
      </c>
      <c r="R67" s="29">
        <f t="shared" si="65"/>
        <v>0</v>
      </c>
      <c r="S67" s="29"/>
      <c r="T67" s="29">
        <f t="shared" ref="T67:T74" si="80">X67+AK67+AX67+BK67</f>
        <v>0</v>
      </c>
      <c r="U67" s="29">
        <f>Q67/Q3*100</f>
        <v>0</v>
      </c>
      <c r="V67" s="29">
        <f t="shared" si="52"/>
        <v>0</v>
      </c>
      <c r="W67" s="29">
        <f t="shared" si="52"/>
        <v>0</v>
      </c>
      <c r="X67" s="29">
        <f t="shared" si="52"/>
        <v>0</v>
      </c>
      <c r="Y67" s="29">
        <f>V67/V3*100</f>
        <v>0</v>
      </c>
      <c r="Z67" s="39">
        <v>0</v>
      </c>
      <c r="AA67" s="39">
        <v>0</v>
      </c>
      <c r="AB67" s="40">
        <v>0</v>
      </c>
      <c r="AC67" s="39">
        <v>0</v>
      </c>
      <c r="AD67" s="39">
        <v>0</v>
      </c>
      <c r="AE67" s="40"/>
      <c r="AF67" s="39">
        <v>0</v>
      </c>
      <c r="AG67" s="39">
        <v>0</v>
      </c>
      <c r="AH67" s="40"/>
      <c r="AI67" s="29">
        <f t="shared" si="54"/>
        <v>0</v>
      </c>
      <c r="AJ67" s="30">
        <f t="shared" si="54"/>
        <v>0</v>
      </c>
      <c r="AK67" s="30">
        <f t="shared" si="54"/>
        <v>0</v>
      </c>
      <c r="AL67" s="29">
        <f>AI67/AI3*100</f>
        <v>0</v>
      </c>
      <c r="AM67" s="39">
        <v>0</v>
      </c>
      <c r="AN67" s="39">
        <v>0</v>
      </c>
      <c r="AO67" s="41"/>
      <c r="AP67" s="39">
        <v>0</v>
      </c>
      <c r="AQ67" s="39">
        <v>0</v>
      </c>
      <c r="AR67" s="40"/>
      <c r="AS67" s="39">
        <v>0</v>
      </c>
      <c r="AT67" s="39">
        <v>0</v>
      </c>
      <c r="AU67" s="40"/>
      <c r="AV67" s="29">
        <f t="shared" si="56"/>
        <v>0</v>
      </c>
      <c r="AW67" s="30">
        <f t="shared" si="56"/>
        <v>0</v>
      </c>
      <c r="AX67" s="30">
        <f t="shared" si="56"/>
        <v>0</v>
      </c>
      <c r="AY67" s="29">
        <f>AV67/AV3*100</f>
        <v>0</v>
      </c>
      <c r="AZ67" s="39">
        <v>0</v>
      </c>
      <c r="BA67" s="39">
        <v>0</v>
      </c>
      <c r="BB67" s="40"/>
      <c r="BC67" s="39">
        <v>0</v>
      </c>
      <c r="BD67" s="39">
        <v>0</v>
      </c>
      <c r="BE67" s="40"/>
      <c r="BF67" s="39">
        <v>0</v>
      </c>
      <c r="BG67" s="39">
        <v>0</v>
      </c>
      <c r="BH67" s="40"/>
      <c r="BI67" s="29">
        <f t="shared" si="58"/>
        <v>0</v>
      </c>
      <c r="BJ67" s="30">
        <f t="shared" si="58"/>
        <v>0</v>
      </c>
      <c r="BK67" s="30">
        <f t="shared" si="58"/>
        <v>0</v>
      </c>
      <c r="BL67" s="29">
        <f>BI67/BI3*100</f>
        <v>0</v>
      </c>
      <c r="BM67" s="42">
        <v>0</v>
      </c>
      <c r="BN67" s="39">
        <v>0</v>
      </c>
      <c r="BO67" s="40"/>
      <c r="BP67" s="39">
        <v>0</v>
      </c>
      <c r="BQ67" s="39">
        <v>0</v>
      </c>
      <c r="BR67" s="40"/>
      <c r="BS67" s="39">
        <v>0</v>
      </c>
      <c r="BT67" s="39">
        <v>0</v>
      </c>
      <c r="BU67" s="43"/>
      <c r="BV67" s="36">
        <v>0</v>
      </c>
      <c r="BW67" s="27">
        <v>0</v>
      </c>
      <c r="BX67" s="39">
        <v>0</v>
      </c>
      <c r="BY67" s="27">
        <v>0</v>
      </c>
      <c r="BZ67" s="39">
        <v>0</v>
      </c>
      <c r="CA67" s="37" t="b">
        <f t="shared" si="60"/>
        <v>1</v>
      </c>
      <c r="CB67" s="37" t="b">
        <f t="shared" si="60"/>
        <v>1</v>
      </c>
      <c r="CC67" s="37" t="b">
        <f t="shared" ref="CC67:CC75" si="81">T67=AB67+AE67+AH67+AO67+AR67+AU67+BB67+BE67+BH67+BO67+BR67+BU67</f>
        <v>1</v>
      </c>
      <c r="CD67" s="38">
        <v>217.8</v>
      </c>
      <c r="CE67" s="38">
        <f t="shared" ref="CE67:CE77" si="82">CD67-Q67</f>
        <v>217.8</v>
      </c>
      <c r="CF67" s="38"/>
      <c r="CG67" s="38">
        <f t="shared" ref="CG67:CG75" si="83">CF67-T67</f>
        <v>0</v>
      </c>
      <c r="CH67" s="40"/>
    </row>
    <row r="68" spans="1:86" ht="18.75" x14ac:dyDescent="0.3">
      <c r="A68" s="48" t="s">
        <v>131</v>
      </c>
      <c r="B68" s="143" t="s">
        <v>132</v>
      </c>
      <c r="C68" s="216" t="s">
        <v>214</v>
      </c>
      <c r="D68" s="63" t="s">
        <v>46</v>
      </c>
      <c r="E68" s="23">
        <v>4.2140000000000004</v>
      </c>
      <c r="F68" s="23">
        <v>0</v>
      </c>
      <c r="G68" s="23">
        <v>0</v>
      </c>
      <c r="H68" s="23"/>
      <c r="I68" s="24">
        <v>0</v>
      </c>
      <c r="J68" s="25">
        <v>0</v>
      </c>
      <c r="K68" s="25">
        <v>0</v>
      </c>
      <c r="L68" s="25">
        <v>0</v>
      </c>
      <c r="M68" s="25">
        <v>0</v>
      </c>
      <c r="N68" s="26">
        <v>0</v>
      </c>
      <c r="O68" s="27">
        <v>0</v>
      </c>
      <c r="P68" s="27">
        <v>0</v>
      </c>
      <c r="Q68" s="28">
        <f t="shared" si="65"/>
        <v>0</v>
      </c>
      <c r="R68" s="29">
        <f t="shared" si="65"/>
        <v>0</v>
      </c>
      <c r="S68" s="29"/>
      <c r="T68" s="29">
        <f t="shared" si="80"/>
        <v>0</v>
      </c>
      <c r="U68" s="29">
        <f>Q68/Q3*100</f>
        <v>0</v>
      </c>
      <c r="V68" s="29">
        <f t="shared" si="52"/>
        <v>0</v>
      </c>
      <c r="W68" s="29">
        <f t="shared" si="52"/>
        <v>0</v>
      </c>
      <c r="X68" s="29">
        <f t="shared" si="52"/>
        <v>0</v>
      </c>
      <c r="Y68" s="29">
        <f>V68/V3*100</f>
        <v>0</v>
      </c>
      <c r="Z68" s="39">
        <v>0</v>
      </c>
      <c r="AA68" s="39">
        <v>0</v>
      </c>
      <c r="AB68" s="40">
        <v>0</v>
      </c>
      <c r="AC68" s="39">
        <v>0</v>
      </c>
      <c r="AD68" s="39">
        <v>0</v>
      </c>
      <c r="AE68" s="40"/>
      <c r="AF68" s="39">
        <v>0</v>
      </c>
      <c r="AG68" s="39">
        <v>0</v>
      </c>
      <c r="AH68" s="40"/>
      <c r="AI68" s="29">
        <f t="shared" si="54"/>
        <v>0</v>
      </c>
      <c r="AJ68" s="30">
        <f t="shared" si="54"/>
        <v>0</v>
      </c>
      <c r="AK68" s="30">
        <f t="shared" si="54"/>
        <v>0</v>
      </c>
      <c r="AL68" s="29">
        <f>AI68/AI3*100</f>
        <v>0</v>
      </c>
      <c r="AM68" s="39">
        <v>0</v>
      </c>
      <c r="AN68" s="39">
        <v>0</v>
      </c>
      <c r="AO68" s="41"/>
      <c r="AP68" s="39">
        <v>0</v>
      </c>
      <c r="AQ68" s="39">
        <v>0</v>
      </c>
      <c r="AR68" s="40"/>
      <c r="AS68" s="39">
        <v>0</v>
      </c>
      <c r="AT68" s="39">
        <v>0</v>
      </c>
      <c r="AU68" s="40"/>
      <c r="AV68" s="29">
        <f t="shared" si="56"/>
        <v>0</v>
      </c>
      <c r="AW68" s="30">
        <f t="shared" si="56"/>
        <v>0</v>
      </c>
      <c r="AX68" s="30">
        <f t="shared" si="56"/>
        <v>0</v>
      </c>
      <c r="AY68" s="29">
        <f>AV68/AV3*100</f>
        <v>0</v>
      </c>
      <c r="AZ68" s="39">
        <v>0</v>
      </c>
      <c r="BA68" s="39">
        <v>0</v>
      </c>
      <c r="BB68" s="40"/>
      <c r="BC68" s="39">
        <v>0</v>
      </c>
      <c r="BD68" s="39">
        <v>0</v>
      </c>
      <c r="BE68" s="40"/>
      <c r="BF68" s="39">
        <v>0</v>
      </c>
      <c r="BG68" s="39">
        <v>0</v>
      </c>
      <c r="BH68" s="40"/>
      <c r="BI68" s="29">
        <f t="shared" si="58"/>
        <v>0</v>
      </c>
      <c r="BJ68" s="30">
        <f t="shared" si="58"/>
        <v>0</v>
      </c>
      <c r="BK68" s="30">
        <f t="shared" si="58"/>
        <v>0</v>
      </c>
      <c r="BL68" s="29">
        <f>BI68/BI3*100</f>
        <v>0</v>
      </c>
      <c r="BM68" s="42">
        <v>0</v>
      </c>
      <c r="BN68" s="39">
        <v>0</v>
      </c>
      <c r="BO68" s="40"/>
      <c r="BP68" s="39">
        <v>0</v>
      </c>
      <c r="BQ68" s="39">
        <v>0</v>
      </c>
      <c r="BR68" s="40"/>
      <c r="BS68" s="39">
        <v>0</v>
      </c>
      <c r="BT68" s="39">
        <v>0</v>
      </c>
      <c r="BU68" s="43"/>
      <c r="BV68" s="36">
        <v>0</v>
      </c>
      <c r="BW68" s="27">
        <v>0</v>
      </c>
      <c r="BX68" s="39">
        <v>0</v>
      </c>
      <c r="BY68" s="27">
        <v>0</v>
      </c>
      <c r="BZ68" s="39">
        <v>0</v>
      </c>
      <c r="CA68" s="37" t="b">
        <f t="shared" si="60"/>
        <v>1</v>
      </c>
      <c r="CB68" s="37" t="b">
        <f t="shared" si="60"/>
        <v>1</v>
      </c>
      <c r="CC68" s="37" t="b">
        <f t="shared" si="81"/>
        <v>1</v>
      </c>
      <c r="CD68" s="38">
        <v>0</v>
      </c>
      <c r="CE68" s="38">
        <f t="shared" si="82"/>
        <v>0</v>
      </c>
      <c r="CF68" s="38"/>
      <c r="CG68" s="38">
        <f t="shared" si="83"/>
        <v>0</v>
      </c>
      <c r="CH68" s="40"/>
    </row>
    <row r="69" spans="1:86" ht="18.75" x14ac:dyDescent="0.3">
      <c r="A69" s="48" t="s">
        <v>133</v>
      </c>
      <c r="B69" s="143" t="s">
        <v>134</v>
      </c>
      <c r="C69" s="216" t="s">
        <v>215</v>
      </c>
      <c r="D69" s="63" t="s">
        <v>46</v>
      </c>
      <c r="E69" s="23">
        <v>483.149</v>
      </c>
      <c r="F69" s="23">
        <v>698.8</v>
      </c>
      <c r="G69" s="23">
        <v>678.80000000000007</v>
      </c>
      <c r="H69" s="23"/>
      <c r="I69" s="24">
        <v>471.6</v>
      </c>
      <c r="J69" s="25">
        <v>596.697</v>
      </c>
      <c r="K69" s="25">
        <v>625.31400000000008</v>
      </c>
      <c r="L69" s="25">
        <v>571</v>
      </c>
      <c r="M69" s="25">
        <v>571</v>
      </c>
      <c r="N69" s="26">
        <v>638.20000000000005</v>
      </c>
      <c r="O69" s="27">
        <v>598.09999999999991</v>
      </c>
      <c r="P69" s="27">
        <v>628.9</v>
      </c>
      <c r="Q69" s="28">
        <f t="shared" si="65"/>
        <v>628.9</v>
      </c>
      <c r="R69" s="29">
        <f t="shared" si="65"/>
        <v>628.9</v>
      </c>
      <c r="S69" s="29"/>
      <c r="T69" s="29">
        <f t="shared" si="80"/>
        <v>0</v>
      </c>
      <c r="U69" s="29">
        <f>Q69/Q3*100</f>
        <v>4.6330538816283839</v>
      </c>
      <c r="V69" s="29">
        <f t="shared" si="52"/>
        <v>200.79999999999998</v>
      </c>
      <c r="W69" s="29">
        <f t="shared" si="52"/>
        <v>200.79999999999998</v>
      </c>
      <c r="X69" s="29">
        <f t="shared" si="52"/>
        <v>0</v>
      </c>
      <c r="Y69" s="29">
        <f>V69/V3*100</f>
        <v>5.8965172960591987</v>
      </c>
      <c r="Z69" s="39">
        <v>69.7</v>
      </c>
      <c r="AA69" s="39">
        <v>69.7</v>
      </c>
      <c r="AB69" s="40">
        <v>0</v>
      </c>
      <c r="AC69" s="39">
        <v>62.5</v>
      </c>
      <c r="AD69" s="39">
        <v>62.5</v>
      </c>
      <c r="AE69" s="40"/>
      <c r="AF69" s="39">
        <v>68.599999999999994</v>
      </c>
      <c r="AG69" s="39">
        <v>68.599999999999994</v>
      </c>
      <c r="AH69" s="40"/>
      <c r="AI69" s="29">
        <f t="shared" si="54"/>
        <v>73.599999999999994</v>
      </c>
      <c r="AJ69" s="30">
        <f t="shared" si="54"/>
        <v>73.599999999999994</v>
      </c>
      <c r="AK69" s="30">
        <f t="shared" si="54"/>
        <v>0</v>
      </c>
      <c r="AL69" s="29">
        <f>AI69/AI3*100</f>
        <v>2.8336028336028338</v>
      </c>
      <c r="AM69" s="39">
        <v>56.9</v>
      </c>
      <c r="AN69" s="39">
        <v>56.9</v>
      </c>
      <c r="AO69" s="41"/>
      <c r="AP69" s="39">
        <v>16.7</v>
      </c>
      <c r="AQ69" s="39">
        <v>16.7</v>
      </c>
      <c r="AR69" s="40"/>
      <c r="AS69" s="39">
        <v>0</v>
      </c>
      <c r="AT69" s="39">
        <v>0</v>
      </c>
      <c r="AU69" s="40"/>
      <c r="AV69" s="29">
        <f t="shared" si="56"/>
        <v>156.60000000000002</v>
      </c>
      <c r="AW69" s="30">
        <f t="shared" si="56"/>
        <v>156.60000000000002</v>
      </c>
      <c r="AX69" s="30">
        <f t="shared" si="56"/>
        <v>0</v>
      </c>
      <c r="AY69" s="29">
        <f>AV69/AV3*100</f>
        <v>4.2255801403130064</v>
      </c>
      <c r="AZ69" s="39">
        <v>37.1</v>
      </c>
      <c r="BA69" s="39">
        <v>37.1</v>
      </c>
      <c r="BB69" s="40"/>
      <c r="BC69" s="39">
        <v>60.7</v>
      </c>
      <c r="BD69" s="39">
        <v>60.7</v>
      </c>
      <c r="BE69" s="40"/>
      <c r="BF69" s="39">
        <v>58.8</v>
      </c>
      <c r="BG69" s="39">
        <v>58.8</v>
      </c>
      <c r="BH69" s="40"/>
      <c r="BI69" s="29">
        <f t="shared" si="58"/>
        <v>197.89999999999998</v>
      </c>
      <c r="BJ69" s="30">
        <f t="shared" si="58"/>
        <v>197.89999999999998</v>
      </c>
      <c r="BK69" s="30">
        <f t="shared" si="58"/>
        <v>0</v>
      </c>
      <c r="BL69" s="29">
        <f>BI69/BI3*100</f>
        <v>5.1197806177885861</v>
      </c>
      <c r="BM69" s="42">
        <v>60.8</v>
      </c>
      <c r="BN69" s="39">
        <v>60.8</v>
      </c>
      <c r="BO69" s="40"/>
      <c r="BP69" s="39">
        <v>67.400000000000006</v>
      </c>
      <c r="BQ69" s="39">
        <v>67.400000000000006</v>
      </c>
      <c r="BR69" s="40"/>
      <c r="BS69" s="39">
        <v>69.7</v>
      </c>
      <c r="BT69" s="39">
        <v>69.7</v>
      </c>
      <c r="BU69" s="43"/>
      <c r="BV69" s="36">
        <v>736</v>
      </c>
      <c r="BW69" s="27">
        <v>536.5</v>
      </c>
      <c r="BX69" s="39">
        <v>436.4</v>
      </c>
      <c r="BY69" s="27">
        <v>621.5</v>
      </c>
      <c r="BZ69" s="39">
        <v>613.29999999999995</v>
      </c>
      <c r="CA69" s="37" t="b">
        <f t="shared" si="60"/>
        <v>1</v>
      </c>
      <c r="CB69" s="37" t="b">
        <f t="shared" si="60"/>
        <v>1</v>
      </c>
      <c r="CC69" s="37" t="b">
        <f t="shared" si="81"/>
        <v>1</v>
      </c>
      <c r="CD69" s="38">
        <v>185.9</v>
      </c>
      <c r="CE69" s="38">
        <f t="shared" si="82"/>
        <v>-443</v>
      </c>
      <c r="CF69" s="38"/>
      <c r="CG69" s="38">
        <f t="shared" si="83"/>
        <v>0</v>
      </c>
      <c r="CH69" s="40"/>
    </row>
    <row r="70" spans="1:86" ht="18.75" x14ac:dyDescent="0.3">
      <c r="A70" s="48" t="s">
        <v>135</v>
      </c>
      <c r="B70" s="143" t="s">
        <v>136</v>
      </c>
      <c r="C70" s="216" t="s">
        <v>216</v>
      </c>
      <c r="D70" s="63" t="s">
        <v>46</v>
      </c>
      <c r="E70" s="23">
        <v>288.26099999999997</v>
      </c>
      <c r="F70" s="23">
        <v>367.4</v>
      </c>
      <c r="G70" s="23">
        <v>355.3</v>
      </c>
      <c r="H70" s="23"/>
      <c r="I70" s="24">
        <v>295.2</v>
      </c>
      <c r="J70" s="25">
        <v>306.77</v>
      </c>
      <c r="K70" s="25">
        <v>303.04999999999995</v>
      </c>
      <c r="L70" s="25">
        <v>297.60000000000002</v>
      </c>
      <c r="M70" s="25">
        <v>297.60000000000002</v>
      </c>
      <c r="N70" s="26">
        <v>341.1</v>
      </c>
      <c r="O70" s="27">
        <v>320.60000000000002</v>
      </c>
      <c r="P70" s="27">
        <v>336.5</v>
      </c>
      <c r="Q70" s="28">
        <f t="shared" si="65"/>
        <v>336.5</v>
      </c>
      <c r="R70" s="29">
        <f t="shared" si="65"/>
        <v>336.5</v>
      </c>
      <c r="S70" s="29"/>
      <c r="T70" s="29">
        <f t="shared" si="80"/>
        <v>0</v>
      </c>
      <c r="U70" s="29">
        <f>Q70/Q3*100</f>
        <v>2.4789674529622374</v>
      </c>
      <c r="V70" s="29">
        <f t="shared" si="52"/>
        <v>100.8</v>
      </c>
      <c r="W70" s="29">
        <f t="shared" si="52"/>
        <v>100.8</v>
      </c>
      <c r="X70" s="29">
        <f t="shared" si="52"/>
        <v>0</v>
      </c>
      <c r="Y70" s="29">
        <f>V70/V3*100</f>
        <v>2.960004698420156</v>
      </c>
      <c r="Z70" s="39">
        <v>34.200000000000003</v>
      </c>
      <c r="AA70" s="39">
        <v>34.200000000000003</v>
      </c>
      <c r="AB70" s="40">
        <v>0</v>
      </c>
      <c r="AC70" s="39">
        <v>31.3</v>
      </c>
      <c r="AD70" s="39">
        <v>31.3</v>
      </c>
      <c r="AE70" s="40"/>
      <c r="AF70" s="39">
        <v>35.299999999999997</v>
      </c>
      <c r="AG70" s="39">
        <v>35.299999999999997</v>
      </c>
      <c r="AH70" s="40"/>
      <c r="AI70" s="29">
        <f t="shared" si="54"/>
        <v>44.900000000000006</v>
      </c>
      <c r="AJ70" s="30">
        <f t="shared" si="54"/>
        <v>44.900000000000006</v>
      </c>
      <c r="AK70" s="30">
        <f t="shared" si="54"/>
        <v>0</v>
      </c>
      <c r="AL70" s="29">
        <f>AI70/AI3*100</f>
        <v>1.7286517286517291</v>
      </c>
      <c r="AM70" s="39">
        <v>34.6</v>
      </c>
      <c r="AN70" s="39">
        <v>34.6</v>
      </c>
      <c r="AO70" s="41"/>
      <c r="AP70" s="39">
        <v>10.3</v>
      </c>
      <c r="AQ70" s="39">
        <v>10.3</v>
      </c>
      <c r="AR70" s="40"/>
      <c r="AS70" s="39">
        <v>0</v>
      </c>
      <c r="AT70" s="39">
        <v>0</v>
      </c>
      <c r="AU70" s="40"/>
      <c r="AV70" s="29">
        <f t="shared" si="56"/>
        <v>89.7</v>
      </c>
      <c r="AW70" s="30">
        <f t="shared" si="56"/>
        <v>89.7</v>
      </c>
      <c r="AX70" s="30">
        <f t="shared" si="56"/>
        <v>0</v>
      </c>
      <c r="AY70" s="29">
        <f>AV70/AV3*100</f>
        <v>2.4203993524015113</v>
      </c>
      <c r="AZ70" s="39">
        <v>23.2</v>
      </c>
      <c r="BA70" s="39">
        <v>23.2</v>
      </c>
      <c r="BB70" s="40"/>
      <c r="BC70" s="39">
        <v>33.799999999999997</v>
      </c>
      <c r="BD70" s="39">
        <v>33.799999999999997</v>
      </c>
      <c r="BE70" s="40"/>
      <c r="BF70" s="39">
        <v>32.700000000000003</v>
      </c>
      <c r="BG70" s="39">
        <v>32.700000000000003</v>
      </c>
      <c r="BH70" s="40"/>
      <c r="BI70" s="29">
        <f t="shared" si="58"/>
        <v>101.10000000000001</v>
      </c>
      <c r="BJ70" s="30">
        <f t="shared" si="58"/>
        <v>101.10000000000001</v>
      </c>
      <c r="BK70" s="30">
        <f t="shared" si="58"/>
        <v>0</v>
      </c>
      <c r="BL70" s="29">
        <f>BI70/BI3*100</f>
        <v>2.6155119780617793</v>
      </c>
      <c r="BM70" s="42">
        <v>33.799999999999997</v>
      </c>
      <c r="BN70" s="39">
        <v>33.799999999999997</v>
      </c>
      <c r="BO70" s="40"/>
      <c r="BP70" s="39">
        <v>33.1</v>
      </c>
      <c r="BQ70" s="39">
        <v>33.1</v>
      </c>
      <c r="BR70" s="40"/>
      <c r="BS70" s="39">
        <v>34.200000000000003</v>
      </c>
      <c r="BT70" s="39">
        <v>34.200000000000003</v>
      </c>
      <c r="BU70" s="43"/>
      <c r="BV70" s="36">
        <v>396.1</v>
      </c>
      <c r="BW70" s="27">
        <v>283.5</v>
      </c>
      <c r="BX70" s="39">
        <v>231.8</v>
      </c>
      <c r="BY70" s="27">
        <v>332.4</v>
      </c>
      <c r="BZ70" s="39">
        <v>330.8</v>
      </c>
      <c r="CA70" s="37" t="b">
        <f t="shared" si="60"/>
        <v>1</v>
      </c>
      <c r="CB70" s="37" t="b">
        <f t="shared" si="60"/>
        <v>1</v>
      </c>
      <c r="CC70" s="37" t="b">
        <f t="shared" si="81"/>
        <v>1</v>
      </c>
      <c r="CD70" s="38">
        <v>204.4</v>
      </c>
      <c r="CE70" s="38">
        <f t="shared" si="82"/>
        <v>-132.1</v>
      </c>
      <c r="CF70" s="38"/>
      <c r="CG70" s="38">
        <f t="shared" si="83"/>
        <v>0</v>
      </c>
      <c r="CH70" s="40"/>
    </row>
    <row r="71" spans="1:86" ht="18.75" x14ac:dyDescent="0.25">
      <c r="A71" s="230" t="s">
        <v>137</v>
      </c>
      <c r="B71" s="237" t="s">
        <v>138</v>
      </c>
      <c r="C71" s="216" t="s">
        <v>217</v>
      </c>
      <c r="D71" s="63" t="s">
        <v>46</v>
      </c>
      <c r="E71" s="23">
        <v>134.43100000000001</v>
      </c>
      <c r="F71" s="23">
        <v>186.8</v>
      </c>
      <c r="G71" s="23">
        <v>202.9</v>
      </c>
      <c r="H71" s="23"/>
      <c r="I71" s="24">
        <v>129.4</v>
      </c>
      <c r="J71" s="25">
        <v>116.417</v>
      </c>
      <c r="K71" s="25">
        <v>94.835999999999999</v>
      </c>
      <c r="L71" s="25">
        <v>148.89999999999998</v>
      </c>
      <c r="M71" s="25">
        <v>148.30000000000001</v>
      </c>
      <c r="N71" s="26">
        <v>176.6</v>
      </c>
      <c r="O71" s="27">
        <v>192.1</v>
      </c>
      <c r="P71" s="27">
        <v>205.7</v>
      </c>
      <c r="Q71" s="28">
        <f t="shared" si="65"/>
        <v>205.7</v>
      </c>
      <c r="R71" s="29">
        <f t="shared" si="65"/>
        <v>205.7</v>
      </c>
      <c r="S71" s="29"/>
      <c r="T71" s="29">
        <f t="shared" si="80"/>
        <v>0</v>
      </c>
      <c r="U71" s="29">
        <f>Q71/Q3*100</f>
        <v>1.5153747550500214</v>
      </c>
      <c r="V71" s="29">
        <f t="shared" si="52"/>
        <v>59</v>
      </c>
      <c r="W71" s="29">
        <f t="shared" si="52"/>
        <v>59</v>
      </c>
      <c r="X71" s="29">
        <f t="shared" si="52"/>
        <v>0</v>
      </c>
      <c r="Y71" s="29">
        <f>V71/V3*100</f>
        <v>1.7325424326070358</v>
      </c>
      <c r="Z71" s="39">
        <v>20.100000000000001</v>
      </c>
      <c r="AA71" s="39">
        <v>20.100000000000001</v>
      </c>
      <c r="AB71" s="40">
        <v>0</v>
      </c>
      <c r="AC71" s="39">
        <v>18.5</v>
      </c>
      <c r="AD71" s="39">
        <v>18.5</v>
      </c>
      <c r="AE71" s="40"/>
      <c r="AF71" s="39">
        <v>20.399999999999999</v>
      </c>
      <c r="AG71" s="39">
        <v>20.399999999999999</v>
      </c>
      <c r="AH71" s="40"/>
      <c r="AI71" s="29">
        <f t="shared" si="54"/>
        <v>25.6</v>
      </c>
      <c r="AJ71" s="30">
        <f t="shared" si="54"/>
        <v>25.6</v>
      </c>
      <c r="AK71" s="30">
        <f t="shared" si="54"/>
        <v>0</v>
      </c>
      <c r="AL71" s="29">
        <f>AI71/AI3*100</f>
        <v>0.98560098560098575</v>
      </c>
      <c r="AM71" s="39">
        <v>20.3</v>
      </c>
      <c r="AN71" s="39">
        <v>20.3</v>
      </c>
      <c r="AO71" s="41"/>
      <c r="AP71" s="39">
        <v>5.3</v>
      </c>
      <c r="AQ71" s="39">
        <v>5.3</v>
      </c>
      <c r="AR71" s="40"/>
      <c r="AS71" s="39">
        <v>0</v>
      </c>
      <c r="AT71" s="39">
        <v>0</v>
      </c>
      <c r="AU71" s="40"/>
      <c r="AV71" s="29">
        <f t="shared" si="56"/>
        <v>58.3</v>
      </c>
      <c r="AW71" s="30">
        <f t="shared" si="56"/>
        <v>58.3</v>
      </c>
      <c r="AX71" s="30">
        <f t="shared" si="56"/>
        <v>0</v>
      </c>
      <c r="AY71" s="29">
        <f>AV71/AV3*100</f>
        <v>1.5731246627091202</v>
      </c>
      <c r="AZ71" s="39">
        <v>16.899999999999999</v>
      </c>
      <c r="BA71" s="39">
        <v>16.899999999999999</v>
      </c>
      <c r="BB71" s="40"/>
      <c r="BC71" s="39">
        <v>20.6</v>
      </c>
      <c r="BD71" s="39">
        <v>20.6</v>
      </c>
      <c r="BE71" s="40"/>
      <c r="BF71" s="39">
        <v>20.8</v>
      </c>
      <c r="BG71" s="39">
        <v>20.8</v>
      </c>
      <c r="BH71" s="40"/>
      <c r="BI71" s="29">
        <f t="shared" si="58"/>
        <v>62.8</v>
      </c>
      <c r="BJ71" s="30">
        <f t="shared" si="58"/>
        <v>62.8</v>
      </c>
      <c r="BK71" s="30">
        <f t="shared" si="58"/>
        <v>0</v>
      </c>
      <c r="BL71" s="29">
        <f>BI71/BI3*100</f>
        <v>1.6246701505665651</v>
      </c>
      <c r="BM71" s="42">
        <v>21.3</v>
      </c>
      <c r="BN71" s="39">
        <v>21.3</v>
      </c>
      <c r="BO71" s="40"/>
      <c r="BP71" s="39">
        <v>20.8</v>
      </c>
      <c r="BQ71" s="39">
        <v>20.8</v>
      </c>
      <c r="BR71" s="40"/>
      <c r="BS71" s="39">
        <v>20.7</v>
      </c>
      <c r="BT71" s="39">
        <v>20.7</v>
      </c>
      <c r="BU71" s="43"/>
      <c r="BV71" s="36">
        <v>218.4</v>
      </c>
      <c r="BW71" s="27">
        <v>171.3</v>
      </c>
      <c r="BX71" s="39">
        <v>135.30000000000001</v>
      </c>
      <c r="BY71" s="27">
        <v>199.8</v>
      </c>
      <c r="BZ71" s="39">
        <v>194.5</v>
      </c>
      <c r="CA71" s="37" t="b">
        <f t="shared" si="60"/>
        <v>1</v>
      </c>
      <c r="CB71" s="37" t="b">
        <f t="shared" si="60"/>
        <v>1</v>
      </c>
      <c r="CC71" s="37" t="b">
        <f t="shared" si="81"/>
        <v>1</v>
      </c>
      <c r="CD71" s="38">
        <v>160.4</v>
      </c>
      <c r="CE71" s="38">
        <f t="shared" si="82"/>
        <v>-45.299999999999983</v>
      </c>
      <c r="CF71" s="38"/>
      <c r="CG71" s="38">
        <f t="shared" si="83"/>
        <v>0</v>
      </c>
      <c r="CH71" s="40"/>
    </row>
    <row r="72" spans="1:86" ht="18.75" x14ac:dyDescent="0.25">
      <c r="A72" s="230"/>
      <c r="B72" s="237"/>
      <c r="C72" s="210" t="s">
        <v>218</v>
      </c>
      <c r="D72" s="44" t="s">
        <v>49</v>
      </c>
      <c r="E72" s="45">
        <v>147.96499999999997</v>
      </c>
      <c r="F72" s="45">
        <v>205.7</v>
      </c>
      <c r="G72" s="45">
        <v>219.6</v>
      </c>
      <c r="H72" s="45"/>
      <c r="I72" s="46">
        <v>142.19999999999999</v>
      </c>
      <c r="J72" s="47">
        <v>129.58699999999999</v>
      </c>
      <c r="K72" s="47">
        <v>108.301</v>
      </c>
      <c r="L72" s="47">
        <v>162.4</v>
      </c>
      <c r="M72" s="47">
        <v>161.69999999999999</v>
      </c>
      <c r="N72" s="26">
        <v>192.5</v>
      </c>
      <c r="O72" s="27">
        <v>220.79999999999998</v>
      </c>
      <c r="P72" s="27">
        <v>236.40000000000003</v>
      </c>
      <c r="Q72" s="28">
        <f t="shared" si="65"/>
        <v>236.40000000000003</v>
      </c>
      <c r="R72" s="29">
        <f t="shared" si="65"/>
        <v>236.40000000000003</v>
      </c>
      <c r="S72" s="29"/>
      <c r="T72" s="29">
        <f t="shared" si="80"/>
        <v>0</v>
      </c>
      <c r="U72" s="29"/>
      <c r="V72" s="29">
        <f t="shared" si="52"/>
        <v>67.800000000000011</v>
      </c>
      <c r="W72" s="29">
        <f t="shared" si="52"/>
        <v>67.800000000000011</v>
      </c>
      <c r="X72" s="29">
        <f t="shared" si="52"/>
        <v>0</v>
      </c>
      <c r="Y72" s="29"/>
      <c r="Z72" s="39">
        <v>23.1</v>
      </c>
      <c r="AA72" s="39">
        <v>23.1</v>
      </c>
      <c r="AB72" s="40">
        <v>0</v>
      </c>
      <c r="AC72" s="39">
        <v>21.3</v>
      </c>
      <c r="AD72" s="39">
        <v>21.3</v>
      </c>
      <c r="AE72" s="40"/>
      <c r="AF72" s="39">
        <v>23.4</v>
      </c>
      <c r="AG72" s="39">
        <v>23.4</v>
      </c>
      <c r="AH72" s="40"/>
      <c r="AI72" s="29">
        <f t="shared" si="54"/>
        <v>29.4</v>
      </c>
      <c r="AJ72" s="30">
        <f t="shared" si="54"/>
        <v>29.4</v>
      </c>
      <c r="AK72" s="30">
        <f t="shared" si="54"/>
        <v>0</v>
      </c>
      <c r="AL72" s="29"/>
      <c r="AM72" s="39">
        <v>23.3</v>
      </c>
      <c r="AN72" s="39">
        <v>23.3</v>
      </c>
      <c r="AO72" s="41"/>
      <c r="AP72" s="39">
        <v>6.1</v>
      </c>
      <c r="AQ72" s="39">
        <v>6.1</v>
      </c>
      <c r="AR72" s="40"/>
      <c r="AS72" s="39">
        <v>0</v>
      </c>
      <c r="AT72" s="39">
        <v>0</v>
      </c>
      <c r="AU72" s="40"/>
      <c r="AV72" s="29">
        <f t="shared" si="56"/>
        <v>66.899999999999991</v>
      </c>
      <c r="AW72" s="30">
        <f t="shared" si="56"/>
        <v>66.899999999999991</v>
      </c>
      <c r="AX72" s="30">
        <f t="shared" si="56"/>
        <v>0</v>
      </c>
      <c r="AY72" s="29"/>
      <c r="AZ72" s="39">
        <v>19.399999999999999</v>
      </c>
      <c r="BA72" s="39">
        <v>19.399999999999999</v>
      </c>
      <c r="BB72" s="40"/>
      <c r="BC72" s="39">
        <v>23.7</v>
      </c>
      <c r="BD72" s="39">
        <v>23.7</v>
      </c>
      <c r="BE72" s="40"/>
      <c r="BF72" s="39">
        <v>23.8</v>
      </c>
      <c r="BG72" s="39">
        <v>23.8</v>
      </c>
      <c r="BH72" s="40"/>
      <c r="BI72" s="29">
        <f t="shared" si="58"/>
        <v>72.3</v>
      </c>
      <c r="BJ72" s="30">
        <f t="shared" si="58"/>
        <v>72.3</v>
      </c>
      <c r="BK72" s="30">
        <f t="shared" si="58"/>
        <v>0</v>
      </c>
      <c r="BL72" s="29"/>
      <c r="BM72" s="42">
        <v>24.5</v>
      </c>
      <c r="BN72" s="39">
        <v>24.5</v>
      </c>
      <c r="BO72" s="40"/>
      <c r="BP72" s="39">
        <v>23.9</v>
      </c>
      <c r="BQ72" s="39">
        <v>23.9</v>
      </c>
      <c r="BR72" s="40"/>
      <c r="BS72" s="39">
        <v>23.9</v>
      </c>
      <c r="BT72" s="39">
        <v>23.9</v>
      </c>
      <c r="BU72" s="43"/>
      <c r="BV72" s="36">
        <v>238.2</v>
      </c>
      <c r="BW72" s="27">
        <v>196.9</v>
      </c>
      <c r="BX72" s="39">
        <v>155.49999999999997</v>
      </c>
      <c r="BY72" s="27">
        <v>229.6</v>
      </c>
      <c r="BZ72" s="39">
        <v>223.6</v>
      </c>
      <c r="CA72" s="37" t="b">
        <f t="shared" si="60"/>
        <v>1</v>
      </c>
      <c r="CB72" s="37" t="b">
        <f t="shared" si="60"/>
        <v>1</v>
      </c>
      <c r="CC72" s="37" t="b">
        <f t="shared" si="81"/>
        <v>1</v>
      </c>
      <c r="CD72" s="38">
        <v>185.1</v>
      </c>
      <c r="CE72" s="38">
        <f t="shared" si="82"/>
        <v>-51.30000000000004</v>
      </c>
      <c r="CF72" s="38"/>
      <c r="CG72" s="38">
        <f t="shared" si="83"/>
        <v>0</v>
      </c>
      <c r="CH72" s="40"/>
    </row>
    <row r="73" spans="1:86" ht="39" x14ac:dyDescent="0.35">
      <c r="A73" s="48" t="s">
        <v>139</v>
      </c>
      <c r="B73" s="185" t="s">
        <v>149</v>
      </c>
      <c r="C73" s="213" t="s">
        <v>219</v>
      </c>
      <c r="D73" s="101" t="s">
        <v>46</v>
      </c>
      <c r="E73" s="102">
        <v>68.663999999999987</v>
      </c>
      <c r="F73" s="102">
        <v>0</v>
      </c>
      <c r="G73" s="102">
        <v>0</v>
      </c>
      <c r="H73" s="102"/>
      <c r="I73" s="103">
        <v>0</v>
      </c>
      <c r="J73" s="104">
        <v>31.088000000000001</v>
      </c>
      <c r="K73" s="104">
        <v>43.790000000000006</v>
      </c>
      <c r="L73" s="104">
        <v>0</v>
      </c>
      <c r="M73" s="104">
        <v>0</v>
      </c>
      <c r="N73" s="105">
        <v>0</v>
      </c>
      <c r="O73" s="27">
        <v>0</v>
      </c>
      <c r="P73" s="27">
        <v>0</v>
      </c>
      <c r="Q73" s="28">
        <f t="shared" si="65"/>
        <v>0</v>
      </c>
      <c r="R73" s="29">
        <f t="shared" si="65"/>
        <v>0</v>
      </c>
      <c r="S73" s="29"/>
      <c r="T73" s="29">
        <f t="shared" si="80"/>
        <v>0</v>
      </c>
      <c r="U73" s="29"/>
      <c r="V73" s="29">
        <f t="shared" si="52"/>
        <v>0</v>
      </c>
      <c r="W73" s="29">
        <f t="shared" si="52"/>
        <v>0</v>
      </c>
      <c r="X73" s="29">
        <f t="shared" si="52"/>
        <v>0</v>
      </c>
      <c r="Y73" s="29"/>
      <c r="Z73" s="39">
        <v>0</v>
      </c>
      <c r="AA73" s="39">
        <v>0</v>
      </c>
      <c r="AB73" s="186">
        <v>0</v>
      </c>
      <c r="AC73" s="39">
        <v>0</v>
      </c>
      <c r="AD73" s="39">
        <v>0</v>
      </c>
      <c r="AE73" s="186"/>
      <c r="AF73" s="39">
        <v>0</v>
      </c>
      <c r="AG73" s="39">
        <v>0</v>
      </c>
      <c r="AH73" s="186"/>
      <c r="AI73" s="29">
        <f t="shared" si="54"/>
        <v>0</v>
      </c>
      <c r="AJ73" s="30">
        <f t="shared" si="54"/>
        <v>0</v>
      </c>
      <c r="AK73" s="30">
        <f t="shared" si="54"/>
        <v>0</v>
      </c>
      <c r="AL73" s="29"/>
      <c r="AM73" s="39">
        <v>0</v>
      </c>
      <c r="AN73" s="39">
        <v>0</v>
      </c>
      <c r="AO73" s="41"/>
      <c r="AP73" s="39">
        <v>0</v>
      </c>
      <c r="AQ73" s="39">
        <v>0</v>
      </c>
      <c r="AR73" s="40"/>
      <c r="AS73" s="39">
        <v>0</v>
      </c>
      <c r="AT73" s="39">
        <v>0</v>
      </c>
      <c r="AU73" s="40"/>
      <c r="AV73" s="29">
        <f t="shared" si="56"/>
        <v>0</v>
      </c>
      <c r="AW73" s="30">
        <f t="shared" si="56"/>
        <v>0</v>
      </c>
      <c r="AX73" s="30">
        <f t="shared" si="56"/>
        <v>0</v>
      </c>
      <c r="AY73" s="29"/>
      <c r="AZ73" s="39">
        <v>0</v>
      </c>
      <c r="BA73" s="39">
        <v>0</v>
      </c>
      <c r="BB73" s="40"/>
      <c r="BC73" s="39">
        <v>0</v>
      </c>
      <c r="BD73" s="39">
        <v>0</v>
      </c>
      <c r="BE73" s="40"/>
      <c r="BF73" s="39">
        <v>0</v>
      </c>
      <c r="BG73" s="39">
        <v>0</v>
      </c>
      <c r="BH73" s="40"/>
      <c r="BI73" s="29">
        <f t="shared" si="58"/>
        <v>0</v>
      </c>
      <c r="BJ73" s="30">
        <f t="shared" si="58"/>
        <v>0</v>
      </c>
      <c r="BK73" s="30">
        <f t="shared" si="58"/>
        <v>0</v>
      </c>
      <c r="BL73" s="29"/>
      <c r="BM73" s="42">
        <v>0</v>
      </c>
      <c r="BN73" s="39">
        <v>0</v>
      </c>
      <c r="BO73" s="40"/>
      <c r="BP73" s="39">
        <v>0</v>
      </c>
      <c r="BQ73" s="39">
        <v>0</v>
      </c>
      <c r="BR73" s="40"/>
      <c r="BS73" s="39">
        <v>0</v>
      </c>
      <c r="BT73" s="39">
        <v>0</v>
      </c>
      <c r="BU73" s="43"/>
      <c r="BV73" s="36">
        <v>0</v>
      </c>
      <c r="BW73" s="27">
        <v>0</v>
      </c>
      <c r="BX73" s="39">
        <v>0</v>
      </c>
      <c r="BY73" s="27">
        <v>0</v>
      </c>
      <c r="BZ73" s="39">
        <v>0</v>
      </c>
      <c r="CA73" s="37" t="b">
        <f t="shared" si="60"/>
        <v>1</v>
      </c>
      <c r="CB73" s="37" t="b">
        <f t="shared" si="60"/>
        <v>1</v>
      </c>
      <c r="CC73" s="37" t="b">
        <f t="shared" si="81"/>
        <v>1</v>
      </c>
      <c r="CD73" s="38"/>
      <c r="CE73" s="38">
        <f t="shared" si="82"/>
        <v>0</v>
      </c>
      <c r="CF73" s="38"/>
      <c r="CG73" s="38">
        <f t="shared" si="83"/>
        <v>0</v>
      </c>
      <c r="CH73" s="40"/>
    </row>
    <row r="74" spans="1:86" ht="39" x14ac:dyDescent="0.35">
      <c r="A74" s="48"/>
      <c r="B74" s="185" t="s">
        <v>140</v>
      </c>
      <c r="C74" s="213" t="s">
        <v>220</v>
      </c>
      <c r="D74" s="101" t="s">
        <v>46</v>
      </c>
      <c r="E74" s="102">
        <v>68.778000000000006</v>
      </c>
      <c r="F74" s="102"/>
      <c r="G74" s="102"/>
      <c r="H74" s="102"/>
      <c r="I74" s="103"/>
      <c r="J74" s="104">
        <v>43.152999999999999</v>
      </c>
      <c r="K74" s="104">
        <v>54.781999999999996</v>
      </c>
      <c r="L74" s="104">
        <v>0</v>
      </c>
      <c r="M74" s="104">
        <v>0</v>
      </c>
      <c r="N74" s="105">
        <v>0</v>
      </c>
      <c r="O74" s="27">
        <v>0</v>
      </c>
      <c r="P74" s="27">
        <v>0</v>
      </c>
      <c r="Q74" s="28">
        <f t="shared" si="65"/>
        <v>0</v>
      </c>
      <c r="R74" s="29">
        <f t="shared" si="65"/>
        <v>0</v>
      </c>
      <c r="S74" s="29"/>
      <c r="T74" s="29">
        <f t="shared" si="80"/>
        <v>0</v>
      </c>
      <c r="U74" s="29"/>
      <c r="V74" s="29">
        <f t="shared" si="52"/>
        <v>0</v>
      </c>
      <c r="W74" s="29">
        <f t="shared" si="52"/>
        <v>0</v>
      </c>
      <c r="X74" s="29">
        <f t="shared" si="52"/>
        <v>0</v>
      </c>
      <c r="Y74" s="29"/>
      <c r="Z74" s="39">
        <v>0</v>
      </c>
      <c r="AA74" s="39">
        <v>0</v>
      </c>
      <c r="AB74" s="186">
        <v>0</v>
      </c>
      <c r="AC74" s="39">
        <v>0</v>
      </c>
      <c r="AD74" s="39">
        <v>0</v>
      </c>
      <c r="AE74" s="186"/>
      <c r="AF74" s="39">
        <v>0</v>
      </c>
      <c r="AG74" s="39">
        <v>0</v>
      </c>
      <c r="AH74" s="186"/>
      <c r="AI74" s="29">
        <f t="shared" si="54"/>
        <v>0</v>
      </c>
      <c r="AJ74" s="30">
        <f t="shared" si="54"/>
        <v>0</v>
      </c>
      <c r="AK74" s="30">
        <f t="shared" si="54"/>
        <v>0</v>
      </c>
      <c r="AL74" s="29"/>
      <c r="AM74" s="39">
        <v>0</v>
      </c>
      <c r="AN74" s="39">
        <v>0</v>
      </c>
      <c r="AO74" s="41"/>
      <c r="AP74" s="39">
        <v>0</v>
      </c>
      <c r="AQ74" s="39">
        <v>0</v>
      </c>
      <c r="AR74" s="40"/>
      <c r="AS74" s="39">
        <v>0</v>
      </c>
      <c r="AT74" s="39">
        <v>0</v>
      </c>
      <c r="AU74" s="40"/>
      <c r="AV74" s="29">
        <f t="shared" si="56"/>
        <v>0</v>
      </c>
      <c r="AW74" s="30">
        <f t="shared" si="56"/>
        <v>0</v>
      </c>
      <c r="AX74" s="30">
        <f t="shared" si="56"/>
        <v>0</v>
      </c>
      <c r="AY74" s="29"/>
      <c r="AZ74" s="39">
        <v>0</v>
      </c>
      <c r="BA74" s="39">
        <v>0</v>
      </c>
      <c r="BB74" s="40"/>
      <c r="BC74" s="39">
        <v>0</v>
      </c>
      <c r="BD74" s="39">
        <v>0</v>
      </c>
      <c r="BE74" s="40"/>
      <c r="BF74" s="39">
        <v>0</v>
      </c>
      <c r="BG74" s="39">
        <v>0</v>
      </c>
      <c r="BH74" s="40"/>
      <c r="BI74" s="29">
        <f t="shared" si="58"/>
        <v>0</v>
      </c>
      <c r="BJ74" s="30">
        <f t="shared" si="58"/>
        <v>0</v>
      </c>
      <c r="BK74" s="30">
        <f t="shared" si="58"/>
        <v>0</v>
      </c>
      <c r="BL74" s="29"/>
      <c r="BM74" s="42">
        <v>0</v>
      </c>
      <c r="BN74" s="39">
        <v>0</v>
      </c>
      <c r="BO74" s="40"/>
      <c r="BP74" s="39">
        <v>0</v>
      </c>
      <c r="BQ74" s="39">
        <v>0</v>
      </c>
      <c r="BR74" s="40"/>
      <c r="BS74" s="39">
        <v>0</v>
      </c>
      <c r="BT74" s="39">
        <v>0</v>
      </c>
      <c r="BU74" s="43"/>
      <c r="BV74" s="36">
        <v>0</v>
      </c>
      <c r="BW74" s="27">
        <v>0</v>
      </c>
      <c r="BX74" s="39">
        <v>0</v>
      </c>
      <c r="BY74" s="27">
        <v>0</v>
      </c>
      <c r="BZ74" s="39">
        <v>0</v>
      </c>
      <c r="CA74" s="37" t="b">
        <f t="shared" si="60"/>
        <v>1</v>
      </c>
      <c r="CB74" s="37" t="b">
        <f t="shared" si="60"/>
        <v>1</v>
      </c>
      <c r="CC74" s="37" t="b">
        <f t="shared" si="81"/>
        <v>1</v>
      </c>
      <c r="CD74" s="38"/>
      <c r="CE74" s="38">
        <f t="shared" si="82"/>
        <v>0</v>
      </c>
      <c r="CF74" s="38">
        <v>0</v>
      </c>
      <c r="CG74" s="38">
        <f t="shared" si="83"/>
        <v>0</v>
      </c>
      <c r="CH74" s="40"/>
    </row>
    <row r="75" spans="1:86" ht="19.5" x14ac:dyDescent="0.35">
      <c r="A75" s="48" t="s">
        <v>141</v>
      </c>
      <c r="B75" s="185" t="s">
        <v>142</v>
      </c>
      <c r="C75" s="213" t="s">
        <v>221</v>
      </c>
      <c r="D75" s="63"/>
      <c r="E75" s="1">
        <v>0</v>
      </c>
      <c r="F75" s="1">
        <v>0</v>
      </c>
      <c r="G75" s="1">
        <v>2.4E-2</v>
      </c>
      <c r="H75" s="1"/>
      <c r="I75" s="72"/>
      <c r="J75" s="73">
        <v>0</v>
      </c>
      <c r="K75" s="73"/>
      <c r="L75" s="73"/>
      <c r="M75" s="73"/>
      <c r="N75" s="74"/>
      <c r="O75" s="187"/>
      <c r="P75" s="187"/>
      <c r="Q75" s="28"/>
      <c r="R75" s="29"/>
      <c r="S75" s="29"/>
      <c r="T75" s="29"/>
      <c r="U75" s="188"/>
      <c r="V75" s="188"/>
      <c r="W75" s="188"/>
      <c r="X75" s="188"/>
      <c r="Y75" s="188"/>
      <c r="Z75" s="189"/>
      <c r="AA75" s="189"/>
      <c r="AB75" s="188"/>
      <c r="AC75" s="188"/>
      <c r="AD75" s="188"/>
      <c r="AE75" s="188"/>
      <c r="AF75" s="189"/>
      <c r="AG75" s="189"/>
      <c r="AH75" s="188"/>
      <c r="AI75" s="188"/>
      <c r="AJ75" s="188"/>
      <c r="AK75" s="188"/>
      <c r="AL75" s="188"/>
      <c r="AM75" s="189"/>
      <c r="AN75" s="189"/>
      <c r="AO75" s="188"/>
      <c r="AP75" s="188"/>
      <c r="AQ75" s="188"/>
      <c r="AR75" s="188"/>
      <c r="AS75" s="189"/>
      <c r="AT75" s="189"/>
      <c r="AU75" s="188"/>
      <c r="AV75" s="188"/>
      <c r="AW75" s="188"/>
      <c r="AX75" s="188"/>
      <c r="AY75" s="188"/>
      <c r="AZ75" s="189"/>
      <c r="BA75" s="189"/>
      <c r="BB75" s="188"/>
      <c r="BC75" s="188"/>
      <c r="BD75" s="188"/>
      <c r="BE75" s="188"/>
      <c r="BF75" s="189"/>
      <c r="BG75" s="189"/>
      <c r="BH75" s="188"/>
      <c r="BI75" s="188"/>
      <c r="BJ75" s="188"/>
      <c r="BK75" s="188"/>
      <c r="BL75" s="188"/>
      <c r="BM75" s="190"/>
      <c r="BN75" s="189"/>
      <c r="BO75" s="188"/>
      <c r="BP75" s="188"/>
      <c r="BQ75" s="188"/>
      <c r="BR75" s="188"/>
      <c r="BS75" s="189"/>
      <c r="BT75" s="189"/>
      <c r="BU75" s="191"/>
      <c r="BV75" s="192"/>
      <c r="BW75" s="187"/>
      <c r="BX75" s="188"/>
      <c r="BY75" s="187"/>
      <c r="BZ75" s="189"/>
      <c r="CA75" s="37" t="b">
        <f t="shared" si="60"/>
        <v>1</v>
      </c>
      <c r="CB75" s="37" t="b">
        <f t="shared" si="60"/>
        <v>1</v>
      </c>
      <c r="CC75" s="37" t="b">
        <f t="shared" si="81"/>
        <v>1</v>
      </c>
      <c r="CD75" s="193"/>
      <c r="CE75" s="38">
        <f t="shared" si="82"/>
        <v>0</v>
      </c>
      <c r="CF75" s="38"/>
      <c r="CG75" s="38">
        <f t="shared" si="83"/>
        <v>0</v>
      </c>
      <c r="CH75" s="188"/>
    </row>
    <row r="76" spans="1:86" ht="39" x14ac:dyDescent="0.35">
      <c r="A76" s="48"/>
      <c r="B76" s="146" t="s">
        <v>143</v>
      </c>
      <c r="C76" s="210" t="s">
        <v>222</v>
      </c>
      <c r="D76" s="63" t="s">
        <v>46</v>
      </c>
      <c r="E76" s="1"/>
      <c r="F76" s="1"/>
      <c r="G76" s="1"/>
      <c r="H76" s="1"/>
      <c r="I76" s="72">
        <v>0</v>
      </c>
      <c r="J76" s="73">
        <v>0</v>
      </c>
      <c r="K76" s="73">
        <v>0</v>
      </c>
      <c r="L76" s="73">
        <v>0</v>
      </c>
      <c r="M76" s="73"/>
      <c r="N76" s="74">
        <v>0</v>
      </c>
      <c r="O76" s="187">
        <v>0</v>
      </c>
      <c r="P76" s="187">
        <v>0</v>
      </c>
      <c r="Q76" s="194">
        <f t="shared" ref="Q76:BU76" si="84">Q3-Q7-Q9</f>
        <v>0</v>
      </c>
      <c r="R76" s="188">
        <f t="shared" si="84"/>
        <v>0</v>
      </c>
      <c r="S76" s="188"/>
      <c r="T76" s="188">
        <f t="shared" si="84"/>
        <v>0</v>
      </c>
      <c r="U76" s="188">
        <f t="shared" si="84"/>
        <v>0</v>
      </c>
      <c r="V76" s="188">
        <f t="shared" si="84"/>
        <v>0</v>
      </c>
      <c r="W76" s="188">
        <f t="shared" si="84"/>
        <v>0</v>
      </c>
      <c r="X76" s="188">
        <f t="shared" si="84"/>
        <v>0</v>
      </c>
      <c r="Y76" s="188">
        <f t="shared" si="84"/>
        <v>0</v>
      </c>
      <c r="Z76" s="189">
        <f t="shared" si="84"/>
        <v>0</v>
      </c>
      <c r="AA76" s="189">
        <f t="shared" si="84"/>
        <v>0</v>
      </c>
      <c r="AB76" s="188">
        <f t="shared" si="84"/>
        <v>0</v>
      </c>
      <c r="AC76" s="188">
        <f t="shared" si="84"/>
        <v>0</v>
      </c>
      <c r="AD76" s="188">
        <f t="shared" si="84"/>
        <v>0</v>
      </c>
      <c r="AE76" s="188">
        <f t="shared" si="84"/>
        <v>0</v>
      </c>
      <c r="AF76" s="189">
        <f t="shared" si="84"/>
        <v>0</v>
      </c>
      <c r="AG76" s="189">
        <f t="shared" si="84"/>
        <v>0</v>
      </c>
      <c r="AH76" s="188">
        <f t="shared" si="84"/>
        <v>0</v>
      </c>
      <c r="AI76" s="188">
        <f t="shared" si="84"/>
        <v>0</v>
      </c>
      <c r="AJ76" s="188">
        <f t="shared" si="84"/>
        <v>0</v>
      </c>
      <c r="AK76" s="188">
        <f t="shared" si="84"/>
        <v>0</v>
      </c>
      <c r="AL76" s="188">
        <f t="shared" si="84"/>
        <v>0</v>
      </c>
      <c r="AM76" s="189">
        <f t="shared" si="84"/>
        <v>0</v>
      </c>
      <c r="AN76" s="189">
        <f t="shared" si="84"/>
        <v>0</v>
      </c>
      <c r="AO76" s="188">
        <f t="shared" si="84"/>
        <v>0</v>
      </c>
      <c r="AP76" s="188">
        <f t="shared" si="84"/>
        <v>0</v>
      </c>
      <c r="AQ76" s="188">
        <f t="shared" si="84"/>
        <v>0</v>
      </c>
      <c r="AR76" s="188">
        <f t="shared" si="84"/>
        <v>0</v>
      </c>
      <c r="AS76" s="189">
        <f t="shared" si="84"/>
        <v>0</v>
      </c>
      <c r="AT76" s="189">
        <f t="shared" si="84"/>
        <v>0</v>
      </c>
      <c r="AU76" s="188">
        <f t="shared" si="84"/>
        <v>0</v>
      </c>
      <c r="AV76" s="188">
        <f t="shared" si="84"/>
        <v>0</v>
      </c>
      <c r="AW76" s="188">
        <f t="shared" si="84"/>
        <v>0</v>
      </c>
      <c r="AX76" s="188">
        <f t="shared" si="84"/>
        <v>0</v>
      </c>
      <c r="AY76" s="188">
        <f t="shared" si="84"/>
        <v>0</v>
      </c>
      <c r="AZ76" s="189">
        <f t="shared" si="84"/>
        <v>0</v>
      </c>
      <c r="BA76" s="189">
        <f t="shared" si="84"/>
        <v>0</v>
      </c>
      <c r="BB76" s="188">
        <f t="shared" si="84"/>
        <v>0</v>
      </c>
      <c r="BC76" s="188">
        <f t="shared" si="84"/>
        <v>0</v>
      </c>
      <c r="BD76" s="188">
        <f t="shared" si="84"/>
        <v>0</v>
      </c>
      <c r="BE76" s="188">
        <f t="shared" si="84"/>
        <v>0</v>
      </c>
      <c r="BF76" s="189">
        <f t="shared" si="84"/>
        <v>0</v>
      </c>
      <c r="BG76" s="189">
        <f t="shared" si="84"/>
        <v>0</v>
      </c>
      <c r="BH76" s="188">
        <f t="shared" si="84"/>
        <v>0</v>
      </c>
      <c r="BI76" s="188">
        <f t="shared" si="84"/>
        <v>0</v>
      </c>
      <c r="BJ76" s="188">
        <f t="shared" si="84"/>
        <v>0</v>
      </c>
      <c r="BK76" s="188">
        <f t="shared" si="84"/>
        <v>0</v>
      </c>
      <c r="BL76" s="188">
        <f t="shared" si="84"/>
        <v>0</v>
      </c>
      <c r="BM76" s="190">
        <f t="shared" si="84"/>
        <v>0</v>
      </c>
      <c r="BN76" s="189">
        <f t="shared" si="84"/>
        <v>0</v>
      </c>
      <c r="BO76" s="188">
        <f t="shared" si="84"/>
        <v>0</v>
      </c>
      <c r="BP76" s="188">
        <f t="shared" si="84"/>
        <v>0</v>
      </c>
      <c r="BQ76" s="188">
        <f t="shared" si="84"/>
        <v>0</v>
      </c>
      <c r="BR76" s="188">
        <f t="shared" si="84"/>
        <v>0</v>
      </c>
      <c r="BS76" s="189">
        <f t="shared" si="84"/>
        <v>0</v>
      </c>
      <c r="BT76" s="189">
        <f t="shared" si="84"/>
        <v>0</v>
      </c>
      <c r="BU76" s="188">
        <f t="shared" si="84"/>
        <v>0</v>
      </c>
      <c r="BV76" s="195">
        <v>0</v>
      </c>
      <c r="BW76" s="187">
        <v>0</v>
      </c>
      <c r="BX76" s="188">
        <f>BX3-BX7-BX9</f>
        <v>0</v>
      </c>
      <c r="BY76" s="187">
        <v>0</v>
      </c>
      <c r="BZ76" s="189">
        <f>BZ3-BZ7-BZ9</f>
        <v>0</v>
      </c>
      <c r="CA76" s="37"/>
      <c r="CB76" s="37"/>
      <c r="CC76" s="37"/>
      <c r="CD76" s="193"/>
      <c r="CE76" s="38">
        <f t="shared" si="82"/>
        <v>0</v>
      </c>
      <c r="CF76" s="38"/>
      <c r="CG76" s="38"/>
      <c r="CH76" s="188">
        <f>CH3-CH7-CH9</f>
        <v>0</v>
      </c>
    </row>
    <row r="77" spans="1:86" ht="19.5" x14ac:dyDescent="0.35">
      <c r="A77" s="196"/>
      <c r="B77" s="197" t="s">
        <v>144</v>
      </c>
      <c r="C77" s="210" t="s">
        <v>223</v>
      </c>
      <c r="D77" s="198" t="s">
        <v>46</v>
      </c>
      <c r="E77" s="199"/>
      <c r="F77" s="199"/>
      <c r="G77" s="199"/>
      <c r="H77" s="199"/>
      <c r="I77" s="200">
        <v>-0.13300000000162981</v>
      </c>
      <c r="J77" s="201">
        <v>-8.2999999998202512E-2</v>
      </c>
      <c r="K77" s="201">
        <v>2.0179413695586845E-12</v>
      </c>
      <c r="L77" s="202">
        <f t="shared" ref="L77:N77" si="85">L13-L23-L26+L73-L74</f>
        <v>0</v>
      </c>
      <c r="M77" s="202">
        <f t="shared" si="85"/>
        <v>0</v>
      </c>
      <c r="N77" s="203">
        <f t="shared" si="85"/>
        <v>-1.8189894035458565E-12</v>
      </c>
      <c r="O77" s="202">
        <f>P13-P23-P26+P73-P74</f>
        <v>0.20199999999749707</v>
      </c>
      <c r="P77" s="202">
        <v>0.20199999999749707</v>
      </c>
      <c r="Q77" s="204">
        <f t="shared" ref="Q77:X77" si="86">Q13-Q23-Q26+Q73-Q74</f>
        <v>0.20199999999749707</v>
      </c>
      <c r="R77" s="202">
        <f t="shared" si="86"/>
        <v>0.20199999999749707</v>
      </c>
      <c r="S77" s="202"/>
      <c r="T77" s="202">
        <f t="shared" si="86"/>
        <v>0</v>
      </c>
      <c r="U77" s="202">
        <f t="shared" si="86"/>
        <v>-102.18576417026419</v>
      </c>
      <c r="V77" s="202">
        <f t="shared" si="86"/>
        <v>4.1999999999461579E-2</v>
      </c>
      <c r="W77" s="202">
        <f t="shared" si="86"/>
        <v>4.1999999999461579E-2</v>
      </c>
      <c r="X77" s="202">
        <f t="shared" si="86"/>
        <v>0</v>
      </c>
      <c r="Y77" s="202"/>
      <c r="Z77" s="188">
        <f t="shared" ref="Z77:BU77" si="87">Z13-Z23-Z26+Z73-Z74</f>
        <v>1.7999999999688043E-2</v>
      </c>
      <c r="AA77" s="188">
        <f t="shared" si="87"/>
        <v>1.7999999999688043E-2</v>
      </c>
      <c r="AB77" s="202">
        <f t="shared" si="87"/>
        <v>0</v>
      </c>
      <c r="AC77" s="188">
        <f t="shared" si="87"/>
        <v>7.0000000001755325E-3</v>
      </c>
      <c r="AD77" s="188">
        <f t="shared" si="87"/>
        <v>7.0000000001755325E-3</v>
      </c>
      <c r="AE77" s="202">
        <f t="shared" si="87"/>
        <v>0</v>
      </c>
      <c r="AF77" s="189">
        <f t="shared" si="87"/>
        <v>1.7000000000052751E-2</v>
      </c>
      <c r="AG77" s="189">
        <f t="shared" si="87"/>
        <v>1.7000000000052751E-2</v>
      </c>
      <c r="AH77" s="202">
        <f t="shared" si="87"/>
        <v>0</v>
      </c>
      <c r="AI77" s="202">
        <f t="shared" si="87"/>
        <v>6.9000000000187356E-2</v>
      </c>
      <c r="AJ77" s="202">
        <f t="shared" si="87"/>
        <v>6.9000000000187356E-2</v>
      </c>
      <c r="AK77" s="202">
        <f t="shared" si="87"/>
        <v>0</v>
      </c>
      <c r="AL77" s="202">
        <f t="shared" si="87"/>
        <v>-102.62955262955265</v>
      </c>
      <c r="AM77" s="188">
        <f t="shared" si="87"/>
        <v>4.20000000001437E-2</v>
      </c>
      <c r="AN77" s="188">
        <f t="shared" si="87"/>
        <v>4.20000000001437E-2</v>
      </c>
      <c r="AO77" s="202">
        <f t="shared" si="87"/>
        <v>0</v>
      </c>
      <c r="AP77" s="188">
        <f t="shared" si="87"/>
        <v>2.7000000000043656E-2</v>
      </c>
      <c r="AQ77" s="188">
        <f t="shared" si="87"/>
        <v>2.7000000000043656E-2</v>
      </c>
      <c r="AR77" s="202">
        <f t="shared" si="87"/>
        <v>0</v>
      </c>
      <c r="AS77" s="189">
        <f t="shared" si="87"/>
        <v>5.6843418860808015E-14</v>
      </c>
      <c r="AT77" s="189">
        <f t="shared" si="87"/>
        <v>5.6843418860808015E-14</v>
      </c>
      <c r="AU77" s="202">
        <f t="shared" si="87"/>
        <v>0</v>
      </c>
      <c r="AV77" s="202">
        <f t="shared" si="87"/>
        <v>6.3000000000101863E-2</v>
      </c>
      <c r="AW77" s="202">
        <f t="shared" si="87"/>
        <v>6.3000000000101863E-2</v>
      </c>
      <c r="AX77" s="202">
        <f t="shared" si="87"/>
        <v>0</v>
      </c>
      <c r="AY77" s="202">
        <f t="shared" si="87"/>
        <v>-103.88019427954667</v>
      </c>
      <c r="AZ77" s="188">
        <f t="shared" si="87"/>
        <v>-2.8000000000133696E-2</v>
      </c>
      <c r="BA77" s="188">
        <f t="shared" si="87"/>
        <v>-2.8000000000133696E-2</v>
      </c>
      <c r="BB77" s="202">
        <f t="shared" si="87"/>
        <v>0</v>
      </c>
      <c r="BC77" s="188">
        <f t="shared" si="87"/>
        <v>4.7000000000139153E-2</v>
      </c>
      <c r="BD77" s="188">
        <f t="shared" si="87"/>
        <v>4.7000000000139153E-2</v>
      </c>
      <c r="BE77" s="202">
        <f t="shared" si="87"/>
        <v>0</v>
      </c>
      <c r="BF77" s="189">
        <f t="shared" si="87"/>
        <v>4.399999999998272E-2</v>
      </c>
      <c r="BG77" s="189">
        <f t="shared" si="87"/>
        <v>4.399999999998272E-2</v>
      </c>
      <c r="BH77" s="202">
        <f t="shared" si="87"/>
        <v>0</v>
      </c>
      <c r="BI77" s="202">
        <f t="shared" si="87"/>
        <v>2.8000000000247383E-2</v>
      </c>
      <c r="BJ77" s="202">
        <f t="shared" si="87"/>
        <v>2.8000000000247383E-2</v>
      </c>
      <c r="BK77" s="202">
        <f t="shared" si="87"/>
        <v>0</v>
      </c>
      <c r="BL77" s="202">
        <f t="shared" si="87"/>
        <v>-101.01412531691416</v>
      </c>
      <c r="BM77" s="194">
        <f t="shared" si="87"/>
        <v>-2.9999999997016857E-3</v>
      </c>
      <c r="BN77" s="188">
        <f t="shared" si="87"/>
        <v>-2.9999999997016857E-3</v>
      </c>
      <c r="BO77" s="202">
        <f t="shared" si="87"/>
        <v>0</v>
      </c>
      <c r="BP77" s="188">
        <f t="shared" si="87"/>
        <v>1.2999999999919964E-2</v>
      </c>
      <c r="BQ77" s="188">
        <f t="shared" si="87"/>
        <v>1.2999999999919964E-2</v>
      </c>
      <c r="BR77" s="202">
        <f t="shared" si="87"/>
        <v>0</v>
      </c>
      <c r="BS77" s="189">
        <f t="shared" si="87"/>
        <v>1.7999999999915417E-2</v>
      </c>
      <c r="BT77" s="189">
        <f t="shared" si="87"/>
        <v>1.7999999999915417E-2</v>
      </c>
      <c r="BU77" s="202">
        <f t="shared" si="87"/>
        <v>0</v>
      </c>
      <c r="BV77" s="205">
        <v>9.0949470177292824E-13</v>
      </c>
      <c r="BW77" s="206">
        <v>-1.3999999999214197E-2</v>
      </c>
      <c r="BX77" s="188">
        <f>BX13-BX23-BX26+BX73-BX74</f>
        <v>3.4000000001469743E-2</v>
      </c>
      <c r="BY77" s="206">
        <v>-2.6000000001658918E-2</v>
      </c>
      <c r="BZ77" s="189">
        <f>BZ13-BZ23-BZ26+BZ73-BZ74</f>
        <v>-3.7999999995008693E-2</v>
      </c>
      <c r="CA77" s="3"/>
      <c r="CB77" s="3"/>
      <c r="CC77" s="3"/>
      <c r="CD77" s="207">
        <v>9.4E-2</v>
      </c>
      <c r="CE77" s="38">
        <f t="shared" si="82"/>
        <v>-0.10799999999749707</v>
      </c>
      <c r="CF77" s="207"/>
      <c r="CG77" s="207"/>
      <c r="CH77" s="202">
        <f>CH13-CH23-CH26+CH73-CH74</f>
        <v>0</v>
      </c>
    </row>
  </sheetData>
  <mergeCells count="40">
    <mergeCell ref="B31:B32"/>
    <mergeCell ref="B33:B34"/>
    <mergeCell ref="A71:A72"/>
    <mergeCell ref="B71:B72"/>
    <mergeCell ref="A14:A15"/>
    <mergeCell ref="B14:B15"/>
    <mergeCell ref="A27:A28"/>
    <mergeCell ref="B27:B28"/>
    <mergeCell ref="A29:A30"/>
    <mergeCell ref="B29:B30"/>
    <mergeCell ref="BY1:BZ1"/>
    <mergeCell ref="CD1:CG1"/>
    <mergeCell ref="A4:A5"/>
    <mergeCell ref="B4:B5"/>
    <mergeCell ref="A10:A11"/>
    <mergeCell ref="B10:B11"/>
    <mergeCell ref="BF1:BH1"/>
    <mergeCell ref="BI1:BL1"/>
    <mergeCell ref="BM1:BO1"/>
    <mergeCell ref="BP1:BR1"/>
    <mergeCell ref="BS1:BU1"/>
    <mergeCell ref="BV1:BX1"/>
    <mergeCell ref="AM1:AO1"/>
    <mergeCell ref="AP1:AR1"/>
    <mergeCell ref="AS1:AU1"/>
    <mergeCell ref="AV1:AY1"/>
    <mergeCell ref="AZ1:BB1"/>
    <mergeCell ref="BC1:BE1"/>
    <mergeCell ref="N1:U1"/>
    <mergeCell ref="V1:Y1"/>
    <mergeCell ref="Z1:AB1"/>
    <mergeCell ref="AC1:AE1"/>
    <mergeCell ref="AF1:AH1"/>
    <mergeCell ref="AI1:AL1"/>
    <mergeCell ref="L1:M1"/>
    <mergeCell ref="A1:A2"/>
    <mergeCell ref="B1:B2"/>
    <mergeCell ref="D1:D2"/>
    <mergeCell ref="F1:H1"/>
    <mergeCell ref="I1:K1"/>
  </mergeCells>
  <hyperlinks>
    <hyperlink ref="O2" r:id="rId1" tooltip="Вн 03-1235 от 15.04.2025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Лист1</vt:lpstr>
      <vt:lpstr>_BS1</vt:lpstr>
      <vt:lpstr>_MONTH1_1</vt:lpstr>
      <vt:lpstr>_MONTH1_10</vt:lpstr>
      <vt:lpstr>_MONTH1_11</vt:lpstr>
      <vt:lpstr>_MONTH1_12</vt:lpstr>
      <vt:lpstr>_MONTH1_2</vt:lpstr>
      <vt:lpstr>_MONTH1_3</vt:lpstr>
      <vt:lpstr>_MONTH1_4</vt:lpstr>
      <vt:lpstr>_MONTH1_5</vt:lpstr>
      <vt:lpstr>_MONTH1_6</vt:lpstr>
      <vt:lpstr>_MONTH1_7</vt:lpstr>
      <vt:lpstr>_MONTH1_8</vt:lpstr>
      <vt:lpstr>_MONTH1_9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2026-05-18T07:56:47Z</dcterms:modified>
</cp:coreProperties>
</file>