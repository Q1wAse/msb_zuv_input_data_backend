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ocuments\Backend\msb_zuv_input_data_backend\file\"/>
    </mc:Choice>
  </mc:AlternateContent>
  <bookViews>
    <workbookView xWindow="360" yWindow="15855" windowWidth="20955" windowHeight="9720" tabRatio="603" firstSheet="2" activeTab="3"/>
  </bookViews>
  <sheets>
    <sheet name="tech" sheetId="1" state="veryHidden" r:id="rId1"/>
    <sheet name="План общий" sheetId="2" r:id="rId2"/>
    <sheet name="Баланс ЗС" sheetId="3" r:id="rId3"/>
    <sheet name="1. ГПП-АГПЗ+" sheetId="4" r:id="rId4"/>
    <sheet name="2. ГПП-ОГХК" sheetId="5" r:id="rId5"/>
    <sheet name="3. ГПП-СГПЗ" sheetId="6" r:id="rId6"/>
    <sheet name="4. ГПП-УЗПКТ-СЗСК" sheetId="7" r:id="rId7"/>
    <sheet name="5. ГД Астрахань" sheetId="8" r:id="rId8"/>
    <sheet name="6. ГД Оренбург" sheetId="9" r:id="rId9"/>
    <sheet name="7. ГД Ямбург" sheetId="10" r:id="rId10"/>
    <sheet name="8. ГД Уренгой" sheetId="11" r:id="rId11"/>
    <sheet name="9. ГД Краснодар" sheetId="12" r:id="rId12"/>
    <sheet name="10. ГД Ноябрьск" sheetId="13" r:id="rId13"/>
    <sheet name="11. ГД Надым" sheetId="14" r:id="rId14"/>
    <sheet name="12. ГД Иркутск" sheetId="15" r:id="rId15"/>
    <sheet name="13. ГД Шельф" sheetId="16" r:id="rId16"/>
    <sheet name="14. ГП Благовещенск (Ам ГПЗ)" sheetId="17" r:id="rId17"/>
    <sheet name="15. КСПГ Портовая" sheetId="18" r:id="rId18"/>
    <sheet name="16. Востокгазпром" sheetId="19" r:id="rId19"/>
    <sheet name="17. Нефтехим Салават" sheetId="20" r:id="rId20"/>
    <sheet name="18. Газпром нефть" sheetId="21" r:id="rId21"/>
  </sheets>
  <externalReferences>
    <externalReference r:id="rId22"/>
    <externalReference r:id="rId23"/>
  </externalReferences>
  <definedNames>
    <definedName name="____________q1" localSheetId="1" hidden="1">{#N/A,#N/A,FALSE,"Август Сальдо После отчета"}</definedName>
    <definedName name="____________q1" hidden="1">{#N/A,#N/A,FALSE,"Август Сальдо После отчета"}</definedName>
    <definedName name="___________q1" localSheetId="1" hidden="1">{#N/A,#N/A,FALSE,"Август Сальдо После отчета"}</definedName>
    <definedName name="___________q1" hidden="1">{#N/A,#N/A,FALSE,"Август Сальдо После отчета"}</definedName>
    <definedName name="__________q1" localSheetId="1" hidden="1">{#N/A,#N/A,FALSE,"Август Сальдо После отчета"}</definedName>
    <definedName name="__________q1" hidden="1">{#N/A,#N/A,FALSE,"Август Сальдо После отчета"}</definedName>
    <definedName name="_________q1" localSheetId="1" hidden="1">{#N/A,#N/A,FALSE,"Август Сальдо После отчета"}</definedName>
    <definedName name="_________q1" hidden="1">{#N/A,#N/A,FALSE,"Август Сальдо После отчета"}</definedName>
    <definedName name="________q1" localSheetId="1" hidden="1">{#N/A,#N/A,FALSE,"Август Сальдо После отчета"}</definedName>
    <definedName name="________q1" hidden="1">{#N/A,#N/A,FALSE,"Август Сальдо После отчета"}</definedName>
    <definedName name="_______q1" localSheetId="1" hidden="1">{#N/A,#N/A,FALSE,"Август Сальдо После отчета"}</definedName>
    <definedName name="_______q1" hidden="1">{#N/A,#N/A,FALSE,"Август Сальдо После отчета"}</definedName>
    <definedName name="______q1" localSheetId="1" hidden="1">{#N/A,#N/A,FALSE,"Август Сальдо После отчета"}</definedName>
    <definedName name="______q1" hidden="1">{#N/A,#N/A,FALSE,"Август Сальдо После отчета"}</definedName>
    <definedName name="_____q1" localSheetId="1" hidden="1">{#N/A,#N/A,FALSE,"Август Сальдо После отчета"}</definedName>
    <definedName name="_____q1" hidden="1">{#N/A,#N/A,FALSE,"Август Сальдо После отчета"}</definedName>
    <definedName name="____q1" localSheetId="1" hidden="1">{#N/A,#N/A,FALSE,"Август Сальдо После отчета"}</definedName>
    <definedName name="____q1" hidden="1">{#N/A,#N/A,FALSE,"Август Сальдо После отчета"}</definedName>
    <definedName name="___q1" localSheetId="1" hidden="1">{#N/A,#N/A,FALSE,"Август Сальдо После отчета"}</definedName>
    <definedName name="___q1" hidden="1">{#N/A,#N/A,FALSE,"Август Сальдо После отчета"}</definedName>
    <definedName name="__q1" localSheetId="1" hidden="1">{#N/A,#N/A,FALSE,"Август Сальдо После отчета"}</definedName>
    <definedName name="__q1" hidden="1">{#N/A,#N/A,FALSE,"Август Сальдо После отчета"}</definedName>
    <definedName name="_asd1" localSheetId="1" hidden="1">{#N/A,#N/A,FALSE,"Август Сальдо После отчета"}</definedName>
    <definedName name="_asd1" hidden="1">{#N/A,#N/A,FALSE,"Август Сальдо После отчета"}</definedName>
    <definedName name="_INTERNAL_KEY1">'1. ГПП-АГПЗ+'!$9:$9</definedName>
    <definedName name="_INTERNAL_KEY10">'10. ГД Ноябрьск'!$10:$10</definedName>
    <definedName name="_INTERNAL_KEY11">'11. ГД Надым'!$9:$9</definedName>
    <definedName name="_INTERNAL_KEY12">'12. ГД Иркутск'!$9:$9</definedName>
    <definedName name="_INTERNAL_KEY13">'13. ГД Шельф'!$9:$9</definedName>
    <definedName name="_INTERNAL_KEY14">'14. ГП Благовещенск (Ам ГПЗ)'!$9:$9</definedName>
    <definedName name="_INTERNAL_KEY15">'15. КСПГ Портовая'!$9:$9</definedName>
    <definedName name="_INTERNAL_KEY16">'16. Востокгазпром'!$9:$9</definedName>
    <definedName name="_INTERNAL_KEY17">'17. Нефтехим Салават'!$9:$9</definedName>
    <definedName name="_INTERNAL_KEY18">'18. Газпром нефть'!$9:$9</definedName>
    <definedName name="_INTERNAL_KEY2">'2. ГПП-ОГХК'!$9:$9</definedName>
    <definedName name="_INTERNAL_KEY3">'3. ГПП-СГПЗ'!$9:$9</definedName>
    <definedName name="_INTERNAL_KEY4">'4. ГПП-УЗПКТ-СЗСК'!$10:$10</definedName>
    <definedName name="_INTERNAL_KEY5">'5. ГД Астрахань'!$9:$9</definedName>
    <definedName name="_INTERNAL_KEY6">'6. ГД Оренбург'!$9:$9</definedName>
    <definedName name="_INTERNAL_KEY7">'7. ГД Ямбург'!$9:$9</definedName>
    <definedName name="_INTERNAL_KEY8">'8. ГД Уренгой'!$9:$9</definedName>
    <definedName name="_INTERNAL_KEY9">'9. ГД Краснодар'!$9:$9</definedName>
    <definedName name="_q1" localSheetId="1" hidden="1">{#N/A,#N/A,FALSE,"Август Сальдо После отчета"}</definedName>
    <definedName name="_q1" hidden="1">{#N/A,#N/A,FALSE,"Август Сальдо После отчета"}</definedName>
    <definedName name="_SET_ROW1">'1. ГПП-АГПЗ+'!$E:$I</definedName>
    <definedName name="_SET_ROW10">'10. ГД Ноябрьск'!$E:$I</definedName>
    <definedName name="_SET_ROW11">'11. ГД Надым'!$E:$I</definedName>
    <definedName name="_SET_ROW12">'12. ГД Иркутск'!$E:$I</definedName>
    <definedName name="_SET_ROW13">'13. ГД Шельф'!$E:$I</definedName>
    <definedName name="_SET_ROW14">'14. ГП Благовещенск (Ам ГПЗ)'!$E:$I</definedName>
    <definedName name="_SET_ROW15">'15. КСПГ Портовая'!$E:$I</definedName>
    <definedName name="_SET_ROW16">'16. Востокгазпром'!$E:$I</definedName>
    <definedName name="_SET_ROW17">'17. Нефтехим Салават'!$E:$I</definedName>
    <definedName name="_SET_ROW18">'18. Газпром нефть'!$E:$I</definedName>
    <definedName name="_SET_ROW2">'2. ГПП-ОГХК'!$E:$I</definedName>
    <definedName name="_SET_ROW3">'3. ГПП-СГПЗ'!$E:$I</definedName>
    <definedName name="_SET_ROW4">'4. ГПП-УЗПКТ-СЗСК'!$E:$I</definedName>
    <definedName name="_SET_ROW5">'5. ГД Астрахань'!$E:$I</definedName>
    <definedName name="_SET_ROW6">'6. ГД Оренбург'!$E:$I</definedName>
    <definedName name="_SET_ROW7">'7. ГД Ямбург'!$E:$I</definedName>
    <definedName name="_SET_ROW8">'8. ГД Уренгой'!$E:$I</definedName>
    <definedName name="_SET_ROW9">'9. ГД Краснодар'!$E:$I</definedName>
    <definedName name="_SUM_REP_INTERNAL_KEY1">'План общий'!$9:$9</definedName>
    <definedName name="_SUM_REP_INTERNAL_KEY2">'Баланс ЗС'!$9:$9</definedName>
    <definedName name="_SUM_REP_SET_ROW1">'План общий'!$D:$H</definedName>
    <definedName name="_SUM_REP_SET_ROW2">'Баланс ЗС'!$D:$H</definedName>
    <definedName name="a" localSheetId="1" hidden="1">{#N/A,#N/A,FALSE,"Август Сальдо После отчета"}</definedName>
    <definedName name="a" hidden="1">{#N/A,#N/A,FALSE,"Август Сальдо После отчета"}</definedName>
    <definedName name="anscount" hidden="1">13</definedName>
    <definedName name="asd" localSheetId="1" hidden="1">{#N/A,#N/A,FALSE,"Август Сальдо После отчета"}</definedName>
    <definedName name="asd" hidden="1">{#N/A,#N/A,FALSE,"Август Сальдо После отчета"}</definedName>
    <definedName name="d" localSheetId="1" hidden="1">{#N/A,#N/A,FALSE,"Август Сальдо После отчета"}</definedName>
    <definedName name="d" hidden="1">{#N/A,#N/A,FALSE,"Август Сальдо После отчета"}</definedName>
    <definedName name="e" localSheetId="1" hidden="1">{#N/A,#N/A,FALSE,"Август Сальдо После отчета"}</definedName>
    <definedName name="e" hidden="1">{#N/A,#N/A,FALSE,"Август Сальдо После отчета"}</definedName>
    <definedName name="f" localSheetId="1" hidden="1">{#N/A,#N/A,FALSE,"Август Сальдо После отчета"}</definedName>
    <definedName name="f" hidden="1">{#N/A,#N/A,FALSE,"Август Сальдо После отчета"}</definedName>
    <definedName name="fff" localSheetId="19" hidden="1">#REF!</definedName>
    <definedName name="fff" localSheetId="4" hidden="1">#REF!</definedName>
    <definedName name="fff" localSheetId="1" hidden="1">#REF!</definedName>
    <definedName name="fff" hidden="1">#REF!</definedName>
    <definedName name="g" localSheetId="1" hidden="1">{#N/A,#N/A,FALSE,"Август Сальдо После отчета"}</definedName>
    <definedName name="g" hidden="1">{#N/A,#N/A,FALSE,"Август Сальдо После отчета"}</definedName>
    <definedName name="GlobalWork" hidden="1">" "</definedName>
    <definedName name="h" localSheetId="1" hidden="1">{#N/A,#N/A,FALSE,"Август Сальдо После отчета"}</definedName>
    <definedName name="h" hidden="1">{#N/A,#N/A,FALSE,"Август Сальдо После отчета"}</definedName>
    <definedName name="j" localSheetId="1" hidden="1">{#N/A,#N/A,FALSE,"Август Сальдо После отчета"}</definedName>
    <definedName name="j" hidden="1">{#N/A,#N/A,FALSE,"Август Сальдо После отчета"}</definedName>
    <definedName name="jjjj" localSheetId="1" hidden="1">{#N/A,#N/A,FALSE,"Август Сальдо После отчета"}</definedName>
    <definedName name="jjjj" hidden="1">{#N/A,#N/A,FALSE,"Август Сальдо После отчета"}</definedName>
    <definedName name="limcount" hidden="1">13</definedName>
    <definedName name="q" localSheetId="1" hidden="1">{#N/A,#N/A,FALSE,"Август Сальдо После отчета"}</definedName>
    <definedName name="q" hidden="1">{#N/A,#N/A,FALSE,"Август Сальдо После отчета"}</definedName>
    <definedName name="qw" localSheetId="1" hidden="1">{#N/A,#N/A,FALSE,"Август Сальдо После отчета"}</definedName>
    <definedName name="qw" hidden="1">{#N/A,#N/A,FALSE,"Август Сальдо После отчета"}</definedName>
    <definedName name="s" localSheetId="1" hidden="1">{#N/A,#N/A,FALSE,"Август Сальдо После отчета"}</definedName>
    <definedName name="s" hidden="1">{#N/A,#N/A,FALSE,"Август Сальдо После отчета"}</definedName>
    <definedName name="SAPBEXrevision" hidden="1">1</definedName>
    <definedName name="SAPBEXsysID" hidden="1">"PCS"</definedName>
    <definedName name="SAPBEXwbID" hidden="1">"46IZ8HZJL1NAGN7JAA6FZ12CA"</definedName>
    <definedName name="sencount" hidden="1">13</definedName>
    <definedName name="t" localSheetId="1" hidden="1">{#N/A,#N/A,FALSE,"Август Сальдо После отчета"}</definedName>
    <definedName name="t" hidden="1">{#N/A,#N/A,FALSE,"Август Сальдо После отчета"}</definedName>
    <definedName name="u" localSheetId="1" hidden="1">{#N/A,#N/A,FALSE,"Август Сальдо После отчета"}</definedName>
    <definedName name="u" hidden="1">{#N/A,#N/A,FALSE,"Август Сальдо После отчета"}</definedName>
    <definedName name="vb" localSheetId="1" hidden="1">{#N/A,#N/A,FALSE,"Август Сальдо После отчета"}</definedName>
    <definedName name="vb" hidden="1">{#N/A,#N/A,FALSE,"Август Сальдо После отчета"}</definedName>
    <definedName name="w" localSheetId="1" hidden="1">{#N/A,#N/A,FALSE,"Август Сальдо После отчета"}</definedName>
    <definedName name="w" hidden="1">{#N/A,#N/A,FALSE,"Август Сальдо После отчета"}</definedName>
    <definedName name="wrn.Отчет." localSheetId="1" hidden="1">{#N/A,#N/A,FALSE,"Август Сальдо После отчета"}</definedName>
    <definedName name="wrn.Отчет." hidden="1">{#N/A,#N/A,FALSE,"Август Сальдо После отчета"}</definedName>
    <definedName name="wrn.Сог_Полная_Версия." localSheetId="1" hidden="1">{"СОГПолнаяВерсия",#N/A,FALSE,"СОГ"}</definedName>
    <definedName name="wrn.Сог_Полная_Версия." hidden="1">{"СОГПолнаяВерсия",#N/A,FALSE,"СОГ"}</definedName>
    <definedName name="wrn.СОГ_Укороченная_Версия." localSheetId="1" hidden="1">{"СОГУкороченнаяВерсия",#N/A,FALSE,"СОГ"}</definedName>
    <definedName name="wrn.СОГ_Укороченная_Версия." hidden="1">{"СОГУкороченнаяВерсия",#N/A,FALSE,"СОГ"}</definedName>
    <definedName name="y" localSheetId="1" hidden="1">{#N/A,#N/A,FALSE,"Август Сальдо После отчета"}</definedName>
    <definedName name="y" hidden="1">{#N/A,#N/A,FALSE,"Август Сальдо После отчета"}</definedName>
    <definedName name="Z_1BDBA328_8BF0_4216_A22B_2FB9A5FB2784_.wvu.PrintArea" hidden="1">[1]Лист2!$A$1:$O$144</definedName>
    <definedName name="Z_1BDBA328_8BF0_4216_A22B_2FB9A5FB2784_.wvu.PrintTitles" hidden="1">[1]Лист2!$A$4:$IV$5</definedName>
    <definedName name="Z_1BDBA328_8BF0_4216_A22B_2FB9A5FB2784_.wvu.Rows" hidden="1">[1]Лист2!$A$30:$IV$35,[1]Лист2!$A$70:$IV$72,[1]Лист2!$A$83:$IV$83,[1]Лист2!$A$88:$IV$88,[1]Лист2!$A$111:$IV$112,[1]Лист2!$A$119:$IV$124,[1]Лист2!$A$135:$IV$137</definedName>
    <definedName name="Z_282DC897_A8BB_4D6B_A8BC_1F24D66F96A7_.wvu.Cols" localSheetId="3" hidden="1">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</definedName>
    <definedName name="Z_282DC897_A8BB_4D6B_A8BC_1F24D66F96A7_.wvu.Cols" localSheetId="12" hidden="1">'10. ГД Ноябрьск'!$A:$A,'10.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</definedName>
    <definedName name="Z_282DC897_A8BB_4D6B_A8BC_1F24D66F96A7_.wvu.Cols" localSheetId="13" hidden="1">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</definedName>
    <definedName name="Z_282DC897_A8BB_4D6B_A8BC_1F24D66F96A7_.wvu.Cols" localSheetId="14" hidden="1">'12. ГД Иркутск'!$B:$B,'12.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</definedName>
    <definedName name="Z_282DC897_A8BB_4D6B_A8BC_1F24D66F96A7_.wvu.Cols" localSheetId="15" hidden="1">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</definedName>
    <definedName name="Z_282DC897_A8BB_4D6B_A8BC_1F24D66F96A7_.wvu.Cols" localSheetId="16" hidden="1">'14. ГП Благовещенск (Ам ГПЗ)'!$A:$C,'14. ГП Благовещенск (Ам ГПЗ)'!#REF!</definedName>
    <definedName name="Z_282DC897_A8BB_4D6B_A8BC_1F24D66F96A7_.wvu.Cols" localSheetId="17" hidden="1">'15. КСПГ Портовая'!#REF!</definedName>
    <definedName name="Z_282DC897_A8BB_4D6B_A8BC_1F24D66F96A7_.wvu.Cols" localSheetId="18" hidden="1">'16. Востокгазпром'!$A:$B,'16.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</definedName>
    <definedName name="Z_282DC897_A8BB_4D6B_A8BC_1F24D66F96A7_.wvu.Cols" localSheetId="19" hidden="1">'17. Нефтехим Салават'!$B:$B,'17.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282DC897_A8BB_4D6B_A8BC_1F24D66F96A7_.wvu.Cols" localSheetId="20" hidden="1">'18. Газпром нефть'!#REF!</definedName>
    <definedName name="Z_282DC897_A8BB_4D6B_A8BC_1F24D66F96A7_.wvu.Cols" localSheetId="4" hidden="1">'2. ГПП-ОГХК'!$A:$B,'2.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</definedName>
    <definedName name="Z_282DC897_A8BB_4D6B_A8BC_1F24D66F96A7_.wvu.Cols" localSheetId="5" hidden="1">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</definedName>
    <definedName name="Z_282DC897_A8BB_4D6B_A8BC_1F24D66F96A7_.wvu.Cols" localSheetId="6" hidden="1">'4. ГПП-УЗПКТ-СЗСК'!$A:$B,'4.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</definedName>
    <definedName name="Z_282DC897_A8BB_4D6B_A8BC_1F24D66F96A7_.wvu.Cols" localSheetId="7" hidden="1">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</definedName>
    <definedName name="Z_282DC897_A8BB_4D6B_A8BC_1F24D66F96A7_.wvu.Cols" localSheetId="8" hidden="1">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</definedName>
    <definedName name="Z_282DC897_A8BB_4D6B_A8BC_1F24D66F96A7_.wvu.Cols" localSheetId="9" hidden="1">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</definedName>
    <definedName name="Z_282DC897_A8BB_4D6B_A8BC_1F24D66F96A7_.wvu.Cols" localSheetId="10" hidden="1">'8. ГД Уренгой'!$B:$B,'8.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</definedName>
    <definedName name="Z_282DC897_A8BB_4D6B_A8BC_1F24D66F96A7_.wvu.Cols" localSheetId="11" hidden="1">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</definedName>
    <definedName name="Z_282DC897_A8BB_4D6B_A8BC_1F24D66F96A7_.wvu.PrintArea" localSheetId="3" hidden="1">'1. ГПП-АГПЗ+'!$C$1:$J$84</definedName>
    <definedName name="Z_282DC897_A8BB_4D6B_A8BC_1F24D66F96A7_.wvu.PrintArea" localSheetId="16" hidden="1">'14. ГП Благовещенск (Ам ГПЗ)'!$A$6:$J$79</definedName>
    <definedName name="Z_282DC897_A8BB_4D6B_A8BC_1F24D66F96A7_.wvu.PrintArea" localSheetId="17" hidden="1">'15. КСПГ Портовая'!$B$1:$J$19</definedName>
    <definedName name="Z_282DC897_A8BB_4D6B_A8BC_1F24D66F96A7_.wvu.PrintArea" localSheetId="20" hidden="1">'18. Газпром нефть'!$B$1:$J$82</definedName>
    <definedName name="Z_282DC897_A8BB_4D6B_A8BC_1F24D66F96A7_.wvu.PrintArea" localSheetId="4" hidden="1">'2. ГПП-ОГХК'!$C$4:$J$312</definedName>
    <definedName name="Z_282DC897_A8BB_4D6B_A8BC_1F24D66F96A7_.wvu.PrintArea" localSheetId="5" hidden="1">'3. ГПП-СГПЗ'!$C$1:$J$63</definedName>
    <definedName name="Z_282DC897_A8BB_4D6B_A8BC_1F24D66F96A7_.wvu.PrintArea" localSheetId="6" hidden="1">'4. ГПП-УЗПКТ-СЗСК'!$B$2:$J$270</definedName>
    <definedName name="Z_282DC897_A8BB_4D6B_A8BC_1F24D66F96A7_.wvu.PrintArea" localSheetId="7" hidden="1">'5. ГД Астрахань'!$C$1:$J$25</definedName>
    <definedName name="Z_282DC897_A8BB_4D6B_A8BC_1F24D66F96A7_.wvu.PrintArea" localSheetId="8" hidden="1">'6. ГД Оренбург'!$C$1:$J$38</definedName>
    <definedName name="Z_282DC897_A8BB_4D6B_A8BC_1F24D66F96A7_.wvu.PrintArea" localSheetId="9" hidden="1">'7. ГД Ямбург'!$B$1:$J$62</definedName>
    <definedName name="Z_282DC897_A8BB_4D6B_A8BC_1F24D66F96A7_.wvu.PrintArea" localSheetId="10" hidden="1">'8. ГД Уренгой'!$C$3:$J$89</definedName>
    <definedName name="Z_282DC897_A8BB_4D6B_A8BC_1F24D66F96A7_.wvu.PrintArea" localSheetId="11" hidden="1">'9. ГД Краснодар'!$C$1:$J$56</definedName>
    <definedName name="Z_282DC897_A8BB_4D6B_A8BC_1F24D66F96A7_.wvu.PrintTitles" localSheetId="3" hidden="1">'1. ГПП-АГПЗ+'!$6:$8</definedName>
    <definedName name="Z_282DC897_A8BB_4D6B_A8BC_1F24D66F96A7_.wvu.PrintTitles" localSheetId="16" hidden="1">'14. ГП Благовещенск (Ам ГПЗ)'!$6:$8</definedName>
    <definedName name="Z_282DC897_A8BB_4D6B_A8BC_1F24D66F96A7_.wvu.PrintTitles" localSheetId="4" hidden="1">'2. ГПП-ОГХК'!$6:$8</definedName>
    <definedName name="Z_282DC897_A8BB_4D6B_A8BC_1F24D66F96A7_.wvu.PrintTitles" localSheetId="6" hidden="1">'4. ГПП-УЗПКТ-СЗСК'!$7:$9</definedName>
    <definedName name="Z_282DC897_A8BB_4D6B_A8BC_1F24D66F96A7_.wvu.PrintTitles" localSheetId="8" hidden="1">'6. ГД Оренбург'!$6:$8</definedName>
    <definedName name="Z_282DC897_A8BB_4D6B_A8BC_1F24D66F96A7_.wvu.Rows" localSheetId="12" hidden="1">'10. ГД Ноябрьск'!$1:$4</definedName>
    <definedName name="Z_282DC897_A8BB_4D6B_A8BC_1F24D66F96A7_.wvu.Rows" localSheetId="13" hidden="1">'11. ГД Надым'!$1:$3</definedName>
    <definedName name="Z_282DC897_A8BB_4D6B_A8BC_1F24D66F96A7_.wvu.Rows" localSheetId="14" hidden="1">'12. ГД Иркутск'!$39:$40,'12. ГД Иркутск'!#REF!</definedName>
    <definedName name="Z_282DC897_A8BB_4D6B_A8BC_1F24D66F96A7_.wvu.Rows" localSheetId="16" hidden="1">'14. ГП Благовещенск (Ам ГПЗ)'!$2:$5</definedName>
    <definedName name="Z_282DC897_A8BB_4D6B_A8BC_1F24D66F96A7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282DC897_A8BB_4D6B_A8BC_1F24D66F96A7_.wvu.Rows" localSheetId="6" hidden="1">'4. ГПП-УЗПКТ-СЗСК'!$1:$1</definedName>
    <definedName name="Z_282DC897_A8BB_4D6B_A8BC_1F24D66F96A7_.wvu.Rows" localSheetId="10" hidden="1">'8. ГД Уренгой'!$3:$3,'8. ГД Уренгой'!#REF!</definedName>
    <definedName name="Z_8A2A2F47_3CCD_4B14_B6FD_506BFD71969A_.wvu.Cols" localSheetId="3" hidden="1">'1. ГПП-АГПЗ+'!#REF!,'1. ГПП-АГПЗ+'!#REF!,'1. ГПП-АГПЗ+'!#REF!,'1. ГПП-АГПЗ+'!#REF!,'1. ГПП-АГПЗ+'!#REF!,'1. ГПП-АГПЗ+'!#REF!,'1. ГПП-АГПЗ+'!#REF!,'1. ГПП-АГПЗ+'!#REF!,'1. ГПП-АГПЗ+'!#REF!,'1. ГПП-АГПЗ+'!#REF!</definedName>
    <definedName name="Z_8A2A2F47_3CCD_4B14_B6FD_506BFD71969A_.wvu.Cols" localSheetId="12" hidden="1">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</definedName>
    <definedName name="Z_8A2A2F47_3CCD_4B14_B6FD_506BFD71969A_.wvu.Cols" localSheetId="13" hidden="1">'11. ГД Надым'!#REF!,'11. ГД Надым'!#REF!,'11. ГД Надым'!#REF!,'11. ГД Надым'!#REF!,'11. ГД Надым'!#REF!,'11. ГД Надым'!#REF!,'11. ГД Надым'!#REF!,'11. ГД Надым'!#REF!,'11. ГД Надым'!#REF!,'11. ГД Надым'!#REF!</definedName>
    <definedName name="Z_8A2A2F47_3CCD_4B14_B6FD_506BFD71969A_.wvu.Cols" localSheetId="14" hidden="1">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</definedName>
    <definedName name="Z_8A2A2F47_3CCD_4B14_B6FD_506BFD71969A_.wvu.Cols" localSheetId="15" hidden="1">'13. ГД Шельф'!#REF!</definedName>
    <definedName name="Z_8A2A2F47_3CCD_4B14_B6FD_506BFD71969A_.wvu.Cols" localSheetId="16" hidden="1">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</definedName>
    <definedName name="Z_8A2A2F47_3CCD_4B14_B6FD_506BFD71969A_.wvu.Cols" localSheetId="17" hidden="1">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</definedName>
    <definedName name="Z_8A2A2F47_3CCD_4B14_B6FD_506BFD71969A_.wvu.Cols" localSheetId="18" hidden="1">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</definedName>
    <definedName name="Z_8A2A2F47_3CCD_4B14_B6FD_506BFD71969A_.wvu.Cols" localSheetId="19" hidden="1">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8A2A2F47_3CCD_4B14_B6FD_506BFD71969A_.wvu.Cols" localSheetId="20" hidden="1">'18. Газпром нефть'!#REF!,'18. Газпром нефть'!#REF!,'18. Газпром нефть'!#REF!,'18. Газпром нефть'!#REF!,'18. Газпром нефть'!#REF!,'18. Газпром нефть'!#REF!,'18. Газпром нефть'!#REF!,'18. Газпром нефть'!#REF!,'18. Газпром нефть'!#REF!,'18. Газпром нефть'!#REF!,'18. Газпром нефть'!#REF!</definedName>
    <definedName name="Z_8A2A2F47_3CCD_4B14_B6FD_506BFD71969A_.wvu.Cols" localSheetId="5" hidden="1">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</definedName>
    <definedName name="Z_8A2A2F47_3CCD_4B14_B6FD_506BFD71969A_.wvu.Cols" localSheetId="6" hidden="1">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</definedName>
    <definedName name="Z_8A2A2F47_3CCD_4B14_B6FD_506BFD71969A_.wvu.Cols" localSheetId="7" hidden="1">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</definedName>
    <definedName name="Z_8A2A2F47_3CCD_4B14_B6FD_506BFD71969A_.wvu.Cols" localSheetId="8" hidden="1">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</definedName>
    <definedName name="Z_8A2A2F47_3CCD_4B14_B6FD_506BFD71969A_.wvu.Cols" localSheetId="9" hidden="1">'7. ГД Ямбург'!#REF!,'7. ГД Ямбург'!#REF!,'7. ГД Ямбург'!#REF!,'7. ГД Ямбург'!#REF!,'7. ГД Ямбург'!#REF!,'7. ГД Ямбург'!#REF!,'7. ГД Ямбург'!#REF!,'7. ГД Ямбург'!#REF!,'7. ГД Ямбург'!#REF!</definedName>
    <definedName name="Z_8A2A2F47_3CCD_4B14_B6FD_506BFD71969A_.wvu.Cols" localSheetId="10" hidden="1">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</definedName>
    <definedName name="Z_8A2A2F47_3CCD_4B14_B6FD_506BFD71969A_.wvu.Cols" localSheetId="11" hidden="1">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</definedName>
    <definedName name="Z_8A2A2F47_3CCD_4B14_B6FD_506BFD71969A_.wvu.PrintArea" localSheetId="3" hidden="1">'1. ГПП-АГПЗ+'!$B$1:$J$89</definedName>
    <definedName name="Z_8A2A2F47_3CCD_4B14_B6FD_506BFD71969A_.wvu.PrintArea" localSheetId="17" hidden="1">'15. КСПГ Портовая'!$B$1:$J$19</definedName>
    <definedName name="Z_8A2A2F47_3CCD_4B14_B6FD_506BFD71969A_.wvu.PrintArea" localSheetId="20" hidden="1">'18. Газпром нефть'!$B$1:$J$82</definedName>
    <definedName name="Z_8A2A2F47_3CCD_4B14_B6FD_506BFD71969A_.wvu.PrintArea" localSheetId="5" hidden="1">'3. ГПП-СГПЗ'!$B$1:$J$63</definedName>
    <definedName name="Z_8A2A2F47_3CCD_4B14_B6FD_506BFD71969A_.wvu.PrintArea" localSheetId="7" hidden="1">'5. ГД Астрахань'!$B$1:$J$25</definedName>
    <definedName name="Z_8A2A2F47_3CCD_4B14_B6FD_506BFD71969A_.wvu.PrintArea" localSheetId="8" hidden="1">'6. ГД Оренбург'!$B$1:$J$38</definedName>
    <definedName name="Z_8A2A2F47_3CCD_4B14_B6FD_506BFD71969A_.wvu.PrintArea" localSheetId="9" hidden="1">'7. ГД Ямбург'!$B$1:$J$62</definedName>
    <definedName name="Z_8A2A2F47_3CCD_4B14_B6FD_506BFD71969A_.wvu.PrintTitles" localSheetId="6" hidden="1">'4. ГПП-УЗПКТ-СЗСК'!$7:$9</definedName>
    <definedName name="Z_8A2A2F47_3CCD_4B14_B6FD_506BFD71969A_.wvu.PrintTitles" localSheetId="8" hidden="1">'6. ГД Оренбург'!$6:$8</definedName>
    <definedName name="Z_8A2A2F47_3CCD_4B14_B6FD_506BFD71969A_.wvu.Rows" localSheetId="6" hidden="1">'4. ГПП-УЗПКТ-СЗСК'!$1:$1,'4. ГПП-УЗПКТ-СЗСК'!$3:$3</definedName>
    <definedName name="Z_8A2A2F47_3CCD_4B14_B6FD_506BFD71969A_.wvu.Rows" localSheetId="8" hidden="1">'6. ГД Оренбург'!$2:$4</definedName>
    <definedName name="Z_A11C4A44_8BBA_416A_8C38_28D4EE36AA66_.wvu.Cols" localSheetId="19" hidden="1">'17. Нефтехим Салават'!$A:$B,'17. Нефтехим Салават'!#REF!</definedName>
    <definedName name="Z_A11C4A44_8BBA_416A_8C38_28D4EE36AA66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DB35AC7D_F28C_47D4_B4F6_60F5274D89C3_.wvu.Cols" localSheetId="3" hidden="1">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</definedName>
    <definedName name="Z_DB35AC7D_F28C_47D4_B4F6_60F5274D89C3_.wvu.Cols" localSheetId="13" hidden="1">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</definedName>
    <definedName name="Z_DB35AC7D_F28C_47D4_B4F6_60F5274D89C3_.wvu.Cols" localSheetId="14" hidden="1">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</definedName>
    <definedName name="Z_DB35AC7D_F28C_47D4_B4F6_60F5274D89C3_.wvu.Cols" localSheetId="15" hidden="1">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</definedName>
    <definedName name="Z_DB35AC7D_F28C_47D4_B4F6_60F5274D89C3_.wvu.Cols" localSheetId="16" hidden="1">'14. ГП Благовещенск (Ам ГПЗ)'!$A:$C,'14. ГП Благовещенск (Ам ГПЗ)'!#REF!,'14. ГП Благовещенск (Ам ГПЗ)'!#REF!</definedName>
    <definedName name="Z_DB35AC7D_F28C_47D4_B4F6_60F5274D89C3_.wvu.Cols" localSheetId="17" hidden="1">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</definedName>
    <definedName name="Z_DB35AC7D_F28C_47D4_B4F6_60F5274D89C3_.wvu.Cols" localSheetId="18" hidden="1">'16. Востокгазпром'!$A:$B</definedName>
    <definedName name="Z_DB35AC7D_F28C_47D4_B4F6_60F5274D89C3_.wvu.Cols" localSheetId="19" hidden="1">'17. Нефтехим Салават'!$B:$B,'17. Нефтехим Салават'!#REF!,'17. Нефтехим Салават'!#REF!,'17. Нефтехим Салават'!#REF!</definedName>
    <definedName name="Z_DB35AC7D_F28C_47D4_B4F6_60F5274D89C3_.wvu.Cols" localSheetId="20" hidden="1">'18. Газпром нефть'!#REF!,'18. Газпром нефть'!#REF!,'18. Газпром нефть'!#REF!,'18. Газпром нефть'!#REF!,'18. Газпром нефть'!#REF!,'18. Газпром нефть'!#REF!,'18. Газпром нефть'!#REF!,'18. Газпром нефть'!#REF!</definedName>
    <definedName name="Z_DB35AC7D_F28C_47D4_B4F6_60F5274D89C3_.wvu.Cols" localSheetId="5" hidden="1">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</definedName>
    <definedName name="Z_DB35AC7D_F28C_47D4_B4F6_60F5274D89C3_.wvu.Cols" localSheetId="7" hidden="1">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</definedName>
    <definedName name="Z_DB35AC7D_F28C_47D4_B4F6_60F5274D89C3_.wvu.Cols" localSheetId="8" hidden="1">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</definedName>
    <definedName name="Z_DB35AC7D_F28C_47D4_B4F6_60F5274D89C3_.wvu.Cols" localSheetId="9" hidden="1">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</definedName>
    <definedName name="Z_DB35AC7D_F28C_47D4_B4F6_60F5274D89C3_.wvu.Cols" localSheetId="10" hidden="1">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</definedName>
    <definedName name="Z_DB35AC7D_F28C_47D4_B4F6_60F5274D89C3_.wvu.Cols" localSheetId="11" hidden="1">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</definedName>
    <definedName name="Z_DB35AC7D_F28C_47D4_B4F6_60F5274D89C3_.wvu.PrintArea" localSheetId="3" hidden="1">'1. ГПП-АГПЗ+'!$C$1:$J$82</definedName>
    <definedName name="Z_DB35AC7D_F28C_47D4_B4F6_60F5274D89C3_.wvu.PrintArea" localSheetId="16" hidden="1">'14. ГП Благовещенск (Ам ГПЗ)'!$A$6:$J$79</definedName>
    <definedName name="Z_DB35AC7D_F28C_47D4_B4F6_60F5274D89C3_.wvu.PrintArea" localSheetId="17" hidden="1">'15. КСПГ Портовая'!$B$1:$J$19</definedName>
    <definedName name="Z_DB35AC7D_F28C_47D4_B4F6_60F5274D89C3_.wvu.PrintArea" localSheetId="20" hidden="1">'18. Газпром нефть'!$B$1:$J$82</definedName>
    <definedName name="Z_DB35AC7D_F28C_47D4_B4F6_60F5274D89C3_.wvu.PrintArea" localSheetId="5" hidden="1">'3. ГПП-СГПЗ'!$C$1:$J$63</definedName>
    <definedName name="Z_DB35AC7D_F28C_47D4_B4F6_60F5274D89C3_.wvu.PrintArea" localSheetId="6" hidden="1">'4. ГПП-УЗПКТ-СЗСК'!$B$2:$J$270</definedName>
    <definedName name="Z_DB35AC7D_F28C_47D4_B4F6_60F5274D89C3_.wvu.PrintArea" localSheetId="7" hidden="1">'5. ГД Астрахань'!$C$1:$J$25</definedName>
    <definedName name="Z_DB35AC7D_F28C_47D4_B4F6_60F5274D89C3_.wvu.PrintArea" localSheetId="8" hidden="1">'6. ГД Оренбург'!$C$1:$J$38</definedName>
    <definedName name="Z_DB35AC7D_F28C_47D4_B4F6_60F5274D89C3_.wvu.PrintArea" localSheetId="9" hidden="1">'7. ГД Ямбург'!$B$1:$J$62</definedName>
    <definedName name="Z_DB35AC7D_F28C_47D4_B4F6_60F5274D89C3_.wvu.PrintArea" localSheetId="10" hidden="1">'8. ГД Уренгой'!$C$3:$J$89</definedName>
    <definedName name="Z_DB35AC7D_F28C_47D4_B4F6_60F5274D89C3_.wvu.PrintTitles" localSheetId="3" hidden="1">'1. ГПП-АГПЗ+'!$6:$8</definedName>
    <definedName name="Z_DB35AC7D_F28C_47D4_B4F6_60F5274D89C3_.wvu.PrintTitles" localSheetId="16" hidden="1">'14. ГП Благовещенск (Ам ГПЗ)'!$6:$8</definedName>
    <definedName name="Z_DB35AC7D_F28C_47D4_B4F6_60F5274D89C3_.wvu.PrintTitles" localSheetId="6" hidden="1">'4. ГПП-УЗПКТ-СЗСК'!$7:$9</definedName>
    <definedName name="Z_DB35AC7D_F28C_47D4_B4F6_60F5274D89C3_.wvu.PrintTitles" localSheetId="8" hidden="1">'6. ГД Оренбург'!$6:$8</definedName>
    <definedName name="Z_DB35AC7D_F28C_47D4_B4F6_60F5274D89C3_.wvu.Rows" localSheetId="12" hidden="1">'10. ГД Ноябрьск'!$1:$2</definedName>
    <definedName name="Z_DB35AC7D_F28C_47D4_B4F6_60F5274D89C3_.wvu.Rows" localSheetId="13" hidden="1">'11. ГД Надым'!$1:$3</definedName>
    <definedName name="Z_DB35AC7D_F28C_47D4_B4F6_60F5274D89C3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DB35AC7D_F28C_47D4_B4F6_60F5274D89C3_.wvu.Rows" localSheetId="5" hidden="1">'3. ГПП-СГПЗ'!$28:$30</definedName>
    <definedName name="Z_DB35AC7D_F28C_47D4_B4F6_60F5274D89C3_.wvu.Rows" localSheetId="6" hidden="1">'4. ГПП-УЗПКТ-СЗСК'!$1:$1,'4. ГПП-УЗПКТ-СЗСК'!$3:$3</definedName>
    <definedName name="Z_E35D3778_5275_416A_A5A0_FECB1A54AC1C_.wvu.Cols" localSheetId="3" hidden="1">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</definedName>
    <definedName name="Z_E35D3778_5275_416A_A5A0_FECB1A54AC1C_.wvu.Cols" localSheetId="12" hidden="1">'10. ГД Ноябрьск'!$A:$A,'10.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</definedName>
    <definedName name="Z_E35D3778_5275_416A_A5A0_FECB1A54AC1C_.wvu.Cols" localSheetId="13" hidden="1">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</definedName>
    <definedName name="Z_E35D3778_5275_416A_A5A0_FECB1A54AC1C_.wvu.Cols" localSheetId="14" hidden="1">'12. ГД Иркутск'!$B:$B,'12.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</definedName>
    <definedName name="Z_E35D3778_5275_416A_A5A0_FECB1A54AC1C_.wvu.Cols" localSheetId="15" hidden="1">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</definedName>
    <definedName name="Z_E35D3778_5275_416A_A5A0_FECB1A54AC1C_.wvu.Cols" localSheetId="16" hidden="1">'14. ГП Благовещенск (Ам ГПЗ)'!$A:$C,'14. ГП Благовещенск (Ам ГПЗ)'!#REF!</definedName>
    <definedName name="Z_E35D3778_5275_416A_A5A0_FECB1A54AC1C_.wvu.Cols" localSheetId="17" hidden="1">'15. КСПГ Портовая'!#REF!</definedName>
    <definedName name="Z_E35D3778_5275_416A_A5A0_FECB1A54AC1C_.wvu.Cols" localSheetId="18" hidden="1">'16. Востокгазпром'!$A:$B,'16.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</definedName>
    <definedName name="Z_E35D3778_5275_416A_A5A0_FECB1A54AC1C_.wvu.Cols" localSheetId="19" hidden="1">'17. Нефтехим Салават'!$A:$B,'17.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E35D3778_5275_416A_A5A0_FECB1A54AC1C_.wvu.Cols" localSheetId="20" hidden="1">'18. Газпром нефть'!#REF!</definedName>
    <definedName name="Z_E35D3778_5275_416A_A5A0_FECB1A54AC1C_.wvu.Cols" localSheetId="4" hidden="1">'2. ГПП-ОГХК'!$A:$B,'2.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</definedName>
    <definedName name="Z_E35D3778_5275_416A_A5A0_FECB1A54AC1C_.wvu.Cols" localSheetId="5" hidden="1">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</definedName>
    <definedName name="Z_E35D3778_5275_416A_A5A0_FECB1A54AC1C_.wvu.Cols" localSheetId="6" hidden="1">'4. ГПП-УЗПКТ-СЗСК'!$A:$B,'4.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</definedName>
    <definedName name="Z_E35D3778_5275_416A_A5A0_FECB1A54AC1C_.wvu.Cols" localSheetId="7" hidden="1">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</definedName>
    <definedName name="Z_E35D3778_5275_416A_A5A0_FECB1A54AC1C_.wvu.Cols" localSheetId="8" hidden="1">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</definedName>
    <definedName name="Z_E35D3778_5275_416A_A5A0_FECB1A54AC1C_.wvu.Cols" localSheetId="9" hidden="1">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</definedName>
    <definedName name="Z_E35D3778_5275_416A_A5A0_FECB1A54AC1C_.wvu.Cols" localSheetId="10" hidden="1">'8. ГД Уренгой'!$B:$B,'8.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</definedName>
    <definedName name="Z_E35D3778_5275_416A_A5A0_FECB1A54AC1C_.wvu.Cols" localSheetId="11" hidden="1">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</definedName>
    <definedName name="Z_E35D3778_5275_416A_A5A0_FECB1A54AC1C_.wvu.PrintArea" localSheetId="3" hidden="1">'1. ГПП-АГПЗ+'!$C$1:$J$84</definedName>
    <definedName name="Z_E35D3778_5275_416A_A5A0_FECB1A54AC1C_.wvu.PrintArea" localSheetId="16" hidden="1">'14. ГП Благовещенск (Ам ГПЗ)'!$A$6:$J$79</definedName>
    <definedName name="Z_E35D3778_5275_416A_A5A0_FECB1A54AC1C_.wvu.PrintArea" localSheetId="17" hidden="1">'15. КСПГ Портовая'!$B$1:$J$19</definedName>
    <definedName name="Z_E35D3778_5275_416A_A5A0_FECB1A54AC1C_.wvu.PrintArea" localSheetId="20" hidden="1">'18. Газпром нефть'!$B$1:$J$82</definedName>
    <definedName name="Z_E35D3778_5275_416A_A5A0_FECB1A54AC1C_.wvu.PrintArea" localSheetId="4" hidden="1">'2. ГПП-ОГХК'!$C$4:$J$312</definedName>
    <definedName name="Z_E35D3778_5275_416A_A5A0_FECB1A54AC1C_.wvu.PrintArea" localSheetId="5" hidden="1">'3. ГПП-СГПЗ'!$C$1:$J$63</definedName>
    <definedName name="Z_E35D3778_5275_416A_A5A0_FECB1A54AC1C_.wvu.PrintArea" localSheetId="6" hidden="1">'4. ГПП-УЗПКТ-СЗСК'!$B$2:$J$270</definedName>
    <definedName name="Z_E35D3778_5275_416A_A5A0_FECB1A54AC1C_.wvu.PrintArea" localSheetId="7" hidden="1">'5. ГД Астрахань'!$C$1:$J$25</definedName>
    <definedName name="Z_E35D3778_5275_416A_A5A0_FECB1A54AC1C_.wvu.PrintArea" localSheetId="8" hidden="1">'6. ГД Оренбург'!$C$1:$J$38</definedName>
    <definedName name="Z_E35D3778_5275_416A_A5A0_FECB1A54AC1C_.wvu.PrintArea" localSheetId="9" hidden="1">'7. ГД Ямбург'!$B$1:$J$62</definedName>
    <definedName name="Z_E35D3778_5275_416A_A5A0_FECB1A54AC1C_.wvu.PrintArea" localSheetId="10" hidden="1">'8. ГД Уренгой'!$C$3:$J$89</definedName>
    <definedName name="Z_E35D3778_5275_416A_A5A0_FECB1A54AC1C_.wvu.PrintArea" localSheetId="11" hidden="1">'9. ГД Краснодар'!$C$1:$J$56</definedName>
    <definedName name="Z_E35D3778_5275_416A_A5A0_FECB1A54AC1C_.wvu.PrintTitles" localSheetId="3" hidden="1">'1. ГПП-АГПЗ+'!$6:$8</definedName>
    <definedName name="Z_E35D3778_5275_416A_A5A0_FECB1A54AC1C_.wvu.PrintTitles" localSheetId="16" hidden="1">'14. ГП Благовещенск (Ам ГПЗ)'!$6:$8</definedName>
    <definedName name="Z_E35D3778_5275_416A_A5A0_FECB1A54AC1C_.wvu.PrintTitles" localSheetId="4" hidden="1">'2. ГПП-ОГХК'!$6:$8</definedName>
    <definedName name="Z_E35D3778_5275_416A_A5A0_FECB1A54AC1C_.wvu.PrintTitles" localSheetId="6" hidden="1">'4. ГПП-УЗПКТ-СЗСК'!$7:$9</definedName>
    <definedName name="Z_E35D3778_5275_416A_A5A0_FECB1A54AC1C_.wvu.PrintTitles" localSheetId="8" hidden="1">'6. ГД Оренбург'!$6:$8</definedName>
    <definedName name="Z_E35D3778_5275_416A_A5A0_FECB1A54AC1C_.wvu.Rows" localSheetId="12" hidden="1">'10. ГД Ноябрьск'!$1:$4</definedName>
    <definedName name="Z_E35D3778_5275_416A_A5A0_FECB1A54AC1C_.wvu.Rows" localSheetId="13" hidden="1">'11. ГД Надым'!$1:$3</definedName>
    <definedName name="Z_E35D3778_5275_416A_A5A0_FECB1A54AC1C_.wvu.Rows" localSheetId="14" hidden="1">'12. ГД Иркутск'!$39:$40,'12. ГД Иркутск'!#REF!</definedName>
    <definedName name="Z_E35D3778_5275_416A_A5A0_FECB1A54AC1C_.wvu.Rows" localSheetId="16" hidden="1">'14. ГП Благовещенск (Ам ГПЗ)'!$2:$5</definedName>
    <definedName name="Z_E35D3778_5275_416A_A5A0_FECB1A54AC1C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E35D3778_5275_416A_A5A0_FECB1A54AC1C_.wvu.Rows" localSheetId="6" hidden="1">'4. ГПП-УЗПКТ-СЗСК'!$1:$1</definedName>
    <definedName name="Z_E35D3778_5275_416A_A5A0_FECB1A54AC1C_.wvu.Rows" localSheetId="10" hidden="1">'8. ГД Уренгой'!$3:$3,'8. ГД Уренгой'!#REF!</definedName>
    <definedName name="Z_E98595DA_C344_4F96_A5D2_6A38EE050D66_.wvu.Cols" localSheetId="3" hidden="1">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</definedName>
    <definedName name="Z_E98595DA_C344_4F96_A5D2_6A38EE050D66_.wvu.Cols" localSheetId="12" hidden="1">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</definedName>
    <definedName name="Z_E98595DA_C344_4F96_A5D2_6A38EE050D66_.wvu.Cols" localSheetId="13" hidden="1">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</definedName>
    <definedName name="Z_E98595DA_C344_4F96_A5D2_6A38EE050D66_.wvu.Cols" localSheetId="14" hidden="1">'12. ГД Иркутск'!$B:$B,'12.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</definedName>
    <definedName name="Z_E98595DA_C344_4F96_A5D2_6A38EE050D66_.wvu.Cols" localSheetId="15" hidden="1">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</definedName>
    <definedName name="Z_E98595DA_C344_4F96_A5D2_6A38EE050D66_.wvu.Cols" localSheetId="16" hidden="1">'14. ГП Благовещенск (Ам ГПЗ)'!$A:$C,'14.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</definedName>
    <definedName name="Z_E98595DA_C344_4F96_A5D2_6A38EE050D66_.wvu.Cols" localSheetId="17" hidden="1">'15. КСПГ Портовая'!#REF!</definedName>
    <definedName name="Z_E98595DA_C344_4F96_A5D2_6A38EE050D66_.wvu.Cols" localSheetId="18" hidden="1">'16. Востокгазпром'!$A:$B,'16.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</definedName>
    <definedName name="Z_E98595DA_C344_4F96_A5D2_6A38EE050D66_.wvu.Cols" localSheetId="19" hidden="1">'17. Нефтехим Салават'!$B:$B,'17.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E98595DA_C344_4F96_A5D2_6A38EE050D66_.wvu.Cols" localSheetId="20" hidden="1">'18. Газпром нефть'!#REF!,'18. Газпром нефть'!#REF!</definedName>
    <definedName name="Z_E98595DA_C344_4F96_A5D2_6A38EE050D66_.wvu.Cols" localSheetId="4" hidden="1">'2. ГПП-ОГХК'!$A:$B,'2. ГПП-ОГХК'!#REF!,'2. ГПП-ОГХК'!#REF!,'2. ГПП-ОГХК'!#REF!,'2. ГПП-ОГХК'!#REF!</definedName>
    <definedName name="Z_E98595DA_C344_4F96_A5D2_6A38EE050D66_.wvu.Cols" localSheetId="5" hidden="1">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</definedName>
    <definedName name="Z_E98595DA_C344_4F96_A5D2_6A38EE050D66_.wvu.Cols" localSheetId="6" hidden="1">'4. ГПП-УЗПКТ-СЗСК'!$A:$B,'4.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</definedName>
    <definedName name="Z_E98595DA_C344_4F96_A5D2_6A38EE050D66_.wvu.Cols" localSheetId="7" hidden="1">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</definedName>
    <definedName name="Z_E98595DA_C344_4F96_A5D2_6A38EE050D66_.wvu.Cols" localSheetId="8" hidden="1">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</definedName>
    <definedName name="Z_E98595DA_C344_4F96_A5D2_6A38EE050D66_.wvu.Cols" localSheetId="9" hidden="1">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</definedName>
    <definedName name="Z_E98595DA_C344_4F96_A5D2_6A38EE050D66_.wvu.Cols" localSheetId="10" hidden="1">'8. ГД Уренгой'!$B:$B,'8.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</definedName>
    <definedName name="Z_E98595DA_C344_4F96_A5D2_6A38EE050D66_.wvu.Cols" localSheetId="11" hidden="1">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</definedName>
    <definedName name="Z_E98595DA_C344_4F96_A5D2_6A38EE050D66_.wvu.PrintArea" localSheetId="3" hidden="1">'1. ГПП-АГПЗ+'!$C$1:$J$82</definedName>
    <definedName name="Z_E98595DA_C344_4F96_A5D2_6A38EE050D66_.wvu.PrintArea" localSheetId="16" hidden="1">'14. ГП Благовещенск (Ам ГПЗ)'!$A$6:$J$79</definedName>
    <definedName name="Z_E98595DA_C344_4F96_A5D2_6A38EE050D66_.wvu.PrintArea" localSheetId="17" hidden="1">'15. КСПГ Портовая'!$B$1:$J$19</definedName>
    <definedName name="Z_E98595DA_C344_4F96_A5D2_6A38EE050D66_.wvu.PrintArea" localSheetId="20" hidden="1">'18. Газпром нефть'!$B$1:$J$82</definedName>
    <definedName name="Z_E98595DA_C344_4F96_A5D2_6A38EE050D66_.wvu.PrintArea" localSheetId="4" hidden="1">'2. ГПП-ОГХК'!$C$4:$J$312</definedName>
    <definedName name="Z_E98595DA_C344_4F96_A5D2_6A38EE050D66_.wvu.PrintArea" localSheetId="5" hidden="1">'3. ГПП-СГПЗ'!$C$1:$J$63</definedName>
    <definedName name="Z_E98595DA_C344_4F96_A5D2_6A38EE050D66_.wvu.PrintArea" localSheetId="6" hidden="1">'4. ГПП-УЗПКТ-СЗСК'!$B$2:$J$270</definedName>
    <definedName name="Z_E98595DA_C344_4F96_A5D2_6A38EE050D66_.wvu.PrintArea" localSheetId="7" hidden="1">'5. ГД Астрахань'!$C$1:$J$25</definedName>
    <definedName name="Z_E98595DA_C344_4F96_A5D2_6A38EE050D66_.wvu.PrintArea" localSheetId="8" hidden="1">'6. ГД Оренбург'!$C$1:$J$38</definedName>
    <definedName name="Z_E98595DA_C344_4F96_A5D2_6A38EE050D66_.wvu.PrintArea" localSheetId="9" hidden="1">'7. ГД Ямбург'!$B$1:$J$62</definedName>
    <definedName name="Z_E98595DA_C344_4F96_A5D2_6A38EE050D66_.wvu.PrintArea" localSheetId="10" hidden="1">'8. ГД Уренгой'!$C$3:$J$89</definedName>
    <definedName name="Z_E98595DA_C344_4F96_A5D2_6A38EE050D66_.wvu.PrintArea" localSheetId="11" hidden="1">'9. ГД Краснодар'!$C$1:$J$56</definedName>
    <definedName name="Z_E98595DA_C344_4F96_A5D2_6A38EE050D66_.wvu.PrintTitles" localSheetId="3" hidden="1">'1. ГПП-АГПЗ+'!$6:$8</definedName>
    <definedName name="Z_E98595DA_C344_4F96_A5D2_6A38EE050D66_.wvu.PrintTitles" localSheetId="16" hidden="1">'14. ГП Благовещенск (Ам ГПЗ)'!$6:$8</definedName>
    <definedName name="Z_E98595DA_C344_4F96_A5D2_6A38EE050D66_.wvu.PrintTitles" localSheetId="4" hidden="1">'2. ГПП-ОГХК'!$6:$8</definedName>
    <definedName name="Z_E98595DA_C344_4F96_A5D2_6A38EE050D66_.wvu.PrintTitles" localSheetId="6" hidden="1">'4. ГПП-УЗПКТ-СЗСК'!$7:$9</definedName>
    <definedName name="Z_E98595DA_C344_4F96_A5D2_6A38EE050D66_.wvu.PrintTitles" localSheetId="8" hidden="1">'6. ГД Оренбург'!$6:$8</definedName>
    <definedName name="Z_E98595DA_C344_4F96_A5D2_6A38EE050D66_.wvu.Rows" localSheetId="12" hidden="1">'10. ГД Ноябрьск'!$1:$4</definedName>
    <definedName name="Z_E98595DA_C344_4F96_A5D2_6A38EE050D66_.wvu.Rows" localSheetId="13" hidden="1">'11. ГД Надым'!$1:$3</definedName>
    <definedName name="Z_E98595DA_C344_4F96_A5D2_6A38EE050D66_.wvu.Rows" localSheetId="14" hidden="1">'12. ГД Иркутск'!$39:$40,'12. ГД Иркутск'!#REF!</definedName>
    <definedName name="Z_E98595DA_C344_4F96_A5D2_6A38EE050D66_.wvu.Rows" localSheetId="16" hidden="1">'14. ГП Благовещенск (Ам ГПЗ)'!$2:$5</definedName>
    <definedName name="Z_E98595DA_C344_4F96_A5D2_6A38EE050D66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E98595DA_C344_4F96_A5D2_6A38EE050D66_.wvu.Rows" localSheetId="6" hidden="1">'4. ГПП-УЗПКТ-СЗСК'!$1:$1</definedName>
    <definedName name="Z_E98595DA_C344_4F96_A5D2_6A38EE050D66_.wvu.Rows" localSheetId="10" hidden="1">'8. ГД Уренгой'!$3:$3,'8. ГД Уренгой'!#REF!</definedName>
    <definedName name="Z_ED2DDA07_57C7_4FE7_AF9F_2D3353DAFE6F_.wvu.Cols" localSheetId="19" hidden="1">'17. Нефтехим Салават'!$A:$B</definedName>
    <definedName name="Z_ED2DDA07_57C7_4FE7_AF9F_2D3353DAFE6F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а" localSheetId="1" hidden="1">{#N/A,#N/A,FALSE,"Август Сальдо После отчета"}</definedName>
    <definedName name="а" hidden="1">{#N/A,#N/A,FALSE,"Август Сальдо После отчета"}</definedName>
    <definedName name="ааа" localSheetId="1" hidden="1">{#N/A,#N/A,FALSE,"Август Сальдо После отчета"}</definedName>
    <definedName name="ааа" hidden="1">{#N/A,#N/A,FALSE,"Август Сальдо После отчета"}</definedName>
    <definedName name="аааааааа" localSheetId="1" hidden="1">{#N/A,#N/A,FALSE,"Август Сальдо После отчета"}</definedName>
    <definedName name="аааааааа" hidden="1">{#N/A,#N/A,FALSE,"Август Сальдо После отчета"}</definedName>
    <definedName name="ааааааааа" localSheetId="1" hidden="1">{#N/A,#N/A,FALSE,"Август Сальдо После отчета"}</definedName>
    <definedName name="ааааааааа" hidden="1">{#N/A,#N/A,FALSE,"Август Сальдо После отчета"}</definedName>
    <definedName name="аааааааааааааваа" localSheetId="1" hidden="1">{#N/A,#N/A,FALSE,"Август Сальдо После отчета"}</definedName>
    <definedName name="аааааааааааааваа" hidden="1">{#N/A,#N/A,FALSE,"Август Сальдо После отчета"}</definedName>
    <definedName name="апрапрпорл" localSheetId="1" hidden="1">{#N/A,#N/A,FALSE,"Август Сальдо После отчета"}</definedName>
    <definedName name="апрапрпорл" hidden="1">{#N/A,#N/A,FALSE,"Август Сальдо После отчета"}</definedName>
    <definedName name="ар" localSheetId="1" hidden="1">{#N/A,#N/A,FALSE,"Август Сальдо После отчета"}</definedName>
    <definedName name="ар" hidden="1">{#N/A,#N/A,FALSE,"Август Сальдо После отчета"}</definedName>
    <definedName name="б" localSheetId="1" hidden="1">{#N/A,#N/A,FALSE,"Август Сальдо После отчета"}</definedName>
    <definedName name="б" hidden="1">{#N/A,#N/A,FALSE,"Август Сальдо После отчета"}</definedName>
    <definedName name="база" localSheetId="1" hidden="1">{#N/A,#N/A,FALSE,"Август Сальдо После отчета"}</definedName>
    <definedName name="база" hidden="1">{#N/A,#N/A,FALSE,"Август Сальдо После отчета"}</definedName>
    <definedName name="в" localSheetId="1" hidden="1">{#N/A,#N/A,FALSE,"Август Сальдо После отчета"}</definedName>
    <definedName name="в" hidden="1">{#N/A,#N/A,FALSE,"Август Сальдо После отчета"}</definedName>
    <definedName name="ввв" localSheetId="1" hidden="1">{#N/A,#N/A,FALSE,"Август Сальдо После отчета"}</definedName>
    <definedName name="ввв" hidden="1">{#N/A,#N/A,FALSE,"Август Сальдо После отчета"}</definedName>
    <definedName name="ггг" localSheetId="1" hidden="1">{#N/A,#N/A,FALSE,"Август Сальдо После отчета"}</definedName>
    <definedName name="ггг" hidden="1">{#N/A,#N/A,FALSE,"Август Сальдо После отчета"}</definedName>
    <definedName name="ее" localSheetId="1" hidden="1">{#N/A,#N/A,FALSE,"Август Сальдо После отчета"}</definedName>
    <definedName name="ее" hidden="1">{#N/A,#N/A,FALSE,"Август Сальдо После отчета"}</definedName>
    <definedName name="ж" localSheetId="1" hidden="1">{#N/A,#N/A,FALSE,"Август Сальдо После отчета"}</definedName>
    <definedName name="ж" hidden="1">{#N/A,#N/A,FALSE,"Август Сальдо После отчета"}</definedName>
    <definedName name="з" localSheetId="1" hidden="1">{#N/A,#N/A,FALSE,"Август Сальдо После отчета"}</definedName>
    <definedName name="з" hidden="1">{#N/A,#N/A,FALSE,"Август Сальдо После отчета"}</definedName>
    <definedName name="и" localSheetId="1" hidden="1">{#N/A,#N/A,FALSE,"Август Сальдо После отчета"}</definedName>
    <definedName name="и" hidden="1">{#N/A,#N/A,FALSE,"Август Сальдо После отчета"}</definedName>
    <definedName name="июнь" localSheetId="1" hidden="1">{#N/A,#N/A,FALSE,"Август Сальдо После отчета"}</definedName>
    <definedName name="июнь" hidden="1">{#N/A,#N/A,FALSE,"Август Сальдо После отчета"}</definedName>
    <definedName name="йй" localSheetId="1" hidden="1">{#N/A,#N/A,FALSE,"Август Сальдо После отчета"}</definedName>
    <definedName name="йй" hidden="1">{#N/A,#N/A,FALSE,"Август Сальдо После отчета"}</definedName>
    <definedName name="йййй" localSheetId="1" hidden="1">{#N/A,#N/A,FALSE,"Август Сальдо После отчета"}</definedName>
    <definedName name="йййй" hidden="1">{#N/A,#N/A,FALSE,"Август Сальдо После отчета"}</definedName>
    <definedName name="к" localSheetId="1" hidden="1">{#N/A,#N/A,FALSE,"Август Сальдо После отчета"}</definedName>
    <definedName name="к" hidden="1">{#N/A,#N/A,FALSE,"Август Сальдо После отчета"}</definedName>
    <definedName name="кк" localSheetId="1" hidden="1">{#N/A,#N/A,FALSE,"Август Сальдо После отчета"}</definedName>
    <definedName name="кк" hidden="1">{#N/A,#N/A,FALSE,"Август Сальдо После отчета"}</definedName>
    <definedName name="кп" localSheetId="1" hidden="1">{#N/A,#N/A,FALSE,"Август Сальдо После отчета"}</definedName>
    <definedName name="кп" hidden="1">{#N/A,#N/A,FALSE,"Август Сальдо После отчета"}</definedName>
    <definedName name="кпп" localSheetId="1" hidden="1">{#N/A,#N/A,FALSE,"Август Сальдо После отчета"}</definedName>
    <definedName name="кпп" hidden="1">{#N/A,#N/A,FALSE,"Август Сальдо После отчета"}</definedName>
    <definedName name="л" localSheetId="1" hidden="1">{#N/A,#N/A,FALSE,"Август Сальдо После отчета"}</definedName>
    <definedName name="л" hidden="1">{#N/A,#N/A,FALSE,"Август Сальдо После отчета"}</definedName>
    <definedName name="лл" localSheetId="1" hidden="1">{#N/A,#N/A,FALSE,"Август Сальдо После отчета"}</definedName>
    <definedName name="лл" hidden="1">{#N/A,#N/A,FALSE,"Август Сальдо После отчета"}</definedName>
    <definedName name="ло" localSheetId="1" hidden="1">{#N/A,#N/A,FALSE,"Август Сальдо После отчета"}</definedName>
    <definedName name="ло" hidden="1">{#N/A,#N/A,FALSE,"Август Сальдо После отчета"}</definedName>
    <definedName name="лр" localSheetId="1" hidden="1">{#N/A,#N/A,FALSE,"Август Сальдо После отчета"}</definedName>
    <definedName name="лр" hidden="1">{#N/A,#N/A,FALSE,"Август Сальдо После отчета"}</definedName>
    <definedName name="м" localSheetId="1" hidden="1">{#N/A,#N/A,FALSE,"Август Сальдо После отчета"}</definedName>
    <definedName name="м" hidden="1">{#N/A,#N/A,FALSE,"Август Сальдо После отчета"}</definedName>
    <definedName name="н" localSheetId="1" hidden="1">{#N/A,#N/A,FALSE,"Август Сальдо После отчета"}</definedName>
    <definedName name="н" hidden="1">{#N/A,#N/A,FALSE,"Август Сальдо После отчета"}</definedName>
    <definedName name="НВ" localSheetId="1" hidden="1">{#N/A,#N/A,FALSE,"Август Сальдо После отчета"}</definedName>
    <definedName name="НВ" hidden="1">{#N/A,#N/A,FALSE,"Август Сальдо После отчета"}</definedName>
    <definedName name="ннн" localSheetId="1" hidden="1">{#N/A,#N/A,FALSE,"Август Сальдо После отчета"}</definedName>
    <definedName name="ннн" hidden="1">{#N/A,#N/A,FALSE,"Август Сальдо После отчета"}</definedName>
    <definedName name="нов." localSheetId="1" hidden="1">{#N/A,#N/A,FALSE,"Август Сальдо После отчета"}</definedName>
    <definedName name="нов." hidden="1">{#N/A,#N/A,FALSE,"Август Сальдо После отчета"}</definedName>
    <definedName name="о" localSheetId="1" hidden="1">{#N/A,#N/A,FALSE,"Август Сальдо После отчета"}</definedName>
    <definedName name="о" hidden="1">{#N/A,#N/A,FALSE,"Август Сальдо После отчета"}</definedName>
    <definedName name="_xlnm.Print_Area" localSheetId="3">'1. ГПП-АГПЗ+'!$C$1:$J$84</definedName>
    <definedName name="_xlnm.Print_Area" localSheetId="12">'10. ГД Ноябрьск'!$A$4:$J$67</definedName>
    <definedName name="_xlnm.Print_Area" localSheetId="13">'11. ГД Надым'!$A$1:$J$58</definedName>
    <definedName name="_xlnm.Print_Area" localSheetId="14">'12. ГД Иркутск'!$A$1:$J$33</definedName>
    <definedName name="_xlnm.Print_Area" localSheetId="15">'13. ГД Шельф'!$A$1:$J$26</definedName>
    <definedName name="_xlnm.Print_Area" localSheetId="16">'14. ГП Благовещенск (Ам ГПЗ)'!$A$6:$J$79</definedName>
    <definedName name="_xlnm.Print_Area" localSheetId="17">'15. КСПГ Портовая'!$B$1:$J$19</definedName>
    <definedName name="_xlnm.Print_Area" localSheetId="18">'16. Востокгазпром'!$A$1:$J$101</definedName>
    <definedName name="_xlnm.Print_Area" localSheetId="4">'2. ГПП-ОГХК'!$C$1:$J$312</definedName>
    <definedName name="_xlnm.Print_Area" localSheetId="5">'3. ГПП-СГПЗ'!$C$1:$J$63</definedName>
    <definedName name="_xlnm.Print_Area" localSheetId="6">'4. ГПП-УЗПКТ-СЗСК'!$B$2:$J$270</definedName>
    <definedName name="_xlnm.Print_Area" localSheetId="7">'5. ГД Астрахань'!$C$1:$J$23</definedName>
    <definedName name="_xlnm.Print_Area" localSheetId="8">'6. ГД Оренбург'!$A$1:$J$38</definedName>
    <definedName name="_xlnm.Print_Area" localSheetId="9">'7. ГД Ямбург'!$C$1:$J$48</definedName>
    <definedName name="_xlnm.Print_Area" localSheetId="10">'8. ГД Уренгой'!$C$3:$J$89</definedName>
    <definedName name="_xlnm.Print_Area" localSheetId="11">'9. ГД Краснодар'!$C$1:$J$53</definedName>
    <definedName name="_xlnm.Print_Area" localSheetId="1">'План общий'!$B$1:$I$1252</definedName>
    <definedName name="ол" localSheetId="1" hidden="1">{#N/A,#N/A,FALSE,"Август Сальдо После отчета"}</definedName>
    <definedName name="ол" hidden="1">{#N/A,#N/A,FALSE,"Август Сальдо После отчета"}</definedName>
    <definedName name="олджлждждж" localSheetId="1" hidden="1">{#N/A,#N/A,FALSE,"Август Сальдо После отчета"}</definedName>
    <definedName name="олджлждждж" hidden="1">{#N/A,#N/A,FALSE,"Август Сальдо После отчета"}</definedName>
    <definedName name="оо" localSheetId="1" hidden="1">{#N/A,#N/A,FALSE,"Август Сальдо После отчета"}</definedName>
    <definedName name="оо" hidden="1">{#N/A,#N/A,FALSE,"Август Сальдо После отчета"}</definedName>
    <definedName name="ооо" localSheetId="1" hidden="1">{#N/A,#N/A,FALSE,"Август Сальдо После отчета"}</definedName>
    <definedName name="ооо" hidden="1">{#N/A,#N/A,FALSE,"Август Сальдо После отчета"}</definedName>
    <definedName name="оооо" localSheetId="1" hidden="1">{#N/A,#N/A,FALSE,"Август Сальдо После отчета"}</definedName>
    <definedName name="оооо" hidden="1">{#N/A,#N/A,FALSE,"Август Сальдо После отчета"}</definedName>
    <definedName name="ооооо" localSheetId="1" hidden="1">{#N/A,#N/A,FALSE,"Август Сальдо После отчета"}</definedName>
    <definedName name="ооооо" hidden="1">{#N/A,#N/A,FALSE,"Август Сальдо После отчета"}</definedName>
    <definedName name="орлордлодлдл" localSheetId="1" hidden="1">{#N/A,#N/A,FALSE,"Август Сальдо После отчета"}</definedName>
    <definedName name="орлордлодлдл" hidden="1">{#N/A,#N/A,FALSE,"Август Сальдо После отчета"}</definedName>
    <definedName name="отчет" localSheetId="1" hidden="1">{#N/A,#N/A,FALSE,"Август Сальдо После отчета"}</definedName>
    <definedName name="отчет" hidden="1">{#N/A,#N/A,FALSE,"Август Сальдо После отчета"}</definedName>
    <definedName name="п" localSheetId="1" hidden="1">{#N/A,#N/A,FALSE,"Август Сальдо После отчета"}</definedName>
    <definedName name="п" hidden="1">{#N/A,#N/A,FALSE,"Август Сальдо После отчета"}</definedName>
    <definedName name="ппп" localSheetId="1" hidden="1">{#N/A,#N/A,FALSE,"Август Сальдо После отчета"}</definedName>
    <definedName name="ппп" hidden="1">{#N/A,#N/A,FALSE,"Август Сальдо После отчета"}</definedName>
    <definedName name="пппп" localSheetId="1" hidden="1">{#N/A,#N/A,FALSE,"Август Сальдо После отчета"}</definedName>
    <definedName name="пппп" hidden="1">{#N/A,#N/A,FALSE,"Август Сальдо После отчета"}</definedName>
    <definedName name="прап" localSheetId="1" hidden="1">{#N/A,#N/A,FALSE,"Август Сальдо После отчета"}</definedName>
    <definedName name="прап" hidden="1">{#N/A,#N/A,FALSE,"Август Сальдо После отчета"}</definedName>
    <definedName name="ПРИБЫЛЬ" localSheetId="1" hidden="1">{#N/A,#N/A,FALSE,"Август Сальдо После отчета"}</definedName>
    <definedName name="ПРИБЫЛЬ" hidden="1">{#N/A,#N/A,FALSE,"Август Сальдо После отчета"}</definedName>
    <definedName name="про" localSheetId="1" hidden="1">{#N/A,#N/A,FALSE,"Август Сальдо После отчета"}</definedName>
    <definedName name="про" hidden="1">{#N/A,#N/A,FALSE,"Август Сальдо После отчета"}</definedName>
    <definedName name="проо" localSheetId="1" hidden="1">{#N/A,#N/A,FALSE,"Август Сальдо После отчета"}</definedName>
    <definedName name="проо" hidden="1">{#N/A,#N/A,FALSE,"Август Сальдо После отчета"}</definedName>
    <definedName name="ПХГ" localSheetId="1" hidden="1">{"СОГПолнаяВерсия",#N/A,FALSE,"СОГ"}</definedName>
    <definedName name="ПХГ" hidden="1">{"СОГПолнаяВерсия",#N/A,FALSE,"СОГ"}</definedName>
    <definedName name="р" localSheetId="1" hidden="1">{#N/A,#N/A,FALSE,"Август Сальдо После отчета"}</definedName>
    <definedName name="р" hidden="1">{#N/A,#N/A,FALSE,"Август Сальдо После отчета"}</definedName>
    <definedName name="роо" localSheetId="1" hidden="1">{#N/A,#N/A,FALSE,"Август Сальдо После отчета"}</definedName>
    <definedName name="роо" hidden="1">{#N/A,#N/A,FALSE,"Август Сальдо После отчета"}</definedName>
    <definedName name="ррр" localSheetId="1" hidden="1">{#N/A,#N/A,FALSE,"Август Сальдо После отчета"}</definedName>
    <definedName name="ррр" hidden="1">{#N/A,#N/A,FALSE,"Август Сальдо После отчета"}</definedName>
    <definedName name="с" localSheetId="1" hidden="1">{#N/A,#N/A,FALSE,"Август Сальдо После отчета"}</definedName>
    <definedName name="с" hidden="1">{#N/A,#N/A,FALSE,"Август Сальдо После отчета"}</definedName>
    <definedName name="смета" localSheetId="19" hidden="1">#REF!</definedName>
    <definedName name="смета" localSheetId="4" hidden="1">#REF!</definedName>
    <definedName name="смета" localSheetId="1" hidden="1">#REF!</definedName>
    <definedName name="смета" hidden="1">#REF!</definedName>
    <definedName name="СНП" localSheetId="19" hidden="1">#REF!</definedName>
    <definedName name="СНП" localSheetId="4" hidden="1">#REF!</definedName>
    <definedName name="СНП" localSheetId="1" hidden="1">#REF!</definedName>
    <definedName name="СНП" hidden="1">#REF!</definedName>
    <definedName name="сравнен" localSheetId="1" hidden="1">{#N/A,#N/A,FALSE,"Август Сальдо После отчета"}</definedName>
    <definedName name="сравнен" hidden="1">{#N/A,#N/A,FALSE,"Август Сальдо После отчета"}</definedName>
    <definedName name="Сцен.новые" localSheetId="1" hidden="1">{#N/A,#N/A,FALSE,"Август Сальдо После отчета"}</definedName>
    <definedName name="Сцен.новые" hidden="1">{#N/A,#N/A,FALSE,"Август Сальдо После отчета"}</definedName>
    <definedName name="т" localSheetId="1" hidden="1">{#N/A,#N/A,FALSE,"Август Сальдо После отчета"}</definedName>
    <definedName name="т" hidden="1">{#N/A,#N/A,FALSE,"Август Сальдо После отчета"}</definedName>
    <definedName name="транзит" localSheetId="1" hidden="1">{#N/A,#N/A,FALSE,"Август Сальдо После отчета"}</definedName>
    <definedName name="транзит" hidden="1">{#N/A,#N/A,FALSE,"Август Сальдо После отчета"}</definedName>
    <definedName name="транзит2" localSheetId="1" hidden="1">{#N/A,#N/A,FALSE,"Август Сальдо После отчета"}</definedName>
    <definedName name="транзит2" hidden="1">{#N/A,#N/A,FALSE,"Август Сальдо После отчета"}</definedName>
    <definedName name="ттттт" localSheetId="1" hidden="1">{#N/A,#N/A,FALSE,"Август Сальдо После отчета"}</definedName>
    <definedName name="ттттт" hidden="1">{#N/A,#N/A,FALSE,"Август Сальдо После отчета"}</definedName>
    <definedName name="у" localSheetId="1" hidden="1">{#N/A,#N/A,FALSE,"Август Сальдо После отчета"}</definedName>
    <definedName name="у" hidden="1">{#N/A,#N/A,FALSE,"Август Сальдо После отчета"}</definedName>
    <definedName name="ууу" localSheetId="1" hidden="1">{#N/A,#N/A,FALSE,"Август Сальдо После отчета"}</definedName>
    <definedName name="ууу" hidden="1">{#N/A,#N/A,FALSE,"Август Сальдо После отчета"}</definedName>
    <definedName name="ф" localSheetId="1" hidden="1">{#N/A,#N/A,FALSE,"Август Сальдо После отчета"}</definedName>
    <definedName name="ф" hidden="1">{#N/A,#N/A,FALSE,"Август Сальдо После отчета"}</definedName>
    <definedName name="ф7" localSheetId="1" hidden="1">[2]ИД!#REF!</definedName>
    <definedName name="ф7" hidden="1">[2]ИД!#REF!</definedName>
    <definedName name="факт" localSheetId="1" hidden="1">{#N/A,#N/A,FALSE,"Август Сальдо После отчета"}</definedName>
    <definedName name="факт" hidden="1">{#N/A,#N/A,FALSE,"Август Сальдо После отчета"}</definedName>
    <definedName name="фы" localSheetId="19" hidden="1">#REF!</definedName>
    <definedName name="фы" localSheetId="4" hidden="1">#REF!</definedName>
    <definedName name="фы" localSheetId="1" hidden="1">#REF!</definedName>
    <definedName name="фы" hidden="1">#REF!</definedName>
    <definedName name="цв" localSheetId="1" hidden="1">{#N/A,#N/A,FALSE,"Август Сальдо После отчета"}</definedName>
    <definedName name="цв" hidden="1">{#N/A,#N/A,FALSE,"Август Сальдо После отчета"}</definedName>
    <definedName name="цк" localSheetId="1" hidden="1">{#N/A,#N/A,FALSE,"Август Сальдо После отчета"}</definedName>
    <definedName name="цк" hidden="1">{#N/A,#N/A,FALSE,"Август Сальдо После отчета"}</definedName>
    <definedName name="цкк" localSheetId="1" hidden="1">{#N/A,#N/A,FALSE,"Август Сальдо После отчета"}</definedName>
    <definedName name="цкк" hidden="1">{#N/A,#N/A,FALSE,"Август Сальдо После отчета"}</definedName>
    <definedName name="цккк" localSheetId="1" hidden="1">{#N/A,#N/A,FALSE,"Август Сальдо После отчета"}</definedName>
    <definedName name="цккк" hidden="1">{#N/A,#N/A,FALSE,"Август Сальдо После отчета"}</definedName>
    <definedName name="цкккк" localSheetId="1" hidden="1">{#N/A,#N/A,FALSE,"Август Сальдо После отчета"}</definedName>
    <definedName name="цкккк" hidden="1">{#N/A,#N/A,FALSE,"Август Сальдо После отчета"}</definedName>
    <definedName name="цккккк" localSheetId="1" hidden="1">{#N/A,#N/A,FALSE,"Август Сальдо После отчета"}</definedName>
    <definedName name="цккккк" hidden="1">{#N/A,#N/A,FALSE,"Август Сальдо После отчета"}</definedName>
    <definedName name="цкккккк" localSheetId="1" hidden="1">{#N/A,#N/A,FALSE,"Август Сальдо После отчета"}</definedName>
    <definedName name="цкккккк" hidden="1">{#N/A,#N/A,FALSE,"Август Сальдо После отчета"}</definedName>
    <definedName name="цц" localSheetId="1" hidden="1">{#N/A,#N/A,FALSE,"Август Сальдо После отчета"}</definedName>
    <definedName name="цц" hidden="1">{#N/A,#N/A,FALSE,"Август Сальдо После отчета"}</definedName>
    <definedName name="ч" localSheetId="1" hidden="1">{#N/A,#N/A,FALSE,"Август Сальдо После отчета"}</definedName>
    <definedName name="ч" hidden="1">{#N/A,#N/A,FALSE,"Август Сальдо После отчета"}</definedName>
    <definedName name="ш" localSheetId="1" hidden="1">{#N/A,#N/A,FALSE,"Август Сальдо После отчета"}</definedName>
    <definedName name="ш" hidden="1">{#N/A,#N/A,FALSE,"Август Сальдо После отчета"}</definedName>
    <definedName name="шшш" localSheetId="1" hidden="1">{#N/A,#N/A,FALSE,"Август Сальдо После отчета"}</definedName>
    <definedName name="шшш" hidden="1">{#N/A,#N/A,FALSE,"Август Сальдо После отчета"}</definedName>
    <definedName name="щ" localSheetId="1" hidden="1">{#N/A,#N/A,FALSE,"Август Сальдо После отчета"}</definedName>
    <definedName name="щ" hidden="1">{#N/A,#N/A,FALSE,"Август Сальдо После отчета"}</definedName>
    <definedName name="щщщ" localSheetId="1" hidden="1">{#N/A,#N/A,FALSE,"Август Сальдо После отчета"}</definedName>
    <definedName name="щщщ" hidden="1">{#N/A,#N/A,FALSE,"Август Сальдо После отчета"}</definedName>
    <definedName name="ы" localSheetId="1" hidden="1">{#N/A,#N/A,FALSE,"Август Сальдо После отчета"}</definedName>
    <definedName name="ы" hidden="1">{#N/A,#N/A,FALSE,"Август Сальдо После отчета"}</definedName>
    <definedName name="ь" localSheetId="1" hidden="1">{#N/A,#N/A,FALSE,"Август Сальдо После отчета"}</definedName>
    <definedName name="ь" hidden="1">{#N/A,#N/A,FALSE,"Август Сальдо После отчета"}</definedName>
    <definedName name="ю" localSheetId="1" hidden="1">{#N/A,#N/A,FALSE,"Август Сальдо После отчета"}</definedName>
    <definedName name="ю" hidden="1">{#N/A,#N/A,FALSE,"Август Сальдо После отчета"}</definedName>
    <definedName name="я" localSheetId="1" hidden="1">{#N/A,#N/A,FALSE,"Август Сальдо После отчета"}</definedName>
    <definedName name="я" hidden="1">{#N/A,#N/A,FALSE,"Август Сальдо После отчета"}</definedName>
  </definedNames>
  <calcPr calcId="152511"/>
</workbook>
</file>

<file path=xl/calcChain.xml><?xml version="1.0" encoding="utf-8"?>
<calcChain xmlns="http://schemas.openxmlformats.org/spreadsheetml/2006/main">
  <c r="A301" i="5" l="1"/>
  <c r="A295" i="5"/>
  <c r="A286" i="5"/>
  <c r="A269" i="5"/>
  <c r="A260" i="5"/>
  <c r="A250" i="5"/>
  <c r="A232" i="5"/>
  <c r="A227" i="5"/>
  <c r="A220" i="5"/>
  <c r="A212" i="5"/>
  <c r="A197" i="5"/>
  <c r="A148" i="5"/>
  <c r="A134" i="5"/>
  <c r="A126" i="5"/>
  <c r="A113" i="5"/>
  <c r="A107" i="5"/>
  <c r="A81" i="5"/>
  <c r="A49" i="5"/>
  <c r="G13" i="3"/>
</calcChain>
</file>

<file path=xl/comments1.xml><?xml version="1.0" encoding="utf-8"?>
<comments xmlns="http://schemas.openxmlformats.org/spreadsheetml/2006/main">
  <authors>
    <author>tc={00A1001C-00F8-48C5-A980-00FA00E200ED}</author>
    <author>tc={00570049-00D9-4338-84FB-002E0086007F}</author>
    <author>tc={002C009A-0070-40E5-B999-000100E100B5}</author>
    <author>tc={005C003B-0098-451E-A19B-003600AA0048}</author>
    <author>tc={003D0037-00DD-4D80-AA63-0072004200E8}</author>
    <author>tc={00CC004C-005E-4584-93E9-001C00DF0035}</author>
    <author>Admin</author>
    <author>tc={00F40066-0045-4CBE-8B08-0038005A00BF}</author>
    <author>tc={00D700C6-00C7-4A18-A30D-004500A40088}</author>
    <author>tc={009F00FE-00E3-4F90-BD33-0076002B00EF}</author>
    <author>tc={00F9006B-00C2-400A-9B46-0043003F0036}</author>
    <author>tc={00F10069-00BC-49BA-A080-004C00910005}</author>
    <author>tc={009B00AE-00DB-47F6-BA37-00DD004A0064}</author>
    <author>tc={00A200C7-00BA-477A-84C4-00900058008F}</author>
    <author>tc={0025009B-00F4-4597-ADA4-00F900610000}</author>
    <author>tc={00DD0092-0072-415D-83E5-00D7006900D5}</author>
    <author>tc={00AC009D-0058-42B4-992E-00C600420062}</author>
    <author>tc={00A700A8-0081-418E-8F2A-00E400360047}</author>
    <author>tc={001100B3-0029-4E04-B898-009C00D300B1}</author>
    <author>tc={00A30065-00CD-4EA5-900F-007900880063}</author>
    <author>tc={00A30022-00ED-449F-95A8-00A00052005A}</author>
    <author>tc={004B0066-0002-402B-BADC-004B00FE00C1}</author>
    <author>tc={00D10051-0089-4CBC-A143-00DA00770032}</author>
    <author>tc={00950000-00CB-42F8-B0B2-00E200AD00CF}</author>
    <author>tc={001C0003-00B1-4708-953D-00D200F30055}</author>
    <author>tc={00700067-00E5-4B30-8550-005B006600DC}</author>
    <author>tc={0084009B-00E3-4903-974A-006E0076009B}</author>
    <author>tc={00E900F7-00B2-4B8A-B8E9-000D0091002A}</author>
    <author>tc={00F10013-000C-43B6-A863-00C0000100FB}</author>
    <author>tc={00C70042-00A4-4050-B843-00D200D100F4}</author>
    <author>tc={00E90075-00C6-40E0-86FD-007900820025}</author>
    <author>tc={006900D3-0057-4844-9D65-00F000FE0021}</author>
  </authors>
  <commentList>
    <comment ref="C12" authorId="0" shapeId="0">
      <text>
        <r>
          <rPr>
            <sz val="16"/>
            <color indexed="8"/>
            <rFont val="Times New Roman"/>
            <family val="1"/>
            <charset val="204"/>
          </rPr>
          <t xml:space="preserve">
Собственник мощностей
</t>
        </r>
      </text>
    </comment>
    <comment ref="C31" authorId="1" shapeId="0">
      <text>
        <r>
          <rPr>
            <sz val="16"/>
            <color indexed="8"/>
            <rFont val="Times New Roman"/>
            <family val="1"/>
            <charset val="204"/>
          </rPr>
          <t xml:space="preserve">
стн получаемые при кранении СПГ в плавучем хранилище. Идущие на стн в качетсе отпарного газа
</t>
        </r>
      </text>
    </comment>
    <comment ref="C40" authorId="2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объем содержит объемы  ДРОД т.к. транспортировку осуществляет ГДО в адрес ГПП
</t>
        </r>
      </text>
    </comment>
    <comment ref="C96" authorId="3" shapeId="0">
      <text>
        <r>
          <rPr>
            <sz val="16"/>
            <color indexed="8"/>
            <rFont val="Times New Roman"/>
            <family val="1"/>
            <charset val="204"/>
          </rPr>
          <t xml:space="preserve">
в сумму не идет, тк сидят объемы в ГДЯ и ГДУ - новая строка - сумма на процеесинг (МУ+Новатэк)
</t>
        </r>
      </text>
    </comment>
    <comment ref="C97" authorId="4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считаем весь ГДЯ=(на УЗПКТ +на процесс Новатэк) , только без продажи на новатэк
</t>
        </r>
      </text>
    </comment>
    <comment ref="C99" authorId="5" shapeId="0">
      <text>
        <r>
          <rPr>
            <sz val="16"/>
            <color indexed="8"/>
            <rFont val="Times New Roman"/>
            <family val="1"/>
            <charset val="204"/>
          </rPr>
          <t xml:space="preserve">
считаем весь ГДУ =(на УЗПКТ +на процесс Новатэк) , только без продажи на новатэк
</t>
        </r>
      </text>
    </comment>
    <comment ref="C101" authorId="6" shapeId="0">
      <text>
        <r>
          <rPr>
            <sz val="16"/>
            <color indexed="8"/>
            <rFont val="Times New Roman"/>
            <family val="1"/>
            <charset val="204"/>
          </rPr>
          <t xml:space="preserve">15.01.2026 Подлевских А.С.:
По указанию ТНТ
</t>
        </r>
      </text>
    </comment>
    <comment ref="C108" authorId="7" shapeId="0">
      <text>
        <r>
          <rPr>
            <sz val="16"/>
            <color indexed="8"/>
            <rFont val="Times New Roman"/>
            <family val="1"/>
            <charset val="204"/>
          </rPr>
          <t xml:space="preserve">Ледяев Дмитрий Анатольевич:
Валовый нестаб конденсат является собственностью ГдНояб, его покупает ПАО и товарн стаб конд уже становится собств ПАО
</t>
        </r>
      </text>
    </comment>
    <comment ref="C118" authorId="8" shapeId="0">
      <text>
        <r>
          <rPr>
            <sz val="16"/>
            <color indexed="8"/>
            <rFont val="Times New Roman"/>
            <family val="1"/>
            <charset val="204"/>
          </rPr>
          <t xml:space="preserve">Тюлягина Татьяна Николаевна:
ГПП покупает у ГДУ сырье на переработку для получения получения продуктов на заполнение альт схемы пр пнр. В течение года будем отражать баланс, когда будут договоры заключены и Д314 сможет показать баланс.
</t>
        </r>
      </text>
    </comment>
    <comment ref="C225" authorId="9" shapeId="0">
      <text>
        <r>
          <rPr>
            <sz val="16"/>
            <color indexed="8"/>
            <rFont val="Times New Roman"/>
            <family val="1"/>
            <charset val="204"/>
          </rPr>
          <t xml:space="preserve">Тюлягина Татьяна Николаевна:
Собственник сырья
- для заполнения серных ям,
Есть протокол
</t>
        </r>
      </text>
    </comment>
    <comment ref="C246" authorId="10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УНГП, Сервиснефтегаз, 
</t>
        </r>
      </text>
    </comment>
    <comment ref="C255" authorId="11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УНГП, Сервиснефтегаз, 
</t>
        </r>
      </text>
    </comment>
    <comment ref="C291" authorId="12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02.12 добавлена формула
2022.12.02  Усманова-Тараскин
Газ с УМТ реализуется от ПАО (агент ГПП) в адрес Газинформпласт на СТН
Демихов: 2021
газ деэтнизации будет продаваться через ГПП в адрес эксплуат. Орг. (сжигается).
</t>
        </r>
      </text>
    </comment>
    <comment ref="C336" authorId="13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изменена формула
</t>
        </r>
      </text>
    </comment>
    <comment ref="C405" authorId="14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УНГП, Сервиснефтегаз, 
</t>
        </r>
      </text>
    </comment>
    <comment ref="C429" authorId="15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УНГП, Сервиснефтегаз, 
</t>
        </r>
      </text>
    </comment>
    <comment ref="C448" authorId="16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Windows User
07.11 изменно название
</t>
        </r>
      </text>
    </comment>
    <comment ref="C480" authorId="17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07.11новая строка
</t>
        </r>
      </text>
    </comment>
    <comment ref="C515" authorId="18" shapeId="0">
      <text>
        <r>
          <rPr>
            <sz val="16"/>
            <color indexed="8"/>
            <rFont val="Times New Roman"/>
            <family val="1"/>
            <charset val="204"/>
          </rPr>
          <t xml:space="preserve">
изменено название 
стаб. газ. конденсат, нефть (Ен-Яхинское НГКМ, Песцовое НГКМ, Ачим отл. 3 уч., Уренгойское НГКМ фаза 2)
</t>
        </r>
      </text>
    </comment>
    <comment ref="C521" authorId="19" shapeId="0">
      <text>
        <r>
          <rPr>
            <sz val="16"/>
            <color indexed="8"/>
            <rFont val="Times New Roman"/>
            <family val="1"/>
            <charset val="204"/>
          </rPr>
          <t xml:space="preserve">
нефть заполяр становится газпромовской , как только появляется труба в транснефти- альтернат схема
</t>
        </r>
      </text>
    </comment>
    <comment ref="C573" authorId="20" shapeId="0">
      <text>
        <r>
          <rPr>
            <sz val="16"/>
            <color indexed="8"/>
            <rFont val="Times New Roman"/>
            <family val="1"/>
            <charset val="204"/>
          </rPr>
          <t xml:space="preserve">Подлевских Анастасия Сергеевна:
добавла СК на СТН, так как этот объем ПАО продает ГДИ
</t>
        </r>
      </text>
    </comment>
    <comment ref="C574" authorId="21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нефть покупка
</t>
        </r>
      </text>
    </comment>
    <comment ref="C578" authorId="22" shapeId="0">
      <text>
        <r>
          <rPr>
            <sz val="16"/>
            <color indexed="8"/>
            <rFont val="Times New Roman"/>
            <family val="1"/>
            <charset val="204"/>
          </rPr>
          <t xml:space="preserve">
нефть заполяр становится газпромовской , как только появляется труба в транснефти- альтернат схема
</t>
        </r>
      </text>
    </comment>
    <comment ref="C590" authorId="23" shapeId="0">
      <text>
        <r>
          <rPr>
            <sz val="16"/>
            <color indexed="8"/>
            <rFont val="Times New Roman"/>
            <family val="1"/>
            <charset val="204"/>
          </rPr>
          <t xml:space="preserve">
изменено название 
стаб. газ. конденсат, нефть (Ен-Яхинское НГКМ, Песцовое НГКМ, Ачим отл. 3 уч., Уренгойское НГКМ фаза 2)
</t>
        </r>
      </text>
    </comment>
    <comment ref="C594" authorId="24" shapeId="0">
      <text>
        <r>
          <rPr>
            <sz val="16"/>
            <color indexed="8"/>
            <rFont val="Times New Roman"/>
            <family val="1"/>
            <charset val="204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C596" authorId="25" shapeId="0">
      <text>
        <r>
          <rPr>
            <sz val="16"/>
            <color indexed="8"/>
            <rFont val="Times New Roman"/>
            <family val="1"/>
            <charset val="204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C640" authorId="26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изменено название
</t>
        </r>
      </text>
    </comment>
    <comment ref="C706" authorId="27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07.11 переименовать
</t>
        </r>
      </text>
    </comment>
    <comment ref="C868" authorId="28" shapeId="0">
      <text>
        <r>
          <rPr>
            <sz val="16"/>
            <color indexed="8"/>
            <rFont val="Times New Roman"/>
            <family val="1"/>
            <charset val="204"/>
          </rPr>
          <t xml:space="preserve">Тарасевич Елена Сергеевна:
Добавлен показатель (НК из повторной переработки СОГ на НТА с сентября 2026 г.
</t>
        </r>
      </text>
    </comment>
    <comment ref="C961" authorId="29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03/02 Добавлена строка
</t>
        </r>
      </text>
    </comment>
    <comment ref="C1108" authorId="30" shapeId="0">
      <text>
        <r>
          <rPr>
            <sz val="16"/>
            <color indexed="8"/>
            <rFont val="Times New Roman"/>
            <family val="1"/>
            <charset val="204"/>
          </rPr>
          <t xml:space="preserve">Подлевских Анастасия Сергеевна:
топливо газообразное + кокс
</t>
        </r>
      </text>
    </comment>
    <comment ref="C1203" authorId="31" shapeId="0">
      <text>
        <r>
          <rPr>
            <sz val="16"/>
            <color indexed="8"/>
            <rFont val="Times New Roman"/>
            <family val="1"/>
            <charset val="204"/>
          </rPr>
          <t xml:space="preserve">Подлевских Анастасия Сергеевна:
природный газ только на технологию
</t>
        </r>
      </text>
    </comment>
  </commentList>
</comments>
</file>

<file path=xl/comments2.xml><?xml version="1.0" encoding="utf-8"?>
<comments xmlns="http://schemas.openxmlformats.org/spreadsheetml/2006/main">
  <authors>
    <author>tc={00AC005A-002B-4346-A99B-003D00A600B4}</author>
    <author>tc={0066008B-004F-4F8D-8180-00DF003E004E}</author>
    <author>tc={00FD0021-00E8-4949-BB91-009700240059}</author>
    <author>tc={00C00045-00B1-4D5D-948B-00FE007400A7}</author>
    <author>tc={00C20054-00FD-481B-BFE7-008F008100B6}</author>
    <author>tc={00FB0021-0046-4A4B-9B1B-007800130075}</author>
    <author>tc={00660044-00B2-4AF1-9095-002300BF0021}</author>
    <author>tc={00BB00E4-0020-48ED-AC93-001400D10094}</author>
  </authors>
  <commentList>
    <comment ref="D26" authorId="0" shapeId="0">
      <text>
        <r>
          <rPr>
            <sz val="16"/>
            <color indexed="8"/>
            <rFont val="Times New Roman"/>
            <family val="1"/>
            <charset val="204"/>
          </rPr>
          <t xml:space="preserve">МТБЭ увеличивает октановое число бензинов, способствует более полному сгоранию топлива, предотвращает коррозию металла
</t>
        </r>
      </text>
    </comment>
    <comment ref="D31" authorId="1" shapeId="0">
      <text>
        <r>
          <rPr>
            <sz val="16"/>
            <color indexed="8"/>
            <rFont val="Times New Roman"/>
            <family val="1"/>
            <charset val="204"/>
          </rPr>
          <t xml:space="preserve">
сбросные газы+потери серы+потери на газовой части (кроме У41 и КГН на У71) без учета потерь воды минус приход ED (деминерализованная вода) и воды МКФ на ЭЛОУ
</t>
        </r>
      </text>
    </comment>
    <comment ref="D32" authorId="2" shapeId="0">
      <text>
        <r>
          <rPr>
            <sz val="16"/>
            <color indexed="8"/>
            <rFont val="Times New Roman"/>
            <family val="1"/>
            <charset val="204"/>
          </rPr>
          <t xml:space="preserve">потери на производстве 3 + У71 (КГН) + У21 + У41
</t>
        </r>
      </text>
    </comment>
    <comment ref="D51" authorId="3" shapeId="0">
      <text>
        <r>
          <rPr>
            <sz val="16"/>
            <color indexed="8"/>
            <rFont val="Times New Roman"/>
            <family val="1"/>
            <charset val="204"/>
          </rPr>
          <t xml:space="preserve">от переработки ск и шфлу
</t>
        </r>
      </text>
    </comment>
    <comment ref="D60" authorId="4" shapeId="0">
      <text>
        <r>
          <rPr>
            <sz val="16"/>
            <color indexed="8"/>
            <rFont val="Times New Roman"/>
            <family val="1"/>
            <charset val="204"/>
          </rPr>
          <t xml:space="preserve">
с потерями на У500, У505
</t>
        </r>
      </text>
    </comment>
    <comment ref="D64" authorId="5" shapeId="0">
      <text>
        <r>
          <rPr>
            <sz val="16"/>
            <color indexed="8"/>
            <rFont val="Times New Roman"/>
            <family val="1"/>
            <charset val="204"/>
          </rPr>
          <t xml:space="preserve">Разница междду валовым СК и СК на переработку
</t>
        </r>
      </text>
    </comment>
    <comment ref="D68" authorId="6" shapeId="0">
      <text>
        <r>
          <rPr>
            <sz val="16"/>
            <color indexed="8"/>
            <rFont val="Times New Roman"/>
            <family val="1"/>
            <charset val="204"/>
          </rPr>
          <t xml:space="preserve">с потерями на У515
</t>
        </r>
      </text>
    </comment>
    <comment ref="D78" authorId="7" shapeId="0">
      <text>
        <r>
          <rPr>
            <sz val="16"/>
            <color indexed="8"/>
            <rFont val="Times New Roman"/>
            <family val="1"/>
            <charset val="204"/>
          </rPr>
          <t xml:space="preserve">газ , получаемый в процесс вторичных процессов при Гидроочистке и риформинга, изомеризации т тд, для потребления завода на 3 производстве
</t>
        </r>
      </text>
    </comment>
  </commentList>
</comments>
</file>

<file path=xl/comments3.xml><?xml version="1.0" encoding="utf-8"?>
<comments xmlns="http://schemas.openxmlformats.org/spreadsheetml/2006/main">
  <authors>
    <author>tc={007A004B-00FE-49E5-95A8-001A00C500A2}</author>
    <author>tc={00A90063-0054-44DF-B92F-00F8009300DA}</author>
    <author>tc={00250033-0041-47B8-AA0F-00BE00D8009E}</author>
  </authors>
  <commentList>
    <comment ref="D28" authorId="0" shapeId="0">
      <text>
        <r>
          <rPr>
            <sz val="16"/>
            <color indexed="8"/>
            <rFont val="Times New Roman"/>
            <family val="1"/>
            <charset val="204"/>
          </rPr>
          <t xml:space="preserve">Тюлягина Татьяна Николаевна:
Входят сбросные газа - более 7-9 %, остальное потери
</t>
        </r>
      </text>
    </comment>
    <comment ref="D32" authorId="1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изменена формула
</t>
        </r>
      </text>
    </comment>
    <comment ref="D45" authorId="2" shapeId="0">
      <text>
        <r>
          <rPr>
            <sz val="16"/>
            <color indexed="8"/>
            <rFont val="Times New Roman"/>
            <family val="1"/>
            <charset val="204"/>
          </rPr>
          <t xml:space="preserve">Ешимов Эрик Серикбаевич:
включая поставку на ГРС Крутянская
</t>
        </r>
      </text>
    </comment>
  </commentList>
</comments>
</file>

<file path=xl/comments4.xml><?xml version="1.0" encoding="utf-8"?>
<comments xmlns="http://schemas.openxmlformats.org/spreadsheetml/2006/main">
  <authors>
    <author>tc={00D9001E-00F0-40A5-8D0A-0013002300AB}</author>
    <author>Admin</author>
    <author>tc={00400047-0051-4500-A59A-000A00DC001D}</author>
    <author>tc={00750030-0056-415F-B9B9-007700BD0072}</author>
    <author>tc={00510046-009A-420B-8A56-005D00110025}</author>
    <author>tc={006D0074-00C5-4F4F-A299-003800800054}</author>
    <author>tc={004100E2-0054-4CCF-9AF6-000D007E00A2}</author>
    <author>tc={00D400E6-009C-4BAF-A019-006C00590012}</author>
    <author>tc={00690075-0080-446B-93C3-00E8004500ED}</author>
    <author>tc={009C0014-00F2-47F5-A272-009300FB0034}</author>
    <author>tc={00080095-00BE-4B04-971B-0071006E0087}</author>
    <author>tc={00A00017-00DC-4097-9F72-00F600D400AF}</author>
    <author>tc={002B007D-0043-4EA4-9B29-002F00B200EB}</author>
    <author>tc={005B00BE-00DC-4BAC-B891-004700EE00B1}</author>
    <author>tc={003B00E8-005F-4390-8E47-004800B400B0}</author>
    <author>tc={00D70001-0053-46EB-AD68-003500FB0082}</author>
    <author>tc={002400D4-0035-4373-9DA4-00B800300005}</author>
    <author>tc={00A60096-007E-4FA0-992E-007D004D00D3}</author>
    <author>tc={00A60047-0024-4E83-84B6-004F004E00AF}</author>
    <author>tc={000500DF-00A2-4FB9-A78B-00760021003F}</author>
    <author>tc={00E7008D-00CF-4A38-84F0-003900BA0046}</author>
  </authors>
  <commentList>
    <comment ref="D18" authorId="0" shapeId="0">
      <text>
        <r>
          <rPr>
            <sz val="16"/>
            <color indexed="8"/>
            <rFont val="Times New Roman"/>
            <family val="1"/>
            <charset val="204"/>
          </rPr>
          <t xml:space="preserve">Ледяев Дмитрий Анатольевич:
03/02 изменена формула
</t>
        </r>
      </text>
    </comment>
    <comment ref="D21" authorId="1" shapeId="0">
      <text>
        <r>
          <rPr>
            <sz val="16"/>
            <color indexed="8"/>
            <rFont val="Times New Roman"/>
            <family val="1"/>
            <charset val="204"/>
          </rPr>
          <t xml:space="preserve">15.01.2026 Подлевских А.С.:
По указанию ТНТ.
Необходимо внести строчку в файл для факта
</t>
        </r>
      </text>
    </comment>
    <comment ref="D41" authorId="2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изменена формула 29.11,2022
</t>
        </r>
      </text>
    </comment>
    <comment ref="D43" authorId="3" shapeId="0">
      <text>
        <r>
          <rPr>
            <sz val="16"/>
            <color indexed="8"/>
            <rFont val="Times New Roman"/>
            <family val="1"/>
            <charset val="204"/>
          </rPr>
          <t xml:space="preserve">Ледяев Дмитрий Анатольевич:
03/02 изменена формула
</t>
        </r>
      </text>
    </comment>
    <comment ref="D48" authorId="4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изменено название
</t>
        </r>
      </text>
    </comment>
    <comment ref="D49" authorId="5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Зеленихина Мария Владимировн раздел перенесен из п 4,17-4,19
</t>
        </r>
      </text>
    </comment>
    <comment ref="D57" authorId="6" shapeId="0">
      <text>
        <r>
          <rPr>
            <sz val="16"/>
            <color indexed="8"/>
            <rFont val="Times New Roman"/>
            <family val="1"/>
            <charset val="204"/>
          </rPr>
          <t xml:space="preserve">Ледяев Дмитрий Анатольевич:
актуализировать формулу
</t>
        </r>
      </text>
    </comment>
    <comment ref="D59" authorId="1" shapeId="0">
      <text>
        <r>
          <rPr>
            <sz val="16"/>
            <color indexed="8"/>
            <rFont val="Times New Roman"/>
            <family val="1"/>
            <charset val="204"/>
          </rPr>
          <t xml:space="preserve">15.01.2026 Подлевских А.С.:
По указанию ТНТ.
Необходимо внести строчку в файл для факта
</t>
        </r>
      </text>
    </comment>
    <comment ref="D79" authorId="7" shapeId="0">
      <text>
        <r>
          <rPr>
            <sz val="16"/>
            <color indexed="8"/>
            <rFont val="Times New Roman"/>
            <family val="1"/>
            <charset val="204"/>
          </rPr>
          <t xml:space="preserve">Ледяев Дмитрий Анатольевич:
Добавлен показатель.
Применяется для увеличения октанового числа бензинов, спосбствует более полному сгоранию топлива, рредотвращает коррозию.б
</t>
        </r>
      </text>
    </comment>
    <comment ref="J114" authorId="8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в АСБУ перепутаны местами еденицы измерения
</t>
        </r>
      </text>
    </comment>
    <comment ref="D134" authorId="9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новая строка
</t>
        </r>
      </text>
    </comment>
    <comment ref="D135" authorId="10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убрать формулу
</t>
        </r>
      </text>
    </comment>
    <comment ref="D136" authorId="11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новая строка
</t>
        </r>
      </text>
    </comment>
    <comment ref="D194" authorId="12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30.11. изменена формула
</t>
        </r>
      </text>
    </comment>
    <comment ref="D207" authorId="13" shapeId="0">
      <text>
        <r>
          <rPr>
            <sz val="16"/>
            <color indexed="8"/>
            <rFont val="Times New Roman"/>
            <family val="1"/>
            <charset val="204"/>
          </rPr>
          <t xml:space="preserve">Ледяев Дмитрий Анатольевич:
актуализировать формулу
</t>
        </r>
      </text>
    </comment>
    <comment ref="D212" authorId="14" shapeId="0">
      <text>
        <r>
          <rPr>
            <sz val="16"/>
            <color indexed="8"/>
            <rFont val="Times New Roman"/>
            <family val="1"/>
            <charset val="204"/>
          </rPr>
          <t xml:space="preserve">Ледяев Дмитрий Анатольевич:
03/02 изменена формула
</t>
        </r>
      </text>
    </comment>
    <comment ref="D214" authorId="15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изменено название 
</t>
        </r>
      </text>
    </comment>
    <comment ref="D215" authorId="16" shapeId="0">
      <text>
        <r>
          <rPr>
            <sz val="16"/>
            <color indexed="8"/>
            <rFont val="Times New Roman"/>
            <family val="1"/>
            <charset val="204"/>
          </rPr>
          <t xml:space="preserve">Пользователь Windows:
переработка нестабильного конденсата и нефти для ПАО "Газпром" по договору стабилизации
</t>
        </r>
      </text>
    </comment>
    <comment ref="D233" authorId="17" shapeId="0">
      <text>
        <r>
          <rPr>
            <sz val="16"/>
            <color indexed="8"/>
            <rFont val="Times New Roman"/>
            <family val="1"/>
            <charset val="204"/>
          </rPr>
          <t xml:space="preserve">Пользователь Windows:
Прием СК с УСК НПТР
</t>
        </r>
      </text>
    </comment>
    <comment ref="D240" authorId="18" shapeId="0">
      <text>
        <r>
          <rPr>
            <sz val="16"/>
            <color indexed="8"/>
            <rFont val="Times New Roman"/>
            <family val="1"/>
            <charset val="204"/>
          </rPr>
          <t xml:space="preserve">Пользователь Windows:
Приемм нефти
</t>
        </r>
      </text>
    </comment>
    <comment ref="D248" authorId="19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изменено формула
</t>
        </r>
      </text>
    </comment>
    <comment ref="D251" authorId="20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формулы в АСБУ нет
</t>
        </r>
      </text>
    </comment>
  </commentList>
</comments>
</file>

<file path=xl/comments5.xml><?xml version="1.0" encoding="utf-8"?>
<comments xmlns="http://schemas.openxmlformats.org/spreadsheetml/2006/main">
  <authors>
    <author>tc={0075000C-00EF-48C8-ADD1-0009002C0088}</author>
  </authors>
  <commentList>
    <comment ref="D32" authorId="0" shapeId="0">
      <text>
        <r>
          <rPr>
            <sz val="16"/>
            <color indexed="8"/>
            <rFont val="Times New Roman"/>
            <family val="1"/>
            <charset val="204"/>
          </rPr>
          <t xml:space="preserve">
из плана по добые конденсат + нефть ДРОД
</t>
        </r>
      </text>
    </comment>
  </commentList>
</comments>
</file>

<file path=xl/comments6.xml><?xml version="1.0" encoding="utf-8"?>
<comments xmlns="http://schemas.openxmlformats.org/spreadsheetml/2006/main">
  <authors>
    <author>tc={00E2002C-00D5-4032-A1F3-00B10000007A}</author>
    <author>tc={00300023-0021-4DA8-A958-006100790006}</author>
    <author>tc={004E008A-0075-4C1B-8365-0068002C004D}</author>
    <author>tc={006B00B1-00A1-43F0-A7E1-005F00B80022}</author>
    <author>tc={003D00B5-001A-4237-AE7C-00ED006200A1}</author>
    <author>tc={0084006B-00EC-4737-BD8F-00C900160093}</author>
    <author>tc={006B0082-0023-4549-A4DA-009900D40018}</author>
    <author>tc={00230037-00D2-4982-9D82-002100E100DC}</author>
    <author>tc={00D200A9-00AB-483F-9A90-00F600250034}</author>
    <author>tc={0076007C-0078-4A5E-92C2-000D007200C1}</author>
    <author>tc={00140000-002C-4A38-825A-00AA0015004C}</author>
    <author>tc={002800B2-0018-4AF3-BE89-00E10021000D}</author>
    <author>tc={0014004E-003D-4D53-8AED-009400A8003D}</author>
    <author>tc={00200085-0088-46D4-9BB9-000C005B00B0}</author>
    <author>tc={006800EA-00B6-485B-B673-00B6002F009D}</author>
    <author>tc={002100F3-00A9-4DE3-A8EE-00F700CB00D8}</author>
    <author>tc={007500B8-00EC-45C5-A35C-009D00870051}</author>
    <author>tc={00E9003C-0008-444C-8B75-008300C40047}</author>
    <author>tc={008000FA-00A8-43A8-95EF-00BE00F20037}</author>
    <author>tc={00EB0078-003F-469A-A5FF-004C00F10073}</author>
    <author>tc={00490001-0047-4D01-8226-008F001500C7}</author>
  </authors>
  <commentList>
    <comment ref="D20" authorId="0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Убрать Формулу
</t>
        </r>
      </text>
    </comment>
    <comment ref="D21" authorId="1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Убрать Формулу
</t>
        </r>
      </text>
    </comment>
    <comment ref="D26" authorId="2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поставка в адрес трейдера
</t>
        </r>
      </text>
    </comment>
    <comment ref="D27" authorId="3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изменено название
</t>
        </r>
      </text>
    </comment>
    <comment ref="D28" authorId="4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убрать формулу
</t>
        </r>
      </text>
    </comment>
    <comment ref="D30" authorId="5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:
убрать формулу
</t>
        </r>
      </text>
    </comment>
    <comment ref="D31" authorId="6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новая строка
</t>
        </r>
      </text>
    </comment>
    <comment ref="D32" authorId="7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убрать формулу
</t>
        </r>
      </text>
    </comment>
    <comment ref="D33" authorId="8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убрать формулу
</t>
        </r>
      </text>
    </comment>
    <comment ref="D34" authorId="9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изменено название
</t>
        </r>
      </text>
    </comment>
    <comment ref="D35" authorId="10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убрать формулу
</t>
        </r>
      </text>
    </comment>
    <comment ref="D36" authorId="11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новая строка
</t>
        </r>
      </text>
    </comment>
    <comment ref="D37" authorId="12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убрать формулу
</t>
        </r>
      </text>
    </comment>
    <comment ref="D38" authorId="13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убрать формулу
</t>
        </r>
      </text>
    </comment>
    <comment ref="D40" authorId="14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убрать формулу
</t>
        </r>
      </text>
    </comment>
    <comment ref="D42" authorId="15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убрать формулу
</t>
        </r>
      </text>
    </comment>
    <comment ref="D44" authorId="16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убрать формулу
</t>
        </r>
      </text>
    </comment>
    <comment ref="D45" authorId="17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убрать формулу
</t>
        </r>
      </text>
    </comment>
    <comment ref="D46" authorId="18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убрать формулу
</t>
        </r>
      </text>
    </comment>
    <comment ref="D47" authorId="19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новая формула
</t>
        </r>
      </text>
    </comment>
    <comment ref="D48" authorId="20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новая строка
</t>
        </r>
      </text>
    </comment>
  </commentList>
</comments>
</file>

<file path=xl/comments7.xml><?xml version="1.0" encoding="utf-8"?>
<comments xmlns="http://schemas.openxmlformats.org/spreadsheetml/2006/main">
  <authors>
    <author>tc={00C4008B-00A3-44D5-9C76-002F00E7007E}</author>
    <author>tc={00C40040-00A0-418D-9276-00640084000B}</author>
    <author>Admin</author>
    <author>tc={000E00C9-00EA-4F47-A5C1-007200070043}</author>
    <author>tc={00AB004A-009B-44A0-83C8-009A005800FF}</author>
    <author>tc={00E10071-0043-4D4F-9224-000300AE001F}</author>
    <author>tc={005C0005-00D8-4F19-AD45-001C00C80042}</author>
    <author>tc={00600034-0003-4461-8016-003A007700DF}</author>
    <author>tc={008900A7-00AB-4969-A32E-006100CE005B}</author>
    <author>tc={0030008A-00A6-47ED-8821-003500AA005A}</author>
    <author>tc={005E00E4-001F-4D7F-9F14-001A00A7006E}</author>
    <author>tc={007D0057-00B9-4D21-A5E8-0085001E0096}</author>
    <author>tc={00BE007A-001F-4464-9A40-007800B90088}</author>
    <author>tc={00C500E7-00F2-4D56-818A-006700B000C9}</author>
    <author>tc={00B60076-0031-4C20-A2E8-004D00010099}</author>
    <author>tc={003D00EE-0004-41B5-AFF5-00AD00FB0050}</author>
    <author>tc={005000E0-00A9-4886-8F87-002E006700BD}</author>
    <author>tc={00D30074-00EE-403A-8873-000700480059}</author>
    <author>tc={004300C5-0061-40F3-8C0A-00EB00C100EF}</author>
    <author>tc={0034004F-00A3-4B76-8BB1-00B40072005D}</author>
    <author>tc={007F00E0-0036-4226-8CD0-0056007D000A}</author>
    <author>tc={0035009B-0098-43D8-B255-00D300760065}</author>
    <author>tc={00FC00B5-0096-4AF2-98A0-0047004F000A}</author>
  </authors>
  <commentList>
    <comment ref="D10" authorId="0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изменена формула
</t>
        </r>
      </text>
    </comment>
    <comment ref="A14" authorId="1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УНГК добыча НК+ попут нефть УНКГМ
</t>
        </r>
      </text>
    </comment>
    <comment ref="D15" authorId="2" shapeId="0">
      <text>
        <r>
          <rPr>
            <sz val="16"/>
            <color indexed="8"/>
            <rFont val="Times New Roman"/>
            <family val="1"/>
            <charset val="204"/>
          </rPr>
          <t xml:space="preserve">15.01.2026 Подлевских А.С.:
По указанию ТНТ.
Необходимо внести в файл для факта
</t>
        </r>
      </text>
    </comment>
    <comment ref="A22" authorId="3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Windows User:
Поставка возможна по 2 схемам (1) С учетом УСК у КПНЗ (мощность 1 млн т) 2) Более 1 млн тонн НК, весь объем идет на прямую на переработку УЗПКТ-СЗСК как собственность ПАО, а после СЗСК продажа СК в адрес ГПНЗ). Вопрос: есть ли договор у ГПНЗ с ПАО на реализацию СК?????
</t>
        </r>
      </text>
    </comment>
    <comment ref="D28" authorId="4" shapeId="0">
      <text/>
    </comment>
    <comment ref="D33" authorId="5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новый раздел
</t>
        </r>
      </text>
    </comment>
    <comment ref="A50" authorId="6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весь объем и на СЗСК И В Альт схему 
</t>
        </r>
      </text>
    </comment>
    <comment ref="D53" authorId="7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изменена формула
</t>
        </r>
      </text>
    </comment>
    <comment ref="C54" authorId="8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Крымская собственность гду в адрес ГПП на 
возможно остатки и заполнение системы
</t>
        </r>
      </text>
    </comment>
    <comment ref="D54" authorId="9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изменено название
</t>
        </r>
      </text>
    </comment>
    <comment ref="C55" authorId="10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16.02 Крымская: поставка нефти по давальчнской схеме  (без оплаты) для нужд ООО Газпром подзем ремонт Уренгой" для проведения глушения скважин для ГРС 
</t>
        </r>
      </text>
    </comment>
    <comment ref="D56" authorId="11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изменена формула
</t>
        </r>
      </text>
    </comment>
    <comment ref="A57" authorId="12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фаза 2
</t>
        </r>
      </text>
    </comment>
    <comment ref="D58" authorId="13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перенесена из раздела Поставка   газового конденсата 
в адрес  трейдера
</t>
        </r>
      </text>
    </comment>
    <comment ref="D60" authorId="14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Зеленихина Мария  новая строка
</t>
        </r>
      </text>
    </comment>
    <comment ref="D62" authorId="15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перенесена из раздела Поставка   газового конденсата 
в адрес  трейдера
</t>
        </r>
      </text>
    </comment>
    <comment ref="D64" authorId="16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перенесена из раздела Поставка   газового конденсата 
в адрес  трейдера
</t>
        </r>
      </text>
    </comment>
    <comment ref="D65" authorId="17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перенесена из раздела Поставка   газового конденсата 
в адрес  трейдера
</t>
        </r>
      </text>
    </comment>
    <comment ref="D66" authorId="18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новый раздел
</t>
        </r>
      </text>
    </comment>
    <comment ref="D68" authorId="14" shapeId="0">
      <text>
        <r>
          <rPr>
            <sz val="16"/>
            <color indexed="8"/>
            <rFont val="Times New Roman"/>
            <family val="1"/>
            <charset val="204"/>
          </rPr>
          <t xml:space="preserve">Подлевских:
23.01.26 Добавили строку, так как появился автовывоз
</t>
        </r>
      </text>
    </comment>
    <comment ref="A71" authorId="19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в систему ЕСГ
</t>
        </r>
      </text>
    </comment>
    <comment ref="D73" authorId="20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перенесено
</t>
        </r>
      </text>
    </comment>
    <comment ref="C83" authorId="21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внести данные
</t>
        </r>
      </text>
    </comment>
    <comment ref="D83" authorId="22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внести данные
</t>
        </r>
      </text>
    </comment>
  </commentList>
</comments>
</file>

<file path=xl/comments8.xml><?xml version="1.0" encoding="utf-8"?>
<comments xmlns="http://schemas.openxmlformats.org/spreadsheetml/2006/main">
  <authors>
    <author>tc={00C000B9-006D-4041-940E-008D000B0013}</author>
    <author>tc={00F100EF-0004-438C-A4F5-007800E80055}</author>
    <author>tc={00650087-00E4-4F5B-BAE5-004900C2007A}</author>
    <author>tc={00780022-009B-4564-8B0F-00E600CE0033}</author>
    <author>tc={007200A8-006B-4C1D-9583-00B200AF00A6}</author>
    <author>tc={009F00D1-008B-4E24-9ABB-009C00200054}</author>
  </authors>
  <commentList>
    <comment ref="D16" authorId="0" shapeId="0">
      <text>
        <r>
          <rPr>
            <sz val="16"/>
            <color indexed="8"/>
            <rFont val="Times New Roman"/>
            <family val="1"/>
            <charset val="204"/>
          </rPr>
          <t xml:space="preserve">Ледяев Дмитрий Анатольевич:
Для извлечения выпавшего в пласте конденсата закачивают сухой газ, НГКС поднимается на поверхность за счёт энергии закачиваемого газа. Этот газ суммируется к объёму добытого газа.
</t>
        </r>
      </text>
    </comment>
    <comment ref="D42" authorId="1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25/01 изменено название
</t>
        </r>
      </text>
    </comment>
    <comment ref="A44" authorId="2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Горобец Д.В. 25.01.2023 
ГК в объеме 0,6 тыс тон добыт на Светлоградском ГПУ из него 0,3 тыс. т проданы в ПАО и 0,3 тыс. тонн закачан в трубопровод для борьбы с отложением парафинов., где он смешивается с 95,9 тыс. тонн НГКС добытого на ГПУ Коневское и продается ПАО в объеме как НГКС ПАО в объеме 96.2   
</t>
        </r>
      </text>
    </comment>
    <comment ref="D44" authorId="3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СК используется как светлый продукт в качестве СТН  для удаления парафинов в трубе и закачивается в составе НГКС и на выходе уже получается темный проукт в составе НГКС . Т.О. СК не считаем в баланс продукции кк СК стн , так как он сидит уже в НГКС, являясь оборотным продуктом. 
</t>
        </r>
      </text>
    </comment>
    <comment ref="D46" authorId="4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изменено название
</t>
        </r>
      </text>
    </comment>
    <comment ref="A48" authorId="5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Горобец Д.В. 25/01 НГКС валования меньше товара т.к. в товар подмешивается доп. объем ГК необходимый для добавления в трубопровод , для борьбы с парафинами.
</t>
        </r>
      </text>
    </comment>
  </commentList>
</comments>
</file>

<file path=xl/comments9.xml><?xml version="1.0" encoding="utf-8"?>
<comments xmlns="http://schemas.openxmlformats.org/spreadsheetml/2006/main">
  <authors>
    <author>tc={0031000E-0079-4AFE-998B-00F1001A004E}</author>
    <author>tc={00370024-007A-4390-AB63-005700F50047}</author>
    <author>tc={009500B8-00C7-4141-B5BA-001F00D60029}</author>
    <author>tc={002E00AB-0046-49E0-B044-0075005500E7}</author>
    <author>tc={005D0090-00E6-4D15-9FC1-00D7009C0060}</author>
    <author>tc={008B00A2-002D-4861-A783-000900E700DB}</author>
    <author>tc={007000DA-008A-4B88-AF52-00D100C10003}</author>
    <author>tc={00F600EE-0027-4496-BCB1-007C004F00DF}</author>
    <author>tc={00860036-00E5-42AB-89D6-005500C500C3}</author>
    <author>tc={00F3004E-008D-4414-9C36-00B3008A0056}</author>
  </authors>
  <commentList>
    <comment ref="D17" authorId="0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изменена формула
</t>
        </r>
      </text>
    </comment>
    <comment ref="D20" authorId="1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новая строка
</t>
        </r>
      </text>
    </comment>
    <comment ref="D23" authorId="2" shapeId="0">
      <text>
        <r>
          <rPr>
            <sz val="16"/>
            <color indexed="8"/>
            <rFont val="Times New Roman"/>
            <family val="1"/>
            <charset val="204"/>
          </rPr>
          <t xml:space="preserve">tc={00AE00FB-0087-4141-B74B-0074006A00F9}:
Windows User:
Windows  User:
ВНОСИТЬ ДРОДЫ
</t>
        </r>
      </text>
    </comment>
    <comment ref="D25" authorId="3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изменена формула
</t>
        </r>
      </text>
    </comment>
    <comment ref="D26" authorId="4" shapeId="0">
      <text>
        <r>
          <rPr>
            <sz val="16"/>
            <color indexed="8"/>
            <rFont val="Times New Roman"/>
            <family val="1"/>
            <charset val="204"/>
          </rPr>
          <t xml:space="preserve">tc={000C00A3-003B-45C7-A8FB-00CC002400D8}:
Windows User:
ВНОСИТЬ ДРОДЫ
</t>
        </r>
      </text>
    </comment>
    <comment ref="D27" authorId="5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новая строка
</t>
        </r>
      </text>
    </comment>
    <comment ref="D52" authorId="6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изменена формула
</t>
        </r>
      </text>
    </comment>
    <comment ref="D53" authorId="7" shapeId="0">
      <text>
        <r>
          <rPr>
            <sz val="16"/>
            <color indexed="8"/>
            <rFont val="Times New Roman"/>
            <family val="1"/>
            <charset val="204"/>
          </rPr>
          <t xml:space="preserve">tc={00880057-000D-476B-9542-004300D900BE}:
Windows User:
вносить ДРОДЫ
</t>
        </r>
      </text>
    </comment>
    <comment ref="D54" authorId="8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нефть с СК
</t>
        </r>
      </text>
    </comment>
    <comment ref="D55" authorId="9" shapeId="0">
      <text>
        <r>
          <rPr>
            <sz val="16"/>
            <color indexed="8"/>
            <rFont val="Times New Roman"/>
            <family val="1"/>
            <charset val="204"/>
          </rPr>
          <t xml:space="preserve">Подлевских Анастасия Сергеевна:
Со 2 кв. 2026 ГПН планируют постороить свой узел и сами транспортировать до ВСТО
</t>
        </r>
      </text>
    </comment>
  </commentList>
</comments>
</file>

<file path=xl/comments10.xml><?xml version="1.0" encoding="utf-8"?>
<comments xmlns="http://schemas.openxmlformats.org/spreadsheetml/2006/main">
  <authors>
    <author>tc={000E00AF-0055-43A0-8157-00A7007B0010}</author>
    <author>tc={00B50069-00A1-4FF1-A1E0-00B300CA00DD}</author>
    <author>tc={007500DE-0057-411F-917D-009E008A0003}</author>
    <author>tc={00FC00E9-00A2-4E1F-8403-0053009100E1}</author>
    <author>tc={00A40013-00D8-463D-926B-006F009C006C}</author>
    <author>tc={006800AA-004E-4265-A827-00B600A10097}</author>
    <author>tc={0081006D-00B5-429F-A887-00D7004800D9}</author>
    <author>tc={00CF0061-0060-4562-ADEE-007700C00046}</author>
    <author>tc={004000DE-0040-40A9-B692-002D00D000FD}</author>
    <author>tc={00BC00AE-0025-42E3-9B6B-007A009400E1}</author>
    <author>tc={0080008E-0021-473A-A983-00B40085006D}</author>
    <author>tc={00620013-0047-4265-A574-00E6000500E1}</author>
    <author>tc={00610001-007B-4980-B75F-009D00400018}</author>
  </authors>
  <commentList>
    <comment ref="D10" authorId="0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11.11 измнена формула
</t>
        </r>
      </text>
    </comment>
    <comment ref="D16" authorId="1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ВНОСИТЬ ДАННЫЕ ПО ДРОД
оказание услуг от ГПНЗ для ГД Надым
</t>
        </r>
      </text>
    </comment>
    <comment ref="D17" authorId="2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ВНОСИТЬ ДАННЫЕ ПО ДРОД
</t>
        </r>
      </text>
    </comment>
    <comment ref="D18" authorId="3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20.10 новая строка
</t>
        </r>
      </text>
    </comment>
    <comment ref="D20" authorId="4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20.10. изменена формула
</t>
        </r>
      </text>
    </comment>
    <comment ref="D30" authorId="5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формулы в асбу нет
</t>
        </r>
      </text>
    </comment>
    <comment ref="D32" authorId="6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изменена формула
</t>
        </r>
      </text>
    </comment>
    <comment ref="D34" authorId="7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весь газ идет на стн
</t>
        </r>
      </text>
    </comment>
    <comment ref="D36" authorId="8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мин. Используется на стн все остальное сжигается
</t>
        </r>
      </text>
    </comment>
    <comment ref="A38" authorId="9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часть сжигается на факеле а часть используестя какстн
</t>
        </r>
      </text>
    </comment>
    <comment ref="D38" authorId="10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изменено название
</t>
        </r>
      </text>
    </comment>
    <comment ref="D42" authorId="11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изменена формула
</t>
        </r>
      </text>
    </comment>
    <comment ref="D45" authorId="12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Windows User: изменено название
</t>
        </r>
      </text>
    </comment>
  </commentList>
</comments>
</file>

<file path=xl/comments11.xml><?xml version="1.0" encoding="utf-8"?>
<comments xmlns="http://schemas.openxmlformats.org/spreadsheetml/2006/main">
  <authors>
    <author>tc={009E00DD-009C-4E8E-8144-009B001300FC}</author>
    <author>tc={00B300C6-0040-45D9-BFC6-009100840017}</author>
    <author>tc={00EF0072-00C1-40F3-AADA-004B003600D6}</author>
    <author>tc={00C10001-0049-49A9-A2EE-006C000D00D4}</author>
    <author>tc={0077005B-003F-4DD3-A86A-0079009300CE}</author>
  </authors>
  <commentList>
    <comment ref="D17" authorId="0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15.02 убрать формулу
</t>
        </r>
      </text>
    </comment>
    <comment ref="D20" authorId="1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новые строки
</t>
        </r>
      </text>
    </comment>
    <comment ref="D23" authorId="2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новые строки
</t>
        </r>
      </text>
    </comment>
    <comment ref="D25" authorId="3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новая строка
</t>
        </r>
      </text>
    </comment>
    <comment ref="D27" authorId="4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изменена формула
</t>
        </r>
      </text>
    </comment>
  </commentList>
</comments>
</file>

<file path=xl/comments12.xml><?xml version="1.0" encoding="utf-8"?>
<comments xmlns="http://schemas.openxmlformats.org/spreadsheetml/2006/main">
  <authors>
    <author>tc={002B00C8-006F-4AB0-A668-005300E5003E}</author>
    <author>tc={00C30044-0060-43EF-AE6E-00ED002D0062}</author>
    <author>tc={00C800D8-0028-40FA-94F8-002600B0006D}</author>
    <author>tc={00B00005-00CA-4E90-8825-006F005100BB}</author>
    <author>tc={003100C0-003C-4CCF-9C24-005A00A400ED}</author>
    <author>tc={007B001C-00CB-4B0E-B5F0-008600AE0069}</author>
    <author>tc={0025003D-006A-446A-8D07-00920042007B}</author>
    <author>tc={006400FB-00B9-4F77-AE70-00B400AD00BB}</author>
    <author>tc={000D0067-00C7-43AF-BD25-00CC00F6008B}</author>
    <author>tc={000600A9-0098-42C8-8741-003A0037001D}</author>
  </authors>
  <commentList>
    <comment ref="D10" authorId="0" shapeId="0">
      <text>
        <r>
          <rPr>
            <sz val="16"/>
            <color indexed="8"/>
            <rFont val="Times New Roman"/>
            <family val="1"/>
            <charset val="204"/>
          </rPr>
          <t xml:space="preserve">Ледяев Дмитрий Анатольевич:
в формулу внесены правки
</t>
        </r>
      </text>
    </comment>
    <comment ref="D14" authorId="1" shapeId="0">
      <text>
        <r>
          <rPr>
            <sz val="16"/>
            <color indexed="8"/>
            <rFont val="Times New Roman"/>
            <family val="1"/>
            <charset val="204"/>
          </rPr>
          <t xml:space="preserve">Windows User:
изменена формула 24.11
</t>
        </r>
      </text>
    </comment>
    <comment ref="D16" authorId="2" shapeId="0">
      <text>
        <r>
          <rPr>
            <sz val="16"/>
            <color indexed="8"/>
            <rFont val="Times New Roman"/>
            <family val="1"/>
            <charset val="204"/>
          </rPr>
          <t xml:space="preserve">Ледяев Дмитрий Анатольевич:
Добавить показатель
</t>
        </r>
      </text>
    </comment>
    <comment ref="D20" authorId="3" shapeId="0">
      <text>
        <r>
          <rPr>
            <sz val="16"/>
            <color indexed="8"/>
            <rFont val="Times New Roman"/>
            <family val="1"/>
            <charset val="204"/>
          </rPr>
          <t xml:space="preserve">Ледяев Дмитрий Анатольевич:
Добавить показатель
</t>
        </r>
      </text>
    </comment>
    <comment ref="D24" authorId="4" shapeId="0">
      <text>
        <r>
          <rPr>
            <sz val="16"/>
            <color indexed="8"/>
            <rFont val="Times New Roman"/>
            <family val="1"/>
            <charset val="204"/>
          </rPr>
          <t xml:space="preserve">Ледяев Дмитрий Анатольевич:
актуализированно название, добавлено " В т.ч."
</t>
        </r>
      </text>
    </comment>
    <comment ref="D26" authorId="5" shapeId="0">
      <text>
        <r>
          <rPr>
            <sz val="16"/>
            <color indexed="8"/>
            <rFont val="Times New Roman"/>
            <family val="1"/>
            <charset val="204"/>
          </rPr>
          <t xml:space="preserve">Ледяев Дмитрий Анатольевич:
актуализированно название, добавлено " В т.ч."
</t>
        </r>
      </text>
    </comment>
    <comment ref="C51" authorId="6" shapeId="0">
      <text>
        <r>
          <rPr>
            <sz val="16"/>
            <color indexed="8"/>
            <rFont val="Times New Roman"/>
            <family val="1"/>
            <charset val="204"/>
          </rPr>
          <t xml:space="preserve">Зеленихина Мария Владимировна:
Зеленихина Мария Владимировна:проверить ссылку в спраках 
</t>
        </r>
      </text>
    </comment>
    <comment ref="D61" authorId="7" shapeId="0">
      <text>
        <r>
          <rPr>
            <sz val="16"/>
            <color indexed="8"/>
            <rFont val="Times New Roman"/>
            <family val="1"/>
            <charset val="204"/>
          </rPr>
          <t xml:space="preserve">Ледяев Дмитрий Анатольевич:
Добавлен показатель
</t>
        </r>
      </text>
    </comment>
    <comment ref="D76" authorId="8" shapeId="0">
      <text>
        <r>
          <rPr>
            <sz val="16"/>
            <color indexed="8"/>
            <rFont val="Times New Roman"/>
            <family val="1"/>
            <charset val="204"/>
          </rPr>
          <t xml:space="preserve">Ледяев Дмитрий Анатольевич:
Добавлен показатель
</t>
        </r>
      </text>
    </comment>
    <comment ref="D77" authorId="9" shapeId="0">
      <text>
        <r>
          <rPr>
            <sz val="16"/>
            <color indexed="8"/>
            <rFont val="Times New Roman"/>
            <family val="1"/>
            <charset val="204"/>
          </rPr>
          <t xml:space="preserve">Ледяев Дмитрий Анатольевич:
Добавлен показатель
</t>
        </r>
      </text>
    </comment>
  </commentList>
</comments>
</file>

<file path=xl/comments13.xml><?xml version="1.0" encoding="utf-8"?>
<comments xmlns="http://schemas.openxmlformats.org/spreadsheetml/2006/main">
  <authors>
    <author>tc={00D00092-004B-4AF4-8523-00E900360091}</author>
    <author>tc={00E8006C-00F0-49E2-9D52-004B000A00C5}</author>
    <author>tc={007800EE-00C8-4372-9D0B-009900A30034}</author>
    <author>tc={008C00B3-001A-46CC-BA82-004600080032}</author>
    <author>tc={00870089-00C2-4168-A6F6-00BC00ED009B}</author>
    <author>tc={002A0060-0021-4C9F-A96C-0018001D0060}</author>
    <author>tc={008F0085-0065-4DAE-B28F-0081002D0070}</author>
    <author>tc={00BD00D1-0084-4F22-B1F9-00D600B50002}</author>
  </authors>
  <commentList>
    <comment ref="B47" authorId="0" shapeId="0">
      <text>
        <r>
          <rPr>
            <sz val="16"/>
            <color indexed="8"/>
            <rFont val="Times New Roman"/>
            <family val="1"/>
            <charset val="204"/>
          </rPr>
          <t xml:space="preserve">Подлевских Анастасия Сергеевна:
поставка началась с марта 2024
</t>
        </r>
      </text>
    </comment>
    <comment ref="D47" authorId="1" shapeId="0">
      <text>
        <r>
          <rPr>
            <sz val="16"/>
            <color indexed="8"/>
            <rFont val="Times New Roman"/>
            <family val="1"/>
            <charset val="204"/>
          </rPr>
          <t xml:space="preserve">Подлевских Анастасия Сергеевна:
поставка началась с марта 2024
</t>
        </r>
      </text>
    </comment>
    <comment ref="B105" authorId="2" shapeId="0">
      <text>
        <r>
          <rPr>
            <sz val="16"/>
            <color indexed="8"/>
            <rFont val="Times New Roman"/>
            <family val="1"/>
            <charset val="204"/>
          </rPr>
          <t xml:space="preserve">Подлевских Анастасия Сергеевна:
топливо газообразное + кокс
</t>
        </r>
      </text>
    </comment>
    <comment ref="D105" authorId="3" shapeId="0">
      <text>
        <r>
          <rPr>
            <sz val="16"/>
            <color indexed="8"/>
            <rFont val="Times New Roman"/>
            <family val="1"/>
            <charset val="204"/>
          </rPr>
          <t xml:space="preserve">Подлевских Анастасия Сергеевна:
у нас больше от Д353 на топливный газ на нефтехимию
</t>
        </r>
      </text>
    </comment>
    <comment ref="B202" authorId="4" shapeId="0">
      <text>
        <r>
          <rPr>
            <sz val="16"/>
            <color indexed="8"/>
            <rFont val="Times New Roman"/>
            <family val="1"/>
            <charset val="204"/>
          </rPr>
          <t xml:space="preserve">Подлевских Анастасия Сергеевна:
природный газ только на технологию
</t>
        </r>
      </text>
    </comment>
    <comment ref="D202" authorId="5" shapeId="0">
      <text>
        <r>
          <rPr>
            <sz val="16"/>
            <color indexed="8"/>
            <rFont val="Times New Roman"/>
            <family val="1"/>
            <charset val="204"/>
          </rPr>
          <t xml:space="preserve">Подлевских Анастасия Сергеевна:
природный газ только на технологию
</t>
        </r>
      </text>
    </comment>
    <comment ref="B212" authorId="6" shapeId="0">
      <text>
        <r>
          <rPr>
            <sz val="16"/>
            <color indexed="8"/>
            <rFont val="Times New Roman"/>
            <family val="1"/>
            <charset val="204"/>
          </rPr>
          <t xml:space="preserve">Подлевских Анастасия Сергеевна:
на технологию + топливо
</t>
        </r>
      </text>
    </comment>
    <comment ref="D212" authorId="7" shapeId="0">
      <text>
        <r>
          <rPr>
            <sz val="16"/>
            <color indexed="8"/>
            <rFont val="Times New Roman"/>
            <family val="1"/>
            <charset val="204"/>
          </rPr>
          <t xml:space="preserve">Подлевских Анастасия Сергеевна:
на технологию + топливо
</t>
        </r>
      </text>
    </comment>
  </commentList>
</comments>
</file>

<file path=xl/sharedStrings.xml><?xml version="1.0" encoding="utf-8"?>
<sst xmlns="http://schemas.openxmlformats.org/spreadsheetml/2006/main" count="11367" uniqueCount="4879">
  <si>
    <t>Имя</t>
  </si>
  <si>
    <t>Стиль</t>
  </si>
  <si>
    <t>FONT_SIMPLE</t>
  </si>
  <si>
    <t>FONT_FORMULA</t>
  </si>
  <si>
    <t>FONT_TITLE_LVL0</t>
  </si>
  <si>
    <t>Текст пример 1234567890,1234567891</t>
  </si>
  <si>
    <t>FONT_TITLE_LVL1</t>
  </si>
  <si>
    <t>RULE_POSITIVE</t>
  </si>
  <si>
    <t>RULE_NEGATIVE</t>
  </si>
  <si>
    <t>FULL_BORDER</t>
  </si>
  <si>
    <t>FORMAT_PERCENTAGE</t>
  </si>
  <si>
    <t>FONT_TITLE_GROUP1_LVL1</t>
  </si>
  <si>
    <t>FONT_TITLE_GROUP1_LVL2</t>
  </si>
  <si>
    <t>FONT_CHECKER1</t>
  </si>
  <si>
    <t>RULE_DASH_FOR_ZERO</t>
  </si>
  <si>
    <t>Показатели по переработке углеводородного сырья и производству продукции Группы Газпром на _______________ год/годы</t>
  </si>
  <si>
    <t>Показатели</t>
  </si>
  <si>
    <t>Внутренние настройки листа</t>
  </si>
  <si>
    <t>Един.
 изм.</t>
  </si>
  <si>
    <t>Ключ статьи</t>
  </si>
  <si>
    <t>Ключ спец</t>
  </si>
  <si>
    <t>Ключ ввод данных</t>
  </si>
  <si>
    <t>Формулы месяца</t>
  </si>
  <si>
    <t>Формулы % выхода</t>
  </si>
  <si>
    <t>Раздел 1. Прогнозные показатели по переработке углеводородного сырья и производству продукции ПАО "Газпром" и основных дочерних обществ</t>
  </si>
  <si>
    <t>CЫРЬЕ</t>
  </si>
  <si>
    <t>1.</t>
  </si>
  <si>
    <t>Переработка газа на ГПЗ-всего</t>
  </si>
  <si>
    <t>1_1003335807+2_100332038+2_100332040+2_100332042+2_100332044+2_100332916+2_100332944+2_100335129+3_100330552+3_100330008+14_100335074+14_100335076</t>
  </si>
  <si>
    <t>млн куб.м.</t>
  </si>
  <si>
    <t>Газпром переработка</t>
  </si>
  <si>
    <t>1_1003335807+2_100332038+2_100332040+2_100332042+2_100332044+2_100332916+2_100332944+2_100335129+3_100330552+3_100330008</t>
  </si>
  <si>
    <t>Астраханский ГПЗ</t>
  </si>
  <si>
    <t>1_1003335807</t>
  </si>
  <si>
    <t>Оренбургский ГХК</t>
  </si>
  <si>
    <t>2_100332038+2_100332040+2_100332042+2_100332044+2_100332916+2_100332944+2_100335129</t>
  </si>
  <si>
    <t>Сосногорский ГПЗ</t>
  </si>
  <si>
    <t>3_100330552+3_100330008</t>
  </si>
  <si>
    <t>Газпром переработка Благовещенск</t>
  </si>
  <si>
    <t>14_100335074+14_100335076</t>
  </si>
  <si>
    <t>Амурский ГПЗ</t>
  </si>
  <si>
    <t>Газпром СПГ Портовая</t>
  </si>
  <si>
    <t>КСПГ Портовая</t>
  </si>
  <si>
    <t>1.1</t>
  </si>
  <si>
    <t>Газпром</t>
  </si>
  <si>
    <t>3_100330008+1_1003335807+14_100335074</t>
  </si>
  <si>
    <t>3_100330008+1_1003335807</t>
  </si>
  <si>
    <t>3_100330008</t>
  </si>
  <si>
    <t>Газпром добыча Краснодар</t>
  </si>
  <si>
    <t>14_100335074</t>
  </si>
  <si>
    <t>в т.ч. на ПНР</t>
  </si>
  <si>
    <t>в т.ч. СТН</t>
  </si>
  <si>
    <t>в т.ч. на переработку</t>
  </si>
  <si>
    <t>1.2</t>
  </si>
  <si>
    <t>Дочерние общества</t>
  </si>
  <si>
    <t>2_100332038+2_100332040+2_100332042+2_100332044+2_100332916+2_100332944+2_100335129+3_100330552+14_100335076</t>
  </si>
  <si>
    <t>Газпром добыча Астрахань</t>
  </si>
  <si>
    <t>покупка у Газпром добыча Оренбург, всего</t>
  </si>
  <si>
    <t>в т.ч. Газпром добыча Оренбург</t>
  </si>
  <si>
    <t>2_100332038</t>
  </si>
  <si>
    <t>Газпром нефть</t>
  </si>
  <si>
    <t>2_100332040</t>
  </si>
  <si>
    <t>УНГП</t>
  </si>
  <si>
    <t>2_100332042</t>
  </si>
  <si>
    <t>Сервиснефтегаз</t>
  </si>
  <si>
    <t>2_100332044</t>
  </si>
  <si>
    <t>Карбон</t>
  </si>
  <si>
    <t>2_100332916</t>
  </si>
  <si>
    <t>Газпромнефть-Заполярье</t>
  </si>
  <si>
    <t>2_100332944</t>
  </si>
  <si>
    <t>Сладковско-Заречное</t>
  </si>
  <si>
    <t>2_100335129</t>
  </si>
  <si>
    <t>Газпром ГНП холдинг</t>
  </si>
  <si>
    <t>3_100330552</t>
  </si>
  <si>
    <t>Лукойл-Коми</t>
  </si>
  <si>
    <t>14_100335076</t>
  </si>
  <si>
    <t>КСПГ КС  Портовая</t>
  </si>
  <si>
    <t>в т.ч. СТН при переработке</t>
  </si>
  <si>
    <t>в т.ч. СТН при пусковых операциях</t>
  </si>
  <si>
    <t xml:space="preserve">2. </t>
  </si>
  <si>
    <t>Поставка газа на Амурский ГПЗ</t>
  </si>
  <si>
    <t>14_100332979-14_100335059-14_100335057-14_100335425+14_100335428+14_100335059</t>
  </si>
  <si>
    <t>2.1</t>
  </si>
  <si>
    <t>14_100332979-14_100335059-14_100335057-14_100335425</t>
  </si>
  <si>
    <t>2.2</t>
  </si>
  <si>
    <t>14_100335428+14_100335059</t>
  </si>
  <si>
    <t>3.</t>
  </si>
  <si>
    <t>Переработка газа на Оренбургском гелиевом заводе</t>
  </si>
  <si>
    <t>2_100332054+2_100332056+2_100335131</t>
  </si>
  <si>
    <t>Оренбургский ГЗ</t>
  </si>
  <si>
    <t>3.1</t>
  </si>
  <si>
    <t>3.2</t>
  </si>
  <si>
    <t>Газпром добыча Оренбург</t>
  </si>
  <si>
    <t>2_100332054</t>
  </si>
  <si>
    <t>2_100332056</t>
  </si>
  <si>
    <t>прочие поставщики (ГПНЗ, УНГП, и.т.д.)</t>
  </si>
  <si>
    <t>2_100335131</t>
  </si>
  <si>
    <t>4.</t>
  </si>
  <si>
    <t>Переработка нестабильного  газового конденсата и нефти</t>
  </si>
  <si>
    <t>1_100331985+2_100332062+2_100335697+2_100332061+3_100330017+4_100333682+4_100331828+4_100331835+4_100331804+4_100335033+7_100330595+12_100330735+0+13_100330000+10_100330715+10_100330861+10_100330718+11_100330015+9_100330671+2_100332068+2_100332947+2_100332066+2_100332067+2_100332069+3_100330196+4_100331838+4_100335093+4_100333678+9_100330672</t>
  </si>
  <si>
    <t>тыс.т</t>
  </si>
  <si>
    <t>4.1.</t>
  </si>
  <si>
    <t>Газовый конденсат-всего</t>
  </si>
  <si>
    <t>1_100331985+2_100332062+2_100335697+2_100332061+3_100330017+4_100333682+4_100331828+4_100331835+4_100331804+4_100335033+7_100330595+12_100330735+0+13_100330000+10_100330715+10_100330861+10_100330718+11_100330015+9_100330671</t>
  </si>
  <si>
    <t xml:space="preserve">   Газпром переработка</t>
  </si>
  <si>
    <t>1_100331985+2_100332062+2_100335697+2_100332061+3_100330017+4_100333682+4_100331828+4_100331835+4_100331804+4_100335033</t>
  </si>
  <si>
    <t>1_100331985</t>
  </si>
  <si>
    <t>2_100332062+2_100335697+2_100332061</t>
  </si>
  <si>
    <t>3_100330017</t>
  </si>
  <si>
    <t xml:space="preserve">               Уренгойский ЗПКТ- Сургутский ЗСК и привлеченные мощности</t>
  </si>
  <si>
    <t>4_100333682+4_100331828+4_100331835+4_100331804+4_100335033</t>
  </si>
  <si>
    <t xml:space="preserve">   Газпром добыча Ямбург</t>
  </si>
  <si>
    <t>7_100330595</t>
  </si>
  <si>
    <t>Газпром добыча Иркутск</t>
  </si>
  <si>
    <t>12_100330735+0</t>
  </si>
  <si>
    <t>Газпром добыча шельф Южно-Сахалинск</t>
  </si>
  <si>
    <t>13_100330000</t>
  </si>
  <si>
    <t>тыс. т</t>
  </si>
  <si>
    <t>Газпром добыча Ноябрьск</t>
  </si>
  <si>
    <t>10_100330715+10_100330861+10_100330718</t>
  </si>
  <si>
    <t>Газпром добыча Надым</t>
  </si>
  <si>
    <t>11_100330015</t>
  </si>
  <si>
    <t>9_100330671</t>
  </si>
  <si>
    <t>4.1.1.</t>
  </si>
  <si>
    <t>2_100332061+3_100330017+4_100331828+4_100331835+4_100331804+4_100335033+1_100331985+12_100330735+0+13_100330000+10_100330715+10_100330861</t>
  </si>
  <si>
    <t>2_100332061+3_100330017+4_100331828+4_100331835+4_100331804+4_100335033+1_100331985</t>
  </si>
  <si>
    <t>2_100332061</t>
  </si>
  <si>
    <t xml:space="preserve">   Сосногорский ГПЗ </t>
  </si>
  <si>
    <t>Газпром добыча Краснодар (в составе НГКС)</t>
  </si>
  <si>
    <t>4_100331828+4_100331835+4_100331804+4_100335033</t>
  </si>
  <si>
    <t>в т.ч. доп. мощности</t>
  </si>
  <si>
    <t>4_100335357+4_100335358</t>
  </si>
  <si>
    <t xml:space="preserve">Газпром добыча Ямбург </t>
  </si>
  <si>
    <t>4_100331828</t>
  </si>
  <si>
    <t>Сибнефтегаз ( Береговое НГКМ)</t>
  </si>
  <si>
    <t>4_100331835</t>
  </si>
  <si>
    <t>Газпром добыча Уренгой</t>
  </si>
  <si>
    <t>4_100331804+4_100335033</t>
  </si>
  <si>
    <t>в т.ч. ДРОД</t>
  </si>
  <si>
    <t>4_100335470+4_100335508</t>
  </si>
  <si>
    <t>в т.ч. C5+ от подготовки газа деэтанизации</t>
  </si>
  <si>
    <t>4_100337101</t>
  </si>
  <si>
    <t>Ковыктинское ГКМ</t>
  </si>
  <si>
    <t>12_100330735</t>
  </si>
  <si>
    <t>Чиканское ГКМ</t>
  </si>
  <si>
    <t>10_100330715+10_100330861</t>
  </si>
  <si>
    <t>Чаяндинское НГКМ</t>
  </si>
  <si>
    <t>10_100330715</t>
  </si>
  <si>
    <t>Западно-Таркосалинское НГКМ на СЗСК</t>
  </si>
  <si>
    <t>10_100330861</t>
  </si>
  <si>
    <t>4.1.2.</t>
  </si>
  <si>
    <t>2_100332062+2_100335697+4_100333682+0+7_100330595+10_100330718+11_100330015+9_100330671</t>
  </si>
  <si>
    <t>2_100332062+2_100335697+4_100333682</t>
  </si>
  <si>
    <t>2_100332062+2_100335697</t>
  </si>
  <si>
    <t>2_100332062</t>
  </si>
  <si>
    <t>2_100335697</t>
  </si>
  <si>
    <t>Уренгойский ЗПКТ</t>
  </si>
  <si>
    <t>4_100333682</t>
  </si>
  <si>
    <t xml:space="preserve">                Уренгойский ЗПКТ</t>
  </si>
  <si>
    <t>10_100330718</t>
  </si>
  <si>
    <t>конденсат (Камчат. ГПУ - Кшукское ГКМ, Нижне-Квакчикское ГКМ)</t>
  </si>
  <si>
    <t>в т.ч. Бованенковское НГКМ</t>
  </si>
  <si>
    <t>11_100330688</t>
  </si>
  <si>
    <t>4.2.</t>
  </si>
  <si>
    <t>Нефть-всего</t>
  </si>
  <si>
    <t>2_100332068+2_100332947+2_100332066+2_100332067+2_100332069+3_100330196+4_100331838+4_100335093+4_100333678+9_100330672</t>
  </si>
  <si>
    <t>2_100332068+2_100332947+2_100332066+2_100332067+2_100332069+3_100330196+4_100331838+4_100335093+4_100333678</t>
  </si>
  <si>
    <t>2_100332068+2_100332947+2_100332066+2_100332067+2_100332069</t>
  </si>
  <si>
    <t>3_100330196</t>
  </si>
  <si>
    <t xml:space="preserve">             Уренгойский ЗПКТ</t>
  </si>
  <si>
    <t>4_100335093+4_100333678</t>
  </si>
  <si>
    <t xml:space="preserve">                 Сургутский ЗСК</t>
  </si>
  <si>
    <t>4_100331838</t>
  </si>
  <si>
    <t>9_100330672</t>
  </si>
  <si>
    <t>4.2.1.</t>
  </si>
  <si>
    <t>2_100332066+2_100332067+3_100330196+4_100331838+4_100335093</t>
  </si>
  <si>
    <t>2_100332066+2_100332067</t>
  </si>
  <si>
    <t>2_100332066</t>
  </si>
  <si>
    <t>2_100332067</t>
  </si>
  <si>
    <t xml:space="preserve">    Сосногорский ГПЗ </t>
  </si>
  <si>
    <t>4_100335093</t>
  </si>
  <si>
    <t xml:space="preserve">Газпром добыча Уренгой </t>
  </si>
  <si>
    <t>4.2.2.</t>
  </si>
  <si>
    <t>2_100332068+2_100332947+4_100333678+2_100332069+9_100330672</t>
  </si>
  <si>
    <t>2_100332068+2_100332947+4_100333678</t>
  </si>
  <si>
    <t>2_100332068+2_100332947</t>
  </si>
  <si>
    <t>2_100332068</t>
  </si>
  <si>
    <t>2_100332947</t>
  </si>
  <si>
    <t>4_100333678</t>
  </si>
  <si>
    <t>2_100332069</t>
  </si>
  <si>
    <t xml:space="preserve"> Оренбургский ГХК</t>
  </si>
  <si>
    <t>5.</t>
  </si>
  <si>
    <t>Поставка нефти-всего</t>
  </si>
  <si>
    <t>7_100330593+7_100330591+0+8_100330646+8_100335919+8_100330647+8_100335920+8_100335670+8_100335918+8_100336114+10_100330720+10_100330862+10_100336141</t>
  </si>
  <si>
    <t>7_100330593+7_100330591</t>
  </si>
  <si>
    <t>0+8_100330646+8_100335919+8_100330647+8_100335920+8_100335670+8_100335918+8_100336114</t>
  </si>
  <si>
    <t>10_100330720+10_100330862+10_100336141</t>
  </si>
  <si>
    <t>5.1.</t>
  </si>
  <si>
    <t>0+10_100330720</t>
  </si>
  <si>
    <t xml:space="preserve">                Уренгойское НГКМ</t>
  </si>
  <si>
    <t>10_100330720</t>
  </si>
  <si>
    <t>в т.ч. конденсат</t>
  </si>
  <si>
    <t>10_100335709</t>
  </si>
  <si>
    <t>5.2.</t>
  </si>
  <si>
    <t>7_100330593+7_100330591+8_100330646+8_100335919+8_100330647+8_100335920+8_100335670+8_100335918+8_100336114+10_100330862+10_100336141</t>
  </si>
  <si>
    <t>Ямбургское НГКМ</t>
  </si>
  <si>
    <t>7_100330593</t>
  </si>
  <si>
    <t>Заполярное НГКМ</t>
  </si>
  <si>
    <t>7_100330591</t>
  </si>
  <si>
    <t>8_100330646+8_100335919+8_100330647+8_100335920+8_100335670+8_100335918+8_100336114</t>
  </si>
  <si>
    <t>8_100335670+8_100335918+8_100336114</t>
  </si>
  <si>
    <t>Ен-Яхинское НГКМ</t>
  </si>
  <si>
    <t>8_100330646+8_100335919</t>
  </si>
  <si>
    <t>Песцовое НГКМ</t>
  </si>
  <si>
    <t>8_100330647+8_100335920</t>
  </si>
  <si>
    <t>10_100330862+10_100336141</t>
  </si>
  <si>
    <t>Западно-Таркосалинское НГКМ</t>
  </si>
  <si>
    <t>10_100330862</t>
  </si>
  <si>
    <t xml:space="preserve">         Тас- Юряхское НГКМ </t>
  </si>
  <si>
    <t>10_100336141</t>
  </si>
  <si>
    <t>6.</t>
  </si>
  <si>
    <t>Поставка нестабильного газового конденсата-всего</t>
  </si>
  <si>
    <t>7_100333320+SUM(8_100335489-8_100335600-8_100335601:8_100335516+8_100335517)+11_100335593+11_100335658+10_100336327</t>
  </si>
  <si>
    <t>7_100333320</t>
  </si>
  <si>
    <t>SUM(8_100335489-8_100335600-8_100335601:8_100335516+8_100335517)</t>
  </si>
  <si>
    <t xml:space="preserve">Газпром добыча Надым </t>
  </si>
  <si>
    <t>11_100335593+11_100335658</t>
  </si>
  <si>
    <t>10_100336327</t>
  </si>
  <si>
    <t>6.1.</t>
  </si>
  <si>
    <t>6.2.</t>
  </si>
  <si>
    <t>Уренгойское НГКМ ачим. 3 уч.(включая ГВ и конденсат)</t>
  </si>
  <si>
    <t>8_100335489-8_100335600-8_100335601</t>
  </si>
  <si>
    <t>Песцовое НГКМ (включая ГВ и конденсат)</t>
  </si>
  <si>
    <t>8_100335490+8_100335603-8_100335471-8_100335602</t>
  </si>
  <si>
    <t>Ен-Яхинское НГКМ (включая ГВ и конденсат)</t>
  </si>
  <si>
    <t>8_100335516+8_100335517</t>
  </si>
  <si>
    <t xml:space="preserve"> Бованенковское НГКМ (неоком-юра)</t>
  </si>
  <si>
    <t>11_100335593</t>
  </si>
  <si>
    <t>Харасавэйское ГКМ (неоком-юра)</t>
  </si>
  <si>
    <t>11_100335658</t>
  </si>
  <si>
    <t>7.</t>
  </si>
  <si>
    <t>Переработка газового конденсата (нефти) первичная-всего</t>
  </si>
  <si>
    <t>0+1_100332016+4_100331931+4_100331932</t>
  </si>
  <si>
    <t>0+1_100332016</t>
  </si>
  <si>
    <t xml:space="preserve">              Уренгойский ЗПКТ</t>
  </si>
  <si>
    <t>4_100331931</t>
  </si>
  <si>
    <t xml:space="preserve">                Сургутский ЗСК</t>
  </si>
  <si>
    <t>4_100331932</t>
  </si>
  <si>
    <t>7_100330629</t>
  </si>
  <si>
    <t>7.1.</t>
  </si>
  <si>
    <t>1_100332016+4_100331931+4_100331932</t>
  </si>
  <si>
    <t>1_100332016</t>
  </si>
  <si>
    <t>7.2.</t>
  </si>
  <si>
    <t>0+7_100330629</t>
  </si>
  <si>
    <t>Справочно</t>
  </si>
  <si>
    <t xml:space="preserve">Переработка стабильного конденсата, всего </t>
  </si>
  <si>
    <t>4_100331934+4_100331935+0</t>
  </si>
  <si>
    <t>4_100331934+4_100331935</t>
  </si>
  <si>
    <t>4_100331934</t>
  </si>
  <si>
    <t>4_100331935</t>
  </si>
  <si>
    <t>Переработка кислого газа Астраханский ГПЗ, всего</t>
  </si>
  <si>
    <t>1_100331980+1_100331981+0</t>
  </si>
  <si>
    <t>1_100331980+1_100331981</t>
  </si>
  <si>
    <t>в т.ч. от переработки с производства №3</t>
  </si>
  <si>
    <t>1_100331980</t>
  </si>
  <si>
    <t xml:space="preserve"> от переработки с производства №1, 5</t>
  </si>
  <si>
    <t>1_100331981</t>
  </si>
  <si>
    <t>в т. ч. покупка у Газпром добыча Астрахань</t>
  </si>
  <si>
    <t>кислый газ на собст. тех. нужды ГПП</t>
  </si>
  <si>
    <t>Выработка ШФЛУ (валовая), всего</t>
  </si>
  <si>
    <t>1_100332006+2_100332207+2_100332208+2_100335144+4_100331893+4_100331894</t>
  </si>
  <si>
    <t>1_100332006</t>
  </si>
  <si>
    <t>2_100332207+2_100332208+2_100335144</t>
  </si>
  <si>
    <t>4_100331893</t>
  </si>
  <si>
    <t>4_100331894</t>
  </si>
  <si>
    <t>4_100331893+4_100331894+1_100332006</t>
  </si>
  <si>
    <t xml:space="preserve">        в т.ч. стабильный конденсат</t>
  </si>
  <si>
    <t>1_100334997</t>
  </si>
  <si>
    <t>0+2_100332207+2_100332208+2_100335144</t>
  </si>
  <si>
    <t>2_100332207</t>
  </si>
  <si>
    <t>2_100332208</t>
  </si>
  <si>
    <t>2_100335144</t>
  </si>
  <si>
    <t>Переработка ШФЛУ, всего</t>
  </si>
  <si>
    <t>1_100332008+2_100332211+2_100332212+2_100335145+4_100331896+4_100331897</t>
  </si>
  <si>
    <t>1_100332008</t>
  </si>
  <si>
    <t>с уч. содержания комп. стабильного конденсата</t>
  </si>
  <si>
    <t>1_100332009</t>
  </si>
  <si>
    <t>2_100332211+2_100332212+2_100335145</t>
  </si>
  <si>
    <t>2_100332211</t>
  </si>
  <si>
    <t>2_100332212</t>
  </si>
  <si>
    <t>2_100335145</t>
  </si>
  <si>
    <t>4_100331896</t>
  </si>
  <si>
    <t>4_100331897</t>
  </si>
  <si>
    <t xml:space="preserve">ПРОДУКЦИЯ    </t>
  </si>
  <si>
    <t>Газ горючий природный сухой  отбензиненный  с перерабатывающих предприятий - всего</t>
  </si>
  <si>
    <t>2_100332111+2_100332113+2_100335135+2_100335692+1_100331993+3_100330564+3_100330574+4_100331871+4_100331859+4_100331857+4_100335366+4_100335368+0+8_100335493+14_100332359+14_100335312</t>
  </si>
  <si>
    <t>2_100332111+2_100332113+2_100335135+2_100335692+1_100331993+3_100330564+3_100330574+4_100331871+4_100331859+4_100331857+4_100335366+4_100335368+0</t>
  </si>
  <si>
    <t>1_100331993</t>
  </si>
  <si>
    <t>2_100332111+2_100332113+2_100335135+2_100335692</t>
  </si>
  <si>
    <t xml:space="preserve">  Сосногорский ГПЗ </t>
  </si>
  <si>
    <t>3_100330564+3_100330574</t>
  </si>
  <si>
    <t xml:space="preserve">               Уренгойский ЗПКТ с учетом привлеченных мощностей</t>
  </si>
  <si>
    <t>4_100331871+4_100331859+4_100331857+4_100335366+4_100335368+0</t>
  </si>
  <si>
    <t>4_100331870+4_100331858+4_100331856+4_100335365+4_100335367+0</t>
  </si>
  <si>
    <t>8_100335493</t>
  </si>
  <si>
    <t xml:space="preserve"> Газпром переработка Благовещенск</t>
  </si>
  <si>
    <t>14_100332359+14_100335312</t>
  </si>
  <si>
    <t xml:space="preserve"> Амурский ГПЗ</t>
  </si>
  <si>
    <t>1.1.</t>
  </si>
  <si>
    <t>3_100330564+4_100331871+4_100331859+4_100331857+4_100335366+4_100335368+1_100331993+14_100332359</t>
  </si>
  <si>
    <t>3_100330564+4_100331871+4_100331859+4_100331857+4_100335366+4_100335368+1_100331993</t>
  </si>
  <si>
    <t>в т.ч. в  газотранспортную систему</t>
  </si>
  <si>
    <t>1_100331995</t>
  </si>
  <si>
    <t>газ на стн ГПП</t>
  </si>
  <si>
    <t>1_100331999</t>
  </si>
  <si>
    <t>газ на стн газодобывающих обществ</t>
  </si>
  <si>
    <t>1_100331997</t>
  </si>
  <si>
    <t xml:space="preserve">Сосногорский ГПЗ </t>
  </si>
  <si>
    <t>3_100330564</t>
  </si>
  <si>
    <t>в т. ч. собственная потребность ГПП</t>
  </si>
  <si>
    <t>3_100330566</t>
  </si>
  <si>
    <t>в газотранспортную систему</t>
  </si>
  <si>
    <t>3_100330570</t>
  </si>
  <si>
    <t>на Сосногорскую ТЭЦ</t>
  </si>
  <si>
    <t>3_100330568</t>
  </si>
  <si>
    <t xml:space="preserve">               Уренгойский ЗПКТ и привлеченные мощности</t>
  </si>
  <si>
    <t>4_100331871+4_100331859+4_100331857+4_100335366+4_100335368</t>
  </si>
  <si>
    <t>4_100331870+4_100331858+4_100331856+4_100335365+4_100335367</t>
  </si>
  <si>
    <t xml:space="preserve"> в т.ч. газ горючий природный</t>
  </si>
  <si>
    <t>4_100331871</t>
  </si>
  <si>
    <t>4_100331870</t>
  </si>
  <si>
    <t xml:space="preserve"> газ деэтанизации собств. потребность ГПП</t>
  </si>
  <si>
    <t>4_100331859</t>
  </si>
  <si>
    <t>4_100331858</t>
  </si>
  <si>
    <t>газ деэтанизации в адрес ГДУ по договору поставки</t>
  </si>
  <si>
    <t>4_100331857</t>
  </si>
  <si>
    <t>4_100331856</t>
  </si>
  <si>
    <t xml:space="preserve"> газ горючий природный с привлечнных. мощностей Новатэк</t>
  </si>
  <si>
    <t>4_100335366</t>
  </si>
  <si>
    <t>4_100335365</t>
  </si>
  <si>
    <t xml:space="preserve"> газ деэтанизации с  привлечнных мощностей УДКМ</t>
  </si>
  <si>
    <t>4_100335368</t>
  </si>
  <si>
    <t>4_100335367</t>
  </si>
  <si>
    <t>14_100332359</t>
  </si>
  <si>
    <t>1.2.</t>
  </si>
  <si>
    <t>2_100332111+2_100332113+2_100335135+0+3_100330574+14_100335312+2_100335692</t>
  </si>
  <si>
    <t>2_100332111+2_100332113+2_100335135+0</t>
  </si>
  <si>
    <t>2_100332111+2_100332113+2_100335135</t>
  </si>
  <si>
    <t>в т.ч. на стн ГПП</t>
  </si>
  <si>
    <t>2_100335015+2_100335017</t>
  </si>
  <si>
    <t>на стн газодобывающих обществ</t>
  </si>
  <si>
    <t>2_100335019</t>
  </si>
  <si>
    <t>2_100332111</t>
  </si>
  <si>
    <t>2_100332113</t>
  </si>
  <si>
    <t>2_100335135</t>
  </si>
  <si>
    <t xml:space="preserve"> Уренгойский ЗПКТ</t>
  </si>
  <si>
    <t xml:space="preserve"> (газ деэтанизации)/природный газ</t>
  </si>
  <si>
    <t xml:space="preserve">Сервиснефтегаз </t>
  </si>
  <si>
    <t>2_100335692</t>
  </si>
  <si>
    <t xml:space="preserve">                в т.ч.Оренбургский ГХК на стн ГПП</t>
  </si>
  <si>
    <t xml:space="preserve">в т.ч. ДРОД </t>
  </si>
  <si>
    <t>3_100330574</t>
  </si>
  <si>
    <t>ЛУКОЙЛ-Коми</t>
  </si>
  <si>
    <t>14_100335312</t>
  </si>
  <si>
    <t>2.</t>
  </si>
  <si>
    <t>Транзит газа через Амурский ГПЗ</t>
  </si>
  <si>
    <t>14_100335159+14_100335425</t>
  </si>
  <si>
    <t>2.1.</t>
  </si>
  <si>
    <t>14_100335159</t>
  </si>
  <si>
    <t>2.2.</t>
  </si>
  <si>
    <t>14_100335425</t>
  </si>
  <si>
    <t>Сжиженный природный газ  (СПГ) - всего</t>
  </si>
  <si>
    <t>3.1.</t>
  </si>
  <si>
    <t>3.2.</t>
  </si>
  <si>
    <t>Сера техническая - всего</t>
  </si>
  <si>
    <t>2_100332189+2_100332190+2_100332192+2_100332194+2_100332195+1_100330068+1_100330069+1_100330071+1_100330070+1_100337112+0</t>
  </si>
  <si>
    <t>2_100332189+2_100332190+2_100332192+2_100332194+2_100332195</t>
  </si>
  <si>
    <t>1_100330068+1_100330069+1_100330071+1_100330070+1_100337112+0</t>
  </si>
  <si>
    <t>2_100332189+2_100332190+1_100330068+1_100330069+1_100330071+1_100330070+1_100337112</t>
  </si>
  <si>
    <t>2_100332189+2_100332190</t>
  </si>
  <si>
    <t>2_100332189</t>
  </si>
  <si>
    <t>2_100332190</t>
  </si>
  <si>
    <t>1_100330068+1_100330069+1_100330071+1_100330070+1_100337112</t>
  </si>
  <si>
    <t>жидкая</t>
  </si>
  <si>
    <t>1_100330068</t>
  </si>
  <si>
    <t>комовая</t>
  </si>
  <si>
    <t>1_100330069</t>
  </si>
  <si>
    <t>гранулированная</t>
  </si>
  <si>
    <t>1_100330071+1_100330070+1_100337112</t>
  </si>
  <si>
    <t>в т.ч. марка М</t>
  </si>
  <si>
    <t>1_100330071</t>
  </si>
  <si>
    <t>марка С</t>
  </si>
  <si>
    <t>1_100330070</t>
  </si>
  <si>
    <t>марка СМ</t>
  </si>
  <si>
    <t>1_100337112</t>
  </si>
  <si>
    <t>0+2_100332192+2_100332194+2_100332195</t>
  </si>
  <si>
    <t>2_100332192+2_100332194+2_100332195</t>
  </si>
  <si>
    <t>из нее гранулированная</t>
  </si>
  <si>
    <t>2_100332193</t>
  </si>
  <si>
    <t>в т. ч. Газпром добыча Оренбург</t>
  </si>
  <si>
    <t>2_100332192</t>
  </si>
  <si>
    <t>2_100332194</t>
  </si>
  <si>
    <t>2_100332195</t>
  </si>
  <si>
    <t>Широкая фракция легких углеводоров товарная</t>
  </si>
  <si>
    <t>1_100332005+4_100331888+4_100331889+2_100332207-2_100332211+2_100332208-2_100332212+2_100335143</t>
  </si>
  <si>
    <t>1_100332005</t>
  </si>
  <si>
    <t>2_100332207-2_100332211+2_100332208-2_100332212+2_100335143</t>
  </si>
  <si>
    <t>4_100331888</t>
  </si>
  <si>
    <t xml:space="preserve">    Сургутский ЗСК</t>
  </si>
  <si>
    <t>4_100331889</t>
  </si>
  <si>
    <t>2_100332207-2_100332211</t>
  </si>
  <si>
    <t>2_100332208-2_100332212</t>
  </si>
  <si>
    <t>2_100335143</t>
  </si>
  <si>
    <t xml:space="preserve">Газы углеводородные сжиженные </t>
  </si>
  <si>
    <t>2_100332216+0+2_100332218+0+2_100335146+2_100332221+2_100332223+2_100332224+2_100332226+3_100332287+3_100332288+4_100331900+4_100331901+1_100332010+14_100332363+14_100332364+14_100332365+7_100330609+12_100330866</t>
  </si>
  <si>
    <t>2_100332216+0+2_100332218+0+2_100335146+2_100332221+2_100332223+2_100332224+2_100332226+3_100332287+3_100332288+4_100331900+4_100331901+1_100332010</t>
  </si>
  <si>
    <t xml:space="preserve">Астраханский ГПЗ </t>
  </si>
  <si>
    <t>1_100332010</t>
  </si>
  <si>
    <t>2_100332216+0+2_100332218+0+2_100335146+2_100332221+2_100332223+2_100332224+2_100332226</t>
  </si>
  <si>
    <t>ГПЗ</t>
  </si>
  <si>
    <t>2_100332217+2_100332219+2_100335147+2_100332220+2_100332226</t>
  </si>
  <si>
    <t>ГЗ</t>
  </si>
  <si>
    <t>2_100330955+2_100330956+2_100335148</t>
  </si>
  <si>
    <t xml:space="preserve">   Сосногорский ГПЗ</t>
  </si>
  <si>
    <t>3_100332287+3_100332288</t>
  </si>
  <si>
    <t>4_100331900</t>
  </si>
  <si>
    <t>4_100331901</t>
  </si>
  <si>
    <t>14_100332363+14_100332364+14_100332365</t>
  </si>
  <si>
    <t>7_100330609</t>
  </si>
  <si>
    <t>Газпром добыча Иркутск (ПБТ/ПБА)</t>
  </si>
  <si>
    <t>12_100330866</t>
  </si>
  <si>
    <t>1_100332010+2_100332216+0+2_100332218+0+2_100335146+3_100332287+4_100331900+4_100331901+12_100330866+14_100332363+14_100332364+14_100332365</t>
  </si>
  <si>
    <t>1_100332010+2_100332216+0+2_100332218+0+2_100335146+3_100332287+4_100331900+4_100331901</t>
  </si>
  <si>
    <t>Астраханский ГПЗ (ПБТ/ПБА)</t>
  </si>
  <si>
    <t xml:space="preserve"> Оренбургский ГХК (ПБТ/ПБА)</t>
  </si>
  <si>
    <t>2_100332216+0+2_100332218+0+2_100335146</t>
  </si>
  <si>
    <t>2_100332216+0</t>
  </si>
  <si>
    <t>в т.ч. ПБТ/ПБА</t>
  </si>
  <si>
    <t>2_100332216</t>
  </si>
  <si>
    <t>бутан</t>
  </si>
  <si>
    <t>2_100332218+0</t>
  </si>
  <si>
    <t>2_100332218</t>
  </si>
  <si>
    <t>2_100335146</t>
  </si>
  <si>
    <t xml:space="preserve">   Сосногорский ГПЗ (ПБТ/ПБА)</t>
  </si>
  <si>
    <t>3_100332287</t>
  </si>
  <si>
    <t xml:space="preserve">   в т. ч. фракция пропановая </t>
  </si>
  <si>
    <t>4_100332910</t>
  </si>
  <si>
    <t>ПБТ/ПБА</t>
  </si>
  <si>
    <t>4_100335420</t>
  </si>
  <si>
    <t xml:space="preserve">   в т.ч. ПБТ</t>
  </si>
  <si>
    <t>4_100332911</t>
  </si>
  <si>
    <t>пропан</t>
  </si>
  <si>
    <t>4_100332912</t>
  </si>
  <si>
    <t xml:space="preserve">              бутан</t>
  </si>
  <si>
    <t>4_100332913</t>
  </si>
  <si>
    <t xml:space="preserve">   в т.ч. пропан</t>
  </si>
  <si>
    <t>14_100332363</t>
  </si>
  <si>
    <t>14_100332364</t>
  </si>
  <si>
    <t>ПБТ</t>
  </si>
  <si>
    <t>14_100332365</t>
  </si>
  <si>
    <t>Газпром добыча Иркутск (ПБТ)</t>
  </si>
  <si>
    <t>в т.ч. Ковыктинское ГКМ</t>
  </si>
  <si>
    <t>2_100332221+2_100332223+2_100332224+7_100330609+2_100332226+3_100332288</t>
  </si>
  <si>
    <t>2_100332221+2_100332223+2_100332224</t>
  </si>
  <si>
    <t>2_100332221</t>
  </si>
  <si>
    <t xml:space="preserve"> в т.ч. собственная потребность ГПП</t>
  </si>
  <si>
    <t>2_100332222</t>
  </si>
  <si>
    <t xml:space="preserve"> собственная потребность ГДО</t>
  </si>
  <si>
    <t>2_100332223</t>
  </si>
  <si>
    <t>2_100332224</t>
  </si>
  <si>
    <t xml:space="preserve">              фракция пропан-бутановая</t>
  </si>
  <si>
    <t>2_100332226</t>
  </si>
  <si>
    <t>3_100332288</t>
  </si>
  <si>
    <t>Углеводородная фракция / ПГФ - всего</t>
  </si>
  <si>
    <t>2_100332234+2_100332235+2_100335150+4_100331904+14_100332366+14_100335088</t>
  </si>
  <si>
    <t>2_100332234+2_100332235+2_100335150+4_100331904</t>
  </si>
  <si>
    <t>2_100332234+2_100332235+2_100335150</t>
  </si>
  <si>
    <t xml:space="preserve">   Сургутский ЗСК</t>
  </si>
  <si>
    <t>4_100331904</t>
  </si>
  <si>
    <t>14_100332366+14_100335088</t>
  </si>
  <si>
    <t>2_100332234+2_100332235+2_100335150+4_100331904+14_100332366</t>
  </si>
  <si>
    <t>2_100332234</t>
  </si>
  <si>
    <t>2_100332235</t>
  </si>
  <si>
    <t>2_100335150</t>
  </si>
  <si>
    <t>Сургутский ЗСК</t>
  </si>
  <si>
    <t>14_100332366</t>
  </si>
  <si>
    <t>14_100335088</t>
  </si>
  <si>
    <t>8.</t>
  </si>
  <si>
    <t>Стабильный газовый конденсат и нефть-всего</t>
  </si>
  <si>
    <t>1_100332014+2_100332266+2_100332267+2_100335669+2_100332269+2_100332271+2_100332959+2_100332273+3_100330098+3_100330582+4_100331927+4_100331928+4_100335100+4_100331929</t>
  </si>
  <si>
    <t>1_100332014</t>
  </si>
  <si>
    <t>2_100332266+2_100332267+2_100335669+2_100332269+2_100332271+2_100332959+2_100332273</t>
  </si>
  <si>
    <t>3_100330098+3_100330582</t>
  </si>
  <si>
    <t>4_100331927+4_100331928+4_100335100</t>
  </si>
  <si>
    <t>4_100331929</t>
  </si>
  <si>
    <t>0+8_100333681+8_100335156+8_100335917+8_100335916+8_100335911</t>
  </si>
  <si>
    <t>9_100330684+9_100330879</t>
  </si>
  <si>
    <t xml:space="preserve">     в т. ч. НГКС</t>
  </si>
  <si>
    <t>9_100330684</t>
  </si>
  <si>
    <t>7_100330626+7_100330593+7_100330591</t>
  </si>
  <si>
    <t>12_100335331+0</t>
  </si>
  <si>
    <t>13_100330880</t>
  </si>
  <si>
    <t>10_100335094+10_100335047+10_100330725+10_100330862+10_100336142</t>
  </si>
  <si>
    <t>11_100330100</t>
  </si>
  <si>
    <t>15_100335852+15_100335474</t>
  </si>
  <si>
    <t>Газпром трансгаз Санкт-Петербург*</t>
  </si>
  <si>
    <t>Газпром трансгаз Краснодар*</t>
  </si>
  <si>
    <t>8.1.</t>
  </si>
  <si>
    <t>2_100332266+2_100332267+2_100335669+3_100330098+4_100331927+4_100331928+4_100335100+4_100331929+1_100332014+0+12_100335331+0+13_100330880+10_100335094+10_100335047+15_100335852+15_100335474+0+0</t>
  </si>
  <si>
    <t>2_100332266+2_100332267+2_100335669+3_100330098+4_100331927+4_100331928+4_100335100+4_100331929+1_100332014</t>
  </si>
  <si>
    <t>2_100332266+2_100332267+2_100335669</t>
  </si>
  <si>
    <t>2_100332266</t>
  </si>
  <si>
    <t>2_100332267</t>
  </si>
  <si>
    <t>2_100335669</t>
  </si>
  <si>
    <t>3_100330098</t>
  </si>
  <si>
    <t>от переработки на УДК/УСК</t>
  </si>
  <si>
    <t>4_100331927</t>
  </si>
  <si>
    <t>от переработки на УСК-2</t>
  </si>
  <si>
    <t>4_100331928</t>
  </si>
  <si>
    <t>нефть с НПС</t>
  </si>
  <si>
    <t>4_100335100</t>
  </si>
  <si>
    <t>нефть</t>
  </si>
  <si>
    <t>12_100335331</t>
  </si>
  <si>
    <t>конденсат (Киринское ГКМ)</t>
  </si>
  <si>
    <t>10_100335094+10_100335047</t>
  </si>
  <si>
    <t>конденсат (Чаяндинское НГКМ)</t>
  </si>
  <si>
    <t>10_100335094</t>
  </si>
  <si>
    <t>нефть (Чаяндинское НГКМ)</t>
  </si>
  <si>
    <t>10_100335047</t>
  </si>
  <si>
    <t>в т.ч. собственные нужды</t>
  </si>
  <si>
    <t>10_100335048</t>
  </si>
  <si>
    <t>8.2.</t>
  </si>
  <si>
    <t>2_100332269+2_100332271+2_100332959+9_100330684+9_100330879+7_100330626+7_100330593+7_100330591+2_100332273+8_100333681+8_100335156+8_100335917+8_100335916+8_100335911+10_100330725+10_100330862+10_100336142+11_100330100+3_100330582</t>
  </si>
  <si>
    <t>2_100332269+2_100332271+2_100332959</t>
  </si>
  <si>
    <t>2_100332269</t>
  </si>
  <si>
    <t>2_100332270</t>
  </si>
  <si>
    <t>2_100332271</t>
  </si>
  <si>
    <t>2_100332959</t>
  </si>
  <si>
    <t>8_100333681+8_100335156+8_100335917+8_100335916+8_100335911</t>
  </si>
  <si>
    <t xml:space="preserve">               нефть (Уренгойское НГКМ)</t>
  </si>
  <si>
    <t>8_100333681+8_100335156</t>
  </si>
  <si>
    <t xml:space="preserve">стаб. газ. конденсат, нефть ДРОД </t>
  </si>
  <si>
    <t>8_100335917+8_100335916+8_100335911</t>
  </si>
  <si>
    <t>стаб. газовый конденсат</t>
  </si>
  <si>
    <t>9_100330879</t>
  </si>
  <si>
    <t>стаб. газовый конденсат (Заполярное НГКМ, Ямбургское НГКМ)</t>
  </si>
  <si>
    <t>7_100330626</t>
  </si>
  <si>
    <t>нефть (Заполярное НГКМ, Ямбургское НГКМ)</t>
  </si>
  <si>
    <t>2_100332273</t>
  </si>
  <si>
    <t>10_100330725+10_100330862+10_100336142</t>
  </si>
  <si>
    <t>10_100330725</t>
  </si>
  <si>
    <t>нефть (Западно-Таркосалинское НГКМ)</t>
  </si>
  <si>
    <t>НГКС (Тас-Юряхское НГКМ)</t>
  </si>
  <si>
    <t>10_100336142</t>
  </si>
  <si>
    <t>в т.ч. Медвежье НКГМ</t>
  </si>
  <si>
    <t>11_100330702</t>
  </si>
  <si>
    <t>в т.ч. Юбилейное НГКМ</t>
  </si>
  <si>
    <t>11_100330703</t>
  </si>
  <si>
    <t>11_100330704</t>
  </si>
  <si>
    <t>в т.ч. Харасавейское ГКМ</t>
  </si>
  <si>
    <t>11_100333688</t>
  </si>
  <si>
    <t>3_100330582</t>
  </si>
  <si>
    <t>9.</t>
  </si>
  <si>
    <t>Стабильный газовый конденсат и нефть товарные-всего</t>
  </si>
  <si>
    <t>1_100332012+0+2_100332255+2_100332271+2_100332267+2_100332959+2_100335669+2_100332273+3_100330098+3_100330582+4_100331921+4_100331924+4_100331922+4_100331925</t>
  </si>
  <si>
    <t>1_100332012+0</t>
  </si>
  <si>
    <t>2_100332255+2_100332271+2_100332267+2_100332959+2_100335669+2_100332273</t>
  </si>
  <si>
    <t>4_100331921+4_100331924</t>
  </si>
  <si>
    <t>4_100331922+4_100331925</t>
  </si>
  <si>
    <t>0+8_100335917+8_100335916+8_100335911+8_100333681</t>
  </si>
  <si>
    <t>9_100330683+9_100335068</t>
  </si>
  <si>
    <t>9_100330683</t>
  </si>
  <si>
    <t>9_100335068</t>
  </si>
  <si>
    <t>7_100330590+7_100330592+7_100330601+7_100330593+7_100330591</t>
  </si>
  <si>
    <t>12_100330867+12_100336113+12_100330737</t>
  </si>
  <si>
    <t>10_100335045+10_100330725+10_100330862+10_100336142</t>
  </si>
  <si>
    <t>9.1.</t>
  </si>
  <si>
    <t>1_100332012+2_100332255+2_100332271+2_100332267+2_100332959+2_100335669+3_100330098+4_100331921+4_100331924+4_100331922+4_100331925+0+12_100330867+12_100336113+12_100330737+13_100330880+7_100330590+7_100330592+10_100335045+15_100335852+15_100335474+0+0</t>
  </si>
  <si>
    <t>1_100332012+2_100332255+2_100332271+2_100332267+2_100332959+2_100335669+3_100330098+4_100331921+4_100331924+4_100331922+4_100331925</t>
  </si>
  <si>
    <t>1_100332012</t>
  </si>
  <si>
    <t>отгрузка с учетом изменения остатков</t>
  </si>
  <si>
    <t>1_100332013</t>
  </si>
  <si>
    <t>2_100332255+2_100332271+2_100332267+2_100332959+2_100335669</t>
  </si>
  <si>
    <t>2_100332255</t>
  </si>
  <si>
    <t>2_100332271+2_100332267</t>
  </si>
  <si>
    <t>2_100332959+2_100335669</t>
  </si>
  <si>
    <t>от переработки на УДК</t>
  </si>
  <si>
    <t>4_100331921</t>
  </si>
  <si>
    <t>4_100331924</t>
  </si>
  <si>
    <t>СК</t>
  </si>
  <si>
    <t>12_100336107+12_100336110+12_100336164+12_100330737</t>
  </si>
  <si>
    <t>в т.ч. на стн Газпром добыча Иркутск</t>
  </si>
  <si>
    <t>12_100330737</t>
  </si>
  <si>
    <t>СК (нефть)</t>
  </si>
  <si>
    <t>12_100336112</t>
  </si>
  <si>
    <t>в т.ч. нефть покупка</t>
  </si>
  <si>
    <t>12_100336113</t>
  </si>
  <si>
    <t>Газпром добыча Ямбург</t>
  </si>
  <si>
    <t>7_100330590+7_100330592</t>
  </si>
  <si>
    <t>10_100335045</t>
  </si>
  <si>
    <t>конденсат, нефть (Чаяндинское НГКМ)</t>
  </si>
  <si>
    <t>9.2.</t>
  </si>
  <si>
    <t>9_100330683+9_100335068+7_100330601+7_100330593+7_100330591+0+8_100335917+8_100335916+8_100335911+8_100333681+2_100332273+11_100330100+10_100330725+10_100330862+10_100336142+3_100330582</t>
  </si>
  <si>
    <t>8_100335917+8_100335916+8_100335911+8_100333681</t>
  </si>
  <si>
    <t>7_100330601+7_100330593+7_100330591</t>
  </si>
  <si>
    <t>7_100330601</t>
  </si>
  <si>
    <t>конденсат (Камчатское ГПУ -Кшукское ГКМ, Нижне-Квакчикское ГКМ)</t>
  </si>
  <si>
    <t>10.</t>
  </si>
  <si>
    <t>Бензин автомобильный-всего</t>
  </si>
  <si>
    <t>1_100332018+1_100332019+1_100335688+0+0+4_100331906+4_100331907</t>
  </si>
  <si>
    <t>1_100332018+1_100332019+1_100335688+0+0</t>
  </si>
  <si>
    <t>4_100331906+4_100331907</t>
  </si>
  <si>
    <t>10.1.</t>
  </si>
  <si>
    <t>1_100332018+1_100332019+1_100335688+4_100331906+4_100331907</t>
  </si>
  <si>
    <t>1_100332018+1_100332019+1_100335688</t>
  </si>
  <si>
    <t>ОЧ-80</t>
  </si>
  <si>
    <t>1_100335688</t>
  </si>
  <si>
    <t>ОЧ-92</t>
  </si>
  <si>
    <t>1_100332018</t>
  </si>
  <si>
    <t xml:space="preserve">   ОЧ-95</t>
  </si>
  <si>
    <t>1_100332019</t>
  </si>
  <si>
    <t xml:space="preserve"> ОЧ-92</t>
  </si>
  <si>
    <t>4_100331906</t>
  </si>
  <si>
    <t>4_100331907</t>
  </si>
  <si>
    <t>10.2.</t>
  </si>
  <si>
    <t>0+0</t>
  </si>
  <si>
    <t>ОЧ-95</t>
  </si>
  <si>
    <t>11.</t>
  </si>
  <si>
    <t>Топливо для реактивных двигателей марки ТС-1-всего</t>
  </si>
  <si>
    <t>4_100331909+4_100331910</t>
  </si>
  <si>
    <t xml:space="preserve">               Уренгойский ЗПКТ</t>
  </si>
  <si>
    <t>4_100331909</t>
  </si>
  <si>
    <t>4_100331910</t>
  </si>
  <si>
    <t>11.1.</t>
  </si>
  <si>
    <t>11.2.</t>
  </si>
  <si>
    <t>12.</t>
  </si>
  <si>
    <t>Дизельное топливо-всего</t>
  </si>
  <si>
    <t>1_100332023+0+4_100331912+4_100331913+7_100330605</t>
  </si>
  <si>
    <t>1_100332023+0+4_100331912+4_100331913</t>
  </si>
  <si>
    <t>1_100332023+0</t>
  </si>
  <si>
    <t>4_100331912</t>
  </si>
  <si>
    <t>4_100331913</t>
  </si>
  <si>
    <t>7_100330605</t>
  </si>
  <si>
    <t>12.1.</t>
  </si>
  <si>
    <t>1_100332023+4_100331912+4_100331913</t>
  </si>
  <si>
    <t>1_100332023</t>
  </si>
  <si>
    <t>12.2.</t>
  </si>
  <si>
    <t>0+7_100330605</t>
  </si>
  <si>
    <t>13.</t>
  </si>
  <si>
    <t>Мазут - всего</t>
  </si>
  <si>
    <t>1_100332024</t>
  </si>
  <si>
    <t>13.1.</t>
  </si>
  <si>
    <t>13.2.</t>
  </si>
  <si>
    <t>14.</t>
  </si>
  <si>
    <t xml:space="preserve">Дистиллят газового конденсата легкий - всего  </t>
  </si>
  <si>
    <t>1_100332020+0+4_100331916+0+4_100331917</t>
  </si>
  <si>
    <t>1_100332020+0</t>
  </si>
  <si>
    <t>4_100331916+0</t>
  </si>
  <si>
    <t>4_100331917</t>
  </si>
  <si>
    <t>14.1.</t>
  </si>
  <si>
    <t>1_100332020+4_100331916+4_100331917</t>
  </si>
  <si>
    <t>1_100332020</t>
  </si>
  <si>
    <t>4_100331916</t>
  </si>
  <si>
    <t xml:space="preserve">               Сургутский ЗСК</t>
  </si>
  <si>
    <t>14.2.</t>
  </si>
  <si>
    <t xml:space="preserve">   Газпром добыча Уренгой</t>
  </si>
  <si>
    <t>15.</t>
  </si>
  <si>
    <t>Дистиллят газового конденсата средний - всего</t>
  </si>
  <si>
    <t>1_100332021+0</t>
  </si>
  <si>
    <t>15.1.</t>
  </si>
  <si>
    <t>1_100332021</t>
  </si>
  <si>
    <t>15.2.</t>
  </si>
  <si>
    <t>16.</t>
  </si>
  <si>
    <t>Дистиллят газового конденсата тяжелый - всего</t>
  </si>
  <si>
    <t>1_100332022+0</t>
  </si>
  <si>
    <t>16.1.</t>
  </si>
  <si>
    <t>1_100332022</t>
  </si>
  <si>
    <t>16.2.</t>
  </si>
  <si>
    <t>17.</t>
  </si>
  <si>
    <t>Этановая фракция-всего</t>
  </si>
  <si>
    <t>2_100332242+2_100332243+2_100335151+14_100332362</t>
  </si>
  <si>
    <t>2_100332242+2_100332243+2_100335151</t>
  </si>
  <si>
    <t>14_100332362</t>
  </si>
  <si>
    <t>17.1.</t>
  </si>
  <si>
    <t>17.2.</t>
  </si>
  <si>
    <t>2_100332242</t>
  </si>
  <si>
    <t>2_100332243</t>
  </si>
  <si>
    <t>2_100335151</t>
  </si>
  <si>
    <t>18.</t>
  </si>
  <si>
    <t>Гелий-всего</t>
  </si>
  <si>
    <t>2_100332248+2_100332250+14_100332361+14_100335082</t>
  </si>
  <si>
    <t>тыс. куб.м.</t>
  </si>
  <si>
    <t>14_100332360+2_100335422+2_100332251+14_100335083</t>
  </si>
  <si>
    <t>тонн</t>
  </si>
  <si>
    <t>2_100332248+2_100332250</t>
  </si>
  <si>
    <t>2_100335422+2_100332251</t>
  </si>
  <si>
    <t>14_100332361+14_100335082</t>
  </si>
  <si>
    <t xml:space="preserve"> Амурский ГПЗ </t>
  </si>
  <si>
    <t>14_100332360+14_100335083</t>
  </si>
  <si>
    <t>18.1.</t>
  </si>
  <si>
    <t>14_100332361</t>
  </si>
  <si>
    <t>жидкий</t>
  </si>
  <si>
    <t>14_100332360</t>
  </si>
  <si>
    <t>18.2.</t>
  </si>
  <si>
    <t>2_100332248+2_100332250+14_100335082</t>
  </si>
  <si>
    <t>в т.ч. газообразный</t>
  </si>
  <si>
    <t>2_100332248</t>
  </si>
  <si>
    <t>2_100335422</t>
  </si>
  <si>
    <t>в т.ч. собственная потребность ГПП</t>
  </si>
  <si>
    <t>2_100332249</t>
  </si>
  <si>
    <t>2_100332250</t>
  </si>
  <si>
    <t>2_100332251</t>
  </si>
  <si>
    <t>14_100335082</t>
  </si>
  <si>
    <t>14_100335083</t>
  </si>
  <si>
    <t>19.</t>
  </si>
  <si>
    <t>Одорант-всего</t>
  </si>
  <si>
    <t>2_100332239</t>
  </si>
  <si>
    <t>19.2.</t>
  </si>
  <si>
    <t>20.</t>
  </si>
  <si>
    <t>Техуглерод-всего</t>
  </si>
  <si>
    <t>3_100330580+3_100330581</t>
  </si>
  <si>
    <t>20.1.</t>
  </si>
  <si>
    <t xml:space="preserve">   в т.ч. турбулентный (П-701)</t>
  </si>
  <si>
    <t>3_100330580</t>
  </si>
  <si>
    <t xml:space="preserve">   термический (Т-900)</t>
  </si>
  <si>
    <t>3_100330581</t>
  </si>
  <si>
    <t>20.2.</t>
  </si>
  <si>
    <t>21.</t>
  </si>
  <si>
    <t>Газ стабилизации на собств. нужды-всего</t>
  </si>
  <si>
    <t>1_100332026</t>
  </si>
  <si>
    <t>1_100332025</t>
  </si>
  <si>
    <t>21.1.</t>
  </si>
  <si>
    <t>21.2.</t>
  </si>
  <si>
    <t>22.</t>
  </si>
  <si>
    <t>Топливный газ-всего</t>
  </si>
  <si>
    <t>2_100332171+2_100332173+2_100332177+2_100332179+2_100335141+14_100332368+14_100335465</t>
  </si>
  <si>
    <t>2_100332170+2_100332172+2_100332176+2_100332178+2_100335140+14_100332367+14_100335464</t>
  </si>
  <si>
    <t>2_100332171+2_100332173+2_100332177+2_100332179+2_100335141</t>
  </si>
  <si>
    <t>2_100332170+2_100332172+2_100332176+2_100332178+2_100335140</t>
  </si>
  <si>
    <t>14_100332368+14_100335465</t>
  </si>
  <si>
    <t>14_100332367+14_100335464</t>
  </si>
  <si>
    <t>22.1.</t>
  </si>
  <si>
    <t>2_100332171+2_100332173+14_100332368</t>
  </si>
  <si>
    <t>2_100332170+2_100332172+14_100332367</t>
  </si>
  <si>
    <t>2_100332171+2_100332173</t>
  </si>
  <si>
    <t>2_100332170+2_100332172</t>
  </si>
  <si>
    <t>2_100332171</t>
  </si>
  <si>
    <t>2_100332170</t>
  </si>
  <si>
    <t>2_100332173</t>
  </si>
  <si>
    <t>2_100332172</t>
  </si>
  <si>
    <t>14_100332368</t>
  </si>
  <si>
    <t>14_100332367</t>
  </si>
  <si>
    <t>2_100332177+2_100332179+2_100335141+14_100335465</t>
  </si>
  <si>
    <t>2_100332176+2_100332178+2_100335140+14_100335464</t>
  </si>
  <si>
    <t>2_100332177+2_100332179+2_100335141</t>
  </si>
  <si>
    <t>2_100332176+2_100332178+2_100335140</t>
  </si>
  <si>
    <t>2_100332177</t>
  </si>
  <si>
    <t>2_100332176</t>
  </si>
  <si>
    <t>2_100332179</t>
  </si>
  <si>
    <t>2_100332178</t>
  </si>
  <si>
    <t>2_100335141</t>
  </si>
  <si>
    <t>2_100335140</t>
  </si>
  <si>
    <t>14_100335465</t>
  </si>
  <si>
    <t>14_100335464</t>
  </si>
  <si>
    <t>23.</t>
  </si>
  <si>
    <t>Газ сбросной технологическийн на собств. нужды-всего</t>
  </si>
  <si>
    <t>4_100331879</t>
  </si>
  <si>
    <t>4_100331878</t>
  </si>
  <si>
    <t xml:space="preserve"> Сургутский ЗСК</t>
  </si>
  <si>
    <t>23.1.</t>
  </si>
  <si>
    <t>23.2.</t>
  </si>
  <si>
    <t>24.</t>
  </si>
  <si>
    <t>Газ деэтанизации и стабилизации-всего</t>
  </si>
  <si>
    <t>7_100330612+10_100330726+0+12_100330680+13_100330680+0</t>
  </si>
  <si>
    <t>7_100330611+10_100330727+0+12_100330679+13_100335781+0</t>
  </si>
  <si>
    <t>7_100330612</t>
  </si>
  <si>
    <t>7_100330611</t>
  </si>
  <si>
    <t>10_100330726+0</t>
  </si>
  <si>
    <t>10_100330727+0</t>
  </si>
  <si>
    <t>12_100330680</t>
  </si>
  <si>
    <t>12_100330679</t>
  </si>
  <si>
    <t>13_100330680</t>
  </si>
  <si>
    <t>13_100335781</t>
  </si>
  <si>
    <t>24.1.</t>
  </si>
  <si>
    <t>10_100330726+12_100330680+13_100330680</t>
  </si>
  <si>
    <t>10_100330727+12_100330679+13_100335781</t>
  </si>
  <si>
    <t>10_100330726</t>
  </si>
  <si>
    <t>10_100330727</t>
  </si>
  <si>
    <t>24.2.</t>
  </si>
  <si>
    <t>7_100330612+0+0</t>
  </si>
  <si>
    <t>7_100330611+0+0</t>
  </si>
  <si>
    <t>Газпром добыча Ноябрьск (ДРОД )</t>
  </si>
  <si>
    <t>Газпром добыча Уренгой (ДРОД )</t>
  </si>
  <si>
    <t>25.</t>
  </si>
  <si>
    <t>Метанол - всего</t>
  </si>
  <si>
    <t>4_100335444/$1000+0+4_100335445/$1000+3_100335432/$1000</t>
  </si>
  <si>
    <t>4_100335444/$1000+0</t>
  </si>
  <si>
    <t>4_100335445/$1000</t>
  </si>
  <si>
    <t>3_100335432/$1000</t>
  </si>
  <si>
    <t>25.1.</t>
  </si>
  <si>
    <t>4_100335444/$1000+4_100335445/$1000+3_100335432/$1000</t>
  </si>
  <si>
    <t>4_100335444/$1000</t>
  </si>
  <si>
    <t>25.2.</t>
  </si>
  <si>
    <t>Газпро добыча Уренгой</t>
  </si>
  <si>
    <t>Справочно:</t>
  </si>
  <si>
    <t>Нефть</t>
  </si>
  <si>
    <t>Поставка от добычи Газпром нефть (Царичанское НМ)</t>
  </si>
  <si>
    <t>6_100332312</t>
  </si>
  <si>
    <t>(транспортировка, собственность Газпром нефтехим Салават )</t>
  </si>
  <si>
    <t xml:space="preserve"> * данные показатели принимаются по факту и используются при формировании договоров</t>
  </si>
  <si>
    <t>Раздел 2. Прогнозные показатели по переработке углеводородного сырья и производству продукции других дочерних обществ</t>
  </si>
  <si>
    <t>ГРУППА ВОСТОКГАЗПРОМ</t>
  </si>
  <si>
    <t xml:space="preserve">ПЕРЕРАБОТКА СЫРЬЯ </t>
  </si>
  <si>
    <t>16_100336330</t>
  </si>
  <si>
    <t>тыс.т.</t>
  </si>
  <si>
    <t>Переработка УВС от добычи АО "Газпром добыча Томск" всего:</t>
  </si>
  <si>
    <t>16_100336331</t>
  </si>
  <si>
    <t>Попутный нефтяной газ</t>
  </si>
  <si>
    <t>16_100332340</t>
  </si>
  <si>
    <t>16_100330742</t>
  </si>
  <si>
    <t>млн куб.м</t>
  </si>
  <si>
    <t>Нестабильный газовый конденсат</t>
  </si>
  <si>
    <t>16_100330865</t>
  </si>
  <si>
    <t>в т.ч. нестабильный газовый конденсат из СОГ</t>
  </si>
  <si>
    <t>16_100337098</t>
  </si>
  <si>
    <t>16_100336332</t>
  </si>
  <si>
    <t>в т.ч. нефть из ПНГ</t>
  </si>
  <si>
    <t>16_100336333</t>
  </si>
  <si>
    <t>Справочно: СОГ на доппереработку с Казанского НГКМ на Мыльджинское НГКМ</t>
  </si>
  <si>
    <t>16_100336369</t>
  </si>
  <si>
    <t>16_100336370</t>
  </si>
  <si>
    <t>Покупка сырья  ПАО "Газпром нефть"</t>
  </si>
  <si>
    <t>16_100332993</t>
  </si>
  <si>
    <t>16_100332994</t>
  </si>
  <si>
    <t>16_100336365</t>
  </si>
  <si>
    <t>16_100336366</t>
  </si>
  <si>
    <t>1.3</t>
  </si>
  <si>
    <t>Прием сырья на процессинг от ПАО "Газпром нефть"</t>
  </si>
  <si>
    <t>16_100332341</t>
  </si>
  <si>
    <t>16_100330743</t>
  </si>
  <si>
    <t>16_100336367</t>
  </si>
  <si>
    <t>16_100336368</t>
  </si>
  <si>
    <t>1.4</t>
  </si>
  <si>
    <t>Технологические нужды</t>
  </si>
  <si>
    <t>16_100336334</t>
  </si>
  <si>
    <t>Потери при хранении в РВС</t>
  </si>
  <si>
    <t>16_100336335</t>
  </si>
  <si>
    <t>СТН газа</t>
  </si>
  <si>
    <t>16_100336336</t>
  </si>
  <si>
    <t>16_100336337</t>
  </si>
  <si>
    <t>2</t>
  </si>
  <si>
    <t xml:space="preserve">ПРОДУКЦИЯ </t>
  </si>
  <si>
    <t>16_100330049</t>
  </si>
  <si>
    <t>Стабильный конденсат и нефть, всего:</t>
  </si>
  <si>
    <t>16_100330745</t>
  </si>
  <si>
    <t>нефть  АО "Газпром добыча Томск"</t>
  </si>
  <si>
    <t>16_100336338</t>
  </si>
  <si>
    <t>стабильный конденсат АО "Газпром добыча Томск"</t>
  </si>
  <si>
    <t>16_100330746</t>
  </si>
  <si>
    <t>в т.ч. из сырья ПАО "Газпром нефть" (покупка газа)</t>
  </si>
  <si>
    <t>16_100332995</t>
  </si>
  <si>
    <t>в т.ч. из сырья ПАО "Газпром нефть" (переработка газа)</t>
  </si>
  <si>
    <t>16_100332899</t>
  </si>
  <si>
    <t>Стабильный конденсат и нефть, товарные
 (собст. АО "Газпром добыча Томск")</t>
  </si>
  <si>
    <t>16_100330747</t>
  </si>
  <si>
    <t>16_100336339</t>
  </si>
  <si>
    <t>16_100336340</t>
  </si>
  <si>
    <t>16_100332996</t>
  </si>
  <si>
    <t>16_100332900</t>
  </si>
  <si>
    <t>2.3</t>
  </si>
  <si>
    <t xml:space="preserve">ШФЛУ валовая </t>
  </si>
  <si>
    <t>16_100332901</t>
  </si>
  <si>
    <t>16_100336342</t>
  </si>
  <si>
    <t>в т.ч. из НГК</t>
  </si>
  <si>
    <t>16_100336343</t>
  </si>
  <si>
    <t>16_100336344</t>
  </si>
  <si>
    <t>в т.ч. из ПНГ</t>
  </si>
  <si>
    <t>16_100336345</t>
  </si>
  <si>
    <t>16_100336346</t>
  </si>
  <si>
    <t>в т.ч из сырья ПАО "Газпром нефть" (покупка газа)</t>
  </si>
  <si>
    <t>16_100332997</t>
  </si>
  <si>
    <t>16_100336348</t>
  </si>
  <si>
    <t>16_100332902</t>
  </si>
  <si>
    <t>16_100336347</t>
  </si>
  <si>
    <t>2.4</t>
  </si>
  <si>
    <t>ШФЛУ, товарная в газопровод 
(собст. АО "Газпром добыча Томск")</t>
  </si>
  <si>
    <t>16_100332904</t>
  </si>
  <si>
    <t>16_100332905</t>
  </si>
  <si>
    <t>16_100336349</t>
  </si>
  <si>
    <t>16_100336350</t>
  </si>
  <si>
    <t>16_100336351</t>
  </si>
  <si>
    <t>16_100336352</t>
  </si>
  <si>
    <t>16_100332999</t>
  </si>
  <si>
    <t>16_100333000</t>
  </si>
  <si>
    <t>16_100332934</t>
  </si>
  <si>
    <t>16_100332935</t>
  </si>
  <si>
    <t>2.5</t>
  </si>
  <si>
    <t>Расход ШФЛУ на СТН (собст. АО "Газпром добыча Томск")</t>
  </si>
  <si>
    <t>16_100336353</t>
  </si>
  <si>
    <t>2.6</t>
  </si>
  <si>
    <t>Газы углеводородные сжиженные (СПБТ) 
(собст. АО "Газпром добыча Томск")</t>
  </si>
  <si>
    <t>16_100330748</t>
  </si>
  <si>
    <t>16_100336354</t>
  </si>
  <si>
    <t>16_100336355</t>
  </si>
  <si>
    <t>16_100332998</t>
  </si>
  <si>
    <t>16_100332903</t>
  </si>
  <si>
    <t>2.7</t>
  </si>
  <si>
    <t>Газ деэтанизации (в газопровод)</t>
  </si>
  <si>
    <t>16_100330749</t>
  </si>
  <si>
    <t>16_100330750</t>
  </si>
  <si>
    <t>2.7.1</t>
  </si>
  <si>
    <t>собственность АО "Газпром добыча Томск"</t>
  </si>
  <si>
    <t>16_100336371</t>
  </si>
  <si>
    <t>16_100336372</t>
  </si>
  <si>
    <t>16_100336356</t>
  </si>
  <si>
    <t>16_100336357</t>
  </si>
  <si>
    <t>16_100336358</t>
  </si>
  <si>
    <t>16_100336359</t>
  </si>
  <si>
    <t>16_100333001</t>
  </si>
  <si>
    <t>16_100333002</t>
  </si>
  <si>
    <t>2.7.2</t>
  </si>
  <si>
    <t>собственность ПАО "Газпром нефть"</t>
  </si>
  <si>
    <t>16_100336373</t>
  </si>
  <si>
    <t>16_100336374</t>
  </si>
  <si>
    <t>16_100332936</t>
  </si>
  <si>
    <t>16_100332937</t>
  </si>
  <si>
    <t>2.8</t>
  </si>
  <si>
    <t>Газ горючий природный сухой отбензиненный, всего:</t>
  </si>
  <si>
    <t>16_100332342</t>
  </si>
  <si>
    <t>16_100330751</t>
  </si>
  <si>
    <t>2.8.1</t>
  </si>
  <si>
    <t>16_100336375</t>
  </si>
  <si>
    <t>16_100336376</t>
  </si>
  <si>
    <t>16_100336360</t>
  </si>
  <si>
    <t>16_100336361</t>
  </si>
  <si>
    <t>16_100333003</t>
  </si>
  <si>
    <t>16_100333004</t>
  </si>
  <si>
    <t>2.8.2</t>
  </si>
  <si>
    <t>16_100336377</t>
  </si>
  <si>
    <t>16_100336378</t>
  </si>
  <si>
    <t>16_100332418</t>
  </si>
  <si>
    <t>16_100330752</t>
  </si>
  <si>
    <t>ООО "Газпром метанол"</t>
  </si>
  <si>
    <t>Переработка природного газа 
(собственность ООО "Газпром метанол")</t>
  </si>
  <si>
    <t>16_100330740</t>
  </si>
  <si>
    <t>Метанол (собственность ООО "Газпром метанол")</t>
  </si>
  <si>
    <t>16_100330753</t>
  </si>
  <si>
    <t>ГРУППА ГАЗПРОМ НЕФТЬ</t>
  </si>
  <si>
    <t>Переработка сырья:</t>
  </si>
  <si>
    <t>Омский НПЗ</t>
  </si>
  <si>
    <t>18_100330758</t>
  </si>
  <si>
    <t>Московский НПЗ</t>
  </si>
  <si>
    <t>18_100330759</t>
  </si>
  <si>
    <t>Славнефть-ЯНОС</t>
  </si>
  <si>
    <t>18_100330760</t>
  </si>
  <si>
    <t>Переработка газа:</t>
  </si>
  <si>
    <t>Южно-Приобский ГПЗ</t>
  </si>
  <si>
    <t>18_100335374</t>
  </si>
  <si>
    <t>18_100330761</t>
  </si>
  <si>
    <t>18_100330762</t>
  </si>
  <si>
    <t>18_100330763</t>
  </si>
  <si>
    <t>Сухой газ:</t>
  </si>
  <si>
    <t>18_100335379</t>
  </si>
  <si>
    <t>Широкая фракция легких углеводородов:</t>
  </si>
  <si>
    <t>18_100335381</t>
  </si>
  <si>
    <t>Бензин автомобильный:</t>
  </si>
  <si>
    <t>18_100330764</t>
  </si>
  <si>
    <t>18_100330765</t>
  </si>
  <si>
    <t>18_100330766</t>
  </si>
  <si>
    <t>Бензин технологический:</t>
  </si>
  <si>
    <t>18_100330768</t>
  </si>
  <si>
    <t>18_100330769</t>
  </si>
  <si>
    <t>18_100330770</t>
  </si>
  <si>
    <t>Дизельное топливо:</t>
  </si>
  <si>
    <t>18_100330771</t>
  </si>
  <si>
    <t>18_100330772</t>
  </si>
  <si>
    <t>18_100330773</t>
  </si>
  <si>
    <t>Мазут топочный:</t>
  </si>
  <si>
    <t>18_100330775</t>
  </si>
  <si>
    <t>18_100330776</t>
  </si>
  <si>
    <t>18_100330777</t>
  </si>
  <si>
    <t>Авиакеросин:</t>
  </si>
  <si>
    <t>18_100330779</t>
  </si>
  <si>
    <t>18_100330780</t>
  </si>
  <si>
    <t>18_100330781</t>
  </si>
  <si>
    <t>Судовое топливо:</t>
  </si>
  <si>
    <t>18_100335388</t>
  </si>
  <si>
    <t>18_100335389</t>
  </si>
  <si>
    <t>18_100335390</t>
  </si>
  <si>
    <t>2.9</t>
  </si>
  <si>
    <t>Масла:</t>
  </si>
  <si>
    <t>18_100335392</t>
  </si>
  <si>
    <t>18_100330783</t>
  </si>
  <si>
    <t>2.10</t>
  </si>
  <si>
    <t>Газы углеводородные сжиженные:</t>
  </si>
  <si>
    <t>18_100330784</t>
  </si>
  <si>
    <t>18_100330785</t>
  </si>
  <si>
    <t>18_100330786</t>
  </si>
  <si>
    <t>2.11</t>
  </si>
  <si>
    <t>Битумы:</t>
  </si>
  <si>
    <t>18_100335397</t>
  </si>
  <si>
    <t>18_100335398</t>
  </si>
  <si>
    <t>18_100335399</t>
  </si>
  <si>
    <t>2.12</t>
  </si>
  <si>
    <t>Сера:</t>
  </si>
  <si>
    <t>18_100335402</t>
  </si>
  <si>
    <t>18_100335403</t>
  </si>
  <si>
    <t>18_100335404</t>
  </si>
  <si>
    <t>2.13</t>
  </si>
  <si>
    <t>Прочие нефтепродукты:</t>
  </si>
  <si>
    <t>18_100330788</t>
  </si>
  <si>
    <t>18_100330789</t>
  </si>
  <si>
    <t>18_100330790</t>
  </si>
  <si>
    <t>Группа Газпром нефтехим Салават</t>
  </si>
  <si>
    <t>НЕФТЕПЕРЕРАБАТЫВАЮЩИЙ ЗАВОД (НПЗ)</t>
  </si>
  <si>
    <t>ПОСТАВКА (ПОКУПКА) СЫРЬЯ  
ООО "ГАЗПРОМ НЕФТЕХИМ САЛАВАТ":</t>
  </si>
  <si>
    <t>17_100335977</t>
  </si>
  <si>
    <t>Конденсат газовый стабильный</t>
  </si>
  <si>
    <t>17_100335978</t>
  </si>
  <si>
    <t>ПАО "Газпром":</t>
  </si>
  <si>
    <t>17_100335979</t>
  </si>
  <si>
    <t>17_100335980</t>
  </si>
  <si>
    <t>17_100335981</t>
  </si>
  <si>
    <t>17_100335982</t>
  </si>
  <si>
    <t>ООО "Газпром добыча Иркутск"</t>
  </si>
  <si>
    <t>17_100335983</t>
  </si>
  <si>
    <t xml:space="preserve">ПАО "НОВАТЭК" </t>
  </si>
  <si>
    <t>17_100335984</t>
  </si>
  <si>
    <t>Прочие поставщики</t>
  </si>
  <si>
    <t>17_100335985</t>
  </si>
  <si>
    <t>17_100335986</t>
  </si>
  <si>
    <t>ПАО "Газпром" (Оренбургский ГПЗ)</t>
  </si>
  <si>
    <t>17_100335987</t>
  </si>
  <si>
    <t>ООО "Сервиснефтегаз" (Оренбургский ГПЗ)</t>
  </si>
  <si>
    <t>17_100335989</t>
  </si>
  <si>
    <t>ТОО "КазРосГаз" (Оренбургский ГПЗ)</t>
  </si>
  <si>
    <t>17_100335990</t>
  </si>
  <si>
    <t>ООО "ГПН-Трейд Оренбург" (Оренбургский ГПЗ)</t>
  </si>
  <si>
    <t>17_100336105</t>
  </si>
  <si>
    <t>ООО "Газпром нефть Оренбург" Царичанская нефть</t>
  </si>
  <si>
    <t>17_100335991</t>
  </si>
  <si>
    <t>ПАО "Газпром нефть и пр. Западно-Сибирская нефть</t>
  </si>
  <si>
    <t>17_100335992</t>
  </si>
  <si>
    <t>17_100335993</t>
  </si>
  <si>
    <t>Мазут</t>
  </si>
  <si>
    <t>17_100335994</t>
  </si>
  <si>
    <t>ПАО "Газпром" (Астраханский ГПЗ)</t>
  </si>
  <si>
    <t>17_100335995</t>
  </si>
  <si>
    <t>Прочее углеводородное сырье (вакуумный газойль)</t>
  </si>
  <si>
    <t>17_100335997</t>
  </si>
  <si>
    <t>ПЕРЕРАБОТКА СЫРЬЯ 
ООО "ГАЗПРОМ НЕФТЕХИМ САЛАВАТ":</t>
  </si>
  <si>
    <t>17_100330802</t>
  </si>
  <si>
    <t>17_100330804</t>
  </si>
  <si>
    <t>17_100335998</t>
  </si>
  <si>
    <t xml:space="preserve"> Астраханский ГПЗ</t>
  </si>
  <si>
    <t>17_100335999</t>
  </si>
  <si>
    <t>17_100336000</t>
  </si>
  <si>
    <t xml:space="preserve"> Сосногорский ГПЗ</t>
  </si>
  <si>
    <t>17_100336001</t>
  </si>
  <si>
    <t>17_100336002</t>
  </si>
  <si>
    <t>17_100336003</t>
  </si>
  <si>
    <t>17_100336004</t>
  </si>
  <si>
    <t>17_100330803</t>
  </si>
  <si>
    <t>17_100336005</t>
  </si>
  <si>
    <t>17_100336007</t>
  </si>
  <si>
    <t>17_100336008</t>
  </si>
  <si>
    <t>17_100336106</t>
  </si>
  <si>
    <t>17_100336009</t>
  </si>
  <si>
    <t>17_100336010</t>
  </si>
  <si>
    <t>17_100336011</t>
  </si>
  <si>
    <t>17_100330807</t>
  </si>
  <si>
    <t>17_100336012</t>
  </si>
  <si>
    <t>17_100336013</t>
  </si>
  <si>
    <t>17_100336014</t>
  </si>
  <si>
    <t xml:space="preserve">Продукция (сырье) с завода "Мономер" </t>
  </si>
  <si>
    <t>17_100336015</t>
  </si>
  <si>
    <t>Присадки (добавки)</t>
  </si>
  <si>
    <t>17_100336016</t>
  </si>
  <si>
    <t xml:space="preserve"> в т.ч. МТБЭ</t>
  </si>
  <si>
    <t>17_100330805</t>
  </si>
  <si>
    <t>Прочее сырье (ХОВ, природный газ)</t>
  </si>
  <si>
    <t>17_100336017</t>
  </si>
  <si>
    <t>Продукция (сырье) со склада</t>
  </si>
  <si>
    <t>17_100336018</t>
  </si>
  <si>
    <t>Бензин автомобильный (товарный)</t>
  </si>
  <si>
    <t>17_100330107</t>
  </si>
  <si>
    <t>Бензин с ОЧ 92 (К5)</t>
  </si>
  <si>
    <t>17_100331906</t>
  </si>
  <si>
    <t>Бензин с ОЧ 95 (К5)</t>
  </si>
  <si>
    <t>17_100331907</t>
  </si>
  <si>
    <t>Бензин на завод "Мономер"</t>
  </si>
  <si>
    <t>17_100336019</t>
  </si>
  <si>
    <t>3.3</t>
  </si>
  <si>
    <t>Дистиллят газового конденсата легкий (товарный)</t>
  </si>
  <si>
    <t>17_100330815</t>
  </si>
  <si>
    <t>ДГКл марки А</t>
  </si>
  <si>
    <t>17_100336020</t>
  </si>
  <si>
    <t>ДГКл марки Б</t>
  </si>
  <si>
    <t>17_100336021</t>
  </si>
  <si>
    <t>3.4</t>
  </si>
  <si>
    <t xml:space="preserve">Бензин технический (товарный) </t>
  </si>
  <si>
    <t>17_100335765</t>
  </si>
  <si>
    <t>3.5</t>
  </si>
  <si>
    <t>ШФЛУ</t>
  </si>
  <si>
    <t>17_100330817</t>
  </si>
  <si>
    <t>в т.ч. товарная</t>
  </si>
  <si>
    <t>17_100336022</t>
  </si>
  <si>
    <t>На завод "Мономер"</t>
  </si>
  <si>
    <t>17_100336023</t>
  </si>
  <si>
    <t>3.6</t>
  </si>
  <si>
    <t>Фракция изопентановая (товарная)</t>
  </si>
  <si>
    <t>17_100330944</t>
  </si>
  <si>
    <t>3.7</t>
  </si>
  <si>
    <t>Дизельное топливо (товарное)</t>
  </si>
  <si>
    <t>17_100330123</t>
  </si>
  <si>
    <t>ДТ летнее</t>
  </si>
  <si>
    <t>17_100330812</t>
  </si>
  <si>
    <t>ДТ зимнее</t>
  </si>
  <si>
    <t>17_100330813</t>
  </si>
  <si>
    <t>ДТ арктическое</t>
  </si>
  <si>
    <t>17_100330814</t>
  </si>
  <si>
    <t>3.8</t>
  </si>
  <si>
    <t>Газойль (товарный)</t>
  </si>
  <si>
    <t>17_100335767</t>
  </si>
  <si>
    <t>17_100337107</t>
  </si>
  <si>
    <t>17_100337108</t>
  </si>
  <si>
    <t>3.9</t>
  </si>
  <si>
    <t>Топливо нефтяное АВТ</t>
  </si>
  <si>
    <t>17_100330819</t>
  </si>
  <si>
    <t>в т.ч. товарный</t>
  </si>
  <si>
    <t>17_100336024</t>
  </si>
  <si>
    <t>17_100336025</t>
  </si>
  <si>
    <t>3.10</t>
  </si>
  <si>
    <t>Мазут топочный (товарный)</t>
  </si>
  <si>
    <t>17_100330822</t>
  </si>
  <si>
    <t>3.11</t>
  </si>
  <si>
    <t>Сырье для битума/гудрон (товарный)</t>
  </si>
  <si>
    <t>17_100330820</t>
  </si>
  <si>
    <t>3.12</t>
  </si>
  <si>
    <t>Нефтебитум дорожный (товарный)</t>
  </si>
  <si>
    <t>17_100330821</t>
  </si>
  <si>
    <t>3.13</t>
  </si>
  <si>
    <t>Толуол</t>
  </si>
  <si>
    <t>17_100335766</t>
  </si>
  <si>
    <t>17_100336026</t>
  </si>
  <si>
    <t>17_100336027</t>
  </si>
  <si>
    <t>На ООО "Акрил-Салават"</t>
  </si>
  <si>
    <t>17_100336028</t>
  </si>
  <si>
    <t>3.14</t>
  </si>
  <si>
    <t>Бензол</t>
  </si>
  <si>
    <t>17_100336029</t>
  </si>
  <si>
    <t>17_100336030</t>
  </si>
  <si>
    <t>3.15</t>
  </si>
  <si>
    <t>Сольвент</t>
  </si>
  <si>
    <t>17_100336031</t>
  </si>
  <si>
    <t>17_100336032</t>
  </si>
  <si>
    <t>3.16</t>
  </si>
  <si>
    <t>Фракция пропан-пропиленовая ККФ</t>
  </si>
  <si>
    <t>17_100335102</t>
  </si>
  <si>
    <t>17_100336033</t>
  </si>
  <si>
    <t>На завод "Мономер" (производство бутиловых спиртов)</t>
  </si>
  <si>
    <t>17_100336034</t>
  </si>
  <si>
    <t>На завод "Мономер" (производство ЭП-355)</t>
  </si>
  <si>
    <t>17_100336035</t>
  </si>
  <si>
    <t>3.17</t>
  </si>
  <si>
    <t>Фракция бутан-бутиленовая ККФ</t>
  </si>
  <si>
    <t>17_100335103</t>
  </si>
  <si>
    <t>17_100336036</t>
  </si>
  <si>
    <t xml:space="preserve">На завод "Мономер" </t>
  </si>
  <si>
    <t>17_100336037</t>
  </si>
  <si>
    <t>3.18</t>
  </si>
  <si>
    <t>Сероводород технический всего</t>
  </si>
  <si>
    <t>17_100336038</t>
  </si>
  <si>
    <t>в т.ч. сера (товарная)</t>
  </si>
  <si>
    <t>17_100330809</t>
  </si>
  <si>
    <t>3.19</t>
  </si>
  <si>
    <t>Керосин гидроочищенный</t>
  </si>
  <si>
    <t>17_100336039</t>
  </si>
  <si>
    <t>17_100336040</t>
  </si>
  <si>
    <t>3.20</t>
  </si>
  <si>
    <t>Топливо на собственные нужды</t>
  </si>
  <si>
    <t>17_100336041</t>
  </si>
  <si>
    <t>3.21</t>
  </si>
  <si>
    <t>Продукция (сырье) переданная на склад</t>
  </si>
  <si>
    <t>17_100336042</t>
  </si>
  <si>
    <t>ЗАВОД "МОНОМЕР"</t>
  </si>
  <si>
    <t>17_100336045</t>
  </si>
  <si>
    <t>Бензин</t>
  </si>
  <si>
    <t>17_100336046</t>
  </si>
  <si>
    <t>НПЗ ООО "Газпром нефтехим Салават"</t>
  </si>
  <si>
    <t>17_100336047</t>
  </si>
  <si>
    <t>17_100330826</t>
  </si>
  <si>
    <t>17_100336048</t>
  </si>
  <si>
    <t>17_100336049</t>
  </si>
  <si>
    <t>Оренбургский ГПЗ</t>
  </si>
  <si>
    <t>17_100336050</t>
  </si>
  <si>
    <t>17_100336051</t>
  </si>
  <si>
    <t>Газы углеводородные сжиженные</t>
  </si>
  <si>
    <t>17_100336052</t>
  </si>
  <si>
    <t>17_100336053</t>
  </si>
  <si>
    <t>Фракция этановая</t>
  </si>
  <si>
    <t>17_100330827</t>
  </si>
  <si>
    <t>17_100336054</t>
  </si>
  <si>
    <t>17_100336055</t>
  </si>
  <si>
    <t>1.5</t>
  </si>
  <si>
    <t xml:space="preserve">Продукция (сырье) с НПЗ ООО "Газпром нефтехим Салават" </t>
  </si>
  <si>
    <t>17_100336056</t>
  </si>
  <si>
    <t>1.6</t>
  </si>
  <si>
    <t>Пропилен</t>
  </si>
  <si>
    <t>17_100336057</t>
  </si>
  <si>
    <t>Пропилен покупной</t>
  </si>
  <si>
    <t>17_100336058</t>
  </si>
  <si>
    <t>Завод "Мономер" ООО "Газпром нефтехим Салават"</t>
  </si>
  <si>
    <t>17_100336059</t>
  </si>
  <si>
    <t>НПЗ ООО "Газпром нефтехим Салават" (ККФ)</t>
  </si>
  <si>
    <t>17_100336060</t>
  </si>
  <si>
    <t>1.7</t>
  </si>
  <si>
    <t>Ортоксилол</t>
  </si>
  <si>
    <t>17_100336061</t>
  </si>
  <si>
    <t>17_100330823</t>
  </si>
  <si>
    <t>17_100330824</t>
  </si>
  <si>
    <t>17_100336062</t>
  </si>
  <si>
    <t>17_100330825</t>
  </si>
  <si>
    <t>ПАО "Газпром"</t>
  </si>
  <si>
    <t>17_100336063</t>
  </si>
  <si>
    <t>17_100336064</t>
  </si>
  <si>
    <t>17_100336065</t>
  </si>
  <si>
    <t xml:space="preserve">        НПЗ ООО "Газпром нефтехим Салават"</t>
  </si>
  <si>
    <t>17_100336066</t>
  </si>
  <si>
    <t>17_100336067</t>
  </si>
  <si>
    <t>17_100336068</t>
  </si>
  <si>
    <t>17_100336069</t>
  </si>
  <si>
    <t>17_100336070</t>
  </si>
  <si>
    <t>17_100336071</t>
  </si>
  <si>
    <t>Продукция (сырье) с НПЗ 
ООО "Газпром нефтехим Салават"</t>
  </si>
  <si>
    <t>17_100336072</t>
  </si>
  <si>
    <t>17_100336073</t>
  </si>
  <si>
    <t>17_100336074</t>
  </si>
  <si>
    <t>17_100336075</t>
  </si>
  <si>
    <t>17_100336076</t>
  </si>
  <si>
    <t>17_100336077</t>
  </si>
  <si>
    <t xml:space="preserve">Природный газ </t>
  </si>
  <si>
    <t>17_100335597</t>
  </si>
  <si>
    <t>млн.м3</t>
  </si>
  <si>
    <t xml:space="preserve">Этилен </t>
  </si>
  <si>
    <t>17_100330831</t>
  </si>
  <si>
    <t>17_100330832</t>
  </si>
  <si>
    <t xml:space="preserve">Пропилен </t>
  </si>
  <si>
    <t>17_100330833</t>
  </si>
  <si>
    <t>17_100332346</t>
  </si>
  <si>
    <t>17_100336079</t>
  </si>
  <si>
    <t xml:space="preserve">Бутилен-бутадиеновая фракция </t>
  </si>
  <si>
    <t>17_100330835</t>
  </si>
  <si>
    <t>17_100335105</t>
  </si>
  <si>
    <t xml:space="preserve">Тяжелая смола </t>
  </si>
  <si>
    <t>17_100330836</t>
  </si>
  <si>
    <t>17_100335106</t>
  </si>
  <si>
    <t xml:space="preserve">Пироконденсат  </t>
  </si>
  <si>
    <t>17_100332907</t>
  </si>
  <si>
    <t>17_100335107</t>
  </si>
  <si>
    <t xml:space="preserve">Бензол </t>
  </si>
  <si>
    <t>17_100335108</t>
  </si>
  <si>
    <t>17_100335109</t>
  </si>
  <si>
    <t xml:space="preserve">Кубовый Остаток Ректификации Бензола </t>
  </si>
  <si>
    <t>17_100336080</t>
  </si>
  <si>
    <t>17_100336081</t>
  </si>
  <si>
    <t xml:space="preserve">Стирол </t>
  </si>
  <si>
    <t>17_100330837</t>
  </si>
  <si>
    <t>17_100330838</t>
  </si>
  <si>
    <t xml:space="preserve">Кубовый Остаток Ректификации Стирола </t>
  </si>
  <si>
    <t>17_100336082</t>
  </si>
  <si>
    <t>17_100336083</t>
  </si>
  <si>
    <t xml:space="preserve">Этилбензол </t>
  </si>
  <si>
    <t>17_100336084</t>
  </si>
  <si>
    <t>17_100336085</t>
  </si>
  <si>
    <t xml:space="preserve">Полиэтилен высокого давления </t>
  </si>
  <si>
    <t>17_100330840</t>
  </si>
  <si>
    <t>17_100335112</t>
  </si>
  <si>
    <t xml:space="preserve">Полиэтилен низкого давления </t>
  </si>
  <si>
    <t>17_100330841</t>
  </si>
  <si>
    <t>17_100335113</t>
  </si>
  <si>
    <t xml:space="preserve">Полистирол (ПСМ) </t>
  </si>
  <si>
    <t>17_100330839</t>
  </si>
  <si>
    <t>17_100335111</t>
  </si>
  <si>
    <t xml:space="preserve">Нормальный  бутанол </t>
  </si>
  <si>
    <t>17_100330842</t>
  </si>
  <si>
    <t>17_100330843</t>
  </si>
  <si>
    <t>17_100336086</t>
  </si>
  <si>
    <t>На Дмитриевский хим.завод (производство бутилацетата)</t>
  </si>
  <si>
    <t>17_100336087</t>
  </si>
  <si>
    <t xml:space="preserve">Изобутанол </t>
  </si>
  <si>
    <t>17_100330844</t>
  </si>
  <si>
    <t>17_100330845</t>
  </si>
  <si>
    <t>На НПЗ</t>
  </si>
  <si>
    <t>17_100336088</t>
  </si>
  <si>
    <t>Кубовый остаток бутиловых спиртов (КОБС)</t>
  </si>
  <si>
    <t>17_100336089</t>
  </si>
  <si>
    <t>17_100336090</t>
  </si>
  <si>
    <t>17_100336091</t>
  </si>
  <si>
    <t xml:space="preserve">Фталевый ангидрид </t>
  </si>
  <si>
    <t>17_100336092</t>
  </si>
  <si>
    <t>17_100336093</t>
  </si>
  <si>
    <t>Эфирная головка</t>
  </si>
  <si>
    <t>17_100336094</t>
  </si>
  <si>
    <t>17_100336095</t>
  </si>
  <si>
    <t>17_100336096</t>
  </si>
  <si>
    <t xml:space="preserve">Пластификаторы </t>
  </si>
  <si>
    <t>17_100330846</t>
  </si>
  <si>
    <t>17_100336097</t>
  </si>
  <si>
    <t xml:space="preserve">Дваэтилгексанол </t>
  </si>
  <si>
    <t>17_100336098</t>
  </si>
  <si>
    <t>17_100336099</t>
  </si>
  <si>
    <t xml:space="preserve">Кубовый остаток от дваэтилгексанола (КОРДЭГ) </t>
  </si>
  <si>
    <t>17_100336100</t>
  </si>
  <si>
    <t>17_100336101</t>
  </si>
  <si>
    <t>ГАЗОХИМИЧЕСКИЙ ЗАВОД (ГХЗ)</t>
  </si>
  <si>
    <t>Природный газ</t>
  </si>
  <si>
    <t>17_100330794</t>
  </si>
  <si>
    <t xml:space="preserve">Аммиак </t>
  </si>
  <si>
    <t>17_100330798</t>
  </si>
  <si>
    <t>17_100330799</t>
  </si>
  <si>
    <t xml:space="preserve">Карбамид </t>
  </si>
  <si>
    <t>17_100330796</t>
  </si>
  <si>
    <t>17_100336102</t>
  </si>
  <si>
    <t xml:space="preserve">Аммиачная вода </t>
  </si>
  <si>
    <t>17_100330800</t>
  </si>
  <si>
    <t>17_100336103</t>
  </si>
  <si>
    <t>ООО "АКРИЛ-САЛАВАТ"</t>
  </si>
  <si>
    <t>17_100332347</t>
  </si>
  <si>
    <t>Пропилен с завода "Мономер" 
ООО "Газпром нефтехим Салават"</t>
  </si>
  <si>
    <t>17_100332348</t>
  </si>
  <si>
    <t>Бутанол с завода "Мономер" 
ООО "Газпром нефтехим Салават"</t>
  </si>
  <si>
    <t>17_100332349</t>
  </si>
  <si>
    <t>Бутилакрилат (товарный)</t>
  </si>
  <si>
    <t>17_100332352</t>
  </si>
  <si>
    <t>Ледяная акриловая кислота (товарный)</t>
  </si>
  <si>
    <t>17_100332353</t>
  </si>
  <si>
    <t>Раздел 3. Прогноз  переработки давальческого углеводородного сырья ассоциированных обществ  и совместных предприятий на предприятиях Группы Газпром</t>
  </si>
  <si>
    <t>Переработка газа на Оренбургском ГПЗ</t>
  </si>
  <si>
    <t>2_100332046</t>
  </si>
  <si>
    <t>млн куб. м</t>
  </si>
  <si>
    <t xml:space="preserve">   ТОО "КазРосГаз"(газ КГКМ)</t>
  </si>
  <si>
    <t>в т.ч. на У-01 АО "ЮУПК"</t>
  </si>
  <si>
    <t>2_100332048</t>
  </si>
  <si>
    <t>Переработка газа на Оренбургском гелиевом заводе:</t>
  </si>
  <si>
    <t>2_100332058</t>
  </si>
  <si>
    <t>Сера техническая</t>
  </si>
  <si>
    <t>Оренбургский ГХК:</t>
  </si>
  <si>
    <t>2_100332198</t>
  </si>
  <si>
    <t xml:space="preserve">   ТОО "КазРосГаз"(из газа КГКМ)</t>
  </si>
  <si>
    <t>Стабильный газовый конденсат и нефть товарные</t>
  </si>
  <si>
    <t>2_100332259</t>
  </si>
  <si>
    <t xml:space="preserve">Газы углеводородные сжиженные  </t>
  </si>
  <si>
    <t>2_100332227</t>
  </si>
  <si>
    <t>2_100336104</t>
  </si>
  <si>
    <t>Этановая фракция</t>
  </si>
  <si>
    <t>2_100332244</t>
  </si>
  <si>
    <t xml:space="preserve">Топливный газ </t>
  </si>
  <si>
    <t>2_100332185</t>
  </si>
  <si>
    <t xml:space="preserve">Пентан-гексановая фракция </t>
  </si>
  <si>
    <t>2_100332236</t>
  </si>
  <si>
    <t xml:space="preserve">Сухой отбензиненный газ </t>
  </si>
  <si>
    <t>2_100332119</t>
  </si>
  <si>
    <t>Баланс конденсата и нефти по Западной Сибири на _________ годы/год</t>
  </si>
  <si>
    <t>№ п/п</t>
  </si>
  <si>
    <t>Ед. изм.</t>
  </si>
  <si>
    <t>I</t>
  </si>
  <si>
    <t>ДОБЫЧА</t>
  </si>
  <si>
    <t>4_100331805-0+0+0+8_100330638+0+0+0+0+0+8_100330639+8_100330640+8_100330641+8_100330642+0+0+7_100330587+7_100330588+10_100330719+11_100330686+11_100330687+11_100330688+11_100333683+11_100335593+11_100335658+4_100331811+4_100331963+0+0+0+0+0+0+0+0+0+0+0+0+0+0+0+0+0+0+10_100330722+7_100330591+7_100330593</t>
  </si>
  <si>
    <t xml:space="preserve"> тыс. т.</t>
  </si>
  <si>
    <t>1</t>
  </si>
  <si>
    <t>Нестабильный газовый конденсат, в т.ч.</t>
  </si>
  <si>
    <t>4_100331805-0+0+0+8_100330638+0+0+0+0+0+8_100330639+8_100330640+8_100330641+8_100330642+0+0+7_100330587+7_100330588+10_100330719+11_100330686+11_100330687+11_100330688+11_100333683+11_100335593+11_100335658+4_100331811</t>
  </si>
  <si>
    <t>1.1.1</t>
  </si>
  <si>
    <t>ООО "Газпром добыча Уренгой"</t>
  </si>
  <si>
    <t>4_100331805-0+0+0+8_100330638+0+0+0+0+0+8_100330639+8_100330640+8_100330641+8_100330642+0+0</t>
  </si>
  <si>
    <t>1.1.1.1</t>
  </si>
  <si>
    <t>Уренгойское НГКМ</t>
  </si>
  <si>
    <t>4_100331805-0+0</t>
  </si>
  <si>
    <t>в т.ч. газоконд. скважин</t>
  </si>
  <si>
    <t>4_100331805-0</t>
  </si>
  <si>
    <t>ПНГ из нефти</t>
  </si>
  <si>
    <t>1.1.1.2</t>
  </si>
  <si>
    <t>Уренгойское НГКМ фаза 3 (ДРОД)</t>
  </si>
  <si>
    <t>Уренгойское НГКМ газоконд. скваж. (ДРОД)</t>
  </si>
  <si>
    <t>Уренгойское НГКМ конденсат (продукт переработки ПНГ)</t>
  </si>
  <si>
    <t>поставка НК в адрес ГПНЗ</t>
  </si>
  <si>
    <t>содержание ГВ</t>
  </si>
  <si>
    <t>содержание ШФЛУ</t>
  </si>
  <si>
    <t>содержание СК</t>
  </si>
  <si>
    <t>НК, СК, ШФЛУ на УЗПКТ-СЗСК</t>
  </si>
  <si>
    <t>НК, СК в адрес ГПНЗ и трейдера:</t>
  </si>
  <si>
    <t>в т.ч. СК в адрес трейдера (альт.схема)</t>
  </si>
  <si>
    <t>0-0</t>
  </si>
  <si>
    <t xml:space="preserve">в т.ч. НК, СК в адрес ГПНЗ (автовывоз)  </t>
  </si>
  <si>
    <t>проверка</t>
  </si>
  <si>
    <t>0+0-0-0-0-0-(0+0-0)</t>
  </si>
  <si>
    <t>1.1.1.3</t>
  </si>
  <si>
    <t>8_100330638</t>
  </si>
  <si>
    <t>1.1.1.4</t>
  </si>
  <si>
    <t>Ен-Яхинское НГКМ (ДРОД)</t>
  </si>
  <si>
    <t>Ен-Яхинское НГКМ газоконд. скваж. (ДРОД)</t>
  </si>
  <si>
    <t>Ен-Яхинское НГКМ нефтяной конденсат (продукт переработки ПНГ)</t>
  </si>
  <si>
    <t>0+0-0-0-0-0-(0-0)</t>
  </si>
  <si>
    <t>1.1.1.5</t>
  </si>
  <si>
    <t>Уренгойское НГКМ (Ачимовские отл. 1 уч.)</t>
  </si>
  <si>
    <t>8_100330639</t>
  </si>
  <si>
    <t>1.1.1.6</t>
  </si>
  <si>
    <t>Уренгойское НГКМ (Ачимовские отл. 2 уч.)</t>
  </si>
  <si>
    <t>8_100330640</t>
  </si>
  <si>
    <t>1.1.1.7</t>
  </si>
  <si>
    <t>Уренгойское НГКМ (Ачимовские отл. 3 уч.) (ДРОД)</t>
  </si>
  <si>
    <t>Ачимовские отл. 3 уч. газоконд. скваж. (ДРОД)</t>
  </si>
  <si>
    <t>Ачимовские отл. 3 уч. конденсат (продукт переработки ПНГ)</t>
  </si>
  <si>
    <t>поставка НК на УКПГ 1-АВ УЗПКТ-СЗСК</t>
  </si>
  <si>
    <t>0+0-0</t>
  </si>
  <si>
    <t>0-0-0-0-103-(0-0)</t>
  </si>
  <si>
    <t>1.1.1.8</t>
  </si>
  <si>
    <t>Уренгойское НГКМ (Ачимовские отл. 4 уч.)</t>
  </si>
  <si>
    <t>8_100330641</t>
  </si>
  <si>
    <t>1.1.1.9</t>
  </si>
  <si>
    <t>Уренгойское НГКМ (Ачимовские отл. 5 уч.)</t>
  </si>
  <si>
    <t>8_100330642</t>
  </si>
  <si>
    <t>1.1.1.10</t>
  </si>
  <si>
    <t>Песцовое НГКМ (ДРОД)</t>
  </si>
  <si>
    <t>Песцовое НГКМ газоконд. скваж. (ДРОД)</t>
  </si>
  <si>
    <t>Песцовое НГКМ нефтяной конденсат (продукт переработки ПНГ)</t>
  </si>
  <si>
    <t>содержание ГВ (нефтяной конденсат, продукт переработки)</t>
  </si>
  <si>
    <t>содержание ШФЛУ (нефтяной конденсат, продукт переработки)</t>
  </si>
  <si>
    <t>0-0-0</t>
  </si>
  <si>
    <t>содержание СК (нефтяной конденсат, продукт переработки)</t>
  </si>
  <si>
    <t>0-0-0+0+0-0-0</t>
  </si>
  <si>
    <t>0+0-0-0-0-0-0-0-0-0-0-0-0-(0+0-0-0)</t>
  </si>
  <si>
    <t>1.1.1.11</t>
  </si>
  <si>
    <t>Песцовое НГКМ (ачим) (ДРОД)</t>
  </si>
  <si>
    <t>1.1.2</t>
  </si>
  <si>
    <t>ООО "Газпром добыча Ямбург"</t>
  </si>
  <si>
    <t>7_100330587+7_100330588</t>
  </si>
  <si>
    <t>7_100330587</t>
  </si>
  <si>
    <t>7_100330588</t>
  </si>
  <si>
    <t>1.1.3</t>
  </si>
  <si>
    <t>ООО "Газпром добыча Ноябрьск"</t>
  </si>
  <si>
    <t>10_100330719</t>
  </si>
  <si>
    <t>в т.ч. поставка на СЗСК</t>
  </si>
  <si>
    <t xml:space="preserve">в т.ч. поставка в систему трубопроводов ПАО "Транснефть" </t>
  </si>
  <si>
    <t>10_100330719-10_100330719</t>
  </si>
  <si>
    <t>1.1.4</t>
  </si>
  <si>
    <t xml:space="preserve">ООО "Газпром добыча Надым" </t>
  </si>
  <si>
    <t>11_100330686+11_100330687+11_100330688+11_100333683+11_100335593+11_100335658</t>
  </si>
  <si>
    <t>Медвежье ГКМ (Ныдинская пл.)</t>
  </si>
  <si>
    <t>11_100330686</t>
  </si>
  <si>
    <t>Юбилейное НГКМ</t>
  </si>
  <si>
    <t>11_100330687</t>
  </si>
  <si>
    <t>Бованенковское НГКМ</t>
  </si>
  <si>
    <t>Харасавэйское ГКМ (апт)</t>
  </si>
  <si>
    <t>11_100333683</t>
  </si>
  <si>
    <t>Бованенковское НГКМ (неоком-юра ДРОД)</t>
  </si>
  <si>
    <t>Харасавэйское ГКМ (неоком-юра ДРОД)</t>
  </si>
  <si>
    <t>Стабильный конденсат (товар)</t>
  </si>
  <si>
    <t>11_100330693+11_100330694+11_100330695+11_100333685</t>
  </si>
  <si>
    <t>11_100330693</t>
  </si>
  <si>
    <t>11_100330694</t>
  </si>
  <si>
    <t>11_100330695</t>
  </si>
  <si>
    <t>11_100333685</t>
  </si>
  <si>
    <t>1.1.5</t>
  </si>
  <si>
    <t>АО "Сибнефтегаз"</t>
  </si>
  <si>
    <t>4_100331811</t>
  </si>
  <si>
    <t>Береговое НГКМ</t>
  </si>
  <si>
    <t>в т.ч. поставка на УЗПКТ</t>
  </si>
  <si>
    <t>Нефть, в т.ч.</t>
  </si>
  <si>
    <t>4_100331963+0+0+0+0+0+0+0+0+0+0+0+0+0+0+0+0+0+0+10_100330722+7_100330591+7_100330593</t>
  </si>
  <si>
    <t>1.2.1</t>
  </si>
  <si>
    <t>4_100331963+0+0+0+0+0+0+0+0+0+0+0+0+0+0+0+0+0+0</t>
  </si>
  <si>
    <t>1.2.1.1</t>
  </si>
  <si>
    <t xml:space="preserve">Уренгойское НГКМ </t>
  </si>
  <si>
    <t>4_100331963+0</t>
  </si>
  <si>
    <t>1.2.1.2</t>
  </si>
  <si>
    <t xml:space="preserve">Уренгойское НГКМ фаза 2 (ДРОД) </t>
  </si>
  <si>
    <t>0+0+0</t>
  </si>
  <si>
    <t xml:space="preserve">на собственные нужды ГПНЗ (ДРОД) </t>
  </si>
  <si>
    <t>нефть в адрес ГПНЗ и трейдера:</t>
  </si>
  <si>
    <t>в т.ч. нефть в адрес трейдера (альт.схема)</t>
  </si>
  <si>
    <t xml:space="preserve">в т.ч. нефть в адрес ГПНЗ (автовывоз)  </t>
  </si>
  <si>
    <t>нефть в адрес ПАО "Газпром" на УЗПКТ-СЗСК</t>
  </si>
  <si>
    <t>0+0+0-0-0-0</t>
  </si>
  <si>
    <t>1.2.1.3</t>
  </si>
  <si>
    <t xml:space="preserve">Ен-Яхинское НГКМ (ДРОД) </t>
  </si>
  <si>
    <t>0+0+0+0</t>
  </si>
  <si>
    <t>0+0+0+0-0-0-0+0</t>
  </si>
  <si>
    <t>1.2.1.4</t>
  </si>
  <si>
    <t xml:space="preserve">Песцовое НГКМ (ДРОД) </t>
  </si>
  <si>
    <t>0+0+0+0-0-0+0-0</t>
  </si>
  <si>
    <t>1.2.1.5</t>
  </si>
  <si>
    <t>Уренгойское НГКМ фаза 5 (участок 4А, 5А)</t>
  </si>
  <si>
    <t>1.2.1.6</t>
  </si>
  <si>
    <t>Уренгойское НГКМ фаза 4 (участок 6А ) (ДРОД)</t>
  </si>
  <si>
    <t>1.2.2</t>
  </si>
  <si>
    <t xml:space="preserve">ООО "Газпром добыча Ямбург" </t>
  </si>
  <si>
    <t>7_100330591+7_100330593</t>
  </si>
  <si>
    <t>поставка потребителям (ДРОД)</t>
  </si>
  <si>
    <t>поставка в систему трубопроводов ПАО "Транснефть"</t>
  </si>
  <si>
    <t>7_100330591+7_100330593-7_100330591+7_100330593</t>
  </si>
  <si>
    <t>1.2.3</t>
  </si>
  <si>
    <t xml:space="preserve">ООО "Газпром добыча Ноябрьск" </t>
  </si>
  <si>
    <t>10_100330722</t>
  </si>
  <si>
    <t>собственные нужды</t>
  </si>
  <si>
    <t>поставка на СЗСК</t>
  </si>
  <si>
    <t>10_100330722-0-0</t>
  </si>
  <si>
    <t>Поставка сырья с учетом ДРОД, всего:</t>
  </si>
  <si>
    <t>4_100331805-0+0+0+8_100330638+0+0+8_100330641+8_100330642+0+0+0+8_100330639+8_100330640+0+7_100330587+7_100330588-7_100330594+7_100330623+10_100330719+4_100331811+4_100331963+0-0-0+0-0+0+0-0-0+0+0-0-0+0+0+0+0+0+0+0+0+0+0+0-0+0+0</t>
  </si>
  <si>
    <t>Комплекс Уренгойский ЗПКТ-Сургутский ЗСК и привлеченные мощности:</t>
  </si>
  <si>
    <t>4_100331805-0+0+0+8_100330638+0+0+8_100330641+8_100330642+0+0+0+8_100330639+8_100330640+0+7_100330587+7_100330588-7_100330594+7_100330623+10_100330719+4_100331811+4_100331963+0-0-0</t>
  </si>
  <si>
    <t>нестабильного газового конденсата</t>
  </si>
  <si>
    <t>4_100331805-0+0+0+8_100330638+0+0+8_100330641+8_100330642+0+0+0+8_100330639+8_100330640+0+7_100330587+7_100330588-7_100330594+7_100330623+10_100330719+4_100331811</t>
  </si>
  <si>
    <t>4_100331805-0+0+0+8_100330638+0+0+8_100330641+8_100330642+0+0+0+8_100330639+8_100330640+0</t>
  </si>
  <si>
    <t>в т.ч. поставка ДРОД</t>
  </si>
  <si>
    <t>0+0+0+0+0+0+0</t>
  </si>
  <si>
    <t>7_100330587+7_100330588-7_100330594+7_100330623</t>
  </si>
  <si>
    <t>7_100330894</t>
  </si>
  <si>
    <t>7_100330895</t>
  </si>
  <si>
    <t>4_100331963+0-0-0</t>
  </si>
  <si>
    <t>В адрес независимого трейдера (альтернативная схема) из объемов по ДРОД:</t>
  </si>
  <si>
    <t>0-0+0+0-0-0+0+0-0-0+0+0+0+0+0</t>
  </si>
  <si>
    <t>0-0+0+0-0-0+0+0-0-0+0</t>
  </si>
  <si>
    <t>В адрес ООО "Газпром нефть Заполярье" (автовывоз) из объемов по ДРОД:</t>
  </si>
  <si>
    <t>0+0+0+0+0+0-0+0+0</t>
  </si>
  <si>
    <t>0+0+0+0+0</t>
  </si>
  <si>
    <t>0-0+0+0</t>
  </si>
  <si>
    <t>4_100331805-0+0+0+8_100330638+0+0+0+0+0+8_100330639+8_100330640+8_100330641+8_100330642+0+0+7_100330587+7_100330588+10_100330719+11_100330686+11_100330687+11_100330688+11_100333683+11_100335593+11_100335658+4_100331811+4_100331963+0+0+0+0+0+0+0+0+0+0+0+0+0+0+0+0+0+0+10_100330722+7_100330591+7_100330593-4_100331805-0+0+0+8_100330638+0+0+8_100330641+8_100330642+0+0+0+8_100330639+8_100330640+0+7_100330587+7_100330588-7_100330594+7_100330623+10_100330719+4_100331811+4_100331963+0-0-0+0-0+0+0-0-0+0+0-0-0+0+0+0+0+0+0+0+0+0+0+0-0+0+0-0-0-0-0-0-11_100330686+11_100330687+11_100330688+11_100333683+11_100335593+11_100335658-10_100330722+7_100330623-7_100330594-0-7_100330591+7_100330593-0</t>
  </si>
  <si>
    <t>II</t>
  </si>
  <si>
    <t>ПЕРЕРАБОТКА СЫРЬЯ И ПРОИЗВОДСТВО ПРОДУКЦИИ</t>
  </si>
  <si>
    <t>ПЕРЕРАБОТКА НЕСТАБИЛЬНОГО ГАЗОВОГО КОНДЕНСАТА, ВСЕГО:</t>
  </si>
  <si>
    <t>7_100330594</t>
  </si>
  <si>
    <t>ПОТЕРИ СЫРЬЯ ПРИ ПЕРЕРАБОТКЕ, ВСЕГО:</t>
  </si>
  <si>
    <t>7_100330598</t>
  </si>
  <si>
    <t>ПРОИЗВОДСТВО ПРОДУКЦИИ УМПТ-15 и УМПТ-1, ВСЕГО:</t>
  </si>
  <si>
    <t>7_100330049</t>
  </si>
  <si>
    <t>1.3.1</t>
  </si>
  <si>
    <t>Стабильный газовый конденсат</t>
  </si>
  <si>
    <t>в т.ч. на собственные нужды</t>
  </si>
  <si>
    <t>7_100330604</t>
  </si>
  <si>
    <t>СК валовый</t>
  </si>
  <si>
    <t>СК первичная переработка</t>
  </si>
  <si>
    <t>1.3.2</t>
  </si>
  <si>
    <t>Фракция пропан-бутановая</t>
  </si>
  <si>
    <t>1.3.3</t>
  </si>
  <si>
    <t>Дизельное топливо</t>
  </si>
  <si>
    <t>7_100336116</t>
  </si>
  <si>
    <t>1.3.4</t>
  </si>
  <si>
    <t xml:space="preserve">Газы деэтанизации и стабилизации на собственные нужды </t>
  </si>
  <si>
    <t>1.3.5</t>
  </si>
  <si>
    <t>Возврат в нестабильный конденсат</t>
  </si>
  <si>
    <t>7_100330623</t>
  </si>
  <si>
    <t>ООО "Газпром переработка"</t>
  </si>
  <si>
    <t xml:space="preserve"> </t>
  </si>
  <si>
    <t>Комплекс Уренгойский ЗПКТ-Сургутский ЗСК с уч. привлеченных мощностей</t>
  </si>
  <si>
    <t>ПОСТАВКА УГЛЕВОДОРОДНОГО СЫРЬЯ НА ЗАВОДЫ, ВСЕГО:</t>
  </si>
  <si>
    <t>7_100330587+7_100330588-7_100330594+7_100330623+4_100331805-0+0+0+0+8_100330638+0+8_100330639+8_100330640+0+0+0+0+8_100330641+8_100330642+4_100331811+10_100330719+4_100333682+4_100331815+4_100331963+0-0-0-4_100331815+4_100333678+4_100335034</t>
  </si>
  <si>
    <t>ПОСТАВКА НЕСТАБИЛЬНОГО ГАЗОВОГО КОНДЕНСАТА, ВСЕГО:</t>
  </si>
  <si>
    <t>7_100330587+7_100330588-7_100330594+7_100330623+4_100331805-0+0+0+0+8_100330638+0+8_100330639+8_100330640+0+0+0+0+8_100330641+8_100330642+4_100331811+10_100330719+4_100333682</t>
  </si>
  <si>
    <t>2.1.1</t>
  </si>
  <si>
    <t>ПАО "ГАЗПРОМ":</t>
  </si>
  <si>
    <t>7_100330587+7_100330588-7_100330594+7_100330623+4_100331805-0+0+0+0+8_100330638+0+8_100330639+8_100330640+0+0+0+0+8_100330641+8_100330642+4_100331811+10_100330719</t>
  </si>
  <si>
    <t>2.1.1.1</t>
  </si>
  <si>
    <t>4_100331802</t>
  </si>
  <si>
    <t xml:space="preserve">Ямбургское НГКМ </t>
  </si>
  <si>
    <t>4_100331803</t>
  </si>
  <si>
    <t>в т.ч. на мощностях  ПАО "НОВАТЭК"</t>
  </si>
  <si>
    <t>4_100335352</t>
  </si>
  <si>
    <t>2.1.1.2</t>
  </si>
  <si>
    <t>4_100331805-0+0+0+0+8_100330638+0+8_100330639+8_100330640+0+0+0+0</t>
  </si>
  <si>
    <t>4_100335334</t>
  </si>
  <si>
    <t>C5+ от подготовки газа деэтанизации</t>
  </si>
  <si>
    <t>4_100335353</t>
  </si>
  <si>
    <t>Ачимовские отл. 1 уч.</t>
  </si>
  <si>
    <t>Ачимовские отл. 2 уч.</t>
  </si>
  <si>
    <t>Ачимовские отл. 3 уч. (ДРОД)</t>
  </si>
  <si>
    <t>4_100335858</t>
  </si>
  <si>
    <t>2.1.1.3</t>
  </si>
  <si>
    <t>АО "Ачим сбыт"</t>
  </si>
  <si>
    <t>8_100330641+8_100330642</t>
  </si>
  <si>
    <t>Ачимовские отл. 4 уч.</t>
  </si>
  <si>
    <t>Ачимовские отл. 5 уч.</t>
  </si>
  <si>
    <t>2.1.1.4</t>
  </si>
  <si>
    <t>2.1.1.5</t>
  </si>
  <si>
    <t>2.1.2</t>
  </si>
  <si>
    <t xml:space="preserve">ООО "ГАЗПРОМ ПЕРЕРАБОТКА" </t>
  </si>
  <si>
    <t>ПОСТАВКА НЕФТИ, ВСЕГО:</t>
  </si>
  <si>
    <t>4_100331815+4_100331963+0-0-0-4_100331815+4_100333678+4_100335034</t>
  </si>
  <si>
    <t>2.2.1</t>
  </si>
  <si>
    <t>4_100331815+4_100331963+0-0-0-4_100331815</t>
  </si>
  <si>
    <t>4_100331815</t>
  </si>
  <si>
    <t>в т.ч нефть на УЗПКТ (НПС)</t>
  </si>
  <si>
    <t>4_100331963+0-0-0-4_100331815</t>
  </si>
  <si>
    <t>2.2.2</t>
  </si>
  <si>
    <t>2.2.3</t>
  </si>
  <si>
    <t>ООО "ГАЗПРОМ ДОБЫЧА УРЕНГОЙ"</t>
  </si>
  <si>
    <t>4_100335034</t>
  </si>
  <si>
    <t>Ачимовские отложения всего (без ДРОД)</t>
  </si>
  <si>
    <t>8_100330639+8_100330640+8_100330641+8_100330642</t>
  </si>
  <si>
    <t xml:space="preserve"> в т.ч. на мощности мобильных установок на процессинг</t>
  </si>
  <si>
    <t>4_100335355</t>
  </si>
  <si>
    <t>ПЕРЕРАБОТКА УГЛЕВОДОРОДНОГО СЫРЬЯ ПАО "ГАЗПРОМ":</t>
  </si>
  <si>
    <t>4_100331802+4_100331803-4_100331822+4_100331823+4_100331805-0+0+0+0+8_100330638-4_100335353+0+8_100330639+8_100330640+0+0+0+0+8_100330641+8_100330642+4_100331811+10_100330719+4_100331815+4_100331963+0-0-0-4_100331815</t>
  </si>
  <si>
    <t>2.3.1</t>
  </si>
  <si>
    <t>ПЕРЕРАБОТКА НЕСТАБИЛЬНОГО ГАЗОВОГО КОНДЕНСАТА, 
ПАО "ГАЗПРОМ" ВСЕГО:</t>
  </si>
  <si>
    <t>4_100331802+4_100331803-4_100331822+4_100331823+4_100331805-0+0+0+0+8_100330638-4_100335353+0+8_100330639+8_100330640+0+0+0+0+8_100330641+8_100330642+4_100331811+10_100330719</t>
  </si>
  <si>
    <t>2.3.1.1</t>
  </si>
  <si>
    <t>4_100331802+4_100331803-4_100331822+4_100331823</t>
  </si>
  <si>
    <t xml:space="preserve">Заполярное НГКМ </t>
  </si>
  <si>
    <t>4_100331803-4_100331822+4_100331823</t>
  </si>
  <si>
    <t>2.3.1.2</t>
  </si>
  <si>
    <t>4_100331805-0+0+0+0+8_100330638-4_100335353+0+8_100330639+8_100330640+0+0+0+0</t>
  </si>
  <si>
    <t>8_100330638-4_100335353</t>
  </si>
  <si>
    <t>2.3.1.3</t>
  </si>
  <si>
    <t>2.3.1.4</t>
  </si>
  <si>
    <t>2.3.1.5</t>
  </si>
  <si>
    <t>2.3.2</t>
  </si>
  <si>
    <t>ПЕРЕРАБОТКА НЕФТИ, ПАО "Газпром"</t>
  </si>
  <si>
    <t>ПРИСАДКИ (ДОБАВКИ), ВСЕГО:</t>
  </si>
  <si>
    <t>4_100331848+4_100331849</t>
  </si>
  <si>
    <t>УЗПКТ</t>
  </si>
  <si>
    <t>4_100331848</t>
  </si>
  <si>
    <t>СЗСК</t>
  </si>
  <si>
    <t>4_100331849</t>
  </si>
  <si>
    <t>в т.ч. МТБЭ</t>
  </si>
  <si>
    <t>4_100335042</t>
  </si>
  <si>
    <t>4_100331840+4_100331841+4_100331815+4_100331963+0-0-0-4_100331815+4_100331848-4_100331856+4_100331858+4_100331870+4_100331888+4_100332910+4_100335420+4_100331909+4_100331912+4_100331916+4_100331921+4_100335091+4_100335092+4_100335444/$1000+4_100331942+4_100331945+4_100335044+4_100331947+4_100331945+4_100335044+4_100331947+4_100335359+4_100335360-4_100331824+4_100331825+4_100331838+10_100330719+4_100335334+4_100335858+4_100335334+4_100331849-4_100331878+4_100332911+4_100332912+4_100332913+4_100331904+4_100331906+4_100331907+4_100331910+4_100331913+4_100331917+4_100331922+4_100331925+4_100335445/$1000+4_100331943+4_100331889+4_100335357-4_100335365+4_100335359+4_100335358-4_100335367+4_100335360</t>
  </si>
  <si>
    <t>4_100331840+4_100331841+4_100331815+4_100331963+0-0-0-4_100331815+4_100331848-4_100331856+4_100331858+4_100331870+4_100331888+4_100332910+4_100335420+4_100331909+4_100331912+4_100331916+4_100331921+4_100335091+4_100335092+4_100335444/$1000+4_100331942+4_100331945+4_100335044+4_100331947</t>
  </si>
  <si>
    <t>4_100331945+4_100335044+4_100331947+4_100335359+4_100335360-4_100331824+4_100331825+4_100331838+10_100330719+4_100335334+4_100335858+4_100335334+4_100331849-4_100331878+4_100332911+4_100332912+4_100332913+4_100331904+4_100331906+4_100331907+4_100331910+4_100331913+4_100331917+4_100331922+4_100331925+4_100335445/$1000+4_100331943+4_100331889</t>
  </si>
  <si>
    <t>На мощностях  ПАО "НОВАТЭК"</t>
  </si>
  <si>
    <t>4_100335357-4_100335365+4_100335359</t>
  </si>
  <si>
    <t>На мощностях УДК(м)</t>
  </si>
  <si>
    <t>4_100335358-4_100335367+4_100335360</t>
  </si>
  <si>
    <t>ПРОИЗВОДСТВО ПРОДУКЦИИ ПАО "ГАЗПРОМ", ВСЕГО:</t>
  </si>
  <si>
    <t>4_100331856+4_100331858+4_100331870+4_100331888+4_100332910+4_100335420+4_100331909+4_100331912+4_100331916+4_100331921+4_100335091+4_100335092+4_100335444/$1000+4_100331942+4_100331945+4_100335044+4_100331947+4_100331878+4_100332911+4_100332912+4_100332913+4_100331904+4_100331906+4_100331907+4_100331910+4_100331913+4_100331917+4_100331922+4_100331925+4_100335445/$1000+4_100331943+4_100331889+4_100335365+4_100335359+4_100335367+4_100335360</t>
  </si>
  <si>
    <t>4_100331856+4_100331858+4_100331870+4_100331888+4_100332910+4_100335420+4_100331909+4_100331912+4_100331916+4_100331921+4_100335091+4_100335092+4_100335444/$1000+4_100331942+4_100331945+4_100335044+4_100331947</t>
  </si>
  <si>
    <t>4_100331878+4_100332911+4_100332912+4_100332913+4_100331904+4_100331906+4_100331907+4_100331910+4_100331913+4_100331917+4_100331922+4_100331925+4_100335445/$1000+4_100331943+4_100331889</t>
  </si>
  <si>
    <t>4_100335365+4_100335359</t>
  </si>
  <si>
    <t>4_100335367+4_100335360</t>
  </si>
  <si>
    <t>2.6.1</t>
  </si>
  <si>
    <t>ГАЗ ДЕЭТАНИЗАЦИИ, ВСЕГО:</t>
  </si>
  <si>
    <t>4_100331856+4_100331858+4_100335367</t>
  </si>
  <si>
    <t>4_100331857+4_100331859+4_100335368</t>
  </si>
  <si>
    <t>УЗПКТ в адрес ООО "Газпром добыча Уренгой"</t>
  </si>
  <si>
    <t>УЗПКТ на СТН ООО "Газпром переработка"</t>
  </si>
  <si>
    <t>УЗПКТ на подготовку на мощностях ГДУ,</t>
  </si>
  <si>
    <t>4_100337118</t>
  </si>
  <si>
    <t>4_100337119</t>
  </si>
  <si>
    <t>УЗПКТ на Новоуренгойский ГХК</t>
  </si>
  <si>
    <t>4_100337120</t>
  </si>
  <si>
    <t>4_100337121</t>
  </si>
  <si>
    <t>На мощностях УДК(м) на СТН</t>
  </si>
  <si>
    <t>Газ деэтанизации валовая выработка, всего:</t>
  </si>
  <si>
    <t>4_100331860+4_100335879</t>
  </si>
  <si>
    <t>4_100331861+4_100335880</t>
  </si>
  <si>
    <t>4_100331860</t>
  </si>
  <si>
    <t>4_100331861</t>
  </si>
  <si>
    <t>4_100335879</t>
  </si>
  <si>
    <t>4_100335880</t>
  </si>
  <si>
    <t>Газ деэтанизации на переработку, всего:</t>
  </si>
  <si>
    <t>4_100335881</t>
  </si>
  <si>
    <t>4_100335882</t>
  </si>
  <si>
    <t>2.6.2</t>
  </si>
  <si>
    <t>ГАЗ ГОРЮЧИЙ ПРИРОДНЫЙ, ВСЕГО:</t>
  </si>
  <si>
    <t>4_100331870+4_100335365</t>
  </si>
  <si>
    <t>4_100331871+4_100335366</t>
  </si>
  <si>
    <t>2.6.3</t>
  </si>
  <si>
    <t xml:space="preserve"> ГАЗ СБРОСНОЙ, ВСЕГО:</t>
  </si>
  <si>
    <t>СЗСК НА СТН ООО "Газпром переработка"</t>
  </si>
  <si>
    <t>СЗСК валовая выработка</t>
  </si>
  <si>
    <t>4_100331882</t>
  </si>
  <si>
    <t>4_100331883</t>
  </si>
  <si>
    <t>СЗСК на переработку</t>
  </si>
  <si>
    <t>4_100331884</t>
  </si>
  <si>
    <t>4_100331885</t>
  </si>
  <si>
    <t>2.6.4</t>
  </si>
  <si>
    <t>ШФЛУ ТОВАРНАЯ, ВСЕГО:</t>
  </si>
  <si>
    <t>4_100331888+4_100331889</t>
  </si>
  <si>
    <t>ШФЛУ валовая выработка, всего:</t>
  </si>
  <si>
    <t>4_100331893+4_100331894</t>
  </si>
  <si>
    <t>ШФЛУ на переработку, всего:</t>
  </si>
  <si>
    <t>4_100331896+4_100331897</t>
  </si>
  <si>
    <t>в т.ч. по договору переработки</t>
  </si>
  <si>
    <t>2.6.5</t>
  </si>
  <si>
    <t>ГАЗЫ УГЛЕВОДОРОДНЫЕ СЖИЖЕННЫЕ, ВСЕГО:</t>
  </si>
  <si>
    <t>4_100332910+4_100335420+4_100332911+4_100332912+4_100332913</t>
  </si>
  <si>
    <t>4_100332910+4_100335420</t>
  </si>
  <si>
    <t>фракция пропановая</t>
  </si>
  <si>
    <t>4_100332911+4_100332912+4_100332913</t>
  </si>
  <si>
    <t>ПБА/ПБТ</t>
  </si>
  <si>
    <t>2.6.6</t>
  </si>
  <si>
    <t>УГЛЕВОДОРОДНАЯ ФРАКЦИЯ/ПГФ СЗСК</t>
  </si>
  <si>
    <t>2.6.7</t>
  </si>
  <si>
    <t>АВТОМОБИЛЬНЫЙ БЕНЗИН СЗСК, ВСЕГО:</t>
  </si>
  <si>
    <t>2.6.8</t>
  </si>
  <si>
    <t>ТОПЛИВО ДЛЯ РЕАКТИВНЫХ ДВИГАТЕЛЕЙ, ВСЕГО:</t>
  </si>
  <si>
    <t>2.6.9</t>
  </si>
  <si>
    <t>ДИЗЕЛЬНОЕ ТОПЛИВО, ВСЕГО:</t>
  </si>
  <si>
    <t>4_100331912+4_100331913</t>
  </si>
  <si>
    <t>2.6.10</t>
  </si>
  <si>
    <t xml:space="preserve">ДИСТИЛЛЯТ ГАЗОВОГО КОНДЕНСАТА ЛЕГКИЙ, ВСЕГО: </t>
  </si>
  <si>
    <t>4_100331916+4_100331917</t>
  </si>
  <si>
    <t>в т.ч. с УПГД</t>
  </si>
  <si>
    <t>4_100335043</t>
  </si>
  <si>
    <t>2.6.11</t>
  </si>
  <si>
    <t>СТАБИЛЬНЫЙ КОНДЕНСАТ ТОВАРНЫЙ, ВСЕГО:</t>
  </si>
  <si>
    <t>4_100331921+4_100331922</t>
  </si>
  <si>
    <t>4_100331922</t>
  </si>
  <si>
    <t>2.6.12</t>
  </si>
  <si>
    <t xml:space="preserve">  СТАБИЛЬНЫЙ КОНДЕНСАТ (НЕФТЬ), ВСЕГО: </t>
  </si>
  <si>
    <t>4_100335091+4_100335092+4_100331925</t>
  </si>
  <si>
    <t>4_100335091+4_100335092</t>
  </si>
  <si>
    <t>УСК-НПТР</t>
  </si>
  <si>
    <t>4_100335091</t>
  </si>
  <si>
    <t>нефть на УЗПКТ (НПС)</t>
  </si>
  <si>
    <t>4_100335092</t>
  </si>
  <si>
    <t>4_100331925</t>
  </si>
  <si>
    <t>Стабильный конденсат (нефть) валовый,  всего:</t>
  </si>
  <si>
    <t>4_100331927+4_100331928+4_100335100+4_100331929</t>
  </si>
  <si>
    <t>УЗПКТ (с УДК/УСК)</t>
  </si>
  <si>
    <t>УЗПКТ (с УСК-НПТР)</t>
  </si>
  <si>
    <t>Стабильный конденсат на первичную переработку, всего:</t>
  </si>
  <si>
    <t>4_100331931+4_100331932</t>
  </si>
  <si>
    <t>Стабильный конденсат на переработку (нефтяное сырье), всего:</t>
  </si>
  <si>
    <t>Стабильный конденсат на смешение</t>
  </si>
  <si>
    <t>2.6.13</t>
  </si>
  <si>
    <t xml:space="preserve">МЕТАНОЛ, ВСЕГО: </t>
  </si>
  <si>
    <t>4_100335444+4_100335445</t>
  </si>
  <si>
    <t>УЗПКТ (с УПГД)</t>
  </si>
  <si>
    <t>4_100335444</t>
  </si>
  <si>
    <t>4_100335445</t>
  </si>
  <si>
    <t>2.6.14</t>
  </si>
  <si>
    <t>ВОДА ПОДТОВАРНАЯ УЗПКТ</t>
  </si>
  <si>
    <t>4_100331942</t>
  </si>
  <si>
    <t>2.6.15</t>
  </si>
  <si>
    <t>ВОДОМЕТАНОЛЬНАЯ СМЕСЬ СЗСК *</t>
  </si>
  <si>
    <t>4_100331943</t>
  </si>
  <si>
    <t>Переработка сырья на УЗПКТ и привлеченных мощностях, всего:</t>
  </si>
  <si>
    <t>4_100331840+4_100331841+4_100335357+4_100335358+4_100331815+4_100331963+0-0-0-4_100331815</t>
  </si>
  <si>
    <t>Нестабильного конденсата, всего:</t>
  </si>
  <si>
    <t>4_100331840+4_100331841+4_100335357+4_100335358</t>
  </si>
  <si>
    <t>4_100331840+4_100331841</t>
  </si>
  <si>
    <t>УДК/УСК</t>
  </si>
  <si>
    <t>4_100331840</t>
  </si>
  <si>
    <t>4_100335508</t>
  </si>
  <si>
    <t>УСК НПТР</t>
  </si>
  <si>
    <t>4_100331841</t>
  </si>
  <si>
    <t>4_100335357</t>
  </si>
  <si>
    <t>4_100335358</t>
  </si>
  <si>
    <t>Нефть на НПС УЗПКТ</t>
  </si>
  <si>
    <t>Деэтанизированный конденсат, всего:</t>
  </si>
  <si>
    <t>4_100331945+4_100335044+4_100331947+4_100335359+4_100335360</t>
  </si>
  <si>
    <t>4_100331945+4_100335044+4_100331947</t>
  </si>
  <si>
    <t>4_100331945</t>
  </si>
  <si>
    <t>УПГД</t>
  </si>
  <si>
    <t>4_100335044</t>
  </si>
  <si>
    <t>4_100331947</t>
  </si>
  <si>
    <t>4_100335359</t>
  </si>
  <si>
    <t>4_100335360</t>
  </si>
  <si>
    <t>Переработка сырья на СЗСК, всего:</t>
  </si>
  <si>
    <t>4_100331945+4_100335044+4_100331947+4_100335359+4_100335360-4_100331824+4_100331825+4_100331838+10_100330719+4_100335334+4_100335858+4_100335334</t>
  </si>
  <si>
    <t>Деэтанизированный конденсат с учетом заполнения и вытеснения</t>
  </si>
  <si>
    <t>4_100331945+4_100335044+4_100331947+4_100335359+4_100335360-4_100331824+4_100331825</t>
  </si>
  <si>
    <t>Нестабильный конденсат</t>
  </si>
  <si>
    <t>10_100330719+4_100335334+4_100335858+4_100335334</t>
  </si>
  <si>
    <t>4_100335334+4_100335858</t>
  </si>
  <si>
    <t>ДРОД</t>
  </si>
  <si>
    <t>Заполнение и вытеснение трубопроводов:</t>
  </si>
  <si>
    <t>Заполнение конденсатопровода МК "Ямбург - Уренгой"</t>
  </si>
  <si>
    <t>4_100331822</t>
  </si>
  <si>
    <t>Вытеснение конденсатопровода МК "Ямбург - Уренгой"</t>
  </si>
  <si>
    <t>4_100331823</t>
  </si>
  <si>
    <t>Заполнение трубопровода МК "Уренгой-Сургут"</t>
  </si>
  <si>
    <t>4_100331824</t>
  </si>
  <si>
    <t>Вытеснение трубопровода МК "Уренгой-Сургут"</t>
  </si>
  <si>
    <t>4_100331825</t>
  </si>
  <si>
    <t>Заполнение трубопроводов объектов альтернативной схемы</t>
  </si>
  <si>
    <t>4_100331818</t>
  </si>
  <si>
    <t>Вытеснение из трубопроводов объектов альтернативной схемы</t>
  </si>
  <si>
    <t>4_100331819</t>
  </si>
  <si>
    <t>Транспортировка нефтегазоконденсатной смеси по объектам альтернативной схемы:</t>
  </si>
  <si>
    <t>4_100335902+0+0-0-0+0+0-0-0+0+4_100335906+0+0+0+0</t>
  </si>
  <si>
    <t>2.11.1</t>
  </si>
  <si>
    <t>Стабильный газовый конденсат (нефть)</t>
  </si>
  <si>
    <t>4_100335902+0+0-0-0+0+0-0-0+0</t>
  </si>
  <si>
    <t>ПАО "ГАЗПРОМ"</t>
  </si>
  <si>
    <t>4_100335902</t>
  </si>
  <si>
    <t>0+0-0-0+0+0-0-0+0</t>
  </si>
  <si>
    <t>Ачимовские отл. 3 уч.</t>
  </si>
  <si>
    <t>Ен-Яхинское ГКМ</t>
  </si>
  <si>
    <t>Песцовое НГКМ (ачим)</t>
  </si>
  <si>
    <t>2.11.2</t>
  </si>
  <si>
    <t>4_100335906+0+0+0+0</t>
  </si>
  <si>
    <t>4_100335906</t>
  </si>
  <si>
    <t>Уренгойское НГКМ фаза 2</t>
  </si>
  <si>
    <t>Ачимовские отл. 6 уч.</t>
  </si>
  <si>
    <t>Показатели по переработке сырья, производству продукции, оказанию услуг по переработке углеводородного сырья на объектах ООО "Газпром переработка"</t>
  </si>
  <si>
    <t>1.  АГПЗ ООО "Газпром переработка"</t>
  </si>
  <si>
    <t>Код строки</t>
  </si>
  <si>
    <t>Ед.изм.</t>
  </si>
  <si>
    <t>ОКАЗАНИЕ УСЛУГ ПО СЕПАРАЦИИ  СЫРЬЯ 
ООО "Газпром добыча Астрахань"</t>
  </si>
  <si>
    <t>100331977</t>
  </si>
  <si>
    <t>100331978+100335798</t>
  </si>
  <si>
    <t>ОКРУГЛ({100331977:-1}/{100331977:-1}*$100;$6)</t>
  </si>
  <si>
    <t>СЕПАРАЦИЯ ПРИРОДНОГО ГАЗА, 
собственность ООО "Газпром добыча Астрахань"</t>
  </si>
  <si>
    <t>100331978</t>
  </si>
  <si>
    <t>ОКРУГЛ({100331978:-1}/{100331977:-1}*$100;$6)</t>
  </si>
  <si>
    <t>100331979</t>
  </si>
  <si>
    <t>СЕПАРАЦИЯ КОНДЕНСАТА ГАЗОВОГО НЕСТАБИЛЬНОГО,  
собственность ООО "Газпром добыча Астрахань"</t>
  </si>
  <si>
    <t>100335798</t>
  </si>
  <si>
    <t>ОКРУГЛ({100335798:-1}/{100331977:-1}*$100;$6)</t>
  </si>
  <si>
    <t>ПОТЕРИ СЫРЬЯ ПРИ ПЕРЕРАБОТКЕ (УСЛОВНЫЕ), собственность ООО "Газпром добыча Астрахань":</t>
  </si>
  <si>
    <t>100335799</t>
  </si>
  <si>
    <t>100335800</t>
  </si>
  <si>
    <t>{100335798:0}</t>
  </si>
  <si>
    <t>Природного газа и нестабильного конденсата</t>
  </si>
  <si>
    <t>{100331977:0}-{100335801:0}</t>
  </si>
  <si>
    <t>ПРОИЗВОДСТВО ПРОДУКЦИИ, собственность 
ООО "Газпром добыча Астрахань"  ВСЕГО:</t>
  </si>
  <si>
    <t>100335801</t>
  </si>
  <si>
    <t>100335802+100335804</t>
  </si>
  <si>
    <t>{100335802:0}+{100335804:0}</t>
  </si>
  <si>
    <t>1.8</t>
  </si>
  <si>
    <t>Газ сырой отсепарированный</t>
  </si>
  <si>
    <t>100335802</t>
  </si>
  <si>
    <t>ОКРУГЛ({100335802:-1}/{100331977:-1}*$100;$6)</t>
  </si>
  <si>
    <t>1.9</t>
  </si>
  <si>
    <t>100335803</t>
  </si>
  <si>
    <t>1.10</t>
  </si>
  <si>
    <t>Конденсат газовый нестабильный</t>
  </si>
  <si>
    <t>ОКРУГЛ({100335804:-1}/{100331977:-1}*$100;$6)</t>
  </si>
  <si>
    <t>1.11</t>
  </si>
  <si>
    <t xml:space="preserve">ПЕРЕРАБОТКА УГЛЕВОДОРОДНОГО СЫРЬЯ, собственность ПАО "Газпром" </t>
  </si>
  <si>
    <t>100335805</t>
  </si>
  <si>
    <t>100335806+100331985+100331986</t>
  </si>
  <si>
    <t>1.12</t>
  </si>
  <si>
    <t>ПЕРЕРАБОТКА ГАЗА СЫРОГО ОТСЕПАРИРОВАННОГО 
(покупка у ООО "Газпром добыча Астрахань" )</t>
  </si>
  <si>
    <t>100335806</t>
  </si>
  <si>
    <t>ОКРУГЛ({100335806:-1}/{100331977:-1}*$100;$6)</t>
  </si>
  <si>
    <t>1.13</t>
  </si>
  <si>
    <t>1.21</t>
  </si>
  <si>
    <t>ПЕРЕРАБОТКА КОНДЕНСАТА ГАЗОВОГО НЕСТАБИЛЬНОГО 
(покупка у ООО "Газпром добыча Астрахань" )</t>
  </si>
  <si>
    <t>100331985</t>
  </si>
  <si>
    <t>100335804</t>
  </si>
  <si>
    <t>ОКРУГЛ({100331985:-1}/{100331977:-1}*$100;$6)</t>
  </si>
  <si>
    <t>1.22</t>
  </si>
  <si>
    <t>100331986</t>
  </si>
  <si>
    <t>100331987+100331988+100332914</t>
  </si>
  <si>
    <t>1.23</t>
  </si>
  <si>
    <t>Присадки (добавки) для нефтепродуктов, 
собственность ПАО "Газпром"</t>
  </si>
  <si>
    <t>100331987</t>
  </si>
  <si>
    <t>1.24</t>
  </si>
  <si>
    <t>2.3.1.1.</t>
  </si>
  <si>
    <t>в т.ч. МТБЭ (добавка в бензин)</t>
  </si>
  <si>
    <t>100334996</t>
  </si>
  <si>
    <t>1.25</t>
  </si>
  <si>
    <t>Компонент для производства серы, 
собственность ПАО "Газпром"</t>
  </si>
  <si>
    <t>100331988</t>
  </si>
  <si>
    <t>1.26</t>
  </si>
  <si>
    <t>2.3.3</t>
  </si>
  <si>
    <t>Компонент производства при выработке кислого газа</t>
  </si>
  <si>
    <t>100332914</t>
  </si>
  <si>
    <t>1.27</t>
  </si>
  <si>
    <t>1.28</t>
  </si>
  <si>
    <t>ПОТЕРИ СЫРЬЯ ПРИ ПЕРЕРАБОТКЕ (УСЛОВНЫЕ), ВСЕГО:</t>
  </si>
  <si>
    <t>100331989</t>
  </si>
  <si>
    <t>100331990+100331991</t>
  </si>
  <si>
    <t>1.29</t>
  </si>
  <si>
    <t>100331990</t>
  </si>
  <si>
    <t>1.30</t>
  </si>
  <si>
    <t>100331991</t>
  </si>
  <si>
    <t>1.31</t>
  </si>
  <si>
    <t>ПРОИЗВОДСТВО ПРОДУКЦИИ, 
собственность ПАО "Газпром", ВСЕГО:</t>
  </si>
  <si>
    <t>100331853</t>
  </si>
  <si>
    <t>100331992+100332000+100330073+100332010+100332011+100332017+100332020+100332021+100332022+100332023+100332024+100332025</t>
  </si>
  <si>
    <t>1.32</t>
  </si>
  <si>
    <t>4.1</t>
  </si>
  <si>
    <t>ГАЗ ПРИРОДНЫЙ СУХОЙ ОТБЕНЗИНЕННЫЙ, ВСЕГО:</t>
  </si>
  <si>
    <t>100331992</t>
  </si>
  <si>
    <t>100331994+100331996+100331998</t>
  </si>
  <si>
    <t>1.33</t>
  </si>
  <si>
    <t>100331993</t>
  </si>
  <si>
    <t>100331995+100331997+100331999</t>
  </si>
  <si>
    <t>1.34</t>
  </si>
  <si>
    <t>4.1.1</t>
  </si>
  <si>
    <t>Газ горючий природный, в ГТС</t>
  </si>
  <si>
    <t>100331994</t>
  </si>
  <si>
    <t>1.35</t>
  </si>
  <si>
    <t>100331995</t>
  </si>
  <si>
    <t>1.36</t>
  </si>
  <si>
    <t>4.1.2</t>
  </si>
  <si>
    <t>Газ на СТН ООО «Газпром добыча Астрахань», 
собственность ПАО "Газпром"</t>
  </si>
  <si>
    <t>100331996</t>
  </si>
  <si>
    <t>1.37</t>
  </si>
  <si>
    <t>100331997</t>
  </si>
  <si>
    <t>1.38</t>
  </si>
  <si>
    <t>4.1.3</t>
  </si>
  <si>
    <t xml:space="preserve">Газ на СТН Газпром переработка, 
собственность ПАО "Газпром" </t>
  </si>
  <si>
    <t>100331998</t>
  </si>
  <si>
    <t>1.39</t>
  </si>
  <si>
    <t>100331999</t>
  </si>
  <si>
    <t>1.40</t>
  </si>
  <si>
    <t>4.2</t>
  </si>
  <si>
    <t>СЕРА, ВСЕГО:</t>
  </si>
  <si>
    <t>100332000</t>
  </si>
  <si>
    <t>100332001</t>
  </si>
  <si>
    <t>1.41</t>
  </si>
  <si>
    <t>4.2.1</t>
  </si>
  <si>
    <t>Сера, :</t>
  </si>
  <si>
    <t>100330068+100330069+100330070+100330071+100337112</t>
  </si>
  <si>
    <t>1.42</t>
  </si>
  <si>
    <t>4.2.1.1</t>
  </si>
  <si>
    <t>100330068</t>
  </si>
  <si>
    <t>1.43</t>
  </si>
  <si>
    <t>4.2.1.2</t>
  </si>
  <si>
    <t>100330069</t>
  </si>
  <si>
    <t>1.44</t>
  </si>
  <si>
    <t>4.2.1.3</t>
  </si>
  <si>
    <t>100330070</t>
  </si>
  <si>
    <t>1.45</t>
  </si>
  <si>
    <t>4.2.1.4</t>
  </si>
  <si>
    <t>марка М</t>
  </si>
  <si>
    <t>100330071</t>
  </si>
  <si>
    <t>4.2.1.5</t>
  </si>
  <si>
    <t>100337112</t>
  </si>
  <si>
    <t>1.14</t>
  </si>
  <si>
    <t>1.15</t>
  </si>
  <si>
    <t>Кислый газ, всего:</t>
  </si>
  <si>
    <t>100330010</t>
  </si>
  <si>
    <t>100331980+100331981</t>
  </si>
  <si>
    <t>1.16</t>
  </si>
  <si>
    <t>Кислый газ с производства № 3</t>
  </si>
  <si>
    <t>100331980</t>
  </si>
  <si>
    <t>1.17</t>
  </si>
  <si>
    <t xml:space="preserve">Кислый газ с производства № 1,5 </t>
  </si>
  <si>
    <t>100331981</t>
  </si>
  <si>
    <t>1.49</t>
  </si>
  <si>
    <t>4.3</t>
  </si>
  <si>
    <t>ШФЛУ товарная, всего:</t>
  </si>
  <si>
    <t>100330073</t>
  </si>
  <si>
    <t>100332003</t>
  </si>
  <si>
    <t>1.50</t>
  </si>
  <si>
    <t>4.3.1</t>
  </si>
  <si>
    <t>ШФЛУ товарная</t>
  </si>
  <si>
    <t>1.51</t>
  </si>
  <si>
    <t>в т.ч. аналог стабильного конденсата</t>
  </si>
  <si>
    <t>100332004</t>
  </si>
  <si>
    <t>1.52</t>
  </si>
  <si>
    <t>1.53</t>
  </si>
  <si>
    <t>ШФЛУ товарная с учетом изменения остатков</t>
  </si>
  <si>
    <t>100332005</t>
  </si>
  <si>
    <t>1.54</t>
  </si>
  <si>
    <t>ШФЛУ валовая</t>
  </si>
  <si>
    <t>100332006</t>
  </si>
  <si>
    <t>1.55</t>
  </si>
  <si>
    <t>100334997</t>
  </si>
  <si>
    <t>1.57</t>
  </si>
  <si>
    <t>ШФЛУ - переработка</t>
  </si>
  <si>
    <t>100332008</t>
  </si>
  <si>
    <t>1.58</t>
  </si>
  <si>
    <t>100332009</t>
  </si>
  <si>
    <t>1.59</t>
  </si>
  <si>
    <t>4.4</t>
  </si>
  <si>
    <t>ГАЗЫ УГЛЕВОДОРОДНЫЕ СЖИЖЕННЫЕ</t>
  </si>
  <si>
    <t>100332010</t>
  </si>
  <si>
    <t>1.60</t>
  </si>
  <si>
    <t>4.5</t>
  </si>
  <si>
    <t>100332011</t>
  </si>
  <si>
    <t>100332012</t>
  </si>
  <si>
    <t>1.61</t>
  </si>
  <si>
    <t>4.5.1</t>
  </si>
  <si>
    <t>СК товарный</t>
  </si>
  <si>
    <t>1.62</t>
  </si>
  <si>
    <t>1.63</t>
  </si>
  <si>
    <t>СК товарный с учетом изменения остатков (отгрузка)</t>
  </si>
  <si>
    <t>100332013</t>
  </si>
  <si>
    <t>1.64</t>
  </si>
  <si>
    <t>100332014</t>
  </si>
  <si>
    <t>1.66</t>
  </si>
  <si>
    <t>СК - переработка</t>
  </si>
  <si>
    <t>100332016</t>
  </si>
  <si>
    <t>1.67</t>
  </si>
  <si>
    <t>4.6</t>
  </si>
  <si>
    <t>АВТОМОБИЛЬНЫЙ БЕНЗИН, ВСЕГО:</t>
  </si>
  <si>
    <t>100332017</t>
  </si>
  <si>
    <t>100332018+100332019+100335688</t>
  </si>
  <si>
    <t>1.68</t>
  </si>
  <si>
    <t>100335688</t>
  </si>
  <si>
    <t>1.69</t>
  </si>
  <si>
    <t>4.6.1</t>
  </si>
  <si>
    <t>100332018</t>
  </si>
  <si>
    <t>1.70</t>
  </si>
  <si>
    <t>4.6.2</t>
  </si>
  <si>
    <t>100332019</t>
  </si>
  <si>
    <t>1.71</t>
  </si>
  <si>
    <t>4.7</t>
  </si>
  <si>
    <t>ДГКЛ</t>
  </si>
  <si>
    <t>100332020</t>
  </si>
  <si>
    <t>1.72</t>
  </si>
  <si>
    <t>4.8</t>
  </si>
  <si>
    <t>ДГКС</t>
  </si>
  <si>
    <t>100332021</t>
  </si>
  <si>
    <t>1.73</t>
  </si>
  <si>
    <t>4.9</t>
  </si>
  <si>
    <t>ДГКТ</t>
  </si>
  <si>
    <t>100332022</t>
  </si>
  <si>
    <t>1.74</t>
  </si>
  <si>
    <t>4.10</t>
  </si>
  <si>
    <t>ДИЗЕЛЬНОЕ ТОПЛИВО</t>
  </si>
  <si>
    <t>100332023</t>
  </si>
  <si>
    <t>1.75</t>
  </si>
  <si>
    <t>4.11</t>
  </si>
  <si>
    <t>МАЗУТ</t>
  </si>
  <si>
    <t>100332024</t>
  </si>
  <si>
    <t>1.76</t>
  </si>
  <si>
    <t>4.12</t>
  </si>
  <si>
    <t>ГАЗ СТАБИЛИЗАЦИИ НА СОБСТВЕННЫЕ НУЖДЫ</t>
  </si>
  <si>
    <t>100332025</t>
  </si>
  <si>
    <t>1.77</t>
  </si>
  <si>
    <t>100332026</t>
  </si>
  <si>
    <t>1.78</t>
  </si>
  <si>
    <t>5</t>
  </si>
  <si>
    <t>Продукция, принятая в производство со склада (в примечании должнв быть ссылка на акт )</t>
  </si>
  <si>
    <t>100332942</t>
  </si>
  <si>
    <t>1.79</t>
  </si>
  <si>
    <t>Продукция, переданная с производства на склад (в примечании должнв быть ссылка на акт )</t>
  </si>
  <si>
    <t>100335430</t>
  </si>
  <si>
    <t>1.80</t>
  </si>
  <si>
    <t>6</t>
  </si>
  <si>
    <t>Материальный баланс переработки УВС</t>
  </si>
  <si>
    <t>1.81</t>
  </si>
  <si>
    <t>Материальный баланс ООО "Газпром добыча Астрахань"</t>
  </si>
  <si>
    <t>100335808</t>
  </si>
  <si>
    <t>100331977-100335799-100335801</t>
  </si>
  <si>
    <t>1.82</t>
  </si>
  <si>
    <t>Материальный баланс  ПАО "Газпром"</t>
  </si>
  <si>
    <t>100335809</t>
  </si>
  <si>
    <t>100335805-100331989-100331853+100332942-100335430</t>
  </si>
  <si>
    <t>Производство для реализации ПАО "Газпром"</t>
  </si>
  <si>
    <t>T</t>
  </si>
  <si>
    <t>100332000+100332000+100332010+100332013+100332017+100332020+100332021+100332021+100332023+100332024+100332024</t>
  </si>
  <si>
    <t>Проверка с разделом "Добыча"</t>
  </si>
  <si>
    <t>природный газ</t>
  </si>
  <si>
    <t>конденсат газовый нестабильный</t>
  </si>
  <si>
    <t>Проверка с ООО "Газпром добыча Астрахань"</t>
  </si>
  <si>
    <t>V</t>
  </si>
  <si>
    <t>100331978-5_100330005</t>
  </si>
  <si>
    <t>100331979-5_100330006</t>
  </si>
  <si>
    <t>100335798-5_100330016</t>
  </si>
  <si>
    <t>Примечания:</t>
  </si>
  <si>
    <t>Компонент производства при выработке кислого газа - при регенерации амина в десорберах после очистки газа выходит кислый газ с водой, которая подпитывает (разбавляет) амин</t>
  </si>
  <si>
    <t>Прогнозные показатели по переработке сырья, производству продукции, оказанию услуг по переработке углеводородного сырья на объектах ООО "Газпром переработка"</t>
  </si>
  <si>
    <t xml:space="preserve">2. ОГПЗ и ОГЗ ООО "Газпром переработка" </t>
  </si>
  <si>
    <t xml:space="preserve">Ед.изм. </t>
  </si>
  <si>
    <t>Переработка углеводородного сырья, всего:</t>
  </si>
  <si>
    <t>100332033+100332059+100332064</t>
  </si>
  <si>
    <t>в том числе без давальцев, всего:</t>
  </si>
  <si>
    <t>100332027</t>
  </si>
  <si>
    <t>100332028+100332029+100332030-100332210</t>
  </si>
  <si>
    <t>тыс. т.</t>
  </si>
  <si>
    <t>100332028</t>
  </si>
  <si>
    <t>100332061+100332065+100332206</t>
  </si>
  <si>
    <t>100332029</t>
  </si>
  <si>
    <t>100332035+100332062+100332068+100332947+100335697</t>
  </si>
  <si>
    <t>ООО "Сервиснефтегаз"</t>
  </si>
  <si>
    <t>100332030</t>
  </si>
  <si>
    <t>100332069</t>
  </si>
  <si>
    <t>ТОО "КазРосГаз"</t>
  </si>
  <si>
    <t>100332031</t>
  </si>
  <si>
    <t>100332045</t>
  </si>
  <si>
    <t>ПЕРЕРАБОТКА ПРИРОДНОГО ГАЗА, ВСЕГО:</t>
  </si>
  <si>
    <t>100332033</t>
  </si>
  <si>
    <t>100332035+100332045</t>
  </si>
  <si>
    <t>100332034</t>
  </si>
  <si>
    <t>100332036+100332046</t>
  </si>
  <si>
    <t>ООО "Газпром переработка", всего:</t>
  </si>
  <si>
    <t>1.1.1.</t>
  </si>
  <si>
    <t>100332035</t>
  </si>
  <si>
    <t>100332037+100332039+100332041+100332043+100332915+100332943+100335128</t>
  </si>
  <si>
    <t>100332036</t>
  </si>
  <si>
    <t>100332038+100332040+100332042+100332044+100332916+100332944+100335129</t>
  </si>
  <si>
    <t>- из сырья  ООО "Газпром добыча Оренбург"</t>
  </si>
  <si>
    <t xml:space="preserve"> - из сырья  ООО "Газпром добыча Оренбург"</t>
  </si>
  <si>
    <t>100332037</t>
  </si>
  <si>
    <t>100332038</t>
  </si>
  <si>
    <t>в т.ч. ДРОД (Филипповская залежь и прочие залежи)</t>
  </si>
  <si>
    <t>100334998</t>
  </si>
  <si>
    <t>100334999</t>
  </si>
  <si>
    <t>- из сырья ПАО "Газпром нефть"</t>
  </si>
  <si>
    <t xml:space="preserve"> - из сырья ПАО "Газпром нефть"</t>
  </si>
  <si>
    <t>100332039</t>
  </si>
  <si>
    <t>100332040</t>
  </si>
  <si>
    <t>- из сырья АО "УНГП"</t>
  </si>
  <si>
    <t xml:space="preserve"> - из сырья АО "УНГП"</t>
  </si>
  <si>
    <t>100332041</t>
  </si>
  <si>
    <t>100332042</t>
  </si>
  <si>
    <t>- из сырья ООО "Сервиснефтегаз"</t>
  </si>
  <si>
    <t xml:space="preserve"> - из сырья ООО "Сервиснефтегаз"</t>
  </si>
  <si>
    <t>100332043</t>
  </si>
  <si>
    <t>100332044</t>
  </si>
  <si>
    <t>- из сырья ЗАО "КАРБОН"</t>
  </si>
  <si>
    <t xml:space="preserve"> - из сырья ЗАО "КАРБОН"</t>
  </si>
  <si>
    <t>100332915</t>
  </si>
  <si>
    <t>100332916</t>
  </si>
  <si>
    <t>- из сырья ООО "Газпромнефть-Заполярье"</t>
  </si>
  <si>
    <t xml:space="preserve"> - из сырья ООО "Газпромнефть-Заполярье"</t>
  </si>
  <si>
    <t>100332943</t>
  </si>
  <si>
    <t>100332944</t>
  </si>
  <si>
    <t>- из сырья ООО "Сладковско-Заречное"</t>
  </si>
  <si>
    <t xml:space="preserve"> - из сырья ООО "Сладковско-Заречное"</t>
  </si>
  <si>
    <t>100335128</t>
  </si>
  <si>
    <t>100335129</t>
  </si>
  <si>
    <t>ТОО "КазРосГаз", всего:</t>
  </si>
  <si>
    <t>1.1.2.</t>
  </si>
  <si>
    <t>100332046</t>
  </si>
  <si>
    <t>в том числе переработка газа на У-01 АО "ЮУПК"</t>
  </si>
  <si>
    <t>100332047</t>
  </si>
  <si>
    <t>100332048</t>
  </si>
  <si>
    <t>Переработка сухого газа на ГЗ, всего</t>
  </si>
  <si>
    <t xml:space="preserve">Переработка сухого газа на ГЗ, всего  </t>
  </si>
  <si>
    <t>100330177</t>
  </si>
  <si>
    <t>100332053+100332055+100332057+100335130</t>
  </si>
  <si>
    <t>100330178</t>
  </si>
  <si>
    <t>100332054+100332056+100332058+100335131</t>
  </si>
  <si>
    <t>ООО "Газпром переработка", всего</t>
  </si>
  <si>
    <t>100332051</t>
  </si>
  <si>
    <t>100332053+100332055+100335130</t>
  </si>
  <si>
    <t>100332052</t>
  </si>
  <si>
    <t>100332054+100332056+100335131</t>
  </si>
  <si>
    <t>- из газа ООО "Газпром добыча Оренбург" (в т.ч. Филипповская залежь и прочие залежи)</t>
  </si>
  <si>
    <t>100332053</t>
  </si>
  <si>
    <t>100332054</t>
  </si>
  <si>
    <t>- из газа ПАО "Газпром нефть"</t>
  </si>
  <si>
    <t xml:space="preserve"> - из газа ПАО "Газпром нефть"</t>
  </si>
  <si>
    <t>100332055</t>
  </si>
  <si>
    <t>100332056</t>
  </si>
  <si>
    <t xml:space="preserve"> - из газа Прочих поставщиков  </t>
  </si>
  <si>
    <t>100335130</t>
  </si>
  <si>
    <t>100335131</t>
  </si>
  <si>
    <t>100332057</t>
  </si>
  <si>
    <t>100332058</t>
  </si>
  <si>
    <t>ПЕРЕРАБОТКА КОНДЕНСАТА ГАЗОВОГО НЕСТАБИЛЬНОГО, ВСЕГО:</t>
  </si>
  <si>
    <t>100332059</t>
  </si>
  <si>
    <t>100332061+100332062+100335697</t>
  </si>
  <si>
    <t>ПАО "Газпром" из сырья ООО "Газпром добыча Оренбург"</t>
  </si>
  <si>
    <t>1.2.1.</t>
  </si>
  <si>
    <t>100332061</t>
  </si>
  <si>
    <t xml:space="preserve"> в т.ч. из сырья  в рамках ДРОД (оператор "Газпром нефть Заполярье")</t>
  </si>
  <si>
    <t>в том числе из сырья в рамках ДРОД (оператор "Газпром нефть Заполярье"</t>
  </si>
  <si>
    <t>100335946</t>
  </si>
  <si>
    <t>ООО "Газпром переработка" из сырья АО "УНГП"</t>
  </si>
  <si>
    <t>1.2.2.</t>
  </si>
  <si>
    <t>100332062</t>
  </si>
  <si>
    <t>ООО "Газпром переработка" из сырья ООО "Газпромнефть-Заполярье"  (Филипповская залежь)</t>
  </si>
  <si>
    <t>ООО "Газпром переработка" из сырья ООО "Газпромнефть-Заполярье"</t>
  </si>
  <si>
    <t>100335697</t>
  </si>
  <si>
    <t>ПЕРЕРАБОТКА НЕФТИ СЫРОЙ НЕСТАБИЛЬНОЙ, ВСЕГО:</t>
  </si>
  <si>
    <t>1.3.</t>
  </si>
  <si>
    <t>100332064</t>
  </si>
  <si>
    <t>100332065+100332069+100332068+100332947</t>
  </si>
  <si>
    <t>ПАО "Газпром", всего:</t>
  </si>
  <si>
    <t>1.3.1.</t>
  </si>
  <si>
    <t>100332065</t>
  </si>
  <si>
    <t>100332066+100332067</t>
  </si>
  <si>
    <t>- из сырья ООО "Газпром добыча Оренбург"</t>
  </si>
  <si>
    <t xml:space="preserve"> - из сырья ООО "Газпром добыча Оренбург"</t>
  </si>
  <si>
    <t>100332066</t>
  </si>
  <si>
    <t>100335947</t>
  </si>
  <si>
    <t>100332067</t>
  </si>
  <si>
    <t>1.3.2.</t>
  </si>
  <si>
    <t>100332068</t>
  </si>
  <si>
    <t>ООО "Газпром переработка" из сырья ООО "Газпромнефть-Заполярье" (Филипповская залежь)</t>
  </si>
  <si>
    <t>1.3.3.</t>
  </si>
  <si>
    <t>100332947</t>
  </si>
  <si>
    <t>1.3.4.</t>
  </si>
  <si>
    <t>100332070</t>
  </si>
  <si>
    <t>100332071+100332075</t>
  </si>
  <si>
    <t>100332071</t>
  </si>
  <si>
    <t>100332072+100332073+100332074</t>
  </si>
  <si>
    <t>100332072</t>
  </si>
  <si>
    <t>100332095</t>
  </si>
  <si>
    <t>100332073</t>
  </si>
  <si>
    <t>100332079+100332098</t>
  </si>
  <si>
    <t>100332074</t>
  </si>
  <si>
    <t>100332100</t>
  </si>
  <si>
    <t>100332075</t>
  </si>
  <si>
    <t>100332089</t>
  </si>
  <si>
    <t>СЫРОЙ ГАЗ, ВСЕГО:</t>
  </si>
  <si>
    <t xml:space="preserve">2.1. </t>
  </si>
  <si>
    <t>100332077</t>
  </si>
  <si>
    <t>100332079+100332089</t>
  </si>
  <si>
    <t>100332078</t>
  </si>
  <si>
    <t>100332080+100332090</t>
  </si>
  <si>
    <t xml:space="preserve">2.1.1. </t>
  </si>
  <si>
    <t>100332079</t>
  </si>
  <si>
    <t>100332081+100332083+100335132</t>
  </si>
  <si>
    <t>100332080</t>
  </si>
  <si>
    <t>100332082+100332084+100335133</t>
  </si>
  <si>
    <t>100332081</t>
  </si>
  <si>
    <t>100332082</t>
  </si>
  <si>
    <t>100332083</t>
  </si>
  <si>
    <t>100332084</t>
  </si>
  <si>
    <t xml:space="preserve"> - из сырья Прочих поставщиков </t>
  </si>
  <si>
    <t>100335132</t>
  </si>
  <si>
    <t>100335133</t>
  </si>
  <si>
    <t>2.1.2.</t>
  </si>
  <si>
    <t>100332090</t>
  </si>
  <si>
    <t>НЕФТЬ СЫРАЯ НЕСТАБИЛЬНАЯ И КОНДЕНСАТ ГАЗОВЫЙ НЕСТАБИЛЬНЫЙ, ВСЕГО:</t>
  </si>
  <si>
    <t>100332093</t>
  </si>
  <si>
    <t>100332095+100332100+100332098</t>
  </si>
  <si>
    <t>2.2.1.</t>
  </si>
  <si>
    <t>100332096+100332097</t>
  </si>
  <si>
    <t>100332096</t>
  </si>
  <si>
    <t>100332097</t>
  </si>
  <si>
    <t>2.2.2.</t>
  </si>
  <si>
    <t>100332098</t>
  </si>
  <si>
    <t>100332099+100332992</t>
  </si>
  <si>
    <t>100332099</t>
  </si>
  <si>
    <t>100332992</t>
  </si>
  <si>
    <t>2.2.3.</t>
  </si>
  <si>
    <t>ПРОИЗВОДСТВО ПРОДУКЦИИ, ВСЕГО:</t>
  </si>
  <si>
    <t>100332103+100332104+100332105+100332106-100332209</t>
  </si>
  <si>
    <t>100332102</t>
  </si>
  <si>
    <t>100332103+100332104+100332105-100332209</t>
  </si>
  <si>
    <t>100332103</t>
  </si>
  <si>
    <t>100332188+100332265+100332203+100332215+100332233+100332168</t>
  </si>
  <si>
    <t>100332104</t>
  </si>
  <si>
    <t>100332108+100332191+100332268+100330078+100332220+100332237+100332241+100335431/$1000+100332174</t>
  </si>
  <si>
    <t>ООО "Сервиснефтегаз" из нефти (конденсат)</t>
  </si>
  <si>
    <t>100332105</t>
  </si>
  <si>
    <t>100332273+100332226+100332197+100335693</t>
  </si>
  <si>
    <t>100332106</t>
  </si>
  <si>
    <t>100332118+100332198+100332274+100332227+100332236+100332244+100332184</t>
  </si>
  <si>
    <t>100332108+100332118+100335691</t>
  </si>
  <si>
    <t>100332109+100332119+100335692</t>
  </si>
  <si>
    <t>3.1.1.</t>
  </si>
  <si>
    <t>100332108</t>
  </si>
  <si>
    <t>100332110+100332112+100335134</t>
  </si>
  <si>
    <t>100332109</t>
  </si>
  <si>
    <t>100332111+100332113+100335135</t>
  </si>
  <si>
    <t>100332110</t>
  </si>
  <si>
    <t>100332134+100332158</t>
  </si>
  <si>
    <t>100332111</t>
  </si>
  <si>
    <t>100332135+100332159</t>
  </si>
  <si>
    <t>- из сырья ООО "Газпромнефть-Оренбург</t>
  </si>
  <si>
    <t xml:space="preserve"> - из сырья ООО "Газпромнефть-Оренбург</t>
  </si>
  <si>
    <t>100332112</t>
  </si>
  <si>
    <t>100332136+100332160</t>
  </si>
  <si>
    <t>100332113</t>
  </si>
  <si>
    <t>100332137+100332161</t>
  </si>
  <si>
    <t>100335134</t>
  </si>
  <si>
    <t>100332138+100335138</t>
  </si>
  <si>
    <t>100335135</t>
  </si>
  <si>
    <t>100332139+100335139</t>
  </si>
  <si>
    <t>ООО "Сервиснефтегаз" из нефти</t>
  </si>
  <si>
    <t>3.1.2.</t>
  </si>
  <si>
    <t>100335691</t>
  </si>
  <si>
    <t>100335693</t>
  </si>
  <si>
    <t>100335692</t>
  </si>
  <si>
    <t>100335694</t>
  </si>
  <si>
    <t>3.1.3.</t>
  </si>
  <si>
    <t>100332118</t>
  </si>
  <si>
    <t>100332120+100332122</t>
  </si>
  <si>
    <t>100332119</t>
  </si>
  <si>
    <t>100332121+100332123</t>
  </si>
  <si>
    <t xml:space="preserve"> - из газа КНГКМ</t>
  </si>
  <si>
    <t>100332120</t>
  </si>
  <si>
    <t>100332142+100332162</t>
  </si>
  <si>
    <t>100332121</t>
  </si>
  <si>
    <t>100332143+100332163</t>
  </si>
  <si>
    <t>- с У-01 АО "ЮУПК" из газа КНГКМ</t>
  </si>
  <si>
    <t xml:space="preserve"> - с У-01 АО "ЮУПК" из газа КНГКМ</t>
  </si>
  <si>
    <t>100332122</t>
  </si>
  <si>
    <t>100332146</t>
  </si>
  <si>
    <t>100332123</t>
  </si>
  <si>
    <t>100332147</t>
  </si>
  <si>
    <t>Сухой газ с ГПЗ, всего:</t>
  </si>
  <si>
    <t>100332130</t>
  </si>
  <si>
    <t>100332132+100332142+100335693</t>
  </si>
  <si>
    <t>100332131</t>
  </si>
  <si>
    <t>100332133+100332143+100335694</t>
  </si>
  <si>
    <t>100332132</t>
  </si>
  <si>
    <t>100332134+100332136+100332138</t>
  </si>
  <si>
    <t>100332133</t>
  </si>
  <si>
    <t>100332135+100332137+100332139</t>
  </si>
  <si>
    <t>100332134</t>
  </si>
  <si>
    <t>100332135</t>
  </si>
  <si>
    <t>100332136</t>
  </si>
  <si>
    <t>100332137</t>
  </si>
  <si>
    <t xml:space="preserve"> - из  сырья Прочих поставщиков</t>
  </si>
  <si>
    <t>100332138</t>
  </si>
  <si>
    <t>100332139</t>
  </si>
  <si>
    <t>в т.ч. из жидких углеводородов  Прочих поставщиков</t>
  </si>
  <si>
    <t>в т.ч. из жидких углеводородов Прочих поставщиков</t>
  </si>
  <si>
    <t>100335000</t>
  </si>
  <si>
    <t>100335001</t>
  </si>
  <si>
    <t>ТОО "КазРосГаз", всего</t>
  </si>
  <si>
    <t>100332142</t>
  </si>
  <si>
    <t>100332144+100332146</t>
  </si>
  <si>
    <t>100332143</t>
  </si>
  <si>
    <t>100332145+100332147</t>
  </si>
  <si>
    <t xml:space="preserve"> - из сырья КНГКМ </t>
  </si>
  <si>
    <t>100332144</t>
  </si>
  <si>
    <t>100332145</t>
  </si>
  <si>
    <t>Сухой газ с ГЗ, всего:</t>
  </si>
  <si>
    <t>100332154</t>
  </si>
  <si>
    <t>100332156+100332162</t>
  </si>
  <si>
    <t>100332155</t>
  </si>
  <si>
    <t>100332157+100332163</t>
  </si>
  <si>
    <t>100332156</t>
  </si>
  <si>
    <t>100332158+100332160+100335138</t>
  </si>
  <si>
    <t>100332157</t>
  </si>
  <si>
    <t>100332159+100332161+100335139</t>
  </si>
  <si>
    <t>в т.ч. для транспортировки через МГ "Совхозное"</t>
  </si>
  <si>
    <t>100335332</t>
  </si>
  <si>
    <t>100335333</t>
  </si>
  <si>
    <t>100332158</t>
  </si>
  <si>
    <t>100332159</t>
  </si>
  <si>
    <t>100332160</t>
  </si>
  <si>
    <t>100332161</t>
  </si>
  <si>
    <t xml:space="preserve"> - из газа Прочих поставщиков </t>
  </si>
  <si>
    <t>100335138</t>
  </si>
  <si>
    <t>100335139</t>
  </si>
  <si>
    <t>100332162</t>
  </si>
  <si>
    <t>100332163</t>
  </si>
  <si>
    <t>СПРАВОЧНО:</t>
  </si>
  <si>
    <t>100335004</t>
  </si>
  <si>
    <t>100335006+100335008+100335010+100335012+100335014+100335016+100335018</t>
  </si>
  <si>
    <t>100335005</t>
  </si>
  <si>
    <t>100335007+100335009+100335011+100335013+100335015+100335017+100335019</t>
  </si>
  <si>
    <t>в т.ч. в газотранспортную систему с ГПЗ</t>
  </si>
  <si>
    <t>100335006</t>
  </si>
  <si>
    <t>100335007</t>
  </si>
  <si>
    <t>в т.ч. в газотранспортную систему с ГЗ</t>
  </si>
  <si>
    <t>100335008</t>
  </si>
  <si>
    <t>100335009</t>
  </si>
  <si>
    <t>в т.ч. поставка на КТЭЦ с ГПЗ</t>
  </si>
  <si>
    <t>100335010</t>
  </si>
  <si>
    <t>100335011</t>
  </si>
  <si>
    <t>в т.ч. поставка на КТЭЦ с ГЗ</t>
  </si>
  <si>
    <t>100335012</t>
  </si>
  <si>
    <t>100335013</t>
  </si>
  <si>
    <t>в т.ч. на СТН  ООО "Газпром переработка" ГПЗ</t>
  </si>
  <si>
    <t>100335014</t>
  </si>
  <si>
    <t>100335015</t>
  </si>
  <si>
    <t>в т.ч. на СТН  ООО "Газпром переработка" ГЗ</t>
  </si>
  <si>
    <t>100335016</t>
  </si>
  <si>
    <t>100335017</t>
  </si>
  <si>
    <t>в т.ч. на СТН газодобывающих обществ</t>
  </si>
  <si>
    <t>100335018</t>
  </si>
  <si>
    <t>100335019</t>
  </si>
  <si>
    <t>ГАЗ ПРИРОДНЫЙ СУХОЙ ОТБЕНЗИНЕННЫЙ на СТН ГП переработка ГПЗ (ООО "Сервиснефтегаз")</t>
  </si>
  <si>
    <t xml:space="preserve"> ГАЗ ПРИРОДНЫЙ СУХОЙ ОТБЕНЗИНЕННЫЙ на СТН ГП переработка ГПЗ (ООО "Сервиснефтегаз")</t>
  </si>
  <si>
    <t>100335695</t>
  </si>
  <si>
    <t>100335696</t>
  </si>
  <si>
    <t>ГАЗ ПРИРОДНЫЙ СУХОЙ ОТБЕНЗИНЕННЫЙ (ТОО "КазРосГаз"), ВСЕГО:</t>
  </si>
  <si>
    <t>100335020</t>
  </si>
  <si>
    <t>100335022+100335024+100335026+100335028</t>
  </si>
  <si>
    <t>100335021</t>
  </si>
  <si>
    <t>100335023+100335025+100335027+100335029</t>
  </si>
  <si>
    <t>100335022</t>
  </si>
  <si>
    <t>100335023</t>
  </si>
  <si>
    <t>100335024</t>
  </si>
  <si>
    <t>100335025</t>
  </si>
  <si>
    <t>в т.ч газ на СТН ГП переработка ГПЗ</t>
  </si>
  <si>
    <t>100335026</t>
  </si>
  <si>
    <t>100335027</t>
  </si>
  <si>
    <t>в т.ч газ на СТН ГП переработка ГЗ</t>
  </si>
  <si>
    <t>100335028</t>
  </si>
  <si>
    <t>100335029</t>
  </si>
  <si>
    <t>ТОПЛИВНЫЙ ГАЗ НА КТЭЦ (продукция ГПЗ), ВСЕГО:</t>
  </si>
  <si>
    <t>100332164</t>
  </si>
  <si>
    <t>100332168+100332174+100332184</t>
  </si>
  <si>
    <t>100332165</t>
  </si>
  <si>
    <t>100332169+100332175+100332185</t>
  </si>
  <si>
    <t>100332166</t>
  </si>
  <si>
    <t>100332168+100332174</t>
  </si>
  <si>
    <t>100332167</t>
  </si>
  <si>
    <t>100332169+100332175</t>
  </si>
  <si>
    <t>3.2.1</t>
  </si>
  <si>
    <t>100332168</t>
  </si>
  <si>
    <t>100332170+100332172</t>
  </si>
  <si>
    <t>100332169</t>
  </si>
  <si>
    <t>100332171+100332173</t>
  </si>
  <si>
    <t>100332170</t>
  </si>
  <si>
    <t>100332171</t>
  </si>
  <si>
    <t>100332172</t>
  </si>
  <si>
    <t>100332173</t>
  </si>
  <si>
    <t>3.2.2</t>
  </si>
  <si>
    <t>100332174</t>
  </si>
  <si>
    <t>100332176+100332178+100335140</t>
  </si>
  <si>
    <t>100332175</t>
  </si>
  <si>
    <t>100332177+100332179+100335141</t>
  </si>
  <si>
    <t>100332176</t>
  </si>
  <si>
    <t>100332177</t>
  </si>
  <si>
    <t>100332178</t>
  </si>
  <si>
    <t>100332179</t>
  </si>
  <si>
    <t xml:space="preserve"> - из сырья Прочих поставщиков</t>
  </si>
  <si>
    <t>100335140</t>
  </si>
  <si>
    <t>100335141</t>
  </si>
  <si>
    <t xml:space="preserve">   в т.ч. из жидких углеводородов Прочих поставщиков</t>
  </si>
  <si>
    <t>100335685</t>
  </si>
  <si>
    <t>100335686</t>
  </si>
  <si>
    <t>3.2.3</t>
  </si>
  <si>
    <t>100332184</t>
  </si>
  <si>
    <t>100332185</t>
  </si>
  <si>
    <t>СЕРА (продукция ГПЗ), ВСЕГО:</t>
  </si>
  <si>
    <t>3.3.</t>
  </si>
  <si>
    <t>100332186</t>
  </si>
  <si>
    <t>100332187+100332198</t>
  </si>
  <si>
    <t>в том числе без давальцев:</t>
  </si>
  <si>
    <t>100332187</t>
  </si>
  <si>
    <t>100332188+100332191+100332197</t>
  </si>
  <si>
    <t>ПАО "Газпром" , всего:</t>
  </si>
  <si>
    <t>3.3.1.</t>
  </si>
  <si>
    <t>100332188</t>
  </si>
  <si>
    <t>100332189+100332190</t>
  </si>
  <si>
    <t>- из конденсата и нефти ООО "Газпром добыча Оренбург"</t>
  </si>
  <si>
    <t xml:space="preserve"> - из конденсата и нефти ООО "Газпром добыча Оренбург"</t>
  </si>
  <si>
    <t>100332189</t>
  </si>
  <si>
    <t>- из нефти ПАО "Газпром нефть"</t>
  </si>
  <si>
    <t xml:space="preserve"> - из нефти ПАО "Газпром нефть"</t>
  </si>
  <si>
    <t>100332190</t>
  </si>
  <si>
    <t>3.3.2.</t>
  </si>
  <si>
    <t>100332191</t>
  </si>
  <si>
    <t>100332192+100332194+100332195</t>
  </si>
  <si>
    <t>- из газа ООО "Газпром добыча Оренбург"</t>
  </si>
  <si>
    <t xml:space="preserve"> - из газа ООО "Газпром добыча Оренбург"</t>
  </si>
  <si>
    <t>100332192</t>
  </si>
  <si>
    <t>в т.ч. гранулированная</t>
  </si>
  <si>
    <t>100332193</t>
  </si>
  <si>
    <t>100332194</t>
  </si>
  <si>
    <t>100332195</t>
  </si>
  <si>
    <t xml:space="preserve">в т.ч. из жидких углеводородов Прочих поставщиков  </t>
  </si>
  <si>
    <t>100335030</t>
  </si>
  <si>
    <t>3.3.3.</t>
  </si>
  <si>
    <t>100332197</t>
  </si>
  <si>
    <t>3.3.4.</t>
  </si>
  <si>
    <t>100332198</t>
  </si>
  <si>
    <t>ШФЛУ ТОВАРНАЯ (продукция ГЗ), ВСЕГО:</t>
  </si>
  <si>
    <t>3.4.</t>
  </si>
  <si>
    <t>100332202</t>
  </si>
  <si>
    <t>100332203</t>
  </si>
  <si>
    <t>3.4.1.</t>
  </si>
  <si>
    <t>100332204+100332205+100335143</t>
  </si>
  <si>
    <t>100332204</t>
  </si>
  <si>
    <t>100332207-100332211</t>
  </si>
  <si>
    <t>100332205</t>
  </si>
  <si>
    <t>100332208-100332212</t>
  </si>
  <si>
    <t xml:space="preserve">- из сырья Прочих поставщиков </t>
  </si>
  <si>
    <t>100335143</t>
  </si>
  <si>
    <t>100335144-100335145</t>
  </si>
  <si>
    <t>100336104</t>
  </si>
  <si>
    <t>ШФЛУ валовая, всего:</t>
  </si>
  <si>
    <t xml:space="preserve"> ШФЛУ валовая, всего:</t>
  </si>
  <si>
    <t>100330078</t>
  </si>
  <si>
    <t>100332206</t>
  </si>
  <si>
    <t>100332207+100332208+100335144</t>
  </si>
  <si>
    <t>100332207</t>
  </si>
  <si>
    <t>100332208</t>
  </si>
  <si>
    <t>- из сырья Прочих поставщиков</t>
  </si>
  <si>
    <t>100335144</t>
  </si>
  <si>
    <t>ШФЛУ переработка, всего:</t>
  </si>
  <si>
    <t xml:space="preserve"> ШФЛУ переработка, всего:</t>
  </si>
  <si>
    <t>100332209</t>
  </si>
  <si>
    <t>100332210</t>
  </si>
  <si>
    <t>100332211+100332212+100335145</t>
  </si>
  <si>
    <t>100332211</t>
  </si>
  <si>
    <t>100332212</t>
  </si>
  <si>
    <t>100335145</t>
  </si>
  <si>
    <t>СЖИЖЕННЫЙ ГАЗ, ВСЕГО:</t>
  </si>
  <si>
    <t>3.5.</t>
  </si>
  <si>
    <t>100332213</t>
  </si>
  <si>
    <t>100332215+100332220+100332226+100332227</t>
  </si>
  <si>
    <t>100332214</t>
  </si>
  <si>
    <t>100332215+100332220+100332226</t>
  </si>
  <si>
    <t>3.5.1.</t>
  </si>
  <si>
    <t>100332215</t>
  </si>
  <si>
    <t>100332216+100332218+100332955+100335146</t>
  </si>
  <si>
    <t>- ПБА/ПБТ, из сырья ООО "Газпром добыча Оренбург", всего:</t>
  </si>
  <si>
    <t xml:space="preserve"> - ПБА/ПБТ, из сырья ООО "Газпром добыча Оренбург", всего:</t>
  </si>
  <si>
    <t>100332216</t>
  </si>
  <si>
    <t>100332217+100330955</t>
  </si>
  <si>
    <t>в том числе с ГПЗ</t>
  </si>
  <si>
    <t>100332217</t>
  </si>
  <si>
    <t>в том числе с ГЗ</t>
  </si>
  <si>
    <t>100330955</t>
  </si>
  <si>
    <t>- ПБА/ПБТ, из сырья ПАО "Газпром нефть", всего:</t>
  </si>
  <si>
    <t xml:space="preserve"> - ПБА/ПБТ, из сырья ПАО "Газпром нефть", всего:</t>
  </si>
  <si>
    <t>100332218</t>
  </si>
  <si>
    <t>100332219+100330956</t>
  </si>
  <si>
    <t>100332219</t>
  </si>
  <si>
    <t>100330956</t>
  </si>
  <si>
    <t>- ПБА/ПБТ, из сырья Прочих поставщиков, всего:</t>
  </si>
  <si>
    <t xml:space="preserve"> - ПБА/ПБТ, из сырья Прочих поставщиков, всего:</t>
  </si>
  <si>
    <t>100335146</t>
  </si>
  <si>
    <t>100335147+100335148</t>
  </si>
  <si>
    <t>100335147</t>
  </si>
  <si>
    <t>100335148</t>
  </si>
  <si>
    <t>- Бутан технический, из сырья ООО "Газпром добыча Оренбург"</t>
  </si>
  <si>
    <t xml:space="preserve"> - Бутан технический, из сырья ООО "Газпром добыча Оренбург"</t>
  </si>
  <si>
    <t>100332955</t>
  </si>
  <si>
    <t>ООО "Газпром переработка" (ПБА/ПБТ) (продукция ГПЗ), всего:</t>
  </si>
  <si>
    <t>3.5.2.</t>
  </si>
  <si>
    <t>100332220</t>
  </si>
  <si>
    <t>100332221+100332223+100332224</t>
  </si>
  <si>
    <t>100332221</t>
  </si>
  <si>
    <t>в т.ч. собственная потребность ООО "Газпром переработка"</t>
  </si>
  <si>
    <t>100332222</t>
  </si>
  <si>
    <t xml:space="preserve"> -  из газа ПАО "Газпром нефть"</t>
  </si>
  <si>
    <t>100332223</t>
  </si>
  <si>
    <t xml:space="preserve"> -  из сырья Прочих поставщиков</t>
  </si>
  <si>
    <t>100332224</t>
  </si>
  <si>
    <t xml:space="preserve">в т.ч. из жидких углеводородов Прочих поставщиков </t>
  </si>
  <si>
    <t>100335668</t>
  </si>
  <si>
    <t>ООО "Сервиснефтегаз" (ПБА/ПБТ) (продукция ГПЗ), из нефти</t>
  </si>
  <si>
    <t>3.5.3.</t>
  </si>
  <si>
    <t>100332226</t>
  </si>
  <si>
    <t>ТОО "КазРосГаз" (ПБА/ПБТ), всего:</t>
  </si>
  <si>
    <t>3.5.4.</t>
  </si>
  <si>
    <t>100332227</t>
  </si>
  <si>
    <t>100330957+100332228</t>
  </si>
  <si>
    <t>100332228</t>
  </si>
  <si>
    <t>100330957</t>
  </si>
  <si>
    <t>ФРАКЦИЯ УГЛЕВОДОРОДНАЯ/ПГФ (продукция ГЗ), ВСЕГО:</t>
  </si>
  <si>
    <t>3.6.</t>
  </si>
  <si>
    <t>100332232</t>
  </si>
  <si>
    <t>100332233+100332236</t>
  </si>
  <si>
    <t>3.6.1.</t>
  </si>
  <si>
    <t>100332233</t>
  </si>
  <si>
    <t>100332234+100332235+100335150</t>
  </si>
  <si>
    <t>100332234</t>
  </si>
  <si>
    <t>100332235</t>
  </si>
  <si>
    <t>-  из газа Прочих поставщиков</t>
  </si>
  <si>
    <t>100335150</t>
  </si>
  <si>
    <t>3.6.2.</t>
  </si>
  <si>
    <t>100332236</t>
  </si>
  <si>
    <t>ОДОРАНТ (продукция ГПЗ), ВСЕГО:</t>
  </si>
  <si>
    <t>3.7.</t>
  </si>
  <si>
    <t>100332237</t>
  </si>
  <si>
    <t>100332238/$1000</t>
  </si>
  <si>
    <t xml:space="preserve"> ООО "Газпром переработка", всего:</t>
  </si>
  <si>
    <t>100332238</t>
  </si>
  <si>
    <t>100332239</t>
  </si>
  <si>
    <t>ЭТАН (продукция ГЗ), ВСЕГО:</t>
  </si>
  <si>
    <t>3.8.</t>
  </si>
  <si>
    <t xml:space="preserve"> ЭТАН (продукция ГЗ), ВСЕГО:</t>
  </si>
  <si>
    <t>100332240</t>
  </si>
  <si>
    <t>100332241+100332244</t>
  </si>
  <si>
    <t>3.8.1.</t>
  </si>
  <si>
    <t>100332241</t>
  </si>
  <si>
    <t>100332242+100332243+100335151</t>
  </si>
  <si>
    <t>100332242</t>
  </si>
  <si>
    <t>100332243</t>
  </si>
  <si>
    <t>100335151</t>
  </si>
  <si>
    <t>3.8.2.</t>
  </si>
  <si>
    <t>100332244</t>
  </si>
  <si>
    <t>ГЕЛИЙ (продукция ГЗ), ВСЕГО:</t>
  </si>
  <si>
    <t>3.9.</t>
  </si>
  <si>
    <t>100332245</t>
  </si>
  <si>
    <t>100332248+100332250</t>
  </si>
  <si>
    <t>тыс куб.м</t>
  </si>
  <si>
    <t>100335421</t>
  </si>
  <si>
    <t>100335422+100332251</t>
  </si>
  <si>
    <t>100335431</t>
  </si>
  <si>
    <t>100332247</t>
  </si>
  <si>
    <t>в том числе:</t>
  </si>
  <si>
    <t>гелий газообразный</t>
  </si>
  <si>
    <t>100332248</t>
  </si>
  <si>
    <t>100335422</t>
  </si>
  <si>
    <t>100332249</t>
  </si>
  <si>
    <t>гелий жидкий</t>
  </si>
  <si>
    <t>100332250</t>
  </si>
  <si>
    <t>100332251</t>
  </si>
  <si>
    <t>СТАБИЛЬНЫЙ КОНДЕНСАТ (продукция ГПЗ), ВСЕГО:</t>
  </si>
  <si>
    <t>3.10.</t>
  </si>
  <si>
    <t>100332252</t>
  </si>
  <si>
    <t>100332254+100332259+100332258</t>
  </si>
  <si>
    <t>100332253</t>
  </si>
  <si>
    <t>100332254+100332258</t>
  </si>
  <si>
    <t>3.10.1.</t>
  </si>
  <si>
    <t>100332254</t>
  </si>
  <si>
    <t>100332255+100332256+100335153</t>
  </si>
  <si>
    <t>100332255</t>
  </si>
  <si>
    <t>100332266+100332269</t>
  </si>
  <si>
    <t>100332256</t>
  </si>
  <si>
    <t>100332267+100332271</t>
  </si>
  <si>
    <t xml:space="preserve">-  из сырья Прочих поставщиков </t>
  </si>
  <si>
    <t>100335153</t>
  </si>
  <si>
    <t>100335669+100332959</t>
  </si>
  <si>
    <t>3.10.3.</t>
  </si>
  <si>
    <t>100332258</t>
  </si>
  <si>
    <t>100332273</t>
  </si>
  <si>
    <t>3.10.4.</t>
  </si>
  <si>
    <t>100332259</t>
  </si>
  <si>
    <t>100332274</t>
  </si>
  <si>
    <t>СТАБИЛЬНЫЙ КОНДЕНСАТ (валовый), ВСЕГО:</t>
  </si>
  <si>
    <t>100332263</t>
  </si>
  <si>
    <t>100332264+100332274</t>
  </si>
  <si>
    <t>100332264</t>
  </si>
  <si>
    <t>100332265+100332268+100332273</t>
  </si>
  <si>
    <t>100332265</t>
  </si>
  <si>
    <t>100332266+100332267+100335669</t>
  </si>
  <si>
    <t>100332266</t>
  </si>
  <si>
    <t>100332267</t>
  </si>
  <si>
    <t>-  из сырья Прочих поставщиков</t>
  </si>
  <si>
    <t>100335669</t>
  </si>
  <si>
    <t>100332268</t>
  </si>
  <si>
    <t>100332269+100332271+100332959</t>
  </si>
  <si>
    <t>100332269</t>
  </si>
  <si>
    <t>в том числе на собственные нужды ООО "Газпром переработка"</t>
  </si>
  <si>
    <t>100332958</t>
  </si>
  <si>
    <t>в том числе на собственные нужды ООО "Газпром добыча Оренбург"</t>
  </si>
  <si>
    <t>100332270</t>
  </si>
  <si>
    <t>100332271</t>
  </si>
  <si>
    <t>100332959</t>
  </si>
  <si>
    <t xml:space="preserve">   - в т.ч. из жидких углеводородов Прочих поставщиков</t>
  </si>
  <si>
    <t xml:space="preserve"> - в т.ч. из жидких углеводородов Прочих поставщиков</t>
  </si>
  <si>
    <t>100332960</t>
  </si>
  <si>
    <t>100332962+100332963</t>
  </si>
  <si>
    <t>100332962</t>
  </si>
  <si>
    <t>100332963</t>
  </si>
  <si>
    <t>Материальный баланс переработки УВС ("П.1"-"П.2"-"П.3" = 0,0</t>
  </si>
  <si>
    <t>Материальный баланс переработки УВС ("П.1"-"П.2"-"П.3" = 0,000)</t>
  </si>
  <si>
    <t>100332278</t>
  </si>
  <si>
    <t>100332028+100332962-100332072-100332103</t>
  </si>
  <si>
    <t>100332279</t>
  </si>
  <si>
    <t>100332029+100332963-100332073-100332104</t>
  </si>
  <si>
    <t>100332280</t>
  </si>
  <si>
    <t>100332030-100332074-100332105</t>
  </si>
  <si>
    <t>100332281</t>
  </si>
  <si>
    <t>100332031-100332075-100332106</t>
  </si>
  <si>
    <t>Поставка газа:</t>
  </si>
  <si>
    <t>ООО "Газпром добыча Оренбург" (без ДРОД)</t>
  </si>
  <si>
    <t>Филипповская залежь и др. (ДРОД)</t>
  </si>
  <si>
    <t>ПАО "Газпром нефть"</t>
  </si>
  <si>
    <t>АО "УНГП"</t>
  </si>
  <si>
    <t>Поставка нестабильного газового конденсата:</t>
  </si>
  <si>
    <t>Поставка нефти:</t>
  </si>
  <si>
    <t>Филипповская залежь и др. (ДРОД) для ПАО</t>
  </si>
  <si>
    <t>ООО "Газпромнефть-Заполярье" (ДРОД) для ГПП</t>
  </si>
  <si>
    <t>Проверка с ООО "Газпром добыча Оренбург" "Переработка"</t>
  </si>
  <si>
    <t>(100332038-100334999)-(6_100332297-6_100335049)</t>
  </si>
  <si>
    <t>100334999-6_100335049</t>
  </si>
  <si>
    <t>100332040-6_100332298</t>
  </si>
  <si>
    <t>1003320420-6_100332299</t>
  </si>
  <si>
    <t>100332044-6_100332300</t>
  </si>
  <si>
    <t xml:space="preserve">ТОО "КазРосГаз" </t>
  </si>
  <si>
    <t>100332046-6_100332311</t>
  </si>
  <si>
    <t>(100332061-100335946)-(6_100332302-6_100335974)</t>
  </si>
  <si>
    <t>100335946-6_100335974</t>
  </si>
  <si>
    <t>100332062-6_100332307</t>
  </si>
  <si>
    <t>(100332066-100335947)-(6_100332304-6_100335975)</t>
  </si>
  <si>
    <t>100335947-6_100335975</t>
  </si>
  <si>
    <t>100332067-6_100332305</t>
  </si>
  <si>
    <t>100332068-6_100332308</t>
  </si>
  <si>
    <t>(100335697+100332947)-6_100332970</t>
  </si>
  <si>
    <t>100332069-6_100332310</t>
  </si>
  <si>
    <t>Газ природный без ДРОД</t>
  </si>
  <si>
    <t>100332037-100334998</t>
  </si>
  <si>
    <t>100332038-100334999</t>
  </si>
  <si>
    <t>Нестабильный газовый конденсат без ДРОД</t>
  </si>
  <si>
    <t>100332061-100335946</t>
  </si>
  <si>
    <t>Нефть без ДРОД</t>
  </si>
  <si>
    <t>100332066-100335947</t>
  </si>
  <si>
    <t>3. Сосногорский ГПЗ ООО "Газпром переработка"</t>
  </si>
  <si>
    <t>№ 
п/п</t>
  </si>
  <si>
    <t>ПЕРЕРАБОТКА УГЛЕВОДОРОДНОГО СЫРЬЯ, ВСЕГО:</t>
  </si>
  <si>
    <t>Переработка сырья , собственность ПАО "Газпром"</t>
  </si>
  <si>
    <t>100330007+100331986+100332283</t>
  </si>
  <si>
    <t>Переработка сырья, собственность ООО "Газпром ГНП холдинг"</t>
  </si>
  <si>
    <t>100330551</t>
  </si>
  <si>
    <t>100330007+100330551</t>
  </si>
  <si>
    <t>100330008+100330552</t>
  </si>
  <si>
    <t>Природный газ, собственность ПАО "Газпром"</t>
  </si>
  <si>
    <t>Попутный нефтяной газ, собственность ООО "Газпром ГНП холдинг"</t>
  </si>
  <si>
    <t>Газ стабилизации конденсата от УСК, собственность ПАО "Газпром"</t>
  </si>
  <si>
    <t>ПЕРЕРАБОТКА НЕФТЕГАЗОКОНДЕНСАТНОЙ СМЕСИ, ВСЕГО:</t>
  </si>
  <si>
    <t>100330017+100330196</t>
  </si>
  <si>
    <t>Конденсат газовый нестабильный, собственность ПАО "Газпром"</t>
  </si>
  <si>
    <t>Нефть, собственность ПАО "Газпром"</t>
  </si>
  <si>
    <t>100332284</t>
  </si>
  <si>
    <t>Присадки для КГС, собственность ПАО "Газпром"</t>
  </si>
  <si>
    <t>ПОТЕРИ, ВСЕГО:</t>
  </si>
  <si>
    <t>100330554+100330553</t>
  </si>
  <si>
    <t>Потери, собственность ПАО "Газпром"</t>
  </si>
  <si>
    <t>Потери, собственность ООО "Газпром ГНП холдинг"</t>
  </si>
  <si>
    <t>3.22</t>
  </si>
  <si>
    <t>3</t>
  </si>
  <si>
    <t>100330237+100330560</t>
  </si>
  <si>
    <t>3.23</t>
  </si>
  <si>
    <t>Производство продукции, собственность ПАО "Газпром"</t>
  </si>
  <si>
    <t>100330563+100332287+100330579+100330098+100335432/$1000</t>
  </si>
  <si>
    <t>3.24</t>
  </si>
  <si>
    <t>Производство продукции, собственность ООО "Газпром ГНП холдинг"</t>
  </si>
  <si>
    <t>100330573+100332288+100330582</t>
  </si>
  <si>
    <t>3.25</t>
  </si>
  <si>
    <t>ГАЗ СУХОЙ ОТБЕНЗИНЕННЫЙ, ВСЕГО:</t>
  </si>
  <si>
    <t>100330563+100330573</t>
  </si>
  <si>
    <t>3.26</t>
  </si>
  <si>
    <t>100330564+100330574</t>
  </si>
  <si>
    <t>3.27</t>
  </si>
  <si>
    <t>3.1.1</t>
  </si>
  <si>
    <t xml:space="preserve">Газ сухой отбензиненный, собственность ПАО "Газпром" , всего          </t>
  </si>
  <si>
    <t>100330565+100330567+100330569</t>
  </si>
  <si>
    <t>3.28</t>
  </si>
  <si>
    <t>100330566+100330568+100330570</t>
  </si>
  <si>
    <t>3.29</t>
  </si>
  <si>
    <t>3.1.1.1</t>
  </si>
  <si>
    <t>Газ сухой отбензиненный, собственность ООО "Газпром ГНП холдинг"</t>
  </si>
  <si>
    <t>3.30</t>
  </si>
  <si>
    <t>3.31</t>
  </si>
  <si>
    <t>3.1.1.2</t>
  </si>
  <si>
    <t>3.32</t>
  </si>
  <si>
    <t xml:space="preserve">Газ сухой отбензиненный на СТН завода, собственность ПАО "Газпром"           </t>
  </si>
  <si>
    <t>3.33</t>
  </si>
  <si>
    <t>3.1.1.3</t>
  </si>
  <si>
    <t>3.34</t>
  </si>
  <si>
    <t xml:space="preserve">Газ сухой отбензиненный на Сосногорскую ТЭЦ, собственность ПАО "Газпром"           </t>
  </si>
  <si>
    <t>3.35</t>
  </si>
  <si>
    <t>3.1.1.4</t>
  </si>
  <si>
    <t>3.36</t>
  </si>
  <si>
    <t xml:space="preserve">Газ сухой отбензиненный в МГ, собственность ПАО "Газпром" </t>
  </si>
  <si>
    <t>3.37</t>
  </si>
  <si>
    <t>3.1.2</t>
  </si>
  <si>
    <t>3.38</t>
  </si>
  <si>
    <t>СЖИЖЕННЫЕ УГЛЕВОДОРОДНЫЕ ГАЗЫ, ВСЕГО:</t>
  </si>
  <si>
    <t>100332287+100332288</t>
  </si>
  <si>
    <t>3.39</t>
  </si>
  <si>
    <t>СУГ, собственность ПАО "Газпром"</t>
  </si>
  <si>
    <t>3.40</t>
  </si>
  <si>
    <t>СУГ, собственность ООО "Газпром ГНП холдинг"</t>
  </si>
  <si>
    <t>3.41</t>
  </si>
  <si>
    <t>УГЛЕРОД ТЕХНИЧЕСКИЙ, ВСЕГО:</t>
  </si>
  <si>
    <t>(100330580+100330581)/$1000</t>
  </si>
  <si>
    <t>3.42</t>
  </si>
  <si>
    <t>3.3.1</t>
  </si>
  <si>
    <t>марка П 701, собственность ПАО "Газпром"</t>
  </si>
  <si>
    <t>3.43</t>
  </si>
  <si>
    <t>3.3.2</t>
  </si>
  <si>
    <t>марка Т 900, собственность ПАО "Газпром"</t>
  </si>
  <si>
    <t>3.44</t>
  </si>
  <si>
    <t>СТАБИЛЬНЫЙ КОНДЕНСАТ, ВСЕГО:</t>
  </si>
  <si>
    <t>100330098+100330582</t>
  </si>
  <si>
    <t>3.45</t>
  </si>
  <si>
    <t>3.4.1</t>
  </si>
  <si>
    <t xml:space="preserve">СК, собственность ПАО "Газпром"    </t>
  </si>
  <si>
    <t>3.46</t>
  </si>
  <si>
    <t>3.4.2</t>
  </si>
  <si>
    <t>СК, собственность ООО "Газпром ГНП холдинг"</t>
  </si>
  <si>
    <t>3.47</t>
  </si>
  <si>
    <t>МЕТАНОЛ, собственность ПАО "Газпром"</t>
  </si>
  <si>
    <t>3.48</t>
  </si>
  <si>
    <t>4</t>
  </si>
  <si>
    <t>3.49</t>
  </si>
  <si>
    <t>МБ, сырья и продукции собственность ПАО "Газпром"</t>
  </si>
  <si>
    <t>ОКРУГЛ(100330002-100330554-100330237;1)</t>
  </si>
  <si>
    <t>3.50</t>
  </si>
  <si>
    <t>МБ, сырья и продукции собственность ООО "Газпром ГНП холдинг"</t>
  </si>
  <si>
    <t>ОКРУГЛ(100330550-100330553-100330560;1)</t>
  </si>
  <si>
    <t>* - Обеспечение своевременного внесения  изменений в перечень номенклатуры сырья и продукции входит в компетенцию дочернего общества.</t>
  </si>
  <si>
    <t>Реализация товарной продукции для ПАО</t>
  </si>
  <si>
    <t>4. Комплекс УЗПКТ- СЗСК  ООО "Газпром переработка"</t>
  </si>
  <si>
    <t>100335853</t>
  </si>
  <si>
    <t>100331800+100331813</t>
  </si>
  <si>
    <t>100331800</t>
  </si>
  <si>
    <t>100335854+100333682</t>
  </si>
  <si>
    <t>100335854</t>
  </si>
  <si>
    <t>100331801+100331804+100335033+100331811+100331812</t>
  </si>
  <si>
    <t>100331801</t>
  </si>
  <si>
    <t>100331802+100331803</t>
  </si>
  <si>
    <t>100331802</t>
  </si>
  <si>
    <t>100331803</t>
  </si>
  <si>
    <t>100335352</t>
  </si>
  <si>
    <t>100331804</t>
  </si>
  <si>
    <t>100331805+100335855+100331806+100335856+100331807+100331808+100335857+100335859+100335860+100337100</t>
  </si>
  <si>
    <t>100331805</t>
  </si>
  <si>
    <t>100335334</t>
  </si>
  <si>
    <t>100337100</t>
  </si>
  <si>
    <t>100335855</t>
  </si>
  <si>
    <t>100331806</t>
  </si>
  <si>
    <t>100335353</t>
  </si>
  <si>
    <t>100335856</t>
  </si>
  <si>
    <t>100331807</t>
  </si>
  <si>
    <t>100331808</t>
  </si>
  <si>
    <t>100335857</t>
  </si>
  <si>
    <t>100335858</t>
  </si>
  <si>
    <t>100335470</t>
  </si>
  <si>
    <t>100335859</t>
  </si>
  <si>
    <t>100335860</t>
  </si>
  <si>
    <t>4.14</t>
  </si>
  <si>
    <t>100335033</t>
  </si>
  <si>
    <t>SUM(100331809:100331810)</t>
  </si>
  <si>
    <t>4.15</t>
  </si>
  <si>
    <t>100331809</t>
  </si>
  <si>
    <t>4.16</t>
  </si>
  <si>
    <t>100331810</t>
  </si>
  <si>
    <t>4.21</t>
  </si>
  <si>
    <t>100331811</t>
  </si>
  <si>
    <t>100335861</t>
  </si>
  <si>
    <t>4.22</t>
  </si>
  <si>
    <t>100331812</t>
  </si>
  <si>
    <t>100335862</t>
  </si>
  <si>
    <t>100335863</t>
  </si>
  <si>
    <t>4.20</t>
  </si>
  <si>
    <t>100333682</t>
  </si>
  <si>
    <t>4.23</t>
  </si>
  <si>
    <t>100331813</t>
  </si>
  <si>
    <t>100335864+100333678+100335034</t>
  </si>
  <si>
    <t>100335864</t>
  </si>
  <si>
    <t>100335865</t>
  </si>
  <si>
    <t>100331814</t>
  </si>
  <si>
    <t>4.24</t>
  </si>
  <si>
    <t>100331815+100331963</t>
  </si>
  <si>
    <t>4.25</t>
  </si>
  <si>
    <t>100331815</t>
  </si>
  <si>
    <t>4.26</t>
  </si>
  <si>
    <t>100331963</t>
  </si>
  <si>
    <t>4.27</t>
  </si>
  <si>
    <t>100333678</t>
  </si>
  <si>
    <t>4.28</t>
  </si>
  <si>
    <t>100335034</t>
  </si>
  <si>
    <t>4.17</t>
  </si>
  <si>
    <t>4.18</t>
  </si>
  <si>
    <t>Ачимовские отл. всего (без ДРОД)</t>
  </si>
  <si>
    <t>100335354</t>
  </si>
  <si>
    <t>100331807+100331808+100331809+100331810</t>
  </si>
  <si>
    <t>4.19</t>
  </si>
  <si>
    <t>в т.ч.  на мощности мобильных уст." на процессинг</t>
  </si>
  <si>
    <t>100335355</t>
  </si>
  <si>
    <t>4.49</t>
  </si>
  <si>
    <t>ПЕРЕРАБОТКА УГЛЕВОДОРОДНОГО СЫРЬЯ 
ПАО "ГАЗПРОМ":</t>
  </si>
  <si>
    <t>100331826</t>
  </si>
  <si>
    <t>100331827+100331837+100335292-100335295</t>
  </si>
  <si>
    <t>4.56</t>
  </si>
  <si>
    <t>ПЕРЕРАБОТКА НЕСТАБИЛЬНОГО ГАЗОВОГО КОНДЕНСАТА, ПАО "ГАЗПРОМ" ВСЕГО:</t>
  </si>
  <si>
    <t>100331827</t>
  </si>
  <si>
    <t>100331828+100331831+100331835+100331836+100335040</t>
  </si>
  <si>
    <t>4.57</t>
  </si>
  <si>
    <t>100331828</t>
  </si>
  <si>
    <t>100331829+100331830</t>
  </si>
  <si>
    <t>4.58</t>
  </si>
  <si>
    <t>100331829</t>
  </si>
  <si>
    <t>4.59</t>
  </si>
  <si>
    <t>100331830</t>
  </si>
  <si>
    <t>4.60</t>
  </si>
  <si>
    <t>100331831</t>
  </si>
  <si>
    <t>100331832+100331833+100331834+100335866+100335867+100335868+100335869+100335870+100335871+100337101</t>
  </si>
  <si>
    <t>4.61</t>
  </si>
  <si>
    <t>100331832</t>
  </si>
  <si>
    <t>100337101</t>
  </si>
  <si>
    <t>100335866</t>
  </si>
  <si>
    <t>4.63</t>
  </si>
  <si>
    <t>100331833</t>
  </si>
  <si>
    <t>100335867</t>
  </si>
  <si>
    <t>4.64</t>
  </si>
  <si>
    <t>100331834</t>
  </si>
  <si>
    <t>100335868</t>
  </si>
  <si>
    <t>100335869</t>
  </si>
  <si>
    <t>100335870</t>
  </si>
  <si>
    <t>100335871</t>
  </si>
  <si>
    <t>4.66</t>
  </si>
  <si>
    <t>100335040</t>
  </si>
  <si>
    <t>100335041+100335872</t>
  </si>
  <si>
    <t>4.67</t>
  </si>
  <si>
    <t>100335041</t>
  </si>
  <si>
    <t>100335872</t>
  </si>
  <si>
    <t>4.68</t>
  </si>
  <si>
    <t>100331835</t>
  </si>
  <si>
    <t>100335873</t>
  </si>
  <si>
    <t>4.69</t>
  </si>
  <si>
    <t>100331836</t>
  </si>
  <si>
    <t>100335874</t>
  </si>
  <si>
    <t>4.73</t>
  </si>
  <si>
    <t>100331837</t>
  </si>
  <si>
    <t>4.89</t>
  </si>
  <si>
    <t>100331847</t>
  </si>
  <si>
    <t>100331848+100331849</t>
  </si>
  <si>
    <t>4.90</t>
  </si>
  <si>
    <t>100331848</t>
  </si>
  <si>
    <t>4.91</t>
  </si>
  <si>
    <t>100331849</t>
  </si>
  <si>
    <t>4.92</t>
  </si>
  <si>
    <t>100335042</t>
  </si>
  <si>
    <t>4.93</t>
  </si>
  <si>
    <t>4.94</t>
  </si>
  <si>
    <t>100331851+100331852+100335361+100335362</t>
  </si>
  <si>
    <t>4.95</t>
  </si>
  <si>
    <t>100331851</t>
  </si>
  <si>
    <t>4.96</t>
  </si>
  <si>
    <t>100331852</t>
  </si>
  <si>
    <t>4.97</t>
  </si>
  <si>
    <t>100335361</t>
  </si>
  <si>
    <t>4.98</t>
  </si>
  <si>
    <t>100335362</t>
  </si>
  <si>
    <t>4.99</t>
  </si>
  <si>
    <t>4.100</t>
  </si>
  <si>
    <t>100331854</t>
  </si>
  <si>
    <t>100331856+100331858+100331870+100331888+100331900+100331909+100331912+100331916+100331921+100331924+100335444/$1000+100331945+100331947+100335044</t>
  </si>
  <si>
    <t>4.101</t>
  </si>
  <si>
    <t>100331855</t>
  </si>
  <si>
    <t>100331876+100331889+100331901+100331904+100331905+100331910+100331913+100331917+100331922+100331925+100335445/$1000</t>
  </si>
  <si>
    <t>4.102</t>
  </si>
  <si>
    <t>100335363</t>
  </si>
  <si>
    <t>100335365+100335359</t>
  </si>
  <si>
    <t>4.103</t>
  </si>
  <si>
    <t>100335364</t>
  </si>
  <si>
    <t>100335367+100335360</t>
  </si>
  <si>
    <t>5.1</t>
  </si>
  <si>
    <t>100335875</t>
  </si>
  <si>
    <t>100331856+100331858+100335367</t>
  </si>
  <si>
    <t>100335876</t>
  </si>
  <si>
    <t>100331857+100331859+100335368</t>
  </si>
  <si>
    <t>4.104</t>
  </si>
  <si>
    <t>100331856</t>
  </si>
  <si>
    <t>4.105</t>
  </si>
  <si>
    <t>100331857</t>
  </si>
  <si>
    <t>4.106</t>
  </si>
  <si>
    <t>100331858</t>
  </si>
  <si>
    <t>4.107</t>
  </si>
  <si>
    <t>100331859</t>
  </si>
  <si>
    <t>4.117</t>
  </si>
  <si>
    <t>100335367</t>
  </si>
  <si>
    <t>4.118</t>
  </si>
  <si>
    <t>100335368</t>
  </si>
  <si>
    <t>4.108</t>
  </si>
  <si>
    <t>Газ деэтанизации валовый, всего:</t>
  </si>
  <si>
    <t>100335877</t>
  </si>
  <si>
    <t>100331860+100335879</t>
  </si>
  <si>
    <t>100335878</t>
  </si>
  <si>
    <t>100331861+100335880</t>
  </si>
  <si>
    <t>4.109</t>
  </si>
  <si>
    <t>100331860</t>
  </si>
  <si>
    <t>4.110</t>
  </si>
  <si>
    <t>100331861</t>
  </si>
  <si>
    <t>100335879</t>
  </si>
  <si>
    <t>100335880</t>
  </si>
  <si>
    <t>4.113</t>
  </si>
  <si>
    <t>100331864</t>
  </si>
  <si>
    <t>100335881</t>
  </si>
  <si>
    <t>4.114</t>
  </si>
  <si>
    <t>100331865</t>
  </si>
  <si>
    <t>100335882</t>
  </si>
  <si>
    <t>5.2</t>
  </si>
  <si>
    <t>100335883</t>
  </si>
  <si>
    <t>100331870+100335365</t>
  </si>
  <si>
    <t>100335884</t>
  </si>
  <si>
    <t>100331871+100335366</t>
  </si>
  <si>
    <t>4.119</t>
  </si>
  <si>
    <t>УЗПКТ (УПГД)</t>
  </si>
  <si>
    <t>100331870</t>
  </si>
  <si>
    <t>4.120</t>
  </si>
  <si>
    <t>100331871</t>
  </si>
  <si>
    <t>4.115</t>
  </si>
  <si>
    <t>100335365</t>
  </si>
  <si>
    <t>4.116</t>
  </si>
  <si>
    <t>100335366</t>
  </si>
  <si>
    <t>4.123</t>
  </si>
  <si>
    <t>5.3</t>
  </si>
  <si>
    <t>100331876</t>
  </si>
  <si>
    <t>100331878</t>
  </si>
  <si>
    <t>4.124</t>
  </si>
  <si>
    <t>100331877</t>
  </si>
  <si>
    <t>100331879</t>
  </si>
  <si>
    <t>4.125</t>
  </si>
  <si>
    <t>4.126</t>
  </si>
  <si>
    <t>4.129</t>
  </si>
  <si>
    <t>4.130</t>
  </si>
  <si>
    <t>100331882</t>
  </si>
  <si>
    <t>4.131</t>
  </si>
  <si>
    <t>100331883</t>
  </si>
  <si>
    <t>4.132</t>
  </si>
  <si>
    <t>100331884</t>
  </si>
  <si>
    <t>4.133</t>
  </si>
  <si>
    <t>100331885</t>
  </si>
  <si>
    <t>4.134</t>
  </si>
  <si>
    <t>5.4</t>
  </si>
  <si>
    <t>100331886</t>
  </si>
  <si>
    <t>100331888+100331889</t>
  </si>
  <si>
    <t>4.135</t>
  </si>
  <si>
    <t>100331888</t>
  </si>
  <si>
    <t>4.136</t>
  </si>
  <si>
    <t>100331889</t>
  </si>
  <si>
    <t>4.137</t>
  </si>
  <si>
    <t>4.138</t>
  </si>
  <si>
    <t>100331892</t>
  </si>
  <si>
    <t>100331893+100331894</t>
  </si>
  <si>
    <t>4.139</t>
  </si>
  <si>
    <t>100331893</t>
  </si>
  <si>
    <t>4.140</t>
  </si>
  <si>
    <t>100331894</t>
  </si>
  <si>
    <t>4.141</t>
  </si>
  <si>
    <t>100331895</t>
  </si>
  <si>
    <t>100331896+100331897</t>
  </si>
  <si>
    <t>4.142</t>
  </si>
  <si>
    <t xml:space="preserve"> УЗПКТ</t>
  </si>
  <si>
    <t>100331896</t>
  </si>
  <si>
    <t>100335885</t>
  </si>
  <si>
    <t>4.143</t>
  </si>
  <si>
    <t>100331897</t>
  </si>
  <si>
    <t>100335886</t>
  </si>
  <si>
    <t>4.144</t>
  </si>
  <si>
    <t>5.5</t>
  </si>
  <si>
    <t>100331898</t>
  </si>
  <si>
    <t>100331900+100331901</t>
  </si>
  <si>
    <t>4.146</t>
  </si>
  <si>
    <t>в т.ч.  УЗПКТ</t>
  </si>
  <si>
    <t>100331900</t>
  </si>
  <si>
    <t>100332910+100335420</t>
  </si>
  <si>
    <t>4.147</t>
  </si>
  <si>
    <t>100332910</t>
  </si>
  <si>
    <t>4.148</t>
  </si>
  <si>
    <t>100335420</t>
  </si>
  <si>
    <t>4.149</t>
  </si>
  <si>
    <t>в т.ч. СЗСК</t>
  </si>
  <si>
    <t>100331901</t>
  </si>
  <si>
    <t>SUM(100332911:100332913)</t>
  </si>
  <si>
    <t>4.150</t>
  </si>
  <si>
    <t>100332911</t>
  </si>
  <si>
    <t>4.151</t>
  </si>
  <si>
    <t>100332912</t>
  </si>
  <si>
    <t>4.152</t>
  </si>
  <si>
    <t>100332913</t>
  </si>
  <si>
    <t>4.153</t>
  </si>
  <si>
    <t>5.6</t>
  </si>
  <si>
    <t>УГЛЕВОДОРОДНАЯ ФРАКЦИЯ СЗСК</t>
  </si>
  <si>
    <t>100331904</t>
  </si>
  <si>
    <t>4.154</t>
  </si>
  <si>
    <t>5.7</t>
  </si>
  <si>
    <t>АВТОМОБИЛЬНЫЕ БЕНЗИНЫ СЗСК, ВСЕГО:</t>
  </si>
  <si>
    <t>100331905</t>
  </si>
  <si>
    <t>100331906+100331907</t>
  </si>
  <si>
    <t>4.155</t>
  </si>
  <si>
    <t>100331906</t>
  </si>
  <si>
    <t>4.156</t>
  </si>
  <si>
    <t>100331907</t>
  </si>
  <si>
    <t>4.157</t>
  </si>
  <si>
    <t>5.8</t>
  </si>
  <si>
    <t>100331908</t>
  </si>
  <si>
    <t>100331909+100331910</t>
  </si>
  <si>
    <t>4.158</t>
  </si>
  <si>
    <t>100331909</t>
  </si>
  <si>
    <t>4.159</t>
  </si>
  <si>
    <t>100331910</t>
  </si>
  <si>
    <t>4.160</t>
  </si>
  <si>
    <t>5.9</t>
  </si>
  <si>
    <t>100331911</t>
  </si>
  <si>
    <t>100331912+100331913</t>
  </si>
  <si>
    <t>4.161</t>
  </si>
  <si>
    <t>100331912</t>
  </si>
  <si>
    <t>4.162</t>
  </si>
  <si>
    <t>100331913</t>
  </si>
  <si>
    <t>4.163</t>
  </si>
  <si>
    <t>5.10</t>
  </si>
  <si>
    <t>100331914</t>
  </si>
  <si>
    <t>100331916+100331917</t>
  </si>
  <si>
    <t>4.165</t>
  </si>
  <si>
    <t>100331916</t>
  </si>
  <si>
    <t>4.166</t>
  </si>
  <si>
    <t xml:space="preserve">   в т.ч. с УПГД</t>
  </si>
  <si>
    <t>100335043</t>
  </si>
  <si>
    <t>4.167</t>
  </si>
  <si>
    <t>100331917</t>
  </si>
  <si>
    <t>4.168</t>
  </si>
  <si>
    <t>5.11</t>
  </si>
  <si>
    <t>100331920</t>
  </si>
  <si>
    <t>100331921+100331922</t>
  </si>
  <si>
    <t>4.169</t>
  </si>
  <si>
    <t>100331921</t>
  </si>
  <si>
    <t>4.170</t>
  </si>
  <si>
    <t>100331922</t>
  </si>
  <si>
    <t>4.171</t>
  </si>
  <si>
    <t>5.12</t>
  </si>
  <si>
    <t xml:space="preserve">  СТАБИЛЬНЫЙ КОНДЕНСАТ ТОВАРНЫЙ (НЕФТЬ), ВСЕГО: </t>
  </si>
  <si>
    <t>100331923</t>
  </si>
  <si>
    <t>100331924+100331925</t>
  </si>
  <si>
    <t>4.172</t>
  </si>
  <si>
    <t>100331924</t>
  </si>
  <si>
    <t>100335091+100335092</t>
  </si>
  <si>
    <t>4.173</t>
  </si>
  <si>
    <t>в т.ч. с УСК-2</t>
  </si>
  <si>
    <t>100335091</t>
  </si>
  <si>
    <t>4.174</t>
  </si>
  <si>
    <t>в т.ч нефть на НПС</t>
  </si>
  <si>
    <t>100335092</t>
  </si>
  <si>
    <t>4.175</t>
  </si>
  <si>
    <t>100331925</t>
  </si>
  <si>
    <t>4.176</t>
  </si>
  <si>
    <t>4.177</t>
  </si>
  <si>
    <t>Стабильный конденсат валовый, всего:</t>
  </si>
  <si>
    <t>100331926</t>
  </si>
  <si>
    <t>100335099+100331929</t>
  </si>
  <si>
    <t>4.178</t>
  </si>
  <si>
    <t>100335099</t>
  </si>
  <si>
    <t>100331927+100331928+100335100</t>
  </si>
  <si>
    <t>4.179</t>
  </si>
  <si>
    <t>в т.ч.  УЗПКТ (с УДК/УСК)</t>
  </si>
  <si>
    <t>100331927</t>
  </si>
  <si>
    <t>4.180</t>
  </si>
  <si>
    <t>в т.ч.  УЗПКТ (с УСК-2)</t>
  </si>
  <si>
    <t>100331928</t>
  </si>
  <si>
    <t>4.181</t>
  </si>
  <si>
    <t>100335100</t>
  </si>
  <si>
    <t>4.182</t>
  </si>
  <si>
    <t>100331929</t>
  </si>
  <si>
    <t>4.183</t>
  </si>
  <si>
    <t>100331930</t>
  </si>
  <si>
    <t>100331931+100331932</t>
  </si>
  <si>
    <t>4.184</t>
  </si>
  <si>
    <t>100331931</t>
  </si>
  <si>
    <t>4.185</t>
  </si>
  <si>
    <t>100331932</t>
  </si>
  <si>
    <t>4.186</t>
  </si>
  <si>
    <t>Стабильный конденсат на переработку, всего:</t>
  </si>
  <si>
    <t>100331933</t>
  </si>
  <si>
    <t>100331934+100331935</t>
  </si>
  <si>
    <t>4.187</t>
  </si>
  <si>
    <t>100331934</t>
  </si>
  <si>
    <t xml:space="preserve">   в т.ч. по договору переработки</t>
  </si>
  <si>
    <t>100335887</t>
  </si>
  <si>
    <t>4.188</t>
  </si>
  <si>
    <t>100331935</t>
  </si>
  <si>
    <t>100335888</t>
  </si>
  <si>
    <t>100335921</t>
  </si>
  <si>
    <t>100335922</t>
  </si>
  <si>
    <t>4.189</t>
  </si>
  <si>
    <t>5.13</t>
  </si>
  <si>
    <t>100335442</t>
  </si>
  <si>
    <t>100335444+100335445</t>
  </si>
  <si>
    <t>4.191</t>
  </si>
  <si>
    <t>в т.ч. УЗПКТ (с УПГД)</t>
  </si>
  <si>
    <t>100335444</t>
  </si>
  <si>
    <t>4.192</t>
  </si>
  <si>
    <t>в т.ч. СЗСК (с УРМ)</t>
  </si>
  <si>
    <t>100335445</t>
  </si>
  <si>
    <t>4.193</t>
  </si>
  <si>
    <t>5.14</t>
  </si>
  <si>
    <t>100331942</t>
  </si>
  <si>
    <t>4.194</t>
  </si>
  <si>
    <t>5.15</t>
  </si>
  <si>
    <t>ВОДОМЕТАНОЛЬНАЯ СМЕСЬ СЗСК</t>
  </si>
  <si>
    <t>100331943</t>
  </si>
  <si>
    <t>100335889</t>
  </si>
  <si>
    <t>4.195</t>
  </si>
  <si>
    <t>4.76</t>
  </si>
  <si>
    <t>100331839</t>
  </si>
  <si>
    <t>100335890+100335093</t>
  </si>
  <si>
    <t>6.1</t>
  </si>
  <si>
    <t>100335890</t>
  </si>
  <si>
    <t>100335891+100335357+100335358</t>
  </si>
  <si>
    <t>100335891</t>
  </si>
  <si>
    <t>100331840+100331841+100335293-100335296</t>
  </si>
  <si>
    <t>4.77</t>
  </si>
  <si>
    <t>100331840</t>
  </si>
  <si>
    <t>4.78</t>
  </si>
  <si>
    <t>100335508</t>
  </si>
  <si>
    <t>4.79</t>
  </si>
  <si>
    <t>100331841</t>
  </si>
  <si>
    <t>4.71</t>
  </si>
  <si>
    <t>100335357</t>
  </si>
  <si>
    <t>4.72</t>
  </si>
  <si>
    <t>100335358</t>
  </si>
  <si>
    <t>4.75</t>
  </si>
  <si>
    <t>6.2</t>
  </si>
  <si>
    <t>100335093</t>
  </si>
  <si>
    <t>7</t>
  </si>
  <si>
    <t>100335892</t>
  </si>
  <si>
    <t>100331944+100335359+100335360</t>
  </si>
  <si>
    <t>4.196</t>
  </si>
  <si>
    <t>100331944</t>
  </si>
  <si>
    <t>SUM(100331945:100331947)</t>
  </si>
  <si>
    <t>4.197</t>
  </si>
  <si>
    <t>ДК (с УДК/УСК)</t>
  </si>
  <si>
    <t>100331945</t>
  </si>
  <si>
    <t>4.198</t>
  </si>
  <si>
    <t>ДК(с УПГД), собственность Газпром</t>
  </si>
  <si>
    <t>100335044</t>
  </si>
  <si>
    <t>4.199</t>
  </si>
  <si>
    <t>ДК(с УСК-2)</t>
  </si>
  <si>
    <t>100331947</t>
  </si>
  <si>
    <t>4.83</t>
  </si>
  <si>
    <t>100335359</t>
  </si>
  <si>
    <t>4.84</t>
  </si>
  <si>
    <t>100335360</t>
  </si>
  <si>
    <t>4.81</t>
  </si>
  <si>
    <t>8</t>
  </si>
  <si>
    <t>100331842</t>
  </si>
  <si>
    <t>100335893+100331838+100335894+100335294-100335297</t>
  </si>
  <si>
    <t>Деэтанизированный конденсат</t>
  </si>
  <si>
    <t>100335893</t>
  </si>
  <si>
    <t>100335892-100331824+100331825</t>
  </si>
  <si>
    <t>4.74</t>
  </si>
  <si>
    <t>100331838</t>
  </si>
  <si>
    <t>100335894</t>
  </si>
  <si>
    <t>100331845+100335895</t>
  </si>
  <si>
    <t>4.85</t>
  </si>
  <si>
    <t>100331845</t>
  </si>
  <si>
    <t>100335895</t>
  </si>
  <si>
    <t>100335336+100335470</t>
  </si>
  <si>
    <t>4.87</t>
  </si>
  <si>
    <t>100335336</t>
  </si>
  <si>
    <t>4.88</t>
  </si>
  <si>
    <t>9</t>
  </si>
  <si>
    <t>Переработка сырья по договору стабилизации, всего:</t>
  </si>
  <si>
    <t>100335896</t>
  </si>
  <si>
    <t>100335897+100335898</t>
  </si>
  <si>
    <t>100335897</t>
  </si>
  <si>
    <t>100335898</t>
  </si>
  <si>
    <t>4.50</t>
  </si>
  <si>
    <t>10</t>
  </si>
  <si>
    <t>Справочно: Принято сырья со склада</t>
  </si>
  <si>
    <t>100335292</t>
  </si>
  <si>
    <t>100335293+100335294</t>
  </si>
  <si>
    <t>4.51</t>
  </si>
  <si>
    <t xml:space="preserve">         в т.ч.  УЗПКТ</t>
  </si>
  <si>
    <t>100335293</t>
  </si>
  <si>
    <t>4.52</t>
  </si>
  <si>
    <t xml:space="preserve">         в т.ч. СЗСК</t>
  </si>
  <si>
    <t>100335294</t>
  </si>
  <si>
    <t>4.53</t>
  </si>
  <si>
    <t>11</t>
  </si>
  <si>
    <t xml:space="preserve">   Передано сырья на склад</t>
  </si>
  <si>
    <t>100335295</t>
  </si>
  <si>
    <t>100335296+100335297</t>
  </si>
  <si>
    <t>4.54</t>
  </si>
  <si>
    <t>100335296</t>
  </si>
  <si>
    <t>4.55</t>
  </si>
  <si>
    <t>100335297</t>
  </si>
  <si>
    <t>12</t>
  </si>
  <si>
    <t>100335899</t>
  </si>
  <si>
    <t>4.45</t>
  </si>
  <si>
    <t>Заполнение конденсатопровода Ямбург - Уренгой</t>
  </si>
  <si>
    <t>100331822</t>
  </si>
  <si>
    <t>4.46</t>
  </si>
  <si>
    <t>Вытеснение конденсатопровода Ямбург  - Уренгой</t>
  </si>
  <si>
    <t>100331823</t>
  </si>
  <si>
    <t>4.47</t>
  </si>
  <si>
    <t>Заполнение трубопровода Уренгой-Сургут</t>
  </si>
  <si>
    <t>100331824</t>
  </si>
  <si>
    <t>4.48</t>
  </si>
  <si>
    <t>Вытеснение трубопровода Уренгой-Сургут</t>
  </si>
  <si>
    <t>100331825</t>
  </si>
  <si>
    <t>4.36</t>
  </si>
  <si>
    <t>100331818</t>
  </si>
  <si>
    <t>4.40</t>
  </si>
  <si>
    <t>100331819</t>
  </si>
  <si>
    <t>13</t>
  </si>
  <si>
    <t>100335900</t>
  </si>
  <si>
    <t>100335901+100335905</t>
  </si>
  <si>
    <t>100335901</t>
  </si>
  <si>
    <t>100335902+100335903</t>
  </si>
  <si>
    <t>100335902</t>
  </si>
  <si>
    <t>100335903</t>
  </si>
  <si>
    <t>100335777+100335684+100335035+100335904</t>
  </si>
  <si>
    <t>4.30</t>
  </si>
  <si>
    <t>100335777</t>
  </si>
  <si>
    <t>4.32</t>
  </si>
  <si>
    <t>100335684</t>
  </si>
  <si>
    <t>4.34</t>
  </si>
  <si>
    <t>100335035</t>
  </si>
  <si>
    <t>100335904</t>
  </si>
  <si>
    <t>100335905</t>
  </si>
  <si>
    <t>100335907+100335906</t>
  </si>
  <si>
    <t>100335906</t>
  </si>
  <si>
    <t>100335907</t>
  </si>
  <si>
    <t>100335908+100335909+100335910+100336119+100337109</t>
  </si>
  <si>
    <t>100335908</t>
  </si>
  <si>
    <t>100337109</t>
  </si>
  <si>
    <t>100336119</t>
  </si>
  <si>
    <t>100335909</t>
  </si>
  <si>
    <t>100335910</t>
  </si>
  <si>
    <t>4.200</t>
  </si>
  <si>
    <t>Материальный баланс переработки УВС ("П.3"+"П.4"-"П.5"-"П.6" = 0,000)</t>
  </si>
  <si>
    <t>4.201</t>
  </si>
  <si>
    <t>7.1</t>
  </si>
  <si>
    <t>МБ, сырья и продукции УЗПКТ</t>
  </si>
  <si>
    <t>100331949</t>
  </si>
  <si>
    <t>100335891+100335093-100331851+100331848-100331854</t>
  </si>
  <si>
    <t>4.202</t>
  </si>
  <si>
    <t>7.2</t>
  </si>
  <si>
    <t>МБ, сырья и продукции СЗСК</t>
  </si>
  <si>
    <t>100331950</t>
  </si>
  <si>
    <t>100331842+100331849-100331852-100331855</t>
  </si>
  <si>
    <t>4.203</t>
  </si>
  <si>
    <t>7.3</t>
  </si>
  <si>
    <t>МБ, сырья и продукции Новатэк</t>
  </si>
  <si>
    <t>100335371</t>
  </si>
  <si>
    <t>100335357-100335361-100335363</t>
  </si>
  <si>
    <t>4.204</t>
  </si>
  <si>
    <t>7.4</t>
  </si>
  <si>
    <t>МБ, сырья и продукции МУ</t>
  </si>
  <si>
    <t>100335372</t>
  </si>
  <si>
    <t>100335358-100335362-100335364</t>
  </si>
  <si>
    <t>ДРОД на УЗПКТ</t>
  </si>
  <si>
    <t>ДРОД на СЗСК</t>
  </si>
  <si>
    <t>Переработка сырья по договору стабилизации</t>
  </si>
  <si>
    <t>Реализация товарной продукции для ПАО УЗПКТ</t>
  </si>
  <si>
    <t>Реализация товарной продукции для ПАО СЗСК</t>
  </si>
  <si>
    <t>Прогнозные показатели по поставке, переработке сырья и производству продукции ООО "Газпром добыча Астрахань"</t>
  </si>
  <si>
    <t xml:space="preserve"> 5. ООО "Газпром добыча Астрахань"</t>
  </si>
  <si>
    <t>Поставка сырья на переработку 
(оказание услуг ООО "Газпром добыча Астрахань"), всего:</t>
  </si>
  <si>
    <t>100332291</t>
  </si>
  <si>
    <t>100330005+100330016</t>
  </si>
  <si>
    <t>Природный газ, 
собственность ООО "Газпром добыча Астрахань"</t>
  </si>
  <si>
    <t>100330005</t>
  </si>
  <si>
    <t>100330006</t>
  </si>
  <si>
    <t>Конденсат газовый нестабильный, 
собственность ООО "Газпром добыча Астрахань"</t>
  </si>
  <si>
    <t>100330016</t>
  </si>
  <si>
    <t xml:space="preserve">Справочно: </t>
  </si>
  <si>
    <t>Потери сырья при переработке (условные ), всего:</t>
  </si>
  <si>
    <t>100332290</t>
  </si>
  <si>
    <t>100330040+100330047</t>
  </si>
  <si>
    <t>Природный газ сырой, 
собственность ООО "Газпром добыча Астрахань"</t>
  </si>
  <si>
    <t>100330040</t>
  </si>
  <si>
    <t>100330047</t>
  </si>
  <si>
    <t>Производство продукции, всего:</t>
  </si>
  <si>
    <t>100330049</t>
  </si>
  <si>
    <t>100335795+100335797</t>
  </si>
  <si>
    <t>100335795</t>
  </si>
  <si>
    <t>100335796</t>
  </si>
  <si>
    <t>100335797</t>
  </si>
  <si>
    <t>5.26</t>
  </si>
  <si>
    <t>100330143</t>
  </si>
  <si>
    <t>100332291-100332290-100330049</t>
  </si>
  <si>
    <t>V1</t>
  </si>
  <si>
    <t>100330005-1_100331978</t>
  </si>
  <si>
    <t>V2</t>
  </si>
  <si>
    <t>100330006-1_100331979</t>
  </si>
  <si>
    <t>V3</t>
  </si>
  <si>
    <t>100330016-1_100335798</t>
  </si>
  <si>
    <t>Прогнозные показатели по поставке ООО "Газпром добыча Оренбург"</t>
  </si>
  <si>
    <t xml:space="preserve"> 6. ООО "Газпром добыча Оренбург"</t>
  </si>
  <si>
    <t>Поставка газа природного отсепарированного на ГПЗ 
ООО "Газпром переработка" (смесевой газ), всего</t>
  </si>
  <si>
    <t xml:space="preserve"> 1.1</t>
  </si>
  <si>
    <t>Собственность ООО "Газпром добыча Оренбург":</t>
  </si>
  <si>
    <t>100332966</t>
  </si>
  <si>
    <t>СУММ(100332297:100335487)-100335049</t>
  </si>
  <si>
    <t>6.3</t>
  </si>
  <si>
    <t>из сырья ООО "Газпром добыча Оренбург"</t>
  </si>
  <si>
    <t>100332297</t>
  </si>
  <si>
    <t>6.4</t>
  </si>
  <si>
    <t>в т.ч. ДРОД (Филипповская залежь и др.)</t>
  </si>
  <si>
    <t>100335049</t>
  </si>
  <si>
    <t>6.5</t>
  </si>
  <si>
    <t>из сырья  ПАО "Газпром нефть"</t>
  </si>
  <si>
    <t>100332298</t>
  </si>
  <si>
    <t>6.6</t>
  </si>
  <si>
    <t>из сырья АО "УНГП"</t>
  </si>
  <si>
    <t>100332299</t>
  </si>
  <si>
    <t>6.7</t>
  </si>
  <si>
    <t>из сырья ООО "Сервиснефтегаз"</t>
  </si>
  <si>
    <t>100332300</t>
  </si>
  <si>
    <t>6.8</t>
  </si>
  <si>
    <t>из сырья ЗАО "КАРБОН"</t>
  </si>
  <si>
    <t>100332931</t>
  </si>
  <si>
    <t>из сырья ООО "Сладковско-Заречное"</t>
  </si>
  <si>
    <t>100335487</t>
  </si>
  <si>
    <t>6.9</t>
  </si>
  <si>
    <t xml:space="preserve"> 1.2</t>
  </si>
  <si>
    <t>Собственность ООО "Газпром переработка":</t>
  </si>
  <si>
    <t>100332967</t>
  </si>
  <si>
    <t>100332968</t>
  </si>
  <si>
    <t>6.10</t>
  </si>
  <si>
    <t xml:space="preserve"> из сырья ООО "Газпромнефть-Заполярье"</t>
  </si>
  <si>
    <t>6.11</t>
  </si>
  <si>
    <t>Поставка жидких углеводородов ООО "Газпром добыча Оренбург" для ПАО "Газпром", всего:</t>
  </si>
  <si>
    <t>100332301</t>
  </si>
  <si>
    <t>100332302+100332303</t>
  </si>
  <si>
    <t>6.12</t>
  </si>
  <si>
    <t>Нестабильный газовый конденсат ООО "Газпром добыча Оренбург"</t>
  </si>
  <si>
    <t>100332302</t>
  </si>
  <si>
    <t>в том числе из сырья в рамках ДРОД (оператор "Газпром нефть Заполярье")</t>
  </si>
  <si>
    <t>100335974</t>
  </si>
  <si>
    <t>6.13</t>
  </si>
  <si>
    <t>Нефть сырая нестабильная, всего:</t>
  </si>
  <si>
    <t>100332303</t>
  </si>
  <si>
    <t>100332304+100332305</t>
  </si>
  <si>
    <t>6.14</t>
  </si>
  <si>
    <t>нефть от добычи ООО "Газпром добыча Оренбург"</t>
  </si>
  <si>
    <t>100332304</t>
  </si>
  <si>
    <t>100335975</t>
  </si>
  <si>
    <t>6.15</t>
  </si>
  <si>
    <t>нефть от добычи ПАО "Газпром нефть"</t>
  </si>
  <si>
    <t>100332305</t>
  </si>
  <si>
    <t>6.16</t>
  </si>
  <si>
    <t>Поставка жидких углеводородов АО "УНГП" для ООО "Газпром переработка"</t>
  </si>
  <si>
    <t>100332306</t>
  </si>
  <si>
    <t>100332307+100332308</t>
  </si>
  <si>
    <t>6.17</t>
  </si>
  <si>
    <t>конденсат газовый нестабильный АО "УНГП"</t>
  </si>
  <si>
    <t>100332307</t>
  </si>
  <si>
    <t>6.18</t>
  </si>
  <si>
    <t>нефть сырая АО "УНГП"</t>
  </si>
  <si>
    <t>100332308</t>
  </si>
  <si>
    <t>6.19</t>
  </si>
  <si>
    <t>Поставка жидких углеводородов ООО "Газпромнефть-Заполярье" для 
ООО "Газпром переработка"</t>
  </si>
  <si>
    <t>100332969</t>
  </si>
  <si>
    <t>100332970</t>
  </si>
  <si>
    <t>6.20</t>
  </si>
  <si>
    <t>нефть сырая  ООО "Газпромнефть-Заполярье"</t>
  </si>
  <si>
    <t>6.21</t>
  </si>
  <si>
    <t>Поставка жидких углеводородов ООО "Сервиснефтегаз"</t>
  </si>
  <si>
    <t>100332309</t>
  </si>
  <si>
    <t>100332310</t>
  </si>
  <si>
    <t>6.22</t>
  </si>
  <si>
    <t>нефть сырая ООО "Сервиснефтегаз"</t>
  </si>
  <si>
    <t>6.23</t>
  </si>
  <si>
    <t>6.24</t>
  </si>
  <si>
    <t xml:space="preserve">Поставка природного газа от ТОО "КазРосГаз" </t>
  </si>
  <si>
    <t>100332311</t>
  </si>
  <si>
    <t>6.25</t>
  </si>
  <si>
    <t>Транспортировка углеводородного сырья от добычи ООО "Газпромнефть-Оренбург" (Царичанское НМ) (собственность ООО "Газпром нефтехим Салават")</t>
  </si>
  <si>
    <t>100332312</t>
  </si>
  <si>
    <t>Проверка с Оренбургским ГХК "Переработка"</t>
  </si>
  <si>
    <t>Проверка с ООО "ГПНСалават" "Переработка"</t>
  </si>
  <si>
    <t>Траснпортировка нефти Царичанское мс</t>
  </si>
  <si>
    <t>* - Обеспечение своевременного внесения изменений в перечень номенклатуры сырья и продукции входит в компетенцию дочернего общества.</t>
  </si>
  <si>
    <t>Прогнозные показатели по поставке, переработке сырья и производству продукции ООО "Газпром добыча Ямбург"</t>
  </si>
  <si>
    <t>7. ООО "Газпром добыча Ямбург"</t>
  </si>
  <si>
    <t>Добыча нестабильного газового конденсата на месторождениях
ООО "Газпром добыча Ямбург", всего:</t>
  </si>
  <si>
    <t>Поставка нестабильного газового конденсата в ПАО "НОВАТЭК"</t>
  </si>
  <si>
    <t>100333320</t>
  </si>
  <si>
    <t>7.5</t>
  </si>
  <si>
    <t>'Поставка нестабильного газового конденсата ООО "Газпром переработка" (по договору №Z16-602323 от 15.12.2023)</t>
  </si>
  <si>
    <t>'Заполярное НГКМ, собственность ООО "Газпром добыча Ямбург"</t>
  </si>
  <si>
    <t>'Поставка деметанизированного газового конденсата ООО "ГНП "Холдинг"</t>
  </si>
  <si>
    <t>7.6</t>
  </si>
  <si>
    <t>Поставка НГК на Уренгойский ЗПКТ, всего</t>
  </si>
  <si>
    <t>100330894+100330895</t>
  </si>
  <si>
    <t>7.7</t>
  </si>
  <si>
    <t>Заполярное НГКМ, собственность Газпром</t>
  </si>
  <si>
    <t>7.8</t>
  </si>
  <si>
    <t>Ямбургское НГКМ, собственность Газпром</t>
  </si>
  <si>
    <t>7.9</t>
  </si>
  <si>
    <t>Поставка нефти, всего:</t>
  </si>
  <si>
    <t>100330590+100330591+100330592+100330593</t>
  </si>
  <si>
    <t>7.10</t>
  </si>
  <si>
    <t>Заполярное НГКМ, собственность ПАО "Газпром"</t>
  </si>
  <si>
    <t>7.11</t>
  </si>
  <si>
    <t>Заполярное НГКМ, собственность ООО "Газпром добыча Ямбург"</t>
  </si>
  <si>
    <t>7.12</t>
  </si>
  <si>
    <t>Ямбургское НГКМ, собственность ПАО "Газпром"</t>
  </si>
  <si>
    <t>7.13</t>
  </si>
  <si>
    <t>Ямбургское НГКМ, собственность ООО "Газпром добыча Ямбург" в рамках ДРОД</t>
  </si>
  <si>
    <t>7.14</t>
  </si>
  <si>
    <t>Переработка нестабильного газового конденсата ( УПМТ -15 ЗНГКМ, УПМТ -1 ЯНГКМ), всего:</t>
  </si>
  <si>
    <t>100330595</t>
  </si>
  <si>
    <t>7.15</t>
  </si>
  <si>
    <t>Переработка НГК, собственность ООО "Газпром добыча Ямбург"</t>
  </si>
  <si>
    <t>7.18</t>
  </si>
  <si>
    <t>7.19</t>
  </si>
  <si>
    <t>Потери  нестабильного газового конденсата при переработке, всего:</t>
  </si>
  <si>
    <t>в т.ч. при первичной переработке</t>
  </si>
  <si>
    <t>7.24</t>
  </si>
  <si>
    <t>100330605+100330609+100330611+100330623+100330601</t>
  </si>
  <si>
    <t>7.27</t>
  </si>
  <si>
    <t>9.1</t>
  </si>
  <si>
    <t>Стабильный конденсат, в т.ч.</t>
  </si>
  <si>
    <t>7.31</t>
  </si>
  <si>
    <t xml:space="preserve">в т.ч. СК на собственные нужды </t>
  </si>
  <si>
    <t>7.32</t>
  </si>
  <si>
    <t>9.2</t>
  </si>
  <si>
    <t>Дизельное топливо, в т.ч.</t>
  </si>
  <si>
    <t>в т.ч.  на собственные нужды</t>
  </si>
  <si>
    <t>7.38</t>
  </si>
  <si>
    <t>9.3</t>
  </si>
  <si>
    <t>Фракция пропан-бутановая, в т.ч.</t>
  </si>
  <si>
    <t>7.40</t>
  </si>
  <si>
    <t>9.4</t>
  </si>
  <si>
    <t>Газы деэтанизации и стабилизации, всего:</t>
  </si>
  <si>
    <t>7.41</t>
  </si>
  <si>
    <t>7.47</t>
  </si>
  <si>
    <t>газы деэтанизации и стабилизации на собственные нужды, в т.ч:</t>
  </si>
  <si>
    <t>7.48</t>
  </si>
  <si>
    <t>7.53</t>
  </si>
  <si>
    <t>9.5</t>
  </si>
  <si>
    <t>Возврат в нестабильный конденсат, в т.ч.</t>
  </si>
  <si>
    <t>7.58</t>
  </si>
  <si>
    <t>7.59</t>
  </si>
  <si>
    <t>СК валовый, в т.ч.</t>
  </si>
  <si>
    <t>7.62</t>
  </si>
  <si>
    <t>СК первичная переработка, в т.ч.</t>
  </si>
  <si>
    <t>7.65</t>
  </si>
  <si>
    <t>Продукция принятая в производство со склада (ссылка в примечании на акт )</t>
  </si>
  <si>
    <t>7.68</t>
  </si>
  <si>
    <t xml:space="preserve">Материальный баланс переработки УВС </t>
  </si>
  <si>
    <t>100330595+100332942-100330049-100330598</t>
  </si>
  <si>
    <t>100330586-100333319-100335967-100335969-100330594-100330893+100330623</t>
  </si>
  <si>
    <t>на У15 из валового СК вырабатывается вся продукция, кроме стабильного конд, т.к. на него нет спроса.</t>
  </si>
  <si>
    <t>ДТ соответствует 3 классу, используется на СТН в автопарке УТТиСТ, небольшой обём реализуется подрядчикам</t>
  </si>
  <si>
    <t>Остаточный компонент на У15 тяжёлый остаток идёт на переработку и направляется на СурЗСК, на У1 остаток делится на 1)шфлу (после колонны стаб конденсата) и 2)остаточный компонент направляется на СурЗСК (после разгонной колонны)</t>
  </si>
  <si>
    <t>газы деэтанизации и стаб с У15 идёт в магистраль, с У1 весь используется на СТН (печи)</t>
  </si>
  <si>
    <t>стаб конд. на СТН ?</t>
  </si>
  <si>
    <t>Пропан -бутан из чего</t>
  </si>
  <si>
    <t>Прогнозные показатели по поставке ООО "Газпром добыча Уренгой"</t>
  </si>
  <si>
    <t>8. ООО "Газпром добыча Уренгой"</t>
  </si>
  <si>
    <t>Поставка нестабильного газового конденсата, всего:</t>
  </si>
  <si>
    <t>8.1</t>
  </si>
  <si>
    <t>Поставка нестабильного газового конденсата 
в адрес ООО "Газпром переработка"</t>
  </si>
  <si>
    <t>100333680</t>
  </si>
  <si>
    <t>Поставка НК и ШФЛУ в ПАО "Газпром"</t>
  </si>
  <si>
    <t>100335944</t>
  </si>
  <si>
    <t>100330943+100335945</t>
  </si>
  <si>
    <t>8.2</t>
  </si>
  <si>
    <t>Поставка нестабильного газового конденсата 
в адрес ПАО "Газпром"</t>
  </si>
  <si>
    <t>100330943</t>
  </si>
  <si>
    <t>100330637+100335598+100330638+100335599+100330639+100330640+100333692+100335471+100335602+100337099</t>
  </si>
  <si>
    <t>!</t>
  </si>
  <si>
    <t>8.3</t>
  </si>
  <si>
    <t>100330637</t>
  </si>
  <si>
    <t>С5+ от подготовки газа деэтанизации</t>
  </si>
  <si>
    <t>100337099</t>
  </si>
  <si>
    <t>Уренгойское НГКМ (Фаза 3)</t>
  </si>
  <si>
    <t>100335598</t>
  </si>
  <si>
    <t>8.4</t>
  </si>
  <si>
    <t>100330638</t>
  </si>
  <si>
    <t>Ен-Яхинское НГКМ БУ-12  (включая ШФЛУ)</t>
  </si>
  <si>
    <t>100335599</t>
  </si>
  <si>
    <t>8.5</t>
  </si>
  <si>
    <t>Уренгойское НГКМ ачим. 1 уч.</t>
  </si>
  <si>
    <t>100330639</t>
  </si>
  <si>
    <t>8.6</t>
  </si>
  <si>
    <t xml:space="preserve">в т.ч на УСК НПТР  </t>
  </si>
  <si>
    <t>100335373</t>
  </si>
  <si>
    <t>8.7</t>
  </si>
  <si>
    <t>Уренгойское НГКМ ачим. 2 уч.</t>
  </si>
  <si>
    <t>100330640</t>
  </si>
  <si>
    <t>8.8</t>
  </si>
  <si>
    <t xml:space="preserve">Уренгойское НГКМ ачим. 3 уч. </t>
  </si>
  <si>
    <t>100333692</t>
  </si>
  <si>
    <t>100335601</t>
  </si>
  <si>
    <t>НК (на УЗПКТ-СЗСК)</t>
  </si>
  <si>
    <t>Песцовое НГКМ  (валанжин) (включая ШФЛУ)</t>
  </si>
  <si>
    <t>100335471</t>
  </si>
  <si>
    <t>Песцовое НГКМ ачим  (включая ШФЛУ)</t>
  </si>
  <si>
    <t>100335602</t>
  </si>
  <si>
    <t>Поставка продуктов перерарботки для ПАО "Газпром"</t>
  </si>
  <si>
    <t>100335945</t>
  </si>
  <si>
    <t>100335600</t>
  </si>
  <si>
    <t>в т.ч  ШФЛУ (с УСК ГПНЗ на УЗПКТ-СЗСК)</t>
  </si>
  <si>
    <t>8.13</t>
  </si>
  <si>
    <t>Поставка нестабильного газового конденсата 
в адрес ООО "Ачим Девелопмент" - ООО "Ачим сбыт"</t>
  </si>
  <si>
    <t>100335052</t>
  </si>
  <si>
    <t>100330641+100330642</t>
  </si>
  <si>
    <t>8.14</t>
  </si>
  <si>
    <t>Уренгойское НГКМ ачим. 4 уч.</t>
  </si>
  <si>
    <t>100330641</t>
  </si>
  <si>
    <t>8.15</t>
  </si>
  <si>
    <t>Уренгойское НГКМ ачим. 5 уч.</t>
  </si>
  <si>
    <t>100330642</t>
  </si>
  <si>
    <t>8.16</t>
  </si>
  <si>
    <t>Поставка нестабильного газового конденсата 
в адрес ПАО "НОВАТЭК"</t>
  </si>
  <si>
    <t>100333321</t>
  </si>
  <si>
    <t>100333322</t>
  </si>
  <si>
    <t>8.17</t>
  </si>
  <si>
    <t>Поставка газового конденсата 
в адрес ООО "Газпромнефть-Заполярье"  (минуя альт-схему)</t>
  </si>
  <si>
    <t>100335911</t>
  </si>
  <si>
    <t>100335912+100335914+100335915+100335913</t>
  </si>
  <si>
    <t>Уренгойское НГКМ ачим. 3 уч.</t>
  </si>
  <si>
    <t>100335912</t>
  </si>
  <si>
    <t>Ен-Яхинское НГКМ  БУ-12</t>
  </si>
  <si>
    <t>100335913</t>
  </si>
  <si>
    <t>Песцовое НГКМ  (неоком)</t>
  </si>
  <si>
    <t>100335914</t>
  </si>
  <si>
    <t>100335915</t>
  </si>
  <si>
    <t>8.18</t>
  </si>
  <si>
    <t>8.19</t>
  </si>
  <si>
    <t>Добыча газа</t>
  </si>
  <si>
    <t>100330652</t>
  </si>
  <si>
    <t>8.20</t>
  </si>
  <si>
    <t xml:space="preserve"> 1 участок (услуги Ачимгаза)</t>
  </si>
  <si>
    <t>100330653</t>
  </si>
  <si>
    <t>Добыча НК (поставка)</t>
  </si>
  <si>
    <t>100335489</t>
  </si>
  <si>
    <t>Песцовое НГКМ (валанжин)</t>
  </si>
  <si>
    <t>100335490</t>
  </si>
  <si>
    <t xml:space="preserve">   в т.ч. из ПНГ</t>
  </si>
  <si>
    <t>100335775</t>
  </si>
  <si>
    <t>Песцовое НГКМ ачим</t>
  </si>
  <si>
    <t>100335603</t>
  </si>
  <si>
    <t>100335604</t>
  </si>
  <si>
    <t>100335776</t>
  </si>
  <si>
    <t>100335605</t>
  </si>
  <si>
    <t>8.21</t>
  </si>
  <si>
    <t>100330589</t>
  </si>
  <si>
    <t>100330648+100330644</t>
  </si>
  <si>
    <t>8.22</t>
  </si>
  <si>
    <t>Поставка нефти, собственность ПАО "Газпром"</t>
  </si>
  <si>
    <t>100330648</t>
  </si>
  <si>
    <t>100330649+100335491</t>
  </si>
  <si>
    <t>8.23</t>
  </si>
  <si>
    <t>100330649</t>
  </si>
  <si>
    <t xml:space="preserve">Песцовое НГКМ </t>
  </si>
  <si>
    <t>100335491</t>
  </si>
  <si>
    <t>8.24</t>
  </si>
  <si>
    <t>Поставка нефти потребителям, всего:</t>
  </si>
  <si>
    <t>100330644</t>
  </si>
  <si>
    <t>100333681+100335156+100335916+100335917</t>
  </si>
  <si>
    <t>8.31</t>
  </si>
  <si>
    <t>Уренгойское НГКМ,  в адрес ООО "Газпром переработка"</t>
  </si>
  <si>
    <t>100333681</t>
  </si>
  <si>
    <t>8.26</t>
  </si>
  <si>
    <t>Уренгойское НГКМ, собственность ООО "Газпром добыча Уренгой"</t>
  </si>
  <si>
    <t>100335156</t>
  </si>
  <si>
    <t>ГД Уренгой в рамках ДРОД в адрес трейдера</t>
  </si>
  <si>
    <t>100335916</t>
  </si>
  <si>
    <t>100335670+100330646+100330647+100335051+100335516+100330643+100333691+100336114+100337111</t>
  </si>
  <si>
    <t>Уренгойское НГКМ, Фаза 2 (Нефть)</t>
  </si>
  <si>
    <t>100335670</t>
  </si>
  <si>
    <t>8.10</t>
  </si>
  <si>
    <t>Уренгойское НГКМ ачим. 3 уч.  (СК)</t>
  </si>
  <si>
    <t>100335051</t>
  </si>
  <si>
    <t>Уренгойское НГКМ ачим. 5 уч.  (Нефть)</t>
  </si>
  <si>
    <t>100337111</t>
  </si>
  <si>
    <t>Уренгойское НГКМ ачим. 6 уч.  (Нефть)</t>
  </si>
  <si>
    <t>100336114</t>
  </si>
  <si>
    <t>8.27</t>
  </si>
  <si>
    <t>Ен-Яхинское НГКМ БУ-12 (Нефть)</t>
  </si>
  <si>
    <t>100330646</t>
  </si>
  <si>
    <t>Ен-Яхинское НГКМ  БУ-12  (СК)</t>
  </si>
  <si>
    <t>100335516</t>
  </si>
  <si>
    <t>8.28</t>
  </si>
  <si>
    <t>Песцовое НГКМ (Нефть)</t>
  </si>
  <si>
    <t>100330647</t>
  </si>
  <si>
    <t>8.11</t>
  </si>
  <si>
    <t>Песцовое НГКМ (неоком)  (СК)</t>
  </si>
  <si>
    <t>100330643</t>
  </si>
  <si>
    <t>8.12</t>
  </si>
  <si>
    <t>Песцовое НГКМ (ачим) (СК)</t>
  </si>
  <si>
    <t>100333691</t>
  </si>
  <si>
    <t xml:space="preserve"> ГД Уренгой  в рамках ДРОД в адрес ГПНефть-Заполярье (автовывоз)</t>
  </si>
  <si>
    <t>100335917</t>
  </si>
  <si>
    <t>100335918+100335919+100335920+100337105</t>
  </si>
  <si>
    <t>Уренгойское НГКМ  'Фаза 2</t>
  </si>
  <si>
    <t>100335918</t>
  </si>
  <si>
    <t>100337105</t>
  </si>
  <si>
    <t>100335919</t>
  </si>
  <si>
    <t>100335920</t>
  </si>
  <si>
    <t xml:space="preserve">Выработка газа Выветривания в рамках ДРОД </t>
  </si>
  <si>
    <t>100335492</t>
  </si>
  <si>
    <t>100335494+100335496+100335517+100335606</t>
  </si>
  <si>
    <t>100335493</t>
  </si>
  <si>
    <t>100335495+100335497+100335518+100335607</t>
  </si>
  <si>
    <t>100335496</t>
  </si>
  <si>
    <t>100335497</t>
  </si>
  <si>
    <t>Ен-Яхинское НГКМ   БУ-12</t>
  </si>
  <si>
    <t>100335517</t>
  </si>
  <si>
    <t>100335518</t>
  </si>
  <si>
    <t xml:space="preserve"> Песцовое НГКМ (валанжин)</t>
  </si>
  <si>
    <t>100335494</t>
  </si>
  <si>
    <t>100335495</t>
  </si>
  <si>
    <t xml:space="preserve"> Песцовое НГКМ (ачим)</t>
  </si>
  <si>
    <t>100335606</t>
  </si>
  <si>
    <t>100335607</t>
  </si>
  <si>
    <t>8.36</t>
  </si>
  <si>
    <t>Покупка газа деэтанизации по договору поставки от ПАО "Газпром", всего</t>
  </si>
  <si>
    <t>100332321</t>
  </si>
  <si>
    <t>100337114</t>
  </si>
  <si>
    <t>8.37</t>
  </si>
  <si>
    <t>100332322</t>
  </si>
  <si>
    <t>100337115</t>
  </si>
  <si>
    <t>8.38</t>
  </si>
  <si>
    <t>Поставка  газа деэтанизации на переработку на УКПГ 2В, собственность ООО "Газпром добыча Уренгой"</t>
  </si>
  <si>
    <t>8.39</t>
  </si>
  <si>
    <t>Поставка газа горючего на компремирование  на УКПГ 2В, собственность ПАО "Газпром"</t>
  </si>
  <si>
    <t>100337140</t>
  </si>
  <si>
    <t>100337141</t>
  </si>
  <si>
    <t>100337116</t>
  </si>
  <si>
    <t>100337117</t>
  </si>
  <si>
    <t>Прогнозные показатели по поставке, переработке сырья и производству продукции ООО "Газпром добыча Краснодар"</t>
  </si>
  <si>
    <t>9. ООО "Газпром добыча Краснодар"</t>
  </si>
  <si>
    <t xml:space="preserve">Поставка сырья на переработку, всего </t>
  </si>
  <si>
    <t>Природный газ, всего:</t>
  </si>
  <si>
    <t>100330661</t>
  </si>
  <si>
    <t>100330662</t>
  </si>
  <si>
    <t>Природный газ с Вуктылского ГПУ (Северо-Западный ФО) (добыча)</t>
  </si>
  <si>
    <t>9.6</t>
  </si>
  <si>
    <t>9.7</t>
  </si>
  <si>
    <t>Газ для газлифтной эксплуатации</t>
  </si>
  <si>
    <t>9.8</t>
  </si>
  <si>
    <t>9.9</t>
  </si>
  <si>
    <t>Газ на собственные технологические нужды</t>
  </si>
  <si>
    <t>9.10</t>
  </si>
  <si>
    <t>9.11</t>
  </si>
  <si>
    <t>1.1.4.</t>
  </si>
  <si>
    <t>Поставка газа в МГ на период ремонтов</t>
  </si>
  <si>
    <t>9.12</t>
  </si>
  <si>
    <t>9.13</t>
  </si>
  <si>
    <t>1.1.5.</t>
  </si>
  <si>
    <t>Поставка газа на Сосногорский ГПЗ, собственность ПАО "Газпром"</t>
  </si>
  <si>
    <t>100330661+100330665-100330663-100330667</t>
  </si>
  <si>
    <t>9.14</t>
  </si>
  <si>
    <t>100330662+100330666-100330664-100330668</t>
  </si>
  <si>
    <t>9.15</t>
  </si>
  <si>
    <t>Нефтегазоконденсатная смесь, всего:</t>
  </si>
  <si>
    <t>100330670+100330673</t>
  </si>
  <si>
    <t>9.16</t>
  </si>
  <si>
    <t>НГКС с Вуктыльского ГПУ , собственность ООО "Газпром добыча Краснодар", всего:</t>
  </si>
  <si>
    <t>100330870+100330871</t>
  </si>
  <si>
    <t>9.17</t>
  </si>
  <si>
    <t xml:space="preserve">нестабильный конденсат (Северо-Западный ФО) </t>
  </si>
  <si>
    <t>9.18</t>
  </si>
  <si>
    <t>нефть (Северо-Западный ФО)</t>
  </si>
  <si>
    <t>9.19</t>
  </si>
  <si>
    <t>НГКС, собственность ООО "Газпром добыча Краснодар"</t>
  </si>
  <si>
    <t>100330671+100330672</t>
  </si>
  <si>
    <t>9.20</t>
  </si>
  <si>
    <t>нестабильный конденсат (Южный ФО и Сев-Кавказский ФО)</t>
  </si>
  <si>
    <t>9.21</t>
  </si>
  <si>
    <t>нефть (Южный ФО)</t>
  </si>
  <si>
    <t>9.22</t>
  </si>
  <si>
    <t>9.23</t>
  </si>
  <si>
    <t>Потери сырья, всего:</t>
  </si>
  <si>
    <t>100330675+100330676</t>
  </si>
  <si>
    <t>9.24</t>
  </si>
  <si>
    <t>Потери при поставке  НГКС с Вуктылского ГПУ, собственность Краснодар, всего:</t>
  </si>
  <si>
    <t>100330872+100330873</t>
  </si>
  <si>
    <t>9.25</t>
  </si>
  <si>
    <t xml:space="preserve"> - нестабильный конденсат </t>
  </si>
  <si>
    <t>9.26</t>
  </si>
  <si>
    <t xml:space="preserve"> - нефть </t>
  </si>
  <si>
    <t>9.27</t>
  </si>
  <si>
    <t>Потери при переработке НГКС, собственность ООО "Газпром добыча Краснодар"</t>
  </si>
  <si>
    <t>9.28</t>
  </si>
  <si>
    <t xml:space="preserve">Производство продукции, всего </t>
  </si>
  <si>
    <t>100330874+100330677</t>
  </si>
  <si>
    <t>9.29</t>
  </si>
  <si>
    <t>Поставка НГКС  на Сосногорский ГПЗ, собственность ПАО "Газпром", всего:</t>
  </si>
  <si>
    <t>100330875+100330876</t>
  </si>
  <si>
    <t>9.30</t>
  </si>
  <si>
    <t>100330870-100330872</t>
  </si>
  <si>
    <t>9.31</t>
  </si>
  <si>
    <t>100330871-100330873</t>
  </si>
  <si>
    <t>9.32</t>
  </si>
  <si>
    <t>Производство продукции, собственность ООО "Газпром добыча Краснодар", всего:</t>
  </si>
  <si>
    <t>100335068+100330683+100330679</t>
  </si>
  <si>
    <t>9.33</t>
  </si>
  <si>
    <t>Газовый конденсат, товарный в адрес ПАО "Газпром"</t>
  </si>
  <si>
    <t>9.34</t>
  </si>
  <si>
    <t>9.35</t>
  </si>
  <si>
    <t>Газовый конденсат,  собственная потребность</t>
  </si>
  <si>
    <t>9.36</t>
  </si>
  <si>
    <t>Газовый конденсат, валовый</t>
  </si>
  <si>
    <t>9.37</t>
  </si>
  <si>
    <t>НГКС,  товарный   в адрес ПАО "Газпром"</t>
  </si>
  <si>
    <t>9.38</t>
  </si>
  <si>
    <t>9.39</t>
  </si>
  <si>
    <t>НГКС, валовая</t>
  </si>
  <si>
    <t>9.40</t>
  </si>
  <si>
    <t>Газ стабилизации</t>
  </si>
  <si>
    <t>9.41</t>
  </si>
  <si>
    <t>9.42</t>
  </si>
  <si>
    <t>100330669-100330674-100330049</t>
  </si>
  <si>
    <t xml:space="preserve">Реализация товарной продукции для ПАО </t>
  </si>
  <si>
    <t>Прогнозные показатели по поставке, переработке сырья и производству продукции ООО "Газпром добыча Ноябрьск"</t>
  </si>
  <si>
    <t>10. Газпром добыча Ноябрьск</t>
  </si>
  <si>
    <t>Поставка сырья на переработку, всего:</t>
  </si>
  <si>
    <t>10.1</t>
  </si>
  <si>
    <t>Сырье, собственность ПАО "Газпром"</t>
  </si>
  <si>
    <t>10.2</t>
  </si>
  <si>
    <t>100330715+100332333+100330858</t>
  </si>
  <si>
    <t>Сырье, собственность ООО "Газпром добыча Ноябрьск"</t>
  </si>
  <si>
    <t>10.3</t>
  </si>
  <si>
    <t>100330717+100330721</t>
  </si>
  <si>
    <t>Нестабильный газовый конденсат, всего</t>
  </si>
  <si>
    <t>10.4</t>
  </si>
  <si>
    <t xml:space="preserve">Нестабильный газовый конденсат, всего </t>
  </si>
  <si>
    <t>100330715+100330717</t>
  </si>
  <si>
    <t>НК, обственность Газпром</t>
  </si>
  <si>
    <t>10.5</t>
  </si>
  <si>
    <t>НК, собственность ПАО "Газпром"</t>
  </si>
  <si>
    <t>100330716</t>
  </si>
  <si>
    <t>в т.ч. Чаяндинское НГКМ</t>
  </si>
  <si>
    <t>10.6</t>
  </si>
  <si>
    <t>НК, собственность ООО "Газпром добыча Ноябрьск"</t>
  </si>
  <si>
    <t>10.7</t>
  </si>
  <si>
    <t>100330718+100330719+100336327</t>
  </si>
  <si>
    <t>в т.ч. Камчатское ГПУ</t>
  </si>
  <si>
    <t>10.8</t>
  </si>
  <si>
    <t>10.9</t>
  </si>
  <si>
    <t>Тас- Юряхское НГКМ</t>
  </si>
  <si>
    <t xml:space="preserve">         Тас-Юряхское НГКМ</t>
  </si>
  <si>
    <t>Нефть сырая, всего:</t>
  </si>
  <si>
    <t>10.10</t>
  </si>
  <si>
    <t>Нефть, всего:</t>
  </si>
  <si>
    <t>100332333+100330721</t>
  </si>
  <si>
    <t>Нефть сырая, собственность ПАО "Газпром"</t>
  </si>
  <si>
    <t>10.11</t>
  </si>
  <si>
    <t>100330720</t>
  </si>
  <si>
    <t>10.12</t>
  </si>
  <si>
    <t xml:space="preserve">в т.ч. Чаяндинское НГКМ </t>
  </si>
  <si>
    <t xml:space="preserve">   в т.ч. конденсат по ДРОД</t>
  </si>
  <si>
    <t>в т.ч. конденсат по ДРОД</t>
  </si>
  <si>
    <t>Нефть сырая, собственность ООО "Газпром добыча Ноябрьск"</t>
  </si>
  <si>
    <t>10.13</t>
  </si>
  <si>
    <t>Нефть, собственность ООО "Газпром добыча Ноябрьск"</t>
  </si>
  <si>
    <t>100330722+100336141</t>
  </si>
  <si>
    <t>в т.ч. Западно-Таркосалинское НГКМ</t>
  </si>
  <si>
    <t>10.14</t>
  </si>
  <si>
    <t xml:space="preserve">   Тас- Юряхское НГКМ</t>
  </si>
  <si>
    <t xml:space="preserve">         Тас- Юряхское НГКМ</t>
  </si>
  <si>
    <t>Поставка природного газа на Амурский  ГПЗ, собственность ПАО "Газпром"</t>
  </si>
  <si>
    <t>10.15</t>
  </si>
  <si>
    <t>Поставка природного газа на Амурский  ГПЗ, 
собственность ПАО "Газпром"</t>
  </si>
  <si>
    <t>10.16</t>
  </si>
  <si>
    <t>Потери при переработке, всего:</t>
  </si>
  <si>
    <t>10.17</t>
  </si>
  <si>
    <t>100330730+100330731</t>
  </si>
  <si>
    <t>НК, собственность ПАО "Газпром" (Чаяндинское НГКМ)</t>
  </si>
  <si>
    <t>10.18</t>
  </si>
  <si>
    <t>НК, собственность ООО "Газпром добыча Ноябрьск"(Камчатское ГПУ)</t>
  </si>
  <si>
    <t>10.19</t>
  </si>
  <si>
    <t>НК, собственность ООО "Газпром добыча Ноябрьск" (Камчатское ГПУ)</t>
  </si>
  <si>
    <t>10.20</t>
  </si>
  <si>
    <t>Производство продукции, всего :</t>
  </si>
  <si>
    <t>100335045+100330723+100332334</t>
  </si>
  <si>
    <t>Нефть (нефтегазоконденсатная смесь)(Чаяндинское НГКМ), всего</t>
  </si>
  <si>
    <t>10.21</t>
  </si>
  <si>
    <t>Нефтегазоконденсатная смесь (Чаяндинское НГКМ)</t>
  </si>
  <si>
    <t>100335046+100335047</t>
  </si>
  <si>
    <t>в т.ч. стабильный конденсат</t>
  </si>
  <si>
    <t>10.22</t>
  </si>
  <si>
    <t xml:space="preserve">   нефть</t>
  </si>
  <si>
    <t>10.23</t>
  </si>
  <si>
    <t>10.24</t>
  </si>
  <si>
    <t>S4</t>
  </si>
  <si>
    <t>Стабильный конденсат валовый</t>
  </si>
  <si>
    <t>10.25</t>
  </si>
  <si>
    <t>НГКС на собственные технологические нужды</t>
  </si>
  <si>
    <t>10.26</t>
  </si>
  <si>
    <t>Стабильный конденсат, всего:</t>
  </si>
  <si>
    <t>10.27</t>
  </si>
  <si>
    <t>100330725</t>
  </si>
  <si>
    <t>СК, собственность ООО "Газпром добыча Ноябрьск"(Камчатское ГПУ)</t>
  </si>
  <si>
    <t>10.28</t>
  </si>
  <si>
    <t xml:space="preserve">СК, собственность ООО "Газпром добыча Ноябрьск" (Камчатское ГПУ) </t>
  </si>
  <si>
    <t>Газ стабилизации, всего:</t>
  </si>
  <si>
    <t>10.29</t>
  </si>
  <si>
    <t>100330727+100330729+100336328</t>
  </si>
  <si>
    <t>10.30</t>
  </si>
  <si>
    <t>100330726+100330728+100336329</t>
  </si>
  <si>
    <t>ГС, собственность ПАО "Газпром" (Чаяндинское НГКМ)</t>
  </si>
  <si>
    <t>10.31</t>
  </si>
  <si>
    <t>10.32</t>
  </si>
  <si>
    <t>ГС, собственность ООО "Газпром добыча Ноябрьск"(Камчатское ГПУ)</t>
  </si>
  <si>
    <t>10.33</t>
  </si>
  <si>
    <t>ГС, собственность ООО "Газпром добыча Ноябрьск" (Камчатское ГПУ)</t>
  </si>
  <si>
    <t>10.34</t>
  </si>
  <si>
    <t>ГВ ,  собственность ООО "Газпром добыча Ноябрьск" (Тас- Юряхское НГКМ)</t>
  </si>
  <si>
    <t>Нестабильный конденсат поставка, всего:</t>
  </si>
  <si>
    <t>10.35</t>
  </si>
  <si>
    <t>100330861</t>
  </si>
  <si>
    <t>Западно-Таркосалинское НГКМ на Сургутский ЗСК, собственность ПАО "Газпром"</t>
  </si>
  <si>
    <t>10.36</t>
  </si>
  <si>
    <t>Нефть и НГКС поставка, всего:</t>
  </si>
  <si>
    <t>10.37</t>
  </si>
  <si>
    <t>100330862+100336142</t>
  </si>
  <si>
    <t>Нефть Западно-Таркосалинское НГКМ, собственность ООО "Газпром добыча Ноябрьск"</t>
  </si>
  <si>
    <t>10.38</t>
  </si>
  <si>
    <t>Нефть Западно-Таркосалинское НГКМ, 
собственность ООО "Газпром добыча Ноябрьск"</t>
  </si>
  <si>
    <t>НГКС Тас- Юряхское НГКМ, собственность ООО "Газпром добыча Ноябрьск"</t>
  </si>
  <si>
    <t>поменять формулу</t>
  </si>
  <si>
    <t>НГКС Тас- Юряхское НГКМ, 
собственность ООО "Газпром добыча Ноябрьск"</t>
  </si>
  <si>
    <t>100336141+100336327-100336328</t>
  </si>
  <si>
    <t>Оказание  услуг ГПНЗ по транспортировке нефти (Чонская гр. МС)</t>
  </si>
  <si>
    <t>Материальный баланс переработки ("П.1"-"П.2"-"П.3" = 0,000)</t>
  </si>
  <si>
    <t>10.39</t>
  </si>
  <si>
    <t>S3</t>
  </si>
  <si>
    <t>МБП НК (Чаяндинское НГКМ)</t>
  </si>
  <si>
    <t>10.40</t>
  </si>
  <si>
    <t>100330716-100335094-100330727-100330730</t>
  </si>
  <si>
    <t>МБП НК, (Камчатское ГПУ)</t>
  </si>
  <si>
    <t>10.41</t>
  </si>
  <si>
    <t>МБП НК (Камчатское ГПУ)</t>
  </si>
  <si>
    <t>100330718-100330725-100330729-100330731</t>
  </si>
  <si>
    <t>МБП НК (Тас- Юряхское НГКМ)</t>
  </si>
  <si>
    <t>Западно-Таркосалинский конденсат на СЗСК</t>
  </si>
  <si>
    <t>Западно-Таркосалинская нефть</t>
  </si>
  <si>
    <t>Тас- Юряхская нефть+СК</t>
  </si>
  <si>
    <t>Чаяндинская нефть</t>
  </si>
  <si>
    <t>НК</t>
  </si>
  <si>
    <t>газ стабилизации</t>
  </si>
  <si>
    <t>Прогнозные показатели по поставке, переработке сырья и производству продукции ООО "Газпром добыча Надым"</t>
  </si>
  <si>
    <t>11.  ООО "Газпром добыча Надым"</t>
  </si>
  <si>
    <t>11.1</t>
  </si>
  <si>
    <t>Поставка сырья на переработку, собственность ООО "Газпром добыча Надым", всего:</t>
  </si>
  <si>
    <t>11.2</t>
  </si>
  <si>
    <t>Конденсат газовый нестабильный, всего:</t>
  </si>
  <si>
    <t>СУММ(100330686:100333683)</t>
  </si>
  <si>
    <t>11.3</t>
  </si>
  <si>
    <t>Медвежье НКГМ</t>
  </si>
  <si>
    <t>11.4</t>
  </si>
  <si>
    <t>11.5</t>
  </si>
  <si>
    <t xml:space="preserve"> Бованенковское НГКМ (апт)</t>
  </si>
  <si>
    <t>11.6</t>
  </si>
  <si>
    <t>Харасавэйское ГКМ</t>
  </si>
  <si>
    <t>Поставка сырья в адрес ГПНЗ 
(собственность ООО "Газпром добыча Надым")</t>
  </si>
  <si>
    <t>100335593+100335658</t>
  </si>
  <si>
    <t>11.7</t>
  </si>
  <si>
    <t>11.8</t>
  </si>
  <si>
    <t>Потери сырья при переработке, всего:</t>
  </si>
  <si>
    <t>СУММ(100330689:100333684)</t>
  </si>
  <si>
    <t>11.9</t>
  </si>
  <si>
    <t>11.10</t>
  </si>
  <si>
    <t>11.11</t>
  </si>
  <si>
    <t>11.12</t>
  </si>
  <si>
    <t>11.13</t>
  </si>
  <si>
    <t>Производство продукции, 
собственность ООО "Газпром добыча Надым, всего:</t>
  </si>
  <si>
    <t>100332334+100330100</t>
  </si>
  <si>
    <t>11.14</t>
  </si>
  <si>
    <t>Стабильный конденсат товарный, всего:</t>
  </si>
  <si>
    <t>100330693+100330694+100330695+100333685</t>
  </si>
  <si>
    <t>11.15</t>
  </si>
  <si>
    <t>СК (товар) Медвежье НКГМ</t>
  </si>
  <si>
    <t>100330702-100330706</t>
  </si>
  <si>
    <t>11.16</t>
  </si>
  <si>
    <t>СК (товар) Юбилейное НГКМ</t>
  </si>
  <si>
    <t>100330703-100330707</t>
  </si>
  <si>
    <t>11.17</t>
  </si>
  <si>
    <t>СК (товар) Бованенковское НГКМ</t>
  </si>
  <si>
    <t>100330704-100330708</t>
  </si>
  <si>
    <t>11.18</t>
  </si>
  <si>
    <t>4.1.4</t>
  </si>
  <si>
    <t>СК (товар) Харасавейского ГКМ</t>
  </si>
  <si>
    <t>100333688-100333689</t>
  </si>
  <si>
    <t>11.19</t>
  </si>
  <si>
    <t>11.20</t>
  </si>
  <si>
    <t>100330696+100330698+100330700+100333686</t>
  </si>
  <si>
    <t>11.21</t>
  </si>
  <si>
    <t>100330697+100330699+100330701+100333687</t>
  </si>
  <si>
    <t>11.22</t>
  </si>
  <si>
    <t xml:space="preserve"> - Медвежье НКГМ</t>
  </si>
  <si>
    <t>11.23</t>
  </si>
  <si>
    <t>11.24</t>
  </si>
  <si>
    <t>4.2.2</t>
  </si>
  <si>
    <t xml:space="preserve"> - Юбилейное НГКМ</t>
  </si>
  <si>
    <t>11.25</t>
  </si>
  <si>
    <t>11.26</t>
  </si>
  <si>
    <t>4.2.3</t>
  </si>
  <si>
    <t xml:space="preserve"> - Бованенковское НГКМ (апт)</t>
  </si>
  <si>
    <t>11.27</t>
  </si>
  <si>
    <t>11.28</t>
  </si>
  <si>
    <t>4.2.5</t>
  </si>
  <si>
    <t xml:space="preserve"> - Харасавэйское ГКМ (апт)</t>
  </si>
  <si>
    <t>11.29</t>
  </si>
  <si>
    <t>11.30</t>
  </si>
  <si>
    <t>Стабильный конденсат валовый , всего:</t>
  </si>
  <si>
    <t>100330702+100330703+100330704+100333688</t>
  </si>
  <si>
    <t>11.31</t>
  </si>
  <si>
    <t>СК (вал) Медвежье НКГМ</t>
  </si>
  <si>
    <t>11.32</t>
  </si>
  <si>
    <t>СК (вал) Юбилейное НГКМ</t>
  </si>
  <si>
    <t>11.33</t>
  </si>
  <si>
    <t>СК (вал) Бованенковское НГКМ (апт)</t>
  </si>
  <si>
    <t>11.34</t>
  </si>
  <si>
    <t>СК (вал) Харасавейского ГКМ</t>
  </si>
  <si>
    <t>11.35</t>
  </si>
  <si>
    <t>Стабильный конденсат на собственные нужды, всего:</t>
  </si>
  <si>
    <t>100330706+100330707+100330708+100333689</t>
  </si>
  <si>
    <t>11.36</t>
  </si>
  <si>
    <t>СК (сн)Медвежье НКГМ</t>
  </si>
  <si>
    <t>11.37</t>
  </si>
  <si>
    <t>СК (сн) Юбилейное НГКМ</t>
  </si>
  <si>
    <t>11.38</t>
  </si>
  <si>
    <t>СК (сн) Бованенковское НГКМ</t>
  </si>
  <si>
    <t>11.39</t>
  </si>
  <si>
    <t>СК (сн) Харасавейского ГКМ</t>
  </si>
  <si>
    <t>11.40</t>
  </si>
  <si>
    <t>11.41</t>
  </si>
  <si>
    <t>МБ Медвежье НКГМ</t>
  </si>
  <si>
    <t>100330686-100330689-100330693-100330696</t>
  </si>
  <si>
    <t>11.42</t>
  </si>
  <si>
    <t>МБ Юбилейное НГКМ</t>
  </si>
  <si>
    <t>100330687-100330690-100330694-100330698</t>
  </si>
  <si>
    <t>11.43</t>
  </si>
  <si>
    <t>МБ Бованенковское НГКМ</t>
  </si>
  <si>
    <t>100330688-100330691-100330695-100330700</t>
  </si>
  <si>
    <t>11.44</t>
  </si>
  <si>
    <t>МБ Харасавейского ГКМ</t>
  </si>
  <si>
    <t>100333683-100333684-100333685-100333686</t>
  </si>
  <si>
    <t>12. Газпром добыча Иркутск</t>
  </si>
  <si>
    <t>Переработка сырья, всего</t>
  </si>
  <si>
    <t>Переработано сырья, всего:</t>
  </si>
  <si>
    <t>Нестабильный газовый конденсат, собственность ПАО "Газпром" (Ковыктинское ГКМ)</t>
  </si>
  <si>
    <t xml:space="preserve">Нестабильный газовый конденсат, собственность ПАО "Газпром" (Ковыктинское ГКМ) </t>
  </si>
  <si>
    <t>Потери НК при переработке, всего</t>
  </si>
  <si>
    <t>100330866+100330867+100330679+100330737</t>
  </si>
  <si>
    <t>Газы углеводородные сжиженные (ПБТ)</t>
  </si>
  <si>
    <t>Стабильный конденсат вал</t>
  </si>
  <si>
    <t>СК собственные нужды</t>
  </si>
  <si>
    <t>СК на собственные нужды ООО "Газпром добыча Иркутск"</t>
  </si>
  <si>
    <t>Стабильный конденсат</t>
  </si>
  <si>
    <t>Стабильный конденсат товар.</t>
  </si>
  <si>
    <t>в т.ч. автовывоз</t>
  </si>
  <si>
    <t>в т.ч. перекачка по конденсатопроводу до ст. Окунайская</t>
  </si>
  <si>
    <t>СК на ст Окунайская, всего</t>
  </si>
  <si>
    <t>100336110+100336164+100336111</t>
  </si>
  <si>
    <t>в т.ч. отгрузка жд транспортом</t>
  </si>
  <si>
    <t>в т.ч.на компаундирование с нефтью</t>
  </si>
  <si>
    <t>в т.ч. отгрузка автотранспортом</t>
  </si>
  <si>
    <t>100330000-100330049-100330736-100335698+100335699</t>
  </si>
  <si>
    <t>Нефть товар</t>
  </si>
  <si>
    <t>в т.ч. нефть на компаундирование, покупка</t>
  </si>
  <si>
    <t>СК на  заполнение конденсатопровода</t>
  </si>
  <si>
    <t>СК на  вытеснение  из конденсатопровода</t>
  </si>
  <si>
    <t>проверка СК валового</t>
  </si>
  <si>
    <t>проверка СК товар. вывоз авто и жд</t>
  </si>
  <si>
    <t>проверка нефти</t>
  </si>
  <si>
    <t>СУГ</t>
  </si>
  <si>
    <t>СК товар</t>
  </si>
  <si>
    <t>Прогнозные показатели по поставке, переработке сырья и производству продукции ООО "Газпром добыча шельф Южно-Сахалинск"</t>
  </si>
  <si>
    <t>13. Газпром добыча шельф Южно-Сахалинск</t>
  </si>
  <si>
    <t>13.1</t>
  </si>
  <si>
    <t>100330738+100335768</t>
  </si>
  <si>
    <t>13.2</t>
  </si>
  <si>
    <t>Конденсат нестабильный, собственность ПАО "Газпром" (КиринскоеГКМ)</t>
  </si>
  <si>
    <t>Конденсат нестабильный, собственность ПАО "Газпром" (Южно-Киринское ГКМ)</t>
  </si>
  <si>
    <t>13.3</t>
  </si>
  <si>
    <t>13.4</t>
  </si>
  <si>
    <t>100330880+100335781</t>
  </si>
  <si>
    <t>13.5</t>
  </si>
  <si>
    <t>Стабильный конденсат, собственность ПАО "Газпром"</t>
  </si>
  <si>
    <t>Киринское ГКМ</t>
  </si>
  <si>
    <t>Южно-Киринское ГКМ</t>
  </si>
  <si>
    <t>13.6</t>
  </si>
  <si>
    <t>13.7</t>
  </si>
  <si>
    <t>13.8</t>
  </si>
  <si>
    <t>Газы стабилизации</t>
  </si>
  <si>
    <t>100335771+100335773</t>
  </si>
  <si>
    <t>13.9</t>
  </si>
  <si>
    <t>100335772+100335774</t>
  </si>
  <si>
    <t>13.10</t>
  </si>
  <si>
    <t>100332291-100330049-100330736</t>
  </si>
  <si>
    <t>Конденсат нестабильный (КиринскоеГКМ)</t>
  </si>
  <si>
    <t>Конденсат нестабильный (Южно-Киринское ГКМ)</t>
  </si>
  <si>
    <t>Коэффициенты выхода</t>
  </si>
  <si>
    <t>Стабильный конденсат (КиринскоеГКМ)</t>
  </si>
  <si>
    <t>S32</t>
  </si>
  <si>
    <t>S1</t>
  </si>
  <si>
    <t>ОКРУГЛ({100335769:2}/{100330738:2}*{100330738:0};$1)</t>
  </si>
  <si>
    <t>Стабильный конденсат (Южно-Киринское ГКМ)</t>
  </si>
  <si>
    <t>S33</t>
  </si>
  <si>
    <t>ОКРУГЛ({100335770:2}/{100335768:2}*{100335768:0};$1)</t>
  </si>
  <si>
    <t>Газ стабилизации (КиринскоеГКМ)</t>
  </si>
  <si>
    <t>S34</t>
  </si>
  <si>
    <t>ОКРУГЛ({100335781:2}/{100330738:2}*{100330738:0};$1)</t>
  </si>
  <si>
    <t>S35</t>
  </si>
  <si>
    <t>ОКРУГЛ({100335772:2}/{100335771:2}*{S34:0};$1)</t>
  </si>
  <si>
    <t>Газ стабилизации (Южно-Киринское ГКМ)</t>
  </si>
  <si>
    <t>S36</t>
  </si>
  <si>
    <t>ОКРУГЛ({100335773:2}/{100335768:2}*{100335768:0};$1)</t>
  </si>
  <si>
    <t>S37</t>
  </si>
  <si>
    <t>ОКРУГЛ({100335774:2}/{100335773:2}*{S36:0};$1)</t>
  </si>
  <si>
    <t>СК на собств нужды отражают при ремонтах, сбросах, опорожнениях</t>
  </si>
  <si>
    <t>Газ стаб дожимают компрессорами и в общий поток в магистраль</t>
  </si>
  <si>
    <t>Газ и ст. конденсат направляются потребителям через магистральные трубопроводы</t>
  </si>
  <si>
    <t>Газ проходит низкотемпературную сепарацию</t>
  </si>
  <si>
    <t xml:space="preserve">Летом остановка добычи и производства, т.к. потребность в больших объёмах в тёплое время отсутствует </t>
  </si>
  <si>
    <t>После колонны стабилизации стабильный конденсат уходит в ёмкость хранения и откачивается потребителю. Газ стабилизации направляется в компрессорный цех, (где отбивается СУГ(ШФЛУ)), газ компримируется до Р=6,25 мПа и направляется в магистраль, а СУГ направляется в ёмкость накопления 10Е3 и оттуда насосами обратно в поток НСК.</t>
  </si>
  <si>
    <t>Прогнозные показатели по переработке сырья, производству продукции, оказанию услуг по переработке углеводородного сырья на объектах ООО "Газпром переработка Благовещенск"</t>
  </si>
  <si>
    <t>14. Газпром переработка Благовещенск</t>
  </si>
  <si>
    <t>14.1</t>
  </si>
  <si>
    <t>Поставка природного газа на АмГПЗ - собственность ПАО "Газпром", всего</t>
  </si>
  <si>
    <t>14.2</t>
  </si>
  <si>
    <t>100332979</t>
  </si>
  <si>
    <t>100335056+100335308+100335059+100335060+100335427+100335062-100335462-100335463</t>
  </si>
  <si>
    <t>14.3</t>
  </si>
  <si>
    <t>S0</t>
  </si>
  <si>
    <t>14.4</t>
  </si>
  <si>
    <t>на Свободненскую ТЭС (собственность ПАО "Газпром"</t>
  </si>
  <si>
    <t>100335056</t>
  </si>
  <si>
    <t>14.5</t>
  </si>
  <si>
    <t>на пуско-наладочные работы (собственность ГПП Благовещенск), покупка у ПАО "Газпром", всего:</t>
  </si>
  <si>
    <t>100335057</t>
  </si>
  <si>
    <t>100335308+100335309+100335310-100335465</t>
  </si>
  <si>
    <t xml:space="preserve">в т.ч. 'на СТН на ПНР </t>
  </si>
  <si>
    <t>100335308</t>
  </si>
  <si>
    <t>в т.ч. газ природный ВД из переработки</t>
  </si>
  <si>
    <t>100335462</t>
  </si>
  <si>
    <t>в т.ч. 'АЗОТ (полученный из газа транзит)</t>
  </si>
  <si>
    <t>100335309</t>
  </si>
  <si>
    <t>в т.ч. газ для производство гелия</t>
  </si>
  <si>
    <t>100335310</t>
  </si>
  <si>
    <t>100335076</t>
  </si>
  <si>
    <t>14.7</t>
  </si>
  <si>
    <t>на СТН (собственность ГПП Благовещенск), покупка у ПАО "Газпром"</t>
  </si>
  <si>
    <t>100335059</t>
  </si>
  <si>
    <t>100335463</t>
  </si>
  <si>
    <t>14.8</t>
  </si>
  <si>
    <t>на СТН (собственность ПАО "Газпром")</t>
  </si>
  <si>
    <t>100335060</t>
  </si>
  <si>
    <t>транзит газа через АмГПЗ, всего</t>
  </si>
  <si>
    <t>100335426</t>
  </si>
  <si>
    <t>100335223+100335424</t>
  </si>
  <si>
    <t>100335427</t>
  </si>
  <si>
    <t>100335159+100335425</t>
  </si>
  <si>
    <t>в т.ч транзит газа через АмГПЗ (собственность ПАО "Газпром")</t>
  </si>
  <si>
    <t>100335223</t>
  </si>
  <si>
    <t>100335159</t>
  </si>
  <si>
    <t>в т.ч. транзит газа через АмГПЗ (собственность ГПП Благовещенск)</t>
  </si>
  <si>
    <t>100335424</t>
  </si>
  <si>
    <t>100335425</t>
  </si>
  <si>
    <t>14.9</t>
  </si>
  <si>
    <t>Переработка природного газа:</t>
  </si>
  <si>
    <t>100335061</t>
  </si>
  <si>
    <t>100335073+100335075</t>
  </si>
  <si>
    <t>14.10</t>
  </si>
  <si>
    <t>100335062</t>
  </si>
  <si>
    <t>100335074+100335076</t>
  </si>
  <si>
    <t>14.11</t>
  </si>
  <si>
    <t>собственность ПАО "Газпром" - оказание услуг  ПАО "Газпром"</t>
  </si>
  <si>
    <t>100335073</t>
  </si>
  <si>
    <t>14.12</t>
  </si>
  <si>
    <t>100335074</t>
  </si>
  <si>
    <t>14.13</t>
  </si>
  <si>
    <t>собственность ГПП Благовещенск</t>
  </si>
  <si>
    <t>100335075</t>
  </si>
  <si>
    <t>14.14</t>
  </si>
  <si>
    <t>14.15</t>
  </si>
  <si>
    <t>100335077</t>
  </si>
  <si>
    <t>100332356+100335079</t>
  </si>
  <si>
    <t>14.16</t>
  </si>
  <si>
    <t>100335078</t>
  </si>
  <si>
    <t>100332357+100335080</t>
  </si>
  <si>
    <t>14.17</t>
  </si>
  <si>
    <t>Природный газ сырой, собственность ПАО "Газпром"</t>
  </si>
  <si>
    <t>100332356</t>
  </si>
  <si>
    <t>14.18</t>
  </si>
  <si>
    <t>100332357</t>
  </si>
  <si>
    <t>14.19</t>
  </si>
  <si>
    <t>Природный газ сырой, собственность ГПП Благовещенск</t>
  </si>
  <si>
    <t>100335079</t>
  </si>
  <si>
    <t>14.20</t>
  </si>
  <si>
    <t>100335080</t>
  </si>
  <si>
    <t>14.21</t>
  </si>
  <si>
    <t>Производство продукции  (собственность ПАО "Газпром"  )</t>
  </si>
  <si>
    <t>100330237</t>
  </si>
  <si>
    <t>100332358+100332360/$1000+100332362+100331898+100332367+100332366</t>
  </si>
  <si>
    <t>14.24</t>
  </si>
  <si>
    <t>Гелий</t>
  </si>
  <si>
    <t>100332360</t>
  </si>
  <si>
    <t>14.25</t>
  </si>
  <si>
    <t>100332361</t>
  </si>
  <si>
    <t>тыс. куб.м</t>
  </si>
  <si>
    <t>14.26</t>
  </si>
  <si>
    <t>Этан</t>
  </si>
  <si>
    <t>100332362</t>
  </si>
  <si>
    <t>14.27</t>
  </si>
  <si>
    <t>Газы углеводородные сжиженные - всего:</t>
  </si>
  <si>
    <t>СУММ(100332363:100332365)</t>
  </si>
  <si>
    <t>14.28</t>
  </si>
  <si>
    <t xml:space="preserve"> - пропан</t>
  </si>
  <si>
    <t>100332363</t>
  </si>
  <si>
    <t>14.29</t>
  </si>
  <si>
    <t xml:space="preserve"> - бутан</t>
  </si>
  <si>
    <t>100332364</t>
  </si>
  <si>
    <t>14.30</t>
  </si>
  <si>
    <t xml:space="preserve"> - СПБТ</t>
  </si>
  <si>
    <t>100332365</t>
  </si>
  <si>
    <t>14.31</t>
  </si>
  <si>
    <t>ПГФ / УФ</t>
  </si>
  <si>
    <t>100332366</t>
  </si>
  <si>
    <t>14.32</t>
  </si>
  <si>
    <t>100332367</t>
  </si>
  <si>
    <t>14.33</t>
  </si>
  <si>
    <t>100332368</t>
  </si>
  <si>
    <t>14.22</t>
  </si>
  <si>
    <t>Газ товарный</t>
  </si>
  <si>
    <t>100332358</t>
  </si>
  <si>
    <t>14.23</t>
  </si>
  <si>
    <t>100332359</t>
  </si>
  <si>
    <t>14.36</t>
  </si>
  <si>
    <t>Производство продукции  (собственность Газпром переработка Благовещенск  )</t>
  </si>
  <si>
    <t>100335081</t>
  </si>
  <si>
    <t>100335083/$1000+100335084+100335088+100335311+100335464</t>
  </si>
  <si>
    <t>14.38</t>
  </si>
  <si>
    <t xml:space="preserve">      Гелий</t>
  </si>
  <si>
    <t>100335083</t>
  </si>
  <si>
    <t>14.37</t>
  </si>
  <si>
    <t>100335082</t>
  </si>
  <si>
    <t>тыс куб. м.</t>
  </si>
  <si>
    <t>14.39</t>
  </si>
  <si>
    <t xml:space="preserve">      Газы углеводородные сжиженные - всего</t>
  </si>
  <si>
    <t>100335084</t>
  </si>
  <si>
    <t>СУММ(100335085:100335087)</t>
  </si>
  <si>
    <t>14.40</t>
  </si>
  <si>
    <t xml:space="preserve">         пропан</t>
  </si>
  <si>
    <t>100335085</t>
  </si>
  <si>
    <t>14.41</t>
  </si>
  <si>
    <t xml:space="preserve">         бутан</t>
  </si>
  <si>
    <t>100335086</t>
  </si>
  <si>
    <t>14.42</t>
  </si>
  <si>
    <t xml:space="preserve">         СПБТ</t>
  </si>
  <si>
    <t>100335087</t>
  </si>
  <si>
    <t>14.43</t>
  </si>
  <si>
    <t>100335088</t>
  </si>
  <si>
    <t>Топливный газ (на СТН при ПНР)</t>
  </si>
  <si>
    <t>100335464</t>
  </si>
  <si>
    <t>100335465</t>
  </si>
  <si>
    <t>100335311</t>
  </si>
  <si>
    <t>100335312</t>
  </si>
  <si>
    <t>14.34</t>
  </si>
  <si>
    <t>S2</t>
  </si>
  <si>
    <t>Газ товарный, всего</t>
  </si>
  <si>
    <t>100335313</t>
  </si>
  <si>
    <t>100332358+100335311+100335223+100335424</t>
  </si>
  <si>
    <t>100335314</t>
  </si>
  <si>
    <t>100332359+100335312+100335159+100335425</t>
  </si>
  <si>
    <t>в т.ч. поставка газа в КНР с АмГПЗ (собственность Газпром)</t>
  </si>
  <si>
    <t>100335160</t>
  </si>
  <si>
    <t>в т.ч.  транзит через АмГПЗ</t>
  </si>
  <si>
    <t>100335161</t>
  </si>
  <si>
    <t>в т.ч. потребители Ам. обл. после АмГПЗ (Благовещенск)</t>
  </si>
  <si>
    <t>100335162</t>
  </si>
  <si>
    <t>в т.ч. СТН ГТС ОАО "Томскгазпром" после АмГПЗ</t>
  </si>
  <si>
    <t>100335163</t>
  </si>
  <si>
    <t>Оседание в продукцию</t>
  </si>
  <si>
    <t>100335164</t>
  </si>
  <si>
    <t>100335062+100335159+100335425-100332359-100335312-100335161</t>
  </si>
  <si>
    <t xml:space="preserve">Поставка газа в Китай , минуя АмГПЗ </t>
  </si>
  <si>
    <t>100335101</t>
  </si>
  <si>
    <t>Покупка газа у ПАО "Газпром" при ПНР (дог. ГППБпнр-2020)</t>
  </si>
  <si>
    <t>100335428</t>
  </si>
  <si>
    <t>100335057+100335429</t>
  </si>
  <si>
    <t>в т.ч.  транзит через АмГПЗ  (собственность ГПП Благовещенск)</t>
  </si>
  <si>
    <t>100335429</t>
  </si>
  <si>
    <t>Продажа товарного газа ПАО "Газпром" при ПНР (по договору поставки продукции ГППБ 03/21-23)</t>
  </si>
  <si>
    <t>100335466</t>
  </si>
  <si>
    <t>в т.ч. 'транзит газа через Амурский ГПЗ (собственность ГПП Благовещенск")</t>
  </si>
  <si>
    <t>100335467</t>
  </si>
  <si>
    <t>14.44</t>
  </si>
  <si>
    <t xml:space="preserve">Материальный баланс поставки УВС </t>
  </si>
  <si>
    <t>100335165</t>
  </si>
  <si>
    <t>100332979-100335056-100335308-100335059-100335060-100335159-100335062-100335425+100335462+100335463</t>
  </si>
  <si>
    <t>100335089</t>
  </si>
  <si>
    <t>100335061-100335077-100330237-100335081</t>
  </si>
  <si>
    <t>Прогнозные показатели по производству продукции на КСПГ Портовая ООО "Газпром СПГ Портовая"</t>
  </si>
  <si>
    <t xml:space="preserve">15. КСПГ Портовая ООО «Газпром СПГ Портовая»  </t>
  </si>
  <si>
    <t>Поставка газа, всего:</t>
  </si>
  <si>
    <t>15.1</t>
  </si>
  <si>
    <t>15.2</t>
  </si>
  <si>
    <t>100330867</t>
  </si>
  <si>
    <t xml:space="preserve">      в т.ч. собственность ПАО "Газпром"</t>
  </si>
  <si>
    <t>в т.ч. собственность ПАО "Газпром"</t>
  </si>
  <si>
    <t>100335852</t>
  </si>
  <si>
    <t>* Обеспечение своевременного внесения изменений в перечень номенклатуры сырья и продукции входит в компетенцию дочернего общества.</t>
  </si>
  <si>
    <t>Прогнозные показатели по переработке сырья и производству продукции ООО "Востокгазпром"</t>
  </si>
  <si>
    <t>16. ООО "Востокгазпром"</t>
  </si>
  <si>
    <t>код</t>
  </si>
  <si>
    <t>Переработка УВС, всего:</t>
  </si>
  <si>
    <t>100336331</t>
  </si>
  <si>
    <t>100332340+100330865+100336332</t>
  </si>
  <si>
    <t>100332340</t>
  </si>
  <si>
    <t>100336360+100336358+100336345+100336336</t>
  </si>
  <si>
    <t>100330742</t>
  </si>
  <si>
    <t>100336361+100336359+100336346+100336337</t>
  </si>
  <si>
    <t>100330865</t>
  </si>
  <si>
    <t>100330746+100336343+100336356+100336335</t>
  </si>
  <si>
    <t>100337098</t>
  </si>
  <si>
    <t>100336332</t>
  </si>
  <si>
    <t>100336333</t>
  </si>
  <si>
    <t>100336369</t>
  </si>
  <si>
    <t>100336370</t>
  </si>
  <si>
    <t>100332993</t>
  </si>
  <si>
    <t>100336365</t>
  </si>
  <si>
    <t>100332994</t>
  </si>
  <si>
    <t>100336366</t>
  </si>
  <si>
    <t>100332995+100332997+100333001+100333003</t>
  </si>
  <si>
    <t>100332341</t>
  </si>
  <si>
    <t>100336367</t>
  </si>
  <si>
    <t>100330743</t>
  </si>
  <si>
    <t>100336368</t>
  </si>
  <si>
    <t>100332899+100332902+100332936+100332418</t>
  </si>
  <si>
    <t>100336334</t>
  </si>
  <si>
    <t>100336335+100336336</t>
  </si>
  <si>
    <t>Потери</t>
  </si>
  <si>
    <t>100336335</t>
  </si>
  <si>
    <t>100336336</t>
  </si>
  <si>
    <t>100336337</t>
  </si>
  <si>
    <t>100330745+100332901+100330749+100332342</t>
  </si>
  <si>
    <t>100330745</t>
  </si>
  <si>
    <t>100336338+100330746+100332899+100332995</t>
  </si>
  <si>
    <t xml:space="preserve">   в т.ч. нефть  АО "Газпром добыча Томск"</t>
  </si>
  <si>
    <t>в т.ч. нефть  АО "Газпром добыча Томск"</t>
  </si>
  <si>
    <t>100336338</t>
  </si>
  <si>
    <t>100336339</t>
  </si>
  <si>
    <t xml:space="preserve">   в т.ч. стабильный конденсат из сырья Газпром добыча Томск</t>
  </si>
  <si>
    <t>в т.ч. стабильный конденсат из сырья Газпром добыча Томск</t>
  </si>
  <si>
    <t>100330746</t>
  </si>
  <si>
    <t>100336340</t>
  </si>
  <si>
    <t xml:space="preserve">   в т.ч. из сырья ПАО "Газпром нефть" (покупка газа)</t>
  </si>
  <si>
    <t>3.1.3</t>
  </si>
  <si>
    <t>100332995</t>
  </si>
  <si>
    <t>100332996</t>
  </si>
  <si>
    <t xml:space="preserve">   в т.ч. из сырья ПАО "Газпром нефть" (переработка газа)</t>
  </si>
  <si>
    <t>3.1.4</t>
  </si>
  <si>
    <t>100332899</t>
  </si>
  <si>
    <t>100332900</t>
  </si>
  <si>
    <t>Стабильный конденсат и нефть, товарные</t>
  </si>
  <si>
    <t>Стабильный конденсат и нефть, товарные (собст. АО "Газпром добыча Томск")</t>
  </si>
  <si>
    <t>100330747</t>
  </si>
  <si>
    <t>100336339+100336340+100332900+100332996</t>
  </si>
  <si>
    <t xml:space="preserve">   в т.ч. стабильный конденсат из сырья АО "Газпром добыча Томск"</t>
  </si>
  <si>
    <t>3.2.4</t>
  </si>
  <si>
    <t>100332901</t>
  </si>
  <si>
    <t>100332904+100336353+100330748+100336362-100336363</t>
  </si>
  <si>
    <t>100336342</t>
  </si>
  <si>
    <t>100336344+100336346+100336347+100336348</t>
  </si>
  <si>
    <t xml:space="preserve">   в т.ч. из НГК</t>
  </si>
  <si>
    <t>100336343</t>
  </si>
  <si>
    <t>100336344</t>
  </si>
  <si>
    <t>100336345</t>
  </si>
  <si>
    <t>100336346</t>
  </si>
  <si>
    <t>3.3.3</t>
  </si>
  <si>
    <t>100332997</t>
  </si>
  <si>
    <t>100336348</t>
  </si>
  <si>
    <t>3.3.4</t>
  </si>
  <si>
    <t>в т.ч из сырья ПАО "Газпром нефть" (переработка газа)</t>
  </si>
  <si>
    <t>100332902</t>
  </si>
  <si>
    <t>100336347</t>
  </si>
  <si>
    <t>ШФЛУ, товарная в газопровод (собст. АО "Газпром добыча Томск")</t>
  </si>
  <si>
    <t>100332904</t>
  </si>
  <si>
    <t>100336349+100336351+100332934+100332999</t>
  </si>
  <si>
    <t>100332905</t>
  </si>
  <si>
    <t>100336350+100336352+100332935+100333000</t>
  </si>
  <si>
    <t>100336349</t>
  </si>
  <si>
    <t>100336350</t>
  </si>
  <si>
    <t>100336351</t>
  </si>
  <si>
    <t>100336352</t>
  </si>
  <si>
    <t>3.4.3</t>
  </si>
  <si>
    <t>100332999</t>
  </si>
  <si>
    <t>100333000</t>
  </si>
  <si>
    <t>3.4.4</t>
  </si>
  <si>
    <t>100332934</t>
  </si>
  <si>
    <t>100332935</t>
  </si>
  <si>
    <t>Расход ШФЛУ на СТН  (собст. АО "Газпром добыча Томск")</t>
  </si>
  <si>
    <t>100336353</t>
  </si>
  <si>
    <t>Газы углеводородные сжиженные (СПБТ) (собст. АО "Газпром добыча Томск")</t>
  </si>
  <si>
    <t>100330748</t>
  </si>
  <si>
    <t>100336354+100336355+100332903+100332998</t>
  </si>
  <si>
    <t>3.6.1</t>
  </si>
  <si>
    <t>100336354</t>
  </si>
  <si>
    <t>3.6.2</t>
  </si>
  <si>
    <t>100336355</t>
  </si>
  <si>
    <t>3.6.3</t>
  </si>
  <si>
    <t>100332998</t>
  </si>
  <si>
    <t>3.6.4</t>
  </si>
  <si>
    <t>100332903</t>
  </si>
  <si>
    <t>100330749</t>
  </si>
  <si>
    <t>100336356+100336358+100332936+100333001</t>
  </si>
  <si>
    <t>100330750</t>
  </si>
  <si>
    <t>100336357+100336359+100332937+100333002</t>
  </si>
  <si>
    <t>3.7.1</t>
  </si>
  <si>
    <t>100336371</t>
  </si>
  <si>
    <t>100336356+100336358+100333001</t>
  </si>
  <si>
    <t>100336372</t>
  </si>
  <si>
    <t>100336357+100336359+100333002</t>
  </si>
  <si>
    <t>3.7.1.1</t>
  </si>
  <si>
    <t>100336356</t>
  </si>
  <si>
    <t>100336357</t>
  </si>
  <si>
    <t>3.7.1.2</t>
  </si>
  <si>
    <t>100336358</t>
  </si>
  <si>
    <t>100336359</t>
  </si>
  <si>
    <t>3.7.1.3</t>
  </si>
  <si>
    <t>100333001</t>
  </si>
  <si>
    <t>100333002</t>
  </si>
  <si>
    <t>3.7.2</t>
  </si>
  <si>
    <t>100336373</t>
  </si>
  <si>
    <t>100332936</t>
  </si>
  <si>
    <t>100336374</t>
  </si>
  <si>
    <t>100332937</t>
  </si>
  <si>
    <t>3.7.2.1</t>
  </si>
  <si>
    <t>100332342</t>
  </si>
  <si>
    <t>100336360+100332418+100333003</t>
  </si>
  <si>
    <t>100330751</t>
  </si>
  <si>
    <t>100336361+100330752+100333004</t>
  </si>
  <si>
    <t>3.8.1</t>
  </si>
  <si>
    <t>100336375</t>
  </si>
  <si>
    <t>100336360+100333003</t>
  </si>
  <si>
    <t>100336376</t>
  </si>
  <si>
    <t>100336361+100333004</t>
  </si>
  <si>
    <t>3.8.1.1</t>
  </si>
  <si>
    <t>100336360</t>
  </si>
  <si>
    <t>100336361</t>
  </si>
  <si>
    <t>3.8.1.2</t>
  </si>
  <si>
    <t>100333003</t>
  </si>
  <si>
    <t>100333004</t>
  </si>
  <si>
    <t>3.8.2</t>
  </si>
  <si>
    <t>100336377</t>
  </si>
  <si>
    <t>100332418</t>
  </si>
  <si>
    <t>100336378</t>
  </si>
  <si>
    <t>100330752</t>
  </si>
  <si>
    <t>3.8.2.1</t>
  </si>
  <si>
    <t>Поступило ШФЛУ на склад</t>
  </si>
  <si>
    <t>100336362</t>
  </si>
  <si>
    <t>Поступило ШФЛУ со склада</t>
  </si>
  <si>
    <t>100336363</t>
  </si>
  <si>
    <t>Материальный баланс</t>
  </si>
  <si>
    <t>100336364</t>
  </si>
  <si>
    <t>100336330-100336334-100330049</t>
  </si>
  <si>
    <t>Газ, собственность Газпром Метанол</t>
  </si>
  <si>
    <t>100332338</t>
  </si>
  <si>
    <t>100330740</t>
  </si>
  <si>
    <t>Метанол, собственность Газпром Метанол</t>
  </si>
  <si>
    <t>100330753</t>
  </si>
  <si>
    <t>Прогнозные показатели по переработке сырья и производству продукцииООО "Газпром нефтехим Салават"</t>
  </si>
  <si>
    <t>17. ООО "Газпром переработка" -  Газпром нефтехим Салават</t>
  </si>
  <si>
    <t>ЗАВ2</t>
  </si>
  <si>
    <t>100335977</t>
  </si>
  <si>
    <t>100335978+100335986+100335994+100335997</t>
  </si>
  <si>
    <t>100335978</t>
  </si>
  <si>
    <t>100335979+100335984+100335985</t>
  </si>
  <si>
    <t xml:space="preserve">        ПАО "Газпром":</t>
  </si>
  <si>
    <t>100335979</t>
  </si>
  <si>
    <t>100335980+100335981+100335982+100335983</t>
  </si>
  <si>
    <t>100335980</t>
  </si>
  <si>
    <t>100335981</t>
  </si>
  <si>
    <t>100335982</t>
  </si>
  <si>
    <t>100335983</t>
  </si>
  <si>
    <t xml:space="preserve">        ПАО "НОВАТЭК" </t>
  </si>
  <si>
    <t>100335984</t>
  </si>
  <si>
    <t xml:space="preserve">        Прочие поставщики</t>
  </si>
  <si>
    <t>100335985</t>
  </si>
  <si>
    <t>100335986</t>
  </si>
  <si>
    <t>100335987+100335989+100335990+100335991+100335993+100335992+100336105</t>
  </si>
  <si>
    <t>100335987</t>
  </si>
  <si>
    <t>100335988</t>
  </si>
  <si>
    <t xml:space="preserve"> Оренбургский ГПЗ</t>
  </si>
  <si>
    <t xml:space="preserve">        ООО "Сервиснефтегаз" (Оренбургский ГПЗ)</t>
  </si>
  <si>
    <t>100335989</t>
  </si>
  <si>
    <t xml:space="preserve">        ТОО "КазРосГаз" (Оренбургский ГПЗ)</t>
  </si>
  <si>
    <t>100335990</t>
  </si>
  <si>
    <t>1.2.4</t>
  </si>
  <si>
    <t xml:space="preserve">        ООО "ГПН-Трейд Оренбург" (Оренбургский ГПЗ)</t>
  </si>
  <si>
    <t>100336105</t>
  </si>
  <si>
    <t xml:space="preserve">        ООО "Газпром нефть Оренбург" Царичанская нефть</t>
  </si>
  <si>
    <t>1.2.5</t>
  </si>
  <si>
    <t>100335991</t>
  </si>
  <si>
    <t xml:space="preserve">        ПАО "Газпром нефть и пр. Западно-Сибирская нефть</t>
  </si>
  <si>
    <t>1.2.6</t>
  </si>
  <si>
    <t>100335992</t>
  </si>
  <si>
    <t>1.2.7</t>
  </si>
  <si>
    <t>100335993</t>
  </si>
  <si>
    <t>100335994</t>
  </si>
  <si>
    <t>100335995</t>
  </si>
  <si>
    <t>100335996</t>
  </si>
  <si>
    <t>Прочее углеводородное сырье</t>
  </si>
  <si>
    <t xml:space="preserve">1.4 </t>
  </si>
  <si>
    <t>100335997</t>
  </si>
  <si>
    <t>ПЕРЕРАБОТКА СЫРЬЯ/ПРОДУКЦИИ  
ООО "ГАЗПРОМ НЕФТЕХИМ САЛАВАТ":</t>
  </si>
  <si>
    <t>100330802</t>
  </si>
  <si>
    <t>100330804+100330803+100330807+100336015+100336014+100336018+100336016+100336017</t>
  </si>
  <si>
    <t>100330804</t>
  </si>
  <si>
    <t>100335998+100336003+100336004</t>
  </si>
  <si>
    <t>100335998</t>
  </si>
  <si>
    <t>100335999+100336000+100336001+100336002</t>
  </si>
  <si>
    <t>100335999</t>
  </si>
  <si>
    <t>100336000</t>
  </si>
  <si>
    <t>100336001</t>
  </si>
  <si>
    <t xml:space="preserve"> ООО "Газпром добыча Иркутск"</t>
  </si>
  <si>
    <t>100336002</t>
  </si>
  <si>
    <t>100336003</t>
  </si>
  <si>
    <t>2.1.3</t>
  </si>
  <si>
    <t>100336004</t>
  </si>
  <si>
    <t>100330803</t>
  </si>
  <si>
    <t>100336005+100336007+100336008+100336009+100336011+100336010+100336106</t>
  </si>
  <si>
    <t>100336005</t>
  </si>
  <si>
    <t>100336006</t>
  </si>
  <si>
    <t>100336007</t>
  </si>
  <si>
    <t>100336008</t>
  </si>
  <si>
    <t>2.2.4</t>
  </si>
  <si>
    <t>100336106</t>
  </si>
  <si>
    <t>2.2.5</t>
  </si>
  <si>
    <t>100336009</t>
  </si>
  <si>
    <t>2.2.6</t>
  </si>
  <si>
    <t>100336010</t>
  </si>
  <si>
    <t>2.2.7</t>
  </si>
  <si>
    <t>100336011</t>
  </si>
  <si>
    <t>100330807</t>
  </si>
  <si>
    <t>100336012</t>
  </si>
  <si>
    <t>100336013</t>
  </si>
  <si>
    <t xml:space="preserve">2.4 </t>
  </si>
  <si>
    <t>100336014</t>
  </si>
  <si>
    <t>100336015</t>
  </si>
  <si>
    <t>100336016</t>
  </si>
  <si>
    <t>100330805</t>
  </si>
  <si>
    <t>Прочее сырье (ХОВ, природный газ, и т.д.)</t>
  </si>
  <si>
    <t>100336017</t>
  </si>
  <si>
    <t>Продукция (сырье) принятая со склада</t>
  </si>
  <si>
    <t>100336018</t>
  </si>
  <si>
    <t>ПРОДУКЦИЯ 
ООО "ГАЗПРОМ НЕФТЕХИМ САЛАВАТ":</t>
  </si>
  <si>
    <t>100330808</t>
  </si>
  <si>
    <t>Бензин автомобильный (товар)</t>
  </si>
  <si>
    <t>100330107</t>
  </si>
  <si>
    <t>100336019</t>
  </si>
  <si>
    <t>Дистиллят газового конденсата легкий (товар)</t>
  </si>
  <si>
    <t>100330815</t>
  </si>
  <si>
    <t>100336020+100336021</t>
  </si>
  <si>
    <t>100336020</t>
  </si>
  <si>
    <t>100336021</t>
  </si>
  <si>
    <t xml:space="preserve">Бензин технический (товар) </t>
  </si>
  <si>
    <t>100335765</t>
  </si>
  <si>
    <t>100330817</t>
  </si>
  <si>
    <t>100336022+100336023</t>
  </si>
  <si>
    <t>Товар</t>
  </si>
  <si>
    <t>100336022</t>
  </si>
  <si>
    <t>100336023</t>
  </si>
  <si>
    <t>Фракция изопентановая (товар)</t>
  </si>
  <si>
    <t>100330944</t>
  </si>
  <si>
    <t>Дизельное топливо (товар)</t>
  </si>
  <si>
    <t>100330123</t>
  </si>
  <si>
    <t>100330812+100330813+100330814</t>
  </si>
  <si>
    <t>100330812</t>
  </si>
  <si>
    <t>100330813</t>
  </si>
  <si>
    <t>100330814</t>
  </si>
  <si>
    <t>Газойль (товар)</t>
  </si>
  <si>
    <t>100335767</t>
  </si>
  <si>
    <t>100337107+100337108</t>
  </si>
  <si>
    <t>100337107</t>
  </si>
  <si>
    <t>100337108</t>
  </si>
  <si>
    <t>100330819</t>
  </si>
  <si>
    <t>100336024+100336025</t>
  </si>
  <si>
    <t>100336024</t>
  </si>
  <si>
    <t>100336025</t>
  </si>
  <si>
    <t>Мазут топочный (товар)</t>
  </si>
  <si>
    <t>100330822</t>
  </si>
  <si>
    <t>Сырье для битума/гудрон (товар)</t>
  </si>
  <si>
    <t>100330820</t>
  </si>
  <si>
    <t>Нефтебитум дорожный (товар)</t>
  </si>
  <si>
    <t>100330821</t>
  </si>
  <si>
    <t>100335766</t>
  </si>
  <si>
    <t>100336026</t>
  </si>
  <si>
    <t>100336027</t>
  </si>
  <si>
    <t>100336028</t>
  </si>
  <si>
    <t>100336029</t>
  </si>
  <si>
    <t>100336030</t>
  </si>
  <si>
    <t>100336031</t>
  </si>
  <si>
    <t>100336032</t>
  </si>
  <si>
    <t>100335102</t>
  </si>
  <si>
    <t>100336033</t>
  </si>
  <si>
    <t>100336034</t>
  </si>
  <si>
    <t>100336035</t>
  </si>
  <si>
    <t>100335103</t>
  </si>
  <si>
    <t>100336036</t>
  </si>
  <si>
    <t>100336037</t>
  </si>
  <si>
    <t>Сероводород технический (валовый)</t>
  </si>
  <si>
    <t>100336038</t>
  </si>
  <si>
    <t>Сера (товар)</t>
  </si>
  <si>
    <t>100330809</t>
  </si>
  <si>
    <t>100336039</t>
  </si>
  <si>
    <t>100336040</t>
  </si>
  <si>
    <t>100336041</t>
  </si>
  <si>
    <t>100336042</t>
  </si>
  <si>
    <t>100336043</t>
  </si>
  <si>
    <t>100330802-100330107-100336019-100330815-100335765-100330817-100330944-100330123-100335767-100330819-100330822-100330820-100330821-100336026-100336027-100336028-100336029-100336032-100336033-100336034-100336035-100336036-100336037-100336038-100336039-100336041-100336042</t>
  </si>
  <si>
    <t>100336044</t>
  </si>
  <si>
    <t>100330802-100330107-100336019-100330815-100335765-100330817-100330944-100330123-100335767-100330819-100330822-100330820-100330821-100336026-100336027-100336028-100336030-100336032-100336033-100336034-100336035-100336036-100336037-100336038-100336039-100336041-100336042-100336043</t>
  </si>
  <si>
    <t>ЗАВ3</t>
  </si>
  <si>
    <t>100336045</t>
  </si>
  <si>
    <t>100336046+100330826+100336052+100330827+100336056+100336057+100336061</t>
  </si>
  <si>
    <t>100336046</t>
  </si>
  <si>
    <t>100336047</t>
  </si>
  <si>
    <t>100330826</t>
  </si>
  <si>
    <t>100336048+100336051</t>
  </si>
  <si>
    <t>100336048</t>
  </si>
  <si>
    <t>100336049+100336050</t>
  </si>
  <si>
    <t>100336049</t>
  </si>
  <si>
    <t>100336050</t>
  </si>
  <si>
    <t>100336051</t>
  </si>
  <si>
    <t>100336023+100336037+100336035</t>
  </si>
  <si>
    <t>100336052</t>
  </si>
  <si>
    <t>100336053</t>
  </si>
  <si>
    <t>100330827</t>
  </si>
  <si>
    <t>100336054</t>
  </si>
  <si>
    <t>100336055</t>
  </si>
  <si>
    <t>100336056</t>
  </si>
  <si>
    <t>100336027+100336030+100336032</t>
  </si>
  <si>
    <t>100336057</t>
  </si>
  <si>
    <t>100336058+100336059+100336060</t>
  </si>
  <si>
    <t>100336058</t>
  </si>
  <si>
    <t xml:space="preserve">        Завод "Мономер" ООО "Газпром нефтехим Салават"</t>
  </si>
  <si>
    <t>100336059</t>
  </si>
  <si>
    <t xml:space="preserve">        НПЗ ООО "Газпром нефтехим Салават" (ККФ)</t>
  </si>
  <si>
    <t>100336060</t>
  </si>
  <si>
    <t>100336061</t>
  </si>
  <si>
    <t>100330823</t>
  </si>
  <si>
    <t>100330824+100330825+100336067+100336069+100336072+100336073+100336077+100336078</t>
  </si>
  <si>
    <t>100330824</t>
  </si>
  <si>
    <t>100336062</t>
  </si>
  <si>
    <t>100330825</t>
  </si>
  <si>
    <t>100336063+100336066</t>
  </si>
  <si>
    <t>100336063</t>
  </si>
  <si>
    <t>100336064+100336065</t>
  </si>
  <si>
    <t>100336064</t>
  </si>
  <si>
    <t>100336065</t>
  </si>
  <si>
    <t>100336066</t>
  </si>
  <si>
    <t>100336067</t>
  </si>
  <si>
    <t>100336068</t>
  </si>
  <si>
    <t>100336069</t>
  </si>
  <si>
    <t>100336070</t>
  </si>
  <si>
    <t>100336071</t>
  </si>
  <si>
    <t>100336072</t>
  </si>
  <si>
    <t>100336073</t>
  </si>
  <si>
    <t>100336074+100336075+100336076</t>
  </si>
  <si>
    <t>100336074</t>
  </si>
  <si>
    <t>100336075</t>
  </si>
  <si>
    <t>100336076</t>
  </si>
  <si>
    <t>100336077</t>
  </si>
  <si>
    <t>100335597</t>
  </si>
  <si>
    <t>100336078</t>
  </si>
  <si>
    <t>100330830</t>
  </si>
  <si>
    <t>Этилен (валовый)</t>
  </si>
  <si>
    <t>100330831</t>
  </si>
  <si>
    <t>100330832</t>
  </si>
  <si>
    <t>Пропилен (валовый)</t>
  </si>
  <si>
    <t>100330833</t>
  </si>
  <si>
    <t>100332346</t>
  </si>
  <si>
    <t>100336079</t>
  </si>
  <si>
    <t>Бутилен-бутадиеновая фракция (валовый)</t>
  </si>
  <si>
    <t>100330835</t>
  </si>
  <si>
    <t>100335105</t>
  </si>
  <si>
    <t>Тяжелая смола (валовый)</t>
  </si>
  <si>
    <t>100330836</t>
  </si>
  <si>
    <t>100335106</t>
  </si>
  <si>
    <t>Пироконденсат  (валовый)</t>
  </si>
  <si>
    <t>100332907</t>
  </si>
  <si>
    <t>100335107</t>
  </si>
  <si>
    <t>Бензол (валовый)</t>
  </si>
  <si>
    <t>100335108</t>
  </si>
  <si>
    <t>100335109</t>
  </si>
  <si>
    <t>Кубовый Остаток Ректификации Бензола (валовый)</t>
  </si>
  <si>
    <t>100336080</t>
  </si>
  <si>
    <t>100336081</t>
  </si>
  <si>
    <t>Стирол (валовый)</t>
  </si>
  <si>
    <t>100330837</t>
  </si>
  <si>
    <t>100330838</t>
  </si>
  <si>
    <t>Кубовый Остаток Ректификации Стирола (валовый)</t>
  </si>
  <si>
    <t>100336082</t>
  </si>
  <si>
    <t>100336083</t>
  </si>
  <si>
    <t>Этилбензол (валовый)</t>
  </si>
  <si>
    <t>100336084</t>
  </si>
  <si>
    <t>100336085</t>
  </si>
  <si>
    <t>Полиэтилен высокого давления (валовый)</t>
  </si>
  <si>
    <t>100330840</t>
  </si>
  <si>
    <t>100335112</t>
  </si>
  <si>
    <t>Полиэтилен низкого давления (валовый)</t>
  </si>
  <si>
    <t>100330841</t>
  </si>
  <si>
    <t>100335113</t>
  </si>
  <si>
    <t>Полистирол (ПСМ) (валовый)</t>
  </si>
  <si>
    <t>100330839</t>
  </si>
  <si>
    <t>100335111</t>
  </si>
  <si>
    <t>Нормальный  бутанол (валовый)</t>
  </si>
  <si>
    <t>100330842</t>
  </si>
  <si>
    <t>100330843</t>
  </si>
  <si>
    <t>100336086</t>
  </si>
  <si>
    <t>100336087</t>
  </si>
  <si>
    <t>Изобутанол (валовый)</t>
  </si>
  <si>
    <t>100330844</t>
  </si>
  <si>
    <t>100330845</t>
  </si>
  <si>
    <t>100336088</t>
  </si>
  <si>
    <t>На Дмитриевский хим.завод (производство изобутилацетата)</t>
  </si>
  <si>
    <t>100336163</t>
  </si>
  <si>
    <t>Кубовый остаток бутиловых спиртов (КОБС) 
(валовый)</t>
  </si>
  <si>
    <t>100336089</t>
  </si>
  <si>
    <t>100336090</t>
  </si>
  <si>
    <t>100336091</t>
  </si>
  <si>
    <t>100336092</t>
  </si>
  <si>
    <t>100336093</t>
  </si>
  <si>
    <t>100336094</t>
  </si>
  <si>
    <t>100336095</t>
  </si>
  <si>
    <t>100336096</t>
  </si>
  <si>
    <t>Пластификаторы (валовый)</t>
  </si>
  <si>
    <t>100330846</t>
  </si>
  <si>
    <t>100336097</t>
  </si>
  <si>
    <t>Дваэтилгексанол (валовый)</t>
  </si>
  <si>
    <t>100336098</t>
  </si>
  <si>
    <t>100336099</t>
  </si>
  <si>
    <t>Кубовый остаток от дваэтилгексанола (КОРДЭГ) 
(валовый)</t>
  </si>
  <si>
    <t>100336100</t>
  </si>
  <si>
    <t>100336101</t>
  </si>
  <si>
    <t>ЗАВ1</t>
  </si>
  <si>
    <t>100330792</t>
  </si>
  <si>
    <t>100330794</t>
  </si>
  <si>
    <t>100330795</t>
  </si>
  <si>
    <t>Аммиак (валовый)</t>
  </si>
  <si>
    <t>100330798</t>
  </si>
  <si>
    <t>100330799</t>
  </si>
  <si>
    <t>Карбамид (валовый)</t>
  </si>
  <si>
    <t>100330796</t>
  </si>
  <si>
    <t>100336102</t>
  </si>
  <si>
    <t>Аммиачная вода (валовый)</t>
  </si>
  <si>
    <t>100330800</t>
  </si>
  <si>
    <t>100336103</t>
  </si>
  <si>
    <t>ЗАВ4</t>
  </si>
  <si>
    <t>100332347</t>
  </si>
  <si>
    <t>100332348+100332349</t>
  </si>
  <si>
    <t>100332348</t>
  </si>
  <si>
    <t>100332349</t>
  </si>
  <si>
    <t>100332350</t>
  </si>
  <si>
    <t>100332352+100332353</t>
  </si>
  <si>
    <t>Бутилакрилат (товар)</t>
  </si>
  <si>
    <t>100332352</t>
  </si>
  <si>
    <t>Ледяная акриловая кислота (товар)</t>
  </si>
  <si>
    <t>100332353</t>
  </si>
  <si>
    <t>Прогнозные показатели по переработке сырья и производству продукции ПАО "Газпром нефть"</t>
  </si>
  <si>
    <t>18. ПАО "Газпром нефть"</t>
  </si>
  <si>
    <t>18.5</t>
  </si>
  <si>
    <t>18.6</t>
  </si>
  <si>
    <t>100330758</t>
  </si>
  <si>
    <t>18.7</t>
  </si>
  <si>
    <t>100330759</t>
  </si>
  <si>
    <t>18.8</t>
  </si>
  <si>
    <t>100330760</t>
  </si>
  <si>
    <t>18.10</t>
  </si>
  <si>
    <t>Комплекс NIS</t>
  </si>
  <si>
    <t>100335375</t>
  </si>
  <si>
    <t>18.9</t>
  </si>
  <si>
    <t>100335374</t>
  </si>
  <si>
    <t>18.11</t>
  </si>
  <si>
    <t>Производство продукция, всего:</t>
  </si>
  <si>
    <t>100330761+100330762+100330763+100335376+100335377</t>
  </si>
  <si>
    <t>18.12</t>
  </si>
  <si>
    <t>100330761</t>
  </si>
  <si>
    <t>18.13</t>
  </si>
  <si>
    <t>100330762</t>
  </si>
  <si>
    <t>18.14</t>
  </si>
  <si>
    <t>100330763</t>
  </si>
  <si>
    <t>18.15</t>
  </si>
  <si>
    <t>100335376</t>
  </si>
  <si>
    <t>18.16</t>
  </si>
  <si>
    <t>100335377</t>
  </si>
  <si>
    <t>18.17</t>
  </si>
  <si>
    <t>Сухой газ, всего:</t>
  </si>
  <si>
    <t>100335378</t>
  </si>
  <si>
    <t>100335379</t>
  </si>
  <si>
    <t>18.18</t>
  </si>
  <si>
    <t>18.19</t>
  </si>
  <si>
    <t>Широкая фракция легких углеводородов</t>
  </si>
  <si>
    <t>100335380</t>
  </si>
  <si>
    <t>100335381</t>
  </si>
  <si>
    <t>18.20</t>
  </si>
  <si>
    <t>18.21</t>
  </si>
  <si>
    <t>Бензин автомобильный, всего:</t>
  </si>
  <si>
    <t>100330764+100330765+100330766+100335382</t>
  </si>
  <si>
    <t>18.22</t>
  </si>
  <si>
    <t>100330764</t>
  </si>
  <si>
    <t>18.23</t>
  </si>
  <si>
    <t>100330765</t>
  </si>
  <si>
    <t>18.24</t>
  </si>
  <si>
    <t>100330766</t>
  </si>
  <si>
    <t>18.25</t>
  </si>
  <si>
    <t>100335382</t>
  </si>
  <si>
    <t>18.26</t>
  </si>
  <si>
    <t>Бензин технологический, всего:</t>
  </si>
  <si>
    <t>100330767</t>
  </si>
  <si>
    <t>100330768+100330769+100330770+100335383</t>
  </si>
  <si>
    <t>18.27</t>
  </si>
  <si>
    <t>100330768</t>
  </si>
  <si>
    <t>18.28</t>
  </si>
  <si>
    <t>100330769</t>
  </si>
  <si>
    <t>18.29</t>
  </si>
  <si>
    <t>100330770</t>
  </si>
  <si>
    <t>18.30</t>
  </si>
  <si>
    <t>100335383</t>
  </si>
  <si>
    <t>18.31</t>
  </si>
  <si>
    <t>Дизельное топливо, всего:</t>
  </si>
  <si>
    <t>100330771+100330772+100330773+100335384</t>
  </si>
  <si>
    <t>18.32</t>
  </si>
  <si>
    <t>100330771</t>
  </si>
  <si>
    <t>18.33</t>
  </si>
  <si>
    <t>100330772</t>
  </si>
  <si>
    <t>18.34</t>
  </si>
  <si>
    <t>100330773</t>
  </si>
  <si>
    <t>18.35</t>
  </si>
  <si>
    <t>100335384</t>
  </si>
  <si>
    <t>18.36</t>
  </si>
  <si>
    <t>Мазут топочный, всего:</t>
  </si>
  <si>
    <t>100330774</t>
  </si>
  <si>
    <t>100330775+100330776+100330777+100335385</t>
  </si>
  <si>
    <t>18.37</t>
  </si>
  <si>
    <t>100330775</t>
  </si>
  <si>
    <t>18.38</t>
  </si>
  <si>
    <t>100330776</t>
  </si>
  <si>
    <t>18.39</t>
  </si>
  <si>
    <t>100330777</t>
  </si>
  <si>
    <t>18.40</t>
  </si>
  <si>
    <t>100335385</t>
  </si>
  <si>
    <t>18.41</t>
  </si>
  <si>
    <t>Авиакеросин, всего:</t>
  </si>
  <si>
    <t>100330778</t>
  </si>
  <si>
    <t>100330779+100330780+100330781+100335386</t>
  </si>
  <si>
    <t>18.42</t>
  </si>
  <si>
    <t>100330779</t>
  </si>
  <si>
    <t>18.43</t>
  </si>
  <si>
    <t>100330780</t>
  </si>
  <si>
    <t>18.44</t>
  </si>
  <si>
    <t>100330781</t>
  </si>
  <si>
    <t>18.45</t>
  </si>
  <si>
    <t>100335386</t>
  </si>
  <si>
    <t>18.46</t>
  </si>
  <si>
    <t>Судовое топливо, всего:</t>
  </si>
  <si>
    <t>100335387</t>
  </si>
  <si>
    <t>100335388+100335389+100335390+100335391</t>
  </si>
  <si>
    <t>18.47</t>
  </si>
  <si>
    <t>100335388</t>
  </si>
  <si>
    <t>18.48</t>
  </si>
  <si>
    <t>100335389</t>
  </si>
  <si>
    <t>18.49</t>
  </si>
  <si>
    <t>100335390</t>
  </si>
  <si>
    <t>18.50</t>
  </si>
  <si>
    <t>100335391</t>
  </si>
  <si>
    <t>18.51</t>
  </si>
  <si>
    <t>Масла, всего</t>
  </si>
  <si>
    <t>100330782</t>
  </si>
  <si>
    <t>100335392+100335393+100330783+100335394</t>
  </si>
  <si>
    <t>18.52</t>
  </si>
  <si>
    <t>100335392</t>
  </si>
  <si>
    <t>18.53</t>
  </si>
  <si>
    <t>100335393</t>
  </si>
  <si>
    <t>18.54</t>
  </si>
  <si>
    <t>100330783</t>
  </si>
  <si>
    <t>18.55</t>
  </si>
  <si>
    <t>100335394</t>
  </si>
  <si>
    <t>18.56</t>
  </si>
  <si>
    <t>Газы углеводородные сжиженные, всего:</t>
  </si>
  <si>
    <t>100330086</t>
  </si>
  <si>
    <t>100330784+100330785+100330786+100335395</t>
  </si>
  <si>
    <t>18.57</t>
  </si>
  <si>
    <t>12.1</t>
  </si>
  <si>
    <t>100330784</t>
  </si>
  <si>
    <t>18.58</t>
  </si>
  <si>
    <t>12.2</t>
  </si>
  <si>
    <t>100330785</t>
  </si>
  <si>
    <t>18.59</t>
  </si>
  <si>
    <t>12.3</t>
  </si>
  <si>
    <t>100330786</t>
  </si>
  <si>
    <t>18.60</t>
  </si>
  <si>
    <t>12.4</t>
  </si>
  <si>
    <t>100335395</t>
  </si>
  <si>
    <t>18.61</t>
  </si>
  <si>
    <t>Битумы, всего:</t>
  </si>
  <si>
    <t>100335396</t>
  </si>
  <si>
    <t>100335397+100335398+100335399+100335400</t>
  </si>
  <si>
    <t>18.62</t>
  </si>
  <si>
    <t>100335397</t>
  </si>
  <si>
    <t>18.63</t>
  </si>
  <si>
    <t>100335398</t>
  </si>
  <si>
    <t>18.64</t>
  </si>
  <si>
    <t>100335399</t>
  </si>
  <si>
    <t>18.65</t>
  </si>
  <si>
    <t>100335400</t>
  </si>
  <si>
    <t>18.66</t>
  </si>
  <si>
    <t>14</t>
  </si>
  <si>
    <t>Сера, всего:</t>
  </si>
  <si>
    <t>100335401</t>
  </si>
  <si>
    <t>100335402+100335403+100335404+100335405</t>
  </si>
  <si>
    <t>18.67</t>
  </si>
  <si>
    <t>100335402</t>
  </si>
  <si>
    <t>18.68</t>
  </si>
  <si>
    <t>100335403</t>
  </si>
  <si>
    <t>18.69</t>
  </si>
  <si>
    <t>100335404</t>
  </si>
  <si>
    <t>18.70</t>
  </si>
  <si>
    <t>100335405</t>
  </si>
  <si>
    <t>18.71</t>
  </si>
  <si>
    <t>15</t>
  </si>
  <si>
    <t>Прочие нефтепродукты, всего:</t>
  </si>
  <si>
    <t>100330787</t>
  </si>
  <si>
    <t>100330788+100330789+100330790+100335406</t>
  </si>
  <si>
    <t>18.72</t>
  </si>
  <si>
    <t>100330788</t>
  </si>
  <si>
    <t>18.73</t>
  </si>
  <si>
    <t>100330789</t>
  </si>
  <si>
    <t>18.74</t>
  </si>
  <si>
    <t>15.3</t>
  </si>
  <si>
    <t>100330790</t>
  </si>
  <si>
    <t>18.75</t>
  </si>
  <si>
    <t>15.4</t>
  </si>
  <si>
    <t>100335406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</si>
</sst>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165" formatCode="0.000"/>
    <numFmt numFmtId="166" formatCode="#,##0.000000"/>
    <numFmt numFmtId="167" formatCode="#,##0.0"/>
    <numFmt numFmtId="168" formatCode="&quot;$&quot;#.00"/>
    <numFmt numFmtId="169" formatCode="&quot;$&quot;#,##0_);[Red]\(&quot;$&quot;#,##0\)"/>
    <numFmt numFmtId="170" formatCode="General_)"/>
    <numFmt numFmtId="171" formatCode="%#.00"/>
  </numFmts>
  <fonts count="109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Helv"/>
    </font>
    <font>
      <sz val="10"/>
      <name val="Arial"/>
      <family val="2"/>
      <charset val="204"/>
    </font>
    <font>
      <sz val="1"/>
      <name val="Courier"/>
    </font>
    <font>
      <sz val="10"/>
      <name val="Arial Cyr"/>
    </font>
    <font>
      <i/>
      <sz val="12"/>
      <name val="Arial CYR"/>
    </font>
    <font>
      <sz val="10"/>
      <name val="MS Sans Serif"/>
    </font>
    <font>
      <sz val="12"/>
      <name val="ⓒoUAAA¨u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¹UAAA¼"/>
    </font>
    <font>
      <sz val="12"/>
      <name val="¹ÙÅÁÃ¼"/>
    </font>
    <font>
      <b/>
      <sz val="10"/>
      <name val="Arial"/>
      <family val="2"/>
      <charset val="204"/>
    </font>
    <font>
      <sz val="12"/>
      <name val="바탕체"/>
    </font>
    <font>
      <sz val="12"/>
      <name val="System"/>
    </font>
    <font>
      <sz val="10"/>
      <name val="±¼¸²Ã¼"/>
    </font>
    <font>
      <sz val="11"/>
      <name val="Times New Roman"/>
      <family val="1"/>
      <charset val="204"/>
    </font>
    <font>
      <sz val="8"/>
      <name val="Helv"/>
    </font>
    <font>
      <sz val="12"/>
      <name val="Times New Roman"/>
      <family val="1"/>
      <charset val="204"/>
    </font>
    <font>
      <sz val="12"/>
      <name val="Modern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name val="Times New Roman"/>
      <family val="1"/>
      <charset val="204"/>
    </font>
    <font>
      <i/>
      <u/>
      <sz val="12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i/>
      <sz val="14"/>
      <name val="Times New Roman"/>
      <family val="1"/>
      <charset val="204"/>
    </font>
    <font>
      <b/>
      <sz val="16"/>
      <color indexed="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indexed="2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4"/>
      <color theme="0" tint="-0.499984740745262"/>
      <name val="Times New Roman"/>
      <family val="1"/>
      <charset val="204"/>
    </font>
    <font>
      <i/>
      <sz val="14"/>
      <color theme="0" tint="-0.34998626667073579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4"/>
      <color indexed="4"/>
      <name val="Times New Roman"/>
      <family val="1"/>
      <charset val="204"/>
    </font>
    <font>
      <i/>
      <sz val="14"/>
      <color indexed="2"/>
      <name val="Times New Roman"/>
      <family val="1"/>
      <charset val="204"/>
    </font>
    <font>
      <sz val="14"/>
      <color indexed="4"/>
      <name val="Times New Roman"/>
      <family val="1"/>
      <charset val="204"/>
    </font>
    <font>
      <i/>
      <sz val="12"/>
      <color indexed="2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4"/>
      <color indexed="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indexed="2"/>
      <name val="Times New Roman"/>
      <family val="1"/>
      <charset val="204"/>
    </font>
    <font>
      <sz val="14"/>
      <color rgb="FF00B05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u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u/>
      <sz val="12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sz val="20"/>
      <color indexed="2"/>
      <name val="Times New Roman"/>
      <family val="1"/>
      <charset val="204"/>
    </font>
    <font>
      <sz val="14"/>
      <color indexed="6"/>
      <name val="Times New Roman"/>
      <family val="1"/>
      <charset val="204"/>
    </font>
    <font>
      <u/>
      <sz val="14"/>
      <color indexed="4"/>
      <name val="Times New Roman"/>
      <family val="1"/>
      <charset val="204"/>
    </font>
    <font>
      <b/>
      <sz val="14"/>
      <color rgb="FFC0000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sz val="14"/>
      <color indexed="6"/>
      <name val="Times New Roman"/>
      <family val="1"/>
      <charset val="204"/>
    </font>
    <font>
      <i/>
      <sz val="14"/>
      <color indexed="6"/>
      <name val="Times New Roman"/>
      <family val="1"/>
      <charset val="204"/>
    </font>
    <font>
      <sz val="14"/>
      <color theme="5"/>
      <name val="Times New Roman"/>
      <family val="1"/>
      <charset val="204"/>
    </font>
    <font>
      <i/>
      <sz val="14"/>
      <color theme="5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u/>
      <sz val="12"/>
      <color indexed="4"/>
      <name val="Times New Roman"/>
      <family val="1"/>
      <charset val="204"/>
    </font>
    <font>
      <sz val="11"/>
      <color theme="5"/>
      <name val="Calibri"/>
      <family val="2"/>
      <charset val="204"/>
      <scheme val="minor"/>
    </font>
    <font>
      <b/>
      <i/>
      <sz val="14"/>
      <color indexed="2"/>
      <name val="Times New Roman"/>
      <family val="1"/>
      <charset val="204"/>
    </font>
    <font>
      <u/>
      <sz val="14"/>
      <name val="Times New Roman"/>
      <family val="1"/>
      <charset val="204"/>
    </font>
    <font>
      <i/>
      <sz val="14"/>
      <color theme="4" tint="0.39997558519241921"/>
      <name val="Times New Roman"/>
      <family val="1"/>
      <charset val="204"/>
    </font>
    <font>
      <b/>
      <sz val="14"/>
      <color theme="4" tint="-0.249977111117893"/>
      <name val="Times New Roman"/>
      <family val="1"/>
      <charset val="204"/>
    </font>
    <font>
      <b/>
      <i/>
      <u/>
      <sz val="14"/>
      <name val="Times New Roman"/>
      <family val="1"/>
      <charset val="204"/>
    </font>
    <font>
      <b/>
      <i/>
      <u/>
      <sz val="22"/>
      <color indexed="2"/>
      <name val="Times New Roman"/>
      <family val="1"/>
      <charset val="204"/>
    </font>
    <font>
      <b/>
      <i/>
      <u/>
      <sz val="14"/>
      <color indexed="2"/>
      <name val="Times New Roman"/>
      <family val="1"/>
      <charset val="204"/>
    </font>
    <font>
      <b/>
      <i/>
      <sz val="14"/>
      <color theme="6" tint="-0.249977111117893"/>
      <name val="Times New Roman"/>
      <family val="1"/>
      <charset val="204"/>
    </font>
    <font>
      <sz val="14"/>
      <color theme="8" tint="-0.499984740745262"/>
      <name val="Times New Roman"/>
      <family val="1"/>
      <charset val="204"/>
    </font>
    <font>
      <u/>
      <sz val="14"/>
      <color theme="1"/>
      <name val="Times New Roman"/>
      <family val="1"/>
      <charset val="204"/>
    </font>
    <font>
      <b/>
      <i/>
      <sz val="14"/>
      <color theme="8" tint="-0.499984740745262"/>
      <name val="Times New Roman"/>
      <family val="1"/>
      <charset val="204"/>
    </font>
    <font>
      <i/>
      <sz val="14"/>
      <color theme="8" tint="-0.499984740745262"/>
      <name val="Times New Roman"/>
      <family val="1"/>
      <charset val="204"/>
    </font>
    <font>
      <sz val="14"/>
      <color rgb="FF00B0F0"/>
      <name val="Times New Roman"/>
      <family val="1"/>
      <charset val="204"/>
    </font>
    <font>
      <b/>
      <i/>
      <sz val="14"/>
      <color rgb="FF00B0F0"/>
      <name val="Times New Roman"/>
      <family val="1"/>
      <charset val="204"/>
    </font>
    <font>
      <i/>
      <sz val="14"/>
      <color rgb="FF00B0F0"/>
      <name val="Times New Roman"/>
      <family val="1"/>
      <charset val="204"/>
    </font>
    <font>
      <sz val="14"/>
      <color theme="6" tint="-0.249977111117893"/>
      <name val="Times New Roman"/>
      <family val="1"/>
      <charset val="204"/>
    </font>
    <font>
      <i/>
      <sz val="14"/>
      <color theme="6" tint="-0.249977111117893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theme="0" tint="-0.34998626667073579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i/>
      <sz val="14"/>
      <color rgb="FFC0000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rgb="FF0000FF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4"/>
      <color rgb="FFC00000"/>
      <name val="Times New Roman"/>
      <family val="1"/>
      <charset val="204"/>
    </font>
    <font>
      <i/>
      <sz val="14"/>
      <color rgb="FFC00000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u/>
      <sz val="14"/>
      <color theme="1"/>
      <name val="Times New Roman"/>
      <family val="1"/>
      <charset val="204"/>
    </font>
    <font>
      <b/>
      <u/>
      <sz val="14"/>
      <name val="Times New Roman"/>
      <family val="1"/>
      <charset val="204"/>
    </font>
    <font>
      <b/>
      <u/>
      <sz val="16"/>
      <color theme="1"/>
      <name val="Times New Roman"/>
      <family val="1"/>
      <charset val="204"/>
    </font>
    <font>
      <b/>
      <u/>
      <sz val="16"/>
      <name val="Times New Roman"/>
      <family val="1"/>
      <charset val="204"/>
    </font>
    <font>
      <sz val="11"/>
      <name val="Calibri"/>
    </font>
    <font>
      <sz val="16"/>
      <color indexed="8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</borders>
  <cellStyleXfs count="104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2" borderId="0"/>
    <xf numFmtId="0" fontId="4" fillId="0" borderId="0"/>
    <xf numFmtId="0" fontId="3" fillId="0" borderId="0"/>
    <xf numFmtId="0" fontId="4" fillId="2" borderId="0"/>
    <xf numFmtId="0" fontId="4" fillId="0" borderId="0"/>
    <xf numFmtId="0" fontId="4" fillId="0" borderId="0"/>
    <xf numFmtId="0" fontId="4" fillId="0" borderId="0"/>
    <xf numFmtId="0" fontId="6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7" fillId="0" borderId="0"/>
    <xf numFmtId="0" fontId="4" fillId="0" borderId="0"/>
    <xf numFmtId="0" fontId="3" fillId="0" borderId="0"/>
    <xf numFmtId="0" fontId="9" fillId="0" borderId="0"/>
    <xf numFmtId="0" fontId="9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5" fillId="0" borderId="0"/>
    <xf numFmtId="0" fontId="12" fillId="0" borderId="0"/>
    <xf numFmtId="0" fontId="16" fillId="0" borderId="0"/>
    <xf numFmtId="0" fontId="13" fillId="0" borderId="0"/>
    <xf numFmtId="0" fontId="12" fillId="0" borderId="0"/>
    <xf numFmtId="0" fontId="16" fillId="0" borderId="0"/>
    <xf numFmtId="0" fontId="16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7" fillId="0" borderId="0"/>
    <xf numFmtId="4" fontId="5" fillId="0" borderId="0">
      <protection locked="0"/>
    </xf>
    <xf numFmtId="0" fontId="8" fillId="0" borderId="0"/>
    <xf numFmtId="0" fontId="4" fillId="0" borderId="0"/>
    <xf numFmtId="167" fontId="11" fillId="0" borderId="0"/>
    <xf numFmtId="4" fontId="11" fillId="0" borderId="0"/>
    <xf numFmtId="168" fontId="5" fillId="0" borderId="0">
      <protection locked="0"/>
    </xf>
    <xf numFmtId="169" fontId="8" fillId="0" borderId="0"/>
    <xf numFmtId="0" fontId="4" fillId="0" borderId="0"/>
    <xf numFmtId="9" fontId="19" fillId="0" borderId="0"/>
    <xf numFmtId="169" fontId="19" fillId="0" borderId="3">
      <alignment horizontal="center"/>
    </xf>
    <xf numFmtId="0" fontId="21" fillId="0" borderId="0"/>
    <xf numFmtId="170" fontId="4" fillId="0" borderId="0"/>
    <xf numFmtId="0" fontId="4" fillId="0" borderId="0"/>
    <xf numFmtId="0" fontId="19" fillId="0" borderId="0"/>
    <xf numFmtId="171" fontId="5" fillId="0" borderId="0">
      <protection locked="0"/>
    </xf>
    <xf numFmtId="0" fontId="14" fillId="0" borderId="0"/>
    <xf numFmtId="0" fontId="15" fillId="0" borderId="0"/>
    <xf numFmtId="0" fontId="15" fillId="0" borderId="0"/>
    <xf numFmtId="43" fontId="102" fillId="0" borderId="0"/>
    <xf numFmtId="41" fontId="102" fillId="0" borderId="0"/>
    <xf numFmtId="44" fontId="102" fillId="0" borderId="0"/>
    <xf numFmtId="42" fontId="102" fillId="0" borderId="0"/>
    <xf numFmtId="9" fontId="102" fillId="0" borderId="0"/>
    <xf numFmtId="0" fontId="6" fillId="0" borderId="0"/>
    <xf numFmtId="0" fontId="107" fillId="0" borderId="24"/>
  </cellStyleXfs>
  <cellXfs count="891">
    <xf numFmtId="0" fontId="0" fillId="0" borderId="0" xfId="0"/>
    <xf numFmtId="0" fontId="29" fillId="0" borderId="15" xfId="0" quotePrefix="1" applyFont="1" applyBorder="1" applyAlignment="1">
      <alignment horizontal="left" vertical="center" indent="2"/>
    </xf>
    <xf numFmtId="0" fontId="31" fillId="0" borderId="15" xfId="0" quotePrefix="1" applyFont="1" applyBorder="1" applyAlignment="1">
      <alignment horizontal="left" vertical="center" indent="2"/>
    </xf>
    <xf numFmtId="0" fontId="23" fillId="0" borderId="0" xfId="0" applyFont="1"/>
    <xf numFmtId="0" fontId="35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58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48" fillId="0" borderId="0" xfId="0" applyFont="1" applyAlignment="1">
      <alignment horizontal="left" vertical="center" indent="5"/>
    </xf>
    <xf numFmtId="0" fontId="27" fillId="0" borderId="1" xfId="0" applyFont="1" applyBorder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right" vertical="center"/>
    </xf>
    <xf numFmtId="0" fontId="3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60" fillId="0" borderId="0" xfId="0" applyFont="1"/>
    <xf numFmtId="0" fontId="48" fillId="0" borderId="0" xfId="0" applyFont="1" applyAlignment="1">
      <alignment vertical="center" wrapText="1"/>
    </xf>
    <xf numFmtId="0" fontId="48" fillId="0" borderId="0" xfId="0" quotePrefix="1" applyFont="1" applyAlignment="1">
      <alignment vertical="center" wrapText="1"/>
    </xf>
    <xf numFmtId="0" fontId="33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49" fillId="0" borderId="0" xfId="0" applyFont="1"/>
    <xf numFmtId="49" fontId="40" fillId="0" borderId="0" xfId="0" applyNumberFormat="1" applyFont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49" fillId="0" borderId="12" xfId="0" applyFont="1" applyBorder="1" applyAlignment="1">
      <alignment horizontal="center" vertical="center"/>
    </xf>
    <xf numFmtId="0" fontId="48" fillId="0" borderId="9" xfId="0" applyFont="1" applyBorder="1" applyAlignment="1">
      <alignment horizontal="left" vertical="center" wrapText="1" indent="2"/>
    </xf>
    <xf numFmtId="0" fontId="48" fillId="0" borderId="0" xfId="0" applyFont="1" applyAlignment="1">
      <alignment horizontal="left" wrapText="1" indent="4"/>
    </xf>
    <xf numFmtId="0" fontId="64" fillId="0" borderId="0" xfId="0" applyFont="1"/>
    <xf numFmtId="0" fontId="64" fillId="0" borderId="8" xfId="0" applyFont="1" applyBorder="1" applyAlignment="1">
      <alignment horizontal="center" vertical="center"/>
    </xf>
    <xf numFmtId="0" fontId="38" fillId="0" borderId="0" xfId="0" applyFont="1"/>
    <xf numFmtId="49" fontId="33" fillId="0" borderId="8" xfId="0" applyNumberFormat="1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9" xfId="0" applyFont="1" applyBorder="1" applyAlignment="1">
      <alignment horizontal="left" vertical="center" wrapText="1" indent="2"/>
    </xf>
    <xf numFmtId="0" fontId="63" fillId="0" borderId="8" xfId="0" applyFont="1" applyBorder="1" applyAlignment="1">
      <alignment horizontal="left" wrapText="1" indent="1"/>
    </xf>
    <xf numFmtId="0" fontId="33" fillId="0" borderId="8" xfId="0" applyFont="1" applyBorder="1" applyAlignment="1">
      <alignment horizontal="left" wrapText="1" indent="2"/>
    </xf>
    <xf numFmtId="0" fontId="38" fillId="0" borderId="8" xfId="0" applyFont="1" applyBorder="1" applyAlignment="1">
      <alignment horizontal="left" wrapText="1" indent="4"/>
    </xf>
    <xf numFmtId="0" fontId="64" fillId="0" borderId="8" xfId="0" applyFont="1" applyBorder="1" applyAlignment="1">
      <alignment horizontal="left" wrapText="1" indent="1"/>
    </xf>
    <xf numFmtId="0" fontId="48" fillId="0" borderId="1" xfId="0" applyFont="1" applyBorder="1"/>
    <xf numFmtId="0" fontId="47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48" fillId="0" borderId="0" xfId="0" applyFont="1" applyAlignment="1">
      <alignment horizontal="left" wrapText="1" indent="2"/>
    </xf>
    <xf numFmtId="0" fontId="67" fillId="0" borderId="0" xfId="0" applyFont="1"/>
    <xf numFmtId="0" fontId="68" fillId="0" borderId="1" xfId="0" applyFont="1" applyBorder="1" applyAlignment="1">
      <alignment horizontal="left" wrapText="1" indent="3"/>
    </xf>
    <xf numFmtId="0" fontId="24" fillId="0" borderId="0" xfId="0" applyFont="1"/>
    <xf numFmtId="0" fontId="69" fillId="0" borderId="0" xfId="0" applyFont="1"/>
    <xf numFmtId="0" fontId="37" fillId="0" borderId="0" xfId="0" applyFont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70" fillId="0" borderId="0" xfId="0" applyFont="1"/>
    <xf numFmtId="0" fontId="10" fillId="0" borderId="15" xfId="0" quotePrefix="1" applyFont="1" applyBorder="1" applyAlignment="1">
      <alignment horizontal="left" vertical="center" indent="2"/>
    </xf>
    <xf numFmtId="0" fontId="23" fillId="0" borderId="12" xfId="0" applyFont="1" applyBorder="1" applyAlignment="1">
      <alignment horizontal="left" vertical="center" indent="1"/>
    </xf>
    <xf numFmtId="0" fontId="20" fillId="0" borderId="12" xfId="0" applyFont="1" applyBorder="1" applyAlignment="1">
      <alignment horizontal="center" vertical="center"/>
    </xf>
    <xf numFmtId="0" fontId="41" fillId="0" borderId="8" xfId="0" applyFont="1" applyBorder="1" applyAlignment="1">
      <alignment horizontal="left" vertical="center" wrapText="1" indent="2"/>
    </xf>
    <xf numFmtId="0" fontId="46" fillId="0" borderId="8" xfId="0" applyFont="1" applyBorder="1" applyAlignment="1">
      <alignment horizontal="center" vertical="center" wrapText="1"/>
    </xf>
    <xf numFmtId="0" fontId="41" fillId="0" borderId="8" xfId="0" quotePrefix="1" applyFont="1" applyBorder="1" applyAlignment="1">
      <alignment horizontal="left" vertical="center" wrapText="1" indent="2"/>
    </xf>
    <xf numFmtId="0" fontId="41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left" vertical="center" wrapText="1" indent="5"/>
    </xf>
    <xf numFmtId="0" fontId="46" fillId="0" borderId="8" xfId="0" applyFont="1" applyBorder="1" applyAlignment="1">
      <alignment horizontal="left" vertical="center" wrapText="1" indent="3"/>
    </xf>
    <xf numFmtId="0" fontId="36" fillId="0" borderId="8" xfId="0" applyFont="1" applyBorder="1" applyAlignment="1">
      <alignment horizontal="left" vertical="center" wrapText="1" indent="1"/>
    </xf>
    <xf numFmtId="0" fontId="20" fillId="0" borderId="8" xfId="0" applyFont="1" applyBorder="1" applyAlignment="1">
      <alignment horizontal="left" vertical="center" wrapText="1" indent="1"/>
    </xf>
    <xf numFmtId="0" fontId="23" fillId="0" borderId="8" xfId="0" applyFont="1" applyBorder="1" applyAlignment="1">
      <alignment vertical="center" wrapText="1"/>
    </xf>
    <xf numFmtId="0" fontId="46" fillId="0" borderId="8" xfId="0" applyFont="1" applyBorder="1" applyAlignment="1">
      <alignment horizontal="left" vertical="center" wrapText="1" indent="4"/>
    </xf>
    <xf numFmtId="0" fontId="23" fillId="0" borderId="8" xfId="0" applyFont="1" applyBorder="1" applyAlignment="1">
      <alignment horizontal="center" vertical="center" wrapText="1"/>
    </xf>
    <xf numFmtId="49" fontId="46" fillId="0" borderId="0" xfId="0" applyNumberFormat="1" applyFont="1" applyAlignment="1">
      <alignment horizontal="center" vertical="center"/>
    </xf>
    <xf numFmtId="0" fontId="71" fillId="0" borderId="0" xfId="0" applyFont="1"/>
    <xf numFmtId="49" fontId="40" fillId="0" borderId="0" xfId="0" applyNumberFormat="1" applyFont="1" applyAlignment="1">
      <alignment horizontal="center"/>
    </xf>
    <xf numFmtId="49" fontId="49" fillId="0" borderId="12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left" vertical="center" wrapText="1" indent="1"/>
    </xf>
    <xf numFmtId="0" fontId="29" fillId="0" borderId="13" xfId="0" applyFont="1" applyBorder="1" applyAlignment="1">
      <alignment horizontal="center" vertical="center"/>
    </xf>
    <xf numFmtId="49" fontId="48" fillId="0" borderId="8" xfId="0" applyNumberFormat="1" applyFont="1" applyBorder="1" applyAlignment="1">
      <alignment horizontal="center"/>
    </xf>
    <xf numFmtId="0" fontId="27" fillId="0" borderId="8" xfId="0" applyFont="1" applyBorder="1" applyAlignment="1">
      <alignment horizontal="left" wrapText="1" indent="2"/>
    </xf>
    <xf numFmtId="0" fontId="27" fillId="0" borderId="9" xfId="0" applyFont="1" applyBorder="1" applyAlignment="1">
      <alignment horizontal="center"/>
    </xf>
    <xf numFmtId="0" fontId="49" fillId="0" borderId="8" xfId="0" applyFont="1" applyBorder="1" applyAlignment="1">
      <alignment horizontal="left" wrapText="1" indent="1"/>
    </xf>
    <xf numFmtId="0" fontId="29" fillId="0" borderId="9" xfId="0" applyFont="1" applyBorder="1" applyAlignment="1">
      <alignment horizontal="center"/>
    </xf>
    <xf numFmtId="16" fontId="29" fillId="0" borderId="8" xfId="0" applyNumberFormat="1" applyFont="1" applyBorder="1" applyAlignment="1">
      <alignment horizontal="left" wrapText="1" indent="1"/>
    </xf>
    <xf numFmtId="49" fontId="38" fillId="0" borderId="8" xfId="0" applyNumberFormat="1" applyFont="1" applyBorder="1" applyAlignment="1">
      <alignment horizontal="center"/>
    </xf>
    <xf numFmtId="0" fontId="33" fillId="0" borderId="9" xfId="0" applyFont="1" applyBorder="1" applyAlignment="1">
      <alignment horizontal="center" vertical="center"/>
    </xf>
    <xf numFmtId="0" fontId="64" fillId="0" borderId="0" xfId="0" applyFont="1" applyAlignment="1">
      <alignment vertical="center"/>
    </xf>
    <xf numFmtId="0" fontId="33" fillId="0" borderId="9" xfId="0" applyFont="1" applyBorder="1" applyAlignment="1">
      <alignment horizontal="center"/>
    </xf>
    <xf numFmtId="0" fontId="29" fillId="0" borderId="8" xfId="0" applyFont="1" applyBorder="1" applyAlignment="1">
      <alignment horizontal="left" vertical="center" indent="1"/>
    </xf>
    <xf numFmtId="49" fontId="48" fillId="0" borderId="4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44" fillId="0" borderId="0" xfId="0" applyFont="1"/>
    <xf numFmtId="0" fontId="67" fillId="0" borderId="1" xfId="0" applyFont="1" applyBorder="1"/>
    <xf numFmtId="0" fontId="72" fillId="0" borderId="0" xfId="0" applyFont="1" applyAlignment="1">
      <alignment horizontal="right"/>
    </xf>
    <xf numFmtId="49" fontId="29" fillId="0" borderId="8" xfId="0" applyNumberFormat="1" applyFont="1" applyBorder="1" applyAlignment="1">
      <alignment horizontal="center" vertical="center" wrapText="1"/>
    </xf>
    <xf numFmtId="49" fontId="43" fillId="0" borderId="0" xfId="0" applyNumberFormat="1" applyFont="1" applyAlignment="1">
      <alignment horizontal="center"/>
    </xf>
    <xf numFmtId="0" fontId="48" fillId="0" borderId="12" xfId="0" applyFont="1" applyBorder="1" applyAlignment="1">
      <alignment horizontal="center"/>
    </xf>
    <xf numFmtId="0" fontId="48" fillId="0" borderId="11" xfId="0" applyFont="1" applyBorder="1" applyAlignment="1">
      <alignment horizontal="left" vertical="center" wrapText="1" indent="2"/>
    </xf>
    <xf numFmtId="0" fontId="48" fillId="0" borderId="8" xfId="0" applyFont="1" applyBorder="1" applyAlignment="1">
      <alignment horizontal="center"/>
    </xf>
    <xf numFmtId="2" fontId="49" fillId="0" borderId="0" xfId="0" applyNumberFormat="1" applyFont="1" applyAlignment="1">
      <alignment horizontal="left" vertical="top" wrapText="1" indent="6"/>
    </xf>
    <xf numFmtId="2" fontId="48" fillId="0" borderId="0" xfId="0" applyNumberFormat="1" applyFont="1" applyAlignment="1">
      <alignment horizontal="left" vertical="top" wrapText="1" indent="6"/>
    </xf>
    <xf numFmtId="2" fontId="27" fillId="0" borderId="0" xfId="0" applyNumberFormat="1" applyFont="1" applyAlignment="1">
      <alignment horizontal="left" vertical="top" wrapText="1" indent="6"/>
    </xf>
    <xf numFmtId="49" fontId="74" fillId="0" borderId="0" xfId="0" applyNumberFormat="1" applyFont="1" applyAlignment="1">
      <alignment horizontal="center"/>
    </xf>
    <xf numFmtId="2" fontId="49" fillId="0" borderId="11" xfId="0" applyNumberFormat="1" applyFont="1" applyBorder="1" applyAlignment="1">
      <alignment horizontal="left" vertical="top" wrapText="1" indent="6"/>
    </xf>
    <xf numFmtId="2" fontId="48" fillId="0" borderId="11" xfId="0" applyNumberFormat="1" applyFont="1" applyBorder="1" applyAlignment="1">
      <alignment horizontal="left" vertical="top" wrapText="1" indent="6"/>
    </xf>
    <xf numFmtId="0" fontId="64" fillId="0" borderId="11" xfId="0" applyFont="1" applyBorder="1" applyAlignment="1">
      <alignment horizontal="left" vertical="top" wrapText="1" indent="1"/>
    </xf>
    <xf numFmtId="0" fontId="63" fillId="0" borderId="11" xfId="0" applyFont="1" applyBorder="1" applyAlignment="1">
      <alignment horizontal="left" vertical="top" wrapText="1" indent="3"/>
    </xf>
    <xf numFmtId="0" fontId="38" fillId="0" borderId="11" xfId="0" applyFont="1" applyBorder="1" applyAlignment="1">
      <alignment horizontal="left" vertical="top" wrapText="1" indent="5"/>
    </xf>
    <xf numFmtId="49" fontId="43" fillId="0" borderId="0" xfId="0" applyNumberFormat="1" applyFont="1" applyAlignment="1">
      <alignment horizontal="center" vertical="center"/>
    </xf>
    <xf numFmtId="0" fontId="48" fillId="0" borderId="11" xfId="0" applyFont="1" applyBorder="1" applyAlignment="1">
      <alignment horizontal="center"/>
    </xf>
    <xf numFmtId="0" fontId="48" fillId="0" borderId="0" xfId="0" applyFont="1" applyAlignment="1">
      <alignment horizontal="left" vertical="center" indent="1"/>
    </xf>
    <xf numFmtId="0" fontId="72" fillId="0" borderId="0" xfId="0" applyFont="1" applyAlignment="1">
      <alignment horizontal="right" vertical="center" indent="1"/>
    </xf>
    <xf numFmtId="0" fontId="49" fillId="0" borderId="11" xfId="0" applyFont="1" applyBorder="1" applyAlignment="1">
      <alignment horizontal="left" vertical="top" wrapText="1" indent="2"/>
    </xf>
    <xf numFmtId="0" fontId="27" fillId="0" borderId="8" xfId="0" applyFont="1" applyBorder="1" applyAlignment="1">
      <alignment horizontal="center"/>
    </xf>
    <xf numFmtId="0" fontId="48" fillId="0" borderId="11" xfId="0" applyFont="1" applyBorder="1" applyAlignment="1">
      <alignment horizontal="left" vertical="top" wrapText="1" indent="3"/>
    </xf>
    <xf numFmtId="0" fontId="27" fillId="0" borderId="11" xfId="0" applyFont="1" applyBorder="1" applyAlignment="1">
      <alignment horizontal="left" vertical="top" wrapText="1" indent="3"/>
    </xf>
    <xf numFmtId="0" fontId="49" fillId="0" borderId="11" xfId="0" applyFont="1" applyBorder="1" applyAlignment="1">
      <alignment horizontal="left" wrapText="1" indent="1"/>
    </xf>
    <xf numFmtId="0" fontId="48" fillId="0" borderId="11" xfId="0" applyFont="1" applyBorder="1" applyAlignment="1">
      <alignment horizontal="left" wrapText="1" indent="2"/>
    </xf>
    <xf numFmtId="0" fontId="48" fillId="0" borderId="11" xfId="0" applyFont="1" applyBorder="1" applyAlignment="1">
      <alignment horizontal="left" wrapText="1" indent="4"/>
    </xf>
    <xf numFmtId="49" fontId="39" fillId="0" borderId="0" xfId="0" applyNumberFormat="1" applyFont="1" applyAlignment="1">
      <alignment horizontal="center"/>
    </xf>
    <xf numFmtId="49" fontId="48" fillId="0" borderId="0" xfId="0" applyNumberFormat="1" applyFont="1" applyAlignment="1">
      <alignment horizontal="center" vertical="center" wrapText="1"/>
    </xf>
    <xf numFmtId="0" fontId="64" fillId="0" borderId="11" xfId="0" applyFont="1" applyBorder="1" applyAlignment="1">
      <alignment horizontal="left" wrapText="1" indent="1"/>
    </xf>
    <xf numFmtId="0" fontId="64" fillId="0" borderId="11" xfId="0" applyFont="1" applyBorder="1" applyAlignment="1">
      <alignment horizontal="left" wrapText="1" indent="2"/>
    </xf>
    <xf numFmtId="0" fontId="38" fillId="0" borderId="11" xfId="0" applyFont="1" applyBorder="1" applyAlignment="1">
      <alignment horizontal="left" wrapText="1" indent="2"/>
    </xf>
    <xf numFmtId="0" fontId="38" fillId="0" borderId="8" xfId="0" applyFont="1" applyBorder="1" applyAlignment="1">
      <alignment horizontal="left" wrapText="1" indent="2"/>
    </xf>
    <xf numFmtId="0" fontId="64" fillId="0" borderId="8" xfId="0" applyFont="1" applyBorder="1" applyAlignment="1">
      <alignment horizontal="left" wrapText="1" indent="2"/>
    </xf>
    <xf numFmtId="0" fontId="48" fillId="0" borderId="8" xfId="0" applyFont="1" applyBorder="1" applyAlignment="1">
      <alignment horizontal="left" wrapText="1" indent="7"/>
    </xf>
    <xf numFmtId="0" fontId="48" fillId="0" borderId="9" xfId="0" applyFont="1" applyBorder="1" applyAlignment="1">
      <alignment horizontal="left" wrapText="1" indent="7"/>
    </xf>
    <xf numFmtId="0" fontId="38" fillId="0" borderId="0" xfId="0" applyFont="1" applyAlignment="1">
      <alignment horizontal="left" wrapText="1" indent="8"/>
    </xf>
    <xf numFmtId="0" fontId="38" fillId="0" borderId="0" xfId="0" applyFont="1" applyAlignment="1">
      <alignment horizontal="left" wrapText="1" indent="3"/>
    </xf>
    <xf numFmtId="49" fontId="50" fillId="0" borderId="8" xfId="0" applyNumberFormat="1" applyFont="1" applyBorder="1" applyAlignment="1">
      <alignment horizontal="center" vertical="center" wrapText="1"/>
    </xf>
    <xf numFmtId="0" fontId="64" fillId="0" borderId="8" xfId="0" applyFont="1" applyBorder="1" applyAlignment="1">
      <alignment horizontal="left" vertical="center" wrapText="1" indent="1"/>
    </xf>
    <xf numFmtId="0" fontId="64" fillId="0" borderId="8" xfId="0" applyFont="1" applyBorder="1" applyAlignment="1">
      <alignment horizontal="left" vertical="top" wrapText="1" indent="1"/>
    </xf>
    <xf numFmtId="0" fontId="38" fillId="0" borderId="8" xfId="0" applyFont="1" applyBorder="1" applyAlignment="1">
      <alignment horizontal="left" vertical="top" wrapText="1" indent="2"/>
    </xf>
    <xf numFmtId="0" fontId="33" fillId="0" borderId="8" xfId="0" applyFont="1" applyBorder="1" applyAlignment="1">
      <alignment horizontal="left" vertical="top" wrapText="1" indent="2"/>
    </xf>
    <xf numFmtId="0" fontId="38" fillId="0" borderId="7" xfId="0" applyFont="1" applyBorder="1" applyAlignment="1">
      <alignment horizontal="left" wrapText="1" indent="2"/>
    </xf>
    <xf numFmtId="0" fontId="48" fillId="0" borderId="4" xfId="0" applyFont="1" applyBorder="1" applyAlignment="1">
      <alignment horizontal="center"/>
    </xf>
    <xf numFmtId="49" fontId="50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3" fillId="0" borderId="1" xfId="0" applyFont="1" applyBorder="1" applyAlignment="1">
      <alignment horizontal="left" wrapText="1" indent="3"/>
    </xf>
    <xf numFmtId="0" fontId="43" fillId="0" borderId="1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60" fillId="0" borderId="0" xfId="0" applyFont="1" applyAlignment="1">
      <alignment horizontal="center"/>
    </xf>
    <xf numFmtId="49" fontId="29" fillId="0" borderId="4" xfId="0" applyNumberFormat="1" applyFont="1" applyBorder="1" applyAlignment="1">
      <alignment horizontal="center" vertical="center"/>
    </xf>
    <xf numFmtId="0" fontId="27" fillId="0" borderId="0" xfId="0" applyFont="1"/>
    <xf numFmtId="0" fontId="33" fillId="0" borderId="0" xfId="0" applyFont="1" applyAlignment="1">
      <alignment horizontal="center"/>
    </xf>
    <xf numFmtId="0" fontId="29" fillId="0" borderId="13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left" vertical="center" wrapText="1" indent="1"/>
    </xf>
    <xf numFmtId="0" fontId="10" fillId="0" borderId="15" xfId="0" quotePrefix="1" applyFont="1" applyBorder="1" applyAlignment="1">
      <alignment horizontal="left" vertical="center" indent="3"/>
    </xf>
    <xf numFmtId="16" fontId="29" fillId="0" borderId="9" xfId="0" applyNumberFormat="1" applyFont="1" applyBorder="1" applyAlignment="1">
      <alignment horizontal="center" vertical="center" wrapText="1"/>
    </xf>
    <xf numFmtId="0" fontId="11" fillId="5" borderId="15" xfId="0" quotePrefix="1" applyFont="1" applyFill="1" applyBorder="1" applyAlignment="1">
      <alignment horizontal="left" vertical="center" indent="4"/>
    </xf>
    <xf numFmtId="0" fontId="29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left" vertical="center" wrapText="1" indent="2"/>
    </xf>
    <xf numFmtId="0" fontId="27" fillId="0" borderId="9" xfId="0" applyFont="1" applyBorder="1" applyAlignment="1">
      <alignment horizontal="left" vertical="center" wrapText="1" indent="8"/>
    </xf>
    <xf numFmtId="0" fontId="11" fillId="0" borderId="15" xfId="0" quotePrefix="1" applyFont="1" applyBorder="1" applyAlignment="1">
      <alignment horizontal="left" vertical="center" indent="3"/>
    </xf>
    <xf numFmtId="0" fontId="27" fillId="0" borderId="9" xfId="0" applyFont="1" applyBorder="1" applyAlignment="1">
      <alignment horizontal="left" vertical="center" wrapText="1" indent="1"/>
    </xf>
    <xf numFmtId="49" fontId="29" fillId="0" borderId="9" xfId="0" applyNumberFormat="1" applyFont="1" applyBorder="1" applyAlignment="1">
      <alignment horizontal="center" vertical="center"/>
    </xf>
    <xf numFmtId="0" fontId="31" fillId="0" borderId="15" xfId="0" quotePrefix="1" applyFont="1" applyBorder="1" applyAlignment="1">
      <alignment horizontal="left" vertical="center" indent="3"/>
    </xf>
    <xf numFmtId="0" fontId="33" fillId="0" borderId="0" xfId="0" applyFont="1"/>
    <xf numFmtId="0" fontId="63" fillId="0" borderId="9" xfId="0" applyFont="1" applyBorder="1" applyAlignment="1">
      <alignment horizontal="center" vertical="center"/>
    </xf>
    <xf numFmtId="0" fontId="76" fillId="0" borderId="9" xfId="0" applyFont="1" applyBorder="1" applyAlignment="1">
      <alignment horizontal="left" indent="1"/>
    </xf>
    <xf numFmtId="0" fontId="33" fillId="0" borderId="8" xfId="0" applyFont="1" applyBorder="1" applyAlignment="1">
      <alignment horizontal="center" vertical="center"/>
    </xf>
    <xf numFmtId="0" fontId="63" fillId="0" borderId="9" xfId="0" applyFont="1" applyBorder="1" applyAlignment="1">
      <alignment horizontal="left" vertical="center" wrapText="1" indent="1"/>
    </xf>
    <xf numFmtId="0" fontId="42" fillId="0" borderId="0" xfId="0" applyFont="1" applyAlignment="1">
      <alignment horizontal="center" vertical="center"/>
    </xf>
    <xf numFmtId="49" fontId="40" fillId="0" borderId="0" xfId="0" applyNumberFormat="1" applyFont="1" applyAlignment="1">
      <alignment horizontal="center" vertical="center" wrapText="1"/>
    </xf>
    <xf numFmtId="49" fontId="48" fillId="0" borderId="12" xfId="0" applyNumberFormat="1" applyFont="1" applyBorder="1" applyAlignment="1">
      <alignment horizontal="center" vertical="center" wrapText="1"/>
    </xf>
    <xf numFmtId="0" fontId="48" fillId="0" borderId="9" xfId="0" applyFont="1" applyBorder="1" applyAlignment="1">
      <alignment horizontal="center" vertical="center" wrapText="1"/>
    </xf>
    <xf numFmtId="0" fontId="27" fillId="0" borderId="0" xfId="0" applyFont="1" applyAlignment="1">
      <alignment horizontal="left" vertical="center" indent="2"/>
    </xf>
    <xf numFmtId="0" fontId="29" fillId="0" borderId="8" xfId="0" applyFont="1" applyBorder="1" applyAlignment="1">
      <alignment horizontal="left" wrapText="1" indent="1"/>
    </xf>
    <xf numFmtId="0" fontId="33" fillId="0" borderId="8" xfId="0" applyFont="1" applyBorder="1" applyAlignment="1">
      <alignment horizontal="left" wrapText="1" indent="5"/>
    </xf>
    <xf numFmtId="0" fontId="33" fillId="0" borderId="8" xfId="0" applyFont="1" applyBorder="1" applyAlignment="1">
      <alignment horizontal="left" wrapText="1" indent="3"/>
    </xf>
    <xf numFmtId="0" fontId="33" fillId="0" borderId="8" xfId="0" applyFont="1" applyBorder="1" applyAlignment="1">
      <alignment horizontal="left" wrapText="1" indent="1"/>
    </xf>
    <xf numFmtId="0" fontId="42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left" wrapText="1" indent="1"/>
    </xf>
    <xf numFmtId="0" fontId="44" fillId="0" borderId="0" xfId="0" applyFont="1" applyAlignment="1">
      <alignment horizontal="center" vertical="center"/>
    </xf>
    <xf numFmtId="0" fontId="50" fillId="0" borderId="0" xfId="0" applyFont="1" applyAlignment="1">
      <alignment horizontal="center"/>
    </xf>
    <xf numFmtId="0" fontId="27" fillId="0" borderId="0" xfId="0" quotePrefix="1" applyFont="1" applyAlignment="1">
      <alignment vertical="center"/>
    </xf>
    <xf numFmtId="0" fontId="29" fillId="0" borderId="0" xfId="0" applyFont="1" applyAlignment="1">
      <alignment horizontal="left" wrapText="1" indent="1"/>
    </xf>
    <xf numFmtId="0" fontId="27" fillId="0" borderId="0" xfId="0" applyFont="1" applyAlignment="1">
      <alignment horizontal="left" wrapText="1" indent="2"/>
    </xf>
    <xf numFmtId="0" fontId="63" fillId="0" borderId="0" xfId="0" applyFont="1" applyAlignment="1">
      <alignment horizontal="left" wrapText="1" indent="1"/>
    </xf>
    <xf numFmtId="0" fontId="33" fillId="0" borderId="0" xfId="0" applyFont="1" applyAlignment="1">
      <alignment horizontal="left" wrapText="1" indent="5"/>
    </xf>
    <xf numFmtId="0" fontId="33" fillId="0" borderId="0" xfId="0" applyFont="1" applyAlignment="1">
      <alignment horizontal="left" wrapText="1" indent="3"/>
    </xf>
    <xf numFmtId="0" fontId="33" fillId="0" borderId="0" xfId="0" applyFont="1" applyAlignment="1">
      <alignment horizontal="left" wrapText="1" indent="1"/>
    </xf>
    <xf numFmtId="0" fontId="33" fillId="0" borderId="0" xfId="0" applyFont="1" applyAlignment="1">
      <alignment horizontal="left" wrapText="1" indent="2"/>
    </xf>
    <xf numFmtId="0" fontId="72" fillId="0" borderId="0" xfId="0" applyFont="1" applyAlignment="1">
      <alignment horizontal="center"/>
    </xf>
    <xf numFmtId="0" fontId="27" fillId="0" borderId="0" xfId="0" applyFont="1" applyAlignment="1">
      <alignment vertical="center"/>
    </xf>
    <xf numFmtId="0" fontId="48" fillId="4" borderId="0" xfId="0" applyFont="1" applyFill="1"/>
    <xf numFmtId="0" fontId="38" fillId="0" borderId="0" xfId="0" applyFont="1" applyAlignment="1">
      <alignment vertical="center"/>
    </xf>
    <xf numFmtId="0" fontId="49" fillId="0" borderId="12" xfId="0" applyFont="1" applyBorder="1" applyAlignment="1">
      <alignment horizontal="left" vertical="center" indent="1"/>
    </xf>
    <xf numFmtId="0" fontId="49" fillId="0" borderId="2" xfId="0" applyFont="1" applyBorder="1" applyAlignment="1">
      <alignment horizontal="center" vertical="center"/>
    </xf>
    <xf numFmtId="49" fontId="39" fillId="0" borderId="0" xfId="0" applyNumberFormat="1" applyFont="1" applyAlignment="1">
      <alignment horizontal="center" vertical="center"/>
    </xf>
    <xf numFmtId="0" fontId="77" fillId="0" borderId="0" xfId="0" applyFont="1" applyAlignment="1">
      <alignment horizontal="center"/>
    </xf>
    <xf numFmtId="49" fontId="78" fillId="0" borderId="0" xfId="0" applyNumberFormat="1" applyFont="1" applyAlignment="1">
      <alignment horizontal="center"/>
    </xf>
    <xf numFmtId="0" fontId="27" fillId="0" borderId="8" xfId="0" applyFont="1" applyBorder="1" applyAlignment="1">
      <alignment horizontal="left" vertical="center" wrapText="1" indent="4"/>
    </xf>
    <xf numFmtId="0" fontId="48" fillId="0" borderId="8" xfId="0" applyFont="1" applyBorder="1" applyAlignment="1">
      <alignment horizontal="left" vertical="center" wrapText="1" indent="8"/>
    </xf>
    <xf numFmtId="0" fontId="48" fillId="0" borderId="8" xfId="0" applyFont="1" applyBorder="1" applyAlignment="1">
      <alignment horizontal="left" vertical="center" wrapText="1" indent="12"/>
    </xf>
    <xf numFmtId="0" fontId="48" fillId="0" borderId="8" xfId="0" applyFont="1" applyBorder="1" applyAlignment="1">
      <alignment horizontal="left" vertical="center" wrapText="1" indent="7"/>
    </xf>
    <xf numFmtId="0" fontId="38" fillId="0" borderId="8" xfId="0" applyFont="1" applyBorder="1" applyAlignment="1">
      <alignment horizontal="left" vertical="center" wrapText="1" indent="4"/>
    </xf>
    <xf numFmtId="0" fontId="72" fillId="0" borderId="0" xfId="0" applyFont="1" applyAlignment="1">
      <alignment horizontal="center" vertical="center"/>
    </xf>
    <xf numFmtId="0" fontId="72" fillId="5" borderId="0" xfId="0" applyFont="1" applyFill="1" applyAlignment="1">
      <alignment horizontal="center"/>
    </xf>
    <xf numFmtId="0" fontId="49" fillId="0" borderId="1" xfId="0" applyFont="1" applyBorder="1" applyAlignment="1">
      <alignment horizontal="center"/>
    </xf>
    <xf numFmtId="0" fontId="48" fillId="0" borderId="8" xfId="0" applyFont="1" applyBorder="1" applyAlignment="1">
      <alignment horizontal="left" vertical="center" wrapText="1" indent="6"/>
    </xf>
    <xf numFmtId="0" fontId="49" fillId="0" borderId="5" xfId="0" applyFont="1" applyBorder="1" applyAlignment="1">
      <alignment horizontal="center"/>
    </xf>
    <xf numFmtId="0" fontId="49" fillId="0" borderId="0" xfId="0" applyFont="1" applyAlignment="1">
      <alignment horizontal="left" vertical="center" wrapText="1" indent="2"/>
    </xf>
    <xf numFmtId="0" fontId="43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49" fillId="0" borderId="12" xfId="0" applyFont="1" applyBorder="1" applyAlignment="1">
      <alignment horizontal="left" vertical="center" wrapText="1" indent="1"/>
    </xf>
    <xf numFmtId="0" fontId="38" fillId="0" borderId="8" xfId="0" applyFont="1" applyBorder="1" applyAlignment="1">
      <alignment horizontal="left" vertical="center" wrapText="1" indent="1"/>
    </xf>
    <xf numFmtId="0" fontId="38" fillId="0" borderId="9" xfId="0" applyFont="1" applyBorder="1" applyAlignment="1">
      <alignment horizontal="left" vertical="center" wrapText="1" indent="1"/>
    </xf>
    <xf numFmtId="0" fontId="48" fillId="0" borderId="8" xfId="0" applyFont="1" applyBorder="1" applyAlignment="1">
      <alignment vertical="center"/>
    </xf>
    <xf numFmtId="0" fontId="64" fillId="0" borderId="4" xfId="0" applyFont="1" applyBorder="1" applyAlignment="1">
      <alignment horizontal="left" vertical="center" wrapText="1" indent="1"/>
    </xf>
    <xf numFmtId="0" fontId="38" fillId="0" borderId="0" xfId="0" applyFont="1" applyAlignment="1">
      <alignment horizontal="center"/>
    </xf>
    <xf numFmtId="0" fontId="48" fillId="0" borderId="9" xfId="0" applyFont="1" applyBorder="1" applyAlignment="1">
      <alignment horizontal="center" vertical="center"/>
    </xf>
    <xf numFmtId="0" fontId="11" fillId="5" borderId="15" xfId="0" quotePrefix="1" applyFont="1" applyFill="1" applyBorder="1" applyAlignment="1">
      <alignment horizontal="left" vertical="center" indent="5"/>
    </xf>
    <xf numFmtId="0" fontId="48" fillId="0" borderId="8" xfId="0" applyFont="1" applyBorder="1" applyAlignment="1">
      <alignment horizontal="left" vertical="center" wrapText="1" indent="9"/>
    </xf>
    <xf numFmtId="49" fontId="49" fillId="0" borderId="8" xfId="0" applyNumberFormat="1" applyFont="1" applyBorder="1" applyAlignment="1">
      <alignment horizontal="center"/>
    </xf>
    <xf numFmtId="0" fontId="32" fillId="0" borderId="15" xfId="0" quotePrefix="1" applyFont="1" applyBorder="1" applyAlignment="1">
      <alignment horizontal="left" vertical="center" indent="3"/>
    </xf>
    <xf numFmtId="0" fontId="27" fillId="0" borderId="8" xfId="0" applyFont="1" applyBorder="1" applyAlignment="1">
      <alignment horizontal="left" vertical="center" wrapText="1" indent="9"/>
    </xf>
    <xf numFmtId="0" fontId="33" fillId="0" borderId="8" xfId="0" applyFont="1" applyBorder="1" applyAlignment="1">
      <alignment horizontal="left" vertical="center" wrapText="1" indent="3"/>
    </xf>
    <xf numFmtId="0" fontId="27" fillId="0" borderId="8" xfId="0" applyFont="1" applyBorder="1" applyAlignment="1">
      <alignment horizontal="left" vertical="center" indent="2"/>
    </xf>
    <xf numFmtId="0" fontId="27" fillId="0" borderId="0" xfId="0" applyFont="1" applyAlignment="1">
      <alignment horizontal="left" vertical="center" wrapText="1" indent="3"/>
    </xf>
    <xf numFmtId="0" fontId="29" fillId="3" borderId="8" xfId="0" applyFont="1" applyFill="1" applyBorder="1" applyAlignment="1">
      <alignment horizontal="left" vertical="center" wrapText="1" indent="1"/>
    </xf>
    <xf numFmtId="0" fontId="27" fillId="0" borderId="11" xfId="0" applyFont="1" applyBorder="1" applyAlignment="1">
      <alignment horizontal="left" vertical="center" wrapText="1" indent="3"/>
    </xf>
    <xf numFmtId="49" fontId="49" fillId="4" borderId="8" xfId="0" applyNumberFormat="1" applyFont="1" applyFill="1" applyBorder="1" applyAlignment="1">
      <alignment horizontal="center" vertical="top" wrapText="1"/>
    </xf>
    <xf numFmtId="49" fontId="49" fillId="0" borderId="4" xfId="0" applyNumberFormat="1" applyFont="1" applyBorder="1" applyAlignment="1">
      <alignment horizontal="center"/>
    </xf>
    <xf numFmtId="0" fontId="49" fillId="5" borderId="8" xfId="0" applyFont="1" applyFill="1" applyBorder="1" applyAlignment="1">
      <alignment horizontal="left" vertical="center" wrapText="1" indent="1"/>
    </xf>
    <xf numFmtId="49" fontId="38" fillId="0" borderId="4" xfId="0" applyNumberFormat="1" applyFont="1" applyBorder="1" applyAlignment="1">
      <alignment horizontal="center"/>
    </xf>
    <xf numFmtId="0" fontId="38" fillId="0" borderId="4" xfId="0" applyFont="1" applyBorder="1" applyAlignment="1">
      <alignment horizontal="left" vertical="center" wrapText="1" indent="2"/>
    </xf>
    <xf numFmtId="0" fontId="32" fillId="0" borderId="0" xfId="0" quotePrefix="1" applyFont="1" applyAlignment="1">
      <alignment horizontal="left" vertical="center" indent="3"/>
    </xf>
    <xf numFmtId="49" fontId="38" fillId="0" borderId="0" xfId="0" applyNumberFormat="1" applyFont="1" applyAlignment="1">
      <alignment horizontal="center"/>
    </xf>
    <xf numFmtId="0" fontId="80" fillId="0" borderId="0" xfId="0" applyFont="1"/>
    <xf numFmtId="0" fontId="82" fillId="0" borderId="0" xfId="0" applyFont="1" applyAlignment="1">
      <alignment horizontal="center"/>
    </xf>
    <xf numFmtId="49" fontId="83" fillId="0" borderId="0" xfId="0" applyNumberFormat="1" applyFont="1" applyAlignment="1">
      <alignment horizontal="center"/>
    </xf>
    <xf numFmtId="0" fontId="83" fillId="0" borderId="0" xfId="0" applyFont="1" applyAlignment="1">
      <alignment horizontal="left" vertical="center" wrapText="1" indent="1"/>
    </xf>
    <xf numFmtId="0" fontId="80" fillId="0" borderId="0" xfId="0" applyFont="1" applyAlignment="1">
      <alignment horizontal="center" vertical="center"/>
    </xf>
    <xf numFmtId="0" fontId="84" fillId="0" borderId="0" xfId="0" applyFont="1"/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49" fontId="86" fillId="0" borderId="0" xfId="0" applyNumberFormat="1" applyFont="1" applyAlignment="1">
      <alignment horizontal="center"/>
    </xf>
    <xf numFmtId="0" fontId="86" fillId="0" borderId="0" xfId="0" applyFont="1" applyAlignment="1">
      <alignment horizontal="left" vertical="center" wrapText="1" indent="1"/>
    </xf>
    <xf numFmtId="0" fontId="84" fillId="0" borderId="0" xfId="0" applyFont="1" applyAlignment="1">
      <alignment horizontal="center"/>
    </xf>
    <xf numFmtId="0" fontId="87" fillId="0" borderId="0" xfId="0" applyFont="1"/>
    <xf numFmtId="0" fontId="88" fillId="0" borderId="0" xfId="0" applyFont="1" applyAlignment="1">
      <alignment horizontal="center"/>
    </xf>
    <xf numFmtId="49" fontId="88" fillId="0" borderId="0" xfId="0" applyNumberFormat="1" applyFont="1" applyAlignment="1">
      <alignment horizontal="center"/>
    </xf>
    <xf numFmtId="0" fontId="88" fillId="0" borderId="0" xfId="0" applyFont="1" applyAlignment="1">
      <alignment horizontal="left" vertical="center" wrapText="1" indent="1"/>
    </xf>
    <xf numFmtId="0" fontId="87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49" fontId="66" fillId="0" borderId="0" xfId="0" applyNumberFormat="1" applyFont="1" applyAlignment="1">
      <alignment horizontal="center"/>
    </xf>
    <xf numFmtId="0" fontId="66" fillId="0" borderId="0" xfId="0" applyFont="1" applyAlignment="1">
      <alignment horizontal="left" vertical="center" wrapText="1" indent="1"/>
    </xf>
    <xf numFmtId="0" fontId="27" fillId="0" borderId="0" xfId="0" applyFont="1" applyAlignment="1">
      <alignment horizontal="right"/>
    </xf>
    <xf numFmtId="0" fontId="27" fillId="0" borderId="1" xfId="0" applyFont="1" applyBorder="1" applyAlignment="1">
      <alignment horizontal="right"/>
    </xf>
    <xf numFmtId="0" fontId="49" fillId="0" borderId="1" xfId="0" applyFont="1" applyBorder="1" applyAlignment="1">
      <alignment horizontal="right"/>
    </xf>
    <xf numFmtId="0" fontId="42" fillId="0" borderId="0" xfId="0" applyFont="1"/>
    <xf numFmtId="49" fontId="29" fillId="0" borderId="12" xfId="0" applyNumberFormat="1" applyFont="1" applyBorder="1" applyAlignment="1">
      <alignment horizontal="center" vertical="center"/>
    </xf>
    <xf numFmtId="49" fontId="27" fillId="0" borderId="8" xfId="0" applyNumberFormat="1" applyFont="1" applyBorder="1" applyAlignment="1">
      <alignment horizontal="center" vertical="center" wrapText="1"/>
    </xf>
    <xf numFmtId="0" fontId="48" fillId="0" borderId="8" xfId="0" applyFont="1" applyBorder="1" applyAlignment="1">
      <alignment horizontal="left" wrapText="1" indent="2"/>
    </xf>
    <xf numFmtId="0" fontId="48" fillId="0" borderId="16" xfId="0" applyFont="1" applyBorder="1" applyAlignment="1">
      <alignment horizontal="left" indent="1"/>
    </xf>
    <xf numFmtId="0" fontId="48" fillId="0" borderId="16" xfId="0" applyFont="1" applyBorder="1" applyAlignment="1">
      <alignment horizontal="left" indent="2"/>
    </xf>
    <xf numFmtId="0" fontId="48" fillId="0" borderId="0" xfId="0" applyFont="1" applyAlignment="1">
      <alignment horizontal="left" indent="3"/>
    </xf>
    <xf numFmtId="49" fontId="33" fillId="0" borderId="0" xfId="0" applyNumberFormat="1" applyFont="1" applyAlignment="1">
      <alignment horizontal="center"/>
    </xf>
    <xf numFmtId="49" fontId="27" fillId="0" borderId="4" xfId="0" applyNumberFormat="1" applyFont="1" applyBorder="1" applyAlignment="1">
      <alignment horizontal="center" vertical="center"/>
    </xf>
    <xf numFmtId="0" fontId="38" fillId="0" borderId="4" xfId="0" applyFont="1" applyBorder="1" applyAlignment="1">
      <alignment horizontal="left" wrapText="1" indent="2"/>
    </xf>
    <xf numFmtId="49" fontId="27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0" fontId="27" fillId="0" borderId="15" xfId="0" quotePrefix="1" applyFont="1" applyBorder="1" applyAlignment="1">
      <alignment horizontal="left" vertical="center" indent="3"/>
    </xf>
    <xf numFmtId="0" fontId="63" fillId="0" borderId="15" xfId="0" quotePrefix="1" applyFont="1" applyBorder="1" applyAlignment="1">
      <alignment horizontal="left" vertical="center" indent="2"/>
    </xf>
    <xf numFmtId="0" fontId="33" fillId="0" borderId="15" xfId="0" quotePrefix="1" applyFont="1" applyBorder="1" applyAlignment="1">
      <alignment horizontal="left" vertical="center" indent="3"/>
    </xf>
    <xf numFmtId="0" fontId="38" fillId="0" borderId="8" xfId="0" applyFont="1" applyBorder="1" applyAlignment="1">
      <alignment horizontal="left" wrapText="1" indent="3"/>
    </xf>
    <xf numFmtId="0" fontId="27" fillId="5" borderId="15" xfId="0" quotePrefix="1" applyFont="1" applyFill="1" applyBorder="1" applyAlignment="1">
      <alignment horizontal="left" vertical="center" indent="4"/>
    </xf>
    <xf numFmtId="0" fontId="48" fillId="0" borderId="8" xfId="0" applyFont="1" applyBorder="1" applyAlignment="1">
      <alignment horizontal="left" wrapText="1" indent="6"/>
    </xf>
    <xf numFmtId="0" fontId="38" fillId="0" borderId="8" xfId="0" applyFont="1" applyBorder="1" applyAlignment="1">
      <alignment horizontal="left" wrapText="1" indent="1"/>
    </xf>
    <xf numFmtId="0" fontId="38" fillId="0" borderId="0" xfId="0" applyFont="1" applyAlignment="1">
      <alignment horizontal="left" wrapText="1" indent="1"/>
    </xf>
    <xf numFmtId="0" fontId="27" fillId="5" borderId="15" xfId="0" quotePrefix="1" applyFont="1" applyFill="1" applyBorder="1" applyAlignment="1">
      <alignment horizontal="left" vertical="center" indent="5"/>
    </xf>
    <xf numFmtId="0" fontId="38" fillId="0" borderId="0" xfId="0" applyFont="1" applyAlignment="1">
      <alignment horizontal="left" wrapText="1" indent="9"/>
    </xf>
    <xf numFmtId="49" fontId="50" fillId="0" borderId="8" xfId="0" applyNumberFormat="1" applyFont="1" applyBorder="1" applyAlignment="1">
      <alignment horizontal="center"/>
    </xf>
    <xf numFmtId="0" fontId="72" fillId="0" borderId="8" xfId="0" applyFont="1" applyBorder="1" applyAlignment="1">
      <alignment horizontal="left" wrapText="1" indent="1"/>
    </xf>
    <xf numFmtId="0" fontId="37" fillId="0" borderId="10" xfId="0" applyFont="1" applyBorder="1" applyAlignment="1">
      <alignment horizontal="center" vertical="center"/>
    </xf>
    <xf numFmtId="0" fontId="29" fillId="0" borderId="15" xfId="0" quotePrefix="1" applyFont="1" applyBorder="1" applyAlignment="1">
      <alignment horizontal="left" vertical="center" indent="3"/>
    </xf>
    <xf numFmtId="0" fontId="38" fillId="0" borderId="4" xfId="0" applyFont="1" applyBorder="1" applyAlignment="1">
      <alignment horizontal="left" wrapText="1" indent="3"/>
    </xf>
    <xf numFmtId="0" fontId="50" fillId="0" borderId="0" xfId="0" applyFont="1" applyAlignment="1">
      <alignment horizontal="center" vertical="center"/>
    </xf>
    <xf numFmtId="0" fontId="38" fillId="0" borderId="0" xfId="0" applyFont="1" applyAlignment="1">
      <alignment horizontal="right"/>
    </xf>
    <xf numFmtId="16" fontId="39" fillId="0" borderId="0" xfId="0" applyNumberFormat="1" applyFont="1" applyAlignment="1">
      <alignment horizontal="center" vertical="center" wrapText="1"/>
    </xf>
    <xf numFmtId="0" fontId="48" fillId="0" borderId="1" xfId="0" applyFont="1" applyBorder="1" applyAlignment="1">
      <alignment horizontal="center"/>
    </xf>
    <xf numFmtId="0" fontId="63" fillId="0" borderId="9" xfId="0" quotePrefix="1" applyFont="1" applyBorder="1" applyAlignment="1">
      <alignment horizontal="left" vertical="center" wrapText="1" indent="1"/>
    </xf>
    <xf numFmtId="0" fontId="33" fillId="0" borderId="9" xfId="0" quotePrefix="1" applyFont="1" applyBorder="1" applyAlignment="1">
      <alignment horizontal="left" vertical="center" wrapText="1" indent="3"/>
    </xf>
    <xf numFmtId="0" fontId="33" fillId="0" borderId="9" xfId="0" quotePrefix="1" applyFont="1" applyBorder="1" applyAlignment="1">
      <alignment horizontal="left" vertical="center" wrapText="1" indent="8"/>
    </xf>
    <xf numFmtId="0" fontId="33" fillId="0" borderId="9" xfId="0" quotePrefix="1" applyFont="1" applyBorder="1" applyAlignment="1">
      <alignment horizontal="left" vertical="center" wrapText="1" indent="11"/>
    </xf>
    <xf numFmtId="0" fontId="38" fillId="0" borderId="9" xfId="0" quotePrefix="1" applyFont="1" applyBorder="1" applyAlignment="1">
      <alignment horizontal="left" vertical="center" wrapText="1" indent="8"/>
    </xf>
    <xf numFmtId="0" fontId="44" fillId="0" borderId="8" xfId="0" applyFont="1" applyBorder="1" applyAlignment="1">
      <alignment horizontal="center"/>
    </xf>
    <xf numFmtId="0" fontId="64" fillId="0" borderId="1" xfId="0" applyFont="1" applyBorder="1" applyAlignment="1">
      <alignment horizontal="center"/>
    </xf>
    <xf numFmtId="49" fontId="27" fillId="0" borderId="8" xfId="0" applyNumberFormat="1" applyFont="1" applyBorder="1" applyAlignment="1">
      <alignment horizontal="center"/>
    </xf>
    <xf numFmtId="0" fontId="27" fillId="0" borderId="9" xfId="0" quotePrefix="1" applyFont="1" applyBorder="1" applyAlignment="1">
      <alignment horizontal="left" vertical="center" wrapText="1" indent="5"/>
    </xf>
    <xf numFmtId="16" fontId="39" fillId="4" borderId="0" xfId="0" applyNumberFormat="1" applyFont="1" applyFill="1" applyAlignment="1">
      <alignment horizontal="center" vertical="center" wrapText="1"/>
    </xf>
    <xf numFmtId="0" fontId="27" fillId="4" borderId="8" xfId="0" applyFont="1" applyFill="1" applyBorder="1" applyAlignment="1">
      <alignment horizontal="center"/>
    </xf>
    <xf numFmtId="0" fontId="27" fillId="0" borderId="9" xfId="0" quotePrefix="1" applyFont="1" applyBorder="1" applyAlignment="1">
      <alignment horizontal="left" vertical="center" wrapText="1" indent="3"/>
    </xf>
    <xf numFmtId="0" fontId="27" fillId="0" borderId="9" xfId="0" quotePrefix="1" applyFont="1" applyBorder="1" applyAlignment="1">
      <alignment horizontal="left" vertical="center" wrapText="1" indent="6"/>
    </xf>
    <xf numFmtId="0" fontId="27" fillId="0" borderId="9" xfId="0" quotePrefix="1" applyFont="1" applyBorder="1" applyAlignment="1">
      <alignment horizontal="left" vertical="center" wrapText="1" indent="7"/>
    </xf>
    <xf numFmtId="0" fontId="27" fillId="0" borderId="8" xfId="0" quotePrefix="1" applyFont="1" applyBorder="1" applyAlignment="1">
      <alignment horizontal="left" vertical="center" wrapText="1" indent="3"/>
    </xf>
    <xf numFmtId="0" fontId="27" fillId="0" borderId="4" xfId="0" quotePrefix="1" applyFont="1" applyBorder="1" applyAlignment="1">
      <alignment horizontal="left" vertical="center" wrapText="1" indent="6"/>
    </xf>
    <xf numFmtId="0" fontId="63" fillId="0" borderId="8" xfId="0" applyFont="1" applyBorder="1" applyAlignment="1">
      <alignment horizontal="left" vertical="center" wrapText="1"/>
    </xf>
    <xf numFmtId="0" fontId="63" fillId="0" borderId="5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center"/>
    </xf>
    <xf numFmtId="14" fontId="27" fillId="0" borderId="0" xfId="0" applyNumberFormat="1" applyFont="1"/>
    <xf numFmtId="0" fontId="25" fillId="5" borderId="1" xfId="0" applyFont="1" applyFill="1" applyBorder="1"/>
    <xf numFmtId="0" fontId="49" fillId="0" borderId="8" xfId="0" applyFont="1" applyBorder="1" applyAlignment="1">
      <alignment horizontal="left" wrapText="1"/>
    </xf>
    <xf numFmtId="0" fontId="25" fillId="5" borderId="1" xfId="0" applyFont="1" applyFill="1" applyBorder="1" applyAlignment="1">
      <alignment horizontal="left" indent="2"/>
    </xf>
    <xf numFmtId="0" fontId="49" fillId="0" borderId="8" xfId="0" applyFont="1" applyBorder="1" applyAlignment="1">
      <alignment horizontal="left" wrapText="1" indent="2"/>
    </xf>
    <xf numFmtId="0" fontId="0" fillId="5" borderId="12" xfId="0" applyFill="1" applyBorder="1" applyAlignment="1">
      <alignment horizontal="left" vertical="center" indent="3"/>
    </xf>
    <xf numFmtId="0" fontId="0" fillId="5" borderId="4" xfId="0" applyFill="1" applyBorder="1" applyAlignment="1">
      <alignment horizontal="left" vertical="center" indent="3"/>
    </xf>
    <xf numFmtId="0" fontId="0" fillId="5" borderId="1" xfId="0" applyFill="1" applyBorder="1" applyAlignment="1">
      <alignment horizontal="left" indent="3"/>
    </xf>
    <xf numFmtId="0" fontId="0" fillId="5" borderId="1" xfId="0" applyFill="1" applyBorder="1" applyAlignment="1">
      <alignment horizontal="left" indent="5"/>
    </xf>
    <xf numFmtId="0" fontId="25" fillId="5" borderId="12" xfId="0" applyFont="1" applyFill="1" applyBorder="1" applyAlignment="1">
      <alignment horizontal="left" vertical="center" wrapText="1" indent="2"/>
    </xf>
    <xf numFmtId="0" fontId="25" fillId="5" borderId="4" xfId="0" applyFont="1" applyFill="1" applyBorder="1" applyAlignment="1">
      <alignment horizontal="left" vertical="center" wrapText="1" indent="2"/>
    </xf>
    <xf numFmtId="0" fontId="25" fillId="5" borderId="12" xfId="0" applyFont="1" applyFill="1" applyBorder="1" applyAlignment="1">
      <alignment horizontal="left" vertical="center" indent="2"/>
    </xf>
    <xf numFmtId="0" fontId="25" fillId="5" borderId="4" xfId="0" applyFont="1" applyFill="1" applyBorder="1" applyAlignment="1">
      <alignment horizontal="left" vertical="center" indent="2"/>
    </xf>
    <xf numFmtId="0" fontId="29" fillId="0" borderId="8" xfId="0" applyFont="1" applyBorder="1" applyAlignment="1">
      <alignment horizontal="left" wrapText="1" indent="2"/>
    </xf>
    <xf numFmtId="0" fontId="48" fillId="0" borderId="8" xfId="0" applyFont="1" applyBorder="1" applyAlignment="1">
      <alignment horizontal="left" wrapText="1" indent="5"/>
    </xf>
    <xf numFmtId="0" fontId="89" fillId="5" borderId="1" xfId="0" applyFont="1" applyFill="1" applyBorder="1"/>
    <xf numFmtId="49" fontId="72" fillId="0" borderId="8" xfId="0" applyNumberFormat="1" applyFont="1" applyBorder="1" applyAlignment="1">
      <alignment horizontal="center" vertical="center"/>
    </xf>
    <xf numFmtId="0" fontId="72" fillId="0" borderId="8" xfId="0" applyFont="1" applyBorder="1" applyAlignment="1">
      <alignment horizontal="left" vertical="center" wrapText="1" indent="1"/>
    </xf>
    <xf numFmtId="0" fontId="50" fillId="0" borderId="8" xfId="0" applyFont="1" applyBorder="1" applyAlignment="1">
      <alignment horizontal="center" vertical="center"/>
    </xf>
    <xf numFmtId="0" fontId="25" fillId="5" borderId="12" xfId="0" applyFont="1" applyFill="1" applyBorder="1" applyAlignment="1">
      <alignment horizontal="left" vertical="center"/>
    </xf>
    <xf numFmtId="0" fontId="25" fillId="5" borderId="4" xfId="0" applyFont="1" applyFill="1" applyBorder="1" applyAlignment="1">
      <alignment horizontal="left" vertical="center"/>
    </xf>
    <xf numFmtId="0" fontId="49" fillId="0" borderId="4" xfId="0" applyFont="1" applyBorder="1" applyAlignment="1">
      <alignment horizontal="left" wrapText="1" indent="1"/>
    </xf>
    <xf numFmtId="0" fontId="26" fillId="0" borderId="0" xfId="0" applyFont="1"/>
    <xf numFmtId="0" fontId="22" fillId="0" borderId="0" xfId="0" applyFont="1"/>
    <xf numFmtId="0" fontId="26" fillId="0" borderId="0" xfId="0" applyFont="1" applyAlignment="1">
      <alignment horizontal="center"/>
    </xf>
    <xf numFmtId="0" fontId="48" fillId="0" borderId="0" xfId="0" applyFont="1"/>
    <xf numFmtId="0" fontId="48" fillId="0" borderId="0" xfId="0" applyFont="1" applyAlignment="1">
      <alignment horizontal="center"/>
    </xf>
    <xf numFmtId="0" fontId="48" fillId="0" borderId="0" xfId="0" applyFont="1" applyAlignment="1">
      <alignment vertical="center"/>
    </xf>
    <xf numFmtId="0" fontId="61" fillId="0" borderId="0" xfId="0" applyFont="1" applyAlignment="1">
      <alignment horizontal="left"/>
    </xf>
    <xf numFmtId="0" fontId="37" fillId="0" borderId="0" xfId="0" applyFont="1"/>
    <xf numFmtId="0" fontId="29" fillId="0" borderId="0" xfId="0" applyFont="1" applyAlignment="1">
      <alignment horizontal="left" indent="1"/>
    </xf>
    <xf numFmtId="49" fontId="90" fillId="0" borderId="0" xfId="0" applyNumberFormat="1" applyFont="1" applyAlignment="1">
      <alignment horizontal="center"/>
    </xf>
    <xf numFmtId="0" fontId="75" fillId="0" borderId="8" xfId="0" applyFont="1" applyBorder="1" applyAlignment="1">
      <alignment horizontal="left" vertical="center"/>
    </xf>
    <xf numFmtId="0" fontId="75" fillId="0" borderId="11" xfId="0" applyFont="1" applyBorder="1" applyAlignment="1">
      <alignment vertical="center"/>
    </xf>
    <xf numFmtId="0" fontId="49" fillId="0" borderId="8" xfId="0" applyFont="1" applyBorder="1" applyAlignment="1">
      <alignment vertical="center"/>
    </xf>
    <xf numFmtId="0" fontId="49" fillId="7" borderId="0" xfId="0" applyFont="1" applyFill="1" applyAlignment="1">
      <alignment horizontal="left" vertical="center" wrapText="1"/>
    </xf>
    <xf numFmtId="49" fontId="49" fillId="7" borderId="8" xfId="0" applyNumberFormat="1" applyFont="1" applyFill="1" applyBorder="1" applyAlignment="1">
      <alignment horizontal="center" vertical="center" wrapText="1"/>
    </xf>
    <xf numFmtId="0" fontId="27" fillId="7" borderId="9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/>
    </xf>
    <xf numFmtId="49" fontId="49" fillId="0" borderId="8" xfId="0" applyNumberFormat="1" applyFont="1" applyBorder="1" applyAlignment="1">
      <alignment horizontal="center" vertical="center" wrapText="1"/>
    </xf>
    <xf numFmtId="0" fontId="48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 indent="4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vertical="center" wrapText="1"/>
    </xf>
    <xf numFmtId="0" fontId="27" fillId="0" borderId="0" xfId="0" applyFont="1" applyAlignment="1">
      <alignment horizontal="left" vertical="center" indent="4"/>
    </xf>
    <xf numFmtId="0" fontId="49" fillId="0" borderId="0" xfId="0" applyFont="1" applyAlignment="1">
      <alignment vertical="center"/>
    </xf>
    <xf numFmtId="0" fontId="48" fillId="0" borderId="0" xfId="0" applyFont="1" applyAlignment="1">
      <alignment horizontal="left" vertical="center" wrapText="1" indent="4"/>
    </xf>
    <xf numFmtId="0" fontId="29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 indent="4"/>
    </xf>
    <xf numFmtId="0" fontId="64" fillId="0" borderId="9" xfId="0" applyFont="1" applyBorder="1" applyAlignment="1">
      <alignment horizontal="center" vertical="center"/>
    </xf>
    <xf numFmtId="0" fontId="49" fillId="0" borderId="9" xfId="0" applyFont="1" applyBorder="1" applyAlignment="1">
      <alignment vertical="center"/>
    </xf>
    <xf numFmtId="0" fontId="27" fillId="0" borderId="0" xfId="0" applyFont="1" applyAlignment="1">
      <alignment horizontal="left" vertical="center"/>
    </xf>
    <xf numFmtId="0" fontId="49" fillId="0" borderId="0" xfId="0" applyFont="1" applyAlignment="1">
      <alignment vertical="center" wrapText="1"/>
    </xf>
    <xf numFmtId="0" fontId="48" fillId="0" borderId="9" xfId="0" applyFont="1" applyBorder="1" applyAlignment="1">
      <alignment horizontal="left" vertical="center" wrapText="1" indent="4"/>
    </xf>
    <xf numFmtId="0" fontId="49" fillId="0" borderId="6" xfId="0" applyFont="1" applyBorder="1" applyAlignment="1">
      <alignment horizontal="left" vertical="center"/>
    </xf>
    <xf numFmtId="49" fontId="49" fillId="0" borderId="4" xfId="0" applyNumberFormat="1" applyFont="1" applyBorder="1" applyAlignment="1">
      <alignment horizontal="center" vertical="center" wrapText="1"/>
    </xf>
    <xf numFmtId="49" fontId="29" fillId="0" borderId="12" xfId="0" applyNumberFormat="1" applyFont="1" applyBorder="1" applyAlignment="1">
      <alignment horizontal="center"/>
    </xf>
    <xf numFmtId="0" fontId="49" fillId="0" borderId="12" xfId="0" applyFont="1" applyBorder="1" applyAlignment="1">
      <alignment horizontal="left" indent="1"/>
    </xf>
    <xf numFmtId="0" fontId="49" fillId="0" borderId="8" xfId="0" applyFont="1" applyBorder="1" applyAlignment="1">
      <alignment horizontal="left" indent="1"/>
    </xf>
    <xf numFmtId="0" fontId="29" fillId="0" borderId="8" xfId="0" applyFont="1" applyBorder="1" applyAlignment="1">
      <alignment horizontal="center"/>
    </xf>
    <xf numFmtId="49" fontId="29" fillId="0" borderId="8" xfId="0" applyNumberFormat="1" applyFont="1" applyBorder="1" applyAlignment="1">
      <alignment horizontal="center"/>
    </xf>
    <xf numFmtId="0" fontId="49" fillId="0" borderId="9" xfId="0" applyFont="1" applyBorder="1" applyAlignment="1">
      <alignment horizontal="left" indent="1"/>
    </xf>
    <xf numFmtId="0" fontId="29" fillId="0" borderId="8" xfId="0" applyFont="1" applyBorder="1" applyAlignment="1">
      <alignment horizontal="left" vertical="center" indent="2"/>
    </xf>
    <xf numFmtId="49" fontId="27" fillId="0" borderId="4" xfId="0" applyNumberFormat="1" applyFont="1" applyBorder="1" applyAlignment="1">
      <alignment horizontal="center"/>
    </xf>
    <xf numFmtId="0" fontId="27" fillId="0" borderId="4" xfId="0" applyFont="1" applyBorder="1" applyAlignment="1">
      <alignment horizontal="left" vertical="center" indent="2"/>
    </xf>
    <xf numFmtId="0" fontId="61" fillId="0" borderId="0" xfId="0" applyFont="1" applyAlignment="1">
      <alignment horizontal="left" vertical="center"/>
    </xf>
    <xf numFmtId="49" fontId="49" fillId="0" borderId="12" xfId="0" applyNumberFormat="1" applyFont="1" applyBorder="1" applyAlignment="1">
      <alignment horizontal="center" vertical="center" wrapText="1"/>
    </xf>
    <xf numFmtId="49" fontId="38" fillId="0" borderId="8" xfId="0" applyNumberFormat="1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27" fillId="9" borderId="8" xfId="0" applyFont="1" applyFill="1" applyBorder="1" applyAlignment="1">
      <alignment horizontal="left" vertical="center" wrapText="1" indent="4"/>
    </xf>
    <xf numFmtId="0" fontId="48" fillId="9" borderId="0" xfId="0" applyFont="1" applyFill="1" applyAlignment="1">
      <alignment horizontal="center" vertical="center"/>
    </xf>
    <xf numFmtId="2" fontId="27" fillId="9" borderId="0" xfId="0" applyNumberFormat="1" applyFont="1" applyFill="1" applyAlignment="1">
      <alignment horizontal="left" vertical="top" wrapText="1" indent="6"/>
    </xf>
    <xf numFmtId="0" fontId="48" fillId="9" borderId="8" xfId="0" applyFont="1" applyFill="1" applyBorder="1" applyAlignment="1">
      <alignment horizontal="center"/>
    </xf>
    <xf numFmtId="0" fontId="27" fillId="9" borderId="11" xfId="0" applyFont="1" applyFill="1" applyBorder="1" applyAlignment="1">
      <alignment horizontal="left" vertical="top" wrapText="1" indent="3"/>
    </xf>
    <xf numFmtId="0" fontId="48" fillId="9" borderId="8" xfId="0" applyFont="1" applyFill="1" applyBorder="1" applyAlignment="1">
      <alignment horizontal="left" vertical="center" wrapText="1" indent="6"/>
    </xf>
    <xf numFmtId="0" fontId="48" fillId="9" borderId="0" xfId="0" applyFont="1" applyFill="1" applyAlignment="1">
      <alignment horizontal="center"/>
    </xf>
    <xf numFmtId="0" fontId="48" fillId="9" borderId="0" xfId="0" applyFont="1" applyFill="1" applyAlignment="1">
      <alignment horizontal="left" vertical="center" wrapText="1" indent="4"/>
    </xf>
    <xf numFmtId="0" fontId="43" fillId="0" borderId="18" xfId="0" applyFont="1" applyBorder="1" applyAlignment="1">
      <alignment horizontal="left" wrapText="1" indent="3"/>
    </xf>
    <xf numFmtId="0" fontId="27" fillId="0" borderId="18" xfId="0" applyFont="1" applyBorder="1" applyAlignment="1">
      <alignment horizontal="right"/>
    </xf>
    <xf numFmtId="0" fontId="49" fillId="0" borderId="18" xfId="0" applyFont="1" applyBorder="1" applyAlignment="1">
      <alignment horizontal="right"/>
    </xf>
    <xf numFmtId="0" fontId="38" fillId="0" borderId="0" xfId="0" applyFont="1" applyAlignment="1">
      <alignment horizontal="left" wrapText="1" indent="2"/>
    </xf>
    <xf numFmtId="0" fontId="48" fillId="0" borderId="10" xfId="0" applyFont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39" fillId="5" borderId="0" xfId="0" applyFont="1" applyFill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68" fillId="0" borderId="18" xfId="0" applyFont="1" applyBorder="1" applyAlignment="1">
      <alignment horizontal="left" wrapText="1" indent="3"/>
    </xf>
    <xf numFmtId="0" fontId="93" fillId="0" borderId="0" xfId="0" applyFont="1" applyAlignment="1">
      <alignment horizontal="center"/>
    </xf>
    <xf numFmtId="0" fontId="95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62" fillId="0" borderId="8" xfId="0" applyFont="1" applyBorder="1" applyAlignment="1">
      <alignment horizontal="center" vertical="center"/>
    </xf>
    <xf numFmtId="0" fontId="62" fillId="0" borderId="8" xfId="0" applyFont="1" applyBorder="1" applyAlignment="1">
      <alignment horizontal="left" vertical="center" wrapText="1" indent="1"/>
    </xf>
    <xf numFmtId="0" fontId="92" fillId="0" borderId="8" xfId="0" applyFont="1" applyBorder="1" applyAlignment="1">
      <alignment horizontal="left" vertical="center" wrapText="1" indent="1"/>
    </xf>
    <xf numFmtId="0" fontId="98" fillId="0" borderId="17" xfId="0" applyFont="1" applyBorder="1" applyAlignment="1">
      <alignment horizontal="center"/>
    </xf>
    <xf numFmtId="0" fontId="92" fillId="0" borderId="17" xfId="0" applyFont="1" applyBorder="1" applyAlignment="1">
      <alignment horizontal="left" vertical="center" wrapText="1" indent="3"/>
    </xf>
    <xf numFmtId="0" fontId="33" fillId="0" borderId="8" xfId="0" applyFont="1" applyBorder="1" applyAlignment="1">
      <alignment horizontal="center"/>
    </xf>
    <xf numFmtId="0" fontId="33" fillId="0" borderId="8" xfId="0" applyFont="1" applyBorder="1" applyAlignment="1">
      <alignment horizontal="left" vertical="center" wrapText="1" indent="4"/>
    </xf>
    <xf numFmtId="0" fontId="48" fillId="0" borderId="8" xfId="0" applyFont="1" applyBorder="1" applyAlignment="1">
      <alignment horizontal="left" wrapText="1" indent="4"/>
    </xf>
    <xf numFmtId="0" fontId="27" fillId="0" borderId="8" xfId="0" applyFont="1" applyBorder="1" applyAlignment="1">
      <alignment horizontal="left" wrapText="1" indent="4"/>
    </xf>
    <xf numFmtId="49" fontId="43" fillId="0" borderId="8" xfId="0" applyNumberFormat="1" applyFont="1" applyBorder="1" applyAlignment="1">
      <alignment horizontal="center" vertical="center"/>
    </xf>
    <xf numFmtId="0" fontId="64" fillId="0" borderId="8" xfId="0" applyFont="1" applyBorder="1" applyAlignment="1">
      <alignment horizontal="left" wrapText="1"/>
    </xf>
    <xf numFmtId="49" fontId="62" fillId="0" borderId="8" xfId="0" applyNumberFormat="1" applyFont="1" applyBorder="1" applyAlignment="1">
      <alignment horizontal="center" vertical="center"/>
    </xf>
    <xf numFmtId="0" fontId="2" fillId="0" borderId="0" xfId="0" applyFont="1"/>
    <xf numFmtId="0" fontId="64" fillId="0" borderId="0" xfId="0" applyFont="1" applyAlignment="1">
      <alignment horizontal="center" vertical="center" wrapText="1"/>
    </xf>
    <xf numFmtId="0" fontId="99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6" fontId="0" fillId="0" borderId="0" xfId="0" applyNumberFormat="1"/>
    <xf numFmtId="49" fontId="36" fillId="0" borderId="0" xfId="0" applyNumberFormat="1" applyFont="1" applyAlignment="1">
      <alignment horizontal="left" vertical="center" indent="2"/>
    </xf>
    <xf numFmtId="0" fontId="36" fillId="0" borderId="0" xfId="0" applyFont="1" applyAlignment="1">
      <alignment horizontal="right" vertical="center"/>
    </xf>
    <xf numFmtId="0" fontId="23" fillId="8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3" fillId="10" borderId="0" xfId="0" applyFont="1" applyFill="1" applyAlignment="1">
      <alignment horizontal="right" vertical="center"/>
    </xf>
    <xf numFmtId="0" fontId="46" fillId="10" borderId="0" xfId="0" applyFont="1" applyFill="1" applyAlignment="1">
      <alignment horizontal="right" vertical="center"/>
    </xf>
    <xf numFmtId="0" fontId="20" fillId="10" borderId="0" xfId="0" applyFont="1" applyFill="1" applyAlignment="1">
      <alignment horizontal="right" vertical="center"/>
    </xf>
    <xf numFmtId="0" fontId="23" fillId="8" borderId="0" xfId="0" applyFont="1" applyFill="1" applyAlignment="1">
      <alignment horizontal="right" vertical="center"/>
    </xf>
    <xf numFmtId="0" fontId="45" fillId="0" borderId="0" xfId="0" applyFont="1" applyAlignment="1">
      <alignment vertical="center"/>
    </xf>
    <xf numFmtId="0" fontId="35" fillId="10" borderId="0" xfId="0" applyFont="1" applyFill="1" applyAlignment="1">
      <alignment horizontal="right" vertical="center"/>
    </xf>
    <xf numFmtId="0" fontId="52" fillId="10" borderId="0" xfId="0" applyFont="1" applyFill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3" fillId="6" borderId="0" xfId="0" applyFont="1" applyFill="1" applyAlignment="1">
      <alignment vertical="center"/>
    </xf>
    <xf numFmtId="0" fontId="23" fillId="6" borderId="0" xfId="0" applyFont="1" applyFill="1" applyAlignment="1">
      <alignment horizontal="right" vertical="center"/>
    </xf>
    <xf numFmtId="0" fontId="23" fillId="6" borderId="0" xfId="0" applyFont="1" applyFill="1" applyAlignment="1">
      <alignment horizontal="left" vertical="center" indent="2"/>
    </xf>
    <xf numFmtId="0" fontId="23" fillId="0" borderId="0" xfId="0" applyFont="1" applyAlignment="1">
      <alignment horizontal="left" vertical="center" indent="2"/>
    </xf>
    <xf numFmtId="0" fontId="52" fillId="0" borderId="0" xfId="0" applyFont="1" applyAlignment="1">
      <alignment horizontal="right" vertical="center"/>
    </xf>
    <xf numFmtId="0" fontId="46" fillId="0" borderId="0" xfId="0" applyFont="1" applyAlignment="1">
      <alignment horizontal="right" vertical="center"/>
    </xf>
    <xf numFmtId="0" fontId="56" fillId="0" borderId="0" xfId="0" applyFont="1" applyAlignment="1">
      <alignment horizontal="right" vertical="center"/>
    </xf>
    <xf numFmtId="0" fontId="56" fillId="0" borderId="0" xfId="0" applyFont="1" applyAlignment="1">
      <alignment vertical="center"/>
    </xf>
    <xf numFmtId="0" fontId="32" fillId="0" borderId="0" xfId="0" applyFont="1" applyAlignment="1">
      <alignment horizontal="right" vertical="center"/>
    </xf>
    <xf numFmtId="0" fontId="57" fillId="0" borderId="0" xfId="0" applyFont="1" applyAlignment="1">
      <alignment vertical="center"/>
    </xf>
    <xf numFmtId="0" fontId="55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41" fillId="0" borderId="0" xfId="0" applyFont="1" applyAlignment="1">
      <alignment horizontal="right" vertical="center"/>
    </xf>
    <xf numFmtId="0" fontId="46" fillId="0" borderId="0" xfId="0" applyFont="1" applyAlignment="1">
      <alignment vertical="center"/>
    </xf>
    <xf numFmtId="0" fontId="56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2" fontId="52" fillId="0" borderId="0" xfId="0" applyNumberFormat="1" applyFont="1" applyAlignment="1">
      <alignment horizontal="left" vertical="center" wrapText="1" indent="3"/>
    </xf>
    <xf numFmtId="0" fontId="26" fillId="0" borderId="0" xfId="0" applyFont="1" applyAlignment="1">
      <alignment vertical="center"/>
    </xf>
    <xf numFmtId="49" fontId="23" fillId="0" borderId="0" xfId="0" applyNumberFormat="1" applyFont="1" applyAlignment="1">
      <alignment horizontal="left" vertical="center" wrapText="1"/>
    </xf>
    <xf numFmtId="0" fontId="29" fillId="0" borderId="0" xfId="0" applyFont="1" applyAlignment="1">
      <alignment vertical="center"/>
    </xf>
    <xf numFmtId="0" fontId="96" fillId="0" borderId="0" xfId="0" applyFont="1" applyAlignment="1">
      <alignment horizont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 indent="2"/>
    </xf>
    <xf numFmtId="0" fontId="35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 wrapText="1" indent="2"/>
    </xf>
    <xf numFmtId="0" fontId="20" fillId="0" borderId="0" xfId="0" applyFont="1" applyAlignment="1">
      <alignment horizontal="left" vertical="center" wrapText="1" indent="2"/>
    </xf>
    <xf numFmtId="0" fontId="41" fillId="0" borderId="0" xfId="0" applyFont="1" applyAlignment="1">
      <alignment horizontal="left" vertical="center" wrapText="1"/>
    </xf>
    <xf numFmtId="0" fontId="36" fillId="0" borderId="0" xfId="0" applyFont="1" applyAlignment="1">
      <alignment vertical="center" wrapText="1"/>
    </xf>
    <xf numFmtId="0" fontId="35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49" fontId="23" fillId="0" borderId="0" xfId="0" applyNumberFormat="1" applyFont="1" applyAlignment="1">
      <alignment horizontal="left" vertical="center"/>
    </xf>
    <xf numFmtId="0" fontId="20" fillId="0" borderId="0" xfId="0" applyFont="1" applyAlignment="1">
      <alignment vertical="center"/>
    </xf>
    <xf numFmtId="49" fontId="49" fillId="0" borderId="0" xfId="0" applyNumberFormat="1" applyFont="1" applyAlignment="1">
      <alignment horizontal="left" vertical="center"/>
    </xf>
    <xf numFmtId="0" fontId="97" fillId="0" borderId="0" xfId="0" applyFont="1" applyAlignment="1">
      <alignment vertical="center"/>
    </xf>
    <xf numFmtId="0" fontId="46" fillId="0" borderId="0" xfId="0" applyFont="1" applyAlignment="1">
      <alignment horizontal="right" vertical="center" wrapText="1"/>
    </xf>
    <xf numFmtId="4" fontId="49" fillId="0" borderId="0" xfId="0" applyNumberFormat="1" applyFont="1" applyAlignment="1">
      <alignment horizontal="right"/>
    </xf>
    <xf numFmtId="4" fontId="94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19" xfId="0" applyBorder="1"/>
    <xf numFmtId="0" fontId="103" fillId="0" borderId="0" xfId="102" applyFont="1" applyAlignment="1">
      <alignment horizontal="left" vertical="center"/>
    </xf>
    <xf numFmtId="0" fontId="49" fillId="0" borderId="0" xfId="102" applyFont="1" applyAlignment="1">
      <alignment horizontal="left" vertical="center" wrapText="1"/>
    </xf>
    <xf numFmtId="0" fontId="33" fillId="0" borderId="0" xfId="102" applyFont="1" applyAlignment="1">
      <alignment horizontal="left" vertical="center" indent="8"/>
    </xf>
    <xf numFmtId="0" fontId="49" fillId="0" borderId="0" xfId="102" applyFont="1" applyAlignment="1">
      <alignment horizontal="left" vertical="center" indent="4"/>
    </xf>
    <xf numFmtId="49" fontId="63" fillId="0" borderId="0" xfId="102" applyNumberFormat="1" applyFont="1" applyAlignment="1">
      <alignment horizontal="left" vertical="center"/>
    </xf>
    <xf numFmtId="0" fontId="33" fillId="0" borderId="0" xfId="102" applyFont="1" applyAlignment="1">
      <alignment horizontal="left" vertical="center" indent="6"/>
    </xf>
    <xf numFmtId="0" fontId="27" fillId="0" borderId="0" xfId="102" applyFont="1" applyAlignment="1">
      <alignment horizontal="left" vertical="center" indent="8"/>
    </xf>
    <xf numFmtId="0" fontId="27" fillId="0" borderId="0" xfId="102" applyFont="1" applyAlignment="1">
      <alignment horizontal="left" vertical="top" indent="7"/>
    </xf>
    <xf numFmtId="0" fontId="29" fillId="0" borderId="0" xfId="102" applyFont="1" applyAlignment="1">
      <alignment horizontal="left" vertical="center" indent="4"/>
    </xf>
    <xf numFmtId="49" fontId="98" fillId="0" borderId="0" xfId="102" applyNumberFormat="1" applyFont="1" applyAlignment="1">
      <alignment horizontal="left" vertical="center"/>
    </xf>
    <xf numFmtId="0" fontId="98" fillId="0" borderId="0" xfId="102" applyFont="1" applyAlignment="1">
      <alignment horizontal="right" vertical="center" indent="4"/>
    </xf>
    <xf numFmtId="0" fontId="29" fillId="0" borderId="0" xfId="102" applyFont="1" applyAlignment="1">
      <alignment vertical="center"/>
    </xf>
    <xf numFmtId="0" fontId="33" fillId="0" borderId="0" xfId="102" applyFont="1" applyAlignment="1">
      <alignment horizontal="left" vertical="center" indent="4"/>
    </xf>
    <xf numFmtId="0" fontId="63" fillId="0" borderId="0" xfId="102" applyFont="1" applyAlignment="1">
      <alignment horizontal="left" vertical="center" indent="4"/>
    </xf>
    <xf numFmtId="49" fontId="92" fillId="0" borderId="0" xfId="102" applyNumberFormat="1" applyFont="1" applyAlignment="1">
      <alignment horizontal="left" vertical="center"/>
    </xf>
    <xf numFmtId="49" fontId="29" fillId="0" borderId="0" xfId="102" applyNumberFormat="1" applyFont="1" applyAlignment="1">
      <alignment horizontal="left" vertical="center"/>
    </xf>
    <xf numFmtId="0" fontId="27" fillId="0" borderId="0" xfId="102" applyFont="1" applyAlignment="1">
      <alignment horizontal="left" vertical="center" indent="4"/>
    </xf>
    <xf numFmtId="0" fontId="27" fillId="0" borderId="0" xfId="102" applyFont="1" applyAlignment="1">
      <alignment horizontal="left" vertical="center" indent="2"/>
    </xf>
    <xf numFmtId="0" fontId="104" fillId="0" borderId="0" xfId="102" applyFont="1" applyAlignment="1">
      <alignment horizontal="left" vertical="center"/>
    </xf>
    <xf numFmtId="0" fontId="73" fillId="0" borderId="0" xfId="102" applyFont="1" applyAlignment="1">
      <alignment horizontal="left" vertical="center"/>
    </xf>
    <xf numFmtId="49" fontId="48" fillId="0" borderId="0" xfId="102" applyNumberFormat="1" applyFont="1" applyAlignment="1">
      <alignment horizontal="left" vertical="center"/>
    </xf>
    <xf numFmtId="0" fontId="33" fillId="0" borderId="0" xfId="102" applyFont="1" applyAlignment="1">
      <alignment horizontal="left" vertical="center" wrapText="1" indent="4"/>
    </xf>
    <xf numFmtId="0" fontId="27" fillId="0" borderId="0" xfId="102" applyFont="1" applyAlignment="1">
      <alignment horizontal="left" vertical="center"/>
    </xf>
    <xf numFmtId="49" fontId="49" fillId="0" borderId="0" xfId="102" applyNumberFormat="1" applyFont="1" applyAlignment="1" applyProtection="1">
      <alignment horizontal="left" vertical="center"/>
      <protection locked="0"/>
    </xf>
    <xf numFmtId="0" fontId="29" fillId="0" borderId="0" xfId="102" quotePrefix="1" applyFont="1" applyAlignment="1">
      <alignment horizontal="left" vertical="center" wrapText="1"/>
    </xf>
    <xf numFmtId="2" fontId="27" fillId="0" borderId="0" xfId="102" quotePrefix="1" applyNumberFormat="1" applyFont="1" applyAlignment="1">
      <alignment horizontal="left" vertical="center" wrapText="1" indent="2"/>
    </xf>
    <xf numFmtId="0" fontId="29" fillId="0" borderId="0" xfId="102" quotePrefix="1" applyFont="1" applyAlignment="1">
      <alignment horizontal="left" vertical="center" wrapText="1" indent="4"/>
    </xf>
    <xf numFmtId="0" fontId="27" fillId="0" borderId="0" xfId="102" applyFont="1" applyAlignment="1">
      <alignment horizontal="left" vertical="center" wrapText="1" indent="4"/>
    </xf>
    <xf numFmtId="0" fontId="27" fillId="0" borderId="0" xfId="102" quotePrefix="1" applyFont="1" applyAlignment="1">
      <alignment horizontal="left" vertical="center" wrapText="1" indent="4"/>
    </xf>
    <xf numFmtId="0" fontId="33" fillId="0" borderId="0" xfId="102" quotePrefix="1" applyFont="1" applyAlignment="1">
      <alignment horizontal="left" vertical="center" wrapText="1" indent="4"/>
    </xf>
    <xf numFmtId="0" fontId="49" fillId="0" borderId="0" xfId="0" applyFont="1" applyAlignment="1">
      <alignment horizontal="left" wrapText="1" indent="1"/>
    </xf>
    <xf numFmtId="0" fontId="64" fillId="0" borderId="0" xfId="0" applyFont="1" applyAlignment="1">
      <alignment horizontal="left" wrapText="1" indent="1"/>
    </xf>
    <xf numFmtId="0" fontId="64" fillId="0" borderId="0" xfId="0" applyFont="1" applyAlignment="1">
      <alignment horizontal="left" wrapText="1" indent="2"/>
    </xf>
    <xf numFmtId="0" fontId="38" fillId="0" borderId="0" xfId="0" applyFont="1" applyAlignment="1">
      <alignment horizontal="left" wrapText="1" indent="4"/>
    </xf>
    <xf numFmtId="0" fontId="48" fillId="0" borderId="0" xfId="0" applyFont="1" applyAlignment="1">
      <alignment horizontal="left" wrapText="1" indent="7"/>
    </xf>
    <xf numFmtId="0" fontId="48" fillId="0" borderId="0" xfId="0" applyFont="1" applyAlignment="1">
      <alignment horizontal="left" vertical="center" wrapText="1" indent="7"/>
    </xf>
    <xf numFmtId="0" fontId="49" fillId="0" borderId="0" xfId="0" applyFont="1" applyAlignment="1">
      <alignment horizontal="left" vertical="center" wrapText="1"/>
    </xf>
    <xf numFmtId="0" fontId="64" fillId="0" borderId="0" xfId="0" applyFont="1" applyAlignment="1">
      <alignment horizontal="left" vertical="top" wrapText="1" indent="1"/>
    </xf>
    <xf numFmtId="0" fontId="38" fillId="0" borderId="0" xfId="0" applyFont="1" applyAlignment="1">
      <alignment horizontal="left" wrapText="1" indent="7"/>
    </xf>
    <xf numFmtId="0" fontId="64" fillId="0" borderId="0" xfId="0" applyFont="1" applyAlignment="1">
      <alignment horizontal="left" vertical="center" wrapText="1" indent="2"/>
    </xf>
    <xf numFmtId="0" fontId="64" fillId="0" borderId="0" xfId="0" applyFont="1" applyAlignment="1">
      <alignment horizontal="left" vertical="center" wrapText="1" indent="1"/>
    </xf>
    <xf numFmtId="0" fontId="38" fillId="0" borderId="0" xfId="0" applyFont="1" applyAlignment="1">
      <alignment horizontal="left" vertical="center" wrapText="1" indent="1"/>
    </xf>
    <xf numFmtId="0" fontId="38" fillId="0" borderId="0" xfId="0" applyFont="1" applyAlignment="1">
      <alignment horizontal="left" vertical="center" wrapText="1" indent="4"/>
    </xf>
    <xf numFmtId="2" fontId="38" fillId="0" borderId="0" xfId="0" applyNumberFormat="1" applyFont="1" applyAlignment="1">
      <alignment horizontal="left" vertical="center" wrapText="1" indent="6"/>
    </xf>
    <xf numFmtId="2" fontId="38" fillId="0" borderId="0" xfId="0" applyNumberFormat="1" applyFont="1" applyAlignment="1">
      <alignment horizontal="left" vertical="top" wrapText="1" indent="6"/>
    </xf>
    <xf numFmtId="2" fontId="38" fillId="0" borderId="0" xfId="0" applyNumberFormat="1" applyFont="1" applyAlignment="1">
      <alignment horizontal="left" vertical="top" wrapText="1" indent="8"/>
    </xf>
    <xf numFmtId="0" fontId="29" fillId="0" borderId="0" xfId="102" applyFont="1" applyAlignment="1">
      <alignment vertical="center" wrapText="1"/>
    </xf>
    <xf numFmtId="0" fontId="29" fillId="0" borderId="0" xfId="102" applyFont="1" applyAlignment="1">
      <alignment horizontal="left" vertical="center" wrapText="1" indent="2"/>
    </xf>
    <xf numFmtId="2" fontId="48" fillId="0" borderId="0" xfId="0" applyNumberFormat="1" applyFont="1" applyAlignment="1">
      <alignment horizontal="left" vertical="top" wrapText="1" indent="8"/>
    </xf>
    <xf numFmtId="0" fontId="33" fillId="0" borderId="0" xfId="102" applyFont="1" applyAlignment="1">
      <alignment horizontal="center" vertical="center"/>
    </xf>
    <xf numFmtId="0" fontId="98" fillId="0" borderId="0" xfId="102" applyFont="1" applyAlignment="1">
      <alignment horizontal="center" vertical="center"/>
    </xf>
    <xf numFmtId="0" fontId="27" fillId="0" borderId="0" xfId="102" applyFont="1" applyAlignment="1">
      <alignment horizontal="center" vertical="center"/>
    </xf>
    <xf numFmtId="0" fontId="73" fillId="0" borderId="0" xfId="102" applyFont="1" applyAlignment="1">
      <alignment horizontal="center" vertical="center"/>
    </xf>
    <xf numFmtId="4" fontId="27" fillId="0" borderId="0" xfId="102" applyNumberFormat="1" applyFont="1" applyAlignment="1">
      <alignment horizontal="center" vertical="center" wrapText="1"/>
    </xf>
    <xf numFmtId="2" fontId="27" fillId="0" borderId="0" xfId="102" applyNumberFormat="1" applyFont="1" applyAlignment="1">
      <alignment horizontal="center" vertical="center"/>
    </xf>
    <xf numFmtId="49" fontId="49" fillId="0" borderId="0" xfId="102" applyNumberFormat="1" applyFont="1" applyAlignment="1">
      <alignment horizontal="center" vertical="center"/>
    </xf>
    <xf numFmtId="0" fontId="29" fillId="0" borderId="0" xfId="102" applyFont="1" applyAlignment="1">
      <alignment horizontal="center" vertical="center"/>
    </xf>
    <xf numFmtId="0" fontId="29" fillId="0" borderId="0" xfId="102" applyFont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left" vertical="center" wrapText="1" indent="4"/>
    </xf>
    <xf numFmtId="0" fontId="48" fillId="11" borderId="19" xfId="0" applyFont="1" applyFill="1" applyBorder="1" applyAlignment="1">
      <alignment horizontal="center"/>
    </xf>
    <xf numFmtId="0" fontId="48" fillId="10" borderId="19" xfId="0" applyFont="1" applyFill="1" applyBorder="1" applyAlignment="1">
      <alignment horizontal="center"/>
    </xf>
    <xf numFmtId="0" fontId="91" fillId="12" borderId="19" xfId="0" applyFont="1" applyFill="1" applyBorder="1" applyAlignment="1">
      <alignment horizontal="center" vertical="center" wrapText="1"/>
    </xf>
    <xf numFmtId="0" fontId="68" fillId="0" borderId="19" xfId="0" applyFont="1" applyBorder="1" applyAlignment="1">
      <alignment horizontal="left" wrapText="1" indent="3"/>
    </xf>
    <xf numFmtId="0" fontId="43" fillId="0" borderId="19" xfId="0" applyFont="1" applyBorder="1" applyAlignment="1">
      <alignment horizontal="left" wrapText="1" indent="3"/>
    </xf>
    <xf numFmtId="0" fontId="27" fillId="0" borderId="19" xfId="0" applyFont="1" applyBorder="1" applyAlignment="1">
      <alignment horizontal="right"/>
    </xf>
    <xf numFmtId="0" fontId="49" fillId="0" borderId="19" xfId="0" applyFont="1" applyBorder="1" applyAlignment="1">
      <alignment horizontal="right"/>
    </xf>
    <xf numFmtId="0" fontId="23" fillId="0" borderId="2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46" fillId="0" borderId="6" xfId="0" applyFont="1" applyBorder="1" applyAlignment="1">
      <alignment horizontal="center" vertical="center" wrapText="1"/>
    </xf>
    <xf numFmtId="0" fontId="46" fillId="0" borderId="17" xfId="0" applyFont="1" applyBorder="1" applyAlignment="1">
      <alignment horizontal="left" vertical="center" wrapText="1" indent="2"/>
    </xf>
    <xf numFmtId="0" fontId="46" fillId="0" borderId="14" xfId="0" applyFont="1" applyBorder="1" applyAlignment="1">
      <alignment horizontal="center" vertical="center" wrapText="1"/>
    </xf>
    <xf numFmtId="0" fontId="53" fillId="0" borderId="12" xfId="0" applyFont="1" applyBorder="1" applyAlignment="1">
      <alignment horizontal="left" wrapText="1" indent="1"/>
    </xf>
    <xf numFmtId="0" fontId="46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left" vertical="center" wrapText="1"/>
    </xf>
    <xf numFmtId="0" fontId="62" fillId="0" borderId="8" xfId="0" applyFont="1" applyBorder="1" applyAlignment="1">
      <alignment horizontal="left" vertical="center" wrapText="1"/>
    </xf>
    <xf numFmtId="0" fontId="92" fillId="0" borderId="8" xfId="0" applyFont="1" applyBorder="1" applyAlignment="1">
      <alignment horizontal="left" vertical="center" wrapText="1" indent="2"/>
    </xf>
    <xf numFmtId="0" fontId="98" fillId="0" borderId="8" xfId="0" applyFont="1" applyBorder="1" applyAlignment="1">
      <alignment horizontal="left" vertical="center" wrapText="1" indent="4"/>
    </xf>
    <xf numFmtId="0" fontId="62" fillId="0" borderId="11" xfId="0" applyFont="1" applyBorder="1" applyAlignment="1">
      <alignment horizontal="center" vertical="center"/>
    </xf>
    <xf numFmtId="0" fontId="63" fillId="0" borderId="11" xfId="0" applyFont="1" applyBorder="1" applyAlignment="1">
      <alignment horizontal="center" vertical="center"/>
    </xf>
    <xf numFmtId="0" fontId="63" fillId="0" borderId="7" xfId="0" applyFont="1" applyBorder="1" applyAlignment="1">
      <alignment horizontal="center" vertical="center"/>
    </xf>
    <xf numFmtId="0" fontId="98" fillId="0" borderId="17" xfId="0" applyFont="1" applyBorder="1" applyAlignment="1">
      <alignment horizontal="left" vertical="center" wrapText="1" indent="4"/>
    </xf>
    <xf numFmtId="0" fontId="46" fillId="0" borderId="17" xfId="0" applyFont="1" applyBorder="1" applyAlignment="1">
      <alignment horizontal="center" vertical="center" wrapText="1"/>
    </xf>
    <xf numFmtId="0" fontId="46" fillId="0" borderId="12" xfId="0" applyFont="1" applyBorder="1" applyAlignment="1">
      <alignment horizontal="center" vertical="center" wrapText="1"/>
    </xf>
    <xf numFmtId="0" fontId="98" fillId="0" borderId="8" xfId="0" applyFont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7" fillId="0" borderId="17" xfId="0" applyFont="1" applyBorder="1" applyAlignment="1">
      <alignment horizontal="left" vertical="center" wrapText="1" indent="2"/>
    </xf>
    <xf numFmtId="0" fontId="62" fillId="0" borderId="12" xfId="0" applyFont="1" applyBorder="1" applyAlignment="1">
      <alignment horizontal="center" vertical="center"/>
    </xf>
    <xf numFmtId="0" fontId="62" fillId="0" borderId="12" xfId="0" applyFont="1" applyBorder="1" applyAlignment="1">
      <alignment horizontal="left" vertical="center" wrapText="1"/>
    </xf>
    <xf numFmtId="0" fontId="92" fillId="0" borderId="8" xfId="0" applyFont="1" applyBorder="1" applyAlignment="1">
      <alignment horizontal="center"/>
    </xf>
    <xf numFmtId="0" fontId="98" fillId="0" borderId="8" xfId="0" applyFont="1" applyBorder="1" applyAlignment="1">
      <alignment horizontal="center"/>
    </xf>
    <xf numFmtId="0" fontId="63" fillId="0" borderId="17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63" fillId="0" borderId="14" xfId="0" applyFont="1" applyBorder="1" applyAlignment="1">
      <alignment horizontal="center" vertical="center"/>
    </xf>
    <xf numFmtId="0" fontId="98" fillId="0" borderId="11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98" fillId="0" borderId="7" xfId="0" applyFont="1" applyBorder="1" applyAlignment="1">
      <alignment horizontal="center" vertical="center"/>
    </xf>
    <xf numFmtId="0" fontId="1" fillId="0" borderId="0" xfId="0" applyFont="1"/>
    <xf numFmtId="49" fontId="49" fillId="0" borderId="13" xfId="0" applyNumberFormat="1" applyFont="1" applyBorder="1" applyAlignment="1">
      <alignment horizontal="center" vertical="center"/>
    </xf>
    <xf numFmtId="49" fontId="48" fillId="0" borderId="9" xfId="0" applyNumberFormat="1" applyFont="1" applyBorder="1" applyAlignment="1">
      <alignment horizontal="center" vertical="center"/>
    </xf>
    <xf numFmtId="0" fontId="48" fillId="0" borderId="8" xfId="0" applyFont="1" applyBorder="1" applyAlignment="1">
      <alignment horizontal="left" wrapText="1" indent="8"/>
    </xf>
    <xf numFmtId="0" fontId="29" fillId="0" borderId="5" xfId="0" applyFont="1" applyBorder="1" applyAlignment="1">
      <alignment horizontal="center"/>
    </xf>
    <xf numFmtId="0" fontId="29" fillId="0" borderId="17" xfId="0" applyFont="1" applyBorder="1" applyAlignment="1">
      <alignment wrapText="1"/>
    </xf>
    <xf numFmtId="49" fontId="62" fillId="0" borderId="11" xfId="0" applyNumberFormat="1" applyFont="1" applyBorder="1" applyAlignment="1">
      <alignment horizontal="center" vertical="center"/>
    </xf>
    <xf numFmtId="0" fontId="62" fillId="0" borderId="11" xfId="0" applyFont="1" applyBorder="1" applyAlignment="1">
      <alignment horizontal="center"/>
    </xf>
    <xf numFmtId="0" fontId="62" fillId="0" borderId="8" xfId="0" applyFont="1" applyBorder="1" applyAlignment="1">
      <alignment horizontal="center"/>
    </xf>
    <xf numFmtId="0" fontId="98" fillId="0" borderId="8" xfId="0" applyFont="1" applyBorder="1"/>
    <xf numFmtId="0" fontId="97" fillId="0" borderId="17" xfId="0" applyFont="1" applyBorder="1" applyAlignment="1">
      <alignment horizontal="center" vertical="center"/>
    </xf>
    <xf numFmtId="0" fontId="97" fillId="0" borderId="8" xfId="0" applyFont="1" applyBorder="1" applyAlignment="1">
      <alignment horizontal="center"/>
    </xf>
    <xf numFmtId="0" fontId="62" fillId="0" borderId="19" xfId="0" applyFont="1" applyBorder="1" applyAlignment="1">
      <alignment horizontal="center" vertical="center"/>
    </xf>
    <xf numFmtId="0" fontId="98" fillId="0" borderId="19" xfId="0" applyFont="1" applyBorder="1" applyAlignment="1">
      <alignment horizontal="center" vertical="center"/>
    </xf>
    <xf numFmtId="0" fontId="62" fillId="0" borderId="19" xfId="0" applyFont="1" applyBorder="1" applyAlignment="1">
      <alignment horizontal="center"/>
    </xf>
    <xf numFmtId="0" fontId="98" fillId="0" borderId="19" xfId="0" applyFont="1" applyBorder="1"/>
    <xf numFmtId="49" fontId="62" fillId="0" borderId="11" xfId="0" applyNumberFormat="1" applyFont="1" applyBorder="1" applyAlignment="1">
      <alignment horizontal="center"/>
    </xf>
    <xf numFmtId="0" fontId="48" fillId="11" borderId="21" xfId="0" applyFont="1" applyFill="1" applyBorder="1" applyAlignment="1">
      <alignment horizontal="center"/>
    </xf>
    <xf numFmtId="0" fontId="62" fillId="0" borderId="8" xfId="0" applyFont="1" applyBorder="1" applyAlignment="1">
      <alignment horizontal="left"/>
    </xf>
    <xf numFmtId="0" fontId="62" fillId="0" borderId="8" xfId="0" applyFont="1" applyBorder="1" applyAlignment="1">
      <alignment wrapText="1"/>
    </xf>
    <xf numFmtId="4" fontId="62" fillId="0" borderId="8" xfId="0" applyNumberFormat="1" applyFont="1" applyBorder="1" applyAlignment="1">
      <alignment horizontal="left" vertical="center"/>
    </xf>
    <xf numFmtId="0" fontId="48" fillId="0" borderId="0" xfId="0" applyFont="1" applyAlignment="1">
      <alignment vertical="top" wrapText="1"/>
    </xf>
    <xf numFmtId="49" fontId="48" fillId="0" borderId="17" xfId="0" applyNumberFormat="1" applyFont="1" applyBorder="1" applyAlignment="1">
      <alignment horizontal="center" vertical="center"/>
    </xf>
    <xf numFmtId="49" fontId="36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35" fillId="0" borderId="0" xfId="0" applyFont="1" applyAlignment="1">
      <alignment horizontal="left" vertical="center" wrapText="1"/>
    </xf>
    <xf numFmtId="0" fontId="49" fillId="0" borderId="12" xfId="0" applyFont="1" applyBorder="1" applyAlignment="1">
      <alignment horizontal="center" vertical="center" wrapText="1"/>
    </xf>
    <xf numFmtId="0" fontId="29" fillId="0" borderId="0" xfId="102" applyFont="1" applyAlignment="1">
      <alignment horizontal="left" vertical="center" wrapText="1"/>
    </xf>
    <xf numFmtId="49" fontId="49" fillId="0" borderId="0" xfId="102" applyNumberFormat="1" applyFont="1" applyAlignment="1">
      <alignment horizontal="left" vertical="center"/>
    </xf>
    <xf numFmtId="0" fontId="49" fillId="0" borderId="0" xfId="0" applyFont="1" applyAlignment="1">
      <alignment horizontal="left" vertical="center" wrapText="1" indent="1"/>
    </xf>
    <xf numFmtId="0" fontId="27" fillId="0" borderId="0" xfId="102" applyFont="1" applyAlignment="1">
      <alignment horizontal="left" vertical="center" wrapText="1" indent="2"/>
    </xf>
    <xf numFmtId="0" fontId="27" fillId="0" borderId="0" xfId="102" applyFont="1" applyAlignment="1">
      <alignment horizontal="left" vertical="center" indent="6"/>
    </xf>
    <xf numFmtId="0" fontId="29" fillId="0" borderId="0" xfId="102" applyFont="1" applyAlignment="1">
      <alignment horizontal="left" vertical="center"/>
    </xf>
    <xf numFmtId="0" fontId="48" fillId="0" borderId="0" xfId="0" applyFont="1" applyAlignment="1">
      <alignment horizontal="left" vertical="center" wrapText="1" indent="2"/>
    </xf>
    <xf numFmtId="0" fontId="92" fillId="0" borderId="8" xfId="0" applyFont="1" applyBorder="1" applyAlignment="1">
      <alignment horizontal="left" vertical="center" wrapText="1" indent="3"/>
    </xf>
    <xf numFmtId="0" fontId="39" fillId="0" borderId="0" xfId="0" applyFont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48" fillId="0" borderId="8" xfId="0" applyFont="1" applyBorder="1" applyAlignment="1">
      <alignment horizontal="left" vertical="center" wrapText="1" indent="4"/>
    </xf>
    <xf numFmtId="49" fontId="29" fillId="0" borderId="8" xfId="0" applyNumberFormat="1" applyFont="1" applyBorder="1" applyAlignment="1">
      <alignment horizontal="center" vertical="center"/>
    </xf>
    <xf numFmtId="0" fontId="29" fillId="0" borderId="8" xfId="0" applyFont="1" applyBorder="1" applyAlignment="1">
      <alignment horizontal="left" vertical="center" wrapText="1" indent="1"/>
    </xf>
    <xf numFmtId="0" fontId="27" fillId="0" borderId="8" xfId="0" applyFont="1" applyBorder="1" applyAlignment="1">
      <alignment horizontal="left" vertical="center" wrapText="1" indent="2"/>
    </xf>
    <xf numFmtId="0" fontId="49" fillId="0" borderId="8" xfId="0" applyFont="1" applyBorder="1" applyAlignment="1">
      <alignment horizontal="left" vertical="center" wrapText="1" indent="1"/>
    </xf>
    <xf numFmtId="49" fontId="27" fillId="0" borderId="8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23" fillId="0" borderId="8" xfId="0" applyFont="1" applyBorder="1" applyAlignment="1">
      <alignment horizontal="left" vertical="center" indent="1"/>
    </xf>
    <xf numFmtId="0" fontId="20" fillId="0" borderId="0" xfId="0" applyFont="1" applyAlignment="1">
      <alignment horizontal="center" vertical="center"/>
    </xf>
    <xf numFmtId="0" fontId="0" fillId="0" borderId="0" xfId="0"/>
    <xf numFmtId="0" fontId="20" fillId="0" borderId="8" xfId="0" quotePrefix="1" applyFont="1" applyBorder="1" applyAlignment="1">
      <alignment horizontal="left" vertical="center" wrapText="1" indent="2"/>
    </xf>
    <xf numFmtId="0" fontId="46" fillId="0" borderId="0" xfId="0" applyFont="1" applyAlignment="1">
      <alignment horizontal="center" vertical="center"/>
    </xf>
    <xf numFmtId="0" fontId="46" fillId="0" borderId="8" xfId="0" quotePrefix="1" applyFont="1" applyBorder="1" applyAlignment="1">
      <alignment horizontal="left" vertical="center" wrapText="1" indent="2"/>
    </xf>
    <xf numFmtId="0" fontId="46" fillId="0" borderId="8" xfId="0" quotePrefix="1" applyFont="1" applyBorder="1" applyAlignment="1">
      <alignment horizontal="left" vertical="center" wrapText="1" indent="3"/>
    </xf>
    <xf numFmtId="0" fontId="41" fillId="0" borderId="0" xfId="0" applyFont="1" applyAlignment="1">
      <alignment horizontal="center" vertical="center"/>
    </xf>
    <xf numFmtId="0" fontId="41" fillId="0" borderId="8" xfId="0" quotePrefix="1" applyFont="1" applyBorder="1" applyAlignment="1">
      <alignment horizontal="left" vertical="center" wrapText="1" indent="1"/>
    </xf>
    <xf numFmtId="0" fontId="46" fillId="0" borderId="8" xfId="0" applyFont="1" applyBorder="1" applyAlignment="1">
      <alignment horizontal="left" vertical="center" wrapText="1" indent="2"/>
    </xf>
    <xf numFmtId="0" fontId="23" fillId="0" borderId="0" xfId="0" applyFont="1" applyAlignment="1">
      <alignment horizontal="center" vertical="center"/>
    </xf>
    <xf numFmtId="0" fontId="23" fillId="0" borderId="8" xfId="0" applyFont="1" applyBorder="1" applyAlignment="1">
      <alignment horizontal="left" vertical="center" wrapText="1" indent="1"/>
    </xf>
    <xf numFmtId="0" fontId="20" fillId="0" borderId="8" xfId="0" applyFont="1" applyBorder="1" applyAlignment="1">
      <alignment horizontal="left" vertical="center" wrapText="1" indent="2"/>
    </xf>
    <xf numFmtId="0" fontId="41" fillId="0" borderId="8" xfId="0" applyFont="1" applyBorder="1" applyAlignment="1">
      <alignment horizontal="left" vertical="center" wrapText="1" indent="1"/>
    </xf>
    <xf numFmtId="0" fontId="23" fillId="0" borderId="8" xfId="0" quotePrefix="1" applyFont="1" applyBorder="1" applyAlignment="1">
      <alignment horizontal="left" vertical="center" wrapText="1" indent="1"/>
    </xf>
    <xf numFmtId="0" fontId="20" fillId="0" borderId="11" xfId="0" quotePrefix="1" applyFont="1" applyBorder="1" applyAlignment="1">
      <alignment horizontal="center" vertical="center" wrapText="1"/>
    </xf>
    <xf numFmtId="0" fontId="61" fillId="0" borderId="0" xfId="0" applyFont="1" applyAlignment="1">
      <alignment horizontal="left" wrapText="1"/>
    </xf>
    <xf numFmtId="0" fontId="33" fillId="0" borderId="8" xfId="0" applyFont="1" applyBorder="1" applyAlignment="1">
      <alignment horizontal="left" vertical="center" indent="2"/>
    </xf>
    <xf numFmtId="0" fontId="33" fillId="0" borderId="8" xfId="0" applyFont="1" applyBorder="1" applyAlignment="1">
      <alignment horizontal="left" vertical="center" wrapText="1" indent="2"/>
    </xf>
    <xf numFmtId="0" fontId="49" fillId="0" borderId="11" xfId="0" applyFont="1" applyBorder="1" applyAlignment="1">
      <alignment horizontal="left" vertical="center" wrapText="1" indent="1"/>
    </xf>
    <xf numFmtId="0" fontId="48" fillId="0" borderId="8" xfId="0" applyFont="1" applyBorder="1" applyAlignment="1">
      <alignment horizontal="left" vertical="center" wrapText="1" indent="1"/>
    </xf>
    <xf numFmtId="49" fontId="48" fillId="0" borderId="8" xfId="0" applyNumberFormat="1" applyFont="1" applyBorder="1" applyAlignment="1">
      <alignment horizontal="center" vertical="center" wrapText="1"/>
    </xf>
    <xf numFmtId="0" fontId="38" fillId="0" borderId="8" xfId="0" applyFont="1" applyBorder="1" applyAlignment="1">
      <alignment horizontal="left" vertical="center" wrapText="1" indent="2"/>
    </xf>
    <xf numFmtId="0" fontId="92" fillId="0" borderId="8" xfId="0" applyFont="1" applyBorder="1" applyAlignment="1">
      <alignment horizontal="center" vertical="center"/>
    </xf>
    <xf numFmtId="0" fontId="92" fillId="0" borderId="17" xfId="0" applyFont="1" applyBorder="1" applyAlignment="1">
      <alignment horizontal="center" vertical="center"/>
    </xf>
    <xf numFmtId="0" fontId="48" fillId="0" borderId="8" xfId="0" applyFont="1" applyBorder="1" applyAlignment="1">
      <alignment horizontal="left" vertical="center" wrapText="1" indent="2"/>
    </xf>
    <xf numFmtId="0" fontId="27" fillId="0" borderId="12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48" fillId="0" borderId="12" xfId="0" applyFont="1" applyBorder="1" applyAlignment="1">
      <alignment horizontal="center" vertical="center"/>
    </xf>
    <xf numFmtId="0" fontId="48" fillId="0" borderId="12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/>
    </xf>
    <xf numFmtId="0" fontId="29" fillId="0" borderId="0" xfId="0" applyFont="1" applyAlignment="1">
      <alignment horizontal="left" vertical="center" wrapText="1" indent="1"/>
    </xf>
    <xf numFmtId="0" fontId="33" fillId="0" borderId="0" xfId="0" applyFont="1" applyAlignment="1">
      <alignment horizontal="left" vertical="center" wrapText="1" indent="2"/>
    </xf>
    <xf numFmtId="49" fontId="48" fillId="0" borderId="8" xfId="0" applyNumberFormat="1" applyFont="1" applyBorder="1" applyAlignment="1">
      <alignment horizontal="center" vertical="center"/>
    </xf>
    <xf numFmtId="49" fontId="49" fillId="0" borderId="4" xfId="0" applyNumberFormat="1" applyFont="1" applyBorder="1" applyAlignment="1">
      <alignment horizontal="center" vertical="center"/>
    </xf>
    <xf numFmtId="49" fontId="49" fillId="0" borderId="8" xfId="0" applyNumberFormat="1" applyFont="1" applyBorder="1" applyAlignment="1">
      <alignment horizontal="center" vertical="center"/>
    </xf>
    <xf numFmtId="0" fontId="49" fillId="0" borderId="8" xfId="0" applyFont="1" applyBorder="1" applyAlignment="1">
      <alignment horizontal="left" vertical="center" wrapText="1"/>
    </xf>
    <xf numFmtId="0" fontId="48" fillId="0" borderId="8" xfId="0" applyFont="1" applyBorder="1" applyAlignment="1">
      <alignment horizontal="center" vertical="center"/>
    </xf>
    <xf numFmtId="0" fontId="63" fillId="0" borderId="8" xfId="0" applyFont="1" applyBorder="1" applyAlignment="1">
      <alignment horizontal="left" vertical="center" wrapText="1" indent="1"/>
    </xf>
    <xf numFmtId="0" fontId="38" fillId="0" borderId="0" xfId="0" applyFont="1" applyAlignment="1">
      <alignment horizontal="left" vertical="center" wrapText="1" indent="2"/>
    </xf>
    <xf numFmtId="0" fontId="49" fillId="0" borderId="8" xfId="0" applyFont="1" applyBorder="1" applyAlignment="1">
      <alignment horizontal="center" vertical="center"/>
    </xf>
    <xf numFmtId="0" fontId="38" fillId="0" borderId="8" xfId="0" applyFont="1" applyBorder="1" applyAlignment="1">
      <alignment horizontal="left" vertical="center" wrapText="1" indent="3"/>
    </xf>
    <xf numFmtId="0" fontId="49" fillId="0" borderId="8" xfId="0" applyFont="1" applyBorder="1" applyAlignment="1">
      <alignment horizontal="left" vertical="center" wrapText="1" indent="2"/>
    </xf>
    <xf numFmtId="0" fontId="64" fillId="0" borderId="8" xfId="0" applyFont="1" applyBorder="1" applyAlignment="1">
      <alignment horizontal="left" vertical="center" wrapText="1" indent="2"/>
    </xf>
    <xf numFmtId="0" fontId="98" fillId="0" borderId="8" xfId="0" applyFont="1" applyBorder="1" applyAlignment="1">
      <alignment horizontal="left" vertical="center" wrapText="1" indent="2"/>
    </xf>
    <xf numFmtId="0" fontId="48" fillId="0" borderId="17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29" fillId="0" borderId="9" xfId="0" quotePrefix="1" applyFont="1" applyBorder="1" applyAlignment="1">
      <alignment horizontal="left" vertical="center" wrapText="1" indent="1"/>
    </xf>
    <xf numFmtId="49" fontId="64" fillId="0" borderId="8" xfId="0" applyNumberFormat="1" applyFont="1" applyBorder="1" applyAlignment="1">
      <alignment horizontal="center" vertical="center"/>
    </xf>
    <xf numFmtId="0" fontId="27" fillId="0" borderId="9" xfId="0" quotePrefix="1" applyFont="1" applyBorder="1" applyAlignment="1">
      <alignment horizontal="left" vertical="center" wrapText="1" indent="2"/>
    </xf>
    <xf numFmtId="0" fontId="63" fillId="0" borderId="8" xfId="0" applyFont="1" applyBorder="1" applyAlignment="1">
      <alignment horizontal="center" vertical="center"/>
    </xf>
    <xf numFmtId="0" fontId="48" fillId="0" borderId="8" xfId="0" applyFont="1" applyBorder="1" applyAlignment="1">
      <alignment horizontal="left" vertical="center" wrapText="1" indent="3"/>
    </xf>
    <xf numFmtId="0" fontId="48" fillId="0" borderId="11" xfId="0" applyFont="1" applyBorder="1" applyAlignment="1">
      <alignment horizontal="center" vertical="center"/>
    </xf>
    <xf numFmtId="0" fontId="39" fillId="5" borderId="11" xfId="0" applyFont="1" applyFill="1" applyBorder="1" applyAlignment="1">
      <alignment horizontal="center" vertical="center" wrapText="1"/>
    </xf>
    <xf numFmtId="0" fontId="0" fillId="9" borderId="0" xfId="0" applyFill="1"/>
    <xf numFmtId="49" fontId="49" fillId="9" borderId="0" xfId="102" applyNumberFormat="1" applyFont="1" applyFill="1" applyAlignment="1">
      <alignment horizontal="left" vertical="center"/>
    </xf>
    <xf numFmtId="0" fontId="29" fillId="9" borderId="0" xfId="102" applyFont="1" applyFill="1" applyAlignment="1">
      <alignment horizontal="left" vertical="center"/>
    </xf>
    <xf numFmtId="0" fontId="48" fillId="9" borderId="22" xfId="0" applyFont="1" applyFill="1" applyBorder="1" applyAlignment="1">
      <alignment horizontal="center"/>
    </xf>
    <xf numFmtId="0" fontId="91" fillId="9" borderId="22" xfId="0" applyFont="1" applyFill="1" applyBorder="1" applyAlignment="1">
      <alignment horizontal="center" vertical="center" wrapText="1"/>
    </xf>
    <xf numFmtId="0" fontId="27" fillId="9" borderId="0" xfId="102" applyFont="1" applyFill="1" applyAlignment="1">
      <alignment horizontal="center" vertical="center"/>
    </xf>
    <xf numFmtId="166" fontId="64" fillId="0" borderId="0" xfId="0" applyNumberFormat="1" applyFont="1" applyAlignment="1">
      <alignment horizontal="right" vertical="center" wrapText="1"/>
    </xf>
    <xf numFmtId="164" fontId="26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horizontal="left" vertical="center"/>
    </xf>
    <xf numFmtId="164" fontId="36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horizontal="right" vertical="center"/>
    </xf>
    <xf numFmtId="164" fontId="20" fillId="0" borderId="0" xfId="0" applyNumberFormat="1" applyFont="1" applyAlignment="1">
      <alignment horizontal="right" vertical="center"/>
    </xf>
    <xf numFmtId="164" fontId="35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horizontal="left" vertical="center" indent="2"/>
    </xf>
    <xf numFmtId="164" fontId="46" fillId="0" borderId="0" xfId="0" applyNumberFormat="1" applyFont="1" applyAlignment="1">
      <alignment horizontal="right" vertical="center"/>
    </xf>
    <xf numFmtId="164" fontId="52" fillId="0" borderId="0" xfId="0" applyNumberFormat="1" applyFont="1" applyAlignment="1">
      <alignment horizontal="center" vertical="center"/>
    </xf>
    <xf numFmtId="164" fontId="23" fillId="6" borderId="0" xfId="0" applyNumberFormat="1" applyFont="1" applyFill="1" applyAlignment="1">
      <alignment horizontal="right" vertical="center"/>
    </xf>
    <xf numFmtId="164" fontId="36" fillId="6" borderId="0" xfId="0" applyNumberFormat="1" applyFont="1" applyFill="1" applyAlignment="1">
      <alignment horizontal="center" vertical="center"/>
    </xf>
    <xf numFmtId="164" fontId="20" fillId="6" borderId="0" xfId="0" applyNumberFormat="1" applyFont="1" applyFill="1" applyAlignment="1">
      <alignment horizontal="right" vertical="center"/>
    </xf>
    <xf numFmtId="164" fontId="35" fillId="6" borderId="0" xfId="0" applyNumberFormat="1" applyFont="1" applyFill="1" applyAlignment="1">
      <alignment horizontal="center" vertical="center"/>
    </xf>
    <xf numFmtId="164" fontId="46" fillId="6" borderId="0" xfId="0" applyNumberFormat="1" applyFont="1" applyFill="1" applyAlignment="1">
      <alignment horizontal="right" vertical="center"/>
    </xf>
    <xf numFmtId="164" fontId="52" fillId="6" borderId="0" xfId="0" applyNumberFormat="1" applyFont="1" applyFill="1" applyAlignment="1">
      <alignment horizontal="center" vertical="center"/>
    </xf>
    <xf numFmtId="164" fontId="35" fillId="0" borderId="0" xfId="0" applyNumberFormat="1" applyFont="1" applyAlignment="1">
      <alignment horizontal="right" vertical="center"/>
    </xf>
    <xf numFmtId="164" fontId="52" fillId="0" borderId="0" xfId="0" applyNumberFormat="1" applyFont="1" applyAlignment="1">
      <alignment horizontal="right" vertical="center"/>
    </xf>
    <xf numFmtId="164" fontId="23" fillId="0" borderId="0" xfId="0" applyNumberFormat="1" applyFont="1" applyAlignment="1">
      <alignment vertical="center"/>
    </xf>
    <xf numFmtId="164" fontId="23" fillId="0" borderId="0" xfId="0" applyNumberFormat="1" applyFont="1" applyAlignment="1">
      <alignment vertical="center" wrapText="1"/>
    </xf>
    <xf numFmtId="164" fontId="23" fillId="10" borderId="0" xfId="0" applyNumberFormat="1" applyFont="1" applyFill="1" applyAlignment="1">
      <alignment horizontal="right" vertical="center"/>
    </xf>
    <xf numFmtId="164" fontId="20" fillId="10" borderId="0" xfId="0" applyNumberFormat="1" applyFont="1" applyFill="1" applyAlignment="1">
      <alignment horizontal="right" vertical="center"/>
    </xf>
    <xf numFmtId="164" fontId="46" fillId="10" borderId="0" xfId="0" applyNumberFormat="1" applyFont="1" applyFill="1" applyAlignment="1">
      <alignment horizontal="right" vertical="center"/>
    </xf>
    <xf numFmtId="164" fontId="32" fillId="0" borderId="0" xfId="0" applyNumberFormat="1" applyFont="1" applyAlignment="1">
      <alignment horizontal="right" vertical="center"/>
    </xf>
    <xf numFmtId="164" fontId="36" fillId="0" borderId="0" xfId="0" applyNumberFormat="1" applyFont="1" applyAlignment="1">
      <alignment horizontal="right" vertical="center"/>
    </xf>
    <xf numFmtId="164" fontId="36" fillId="8" borderId="0" xfId="0" applyNumberFormat="1" applyFont="1" applyFill="1" applyAlignment="1">
      <alignment vertical="center" wrapText="1"/>
    </xf>
    <xf numFmtId="164" fontId="36" fillId="0" borderId="0" xfId="0" applyNumberFormat="1" applyFont="1" applyAlignment="1">
      <alignment horizontal="left" vertical="center" indent="2"/>
    </xf>
    <xf numFmtId="164" fontId="41" fillId="0" borderId="0" xfId="0" applyNumberFormat="1" applyFont="1" applyAlignment="1">
      <alignment vertical="center"/>
    </xf>
    <xf numFmtId="164" fontId="23" fillId="10" borderId="0" xfId="0" applyNumberFormat="1" applyFont="1" applyFill="1" applyAlignment="1">
      <alignment horizontal="left" vertical="center" indent="2"/>
    </xf>
    <xf numFmtId="164" fontId="23" fillId="0" borderId="0" xfId="0" applyNumberFormat="1" applyFont="1" applyAlignment="1">
      <alignment horizontal="center" vertical="center"/>
    </xf>
    <xf numFmtId="167" fontId="27" fillId="0" borderId="0" xfId="102" applyNumberFormat="1" applyFont="1" applyAlignment="1">
      <alignment horizontal="center" vertical="center" wrapText="1"/>
    </xf>
    <xf numFmtId="164" fontId="33" fillId="0" borderId="0" xfId="102" applyNumberFormat="1" applyFont="1" applyAlignment="1">
      <alignment horizontal="left" vertical="center" indent="4"/>
    </xf>
    <xf numFmtId="164" fontId="33" fillId="0" borderId="0" xfId="102" applyNumberFormat="1" applyFont="1" applyAlignment="1">
      <alignment horizontal="left" vertical="center" wrapText="1" indent="4"/>
    </xf>
    <xf numFmtId="164" fontId="33" fillId="0" borderId="0" xfId="102" applyNumberFormat="1" applyFont="1" applyAlignment="1">
      <alignment horizontal="left" vertical="center" indent="6"/>
    </xf>
    <xf numFmtId="164" fontId="27" fillId="0" borderId="0" xfId="0" applyNumberFormat="1" applyFont="1" applyAlignment="1">
      <alignment horizontal="center" vertical="center"/>
    </xf>
    <xf numFmtId="165" fontId="51" fillId="0" borderId="0" xfId="0" applyNumberFormat="1" applyFont="1" applyAlignment="1">
      <alignment horizontal="right" vertical="center"/>
    </xf>
    <xf numFmtId="166" fontId="49" fillId="0" borderId="0" xfId="0" applyNumberFormat="1" applyFont="1"/>
    <xf numFmtId="164" fontId="29" fillId="0" borderId="8" xfId="0" applyNumberFormat="1" applyFont="1" applyBorder="1" applyAlignment="1">
      <alignment horizontal="center" vertical="center"/>
    </xf>
    <xf numFmtId="164" fontId="27" fillId="0" borderId="8" xfId="0" applyNumberFormat="1" applyFont="1" applyBorder="1" applyAlignment="1">
      <alignment horizontal="center" vertical="center"/>
    </xf>
    <xf numFmtId="164" fontId="20" fillId="0" borderId="0" xfId="0" applyNumberFormat="1" applyFont="1" applyAlignment="1">
      <alignment horizontal="center"/>
    </xf>
    <xf numFmtId="164" fontId="46" fillId="0" borderId="0" xfId="0" applyNumberFormat="1" applyFont="1" applyAlignment="1">
      <alignment horizontal="center"/>
    </xf>
    <xf numFmtId="164" fontId="27" fillId="0" borderId="0" xfId="0" applyNumberFormat="1" applyFont="1" applyAlignment="1">
      <alignment horizontal="center"/>
    </xf>
    <xf numFmtId="164" fontId="41" fillId="0" borderId="0" xfId="0" applyNumberFormat="1" applyFont="1" applyAlignment="1">
      <alignment horizontal="center"/>
    </xf>
    <xf numFmtId="164" fontId="29" fillId="0" borderId="0" xfId="0" applyNumberFormat="1" applyFont="1" applyAlignment="1">
      <alignment horizontal="center"/>
    </xf>
    <xf numFmtId="164" fontId="72" fillId="0" borderId="0" xfId="0" applyNumberFormat="1" applyFont="1" applyAlignment="1">
      <alignment horizontal="right"/>
    </xf>
    <xf numFmtId="164" fontId="27" fillId="0" borderId="8" xfId="0" applyNumberFormat="1" applyFont="1" applyBorder="1" applyAlignment="1">
      <alignment horizontal="center"/>
    </xf>
    <xf numFmtId="164" fontId="27" fillId="0" borderId="11" xfId="0" applyNumberFormat="1" applyFont="1" applyBorder="1" applyAlignment="1">
      <alignment horizontal="center"/>
    </xf>
    <xf numFmtId="165" fontId="50" fillId="0" borderId="0" xfId="0" applyNumberFormat="1" applyFont="1" applyAlignment="1">
      <alignment horizontal="center" vertical="center"/>
    </xf>
    <xf numFmtId="165" fontId="48" fillId="0" borderId="0" xfId="0" applyNumberFormat="1" applyFont="1" applyAlignment="1">
      <alignment horizontal="center" vertical="center"/>
    </xf>
    <xf numFmtId="164" fontId="29" fillId="0" borderId="12" xfId="0" applyNumberFormat="1" applyFont="1" applyBorder="1" applyAlignment="1">
      <alignment horizontal="center" vertical="center"/>
    </xf>
    <xf numFmtId="164" fontId="63" fillId="0" borderId="8" xfId="0" applyNumberFormat="1" applyFont="1" applyBorder="1" applyAlignment="1">
      <alignment horizontal="center" vertical="center"/>
    </xf>
    <xf numFmtId="164" fontId="27" fillId="0" borderId="9" xfId="0" applyNumberFormat="1" applyFont="1" applyBorder="1" applyAlignment="1">
      <alignment horizontal="center" vertical="center"/>
    </xf>
    <xf numFmtId="164" fontId="29" fillId="0" borderId="9" xfId="0" applyNumberFormat="1" applyFont="1" applyBorder="1" applyAlignment="1">
      <alignment horizontal="center" vertical="center"/>
    </xf>
    <xf numFmtId="164" fontId="29" fillId="0" borderId="10" xfId="0" applyNumberFormat="1" applyFont="1" applyBorder="1" applyAlignment="1">
      <alignment horizontal="center"/>
    </xf>
    <xf numFmtId="164" fontId="27" fillId="0" borderId="1" xfId="0" applyNumberFormat="1" applyFont="1" applyBorder="1" applyAlignment="1">
      <alignment horizontal="center" vertical="center"/>
    </xf>
    <xf numFmtId="164" fontId="63" fillId="0" borderId="1" xfId="0" applyNumberFormat="1" applyFont="1" applyBorder="1" applyAlignment="1">
      <alignment horizontal="center" vertical="center"/>
    </xf>
    <xf numFmtId="164" fontId="29" fillId="0" borderId="1" xfId="0" applyNumberFormat="1" applyFont="1" applyBorder="1" applyAlignment="1">
      <alignment horizontal="center" vertical="center"/>
    </xf>
    <xf numFmtId="165" fontId="101" fillId="0" borderId="0" xfId="0" applyNumberFormat="1" applyFont="1" applyAlignment="1">
      <alignment vertical="center"/>
    </xf>
    <xf numFmtId="164" fontId="33" fillId="0" borderId="8" xfId="0" applyNumberFormat="1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 wrapText="1"/>
    </xf>
    <xf numFmtId="0" fontId="0" fillId="0" borderId="17" xfId="0" applyBorder="1"/>
    <xf numFmtId="0" fontId="36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49" fontId="36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23" fillId="0" borderId="18" xfId="0" applyFont="1" applyBorder="1" applyAlignment="1">
      <alignment horizontal="center" vertical="center"/>
    </xf>
    <xf numFmtId="0" fontId="0" fillId="0" borderId="14" xfId="0" applyBorder="1"/>
    <xf numFmtId="0" fontId="0" fillId="0" borderId="9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0" fontId="36" fillId="0" borderId="18" xfId="0" applyFont="1" applyBorder="1" applyAlignment="1">
      <alignment horizontal="center" vertical="center" wrapText="1"/>
    </xf>
    <xf numFmtId="0" fontId="0" fillId="0" borderId="8" xfId="0" applyBorder="1"/>
    <xf numFmtId="0" fontId="0" fillId="0" borderId="4" xfId="0" applyBorder="1"/>
    <xf numFmtId="0" fontId="23" fillId="0" borderId="0" xfId="0" applyFont="1" applyAlignment="1">
      <alignment horizontal="left" vertical="center" wrapText="1"/>
    </xf>
    <xf numFmtId="49" fontId="100" fillId="0" borderId="0" xfId="0" applyNumberFormat="1" applyFont="1" applyAlignment="1">
      <alignment horizontal="center" vertical="center"/>
    </xf>
    <xf numFmtId="0" fontId="0" fillId="0" borderId="0" xfId="0"/>
    <xf numFmtId="0" fontId="49" fillId="0" borderId="18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52" fillId="0" borderId="0" xfId="0" applyFont="1" applyAlignment="1">
      <alignment horizontal="left" vertical="center" wrapText="1"/>
    </xf>
    <xf numFmtId="0" fontId="27" fillId="0" borderId="0" xfId="102" applyFont="1" applyAlignment="1">
      <alignment horizontal="left" vertical="center" wrapText="1" indent="2"/>
    </xf>
    <xf numFmtId="0" fontId="29" fillId="0" borderId="0" xfId="102" applyFont="1" applyAlignment="1">
      <alignment horizontal="left" vertical="center" wrapText="1"/>
    </xf>
    <xf numFmtId="0" fontId="27" fillId="0" borderId="0" xfId="102" applyFont="1" applyAlignment="1">
      <alignment horizontal="left" vertical="center" indent="6"/>
    </xf>
    <xf numFmtId="0" fontId="48" fillId="0" borderId="0" xfId="0" applyFont="1" applyAlignment="1">
      <alignment horizontal="left" vertical="center" wrapText="1" indent="2"/>
    </xf>
    <xf numFmtId="0" fontId="38" fillId="0" borderId="0" xfId="0" applyFont="1" applyAlignment="1">
      <alignment horizontal="left" vertical="center" wrapText="1" indent="2"/>
    </xf>
    <xf numFmtId="49" fontId="49" fillId="0" borderId="0" xfId="102" applyNumberFormat="1" applyFont="1" applyAlignment="1">
      <alignment horizontal="left" vertical="center"/>
    </xf>
    <xf numFmtId="0" fontId="49" fillId="0" borderId="0" xfId="0" applyFont="1" applyAlignment="1">
      <alignment horizontal="left" vertical="center" wrapText="1" indent="1"/>
    </xf>
    <xf numFmtId="0" fontId="29" fillId="0" borderId="23" xfId="102" applyFont="1" applyBorder="1" applyAlignment="1">
      <alignment horizontal="center" vertical="center" wrapText="1"/>
    </xf>
    <xf numFmtId="49" fontId="49" fillId="0" borderId="22" xfId="102" applyNumberFormat="1" applyFont="1" applyBorder="1" applyAlignment="1">
      <alignment horizontal="center" vertical="center"/>
    </xf>
    <xf numFmtId="0" fontId="29" fillId="0" borderId="0" xfId="102" applyFont="1" applyAlignment="1">
      <alignment horizontal="left" vertical="center" wrapText="1" indent="1"/>
    </xf>
    <xf numFmtId="49" fontId="29" fillId="0" borderId="0" xfId="102" applyNumberFormat="1" applyFont="1" applyAlignment="1">
      <alignment horizontal="center" vertical="center"/>
    </xf>
    <xf numFmtId="0" fontId="29" fillId="0" borderId="0" xfId="102" applyFont="1" applyAlignment="1">
      <alignment horizontal="left" vertical="center"/>
    </xf>
    <xf numFmtId="0" fontId="29" fillId="0" borderId="23" xfId="102" applyFont="1" applyBorder="1" applyAlignment="1">
      <alignment horizontal="center" vertical="center"/>
    </xf>
    <xf numFmtId="0" fontId="29" fillId="0" borderId="8" xfId="0" applyFont="1" applyBorder="1" applyAlignment="1">
      <alignment horizontal="left" vertical="center" wrapText="1" indent="1"/>
    </xf>
    <xf numFmtId="0" fontId="27" fillId="0" borderId="8" xfId="0" applyFont="1" applyBorder="1" applyAlignment="1">
      <alignment horizontal="left" vertical="center" wrapText="1" indent="2"/>
    </xf>
    <xf numFmtId="0" fontId="49" fillId="0" borderId="8" xfId="0" applyFont="1" applyBorder="1" applyAlignment="1">
      <alignment horizontal="left" vertical="center" wrapText="1" indent="1"/>
    </xf>
    <xf numFmtId="0" fontId="92" fillId="0" borderId="8" xfId="0" applyFont="1" applyBorder="1" applyAlignment="1">
      <alignment horizontal="left" vertical="center" wrapText="1" indent="3"/>
    </xf>
    <xf numFmtId="0" fontId="48" fillId="0" borderId="8" xfId="0" applyFont="1" applyBorder="1" applyAlignment="1">
      <alignment horizontal="left" vertical="center" wrapText="1" indent="4"/>
    </xf>
    <xf numFmtId="0" fontId="48" fillId="0" borderId="18" xfId="0" applyFont="1" applyBorder="1" applyAlignment="1">
      <alignment horizontal="center" vertical="center"/>
    </xf>
    <xf numFmtId="49" fontId="48" fillId="0" borderId="8" xfId="0" applyNumberFormat="1" applyFont="1" applyBorder="1" applyAlignment="1">
      <alignment horizontal="center" vertical="center"/>
    </xf>
    <xf numFmtId="49" fontId="29" fillId="0" borderId="8" xfId="0" applyNumberFormat="1" applyFont="1" applyBorder="1" applyAlignment="1">
      <alignment horizontal="center" vertical="center"/>
    </xf>
    <xf numFmtId="49" fontId="27" fillId="0" borderId="8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3" fillId="0" borderId="0" xfId="0" applyFont="1"/>
    <xf numFmtId="0" fontId="100" fillId="0" borderId="0" xfId="0" applyFont="1" applyAlignment="1">
      <alignment horizontal="center" vertical="center"/>
    </xf>
    <xf numFmtId="0" fontId="48" fillId="0" borderId="0" xfId="0" applyFont="1"/>
    <xf numFmtId="0" fontId="48" fillId="0" borderId="0" xfId="0" applyFont="1" applyAlignment="1">
      <alignment horizontal="center"/>
    </xf>
    <xf numFmtId="0" fontId="27" fillId="0" borderId="18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8" xfId="0" quotePrefix="1" applyFont="1" applyBorder="1" applyAlignment="1">
      <alignment horizontal="left" vertical="center" wrapText="1" indent="2"/>
    </xf>
    <xf numFmtId="0" fontId="46" fillId="0" borderId="0" xfId="0" applyFont="1" applyAlignment="1">
      <alignment horizontal="center" vertical="center"/>
    </xf>
    <xf numFmtId="0" fontId="69" fillId="0" borderId="0" xfId="0" applyFont="1"/>
    <xf numFmtId="0" fontId="23" fillId="0" borderId="8" xfId="0" applyFont="1" applyBorder="1" applyAlignment="1">
      <alignment horizontal="left" vertical="center" wrapText="1" indent="1"/>
    </xf>
    <xf numFmtId="0" fontId="46" fillId="0" borderId="8" xfId="0" quotePrefix="1" applyFont="1" applyBorder="1" applyAlignment="1">
      <alignment horizontal="left" vertical="center" wrapText="1" indent="2"/>
    </xf>
    <xf numFmtId="0" fontId="23" fillId="0" borderId="11" xfId="0" applyFont="1" applyBorder="1" applyAlignment="1">
      <alignment horizontal="center" vertical="center"/>
    </xf>
    <xf numFmtId="0" fontId="46" fillId="0" borderId="8" xfId="0" quotePrefix="1" applyFont="1" applyBorder="1" applyAlignment="1">
      <alignment horizontal="left" vertical="center" wrapText="1" indent="3"/>
    </xf>
    <xf numFmtId="0" fontId="46" fillId="0" borderId="8" xfId="0" applyFont="1" applyBorder="1" applyAlignment="1">
      <alignment horizontal="left" vertical="center" wrapText="1" indent="2"/>
    </xf>
    <xf numFmtId="0" fontId="23" fillId="0" borderId="8" xfId="0" applyFont="1" applyBorder="1" applyAlignment="1">
      <alignment horizontal="left" vertical="center" indent="1"/>
    </xf>
    <xf numFmtId="0" fontId="20" fillId="0" borderId="8" xfId="0" quotePrefix="1" applyFont="1" applyBorder="1" applyAlignment="1">
      <alignment horizontal="left" vertical="center" wrapText="1" indent="4"/>
    </xf>
    <xf numFmtId="0" fontId="41" fillId="0" borderId="8" xfId="0" quotePrefix="1" applyFont="1" applyBorder="1" applyAlignment="1">
      <alignment horizontal="left" vertical="center" wrapText="1" indent="1"/>
    </xf>
    <xf numFmtId="0" fontId="20" fillId="0" borderId="0" xfId="0" applyFont="1" applyAlignment="1">
      <alignment horizontal="center" vertical="center"/>
    </xf>
    <xf numFmtId="0" fontId="23" fillId="0" borderId="11" xfId="0" quotePrefix="1" applyFont="1" applyBorder="1" applyAlignment="1">
      <alignment horizontal="center" vertical="center" wrapText="1"/>
    </xf>
    <xf numFmtId="0" fontId="41" fillId="0" borderId="8" xfId="0" applyFont="1" applyBorder="1" applyAlignment="1">
      <alignment horizontal="left" vertical="center" wrapText="1" indent="1"/>
    </xf>
    <xf numFmtId="0" fontId="20" fillId="0" borderId="11" xfId="0" quotePrefix="1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41" fillId="0" borderId="8" xfId="0" applyFont="1" applyBorder="1" applyAlignment="1">
      <alignment horizontal="left" vertical="center" indent="2"/>
    </xf>
    <xf numFmtId="0" fontId="46" fillId="0" borderId="8" xfId="0" quotePrefix="1" applyFont="1" applyBorder="1" applyAlignment="1">
      <alignment horizontal="left" vertical="center" wrapText="1" indent="8"/>
    </xf>
    <xf numFmtId="0" fontId="18" fillId="0" borderId="18" xfId="0" applyFont="1" applyBorder="1" applyAlignment="1">
      <alignment horizontal="center" vertical="center" wrapText="1"/>
    </xf>
    <xf numFmtId="0" fontId="23" fillId="0" borderId="8" xfId="0" quotePrefix="1" applyFont="1" applyBorder="1" applyAlignment="1">
      <alignment horizontal="left" vertical="center" wrapText="1" indent="2"/>
    </xf>
    <xf numFmtId="0" fontId="41" fillId="0" borderId="0" xfId="0" applyFont="1" applyAlignment="1">
      <alignment horizontal="center" vertical="center"/>
    </xf>
    <xf numFmtId="0" fontId="20" fillId="0" borderId="8" xfId="0" applyFont="1" applyBorder="1" applyAlignment="1">
      <alignment horizontal="left" vertical="center" wrapText="1" indent="2"/>
    </xf>
    <xf numFmtId="0" fontId="23" fillId="0" borderId="8" xfId="0" quotePrefix="1" applyFont="1" applyBorder="1" applyAlignment="1">
      <alignment horizontal="left" vertical="center" wrapText="1" indent="1"/>
    </xf>
    <xf numFmtId="0" fontId="46" fillId="0" borderId="8" xfId="0" quotePrefix="1" applyFont="1" applyBorder="1" applyAlignment="1">
      <alignment horizontal="left" vertical="center" wrapText="1" indent="7"/>
    </xf>
    <xf numFmtId="0" fontId="46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0" borderId="8" xfId="0" applyFont="1" applyBorder="1" applyAlignment="1">
      <alignment horizontal="left" vertical="center" wrapText="1" indent="6"/>
    </xf>
    <xf numFmtId="0" fontId="33" fillId="0" borderId="8" xfId="0" applyFont="1" applyBorder="1" applyAlignment="1">
      <alignment horizontal="left" vertical="center" wrapText="1" indent="2"/>
    </xf>
    <xf numFmtId="0" fontId="61" fillId="0" borderId="0" xfId="0" applyFont="1" applyAlignment="1">
      <alignment horizontal="left" wrapText="1"/>
    </xf>
    <xf numFmtId="0" fontId="27" fillId="0" borderId="0" xfId="0" applyFont="1"/>
    <xf numFmtId="49" fontId="49" fillId="0" borderId="8" xfId="0" applyNumberFormat="1" applyFont="1" applyBorder="1" applyAlignment="1">
      <alignment horizontal="center" vertical="center"/>
    </xf>
    <xf numFmtId="0" fontId="33" fillId="0" borderId="8" xfId="0" applyFont="1" applyBorder="1" applyAlignment="1">
      <alignment horizontal="left" vertical="center" indent="2"/>
    </xf>
    <xf numFmtId="165" fontId="100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48" fillId="0" borderId="18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left" vertical="center" wrapText="1" indent="2"/>
    </xf>
    <xf numFmtId="49" fontId="48" fillId="0" borderId="8" xfId="0" applyNumberFormat="1" applyFont="1" applyBorder="1" applyAlignment="1">
      <alignment horizontal="center" vertical="center" wrapText="1"/>
    </xf>
    <xf numFmtId="0" fontId="38" fillId="0" borderId="0" xfId="0" applyFont="1"/>
    <xf numFmtId="0" fontId="48" fillId="0" borderId="8" xfId="0" applyFont="1" applyBorder="1" applyAlignment="1">
      <alignment horizontal="left" vertical="center" wrapText="1" indent="1"/>
    </xf>
    <xf numFmtId="0" fontId="49" fillId="0" borderId="11" xfId="0" applyFont="1" applyBorder="1" applyAlignment="1">
      <alignment horizontal="left" vertical="center" wrapText="1" indent="1"/>
    </xf>
    <xf numFmtId="0" fontId="64" fillId="0" borderId="11" xfId="0" applyFont="1" applyBorder="1" applyAlignment="1">
      <alignment horizontal="left" vertical="center" wrapText="1" indent="2"/>
    </xf>
    <xf numFmtId="0" fontId="38" fillId="0" borderId="8" xfId="0" applyFont="1" applyBorder="1" applyAlignment="1">
      <alignment horizontal="left" vertical="center" wrapText="1" indent="2"/>
    </xf>
    <xf numFmtId="0" fontId="48" fillId="0" borderId="8" xfId="0" applyFont="1" applyBorder="1" applyAlignment="1">
      <alignment horizontal="left" vertical="center" wrapText="1" indent="2"/>
    </xf>
    <xf numFmtId="0" fontId="92" fillId="0" borderId="8" xfId="0" applyFont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92" fillId="0" borderId="17" xfId="0" applyFont="1" applyBorder="1" applyAlignment="1">
      <alignment horizontal="center" vertical="center"/>
    </xf>
    <xf numFmtId="0" fontId="101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27" fillId="0" borderId="12" xfId="0" applyFont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 indent="2"/>
    </xf>
    <xf numFmtId="0" fontId="29" fillId="0" borderId="0" xfId="0" applyFont="1" applyAlignment="1">
      <alignment horizontal="left" vertical="center" wrapText="1" indent="1"/>
    </xf>
    <xf numFmtId="0" fontId="27" fillId="0" borderId="18" xfId="0" applyFont="1" applyBorder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48" fillId="0" borderId="0" xfId="0" quotePrefix="1" applyFont="1" applyAlignment="1">
      <alignment horizontal="left" vertical="center" wrapText="1"/>
    </xf>
    <xf numFmtId="0" fontId="49" fillId="0" borderId="8" xfId="0" applyFont="1" applyBorder="1" applyAlignment="1">
      <alignment horizontal="left" vertical="center" wrapText="1"/>
    </xf>
    <xf numFmtId="49" fontId="49" fillId="0" borderId="4" xfId="0" applyNumberFormat="1" applyFont="1" applyBorder="1" applyAlignment="1">
      <alignment horizontal="center" vertical="center"/>
    </xf>
    <xf numFmtId="0" fontId="49" fillId="0" borderId="4" xfId="0" applyFont="1" applyBorder="1" applyAlignment="1">
      <alignment horizontal="left" vertical="center" wrapText="1" indent="2"/>
    </xf>
    <xf numFmtId="0" fontId="106" fillId="0" borderId="0" xfId="0" applyFont="1" applyAlignment="1">
      <alignment horizontal="center" vertical="center"/>
    </xf>
    <xf numFmtId="0" fontId="63" fillId="0" borderId="8" xfId="0" applyFont="1" applyBorder="1" applyAlignment="1">
      <alignment horizontal="left" vertical="center" wrapText="1" indent="1"/>
    </xf>
    <xf numFmtId="0" fontId="48" fillId="0" borderId="12" xfId="0" applyFont="1" applyBorder="1" applyAlignment="1">
      <alignment horizontal="center" vertical="center"/>
    </xf>
    <xf numFmtId="0" fontId="48" fillId="0" borderId="12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left" vertical="center" wrapText="1" indent="2"/>
    </xf>
    <xf numFmtId="0" fontId="100" fillId="0" borderId="0" xfId="0" applyFont="1" applyAlignment="1">
      <alignment horizontal="center"/>
    </xf>
    <xf numFmtId="0" fontId="38" fillId="0" borderId="8" xfId="0" applyFont="1" applyBorder="1" applyAlignment="1">
      <alignment horizontal="left" vertical="center" wrapText="1" indent="3"/>
    </xf>
    <xf numFmtId="0" fontId="48" fillId="0" borderId="8" xfId="0" applyFont="1" applyBorder="1" applyAlignment="1">
      <alignment horizontal="center" vertical="center" wrapText="1"/>
    </xf>
    <xf numFmtId="0" fontId="64" fillId="0" borderId="8" xfId="0" applyFont="1" applyBorder="1" applyAlignment="1">
      <alignment horizontal="left" vertical="center" wrapText="1" indent="2"/>
    </xf>
    <xf numFmtId="0" fontId="48" fillId="0" borderId="0" xfId="0" applyFont="1" applyAlignment="1">
      <alignment horizontal="center" vertical="center"/>
    </xf>
    <xf numFmtId="0" fontId="98" fillId="0" borderId="17" xfId="0" applyFont="1" applyBorder="1" applyAlignment="1">
      <alignment horizontal="left" vertical="center" wrapText="1" indent="2"/>
    </xf>
    <xf numFmtId="0" fontId="98" fillId="0" borderId="8" xfId="0" applyFont="1" applyBorder="1" applyAlignment="1">
      <alignment horizontal="left" vertical="center" wrapText="1" indent="2"/>
    </xf>
    <xf numFmtId="0" fontId="48" fillId="0" borderId="23" xfId="0" applyFont="1" applyBorder="1" applyAlignment="1">
      <alignment horizontal="center" vertical="center"/>
    </xf>
    <xf numFmtId="165" fontId="101" fillId="0" borderId="0" xfId="0" applyNumberFormat="1" applyFont="1" applyAlignment="1">
      <alignment horizontal="center" vertical="center"/>
    </xf>
    <xf numFmtId="0" fontId="48" fillId="0" borderId="17" xfId="0" applyFont="1" applyBorder="1" applyAlignment="1">
      <alignment horizontal="left" vertical="center" wrapText="1" indent="2"/>
    </xf>
    <xf numFmtId="0" fontId="27" fillId="0" borderId="9" xfId="0" quotePrefix="1" applyFont="1" applyBorder="1" applyAlignment="1">
      <alignment horizontal="left" vertical="center" wrapText="1" indent="2"/>
    </xf>
    <xf numFmtId="0" fontId="33" fillId="0" borderId="9" xfId="0" applyFont="1" applyBorder="1" applyAlignment="1">
      <alignment horizontal="left" vertical="center" wrapText="1" indent="2"/>
    </xf>
    <xf numFmtId="0" fontId="27" fillId="0" borderId="8" xfId="0" quotePrefix="1" applyFont="1" applyBorder="1" applyAlignment="1">
      <alignment horizontal="left" vertical="center" wrapText="1" indent="4"/>
    </xf>
    <xf numFmtId="0" fontId="29" fillId="0" borderId="13" xfId="0" quotePrefix="1" applyFont="1" applyBorder="1" applyAlignment="1">
      <alignment horizontal="left" vertical="center" wrapText="1" indent="1"/>
    </xf>
    <xf numFmtId="0" fontId="27" fillId="0" borderId="10" xfId="0" applyFont="1" applyBorder="1" applyAlignment="1">
      <alignment horizontal="center" vertical="center"/>
    </xf>
    <xf numFmtId="49" fontId="64" fillId="0" borderId="8" xfId="0" applyNumberFormat="1" applyFont="1" applyBorder="1" applyAlignment="1">
      <alignment horizontal="center" vertical="center"/>
    </xf>
    <xf numFmtId="0" fontId="33" fillId="0" borderId="8" xfId="0" quotePrefix="1" applyFont="1" applyBorder="1" applyAlignment="1">
      <alignment horizontal="left" vertical="center" wrapText="1" indent="2"/>
    </xf>
    <xf numFmtId="0" fontId="29" fillId="0" borderId="8" xfId="0" quotePrefix="1" applyFont="1" applyBorder="1" applyAlignment="1">
      <alignment horizontal="left" vertical="center" wrapText="1" indent="2"/>
    </xf>
    <xf numFmtId="0" fontId="63" fillId="0" borderId="4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29" fillId="0" borderId="8" xfId="0" quotePrefix="1" applyFont="1" applyBorder="1" applyAlignment="1">
      <alignment horizontal="left" vertical="center" wrapText="1" indent="3"/>
    </xf>
    <xf numFmtId="0" fontId="39" fillId="0" borderId="11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left" vertical="center" wrapText="1" indent="3"/>
    </xf>
    <xf numFmtId="0" fontId="29" fillId="0" borderId="8" xfId="0" applyFont="1" applyBorder="1" applyAlignment="1">
      <alignment horizontal="left" vertical="center" indent="3"/>
    </xf>
    <xf numFmtId="0" fontId="52" fillId="0" borderId="8" xfId="0" applyFont="1" applyBorder="1" applyAlignment="1">
      <alignment horizontal="left" vertical="center" wrapText="1" indent="2"/>
    </xf>
    <xf numFmtId="0" fontId="27" fillId="0" borderId="8" xfId="0" applyFont="1" applyBorder="1" applyAlignment="1">
      <alignment horizontal="left" vertical="center" wrapText="1" indent="5"/>
    </xf>
    <xf numFmtId="0" fontId="27" fillId="0" borderId="8" xfId="0" applyFont="1" applyBorder="1" applyAlignment="1">
      <alignment horizontal="left" vertical="center" wrapText="1" indent="7"/>
    </xf>
    <xf numFmtId="0" fontId="27" fillId="0" borderId="8" xfId="0" applyFont="1" applyBorder="1" applyAlignment="1">
      <alignment horizontal="left" vertical="center" wrapText="1" indent="6"/>
    </xf>
    <xf numFmtId="0" fontId="29" fillId="0" borderId="8" xfId="0" applyFont="1" applyBorder="1" applyAlignment="1">
      <alignment horizontal="left" vertical="center" wrapText="1" indent="2"/>
    </xf>
    <xf numFmtId="0" fontId="48" fillId="0" borderId="8" xfId="0" applyFont="1" applyBorder="1" applyAlignment="1">
      <alignment horizontal="left" vertical="center" wrapText="1" indent="5"/>
    </xf>
    <xf numFmtId="0" fontId="48" fillId="0" borderId="21" xfId="0" applyFont="1" applyBorder="1" applyAlignment="1">
      <alignment horizontal="center" vertical="center"/>
    </xf>
    <xf numFmtId="0" fontId="39" fillId="5" borderId="18" xfId="0" applyFont="1" applyFill="1" applyBorder="1" applyAlignment="1">
      <alignment horizontal="center" vertical="center" wrapText="1"/>
    </xf>
    <xf numFmtId="0" fontId="26" fillId="0" borderId="0" xfId="0" applyFont="1"/>
    <xf numFmtId="0" fontId="26" fillId="0" borderId="0" xfId="0" applyFont="1" applyAlignment="1">
      <alignment horizontal="center"/>
    </xf>
    <xf numFmtId="0" fontId="39" fillId="5" borderId="11" xfId="0" applyFont="1" applyFill="1" applyBorder="1" applyAlignment="1">
      <alignment horizontal="center" vertical="center" wrapText="1"/>
    </xf>
  </cellXfs>
  <cellStyles count="104">
    <cellStyle name=" 1" xfId="1"/>
    <cellStyle name=" 10" xfId="2"/>
    <cellStyle name=" 11" xfId="3"/>
    <cellStyle name=" 12" xfId="4"/>
    <cellStyle name=" 13" xfId="5"/>
    <cellStyle name=" 14" xfId="6"/>
    <cellStyle name=" 15" xfId="7"/>
    <cellStyle name=" 2" xfId="8"/>
    <cellStyle name=" 3" xfId="9"/>
    <cellStyle name=" 4" xfId="10"/>
    <cellStyle name=" 5" xfId="11"/>
    <cellStyle name=" 6" xfId="12"/>
    <cellStyle name=" 7" xfId="13"/>
    <cellStyle name=" 8" xfId="14"/>
    <cellStyle name=" 9" xfId="15"/>
    <cellStyle name="_71-ГАЗ УЭВП на 2011 год " xfId="16"/>
    <cellStyle name="_Column1_314 form " xfId="17"/>
    <cellStyle name="_PERSONAL_71-ГАЗ УЭВП на 2011 год " xfId="18"/>
    <cellStyle name="_PERSONAL_ф МСЧ Отчет 1 КВАРТАЛ 2009г " xfId="19"/>
    <cellStyle name="_Row1_314 form " xfId="20"/>
    <cellStyle name="_Uslugi_REU_71-ГАЗ УЭВП на 2011 год " xfId="21"/>
    <cellStyle name="_Исполнение сметы_71-ГАЗ УЭВП на 2011 год " xfId="22"/>
    <cellStyle name="_Исполнение сметы_ТЭП " xfId="23"/>
    <cellStyle name="_Остатки ОАО &quot;ЛГОК&quot; " xfId="24"/>
    <cellStyle name="_Отчет о техн.эконом.показателях " xfId="25"/>
    <cellStyle name="_Отчет_Услуги_(приложение_9)(2)_71-ГАЗ УЭВП на 2011 год " xfId="26"/>
    <cellStyle name="_пл IVкв комплект МГОК 06.10.06 " xfId="27"/>
    <cellStyle name="_Приложение 7_71-ГАЗ УЭВП на 2011 год " xfId="28"/>
    <cellStyle name="_Расчеты по введенным объектам на 2011 год январь 11 г " xfId="29"/>
    <cellStyle name="_РЭУ_январь_2008_71-ГАЗ УЭВП на 2011 год " xfId="30"/>
    <cellStyle name="_с 63 Печерский р-н " xfId="31"/>
    <cellStyle name="_Сводная_план_2007_01_25_филиалы (с 91 и 92 счетами)_71-ГАЗ УЭВП на 2011 год " xfId="32"/>
    <cellStyle name="_Сводная_план_2007_01_25_филиалы (с 91 и 92 счетами)_ф МСЧ Отчет 1 КВАРТАЛ 2009г " xfId="33"/>
    <cellStyle name="_Смета_собственных_затрат (приложение 1а)(1)_71-ГАЗ УЭВП на 2011 год " xfId="34"/>
    <cellStyle name="_Смета_собственных_затрат_(приложение_1а)(2)_71-ГАЗ УЭВП на 2011 год " xfId="35"/>
    <cellStyle name="_Смета_собственных_затрат_(приложение_1а)_71-ГАЗ УЭВП на 2011 год " xfId="36"/>
    <cellStyle name="_Сравнение(факторный)_Копия Смета и программа работ ГДШ на 2009 год_SAP R3_Бюджет АХО 2010 " xfId="37"/>
    <cellStyle name="_Сравнение(факторный)_Смета и программа работ СМНГ на 2009 год_SAP R3_верс на инфописьмах_Бюджет АХО 2010 " xfId="38"/>
    <cellStyle name="_Сравнение081107_Копия Смета и программа работ ГДШ на 2009 год_SAP R3_Бюджет АХО 2010 " xfId="39"/>
    <cellStyle name="_Сравнение081107_Смета и программа работ СМНГ на 2009 год_SAP R3_верс на инфописьмах_Бюджет АХО 2010 " xfId="40"/>
    <cellStyle name="_счет 91-за 1-ое полугодие 07г._71-ГАЗ УЭВП на 2011 год " xfId="41"/>
    <cellStyle name="_УА_Forma_planirovaniya_sobstvennykh_zatrat_71-ГАЗ УЭВП на 2011 год " xfId="42"/>
    <cellStyle name="_УА_Forma_planirovaniya_sobstvennykh_zatrat_ф МСЧ Отчет 1 КВАРТАЛ 2009г " xfId="43"/>
    <cellStyle name="_УГРиЛМ_смета собств.затрат_71-ГАЗ УЭВП на 2011 год " xfId="44"/>
    <cellStyle name="_УГРиЛМ_смета собств.затрат_ф МСЧ Отчет 1 КВАРТАЛ 2009г " xfId="45"/>
    <cellStyle name="_УНИПР_смета собств.затрат_71-ГАЗ УЭВП на 2011 год " xfId="46"/>
    <cellStyle name="_УНИПР_смета собств.затрат_ф МСЧ Отчет 1 КВАРТАЛ 2009г " xfId="47"/>
    <cellStyle name="_Услуги стор организаций в 2007г " xfId="48"/>
    <cellStyle name="_Формы для плана 2007_71-ГАЗ УЭВП на 2011 год " xfId="49"/>
    <cellStyle name="_Формы для плана 2007_ф МСЧ Отчет 1 КВАРТАЛ 2009г " xfId="50"/>
    <cellStyle name="A¨­￠￢￠O [0]_¨uoAa¨oCAu " xfId="51"/>
    <cellStyle name="A¨­￠￢￠O_¨uoAa¨oCAu " xfId="52"/>
    <cellStyle name="AeE­ [0]_¼oAa½CAu " xfId="53"/>
    <cellStyle name="ÅëÈ­ [0]_INQUIRY ¿µ¾÷ÃßÁø " xfId="54"/>
    <cellStyle name="AeE­ [0]_INQUIRY ¿μ¾÷AßAø " xfId="55"/>
    <cellStyle name="AeE­_¼oAa½CAu " xfId="56"/>
    <cellStyle name="ÅëÈ­_INQUIRY ¿µ¾÷ÃßÁø " xfId="57"/>
    <cellStyle name="AeE­_INQUIRY ¿μ¾÷AßAø " xfId="58"/>
    <cellStyle name="AeE¡ⓒ [0]_¨uoAa¨oCAu " xfId="59"/>
    <cellStyle name="AeE¡ⓒ_¨uoAa¨oCAu " xfId="60"/>
    <cellStyle name="AÞ¸¶ [0]_¼oAa½CAu " xfId="61"/>
    <cellStyle name="ÄÞ¸¶ [0]_INQUIRY ¿µ¾÷ÃßÁø " xfId="62"/>
    <cellStyle name="AÞ¸¶ [0]_INQUIRY ¿μ¾÷AßAø " xfId="63"/>
    <cellStyle name="AÞ¸¶_¼oAa½CAu " xfId="64"/>
    <cellStyle name="ÄÞ¸¶_INQUIRY ¿µ¾÷ÃßÁø " xfId="65"/>
    <cellStyle name="AÞ¸¶_INQUIRY ¿μ¾÷AßAø " xfId="66"/>
    <cellStyle name="C¡IA¨ª_¡ic¨u¡A¨￢I¨￢¡Æ AN¡Æe " xfId="67"/>
    <cellStyle name="Ç¥ÁØ_¿µ¾÷ÇöÈ² " xfId="68"/>
    <cellStyle name="C￥AØ_¿uº°A¸≫c½CAu_³≫ºI°eE¹´e AßA¤A÷AI " xfId="69"/>
    <cellStyle name="Ç¥ÁØ_»ç¾÷ºÎº° ÃÑ°è " xfId="70"/>
    <cellStyle name="C￥AØ_≫c¾÷ºIº° AN°e " xfId="71"/>
    <cellStyle name="Ç¥ÁØ_0N-HANDLING " xfId="72"/>
    <cellStyle name="C￥AØ_¼±AoAc°i_1_³≫ºI°eE¹´e AßA¤A÷AI " xfId="73"/>
    <cellStyle name="Ç¥ÁØ_5-1±¤°í " xfId="74"/>
    <cellStyle name="C￥AØ_5-1±¤°i _6RCB1 " xfId="75"/>
    <cellStyle name="Ç¥ÁØ_Áý°èÇ¥(2¿ù) " xfId="76"/>
    <cellStyle name="C￥AØ_CoAo¹yAI °A¾×¿ⓒ½A " xfId="77"/>
    <cellStyle name="Ç¥ÁØ_Sheet1_¿µ¾÷ÇöÈ² " xfId="78"/>
    <cellStyle name="Comma" xfId="79"/>
    <cellStyle name="Comma [0]" xfId="80"/>
    <cellStyle name="Comma_ SG&amp;A Bridge " xfId="81"/>
    <cellStyle name="Comma1" xfId="82"/>
    <cellStyle name="Comma2" xfId="83"/>
    <cellStyle name="Currency" xfId="84"/>
    <cellStyle name="Currency [0]" xfId="85"/>
    <cellStyle name="Currency_ SG&amp;A Bridge " xfId="86"/>
    <cellStyle name="CURRENCY2" xfId="87"/>
    <cellStyle name="Currency3" xfId="88"/>
    <cellStyle name="normal" xfId="89"/>
    <cellStyle name="Normal 2 2_Project Definition " xfId="90"/>
    <cellStyle name="Normal_ SG&amp;A Bridge " xfId="91"/>
    <cellStyle name="Normal1" xfId="92"/>
    <cellStyle name="Percent" xfId="93"/>
    <cellStyle name="RowLevel_1_Ф 24_25 (03_08)(ДОи ДЗОИ)-рабочая Ver 0 4 " xfId="94"/>
    <cellStyle name="user_custom_border" xfId="103"/>
    <cellStyle name="Денежный" xfId="99" builtinId="4" hidden="1"/>
    <cellStyle name="Денежный [0]" xfId="100" builtinId="7" hidden="1"/>
    <cellStyle name="Обычный" xfId="0" builtinId="0"/>
    <cellStyle name="Обычный 10 14" xfId="102"/>
    <cellStyle name="Процентный" xfId="101" builtinId="5" hidden="1"/>
    <cellStyle name="Финансовый" xfId="97" builtinId="3" hidden="1"/>
    <cellStyle name="Финансовый [0]" xfId="98" builtinId="6" hidden="1"/>
    <cellStyle name="콤마 [0]_ 견적기준 FLOW " xfId="95"/>
    <cellStyle name="콤마_ 견적기준 FLOW " xfId="96"/>
  </cellStyles>
  <dxfs count="87"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font>
        <color rgb="FFC00000"/>
      </font>
    </dxf>
    <dxf>
      <font>
        <color rgb="FF00B050"/>
      </font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RP\816\816_4_3\2.%20&#1046;&#1059;&#1042;%20&#1080;%20&#1055;&#1055;\03%20&#1052;&#1072;&#1090;%20&#1073;&#1072;&#1083;&#1072;&#1085;&#1089;%20(&#1082;&#1086;&#1088;%20&#1080;%20&#1090;&#1088;&#1077;&#1093;&#1083;&#1077;&#1090;&#1082;&#1072;)\2025-2027\16%202025-2027%20&#1088;&#1077;&#1072;&#1083;&#1080;&#1079;&#1072;&#1094;&#1080;&#1103;\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o203-1\&#1086;&#1073;&#1084;&#1077;&#1085;%20&#1076;&#1083;&#1103;%20&#1095;&#1086;&#1093;&#1077;&#1083;&#1080;\&#1069;&#1082;&#1086;&#1085;&#1086;&#1084;&#1080;&#1082;&#1072;\&#1055;&#1077;&#1089;&#1094;&#1086;&#1074;&#1086;&#1077;\&#1057;&#1054;&#1043;\2005\&#1057;&#1054;&#1043;-&#1101;&#1092;&#1092;%201&#1081;%20&#1074;&#1072;&#1088;&#1080;&#1072;&#1085;&#1090;%20&#1089;&#1077;&#1085;&#1090;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2008"/>
      <sheetName val="#ССЫЛКА"/>
      <sheetName val="Tables2003"/>
      <sheetName val="База"/>
      <sheetName val="Январь-февраль"/>
      <sheetName val="Балансы НП 2003"/>
      <sheetName val="Факсограммы"/>
      <sheetName val="Товарный баланс"/>
      <sheetName val="Товарныйбаланс"/>
      <sheetName val="баланс"/>
      <sheetName val="месяц квартал"/>
      <sheetName val="Распределение"/>
      <sheetName val="Ресурсы"/>
      <sheetName val="НП"/>
      <sheetName val="Поступление"/>
      <sheetName val="Транзит"/>
      <sheetName val="Correlation"/>
      <sheetName val="Bloomberg Extract (2)"/>
      <sheetName val="urea &amp; oil"/>
      <sheetName val="DAP Price Forecasts"/>
      <sheetName val="Forecasts"/>
      <sheetName val="Fertiliser Prices"/>
      <sheetName val="Consumption by Nutrient"/>
      <sheetName val="Monthly Correlation"/>
    </sheetNames>
    <sheetDataSet>
      <sheetData sheetId="0" refreshError="1"/>
      <sheetData sheetId="1" refreshError="1">
        <row r="1">
          <cell r="A1" t="str">
            <v>Баланс газа ООО "Ямбурггаздобыча"</v>
          </cell>
        </row>
        <row r="3">
          <cell r="I3">
            <v>0</v>
          </cell>
        </row>
        <row r="4">
          <cell r="E4" t="str">
            <v>2008г.</v>
          </cell>
          <cell r="F4" t="str">
            <v>I кв.</v>
          </cell>
          <cell r="G4" t="str">
            <v>II кв.</v>
          </cell>
          <cell r="H4" t="str">
            <v>III кв.</v>
          </cell>
          <cell r="I4" t="str">
            <v>IV кв.</v>
          </cell>
        </row>
        <row r="5">
          <cell r="A5" t="str">
            <v>Добыча газа</v>
          </cell>
        </row>
        <row r="6">
          <cell r="A6" t="str">
            <v xml:space="preserve">                из газоконденсатных скважин</v>
          </cell>
        </row>
        <row r="7">
          <cell r="A7" t="str">
            <v xml:space="preserve">                Заполярное месторождение</v>
          </cell>
        </row>
        <row r="8">
          <cell r="A8" t="str">
            <v>СН промыслов Ямбурггаздобычи</v>
          </cell>
        </row>
        <row r="9">
          <cell r="A9" t="str">
            <v xml:space="preserve">                в т.ч. ЗГНКМ и Тазовский УДГ</v>
          </cell>
        </row>
        <row r="10">
          <cell r="A10" t="str">
            <v>Товарный газ</v>
          </cell>
        </row>
        <row r="11">
          <cell r="A11" t="str">
            <v xml:space="preserve">     Потребители Ямбурггаздобычи</v>
          </cell>
        </row>
        <row r="12">
          <cell r="A12" t="str">
            <v>Распределение газа</v>
          </cell>
        </row>
        <row r="13">
          <cell r="A13" t="str">
            <v xml:space="preserve">         ЗАО "Северрегионгаз" (потребителям)</v>
          </cell>
        </row>
        <row r="14">
          <cell r="A14" t="str">
            <v>в т.ч. для ООО "Газпромэнерго"</v>
          </cell>
        </row>
        <row r="15">
          <cell r="A15" t="str">
            <v xml:space="preserve">       Подача в магистральные газопроводы</v>
          </cell>
        </row>
        <row r="16">
          <cell r="A16" t="str">
            <v xml:space="preserve">                               в т.ч. ООО "Сургутгазпром"</v>
          </cell>
        </row>
        <row r="17">
          <cell r="A17" t="str">
            <v xml:space="preserve">                        газ сухой отбензиненный</v>
          </cell>
        </row>
        <row r="18">
          <cell r="A18" t="str">
            <v xml:space="preserve">             газ ОАО "Газпром"</v>
          </cell>
        </row>
        <row r="19">
          <cell r="A19" t="str">
            <v xml:space="preserve">                        газ сухой отбензиненный</v>
          </cell>
        </row>
        <row r="23">
          <cell r="A23" t="str">
            <v>Заместитель Председателя Правления ОАО "Газпром" -</v>
          </cell>
        </row>
        <row r="24">
          <cell r="A24" t="str">
            <v>начальник  Финансово-экономического департамента                                                                       А.В. Круглов</v>
          </cell>
        </row>
        <row r="28">
          <cell r="A28" t="str">
            <v>Баланс газа ООО "Уренгойгазпром"</v>
          </cell>
        </row>
        <row r="30">
          <cell r="I30" t="str">
            <v>млн. куб. м</v>
          </cell>
        </row>
        <row r="31">
          <cell r="E31" t="str">
            <v>2008г.</v>
          </cell>
          <cell r="F31" t="str">
            <v>I кв.</v>
          </cell>
          <cell r="G31" t="str">
            <v>II кв.</v>
          </cell>
          <cell r="H31" t="str">
            <v>III кв.</v>
          </cell>
          <cell r="I31" t="str">
            <v>IV кв.</v>
          </cell>
        </row>
        <row r="32">
          <cell r="A32" t="str">
            <v>Ресурсы - всего</v>
          </cell>
        </row>
        <row r="33">
          <cell r="A33" t="str">
            <v xml:space="preserve">       Добыча газа</v>
          </cell>
        </row>
        <row r="34">
          <cell r="A34" t="str">
            <v xml:space="preserve">                     из газоконденсатных скважин</v>
          </cell>
        </row>
        <row r="35">
          <cell r="A35" t="str">
            <v xml:space="preserve">                     попутный нефтяной газ</v>
          </cell>
        </row>
        <row r="36">
          <cell r="A36" t="str">
            <v xml:space="preserve">       Газ деэтанизации конденсата</v>
          </cell>
        </row>
        <row r="37">
          <cell r="A37" t="str">
            <v>СТН Уренгойгазпрома - всего</v>
          </cell>
        </row>
        <row r="38">
          <cell r="A38" t="str">
            <v xml:space="preserve">                   СТН нужды промыслов</v>
          </cell>
        </row>
        <row r="39">
          <cell r="A39" t="str">
            <v xml:space="preserve">                             в т.ч. попутный нефтяной газ</v>
          </cell>
        </row>
        <row r="40">
          <cell r="A40" t="str">
            <v xml:space="preserve">                   СТН ЗПГК (газ деэтанизации конденсата)</v>
          </cell>
        </row>
        <row r="41">
          <cell r="A41" t="str">
            <v>Товарный газ</v>
          </cell>
        </row>
        <row r="42">
          <cell r="A42" t="str">
            <v xml:space="preserve">         Потребители газа ООО "Уренгойгазпром"</v>
          </cell>
        </row>
        <row r="43">
          <cell r="A43" t="str">
            <v xml:space="preserve">                       ЗАО "Северрегионгаз"</v>
          </cell>
        </row>
        <row r="44">
          <cell r="A44" t="str">
            <v xml:space="preserve">                       Прочие</v>
          </cell>
        </row>
        <row r="45">
          <cell r="A45" t="str">
            <v>СПРАВОЧНО:</v>
          </cell>
        </row>
        <row r="46">
          <cell r="A46" t="str">
            <v xml:space="preserve">         кр.т. газ ЗАО "Роспан Интернешнл"</v>
          </cell>
        </row>
        <row r="47">
          <cell r="A47" t="str">
            <v>Распределение газа</v>
          </cell>
        </row>
        <row r="48">
          <cell r="A48" t="str">
            <v xml:space="preserve">       Подача в Тюментрансгаз</v>
          </cell>
        </row>
        <row r="49">
          <cell r="A49" t="str">
            <v xml:space="preserve">             газ ОАО "Газпром"</v>
          </cell>
        </row>
        <row r="50">
          <cell r="A50" t="str">
            <v xml:space="preserve">                                 сухой отбензиненный</v>
          </cell>
        </row>
        <row r="51">
          <cell r="A51" t="str">
            <v xml:space="preserve">                                 газ деэтанизации конденсата</v>
          </cell>
        </row>
        <row r="52">
          <cell r="A52" t="str">
            <v xml:space="preserve">                                 попутный нефтяной газ</v>
          </cell>
        </row>
        <row r="53">
          <cell r="A53" t="str">
            <v xml:space="preserve">                                  кр. т. газ от ООО "Ноябрьскгаздобычи"</v>
          </cell>
        </row>
        <row r="55">
          <cell r="A55" t="str">
            <v xml:space="preserve">                 кр.т. газ ЗАО "Роспан Интернешнл" (справочно)</v>
          </cell>
        </row>
        <row r="58">
          <cell r="A58" t="str">
            <v>Заместитель Председателя Правления ОАО "Газпром" -</v>
          </cell>
        </row>
        <row r="59">
          <cell r="A59" t="str">
            <v>начальник  Финансово-экономического департамента                                                                       А.В. Круглов</v>
          </cell>
        </row>
        <row r="61">
          <cell r="A61" t="str">
            <v>Баланс газа ООО "Надымгазпром"</v>
          </cell>
        </row>
        <row r="63">
          <cell r="I63">
            <v>0</v>
          </cell>
        </row>
        <row r="64">
          <cell r="E64" t="str">
            <v>2008г.</v>
          </cell>
          <cell r="F64" t="str">
            <v>I кв.</v>
          </cell>
          <cell r="G64" t="str">
            <v>II кв.</v>
          </cell>
          <cell r="H64" t="str">
            <v>III кв.</v>
          </cell>
          <cell r="I64" t="str">
            <v>IV кв.</v>
          </cell>
        </row>
        <row r="65">
          <cell r="A65" t="str">
            <v>Добыча газа</v>
          </cell>
        </row>
        <row r="66">
          <cell r="A66" t="str">
            <v xml:space="preserve">      СН промыслов Надымгазпрома</v>
          </cell>
        </row>
        <row r="67">
          <cell r="A67" t="str">
            <v>Товарный газ</v>
          </cell>
        </row>
        <row r="68">
          <cell r="A68" t="str">
            <v xml:space="preserve">      Потребители Надымгазпрома</v>
          </cell>
        </row>
        <row r="69">
          <cell r="A69" t="str">
            <v>в т.ч. для ООО "Газпромэнерго" (ч/з ЗАО "СеверРГ")</v>
          </cell>
        </row>
        <row r="70">
          <cell r="A70" t="str">
            <v>Распределение газа</v>
          </cell>
        </row>
        <row r="71">
          <cell r="A71" t="str">
            <v xml:space="preserve">    Подача в Тюментрансгаз</v>
          </cell>
        </row>
        <row r="72">
          <cell r="A72" t="str">
            <v xml:space="preserve">           газ ОАО "Газпром"</v>
          </cell>
        </row>
        <row r="77">
          <cell r="A77" t="str">
            <v>Заместитель Председателя Правления ОАО "Газпром" -</v>
          </cell>
        </row>
        <row r="78">
          <cell r="A78" t="str">
            <v>начальник  Финансово-экономического департамента                                                                       А.В. Круглов</v>
          </cell>
        </row>
        <row r="80">
          <cell r="A80" t="str">
            <v>Баланс газа ООО "Тюментрансгаз"</v>
          </cell>
        </row>
        <row r="82">
          <cell r="I82">
            <v>0</v>
          </cell>
        </row>
        <row r="83">
          <cell r="E83" t="str">
            <v>2008г.</v>
          </cell>
          <cell r="F83" t="str">
            <v>I кв.</v>
          </cell>
          <cell r="G83" t="str">
            <v>II кв.</v>
          </cell>
          <cell r="H83" t="str">
            <v>III кв.</v>
          </cell>
          <cell r="I83" t="str">
            <v>IV кв.</v>
          </cell>
        </row>
        <row r="84">
          <cell r="A84" t="str">
            <v>Добыча газа</v>
          </cell>
        </row>
        <row r="85">
          <cell r="A85" t="str">
            <v xml:space="preserve">      СН промыслов</v>
          </cell>
        </row>
        <row r="86">
          <cell r="A86" t="str">
            <v>Товарный газ</v>
          </cell>
        </row>
        <row r="87">
          <cell r="A87" t="str">
            <v xml:space="preserve">      Потребителям промыслов</v>
          </cell>
        </row>
        <row r="88">
          <cell r="A88" t="str">
            <v>Подача газа в магистральный газопровод</v>
          </cell>
        </row>
        <row r="91">
          <cell r="A91" t="str">
            <v>Заместитель Председателя Правления ОАО "Газпром" -</v>
          </cell>
        </row>
        <row r="92">
          <cell r="A92" t="str">
            <v>начальник  Финансово-экономического департамента                                                                       А.В. Круглов</v>
          </cell>
        </row>
        <row r="95">
          <cell r="A95" t="str">
            <v>Баланс газа ООО "Ноябрьскгаздобыча"</v>
          </cell>
        </row>
        <row r="97">
          <cell r="I97">
            <v>0</v>
          </cell>
        </row>
        <row r="98">
          <cell r="E98" t="str">
            <v>2008г.</v>
          </cell>
          <cell r="F98" t="str">
            <v>I кв.</v>
          </cell>
          <cell r="G98" t="str">
            <v>II кв.</v>
          </cell>
          <cell r="H98" t="str">
            <v>III кв.</v>
          </cell>
          <cell r="I98" t="str">
            <v>IV кв.</v>
          </cell>
        </row>
        <row r="99">
          <cell r="A99" t="str">
            <v>Добыча газа</v>
          </cell>
        </row>
        <row r="100">
          <cell r="A100" t="str">
            <v xml:space="preserve">             кр.т. покупка газа у ООО "Янгпур"</v>
          </cell>
        </row>
        <row r="101">
          <cell r="A101" t="str">
            <v xml:space="preserve">      СН промыслов Ноябрьскгаздобычи</v>
          </cell>
        </row>
        <row r="102">
          <cell r="A102" t="str">
            <v>Товарный газ</v>
          </cell>
        </row>
        <row r="103">
          <cell r="A103" t="str">
            <v>Распределение газа</v>
          </cell>
        </row>
        <row r="104">
          <cell r="A104" t="str">
            <v xml:space="preserve">   Подача в магистральный газопровод</v>
          </cell>
        </row>
        <row r="105">
          <cell r="A105" t="str">
            <v xml:space="preserve">                        в т.ч. для подачи ч/з УренгойГП в ТюменТГ</v>
          </cell>
        </row>
        <row r="106">
          <cell r="A106" t="str">
            <v xml:space="preserve">       газ ОАО "Газпром"</v>
          </cell>
        </row>
        <row r="107">
          <cell r="A107" t="str">
            <v xml:space="preserve">       газ ОАО "НОВАТЭК"</v>
          </cell>
        </row>
        <row r="108">
          <cell r="A108" t="str">
            <v xml:space="preserve">       газ ООО "Ноябрьскгаздобыча"</v>
          </cell>
        </row>
        <row r="109">
          <cell r="A109" t="str">
            <v xml:space="preserve">               - собственное потребление в г. Ноябрьске</v>
          </cell>
        </row>
        <row r="110">
          <cell r="A110" t="str">
            <v xml:space="preserve">               - собств. пост-ка. потреб-ям в г. Ноябрьске</v>
          </cell>
        </row>
        <row r="111">
          <cell r="A111" t="str">
            <v xml:space="preserve">         кр.т. газ ООО "Межрегионгаз" (газ ООО "Янгпур")</v>
          </cell>
        </row>
        <row r="114">
          <cell r="A114" t="str">
            <v>Заместитель Председателя Правления ОАО "Газпром" -</v>
          </cell>
        </row>
        <row r="115">
          <cell r="A115" t="str">
            <v>начальник  Финансово-экономического департамента                                                                       А.В. Круглов</v>
          </cell>
        </row>
        <row r="117">
          <cell r="A117" t="str">
            <v>Баланс газа ООО "Пургаздобыча"</v>
          </cell>
        </row>
        <row r="119">
          <cell r="I119">
            <v>0</v>
          </cell>
        </row>
        <row r="120">
          <cell r="E120" t="str">
            <v>2008г.</v>
          </cell>
          <cell r="F120" t="str">
            <v>I кв.</v>
          </cell>
          <cell r="G120" t="str">
            <v>II кв.</v>
          </cell>
          <cell r="H120" t="str">
            <v>III кв.</v>
          </cell>
          <cell r="I120" t="str">
            <v>IV кв.</v>
          </cell>
        </row>
        <row r="121">
          <cell r="A121" t="str">
            <v>Добыча газа</v>
          </cell>
        </row>
        <row r="122">
          <cell r="A122" t="str">
            <v xml:space="preserve">      СН промыслов</v>
          </cell>
        </row>
        <row r="123">
          <cell r="A123" t="str">
            <v>Товарный газ</v>
          </cell>
        </row>
        <row r="124">
          <cell r="A124" t="str">
            <v>Распределение газа</v>
          </cell>
        </row>
        <row r="125">
          <cell r="A125" t="str">
            <v xml:space="preserve">   Подача в Сургутгазпром</v>
          </cell>
        </row>
        <row r="126">
          <cell r="A126" t="str">
            <v xml:space="preserve">                        в т.ч. для подачи ч/з УренгойГП в ТюменТГ</v>
          </cell>
        </row>
        <row r="127">
          <cell r="A127" t="str">
            <v xml:space="preserve">       газ ОАО "Газпром"</v>
          </cell>
        </row>
        <row r="128">
          <cell r="A128" t="str">
            <v xml:space="preserve">            - для поставки внутри РФ</v>
          </cell>
        </row>
        <row r="129">
          <cell r="A129" t="str">
            <v xml:space="preserve">                         в т.ч. для продажи ОАО "НОВАТЭК"</v>
          </cell>
        </row>
        <row r="131">
          <cell r="A131" t="str">
            <v>Заместитель Председателя Правления ОАО "Газпром" -</v>
          </cell>
        </row>
        <row r="132">
          <cell r="A132" t="str">
            <v>начальник  Финансово-экономического департамента                                                                       А.В. Круглов</v>
          </cell>
        </row>
        <row r="134">
          <cell r="A134" t="str">
            <v>Баланс газа по ООО "Оренбурггазпром"</v>
          </cell>
        </row>
        <row r="136">
          <cell r="I136">
            <v>0</v>
          </cell>
        </row>
        <row r="137">
          <cell r="E137" t="str">
            <v>2008г.</v>
          </cell>
          <cell r="F137" t="str">
            <v>I кв.</v>
          </cell>
          <cell r="G137" t="str">
            <v>II кв.</v>
          </cell>
          <cell r="H137" t="str">
            <v>III кв.</v>
          </cell>
          <cell r="I137" t="str">
            <v>IV кв.</v>
          </cell>
        </row>
        <row r="138">
          <cell r="A138" t="str">
            <v>1. Сырой газа (поступление на переработку)</v>
          </cell>
        </row>
        <row r="139">
          <cell r="A139" t="str">
            <v xml:space="preserve">                  ООО "Оренбурггазпром" (собственная добыча)</v>
          </cell>
        </row>
        <row r="140">
          <cell r="A140" t="str">
            <v xml:space="preserve">                            в т.ч. из газоконденсатных скважин</v>
          </cell>
        </row>
        <row r="141">
          <cell r="A141" t="str">
            <v xml:space="preserve">                                     попутный нефтяной газ</v>
          </cell>
        </row>
        <row r="142">
          <cell r="A142" t="str">
            <v xml:space="preserve">                  ООО "Сервиснефтегаз"</v>
          </cell>
        </row>
        <row r="143">
          <cell r="A143" t="str">
            <v xml:space="preserve">                  ЗАО "Стимул"</v>
          </cell>
        </row>
        <row r="144">
          <cell r="A144" t="str">
            <v xml:space="preserve">                  ЗАО "Уралнефтегазпром"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ка_исх"/>
      <sheetName val="сводка2вар"/>
      <sheetName val="ССР-СОГ 1в"/>
      <sheetName val="ССР-СОГбезБЗ 1в"/>
      <sheetName val="ССР-СОГ 2в"/>
      <sheetName val="ССР-СОГбезБЗ 2в"/>
      <sheetName val="ССР-АВО"/>
      <sheetName val="Кал(по мес)"/>
      <sheetName val="КВдин"/>
      <sheetName val="ЕСН"/>
      <sheetName val="ИД"/>
      <sheetName val="ИД ОБЩ"/>
      <sheetName val="мат"/>
      <sheetName val="КВ,Ам"/>
      <sheetName val="издер"/>
      <sheetName val="поток"/>
      <sheetName val="поток1"/>
      <sheetName val="доход"/>
      <sheetName val="чуств"/>
      <sheetName val="КВпеч"/>
      <sheetName val="удель"/>
      <sheetName val="осн-пок"/>
      <sheetName val="осн-печ"/>
      <sheetName val="чуств зн 1в"/>
      <sheetName val="чуств зн 2в"/>
      <sheetName val="мат печ"/>
      <sheetName val="плата за природ"/>
      <sheetName val="природ 1в"/>
      <sheetName val="п5.Атмосф"/>
      <sheetName val="п6.Сброс"/>
      <sheetName val="п7. ПЭМ"/>
      <sheetName val="ПЭМ"/>
      <sheetName val="отходы"/>
      <sheetName val="КВ"/>
      <sheetName val="главы 1-7p"/>
      <sheetName val="Лист3"/>
      <sheetName val="Справочники"/>
      <sheetName val="СИ"/>
      <sheetName val="4.2.4 (предложения)"/>
      <sheetName val="ССР-СОГ_1в"/>
      <sheetName val="ССР-СОГбезБЗ_1в"/>
      <sheetName val="ССР-СОГ_2в"/>
      <sheetName val="ССР-СОГбезБЗ_2в"/>
      <sheetName val="Кал(по_мес)"/>
      <sheetName val="ИД_ОБЩ"/>
      <sheetName val="чуств_зн_1в"/>
      <sheetName val="чуств_зн_2в"/>
      <sheetName val="мат_печ"/>
      <sheetName val="плата_за_природ"/>
      <sheetName val="природ_1в"/>
      <sheetName val="п5_Атмосф"/>
      <sheetName val="п6_Сброс"/>
      <sheetName val="п7__ПЭМ"/>
      <sheetName val="главы_1-7p"/>
      <sheetName val="ССР-СОГ_1в1"/>
      <sheetName val="ССР-СОГбезБЗ_1в1"/>
      <sheetName val="ССР-СОГ_2в1"/>
      <sheetName val="ССР-СОГбезБЗ_2в1"/>
      <sheetName val="Кал(по_мес)1"/>
      <sheetName val="ИД_ОБЩ1"/>
      <sheetName val="чуств_зн_1в1"/>
      <sheetName val="чуств_зн_2в1"/>
      <sheetName val="мат_печ1"/>
      <sheetName val="плата_за_природ1"/>
      <sheetName val="природ_1в1"/>
      <sheetName val="п5_Атмосф1"/>
      <sheetName val="п6_Сброс1"/>
      <sheetName val="п7__ПЭМ1"/>
      <sheetName val="главы_1-7p1"/>
      <sheetName val="3. Субъекты РФ"/>
      <sheetName val="5. Перечень месторождений"/>
      <sheetName val="4. Периметр организаций"/>
      <sheetName val="320-330"/>
      <sheetName val="Общие"/>
      <sheetName val="Заполнить_ФИО!"/>
      <sheetName val="synthgraph"/>
      <sheetName val="Лист_4"/>
      <sheetName val="Добыча-факт"/>
      <sheetName val="Константы"/>
      <sheetName val="Financials"/>
      <sheetName val="90190016"/>
      <sheetName val="УСО"/>
      <sheetName val="RSOILBAL"/>
      <sheetName val="СОГ-эфф 1й вариант сент2005"/>
      <sheetName val="норм КВ"/>
      <sheetName val="технол показ"/>
      <sheetName val="налоги из себ"/>
      <sheetName val="Параметры"/>
      <sheetName val="на 1 тут"/>
      <sheetName val="IPL Level 2 Curves 04-May-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13"/>
  <sheetViews>
    <sheetView workbookViewId="0">
      <selection activeCell="F9" sqref="F9"/>
    </sheetView>
  </sheetViews>
  <sheetFormatPr defaultRowHeight="15"/>
  <cols>
    <col min="1" max="1" width="28.85546875" style="621" customWidth="1"/>
    <col min="2" max="2" width="73.28515625" style="621" customWidth="1"/>
    <col min="3" max="3" width="9.140625" style="621" customWidth="1"/>
    <col min="4" max="16384" width="9.140625" style="621"/>
  </cols>
  <sheetData>
    <row r="1" spans="1:2" ht="18.75" customHeight="1">
      <c r="A1" s="393" t="s">
        <v>0</v>
      </c>
      <c r="B1" s="393" t="s">
        <v>1</v>
      </c>
    </row>
    <row r="2" spans="1:2" ht="18.75" customHeight="1">
      <c r="A2" t="s">
        <v>2</v>
      </c>
      <c r="B2" s="465">
        <v>1234567890.12345</v>
      </c>
    </row>
    <row r="3" spans="1:2" ht="18.75" customHeight="1">
      <c r="A3" t="s">
        <v>3</v>
      </c>
      <c r="B3" s="466">
        <v>1234567890.12345</v>
      </c>
    </row>
    <row r="4" spans="1:2">
      <c r="A4" t="s">
        <v>4</v>
      </c>
      <c r="B4" s="394" t="s">
        <v>5</v>
      </c>
    </row>
    <row r="5" spans="1:2" ht="18.75" customHeight="1">
      <c r="A5" t="s">
        <v>6</v>
      </c>
      <c r="B5" s="395" t="s">
        <v>5</v>
      </c>
    </row>
    <row r="6" spans="1:2">
      <c r="A6" t="s">
        <v>7</v>
      </c>
      <c r="B6" s="468">
        <v>1234567890.12345</v>
      </c>
    </row>
    <row r="7" spans="1:2">
      <c r="A7" t="s">
        <v>8</v>
      </c>
      <c r="B7" s="468">
        <v>-1234567890.12345</v>
      </c>
    </row>
    <row r="8" spans="1:2">
      <c r="A8" t="s">
        <v>9</v>
      </c>
      <c r="B8" s="469" t="s">
        <v>5</v>
      </c>
    </row>
    <row r="9" spans="1:2">
      <c r="A9" t="s">
        <v>10</v>
      </c>
      <c r="B9" s="467">
        <v>0.76</v>
      </c>
    </row>
    <row r="10" spans="1:2" ht="19.5" customHeight="1">
      <c r="A10" s="409" t="s">
        <v>11</v>
      </c>
      <c r="B10" s="410" t="s">
        <v>5</v>
      </c>
    </row>
    <row r="11" spans="1:2">
      <c r="A11" s="409" t="s">
        <v>12</v>
      </c>
      <c r="B11" s="411" t="s">
        <v>5</v>
      </c>
    </row>
    <row r="12" spans="1:2" ht="19.5" customHeight="1">
      <c r="A12" s="409" t="s">
        <v>13</v>
      </c>
      <c r="B12" s="682">
        <v>1234567890.12345</v>
      </c>
    </row>
    <row r="13" spans="1:2">
      <c r="A13" s="571" t="s">
        <v>14</v>
      </c>
      <c r="B13">
        <v>0</v>
      </c>
    </row>
  </sheetData>
  <conditionalFormatting sqref="B6">
    <cfRule type="cellIs" dxfId="86" priority="3" operator="greaterThan">
      <formula>0</formula>
    </cfRule>
  </conditionalFormatting>
  <conditionalFormatting sqref="B7">
    <cfRule type="cellIs" dxfId="85" priority="2" operator="lessThan">
      <formula>0</formula>
    </cfRule>
  </conditionalFormatting>
  <conditionalFormatting sqref="B6 B13">
    <cfRule type="cellIs" dxfId="84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>
    <tabColor rgb="FF92D050"/>
    <pageSetUpPr fitToPage="1"/>
  </sheetPr>
  <dimension ref="A3:I1384"/>
  <sheetViews>
    <sheetView topLeftCell="B1" zoomScale="60" zoomScaleNormal="60" workbookViewId="0">
      <pane xSplit="8" ySplit="9" topLeftCell="J10" activePane="bottomRight" state="frozen"/>
      <selection activeCell="B1" sqref="B1"/>
      <selection pane="topRight" activeCell="J1" sqref="J1"/>
      <selection pane="bottomLeft" activeCell="B10" sqref="B10"/>
      <selection pane="bottomRight" activeCell="J10" sqref="J10"/>
    </sheetView>
  </sheetViews>
  <sheetFormatPr defaultColWidth="8.42578125" defaultRowHeight="15.75" outlineLevelRow="1" outlineLevelCol="1"/>
  <cols>
    <col min="1" max="1" width="9.140625" style="621" hidden="1" customWidth="1" outlineLevel="1"/>
    <col min="2" max="2" width="9.42578125" style="594" customWidth="1" collapsed="1"/>
    <col min="3" max="3" width="66.28515625" style="599" customWidth="1"/>
    <col min="4" max="4" width="25.85546875" style="599" hidden="1" customWidth="1" outlineLevel="1"/>
    <col min="5" max="6" width="25" style="599" hidden="1" customWidth="1" outlineLevel="1"/>
    <col min="7" max="8" width="40.5703125" style="621" hidden="1" customWidth="1" outlineLevel="1"/>
    <col min="9" max="9" width="12.28515625" style="621" customWidth="1" collapsed="1"/>
    <col min="10" max="77" width="8.42578125" style="621" customWidth="1"/>
    <col min="78" max="16384" width="8.42578125" style="621"/>
  </cols>
  <sheetData>
    <row r="3" spans="2:9" ht="20.25" customHeight="1">
      <c r="B3" s="759" t="s">
        <v>15</v>
      </c>
      <c r="C3" s="744"/>
      <c r="D3" s="744"/>
      <c r="E3" s="744"/>
      <c r="F3" s="744"/>
      <c r="G3" s="760"/>
      <c r="H3" s="760"/>
      <c r="I3" s="760"/>
    </row>
    <row r="5" spans="2:9" ht="20.100000000000001" customHeight="1"/>
    <row r="6" spans="2:9" ht="20.100000000000001" customHeight="1">
      <c r="B6" s="749" t="s">
        <v>16</v>
      </c>
      <c r="C6" s="750"/>
      <c r="D6" s="761" t="s">
        <v>17</v>
      </c>
      <c r="E6" s="762"/>
      <c r="F6" s="762"/>
      <c r="G6" s="762"/>
      <c r="H6" s="763"/>
      <c r="I6" s="755" t="s">
        <v>18</v>
      </c>
    </row>
    <row r="7" spans="2:9" ht="39.950000000000003" customHeight="1">
      <c r="B7" s="751"/>
      <c r="C7" s="752"/>
      <c r="D7" s="741" t="s">
        <v>19</v>
      </c>
      <c r="E7" s="741" t="s">
        <v>20</v>
      </c>
      <c r="F7" s="741" t="s">
        <v>21</v>
      </c>
      <c r="G7" s="741" t="s">
        <v>22</v>
      </c>
      <c r="H7" s="741" t="s">
        <v>23</v>
      </c>
      <c r="I7" s="756"/>
    </row>
    <row r="8" spans="2:9" ht="20.100000000000001" customHeight="1">
      <c r="B8" s="753"/>
      <c r="C8" s="754"/>
      <c r="D8" s="742"/>
      <c r="E8" s="742"/>
      <c r="F8" s="742"/>
      <c r="G8" s="742"/>
      <c r="H8" s="742"/>
      <c r="I8" s="757"/>
    </row>
    <row r="9" spans="2:9" ht="20.100000000000001" hidden="1" customHeight="1">
      <c r="C9" s="412"/>
      <c r="D9" s="412"/>
      <c r="E9" s="412"/>
      <c r="F9" s="412"/>
      <c r="G9" s="412"/>
      <c r="H9" s="412"/>
      <c r="I9" s="412"/>
    </row>
    <row r="10" spans="2:9" ht="20.100000000000001" customHeight="1">
      <c r="B10" s="417" t="s">
        <v>24</v>
      </c>
      <c r="C10" s="417"/>
      <c r="D10" s="417"/>
      <c r="E10" s="417"/>
      <c r="F10" s="417"/>
      <c r="G10" s="446"/>
      <c r="H10" s="446"/>
      <c r="I10" s="3"/>
    </row>
    <row r="11" spans="2:9" ht="20.100000000000001" customHeight="1">
      <c r="B11" s="460"/>
      <c r="C11" s="460" t="s">
        <v>25</v>
      </c>
      <c r="D11" s="530"/>
      <c r="E11" s="530"/>
      <c r="F11" s="531"/>
      <c r="G11" s="532"/>
      <c r="H11" s="532"/>
      <c r="I11" s="683"/>
    </row>
    <row r="12" spans="2:9" ht="20.100000000000001" customHeight="1">
      <c r="B12" s="594" t="s">
        <v>26</v>
      </c>
      <c r="C12" s="684" t="s">
        <v>27</v>
      </c>
      <c r="D12" s="530"/>
      <c r="E12" s="530"/>
      <c r="F12" s="531"/>
      <c r="G12" s="532" t="s">
        <v>28</v>
      </c>
      <c r="H12" s="532"/>
      <c r="I12" s="685" t="s">
        <v>29</v>
      </c>
    </row>
    <row r="13" spans="2:9" ht="20.100000000000001" customHeight="1">
      <c r="C13" s="686" t="s">
        <v>30</v>
      </c>
      <c r="D13" s="530"/>
      <c r="E13" s="530"/>
      <c r="F13" s="531"/>
      <c r="G13" s="532" t="s">
        <v>31</v>
      </c>
      <c r="H13" s="532"/>
      <c r="I13" s="685" t="s">
        <v>29</v>
      </c>
    </row>
    <row r="14" spans="2:9" ht="20.100000000000001" customHeight="1">
      <c r="C14" s="687" t="s">
        <v>32</v>
      </c>
      <c r="D14" s="530"/>
      <c r="E14" s="530"/>
      <c r="F14" s="531"/>
      <c r="G14" s="532" t="s">
        <v>33</v>
      </c>
      <c r="H14" s="532"/>
      <c r="I14" s="688" t="s">
        <v>29</v>
      </c>
    </row>
    <row r="15" spans="2:9" ht="20.100000000000001" customHeight="1">
      <c r="C15" s="687" t="s">
        <v>34</v>
      </c>
      <c r="D15" s="530"/>
      <c r="E15" s="530"/>
      <c r="F15" s="531"/>
      <c r="G15" s="532" t="s">
        <v>35</v>
      </c>
      <c r="H15" s="532"/>
      <c r="I15" s="688" t="s">
        <v>29</v>
      </c>
    </row>
    <row r="16" spans="2:9" ht="20.100000000000001" customHeight="1">
      <c r="C16" s="687" t="s">
        <v>36</v>
      </c>
      <c r="D16" s="530"/>
      <c r="E16" s="530"/>
      <c r="F16" s="531"/>
      <c r="G16" s="532" t="s">
        <v>37</v>
      </c>
      <c r="H16" s="532"/>
      <c r="I16" s="688" t="s">
        <v>29</v>
      </c>
    </row>
    <row r="17" spans="1:9" ht="20.100000000000001" customHeight="1">
      <c r="C17" s="686" t="s">
        <v>38</v>
      </c>
      <c r="D17" s="530"/>
      <c r="E17" s="530"/>
      <c r="F17" s="531"/>
      <c r="G17" s="532" t="s">
        <v>39</v>
      </c>
      <c r="H17" s="532"/>
      <c r="I17" s="685" t="s">
        <v>29</v>
      </c>
    </row>
    <row r="18" spans="1:9" ht="20.100000000000001" customHeight="1">
      <c r="C18" s="687" t="s">
        <v>40</v>
      </c>
      <c r="D18" s="530"/>
      <c r="E18" s="530"/>
      <c r="F18" s="531"/>
      <c r="G18" s="532" t="s">
        <v>39</v>
      </c>
      <c r="H18" s="532"/>
      <c r="I18" s="688" t="s">
        <v>29</v>
      </c>
    </row>
    <row r="19" spans="1:9" ht="20.100000000000001" customHeight="1">
      <c r="C19" s="686" t="s">
        <v>41</v>
      </c>
      <c r="D19" s="530"/>
      <c r="E19" s="530"/>
      <c r="F19" s="531"/>
      <c r="G19" s="532"/>
      <c r="H19" s="532"/>
      <c r="I19" s="685" t="s">
        <v>29</v>
      </c>
    </row>
    <row r="20" spans="1:9" ht="20.100000000000001" customHeight="1">
      <c r="C20" s="687" t="s">
        <v>42</v>
      </c>
      <c r="D20" s="530"/>
      <c r="E20" s="530"/>
      <c r="F20" s="531"/>
      <c r="G20" s="532"/>
      <c r="H20" s="532"/>
      <c r="I20" s="688" t="s">
        <v>29</v>
      </c>
    </row>
    <row r="21" spans="1:9" ht="20.100000000000001" customHeight="1">
      <c r="A21" s="413"/>
      <c r="B21" s="414" t="s">
        <v>43</v>
      </c>
      <c r="C21" s="689" t="s">
        <v>44</v>
      </c>
      <c r="D21" s="530"/>
      <c r="E21" s="530"/>
      <c r="F21" s="531"/>
      <c r="G21" s="532" t="s">
        <v>45</v>
      </c>
      <c r="H21" s="532"/>
      <c r="I21" s="685" t="s">
        <v>29</v>
      </c>
    </row>
    <row r="22" spans="1:9" ht="20.100000000000001" customHeight="1">
      <c r="C22" s="686" t="s">
        <v>30</v>
      </c>
      <c r="D22" s="530"/>
      <c r="E22" s="530"/>
      <c r="F22" s="531"/>
      <c r="G22" s="532" t="s">
        <v>46</v>
      </c>
      <c r="H22" s="532"/>
      <c r="I22" s="685" t="s">
        <v>29</v>
      </c>
    </row>
    <row r="23" spans="1:9" ht="20.100000000000001" customHeight="1">
      <c r="C23" s="687" t="s">
        <v>32</v>
      </c>
      <c r="D23" s="530"/>
      <c r="E23" s="530"/>
      <c r="F23" s="531"/>
      <c r="G23" s="532" t="s">
        <v>33</v>
      </c>
      <c r="H23" s="532"/>
      <c r="I23" s="688" t="s">
        <v>29</v>
      </c>
    </row>
    <row r="24" spans="1:9" ht="20.100000000000001" customHeight="1">
      <c r="C24" s="687" t="s">
        <v>36</v>
      </c>
      <c r="D24" s="530"/>
      <c r="E24" s="530"/>
      <c r="F24" s="531"/>
      <c r="G24" s="532" t="s">
        <v>47</v>
      </c>
      <c r="H24" s="532"/>
      <c r="I24" s="688" t="s">
        <v>29</v>
      </c>
    </row>
    <row r="25" spans="1:9" ht="20.100000000000001" customHeight="1">
      <c r="C25" s="690" t="s">
        <v>48</v>
      </c>
      <c r="D25" s="530"/>
      <c r="E25" s="530"/>
      <c r="F25" s="531"/>
      <c r="G25" s="532" t="s">
        <v>47</v>
      </c>
      <c r="H25" s="532"/>
      <c r="I25" s="691" t="s">
        <v>29</v>
      </c>
    </row>
    <row r="26" spans="1:9" ht="20.100000000000001" customHeight="1">
      <c r="C26" s="686" t="s">
        <v>38</v>
      </c>
      <c r="D26" s="530"/>
      <c r="E26" s="530"/>
      <c r="F26" s="531"/>
      <c r="G26" s="532" t="s">
        <v>49</v>
      </c>
      <c r="H26" s="532"/>
      <c r="I26" s="685" t="s">
        <v>29</v>
      </c>
    </row>
    <row r="27" spans="1:9" ht="20.100000000000001" customHeight="1">
      <c r="C27" s="687" t="s">
        <v>40</v>
      </c>
      <c r="D27" s="530"/>
      <c r="E27" s="530"/>
      <c r="F27" s="531"/>
      <c r="G27" s="532" t="s">
        <v>49</v>
      </c>
      <c r="H27" s="532"/>
      <c r="I27" s="688" t="s">
        <v>29</v>
      </c>
    </row>
    <row r="28" spans="1:9" ht="20.100000000000001" customHeight="1" outlineLevel="1">
      <c r="C28" s="692" t="s">
        <v>41</v>
      </c>
      <c r="D28" s="530"/>
      <c r="E28" s="530"/>
      <c r="F28" s="531"/>
      <c r="G28" s="532"/>
      <c r="H28" s="532"/>
      <c r="I28" s="693" t="s">
        <v>29</v>
      </c>
    </row>
    <row r="29" spans="1:9" ht="20.100000000000001" customHeight="1" outlineLevel="1">
      <c r="C29" s="694" t="s">
        <v>42</v>
      </c>
      <c r="D29" s="530"/>
      <c r="E29" s="530"/>
      <c r="F29" s="531"/>
      <c r="G29" s="532"/>
      <c r="H29" s="532"/>
      <c r="I29" s="695" t="s">
        <v>29</v>
      </c>
    </row>
    <row r="30" spans="1:9" ht="20.100000000000001" customHeight="1" outlineLevel="1">
      <c r="C30" s="696" t="s">
        <v>50</v>
      </c>
      <c r="D30" s="530"/>
      <c r="E30" s="530"/>
      <c r="F30" s="531"/>
      <c r="G30" s="532"/>
      <c r="H30" s="532"/>
      <c r="I30" s="697" t="s">
        <v>29</v>
      </c>
    </row>
    <row r="31" spans="1:9" ht="20.100000000000001" customHeight="1" outlineLevel="1">
      <c r="C31" s="696" t="s">
        <v>51</v>
      </c>
      <c r="D31" s="530"/>
      <c r="E31" s="530"/>
      <c r="F31" s="531"/>
      <c r="G31" s="532"/>
      <c r="H31" s="532"/>
      <c r="I31" s="697" t="s">
        <v>29</v>
      </c>
    </row>
    <row r="32" spans="1:9" ht="20.100000000000001" customHeight="1" outlineLevel="1">
      <c r="C32" s="696" t="s">
        <v>52</v>
      </c>
      <c r="D32" s="530"/>
      <c r="E32" s="530"/>
      <c r="F32" s="531"/>
      <c r="G32" s="532"/>
      <c r="H32" s="532"/>
      <c r="I32" s="697" t="s">
        <v>29</v>
      </c>
    </row>
    <row r="33" spans="2:9" ht="20.100000000000001" customHeight="1">
      <c r="B33" s="414" t="s">
        <v>53</v>
      </c>
      <c r="C33" s="689" t="s">
        <v>54</v>
      </c>
      <c r="D33" s="530"/>
      <c r="E33" s="530"/>
      <c r="F33" s="531"/>
      <c r="G33" s="532" t="s">
        <v>55</v>
      </c>
      <c r="H33" s="532"/>
      <c r="I33" s="685" t="s">
        <v>29</v>
      </c>
    </row>
    <row r="34" spans="2:9" ht="20.100000000000001" customHeight="1">
      <c r="C34" s="686" t="s">
        <v>56</v>
      </c>
      <c r="D34" s="530"/>
      <c r="E34" s="530"/>
      <c r="F34" s="531"/>
      <c r="G34" s="532">
        <v>0</v>
      </c>
      <c r="H34" s="532"/>
      <c r="I34" s="685" t="s">
        <v>29</v>
      </c>
    </row>
    <row r="35" spans="2:9" ht="20.100000000000001" customHeight="1">
      <c r="C35" s="698" t="s">
        <v>32</v>
      </c>
      <c r="D35" s="530"/>
      <c r="E35" s="530"/>
      <c r="F35" s="531"/>
      <c r="G35" s="532">
        <v>0</v>
      </c>
      <c r="H35" s="532"/>
      <c r="I35" s="688" t="s">
        <v>29</v>
      </c>
    </row>
    <row r="36" spans="2:9" ht="20.100000000000001" customHeight="1">
      <c r="C36" s="699" t="s">
        <v>56</v>
      </c>
      <c r="D36" s="530"/>
      <c r="E36" s="530"/>
      <c r="F36" s="531"/>
      <c r="G36" s="532"/>
      <c r="H36" s="532"/>
      <c r="I36" s="691" t="s">
        <v>29</v>
      </c>
    </row>
    <row r="37" spans="2:9" ht="20.100000000000001" customHeight="1">
      <c r="C37" s="686" t="s">
        <v>30</v>
      </c>
      <c r="D37" s="530"/>
      <c r="E37" s="530"/>
      <c r="F37" s="531"/>
      <c r="G37" s="532" t="s">
        <v>35</v>
      </c>
      <c r="H37" s="532"/>
      <c r="I37" s="685" t="s">
        <v>29</v>
      </c>
    </row>
    <row r="38" spans="2:9" ht="20.100000000000001" customHeight="1">
      <c r="C38" s="687" t="s">
        <v>34</v>
      </c>
      <c r="D38" s="530"/>
      <c r="E38" s="530"/>
      <c r="F38" s="531"/>
      <c r="G38" s="532" t="s">
        <v>35</v>
      </c>
      <c r="H38" s="532"/>
      <c r="I38" s="688" t="s">
        <v>29</v>
      </c>
    </row>
    <row r="39" spans="2:9" ht="20.100000000000001" customHeight="1">
      <c r="C39" s="687" t="s">
        <v>57</v>
      </c>
      <c r="D39" s="530"/>
      <c r="E39" s="530"/>
      <c r="F39" s="531"/>
      <c r="G39" s="532" t="s">
        <v>35</v>
      </c>
      <c r="H39" s="532"/>
      <c r="I39" s="691" t="s">
        <v>29</v>
      </c>
    </row>
    <row r="40" spans="2:9" ht="20.100000000000001" customHeight="1">
      <c r="C40" s="690" t="s">
        <v>58</v>
      </c>
      <c r="D40" s="530"/>
      <c r="E40" s="530"/>
      <c r="F40" s="531"/>
      <c r="G40" s="532" t="s">
        <v>59</v>
      </c>
      <c r="H40" s="532"/>
      <c r="I40" s="691" t="s">
        <v>29</v>
      </c>
    </row>
    <row r="41" spans="2:9" ht="20.100000000000001" customHeight="1">
      <c r="C41" s="690" t="s">
        <v>60</v>
      </c>
      <c r="D41" s="530"/>
      <c r="E41" s="530"/>
      <c r="F41" s="531"/>
      <c r="G41" s="532" t="s">
        <v>61</v>
      </c>
      <c r="H41" s="532"/>
      <c r="I41" s="691" t="s">
        <v>29</v>
      </c>
    </row>
    <row r="42" spans="2:9" ht="20.100000000000001" customHeight="1">
      <c r="C42" s="690" t="s">
        <v>62</v>
      </c>
      <c r="D42" s="530"/>
      <c r="E42" s="530"/>
      <c r="F42" s="531"/>
      <c r="G42" s="532" t="s">
        <v>63</v>
      </c>
      <c r="H42" s="532"/>
      <c r="I42" s="691" t="s">
        <v>29</v>
      </c>
    </row>
    <row r="43" spans="2:9" ht="20.100000000000001" customHeight="1">
      <c r="C43" s="690" t="s">
        <v>64</v>
      </c>
      <c r="D43" s="530"/>
      <c r="E43" s="530"/>
      <c r="F43" s="531"/>
      <c r="G43" s="532" t="s">
        <v>65</v>
      </c>
      <c r="H43" s="532"/>
      <c r="I43" s="691" t="s">
        <v>29</v>
      </c>
    </row>
    <row r="44" spans="2:9" ht="20.100000000000001" customHeight="1">
      <c r="C44" s="690" t="s">
        <v>66</v>
      </c>
      <c r="D44" s="530"/>
      <c r="E44" s="530"/>
      <c r="F44" s="531"/>
      <c r="G44" s="532" t="s">
        <v>67</v>
      </c>
      <c r="H44" s="532"/>
      <c r="I44" s="691" t="s">
        <v>29</v>
      </c>
    </row>
    <row r="45" spans="2:9" ht="20.100000000000001" customHeight="1">
      <c r="C45" s="690" t="s">
        <v>68</v>
      </c>
      <c r="D45" s="530"/>
      <c r="E45" s="530"/>
      <c r="F45" s="531"/>
      <c r="G45" s="532" t="s">
        <v>69</v>
      </c>
      <c r="H45" s="532"/>
      <c r="I45" s="691" t="s">
        <v>29</v>
      </c>
    </row>
    <row r="46" spans="2:9" ht="20.100000000000001" customHeight="1">
      <c r="C46" s="690" t="s">
        <v>70</v>
      </c>
      <c r="D46" s="530"/>
      <c r="E46" s="530"/>
      <c r="F46" s="531"/>
      <c r="G46" s="532" t="s">
        <v>71</v>
      </c>
      <c r="H46" s="532"/>
      <c r="I46" s="691" t="s">
        <v>29</v>
      </c>
    </row>
    <row r="47" spans="2:9" ht="20.100000000000001" customHeight="1">
      <c r="C47" s="686" t="s">
        <v>72</v>
      </c>
      <c r="D47" s="530"/>
      <c r="E47" s="530"/>
      <c r="F47" s="531"/>
      <c r="G47" s="532" t="s">
        <v>73</v>
      </c>
      <c r="H47" s="532"/>
      <c r="I47" s="685" t="s">
        <v>29</v>
      </c>
    </row>
    <row r="48" spans="2:9" ht="20.100000000000001" customHeight="1">
      <c r="C48" s="687" t="s">
        <v>36</v>
      </c>
      <c r="D48" s="530"/>
      <c r="E48" s="530"/>
      <c r="F48" s="531"/>
      <c r="G48" s="532" t="s">
        <v>73</v>
      </c>
      <c r="H48" s="532"/>
      <c r="I48" s="688" t="s">
        <v>29</v>
      </c>
    </row>
    <row r="49" spans="2:9" ht="20.100000000000001" customHeight="1">
      <c r="C49" s="690" t="s">
        <v>74</v>
      </c>
      <c r="D49" s="530"/>
      <c r="E49" s="530"/>
      <c r="F49" s="531"/>
      <c r="G49" s="532" t="s">
        <v>73</v>
      </c>
      <c r="H49" s="532"/>
      <c r="I49" s="691" t="s">
        <v>29</v>
      </c>
    </row>
    <row r="50" spans="2:9" ht="20.100000000000001" customHeight="1">
      <c r="C50" s="686" t="s">
        <v>38</v>
      </c>
      <c r="D50" s="530"/>
      <c r="E50" s="530"/>
      <c r="F50" s="531"/>
      <c r="G50" s="532" t="s">
        <v>75</v>
      </c>
      <c r="H50" s="532"/>
      <c r="I50" s="685" t="s">
        <v>29</v>
      </c>
    </row>
    <row r="51" spans="2:9" ht="20.100000000000001" customHeight="1">
      <c r="C51" s="687" t="s">
        <v>40</v>
      </c>
      <c r="D51" s="530"/>
      <c r="E51" s="530"/>
      <c r="F51" s="531"/>
      <c r="G51" s="532" t="s">
        <v>75</v>
      </c>
      <c r="H51" s="532"/>
      <c r="I51" s="688" t="s">
        <v>29</v>
      </c>
    </row>
    <row r="52" spans="2:9" ht="20.100000000000001" customHeight="1" outlineLevel="1">
      <c r="C52" s="692" t="s">
        <v>41</v>
      </c>
      <c r="D52" s="530"/>
      <c r="E52" s="530"/>
      <c r="F52" s="531"/>
      <c r="G52" s="532"/>
      <c r="H52" s="532"/>
      <c r="I52" s="693" t="s">
        <v>29</v>
      </c>
    </row>
    <row r="53" spans="2:9" ht="20.100000000000001" customHeight="1" outlineLevel="1">
      <c r="C53" s="694" t="s">
        <v>76</v>
      </c>
      <c r="D53" s="530"/>
      <c r="E53" s="530"/>
      <c r="F53" s="531"/>
      <c r="G53" s="532"/>
      <c r="H53" s="532"/>
      <c r="I53" s="695" t="s">
        <v>29</v>
      </c>
    </row>
    <row r="54" spans="2:9" ht="20.100000000000001" customHeight="1" outlineLevel="1">
      <c r="C54" s="696" t="s">
        <v>77</v>
      </c>
      <c r="D54" s="530"/>
      <c r="E54" s="530"/>
      <c r="F54" s="531"/>
      <c r="G54" s="532"/>
      <c r="H54" s="532"/>
      <c r="I54" s="697" t="s">
        <v>29</v>
      </c>
    </row>
    <row r="55" spans="2:9" ht="20.100000000000001" customHeight="1" outlineLevel="1">
      <c r="C55" s="696" t="s">
        <v>78</v>
      </c>
      <c r="D55" s="530"/>
      <c r="E55" s="530"/>
      <c r="F55" s="531"/>
      <c r="G55" s="532"/>
      <c r="H55" s="532"/>
      <c r="I55" s="697" t="s">
        <v>29</v>
      </c>
    </row>
    <row r="56" spans="2:9" ht="20.100000000000001" customHeight="1">
      <c r="B56" s="594" t="s">
        <v>79</v>
      </c>
      <c r="C56" s="417" t="s">
        <v>80</v>
      </c>
      <c r="D56" s="530"/>
      <c r="E56" s="530"/>
      <c r="F56" s="531"/>
      <c r="G56" s="532"/>
      <c r="H56" s="532"/>
      <c r="I56" s="685"/>
    </row>
    <row r="57" spans="2:9" ht="20.100000000000001" customHeight="1">
      <c r="C57" s="686" t="s">
        <v>38</v>
      </c>
      <c r="D57" s="530"/>
      <c r="E57" s="530"/>
      <c r="F57" s="531"/>
      <c r="G57" s="532" t="s">
        <v>81</v>
      </c>
      <c r="H57" s="532"/>
      <c r="I57" s="685" t="s">
        <v>29</v>
      </c>
    </row>
    <row r="58" spans="2:9" ht="20.100000000000001" customHeight="1">
      <c r="C58" s="687" t="s">
        <v>40</v>
      </c>
      <c r="D58" s="530"/>
      <c r="E58" s="530"/>
      <c r="F58" s="531"/>
      <c r="G58" s="532" t="s">
        <v>81</v>
      </c>
      <c r="H58" s="532"/>
      <c r="I58" s="688" t="s">
        <v>29</v>
      </c>
    </row>
    <row r="59" spans="2:9" ht="20.100000000000001" customHeight="1">
      <c r="B59" s="414" t="s">
        <v>82</v>
      </c>
      <c r="C59" s="689" t="s">
        <v>44</v>
      </c>
      <c r="D59" s="530"/>
      <c r="E59" s="530"/>
      <c r="F59" s="531"/>
      <c r="G59" s="532"/>
      <c r="H59" s="532"/>
      <c r="I59" s="685"/>
    </row>
    <row r="60" spans="2:9" ht="20.100000000000001" customHeight="1">
      <c r="C60" s="686" t="s">
        <v>38</v>
      </c>
      <c r="D60" s="530"/>
      <c r="E60" s="530"/>
      <c r="F60" s="531"/>
      <c r="G60" s="532" t="s">
        <v>83</v>
      </c>
      <c r="H60" s="532"/>
      <c r="I60" s="685" t="s">
        <v>29</v>
      </c>
    </row>
    <row r="61" spans="2:9" ht="20.100000000000001" customHeight="1">
      <c r="C61" s="687" t="s">
        <v>40</v>
      </c>
      <c r="D61" s="530"/>
      <c r="E61" s="530"/>
      <c r="F61" s="531"/>
      <c r="G61" s="532" t="s">
        <v>83</v>
      </c>
      <c r="H61" s="532"/>
      <c r="I61" s="688" t="s">
        <v>29</v>
      </c>
    </row>
    <row r="62" spans="2:9" ht="20.100000000000001" customHeight="1">
      <c r="B62" s="414" t="s">
        <v>84</v>
      </c>
      <c r="C62" s="689" t="s">
        <v>54</v>
      </c>
      <c r="D62" s="530"/>
      <c r="E62" s="530"/>
      <c r="F62" s="531"/>
      <c r="G62" s="532"/>
      <c r="H62" s="532"/>
      <c r="I62" s="685"/>
    </row>
    <row r="63" spans="2:9" ht="20.100000000000001" customHeight="1">
      <c r="C63" s="686" t="s">
        <v>38</v>
      </c>
      <c r="D63" s="530"/>
      <c r="E63" s="530"/>
      <c r="F63" s="531"/>
      <c r="G63" s="532" t="s">
        <v>85</v>
      </c>
      <c r="H63" s="532"/>
      <c r="I63" s="685" t="s">
        <v>29</v>
      </c>
    </row>
    <row r="64" spans="2:9" ht="20.100000000000001" customHeight="1">
      <c r="C64" s="687" t="s">
        <v>40</v>
      </c>
      <c r="D64" s="530"/>
      <c r="E64" s="530"/>
      <c r="F64" s="531"/>
      <c r="G64" s="532" t="s">
        <v>85</v>
      </c>
      <c r="H64" s="532"/>
      <c r="I64" s="688" t="s">
        <v>29</v>
      </c>
    </row>
    <row r="65" spans="2:9" ht="20.100000000000001" customHeight="1">
      <c r="B65" s="594" t="s">
        <v>86</v>
      </c>
      <c r="C65" s="700" t="s">
        <v>87</v>
      </c>
      <c r="D65" s="530"/>
      <c r="E65" s="530"/>
      <c r="F65" s="531"/>
      <c r="G65" s="532"/>
      <c r="H65" s="532"/>
      <c r="I65" s="685"/>
    </row>
    <row r="66" spans="2:9" ht="20.100000000000001" customHeight="1">
      <c r="C66" s="686" t="s">
        <v>30</v>
      </c>
      <c r="D66" s="530"/>
      <c r="E66" s="530"/>
      <c r="F66" s="531"/>
      <c r="G66" s="532" t="s">
        <v>88</v>
      </c>
      <c r="H66" s="532"/>
      <c r="I66" s="685" t="s">
        <v>29</v>
      </c>
    </row>
    <row r="67" spans="2:9" ht="20.100000000000001" customHeight="1">
      <c r="C67" s="687" t="s">
        <v>89</v>
      </c>
      <c r="D67" s="530"/>
      <c r="E67" s="530"/>
      <c r="F67" s="531"/>
      <c r="G67" s="532" t="s">
        <v>88</v>
      </c>
      <c r="H67" s="532"/>
      <c r="I67" s="688" t="s">
        <v>29</v>
      </c>
    </row>
    <row r="68" spans="2:9" ht="20.100000000000001" customHeight="1">
      <c r="B68" s="414" t="s">
        <v>90</v>
      </c>
      <c r="C68" s="689" t="s">
        <v>44</v>
      </c>
      <c r="D68" s="530"/>
      <c r="E68" s="530"/>
      <c r="F68" s="531"/>
      <c r="G68" s="532">
        <v>0</v>
      </c>
      <c r="H68" s="532"/>
      <c r="I68" s="685" t="s">
        <v>29</v>
      </c>
    </row>
    <row r="69" spans="2:9" ht="20.100000000000001" customHeight="1">
      <c r="B69" s="414" t="s">
        <v>91</v>
      </c>
      <c r="C69" s="689" t="s">
        <v>54</v>
      </c>
      <c r="D69" s="530"/>
      <c r="E69" s="530"/>
      <c r="F69" s="531"/>
      <c r="G69" s="532" t="s">
        <v>88</v>
      </c>
      <c r="H69" s="532"/>
      <c r="I69" s="685" t="s">
        <v>29</v>
      </c>
    </row>
    <row r="70" spans="2:9" ht="20.100000000000001" customHeight="1">
      <c r="C70" s="686" t="s">
        <v>30</v>
      </c>
      <c r="D70" s="530"/>
      <c r="E70" s="530"/>
      <c r="F70" s="531"/>
      <c r="G70" s="532" t="s">
        <v>88</v>
      </c>
      <c r="H70" s="532"/>
      <c r="I70" s="685" t="s">
        <v>29</v>
      </c>
    </row>
    <row r="71" spans="2:9" ht="20.100000000000001" customHeight="1">
      <c r="C71" s="687" t="s">
        <v>89</v>
      </c>
      <c r="D71" s="530"/>
      <c r="E71" s="530"/>
      <c r="F71" s="531"/>
      <c r="G71" s="532" t="s">
        <v>88</v>
      </c>
      <c r="H71" s="532"/>
      <c r="I71" s="688" t="s">
        <v>29</v>
      </c>
    </row>
    <row r="72" spans="2:9" ht="20.100000000000001" customHeight="1">
      <c r="C72" s="690" t="s">
        <v>92</v>
      </c>
      <c r="D72" s="530"/>
      <c r="E72" s="530"/>
      <c r="F72" s="531"/>
      <c r="G72" s="532" t="s">
        <v>93</v>
      </c>
      <c r="H72" s="532"/>
      <c r="I72" s="691" t="s">
        <v>29</v>
      </c>
    </row>
    <row r="73" spans="2:9" ht="20.100000000000001" customHeight="1">
      <c r="C73" s="690" t="s">
        <v>60</v>
      </c>
      <c r="D73" s="530"/>
      <c r="E73" s="530"/>
      <c r="F73" s="531"/>
      <c r="G73" s="532" t="s">
        <v>94</v>
      </c>
      <c r="H73" s="532"/>
      <c r="I73" s="691" t="s">
        <v>29</v>
      </c>
    </row>
    <row r="74" spans="2:9" ht="20.100000000000001" customHeight="1">
      <c r="C74" s="431" t="s">
        <v>95</v>
      </c>
      <c r="D74" s="530"/>
      <c r="E74" s="530"/>
      <c r="F74" s="531"/>
      <c r="G74" s="532" t="s">
        <v>96</v>
      </c>
      <c r="H74" s="532"/>
      <c r="I74" s="691" t="s">
        <v>29</v>
      </c>
    </row>
    <row r="75" spans="2:9" ht="20.100000000000001" customHeight="1">
      <c r="B75" s="594" t="s">
        <v>97</v>
      </c>
      <c r="C75" s="701" t="s">
        <v>98</v>
      </c>
      <c r="D75" s="530"/>
      <c r="E75" s="530"/>
      <c r="F75" s="531"/>
      <c r="G75" s="532" t="s">
        <v>99</v>
      </c>
      <c r="H75" s="532"/>
      <c r="I75" s="685" t="s">
        <v>100</v>
      </c>
    </row>
    <row r="76" spans="2:9" ht="20.100000000000001" customHeight="1">
      <c r="B76" s="594" t="s">
        <v>101</v>
      </c>
      <c r="C76" s="684" t="s">
        <v>102</v>
      </c>
      <c r="D76" s="530"/>
      <c r="E76" s="530"/>
      <c r="F76" s="531"/>
      <c r="G76" s="532" t="s">
        <v>103</v>
      </c>
      <c r="H76" s="532"/>
      <c r="I76" s="685" t="s">
        <v>100</v>
      </c>
    </row>
    <row r="77" spans="2:9" ht="20.100000000000001" customHeight="1">
      <c r="C77" s="686" t="s">
        <v>104</v>
      </c>
      <c r="D77" s="530"/>
      <c r="E77" s="530"/>
      <c r="F77" s="531"/>
      <c r="G77" s="532" t="s">
        <v>105</v>
      </c>
      <c r="H77" s="532"/>
      <c r="I77" s="685" t="s">
        <v>100</v>
      </c>
    </row>
    <row r="78" spans="2:9" ht="20.100000000000001" customHeight="1">
      <c r="C78" s="687" t="s">
        <v>32</v>
      </c>
      <c r="D78" s="530"/>
      <c r="E78" s="530"/>
      <c r="F78" s="531"/>
      <c r="G78" s="532" t="s">
        <v>106</v>
      </c>
      <c r="H78" s="532"/>
      <c r="I78" s="688" t="s">
        <v>100</v>
      </c>
    </row>
    <row r="79" spans="2:9" ht="20.100000000000001" customHeight="1">
      <c r="C79" s="687" t="s">
        <v>34</v>
      </c>
      <c r="D79" s="530"/>
      <c r="E79" s="530"/>
      <c r="F79" s="531"/>
      <c r="G79" s="532" t="s">
        <v>107</v>
      </c>
      <c r="H79" s="532"/>
      <c r="I79" s="688" t="s">
        <v>100</v>
      </c>
    </row>
    <row r="80" spans="2:9" ht="20.100000000000001" customHeight="1">
      <c r="C80" s="687" t="s">
        <v>36</v>
      </c>
      <c r="D80" s="530"/>
      <c r="E80" s="530"/>
      <c r="F80" s="531"/>
      <c r="G80" s="532" t="s">
        <v>108</v>
      </c>
      <c r="H80" s="532"/>
      <c r="I80" s="688" t="s">
        <v>100</v>
      </c>
    </row>
    <row r="81" spans="2:9" ht="20.100000000000001" customHeight="1">
      <c r="C81" s="687" t="s">
        <v>109</v>
      </c>
      <c r="D81" s="530"/>
      <c r="E81" s="530"/>
      <c r="F81" s="531"/>
      <c r="G81" s="532" t="s">
        <v>110</v>
      </c>
      <c r="H81" s="532"/>
      <c r="I81" s="688" t="s">
        <v>100</v>
      </c>
    </row>
    <row r="82" spans="2:9" ht="20.100000000000001" customHeight="1">
      <c r="C82" s="686" t="s">
        <v>111</v>
      </c>
      <c r="D82" s="530"/>
      <c r="E82" s="530"/>
      <c r="F82" s="531"/>
      <c r="G82" s="532" t="s">
        <v>112</v>
      </c>
      <c r="H82" s="532"/>
      <c r="I82" s="685" t="s">
        <v>100</v>
      </c>
    </row>
    <row r="83" spans="2:9" ht="20.100000000000001" customHeight="1">
      <c r="C83" s="686" t="s">
        <v>113</v>
      </c>
      <c r="D83" s="530"/>
      <c r="E83" s="530"/>
      <c r="F83" s="531"/>
      <c r="G83" s="532" t="s">
        <v>114</v>
      </c>
      <c r="H83" s="532"/>
      <c r="I83" s="685" t="s">
        <v>100</v>
      </c>
    </row>
    <row r="84" spans="2:9" ht="20.100000000000001" customHeight="1">
      <c r="C84" s="415" t="s">
        <v>115</v>
      </c>
      <c r="D84" s="530"/>
      <c r="E84" s="530"/>
      <c r="F84" s="531"/>
      <c r="G84" s="532" t="s">
        <v>116</v>
      </c>
      <c r="H84" s="532"/>
      <c r="I84" s="685" t="s">
        <v>117</v>
      </c>
    </row>
    <row r="85" spans="2:9" ht="20.100000000000001" customHeight="1">
      <c r="C85" s="686" t="s">
        <v>118</v>
      </c>
      <c r="D85" s="530"/>
      <c r="E85" s="530"/>
      <c r="F85" s="531"/>
      <c r="G85" s="532" t="s">
        <v>119</v>
      </c>
      <c r="H85" s="532"/>
      <c r="I85" s="685" t="s">
        <v>117</v>
      </c>
    </row>
    <row r="86" spans="2:9" ht="20.100000000000001" customHeight="1">
      <c r="C86" s="686" t="s">
        <v>120</v>
      </c>
      <c r="D86" s="530"/>
      <c r="E86" s="530"/>
      <c r="F86" s="531"/>
      <c r="G86" s="532" t="s">
        <v>121</v>
      </c>
      <c r="H86" s="532"/>
      <c r="I86" s="685" t="s">
        <v>117</v>
      </c>
    </row>
    <row r="87" spans="2:9" ht="20.100000000000001" customHeight="1">
      <c r="C87" s="686" t="s">
        <v>48</v>
      </c>
      <c r="D87" s="530"/>
      <c r="E87" s="530"/>
      <c r="F87" s="531"/>
      <c r="G87" s="532" t="s">
        <v>122</v>
      </c>
      <c r="H87" s="532"/>
      <c r="I87" s="685" t="s">
        <v>117</v>
      </c>
    </row>
    <row r="88" spans="2:9" ht="20.100000000000001" customHeight="1">
      <c r="B88" s="414" t="s">
        <v>123</v>
      </c>
      <c r="C88" s="689" t="s">
        <v>44</v>
      </c>
      <c r="D88" s="530"/>
      <c r="E88" s="530"/>
      <c r="F88" s="531"/>
      <c r="G88" s="532" t="s">
        <v>124</v>
      </c>
      <c r="H88" s="532"/>
      <c r="I88" s="685" t="s">
        <v>100</v>
      </c>
    </row>
    <row r="89" spans="2:9" ht="20.100000000000001" customHeight="1">
      <c r="C89" s="686" t="s">
        <v>104</v>
      </c>
      <c r="D89" s="530"/>
      <c r="E89" s="530"/>
      <c r="F89" s="531"/>
      <c r="G89" s="532" t="s">
        <v>125</v>
      </c>
      <c r="H89" s="532"/>
      <c r="I89" s="685" t="s">
        <v>100</v>
      </c>
    </row>
    <row r="90" spans="2:9" ht="20.100000000000001" customHeight="1">
      <c r="C90" s="687" t="s">
        <v>32</v>
      </c>
      <c r="D90" s="530"/>
      <c r="E90" s="530"/>
      <c r="F90" s="531"/>
      <c r="G90" s="532" t="s">
        <v>106</v>
      </c>
      <c r="H90" s="532"/>
      <c r="I90" s="688" t="s">
        <v>100</v>
      </c>
    </row>
    <row r="91" spans="2:9" ht="20.100000000000001" customHeight="1">
      <c r="C91" s="687" t="s">
        <v>34</v>
      </c>
      <c r="D91" s="530"/>
      <c r="E91" s="530"/>
      <c r="F91" s="531"/>
      <c r="G91" s="532" t="s">
        <v>126</v>
      </c>
      <c r="H91" s="532"/>
      <c r="I91" s="688" t="s">
        <v>100</v>
      </c>
    </row>
    <row r="92" spans="2:9" ht="20.100000000000001" customHeight="1">
      <c r="C92" s="690" t="s">
        <v>92</v>
      </c>
      <c r="D92" s="530"/>
      <c r="E92" s="530"/>
      <c r="F92" s="531"/>
      <c r="G92" s="532" t="s">
        <v>126</v>
      </c>
      <c r="H92" s="532"/>
      <c r="I92" s="691" t="s">
        <v>100</v>
      </c>
    </row>
    <row r="93" spans="2:9" ht="20.100000000000001" customHeight="1">
      <c r="C93" s="687" t="s">
        <v>127</v>
      </c>
      <c r="D93" s="530"/>
      <c r="E93" s="530"/>
      <c r="F93" s="531"/>
      <c r="G93" s="532" t="s">
        <v>108</v>
      </c>
      <c r="H93" s="532"/>
      <c r="I93" s="688" t="s">
        <v>100</v>
      </c>
    </row>
    <row r="94" spans="2:9" ht="20.100000000000001" customHeight="1">
      <c r="C94" s="690" t="s">
        <v>128</v>
      </c>
      <c r="D94" s="530"/>
      <c r="E94" s="530"/>
      <c r="F94" s="531"/>
      <c r="G94" s="532" t="s">
        <v>108</v>
      </c>
      <c r="H94" s="532"/>
      <c r="I94" s="691" t="s">
        <v>100</v>
      </c>
    </row>
    <row r="95" spans="2:9" ht="20.100000000000001" customHeight="1">
      <c r="C95" s="687" t="s">
        <v>109</v>
      </c>
      <c r="D95" s="530"/>
      <c r="E95" s="530"/>
      <c r="F95" s="531"/>
      <c r="G95" s="532" t="s">
        <v>129</v>
      </c>
      <c r="H95" s="532"/>
      <c r="I95" s="688" t="s">
        <v>100</v>
      </c>
    </row>
    <row r="96" spans="2:9" ht="20.100000000000001" customHeight="1">
      <c r="C96" s="690" t="s">
        <v>130</v>
      </c>
      <c r="D96" s="530"/>
      <c r="E96" s="530"/>
      <c r="F96" s="531"/>
      <c r="G96" s="532" t="s">
        <v>131</v>
      </c>
      <c r="H96" s="532"/>
      <c r="I96" s="691" t="s">
        <v>100</v>
      </c>
    </row>
    <row r="97" spans="2:9" ht="20.100000000000001" customHeight="1">
      <c r="C97" s="690" t="s">
        <v>132</v>
      </c>
      <c r="D97" s="530"/>
      <c r="E97" s="530"/>
      <c r="F97" s="531"/>
      <c r="G97" s="532" t="s">
        <v>133</v>
      </c>
      <c r="H97" s="532"/>
      <c r="I97" s="691" t="s">
        <v>100</v>
      </c>
    </row>
    <row r="98" spans="2:9" ht="20.100000000000001" customHeight="1">
      <c r="C98" s="690" t="s">
        <v>134</v>
      </c>
      <c r="D98" s="530"/>
      <c r="E98" s="530"/>
      <c r="F98" s="531"/>
      <c r="G98" s="532" t="s">
        <v>135</v>
      </c>
      <c r="H98" s="532"/>
      <c r="I98" s="691" t="s">
        <v>100</v>
      </c>
    </row>
    <row r="99" spans="2:9" ht="20.100000000000001" customHeight="1">
      <c r="C99" s="690" t="s">
        <v>136</v>
      </c>
      <c r="D99" s="530"/>
      <c r="E99" s="530"/>
      <c r="F99" s="531"/>
      <c r="G99" s="532" t="s">
        <v>137</v>
      </c>
      <c r="H99" s="532"/>
      <c r="I99" s="691" t="s">
        <v>100</v>
      </c>
    </row>
    <row r="100" spans="2:9" ht="20.100000000000001" customHeight="1">
      <c r="C100" s="690" t="s">
        <v>138</v>
      </c>
      <c r="D100" s="530"/>
      <c r="E100" s="530"/>
      <c r="F100" s="531"/>
      <c r="G100" s="532" t="s">
        <v>139</v>
      </c>
      <c r="H100" s="532"/>
      <c r="I100" s="691" t="s">
        <v>100</v>
      </c>
    </row>
    <row r="101" spans="2:9" ht="20.100000000000001" customHeight="1">
      <c r="C101" s="690" t="s">
        <v>140</v>
      </c>
      <c r="D101" s="530"/>
      <c r="E101" s="530"/>
      <c r="F101" s="531"/>
      <c r="G101" s="532" t="s">
        <v>141</v>
      </c>
      <c r="H101" s="532"/>
      <c r="I101" s="691" t="s">
        <v>100</v>
      </c>
    </row>
    <row r="102" spans="2:9" ht="20.100000000000001" customHeight="1">
      <c r="C102" s="686" t="s">
        <v>113</v>
      </c>
      <c r="D102" s="530"/>
      <c r="E102" s="530"/>
      <c r="F102" s="531"/>
      <c r="G102" s="532" t="s">
        <v>114</v>
      </c>
      <c r="H102" s="532"/>
      <c r="I102" s="685" t="s">
        <v>100</v>
      </c>
    </row>
    <row r="103" spans="2:9" ht="20.100000000000001" customHeight="1">
      <c r="C103" s="690" t="s">
        <v>142</v>
      </c>
      <c r="D103" s="530"/>
      <c r="E103" s="530"/>
      <c r="F103" s="531"/>
      <c r="G103" s="532" t="s">
        <v>143</v>
      </c>
      <c r="H103" s="532"/>
      <c r="I103" s="691" t="s">
        <v>100</v>
      </c>
    </row>
    <row r="104" spans="2:9" ht="20.100000000000001" customHeight="1">
      <c r="C104" s="690" t="s">
        <v>144</v>
      </c>
      <c r="D104" s="530"/>
      <c r="E104" s="530"/>
      <c r="F104" s="531"/>
      <c r="G104" s="532">
        <v>0</v>
      </c>
      <c r="H104" s="532"/>
      <c r="I104" s="691" t="s">
        <v>100</v>
      </c>
    </row>
    <row r="105" spans="2:9" ht="20.100000000000001" customHeight="1">
      <c r="C105" s="686" t="s">
        <v>115</v>
      </c>
      <c r="D105" s="530"/>
      <c r="E105" s="530"/>
      <c r="F105" s="531"/>
      <c r="G105" s="532" t="s">
        <v>116</v>
      </c>
      <c r="H105" s="532"/>
      <c r="I105" s="685" t="s">
        <v>117</v>
      </c>
    </row>
    <row r="106" spans="2:9" ht="20.100000000000001" customHeight="1">
      <c r="C106" s="686" t="s">
        <v>118</v>
      </c>
      <c r="D106" s="530"/>
      <c r="E106" s="530"/>
      <c r="F106" s="531"/>
      <c r="G106" s="532" t="s">
        <v>145</v>
      </c>
      <c r="H106" s="532"/>
      <c r="I106" s="685" t="s">
        <v>117</v>
      </c>
    </row>
    <row r="107" spans="2:9" ht="20.100000000000001" customHeight="1">
      <c r="C107" s="690" t="s">
        <v>146</v>
      </c>
      <c r="D107" s="530"/>
      <c r="E107" s="530"/>
      <c r="F107" s="531"/>
      <c r="G107" s="532" t="s">
        <v>147</v>
      </c>
      <c r="H107" s="532"/>
      <c r="I107" s="691" t="s">
        <v>100</v>
      </c>
    </row>
    <row r="108" spans="2:9" ht="20.100000000000001" customHeight="1">
      <c r="C108" s="690" t="s">
        <v>148</v>
      </c>
      <c r="D108" s="530"/>
      <c r="E108" s="530"/>
      <c r="F108" s="531"/>
      <c r="G108" s="532" t="s">
        <v>149</v>
      </c>
      <c r="H108" s="532"/>
      <c r="I108" s="691" t="s">
        <v>100</v>
      </c>
    </row>
    <row r="109" spans="2:9" ht="20.100000000000001" customHeight="1">
      <c r="B109" s="414" t="s">
        <v>150</v>
      </c>
      <c r="C109" s="689" t="s">
        <v>54</v>
      </c>
      <c r="D109" s="530"/>
      <c r="E109" s="530"/>
      <c r="F109" s="531"/>
      <c r="G109" s="532" t="s">
        <v>151</v>
      </c>
      <c r="H109" s="532"/>
      <c r="I109" s="685" t="s">
        <v>100</v>
      </c>
    </row>
    <row r="110" spans="2:9" ht="20.100000000000001" customHeight="1" outlineLevel="1">
      <c r="C110" s="702" t="s">
        <v>56</v>
      </c>
      <c r="D110" s="530"/>
      <c r="E110" s="530"/>
      <c r="F110" s="531"/>
      <c r="G110" s="532">
        <v>0</v>
      </c>
      <c r="H110" s="532"/>
      <c r="I110" s="685" t="s">
        <v>100</v>
      </c>
    </row>
    <row r="111" spans="2:9" ht="20.100000000000001" customHeight="1" outlineLevel="1">
      <c r="C111" s="703" t="s">
        <v>32</v>
      </c>
      <c r="D111" s="530"/>
      <c r="E111" s="530"/>
      <c r="F111" s="531"/>
      <c r="G111" s="532">
        <v>0</v>
      </c>
      <c r="H111" s="532"/>
      <c r="I111" s="688" t="s">
        <v>100</v>
      </c>
    </row>
    <row r="112" spans="2:9" ht="20.100000000000001" customHeight="1" outlineLevel="1">
      <c r="C112" s="704" t="s">
        <v>56</v>
      </c>
      <c r="D112" s="530"/>
      <c r="E112" s="530"/>
      <c r="F112" s="531"/>
      <c r="G112" s="532"/>
      <c r="H112" s="532"/>
      <c r="I112" s="691" t="s">
        <v>100</v>
      </c>
    </row>
    <row r="113" spans="2:9" ht="20.100000000000001" customHeight="1">
      <c r="C113" s="686" t="s">
        <v>104</v>
      </c>
      <c r="D113" s="530"/>
      <c r="E113" s="530"/>
      <c r="F113" s="531"/>
      <c r="G113" s="532" t="s">
        <v>152</v>
      </c>
      <c r="H113" s="532"/>
      <c r="I113" s="685" t="s">
        <v>100</v>
      </c>
    </row>
    <row r="114" spans="2:9" ht="20.100000000000001" customHeight="1">
      <c r="C114" s="687" t="s">
        <v>34</v>
      </c>
      <c r="D114" s="530"/>
      <c r="E114" s="530"/>
      <c r="F114" s="531"/>
      <c r="G114" s="532" t="s">
        <v>153</v>
      </c>
      <c r="H114" s="532"/>
      <c r="I114" s="691" t="s">
        <v>100</v>
      </c>
    </row>
    <row r="115" spans="2:9" ht="20.100000000000001" customHeight="1">
      <c r="C115" s="690" t="s">
        <v>62</v>
      </c>
      <c r="D115" s="530"/>
      <c r="E115" s="530"/>
      <c r="F115" s="531"/>
      <c r="G115" s="532" t="s">
        <v>154</v>
      </c>
      <c r="H115" s="532"/>
      <c r="I115" s="691" t="s">
        <v>100</v>
      </c>
    </row>
    <row r="116" spans="2:9" ht="20.100000000000001" customHeight="1">
      <c r="C116" s="690" t="s">
        <v>68</v>
      </c>
      <c r="D116" s="530"/>
      <c r="E116" s="530"/>
      <c r="F116" s="531"/>
      <c r="G116" s="532" t="s">
        <v>155</v>
      </c>
      <c r="H116" s="532"/>
      <c r="I116" s="691" t="s">
        <v>100</v>
      </c>
    </row>
    <row r="117" spans="2:9" ht="20.100000000000001" customHeight="1">
      <c r="C117" s="687" t="s">
        <v>156</v>
      </c>
      <c r="D117" s="530"/>
      <c r="E117" s="530"/>
      <c r="F117" s="531"/>
      <c r="G117" s="532" t="s">
        <v>157</v>
      </c>
      <c r="H117" s="532"/>
      <c r="I117" s="688" t="s">
        <v>100</v>
      </c>
    </row>
    <row r="118" spans="2:9" ht="20.100000000000001" customHeight="1">
      <c r="C118" s="690" t="s">
        <v>136</v>
      </c>
      <c r="D118" s="530"/>
      <c r="E118" s="530"/>
      <c r="F118" s="531"/>
      <c r="G118" s="532" t="s">
        <v>157</v>
      </c>
      <c r="H118" s="532"/>
      <c r="I118" s="691" t="s">
        <v>100</v>
      </c>
    </row>
    <row r="119" spans="2:9" ht="20.100000000000001" customHeight="1">
      <c r="C119" s="686" t="s">
        <v>136</v>
      </c>
      <c r="D119" s="530"/>
      <c r="E119" s="530"/>
      <c r="F119" s="531"/>
      <c r="G119" s="532">
        <v>0</v>
      </c>
      <c r="H119" s="532"/>
      <c r="I119" s="685" t="s">
        <v>100</v>
      </c>
    </row>
    <row r="120" spans="2:9" ht="20.100000000000001" customHeight="1">
      <c r="C120" s="687" t="s">
        <v>158</v>
      </c>
      <c r="D120" s="530"/>
      <c r="E120" s="530"/>
      <c r="F120" s="531"/>
      <c r="G120" s="532">
        <v>0</v>
      </c>
      <c r="H120" s="532"/>
      <c r="I120" s="688" t="s">
        <v>100</v>
      </c>
    </row>
    <row r="121" spans="2:9" ht="20.100000000000001" customHeight="1">
      <c r="C121" s="690" t="s">
        <v>136</v>
      </c>
      <c r="D121" s="530"/>
      <c r="E121" s="530"/>
      <c r="F121" s="531"/>
      <c r="G121" s="532">
        <v>0</v>
      </c>
      <c r="H121" s="532"/>
      <c r="I121" s="691" t="s">
        <v>100</v>
      </c>
    </row>
    <row r="122" spans="2:9" ht="20.100000000000001" customHeight="1">
      <c r="C122" s="686" t="s">
        <v>111</v>
      </c>
      <c r="D122" s="530"/>
      <c r="E122" s="530"/>
      <c r="F122" s="531"/>
      <c r="G122" s="532" t="s">
        <v>112</v>
      </c>
      <c r="H122" s="532"/>
      <c r="I122" s="685" t="s">
        <v>100</v>
      </c>
    </row>
    <row r="123" spans="2:9" ht="20.100000000000001" customHeight="1">
      <c r="C123" s="686" t="s">
        <v>118</v>
      </c>
      <c r="D123" s="530"/>
      <c r="E123" s="530"/>
      <c r="F123" s="531"/>
      <c r="G123" s="532" t="s">
        <v>159</v>
      </c>
      <c r="H123" s="532"/>
      <c r="I123" s="685" t="s">
        <v>117</v>
      </c>
    </row>
    <row r="124" spans="2:9" ht="20.100000000000001" customHeight="1">
      <c r="C124" s="705" t="s">
        <v>160</v>
      </c>
      <c r="D124" s="530"/>
      <c r="E124" s="530"/>
      <c r="F124" s="531"/>
      <c r="G124" s="532" t="s">
        <v>159</v>
      </c>
      <c r="H124" s="532"/>
      <c r="I124" s="691" t="s">
        <v>100</v>
      </c>
    </row>
    <row r="125" spans="2:9" ht="20.100000000000001" customHeight="1">
      <c r="C125" s="686" t="s">
        <v>120</v>
      </c>
      <c r="D125" s="530"/>
      <c r="E125" s="530"/>
      <c r="F125" s="531"/>
      <c r="G125" s="532" t="s">
        <v>121</v>
      </c>
      <c r="H125" s="532"/>
      <c r="I125" s="685" t="s">
        <v>117</v>
      </c>
    </row>
    <row r="126" spans="2:9" ht="20.100000000000001" customHeight="1">
      <c r="C126" s="690" t="s">
        <v>161</v>
      </c>
      <c r="D126" s="530"/>
      <c r="E126" s="530"/>
      <c r="F126" s="531"/>
      <c r="G126" s="532" t="s">
        <v>162</v>
      </c>
      <c r="H126" s="532"/>
      <c r="I126" s="691" t="s">
        <v>100</v>
      </c>
    </row>
    <row r="127" spans="2:9" ht="20.100000000000001" customHeight="1">
      <c r="C127" s="686" t="s">
        <v>48</v>
      </c>
      <c r="D127" s="530"/>
      <c r="E127" s="530"/>
      <c r="F127" s="531"/>
      <c r="G127" s="532" t="s">
        <v>122</v>
      </c>
      <c r="H127" s="532"/>
      <c r="I127" s="685" t="s">
        <v>100</v>
      </c>
    </row>
    <row r="128" spans="2:9" ht="20.100000000000001" customHeight="1">
      <c r="B128" s="594" t="s">
        <v>163</v>
      </c>
      <c r="C128" s="684" t="s">
        <v>164</v>
      </c>
      <c r="D128" s="530"/>
      <c r="E128" s="530"/>
      <c r="F128" s="531"/>
      <c r="G128" s="532" t="s">
        <v>165</v>
      </c>
      <c r="H128" s="532"/>
      <c r="I128" s="685" t="s">
        <v>100</v>
      </c>
    </row>
    <row r="129" spans="2:9" ht="20.100000000000001" customHeight="1">
      <c r="C129" s="686" t="s">
        <v>104</v>
      </c>
      <c r="D129" s="530"/>
      <c r="E129" s="530"/>
      <c r="F129" s="531"/>
      <c r="G129" s="532" t="s">
        <v>166</v>
      </c>
      <c r="H129" s="532"/>
      <c r="I129" s="685" t="s">
        <v>100</v>
      </c>
    </row>
    <row r="130" spans="2:9" ht="20.100000000000001" customHeight="1">
      <c r="C130" s="687" t="s">
        <v>34</v>
      </c>
      <c r="D130" s="530"/>
      <c r="E130" s="530"/>
      <c r="F130" s="531"/>
      <c r="G130" s="532" t="s">
        <v>167</v>
      </c>
      <c r="H130" s="532"/>
      <c r="I130" s="688" t="s">
        <v>100</v>
      </c>
    </row>
    <row r="131" spans="2:9" ht="20.100000000000001" customHeight="1">
      <c r="C131" s="687" t="s">
        <v>36</v>
      </c>
      <c r="D131" s="530"/>
      <c r="E131" s="530"/>
      <c r="F131" s="531"/>
      <c r="G131" s="532" t="s">
        <v>168</v>
      </c>
      <c r="H131" s="532"/>
      <c r="I131" s="688" t="s">
        <v>100</v>
      </c>
    </row>
    <row r="132" spans="2:9" ht="20.100000000000001" customHeight="1">
      <c r="C132" s="687" t="s">
        <v>169</v>
      </c>
      <c r="D132" s="530"/>
      <c r="E132" s="530"/>
      <c r="F132" s="531"/>
      <c r="G132" s="532" t="s">
        <v>170</v>
      </c>
      <c r="H132" s="532"/>
      <c r="I132" s="688" t="s">
        <v>100</v>
      </c>
    </row>
    <row r="133" spans="2:9" ht="20.100000000000001" customHeight="1">
      <c r="C133" s="687" t="s">
        <v>171</v>
      </c>
      <c r="D133" s="530"/>
      <c r="E133" s="530"/>
      <c r="F133" s="531"/>
      <c r="G133" s="532" t="s">
        <v>172</v>
      </c>
      <c r="H133" s="532"/>
      <c r="I133" s="688" t="s">
        <v>100</v>
      </c>
    </row>
    <row r="134" spans="2:9" ht="20.100000000000001" customHeight="1">
      <c r="C134" s="686" t="s">
        <v>48</v>
      </c>
      <c r="D134" s="530"/>
      <c r="E134" s="530"/>
      <c r="F134" s="531"/>
      <c r="G134" s="532" t="s">
        <v>173</v>
      </c>
      <c r="H134" s="532"/>
      <c r="I134" s="685" t="s">
        <v>100</v>
      </c>
    </row>
    <row r="135" spans="2:9" ht="20.100000000000001" customHeight="1">
      <c r="B135" s="414" t="s">
        <v>174</v>
      </c>
      <c r="C135" s="689" t="s">
        <v>44</v>
      </c>
      <c r="D135" s="530"/>
      <c r="E135" s="530"/>
      <c r="F135" s="531"/>
      <c r="G135" s="532" t="s">
        <v>175</v>
      </c>
      <c r="H135" s="532"/>
      <c r="I135" s="685" t="s">
        <v>100</v>
      </c>
    </row>
    <row r="136" spans="2:9" ht="20.100000000000001" customHeight="1">
      <c r="C136" s="686" t="s">
        <v>104</v>
      </c>
      <c r="D136" s="530"/>
      <c r="E136" s="530"/>
      <c r="F136" s="531"/>
      <c r="G136" s="532" t="s">
        <v>175</v>
      </c>
      <c r="H136" s="532"/>
      <c r="I136" s="685" t="s">
        <v>100</v>
      </c>
    </row>
    <row r="137" spans="2:9" ht="20.100000000000001" customHeight="1">
      <c r="C137" s="687" t="s">
        <v>34</v>
      </c>
      <c r="D137" s="530"/>
      <c r="E137" s="530"/>
      <c r="F137" s="531"/>
      <c r="G137" s="532" t="s">
        <v>176</v>
      </c>
      <c r="H137" s="532"/>
      <c r="I137" s="688" t="s">
        <v>100</v>
      </c>
    </row>
    <row r="138" spans="2:9" ht="20.100000000000001" customHeight="1">
      <c r="C138" s="690" t="s">
        <v>92</v>
      </c>
      <c r="D138" s="530"/>
      <c r="E138" s="530"/>
      <c r="F138" s="531"/>
      <c r="G138" s="532" t="s">
        <v>177</v>
      </c>
      <c r="H138" s="532"/>
      <c r="I138" s="691" t="s">
        <v>100</v>
      </c>
    </row>
    <row r="139" spans="2:9" ht="20.100000000000001" customHeight="1">
      <c r="C139" s="690" t="s">
        <v>60</v>
      </c>
      <c r="D139" s="530"/>
      <c r="E139" s="530"/>
      <c r="F139" s="531"/>
      <c r="G139" s="532" t="s">
        <v>178</v>
      </c>
      <c r="H139" s="532"/>
      <c r="I139" s="691" t="s">
        <v>100</v>
      </c>
    </row>
    <row r="140" spans="2:9" ht="20.100000000000001" customHeight="1">
      <c r="C140" s="687" t="s">
        <v>179</v>
      </c>
      <c r="D140" s="530"/>
      <c r="E140" s="530"/>
      <c r="F140" s="531"/>
      <c r="G140" s="532" t="s">
        <v>168</v>
      </c>
      <c r="H140" s="532"/>
      <c r="I140" s="688" t="s">
        <v>100</v>
      </c>
    </row>
    <row r="141" spans="2:9" ht="20.100000000000001" customHeight="1">
      <c r="C141" s="690" t="s">
        <v>128</v>
      </c>
      <c r="D141" s="530"/>
      <c r="E141" s="530"/>
      <c r="F141" s="531"/>
      <c r="G141" s="532" t="s">
        <v>168</v>
      </c>
      <c r="H141" s="532"/>
      <c r="I141" s="691" t="s">
        <v>100</v>
      </c>
    </row>
    <row r="142" spans="2:9" ht="20.100000000000001" customHeight="1">
      <c r="C142" s="687" t="s">
        <v>169</v>
      </c>
      <c r="D142" s="530"/>
      <c r="E142" s="530"/>
      <c r="F142" s="531"/>
      <c r="G142" s="532" t="s">
        <v>180</v>
      </c>
      <c r="H142" s="532"/>
      <c r="I142" s="688" t="s">
        <v>100</v>
      </c>
    </row>
    <row r="143" spans="2:9" ht="20.100000000000001" customHeight="1">
      <c r="C143" s="690" t="s">
        <v>136</v>
      </c>
      <c r="D143" s="530"/>
      <c r="E143" s="530"/>
      <c r="F143" s="531"/>
      <c r="G143" s="532" t="s">
        <v>180</v>
      </c>
      <c r="H143" s="532"/>
      <c r="I143" s="691" t="s">
        <v>100</v>
      </c>
    </row>
    <row r="144" spans="2:9" ht="20.100000000000001" customHeight="1">
      <c r="C144" s="687" t="s">
        <v>171</v>
      </c>
      <c r="D144" s="530"/>
      <c r="E144" s="530"/>
      <c r="F144" s="531"/>
      <c r="G144" s="532" t="s">
        <v>172</v>
      </c>
      <c r="H144" s="532"/>
      <c r="I144" s="688" t="s">
        <v>100</v>
      </c>
    </row>
    <row r="145" spans="2:9" ht="20.100000000000001" customHeight="1">
      <c r="C145" s="690" t="s">
        <v>181</v>
      </c>
      <c r="D145" s="530"/>
      <c r="E145" s="530"/>
      <c r="F145" s="531"/>
      <c r="G145" s="532" t="s">
        <v>172</v>
      </c>
      <c r="H145" s="532"/>
      <c r="I145" s="691" t="s">
        <v>100</v>
      </c>
    </row>
    <row r="146" spans="2:9" ht="20.100000000000001" customHeight="1">
      <c r="B146" s="414" t="s">
        <v>182</v>
      </c>
      <c r="C146" s="689" t="s">
        <v>54</v>
      </c>
      <c r="D146" s="530"/>
      <c r="E146" s="530"/>
      <c r="F146" s="531"/>
      <c r="G146" s="532" t="s">
        <v>183</v>
      </c>
      <c r="H146" s="532"/>
      <c r="I146" s="685" t="s">
        <v>100</v>
      </c>
    </row>
    <row r="147" spans="2:9" ht="20.100000000000001" customHeight="1">
      <c r="C147" s="686" t="s">
        <v>104</v>
      </c>
      <c r="D147" s="530"/>
      <c r="E147" s="530"/>
      <c r="F147" s="531"/>
      <c r="G147" s="532" t="s">
        <v>184</v>
      </c>
      <c r="H147" s="532"/>
      <c r="I147" s="685" t="s">
        <v>100</v>
      </c>
    </row>
    <row r="148" spans="2:9" ht="20.100000000000001" customHeight="1">
      <c r="C148" s="687" t="s">
        <v>34</v>
      </c>
      <c r="D148" s="530"/>
      <c r="E148" s="530"/>
      <c r="F148" s="531"/>
      <c r="G148" s="532" t="s">
        <v>185</v>
      </c>
      <c r="H148" s="532"/>
      <c r="I148" s="688" t="s">
        <v>100</v>
      </c>
    </row>
    <row r="149" spans="2:9" ht="20.100000000000001" customHeight="1">
      <c r="C149" s="690" t="s">
        <v>62</v>
      </c>
      <c r="D149" s="530"/>
      <c r="E149" s="530"/>
      <c r="F149" s="531"/>
      <c r="G149" s="532" t="s">
        <v>186</v>
      </c>
      <c r="H149" s="532"/>
      <c r="I149" s="691" t="s">
        <v>100</v>
      </c>
    </row>
    <row r="150" spans="2:9" ht="20.100000000000001" customHeight="1">
      <c r="C150" s="690" t="s">
        <v>68</v>
      </c>
      <c r="D150" s="530"/>
      <c r="E150" s="530"/>
      <c r="F150" s="531"/>
      <c r="G150" s="532" t="s">
        <v>187</v>
      </c>
      <c r="H150" s="532"/>
      <c r="I150" s="691" t="s">
        <v>100</v>
      </c>
    </row>
    <row r="151" spans="2:9" ht="20.100000000000001" customHeight="1">
      <c r="C151" s="687" t="s">
        <v>158</v>
      </c>
      <c r="D151" s="530"/>
      <c r="E151" s="530"/>
      <c r="F151" s="531"/>
      <c r="G151" s="532" t="s">
        <v>188</v>
      </c>
      <c r="H151" s="532"/>
      <c r="I151" s="688" t="s">
        <v>100</v>
      </c>
    </row>
    <row r="152" spans="2:9" ht="20.100000000000001" customHeight="1">
      <c r="C152" s="690" t="s">
        <v>136</v>
      </c>
      <c r="D152" s="530"/>
      <c r="E152" s="530"/>
      <c r="F152" s="531"/>
      <c r="G152" s="532" t="s">
        <v>188</v>
      </c>
      <c r="H152" s="532"/>
      <c r="I152" s="691" t="s">
        <v>100</v>
      </c>
    </row>
    <row r="153" spans="2:9" ht="20.100000000000001" customHeight="1">
      <c r="C153" s="686" t="s">
        <v>64</v>
      </c>
      <c r="D153" s="530"/>
      <c r="E153" s="530"/>
      <c r="F153" s="531"/>
      <c r="G153" s="532" t="s">
        <v>189</v>
      </c>
      <c r="H153" s="532"/>
      <c r="I153" s="685" t="s">
        <v>100</v>
      </c>
    </row>
    <row r="154" spans="2:9" ht="20.100000000000001" customHeight="1">
      <c r="C154" s="687" t="s">
        <v>190</v>
      </c>
      <c r="D154" s="530"/>
      <c r="E154" s="530"/>
      <c r="F154" s="531"/>
      <c r="G154" s="532" t="s">
        <v>189</v>
      </c>
      <c r="H154" s="532"/>
      <c r="I154" s="688" t="s">
        <v>100</v>
      </c>
    </row>
    <row r="155" spans="2:9" ht="20.100000000000001" customHeight="1">
      <c r="C155" s="690" t="s">
        <v>64</v>
      </c>
      <c r="D155" s="530"/>
      <c r="E155" s="530"/>
      <c r="F155" s="531"/>
      <c r="G155" s="532" t="s">
        <v>189</v>
      </c>
      <c r="H155" s="532"/>
      <c r="I155" s="691" t="s">
        <v>100</v>
      </c>
    </row>
    <row r="156" spans="2:9" ht="20.100000000000001" customHeight="1">
      <c r="C156" s="425" t="s">
        <v>48</v>
      </c>
      <c r="D156" s="530"/>
      <c r="E156" s="530"/>
      <c r="F156" s="531"/>
      <c r="G156" s="532" t="s">
        <v>173</v>
      </c>
      <c r="H156" s="532"/>
      <c r="I156" s="685" t="s">
        <v>100</v>
      </c>
    </row>
    <row r="157" spans="2:9" ht="20.100000000000001" customHeight="1">
      <c r="B157" s="594" t="s">
        <v>191</v>
      </c>
      <c r="C157" s="700" t="s">
        <v>192</v>
      </c>
      <c r="D157" s="530"/>
      <c r="E157" s="530"/>
      <c r="F157" s="531"/>
      <c r="G157" s="532" t="s">
        <v>193</v>
      </c>
      <c r="H157" s="532"/>
      <c r="I157" s="685" t="s">
        <v>100</v>
      </c>
    </row>
    <row r="158" spans="2:9" ht="20.100000000000001" customHeight="1">
      <c r="C158" s="686" t="s">
        <v>111</v>
      </c>
      <c r="D158" s="530"/>
      <c r="E158" s="530"/>
      <c r="F158" s="531"/>
      <c r="G158" s="532" t="s">
        <v>194</v>
      </c>
      <c r="H158" s="532"/>
      <c r="I158" s="685" t="s">
        <v>100</v>
      </c>
    </row>
    <row r="159" spans="2:9" ht="20.100000000000001" customHeight="1">
      <c r="C159" s="686" t="s">
        <v>136</v>
      </c>
      <c r="D159" s="530"/>
      <c r="E159" s="530"/>
      <c r="F159" s="531"/>
      <c r="G159" s="532" t="s">
        <v>195</v>
      </c>
      <c r="H159" s="532"/>
      <c r="I159" s="685" t="s">
        <v>100</v>
      </c>
    </row>
    <row r="160" spans="2:9" ht="20.100000000000001" customHeight="1">
      <c r="C160" s="686" t="s">
        <v>118</v>
      </c>
      <c r="D160" s="530"/>
      <c r="E160" s="530"/>
      <c r="F160" s="531"/>
      <c r="G160" s="532" t="s">
        <v>196</v>
      </c>
      <c r="H160" s="532"/>
      <c r="I160" s="685" t="s">
        <v>117</v>
      </c>
    </row>
    <row r="161" spans="2:9" ht="20.100000000000001" customHeight="1">
      <c r="B161" s="414" t="s">
        <v>197</v>
      </c>
      <c r="C161" s="689" t="s">
        <v>44</v>
      </c>
      <c r="D161" s="530"/>
      <c r="E161" s="530"/>
      <c r="F161" s="531"/>
      <c r="G161" s="532" t="s">
        <v>198</v>
      </c>
      <c r="H161" s="532"/>
      <c r="I161" s="685" t="s">
        <v>100</v>
      </c>
    </row>
    <row r="162" spans="2:9" ht="20.100000000000001" customHeight="1">
      <c r="C162" s="686" t="s">
        <v>136</v>
      </c>
      <c r="D162" s="530"/>
      <c r="E162" s="530"/>
      <c r="F162" s="531"/>
      <c r="G162" s="532">
        <v>0</v>
      </c>
      <c r="H162" s="532"/>
      <c r="I162" s="685" t="s">
        <v>100</v>
      </c>
    </row>
    <row r="163" spans="2:9" ht="20.100000000000001" customHeight="1">
      <c r="C163" s="690" t="s">
        <v>199</v>
      </c>
      <c r="D163" s="530"/>
      <c r="E163" s="530"/>
      <c r="F163" s="531"/>
      <c r="G163" s="532"/>
      <c r="H163" s="532"/>
      <c r="I163" s="691" t="s">
        <v>100</v>
      </c>
    </row>
    <row r="164" spans="2:9" ht="20.100000000000001" customHeight="1">
      <c r="C164" s="686" t="s">
        <v>118</v>
      </c>
      <c r="D164" s="530"/>
      <c r="E164" s="530"/>
      <c r="F164" s="531"/>
      <c r="G164" s="532" t="s">
        <v>200</v>
      </c>
      <c r="H164" s="532"/>
      <c r="I164" s="685" t="s">
        <v>117</v>
      </c>
    </row>
    <row r="165" spans="2:9" ht="20.100000000000001" customHeight="1">
      <c r="C165" s="690" t="s">
        <v>146</v>
      </c>
      <c r="D165" s="530"/>
      <c r="E165" s="530"/>
      <c r="F165" s="531"/>
      <c r="G165" s="532" t="s">
        <v>200</v>
      </c>
      <c r="H165" s="532"/>
      <c r="I165" s="691" t="s">
        <v>100</v>
      </c>
    </row>
    <row r="166" spans="2:9" ht="20.100000000000001" customHeight="1">
      <c r="C166" s="690" t="s">
        <v>201</v>
      </c>
      <c r="D166" s="530"/>
      <c r="E166" s="530"/>
      <c r="F166" s="531"/>
      <c r="G166" s="532" t="s">
        <v>202</v>
      </c>
      <c r="H166" s="532"/>
      <c r="I166" s="691" t="s">
        <v>100</v>
      </c>
    </row>
    <row r="167" spans="2:9" ht="20.100000000000001" customHeight="1">
      <c r="B167" s="414" t="s">
        <v>203</v>
      </c>
      <c r="C167" s="689" t="s">
        <v>54</v>
      </c>
      <c r="D167" s="530"/>
      <c r="E167" s="530"/>
      <c r="F167" s="531"/>
      <c r="G167" s="532" t="s">
        <v>204</v>
      </c>
      <c r="H167" s="532"/>
      <c r="I167" s="685" t="s">
        <v>100</v>
      </c>
    </row>
    <row r="168" spans="2:9" ht="20.100000000000001" customHeight="1">
      <c r="C168" s="686" t="s">
        <v>111</v>
      </c>
      <c r="D168" s="530"/>
      <c r="E168" s="530"/>
      <c r="F168" s="531"/>
      <c r="G168" s="532" t="s">
        <v>194</v>
      </c>
      <c r="H168" s="532"/>
      <c r="I168" s="685" t="s">
        <v>100</v>
      </c>
    </row>
    <row r="169" spans="2:9" ht="20.100000000000001" customHeight="1">
      <c r="C169" s="690" t="s">
        <v>205</v>
      </c>
      <c r="D169" s="530"/>
      <c r="E169" s="530"/>
      <c r="F169" s="531"/>
      <c r="G169" s="532" t="s">
        <v>206</v>
      </c>
      <c r="H169" s="532"/>
      <c r="I169" s="691" t="s">
        <v>100</v>
      </c>
    </row>
    <row r="170" spans="2:9" ht="20.100000000000001" customHeight="1">
      <c r="C170" s="699" t="s">
        <v>207</v>
      </c>
      <c r="D170" s="530"/>
      <c r="E170" s="530"/>
      <c r="F170" s="531"/>
      <c r="G170" s="532" t="s">
        <v>208</v>
      </c>
      <c r="H170" s="532"/>
      <c r="I170" s="691" t="s">
        <v>100</v>
      </c>
    </row>
    <row r="171" spans="2:9" ht="20.100000000000001" customHeight="1">
      <c r="C171" s="706" t="s">
        <v>136</v>
      </c>
      <c r="D171" s="530"/>
      <c r="E171" s="530"/>
      <c r="F171" s="531"/>
      <c r="G171" s="532" t="s">
        <v>209</v>
      </c>
      <c r="H171" s="532"/>
      <c r="I171" s="685" t="s">
        <v>100</v>
      </c>
    </row>
    <row r="172" spans="2:9" ht="20.100000000000001" customHeight="1">
      <c r="C172" s="699" t="s">
        <v>199</v>
      </c>
      <c r="D172" s="530"/>
      <c r="E172" s="530"/>
      <c r="F172" s="531"/>
      <c r="G172" s="532" t="s">
        <v>210</v>
      </c>
      <c r="H172" s="532"/>
      <c r="I172" s="691" t="s">
        <v>100</v>
      </c>
    </row>
    <row r="173" spans="2:9" ht="20.100000000000001" customHeight="1">
      <c r="C173" s="699" t="s">
        <v>211</v>
      </c>
      <c r="D173" s="530"/>
      <c r="E173" s="530"/>
      <c r="F173" s="531"/>
      <c r="G173" s="532" t="s">
        <v>212</v>
      </c>
      <c r="H173" s="532"/>
      <c r="I173" s="691" t="s">
        <v>100</v>
      </c>
    </row>
    <row r="174" spans="2:9" ht="20.100000000000001" customHeight="1">
      <c r="C174" s="699" t="s">
        <v>213</v>
      </c>
      <c r="D174" s="530"/>
      <c r="E174" s="530"/>
      <c r="F174" s="531"/>
      <c r="G174" s="532" t="s">
        <v>214</v>
      </c>
      <c r="H174" s="532"/>
      <c r="I174" s="691" t="s">
        <v>100</v>
      </c>
    </row>
    <row r="175" spans="2:9" ht="20.100000000000001" customHeight="1">
      <c r="C175" s="706" t="s">
        <v>118</v>
      </c>
      <c r="D175" s="530"/>
      <c r="E175" s="530"/>
      <c r="F175" s="531"/>
      <c r="G175" s="532" t="s">
        <v>215</v>
      </c>
      <c r="H175" s="532"/>
      <c r="I175" s="685" t="s">
        <v>117</v>
      </c>
    </row>
    <row r="176" spans="2:9" ht="20.100000000000001" customHeight="1">
      <c r="C176" s="699" t="s">
        <v>216</v>
      </c>
      <c r="D176" s="530"/>
      <c r="E176" s="530"/>
      <c r="F176" s="531"/>
      <c r="G176" s="532" t="s">
        <v>217</v>
      </c>
      <c r="H176" s="532"/>
      <c r="I176" s="691" t="s">
        <v>100</v>
      </c>
    </row>
    <row r="177" spans="2:9" ht="20.100000000000001" customHeight="1">
      <c r="C177" s="699" t="s">
        <v>218</v>
      </c>
      <c r="D177" s="530"/>
      <c r="E177" s="530"/>
      <c r="F177" s="531"/>
      <c r="G177" s="532" t="s">
        <v>219</v>
      </c>
      <c r="H177" s="532"/>
      <c r="I177" s="691" t="s">
        <v>100</v>
      </c>
    </row>
    <row r="178" spans="2:9" ht="20.100000000000001" customHeight="1">
      <c r="B178" s="594" t="s">
        <v>220</v>
      </c>
      <c r="C178" s="707" t="s">
        <v>221</v>
      </c>
      <c r="D178" s="530"/>
      <c r="E178" s="530"/>
      <c r="F178" s="531"/>
      <c r="G178" s="532" t="s">
        <v>222</v>
      </c>
      <c r="H178" s="532"/>
      <c r="I178" s="685" t="s">
        <v>100</v>
      </c>
    </row>
    <row r="179" spans="2:9" ht="20.100000000000001" customHeight="1">
      <c r="C179" s="706" t="s">
        <v>111</v>
      </c>
      <c r="D179" s="530"/>
      <c r="E179" s="530"/>
      <c r="F179" s="531"/>
      <c r="G179" s="532" t="s">
        <v>223</v>
      </c>
      <c r="H179" s="532"/>
      <c r="I179" s="685" t="s">
        <v>100</v>
      </c>
    </row>
    <row r="180" spans="2:9" ht="20.100000000000001" customHeight="1">
      <c r="C180" s="706" t="s">
        <v>136</v>
      </c>
      <c r="D180" s="530"/>
      <c r="E180" s="530"/>
      <c r="F180" s="531"/>
      <c r="G180" s="532" t="s">
        <v>224</v>
      </c>
      <c r="H180" s="532"/>
      <c r="I180" s="685" t="s">
        <v>100</v>
      </c>
    </row>
    <row r="181" spans="2:9" ht="20.100000000000001" customHeight="1">
      <c r="C181" s="706" t="s">
        <v>225</v>
      </c>
      <c r="D181" s="530"/>
      <c r="E181" s="530"/>
      <c r="F181" s="531"/>
      <c r="G181" s="532" t="s">
        <v>226</v>
      </c>
      <c r="H181" s="532"/>
      <c r="I181" s="685" t="s">
        <v>100</v>
      </c>
    </row>
    <row r="182" spans="2:9" ht="20.100000000000001" customHeight="1">
      <c r="C182" s="686" t="s">
        <v>118</v>
      </c>
      <c r="D182" s="530"/>
      <c r="E182" s="530"/>
      <c r="F182" s="531"/>
      <c r="G182" s="532" t="s">
        <v>227</v>
      </c>
      <c r="H182" s="532"/>
      <c r="I182" s="685" t="s">
        <v>117</v>
      </c>
    </row>
    <row r="183" spans="2:9" ht="20.100000000000001" customHeight="1">
      <c r="B183" s="414" t="s">
        <v>228</v>
      </c>
      <c r="C183" s="708" t="s">
        <v>44</v>
      </c>
      <c r="D183" s="530"/>
      <c r="E183" s="530"/>
      <c r="F183" s="531"/>
      <c r="G183" s="532"/>
      <c r="H183" s="532"/>
      <c r="I183" s="685" t="s">
        <v>100</v>
      </c>
    </row>
    <row r="184" spans="2:9" ht="20.100000000000001" customHeight="1">
      <c r="B184" s="414" t="s">
        <v>229</v>
      </c>
      <c r="C184" s="708" t="s">
        <v>54</v>
      </c>
      <c r="D184" s="530"/>
      <c r="E184" s="530"/>
      <c r="F184" s="531"/>
      <c r="G184" s="532" t="s">
        <v>222</v>
      </c>
      <c r="H184" s="532"/>
      <c r="I184" s="685" t="s">
        <v>100</v>
      </c>
    </row>
    <row r="185" spans="2:9" ht="20.100000000000001" customHeight="1">
      <c r="C185" s="706" t="s">
        <v>111</v>
      </c>
      <c r="D185" s="530"/>
      <c r="E185" s="530"/>
      <c r="F185" s="531"/>
      <c r="G185" s="532" t="s">
        <v>223</v>
      </c>
      <c r="H185" s="532"/>
      <c r="I185" s="685" t="s">
        <v>100</v>
      </c>
    </row>
    <row r="186" spans="2:9" ht="20.100000000000001" customHeight="1">
      <c r="C186" s="699" t="s">
        <v>205</v>
      </c>
      <c r="D186" s="530"/>
      <c r="E186" s="530"/>
      <c r="F186" s="531"/>
      <c r="G186" s="532" t="s">
        <v>223</v>
      </c>
      <c r="H186" s="532"/>
      <c r="I186" s="691" t="s">
        <v>100</v>
      </c>
    </row>
    <row r="187" spans="2:9" ht="20.100000000000001" customHeight="1">
      <c r="C187" s="706" t="s">
        <v>136</v>
      </c>
      <c r="D187" s="530"/>
      <c r="E187" s="530"/>
      <c r="F187" s="531"/>
      <c r="G187" s="532" t="s">
        <v>224</v>
      </c>
      <c r="H187" s="532"/>
      <c r="I187" s="685" t="s">
        <v>100</v>
      </c>
    </row>
    <row r="188" spans="2:9" ht="20.100000000000001" customHeight="1">
      <c r="C188" s="699" t="s">
        <v>230</v>
      </c>
      <c r="D188" s="530"/>
      <c r="E188" s="530"/>
      <c r="F188" s="531"/>
      <c r="G188" s="532" t="s">
        <v>231</v>
      </c>
      <c r="H188" s="532"/>
      <c r="I188" s="691" t="s">
        <v>100</v>
      </c>
    </row>
    <row r="189" spans="2:9" ht="20.100000000000001" customHeight="1">
      <c r="C189" s="699" t="s">
        <v>232</v>
      </c>
      <c r="D189" s="530"/>
      <c r="E189" s="530"/>
      <c r="F189" s="531"/>
      <c r="G189" s="532" t="s">
        <v>233</v>
      </c>
      <c r="H189" s="532"/>
      <c r="I189" s="691" t="s">
        <v>100</v>
      </c>
    </row>
    <row r="190" spans="2:9" ht="20.100000000000001" customHeight="1">
      <c r="C190" s="699" t="s">
        <v>234</v>
      </c>
      <c r="D190" s="530"/>
      <c r="E190" s="530"/>
      <c r="F190" s="531"/>
      <c r="G190" s="532" t="s">
        <v>235</v>
      </c>
      <c r="H190" s="532"/>
      <c r="I190" s="691" t="s">
        <v>100</v>
      </c>
    </row>
    <row r="191" spans="2:9" ht="20.100000000000001" customHeight="1">
      <c r="C191" s="706" t="s">
        <v>225</v>
      </c>
      <c r="D191" s="530"/>
      <c r="E191" s="530"/>
      <c r="F191" s="531"/>
      <c r="G191" s="532" t="s">
        <v>226</v>
      </c>
      <c r="H191" s="532"/>
      <c r="I191" s="685" t="s">
        <v>100</v>
      </c>
    </row>
    <row r="192" spans="2:9" ht="20.100000000000001" customHeight="1">
      <c r="C192" s="430" t="s">
        <v>236</v>
      </c>
      <c r="D192" s="530"/>
      <c r="E192" s="530"/>
      <c r="F192" s="531"/>
      <c r="G192" s="532" t="s">
        <v>237</v>
      </c>
      <c r="H192" s="532"/>
      <c r="I192" s="691" t="s">
        <v>100</v>
      </c>
    </row>
    <row r="193" spans="2:9" ht="20.100000000000001" customHeight="1">
      <c r="C193" s="430" t="s">
        <v>238</v>
      </c>
      <c r="D193" s="530"/>
      <c r="E193" s="530"/>
      <c r="F193" s="531"/>
      <c r="G193" s="532" t="s">
        <v>239</v>
      </c>
      <c r="H193" s="532"/>
      <c r="I193" s="691" t="s">
        <v>100</v>
      </c>
    </row>
    <row r="194" spans="2:9" ht="20.100000000000001" customHeight="1">
      <c r="C194" s="706" t="s">
        <v>118</v>
      </c>
      <c r="D194" s="530"/>
      <c r="E194" s="530"/>
      <c r="F194" s="531"/>
      <c r="G194" s="532" t="s">
        <v>227</v>
      </c>
      <c r="H194" s="532"/>
      <c r="I194" s="685" t="s">
        <v>100</v>
      </c>
    </row>
    <row r="195" spans="2:9" ht="20.100000000000001" customHeight="1">
      <c r="C195" s="430" t="s">
        <v>218</v>
      </c>
      <c r="D195" s="530"/>
      <c r="E195" s="530"/>
      <c r="F195" s="531"/>
      <c r="G195" s="532" t="s">
        <v>227</v>
      </c>
      <c r="H195" s="532"/>
      <c r="I195" s="691" t="s">
        <v>100</v>
      </c>
    </row>
    <row r="196" spans="2:9" ht="20.100000000000001" customHeight="1">
      <c r="B196" s="594" t="s">
        <v>240</v>
      </c>
      <c r="C196" s="700" t="s">
        <v>241</v>
      </c>
      <c r="D196" s="530"/>
      <c r="E196" s="530"/>
      <c r="F196" s="531"/>
      <c r="G196" s="532"/>
      <c r="H196" s="532"/>
      <c r="I196" s="685"/>
    </row>
    <row r="197" spans="2:9" ht="20.100000000000001" customHeight="1">
      <c r="C197" s="686" t="s">
        <v>104</v>
      </c>
      <c r="D197" s="530"/>
      <c r="E197" s="530"/>
      <c r="F197" s="531"/>
      <c r="G197" s="532" t="s">
        <v>242</v>
      </c>
      <c r="H197" s="532"/>
      <c r="I197" s="685" t="s">
        <v>100</v>
      </c>
    </row>
    <row r="198" spans="2:9" ht="20.100000000000001" customHeight="1">
      <c r="C198" s="687" t="s">
        <v>32</v>
      </c>
      <c r="D198" s="530"/>
      <c r="E198" s="530"/>
      <c r="F198" s="531"/>
      <c r="G198" s="532" t="s">
        <v>243</v>
      </c>
      <c r="H198" s="532"/>
      <c r="I198" s="688" t="s">
        <v>100</v>
      </c>
    </row>
    <row r="199" spans="2:9" ht="20.100000000000001" customHeight="1">
      <c r="C199" s="687" t="s">
        <v>244</v>
      </c>
      <c r="D199" s="530"/>
      <c r="E199" s="530"/>
      <c r="F199" s="531"/>
      <c r="G199" s="532" t="s">
        <v>245</v>
      </c>
      <c r="H199" s="532"/>
      <c r="I199" s="688" t="s">
        <v>100</v>
      </c>
    </row>
    <row r="200" spans="2:9" ht="20.100000000000001" customHeight="1">
      <c r="C200" s="687" t="s">
        <v>246</v>
      </c>
      <c r="D200" s="530"/>
      <c r="E200" s="530"/>
      <c r="F200" s="531"/>
      <c r="G200" s="532" t="s">
        <v>247</v>
      </c>
      <c r="H200" s="532"/>
      <c r="I200" s="688" t="s">
        <v>100</v>
      </c>
    </row>
    <row r="201" spans="2:9" ht="20.100000000000001" customHeight="1">
      <c r="C201" s="686" t="s">
        <v>111</v>
      </c>
      <c r="D201" s="530"/>
      <c r="E201" s="530"/>
      <c r="F201" s="531"/>
      <c r="G201" s="532" t="s">
        <v>248</v>
      </c>
      <c r="H201" s="532"/>
      <c r="I201" s="685" t="s">
        <v>100</v>
      </c>
    </row>
    <row r="202" spans="2:9" ht="20.100000000000001" customHeight="1">
      <c r="B202" s="414" t="s">
        <v>249</v>
      </c>
      <c r="C202" s="689" t="s">
        <v>44</v>
      </c>
      <c r="D202" s="530"/>
      <c r="E202" s="530"/>
      <c r="F202" s="531"/>
      <c r="G202" s="532" t="s">
        <v>250</v>
      </c>
      <c r="H202" s="532"/>
      <c r="I202" s="685" t="s">
        <v>100</v>
      </c>
    </row>
    <row r="203" spans="2:9" ht="20.100000000000001" customHeight="1">
      <c r="C203" s="686" t="s">
        <v>104</v>
      </c>
      <c r="D203" s="530"/>
      <c r="E203" s="530"/>
      <c r="F203" s="531"/>
      <c r="G203" s="532" t="s">
        <v>250</v>
      </c>
      <c r="H203" s="532"/>
      <c r="I203" s="685" t="s">
        <v>100</v>
      </c>
    </row>
    <row r="204" spans="2:9" ht="20.100000000000001" customHeight="1">
      <c r="C204" s="687" t="s">
        <v>32</v>
      </c>
      <c r="D204" s="530"/>
      <c r="E204" s="530"/>
      <c r="F204" s="531"/>
      <c r="G204" s="532" t="s">
        <v>251</v>
      </c>
      <c r="H204" s="532"/>
      <c r="I204" s="688" t="s">
        <v>100</v>
      </c>
    </row>
    <row r="205" spans="2:9" ht="20.100000000000001" customHeight="1">
      <c r="C205" s="687" t="s">
        <v>244</v>
      </c>
      <c r="D205" s="530"/>
      <c r="E205" s="530"/>
      <c r="F205" s="531"/>
      <c r="G205" s="532" t="s">
        <v>245</v>
      </c>
      <c r="H205" s="532"/>
      <c r="I205" s="688" t="s">
        <v>100</v>
      </c>
    </row>
    <row r="206" spans="2:9" ht="20.100000000000001" customHeight="1">
      <c r="C206" s="687" t="s">
        <v>246</v>
      </c>
      <c r="D206" s="530"/>
      <c r="E206" s="530"/>
      <c r="F206" s="531"/>
      <c r="G206" s="532" t="s">
        <v>247</v>
      </c>
      <c r="H206" s="532"/>
      <c r="I206" s="688" t="s">
        <v>100</v>
      </c>
    </row>
    <row r="207" spans="2:9" ht="19.5" customHeight="1">
      <c r="B207" s="414" t="s">
        <v>252</v>
      </c>
      <c r="C207" s="689" t="s">
        <v>54</v>
      </c>
      <c r="D207" s="530"/>
      <c r="E207" s="530"/>
      <c r="F207" s="531"/>
      <c r="G207" s="532" t="s">
        <v>253</v>
      </c>
      <c r="H207" s="532"/>
      <c r="I207" s="685" t="s">
        <v>100</v>
      </c>
    </row>
    <row r="208" spans="2:9" ht="20.100000000000001" customHeight="1" outlineLevel="1">
      <c r="C208" s="702" t="s">
        <v>104</v>
      </c>
      <c r="D208" s="530"/>
      <c r="E208" s="530"/>
      <c r="F208" s="531"/>
      <c r="G208" s="532">
        <v>0</v>
      </c>
      <c r="H208" s="532"/>
      <c r="I208" s="685" t="s">
        <v>100</v>
      </c>
    </row>
    <row r="209" spans="3:9" ht="20.100000000000001" customHeight="1" outlineLevel="1">
      <c r="C209" s="703" t="s">
        <v>32</v>
      </c>
      <c r="D209" s="530"/>
      <c r="E209" s="530"/>
      <c r="F209" s="531"/>
      <c r="G209" s="532">
        <v>0</v>
      </c>
      <c r="H209" s="532"/>
      <c r="I209" s="688" t="s">
        <v>100</v>
      </c>
    </row>
    <row r="210" spans="3:9" ht="20.100000000000001" customHeight="1">
      <c r="C210" s="686" t="s">
        <v>111</v>
      </c>
      <c r="D210" s="530"/>
      <c r="E210" s="530"/>
      <c r="F210" s="531"/>
      <c r="G210" s="532" t="s">
        <v>248</v>
      </c>
      <c r="H210" s="532"/>
      <c r="I210" s="685" t="s">
        <v>100</v>
      </c>
    </row>
    <row r="211" spans="3:9" ht="20.100000000000001" customHeight="1">
      <c r="C211" s="709" t="s">
        <v>254</v>
      </c>
      <c r="D211" s="530"/>
      <c r="E211" s="530"/>
      <c r="F211" s="531"/>
      <c r="G211" s="532"/>
      <c r="H211" s="532"/>
      <c r="I211" s="685"/>
    </row>
    <row r="212" spans="3:9" ht="20.100000000000001" customHeight="1">
      <c r="C212" s="700" t="s">
        <v>255</v>
      </c>
      <c r="D212" s="530"/>
      <c r="E212" s="530"/>
      <c r="F212" s="531"/>
      <c r="G212" s="532" t="s">
        <v>256</v>
      </c>
      <c r="H212" s="532"/>
      <c r="I212" s="685" t="s">
        <v>100</v>
      </c>
    </row>
    <row r="213" spans="3:9" ht="20.100000000000001" customHeight="1">
      <c r="C213" s="689" t="s">
        <v>44</v>
      </c>
      <c r="D213" s="530"/>
      <c r="E213" s="530"/>
      <c r="F213" s="531"/>
      <c r="G213" s="532" t="s">
        <v>257</v>
      </c>
      <c r="H213" s="532"/>
      <c r="I213" s="685" t="s">
        <v>100</v>
      </c>
    </row>
    <row r="214" spans="3:9" ht="20.100000000000001" customHeight="1">
      <c r="C214" s="686" t="s">
        <v>104</v>
      </c>
      <c r="D214" s="530"/>
      <c r="E214" s="530"/>
      <c r="F214" s="531"/>
      <c r="G214" s="532" t="s">
        <v>257</v>
      </c>
      <c r="H214" s="532"/>
      <c r="I214" s="685" t="s">
        <v>100</v>
      </c>
    </row>
    <row r="215" spans="3:9" ht="20.100000000000001" customHeight="1">
      <c r="C215" s="687" t="s">
        <v>156</v>
      </c>
      <c r="D215" s="530"/>
      <c r="E215" s="530"/>
      <c r="F215" s="531"/>
      <c r="G215" s="532" t="s">
        <v>258</v>
      </c>
      <c r="H215" s="532"/>
      <c r="I215" s="688" t="s">
        <v>100</v>
      </c>
    </row>
    <row r="216" spans="3:9" ht="20.100000000000001" customHeight="1">
      <c r="C216" s="687" t="s">
        <v>246</v>
      </c>
      <c r="D216" s="530"/>
      <c r="E216" s="530"/>
      <c r="F216" s="531"/>
      <c r="G216" s="532" t="s">
        <v>259</v>
      </c>
      <c r="H216" s="532"/>
      <c r="I216" s="688" t="s">
        <v>100</v>
      </c>
    </row>
    <row r="217" spans="3:9" ht="20.100000000000001" customHeight="1">
      <c r="C217" s="689" t="s">
        <v>54</v>
      </c>
      <c r="D217" s="530"/>
      <c r="E217" s="530"/>
      <c r="F217" s="531"/>
      <c r="G217" s="532">
        <v>0</v>
      </c>
      <c r="H217" s="532"/>
      <c r="I217" s="685" t="s">
        <v>100</v>
      </c>
    </row>
    <row r="218" spans="3:9" ht="20.100000000000001" customHeight="1">
      <c r="C218" s="417" t="s">
        <v>260</v>
      </c>
      <c r="D218" s="530"/>
      <c r="E218" s="530"/>
      <c r="F218" s="531"/>
      <c r="G218" s="532" t="s">
        <v>261</v>
      </c>
      <c r="H218" s="532"/>
      <c r="I218" s="447" t="s">
        <v>100</v>
      </c>
    </row>
    <row r="219" spans="3:9" ht="20.100000000000001" customHeight="1">
      <c r="C219" s="689" t="s">
        <v>44</v>
      </c>
      <c r="D219" s="530"/>
      <c r="E219" s="530"/>
      <c r="F219" s="531"/>
      <c r="G219" s="532" t="s">
        <v>262</v>
      </c>
      <c r="H219" s="532"/>
      <c r="I219" s="447" t="s">
        <v>100</v>
      </c>
    </row>
    <row r="220" spans="3:9" ht="20.100000000000001" customHeight="1">
      <c r="C220" s="431" t="s">
        <v>263</v>
      </c>
      <c r="D220" s="530"/>
      <c r="E220" s="530"/>
      <c r="F220" s="531"/>
      <c r="G220" s="532" t="s">
        <v>264</v>
      </c>
      <c r="H220" s="532"/>
      <c r="I220" s="691" t="s">
        <v>100</v>
      </c>
    </row>
    <row r="221" spans="3:9" ht="20.100000000000001" customHeight="1">
      <c r="C221" s="431" t="s">
        <v>265</v>
      </c>
      <c r="D221" s="530"/>
      <c r="E221" s="530"/>
      <c r="F221" s="531"/>
      <c r="G221" s="532" t="s">
        <v>266</v>
      </c>
      <c r="H221" s="532"/>
      <c r="I221" s="691" t="s">
        <v>100</v>
      </c>
    </row>
    <row r="222" spans="3:9" ht="20.100000000000001" customHeight="1" outlineLevel="1">
      <c r="C222" s="710" t="s">
        <v>54</v>
      </c>
      <c r="D222" s="530"/>
      <c r="E222" s="530"/>
      <c r="F222" s="531"/>
      <c r="G222" s="532">
        <v>0</v>
      </c>
      <c r="H222" s="532"/>
      <c r="I222" s="447" t="s">
        <v>100</v>
      </c>
    </row>
    <row r="223" spans="3:9" ht="20.100000000000001" customHeight="1" outlineLevel="1">
      <c r="C223" s="418" t="s">
        <v>104</v>
      </c>
      <c r="D223" s="530"/>
      <c r="E223" s="530"/>
      <c r="F223" s="531"/>
      <c r="G223" s="532">
        <v>0</v>
      </c>
      <c r="H223" s="532"/>
      <c r="I223" s="447" t="s">
        <v>100</v>
      </c>
    </row>
    <row r="224" spans="3:9" ht="20.100000000000001" customHeight="1" outlineLevel="1">
      <c r="C224" s="419" t="s">
        <v>267</v>
      </c>
      <c r="D224" s="530"/>
      <c r="E224" s="530"/>
      <c r="F224" s="531"/>
      <c r="G224" s="532">
        <v>0</v>
      </c>
      <c r="H224" s="532"/>
      <c r="I224" s="691" t="s">
        <v>100</v>
      </c>
    </row>
    <row r="225" spans="3:9" ht="20.100000000000001" customHeight="1" outlineLevel="1">
      <c r="C225" s="419" t="s">
        <v>268</v>
      </c>
      <c r="D225" s="530"/>
      <c r="E225" s="530"/>
      <c r="F225" s="531"/>
      <c r="G225" s="532"/>
      <c r="H225" s="532"/>
      <c r="I225" s="691" t="s">
        <v>100</v>
      </c>
    </row>
    <row r="226" spans="3:9" ht="20.100000000000001" customHeight="1">
      <c r="C226" s="417" t="s">
        <v>269</v>
      </c>
      <c r="D226" s="530"/>
      <c r="E226" s="530"/>
      <c r="F226" s="531"/>
      <c r="G226" s="532"/>
      <c r="H226" s="532"/>
      <c r="I226" s="447"/>
    </row>
    <row r="227" spans="3:9" ht="20.100000000000001" customHeight="1">
      <c r="C227" s="425" t="s">
        <v>104</v>
      </c>
      <c r="D227" s="530"/>
      <c r="E227" s="530"/>
      <c r="F227" s="531"/>
      <c r="G227" s="532" t="s">
        <v>270</v>
      </c>
      <c r="H227" s="532"/>
      <c r="I227" s="447" t="s">
        <v>100</v>
      </c>
    </row>
    <row r="228" spans="3:9" ht="20.100000000000001" customHeight="1">
      <c r="C228" s="437" t="s">
        <v>32</v>
      </c>
      <c r="D228" s="530"/>
      <c r="E228" s="530"/>
      <c r="F228" s="531"/>
      <c r="G228" s="532" t="s">
        <v>271</v>
      </c>
      <c r="H228" s="532"/>
      <c r="I228" s="688" t="s">
        <v>100</v>
      </c>
    </row>
    <row r="229" spans="3:9" ht="20.100000000000001" customHeight="1">
      <c r="C229" s="437" t="s">
        <v>190</v>
      </c>
      <c r="D229" s="530"/>
      <c r="E229" s="530"/>
      <c r="F229" s="531"/>
      <c r="G229" s="532" t="s">
        <v>272</v>
      </c>
      <c r="H229" s="532"/>
      <c r="I229" s="688" t="s">
        <v>100</v>
      </c>
    </row>
    <row r="230" spans="3:9" ht="20.100000000000001" customHeight="1">
      <c r="C230" s="437" t="s">
        <v>156</v>
      </c>
      <c r="D230" s="530"/>
      <c r="E230" s="530"/>
      <c r="F230" s="531"/>
      <c r="G230" s="532" t="s">
        <v>273</v>
      </c>
      <c r="H230" s="532"/>
      <c r="I230" s="688" t="s">
        <v>100</v>
      </c>
    </row>
    <row r="231" spans="3:9" ht="20.100000000000001" customHeight="1">
      <c r="C231" s="437" t="s">
        <v>246</v>
      </c>
      <c r="D231" s="530"/>
      <c r="E231" s="530"/>
      <c r="F231" s="531"/>
      <c r="G231" s="532" t="s">
        <v>274</v>
      </c>
      <c r="H231" s="532"/>
      <c r="I231" s="688" t="s">
        <v>100</v>
      </c>
    </row>
    <row r="232" spans="3:9" ht="20.100000000000001" customHeight="1">
      <c r="C232" s="429" t="s">
        <v>44</v>
      </c>
      <c r="D232" s="530"/>
      <c r="E232" s="530"/>
      <c r="F232" s="531"/>
      <c r="G232" s="532" t="s">
        <v>275</v>
      </c>
      <c r="H232" s="532"/>
      <c r="I232" s="447" t="s">
        <v>100</v>
      </c>
    </row>
    <row r="233" spans="3:9" ht="20.100000000000001" customHeight="1">
      <c r="C233" s="425" t="s">
        <v>104</v>
      </c>
      <c r="D233" s="530"/>
      <c r="E233" s="530"/>
      <c r="F233" s="531"/>
      <c r="G233" s="532" t="s">
        <v>275</v>
      </c>
      <c r="H233" s="532"/>
      <c r="I233" s="447" t="s">
        <v>100</v>
      </c>
    </row>
    <row r="234" spans="3:9" ht="20.100000000000001" customHeight="1">
      <c r="C234" s="437" t="s">
        <v>32</v>
      </c>
      <c r="D234" s="530"/>
      <c r="E234" s="530"/>
      <c r="F234" s="531"/>
      <c r="G234" s="532" t="s">
        <v>271</v>
      </c>
      <c r="H234" s="532"/>
      <c r="I234" s="688" t="s">
        <v>100</v>
      </c>
    </row>
    <row r="235" spans="3:9" ht="20.100000000000001" customHeight="1">
      <c r="C235" s="431" t="s">
        <v>276</v>
      </c>
      <c r="D235" s="530"/>
      <c r="E235" s="530"/>
      <c r="F235" s="531"/>
      <c r="G235" s="532" t="s">
        <v>277</v>
      </c>
      <c r="H235" s="532"/>
      <c r="I235" s="691" t="s">
        <v>100</v>
      </c>
    </row>
    <row r="236" spans="3:9" ht="20.100000000000001" customHeight="1">
      <c r="C236" s="437" t="s">
        <v>156</v>
      </c>
      <c r="D236" s="530"/>
      <c r="E236" s="530"/>
      <c r="F236" s="531"/>
      <c r="G236" s="532" t="s">
        <v>273</v>
      </c>
      <c r="H236" s="532"/>
      <c r="I236" s="688" t="s">
        <v>100</v>
      </c>
    </row>
    <row r="237" spans="3:9" ht="20.100000000000001" customHeight="1">
      <c r="C237" s="437" t="s">
        <v>246</v>
      </c>
      <c r="D237" s="530"/>
      <c r="E237" s="530"/>
      <c r="F237" s="531"/>
      <c r="G237" s="532" t="s">
        <v>274</v>
      </c>
      <c r="H237" s="532"/>
      <c r="I237" s="688" t="s">
        <v>100</v>
      </c>
    </row>
    <row r="238" spans="3:9" ht="20.100000000000001" customHeight="1">
      <c r="C238" s="429" t="s">
        <v>54</v>
      </c>
      <c r="D238" s="530"/>
      <c r="E238" s="530"/>
      <c r="F238" s="531"/>
      <c r="G238" s="532" t="s">
        <v>278</v>
      </c>
      <c r="H238" s="532"/>
      <c r="I238" s="447" t="s">
        <v>100</v>
      </c>
    </row>
    <row r="239" spans="3:9" ht="20.100000000000001" customHeight="1" outlineLevel="1">
      <c r="C239" s="418" t="s">
        <v>56</v>
      </c>
      <c r="D239" s="530"/>
      <c r="E239" s="530"/>
      <c r="F239" s="531"/>
      <c r="G239" s="532">
        <v>0</v>
      </c>
      <c r="H239" s="532"/>
      <c r="I239" s="447" t="s">
        <v>100</v>
      </c>
    </row>
    <row r="240" spans="3:9" ht="20.100000000000001" customHeight="1" outlineLevel="1">
      <c r="C240" s="420" t="s">
        <v>32</v>
      </c>
      <c r="D240" s="530"/>
      <c r="E240" s="530"/>
      <c r="F240" s="531"/>
      <c r="G240" s="532"/>
      <c r="H240" s="532"/>
      <c r="I240" s="688" t="s">
        <v>100</v>
      </c>
    </row>
    <row r="241" spans="3:9" ht="20.100000000000001" customHeight="1" outlineLevel="1">
      <c r="C241" s="419" t="s">
        <v>276</v>
      </c>
      <c r="D241" s="530"/>
      <c r="E241" s="530"/>
      <c r="F241" s="531"/>
      <c r="G241" s="532"/>
      <c r="H241" s="532"/>
      <c r="I241" s="691" t="s">
        <v>100</v>
      </c>
    </row>
    <row r="242" spans="3:9" ht="20.100000000000001" customHeight="1">
      <c r="C242" s="425" t="s">
        <v>104</v>
      </c>
      <c r="D242" s="530"/>
      <c r="E242" s="530"/>
      <c r="F242" s="531"/>
      <c r="G242" s="532" t="s">
        <v>272</v>
      </c>
      <c r="H242" s="532"/>
      <c r="I242" s="447" t="s">
        <v>100</v>
      </c>
    </row>
    <row r="243" spans="3:9" ht="20.100000000000001" customHeight="1">
      <c r="C243" s="437" t="s">
        <v>190</v>
      </c>
      <c r="D243" s="530"/>
      <c r="E243" s="530"/>
      <c r="F243" s="531"/>
      <c r="G243" s="532" t="s">
        <v>272</v>
      </c>
      <c r="H243" s="532"/>
      <c r="I243" s="688" t="s">
        <v>100</v>
      </c>
    </row>
    <row r="244" spans="3:9" ht="20.100000000000001" customHeight="1">
      <c r="C244" s="431" t="s">
        <v>92</v>
      </c>
      <c r="D244" s="530"/>
      <c r="E244" s="530"/>
      <c r="F244" s="531"/>
      <c r="G244" s="532" t="s">
        <v>279</v>
      </c>
      <c r="H244" s="532"/>
      <c r="I244" s="691" t="s">
        <v>100</v>
      </c>
    </row>
    <row r="245" spans="3:9" ht="20.100000000000001" customHeight="1">
      <c r="C245" s="431" t="s">
        <v>60</v>
      </c>
      <c r="D245" s="530"/>
      <c r="E245" s="530"/>
      <c r="F245" s="531"/>
      <c r="G245" s="532" t="s">
        <v>280</v>
      </c>
      <c r="H245" s="532"/>
      <c r="I245" s="691" t="s">
        <v>100</v>
      </c>
    </row>
    <row r="246" spans="3:9" ht="20.100000000000001" customHeight="1">
      <c r="C246" s="690" t="s">
        <v>95</v>
      </c>
      <c r="D246" s="530"/>
      <c r="E246" s="530"/>
      <c r="F246" s="531"/>
      <c r="G246" s="532" t="s">
        <v>281</v>
      </c>
      <c r="H246" s="532"/>
      <c r="I246" s="691" t="s">
        <v>100</v>
      </c>
    </row>
    <row r="247" spans="3:9" ht="20.100000000000001" customHeight="1">
      <c r="C247" s="417" t="s">
        <v>282</v>
      </c>
      <c r="D247" s="530"/>
      <c r="E247" s="530"/>
      <c r="F247" s="531"/>
      <c r="G247" s="532"/>
      <c r="H247" s="532"/>
      <c r="I247" s="447"/>
    </row>
    <row r="248" spans="3:9" ht="20.100000000000001" customHeight="1">
      <c r="C248" s="429" t="s">
        <v>44</v>
      </c>
      <c r="D248" s="530"/>
      <c r="E248" s="530"/>
      <c r="F248" s="531"/>
      <c r="G248" s="532" t="s">
        <v>283</v>
      </c>
      <c r="H248" s="532"/>
      <c r="I248" s="447" t="s">
        <v>100</v>
      </c>
    </row>
    <row r="249" spans="3:9" ht="20.100000000000001" customHeight="1">
      <c r="C249" s="425" t="s">
        <v>104</v>
      </c>
      <c r="D249" s="530"/>
      <c r="E249" s="530"/>
      <c r="F249" s="531"/>
      <c r="G249" s="532" t="s">
        <v>283</v>
      </c>
      <c r="H249" s="532"/>
      <c r="I249" s="447" t="s">
        <v>100</v>
      </c>
    </row>
    <row r="250" spans="3:9" ht="20.100000000000001" customHeight="1">
      <c r="C250" s="437" t="s">
        <v>32</v>
      </c>
      <c r="D250" s="530"/>
      <c r="E250" s="530"/>
      <c r="F250" s="531"/>
      <c r="G250" s="532" t="s">
        <v>284</v>
      </c>
      <c r="H250" s="532"/>
      <c r="I250" s="688" t="s">
        <v>100</v>
      </c>
    </row>
    <row r="251" spans="3:9" ht="20.100000000000001" customHeight="1">
      <c r="C251" s="431" t="s">
        <v>285</v>
      </c>
      <c r="D251" s="530"/>
      <c r="E251" s="530"/>
      <c r="F251" s="531"/>
      <c r="G251" s="532" t="s">
        <v>286</v>
      </c>
      <c r="H251" s="532"/>
      <c r="I251" s="691" t="s">
        <v>100</v>
      </c>
    </row>
    <row r="252" spans="3:9" ht="20.100000000000001" customHeight="1">
      <c r="C252" s="437" t="s">
        <v>190</v>
      </c>
      <c r="D252" s="530"/>
      <c r="E252" s="530"/>
      <c r="F252" s="531"/>
      <c r="G252" s="532" t="s">
        <v>287</v>
      </c>
      <c r="H252" s="532"/>
      <c r="I252" s="688" t="s">
        <v>100</v>
      </c>
    </row>
    <row r="253" spans="3:9" ht="20.100000000000001" customHeight="1">
      <c r="C253" s="431" t="s">
        <v>92</v>
      </c>
      <c r="D253" s="530"/>
      <c r="E253" s="530"/>
      <c r="F253" s="531"/>
      <c r="G253" s="532" t="s">
        <v>288</v>
      </c>
      <c r="H253" s="532"/>
      <c r="I253" s="691" t="s">
        <v>100</v>
      </c>
    </row>
    <row r="254" spans="3:9" ht="20.100000000000001" customHeight="1">
      <c r="C254" s="431" t="s">
        <v>60</v>
      </c>
      <c r="D254" s="530"/>
      <c r="E254" s="530"/>
      <c r="F254" s="531"/>
      <c r="G254" s="532" t="s">
        <v>289</v>
      </c>
      <c r="H254" s="532"/>
      <c r="I254" s="691" t="s">
        <v>100</v>
      </c>
    </row>
    <row r="255" spans="3:9" ht="20.100000000000001" customHeight="1">
      <c r="C255" s="690" t="s">
        <v>95</v>
      </c>
      <c r="D255" s="530"/>
      <c r="E255" s="530"/>
      <c r="F255" s="531"/>
      <c r="G255" s="532" t="s">
        <v>290</v>
      </c>
      <c r="H255" s="532"/>
      <c r="I255" s="691" t="s">
        <v>100</v>
      </c>
    </row>
    <row r="256" spans="3:9" ht="20.100000000000001" customHeight="1">
      <c r="C256" s="437" t="s">
        <v>156</v>
      </c>
      <c r="D256" s="530"/>
      <c r="E256" s="530"/>
      <c r="F256" s="531"/>
      <c r="G256" s="532" t="s">
        <v>291</v>
      </c>
      <c r="H256" s="532"/>
      <c r="I256" s="688" t="s">
        <v>100</v>
      </c>
    </row>
    <row r="257" spans="2:9" ht="20.100000000000001" customHeight="1">
      <c r="C257" s="437" t="s">
        <v>246</v>
      </c>
      <c r="D257" s="530"/>
      <c r="E257" s="530"/>
      <c r="F257" s="531"/>
      <c r="G257" s="532" t="s">
        <v>292</v>
      </c>
      <c r="H257" s="532"/>
      <c r="I257" s="688" t="s">
        <v>100</v>
      </c>
    </row>
    <row r="258" spans="2:9" ht="20.100000000000001" customHeight="1">
      <c r="C258" s="429" t="s">
        <v>54</v>
      </c>
      <c r="D258" s="530"/>
      <c r="E258" s="530"/>
      <c r="F258" s="531"/>
      <c r="G258" s="532">
        <v>0</v>
      </c>
      <c r="H258" s="532"/>
      <c r="I258" s="447" t="s">
        <v>100</v>
      </c>
    </row>
    <row r="259" spans="2:9" ht="20.100000000000001" customHeight="1">
      <c r="B259" s="417"/>
      <c r="C259" s="417" t="s">
        <v>293</v>
      </c>
      <c r="D259" s="530"/>
      <c r="E259" s="530"/>
      <c r="F259" s="531"/>
      <c r="G259" s="532"/>
      <c r="H259" s="532"/>
      <c r="I259" s="447"/>
    </row>
    <row r="260" spans="2:9" ht="32.25" customHeight="1">
      <c r="B260" s="594" t="s">
        <v>26</v>
      </c>
      <c r="C260" s="459" t="s">
        <v>294</v>
      </c>
      <c r="D260" s="530"/>
      <c r="E260" s="530"/>
      <c r="F260" s="531"/>
      <c r="G260" s="532" t="s">
        <v>295</v>
      </c>
      <c r="H260" s="532"/>
      <c r="I260" s="447" t="s">
        <v>29</v>
      </c>
    </row>
    <row r="261" spans="2:9" ht="20.100000000000001" customHeight="1">
      <c r="C261" s="425" t="s">
        <v>104</v>
      </c>
      <c r="D261" s="530"/>
      <c r="E261" s="530"/>
      <c r="F261" s="531"/>
      <c r="G261" s="532" t="s">
        <v>296</v>
      </c>
      <c r="H261" s="532"/>
      <c r="I261" s="447" t="s">
        <v>29</v>
      </c>
    </row>
    <row r="262" spans="2:9" ht="20.100000000000001" customHeight="1">
      <c r="C262" s="437" t="s">
        <v>32</v>
      </c>
      <c r="D262" s="530"/>
      <c r="E262" s="530"/>
      <c r="F262" s="531"/>
      <c r="G262" s="532" t="s">
        <v>297</v>
      </c>
      <c r="H262" s="532"/>
      <c r="I262" s="688" t="s">
        <v>29</v>
      </c>
    </row>
    <row r="263" spans="2:9" ht="20.100000000000001" customHeight="1">
      <c r="C263" s="437" t="s">
        <v>34</v>
      </c>
      <c r="D263" s="530"/>
      <c r="E263" s="530"/>
      <c r="F263" s="531"/>
      <c r="G263" s="532" t="s">
        <v>298</v>
      </c>
      <c r="H263" s="532"/>
      <c r="I263" s="688" t="s">
        <v>29</v>
      </c>
    </row>
    <row r="264" spans="2:9" ht="20.100000000000001" customHeight="1">
      <c r="C264" s="437" t="s">
        <v>299</v>
      </c>
      <c r="D264" s="530"/>
      <c r="E264" s="530"/>
      <c r="F264" s="531"/>
      <c r="G264" s="532" t="s">
        <v>300</v>
      </c>
      <c r="H264" s="532"/>
      <c r="I264" s="688" t="s">
        <v>29</v>
      </c>
    </row>
    <row r="265" spans="2:9" ht="20.100000000000001" customHeight="1">
      <c r="C265" s="687" t="s">
        <v>301</v>
      </c>
      <c r="D265" s="530"/>
      <c r="E265" s="530"/>
      <c r="F265" s="531"/>
      <c r="G265" s="532" t="s">
        <v>302</v>
      </c>
      <c r="H265" s="532"/>
      <c r="I265" s="688" t="s">
        <v>29</v>
      </c>
    </row>
    <row r="266" spans="2:9" ht="20.100000000000001" customHeight="1">
      <c r="C266" s="461"/>
      <c r="D266" s="530"/>
      <c r="E266" s="530"/>
      <c r="F266" s="531"/>
      <c r="G266" s="532" t="s">
        <v>303</v>
      </c>
      <c r="H266" s="532"/>
      <c r="I266" s="688" t="s">
        <v>100</v>
      </c>
    </row>
    <row r="267" spans="2:9" ht="20.100000000000001" customHeight="1">
      <c r="C267" s="687" t="s">
        <v>136</v>
      </c>
      <c r="D267" s="530"/>
      <c r="E267" s="530"/>
      <c r="F267" s="531"/>
      <c r="G267" s="532" t="s">
        <v>304</v>
      </c>
      <c r="H267" s="532"/>
      <c r="I267" s="4" t="s">
        <v>29</v>
      </c>
    </row>
    <row r="268" spans="2:9" ht="20.100000000000001" customHeight="1">
      <c r="C268" s="425" t="s">
        <v>305</v>
      </c>
      <c r="D268" s="530"/>
      <c r="E268" s="530"/>
      <c r="F268" s="531"/>
      <c r="G268" s="532" t="s">
        <v>306</v>
      </c>
      <c r="H268" s="532"/>
      <c r="I268" s="447" t="s">
        <v>29</v>
      </c>
    </row>
    <row r="269" spans="2:9" ht="20.100000000000001" customHeight="1">
      <c r="C269" s="437" t="s">
        <v>307</v>
      </c>
      <c r="D269" s="530"/>
      <c r="E269" s="530"/>
      <c r="F269" s="531"/>
      <c r="G269" s="532" t="s">
        <v>306</v>
      </c>
      <c r="H269" s="532"/>
      <c r="I269" s="688" t="s">
        <v>29</v>
      </c>
    </row>
    <row r="270" spans="2:9" ht="20.100000000000001" customHeight="1">
      <c r="B270" s="414" t="s">
        <v>308</v>
      </c>
      <c r="C270" s="429" t="s">
        <v>44</v>
      </c>
      <c r="D270" s="530"/>
      <c r="E270" s="530"/>
      <c r="F270" s="531"/>
      <c r="G270" s="532" t="s">
        <v>309</v>
      </c>
      <c r="H270" s="532"/>
      <c r="I270" s="447" t="s">
        <v>29</v>
      </c>
    </row>
    <row r="271" spans="2:9" ht="20.100000000000001" customHeight="1">
      <c r="C271" s="425" t="s">
        <v>104</v>
      </c>
      <c r="D271" s="530"/>
      <c r="E271" s="530"/>
      <c r="F271" s="531"/>
      <c r="G271" s="532" t="s">
        <v>310</v>
      </c>
      <c r="H271" s="532"/>
      <c r="I271" s="447" t="s">
        <v>29</v>
      </c>
    </row>
    <row r="272" spans="2:9" ht="20.100000000000001" customHeight="1">
      <c r="C272" s="437" t="s">
        <v>32</v>
      </c>
      <c r="D272" s="530"/>
      <c r="E272" s="530"/>
      <c r="F272" s="531"/>
      <c r="G272" s="532" t="s">
        <v>297</v>
      </c>
      <c r="H272" s="532"/>
      <c r="I272" s="688" t="s">
        <v>29</v>
      </c>
    </row>
    <row r="273" spans="3:9" ht="20.100000000000001" customHeight="1">
      <c r="C273" s="431" t="s">
        <v>311</v>
      </c>
      <c r="D273" s="530"/>
      <c r="E273" s="530"/>
      <c r="F273" s="531"/>
      <c r="G273" s="532" t="s">
        <v>312</v>
      </c>
      <c r="H273" s="532"/>
      <c r="I273" s="691" t="s">
        <v>29</v>
      </c>
    </row>
    <row r="274" spans="3:9" ht="20.100000000000001" customHeight="1">
      <c r="C274" s="431" t="s">
        <v>313</v>
      </c>
      <c r="D274" s="530"/>
      <c r="E274" s="530"/>
      <c r="F274" s="531"/>
      <c r="G274" s="532" t="s">
        <v>314</v>
      </c>
      <c r="H274" s="532"/>
      <c r="I274" s="691" t="s">
        <v>29</v>
      </c>
    </row>
    <row r="275" spans="3:9" ht="20.100000000000001" customHeight="1">
      <c r="C275" s="431" t="s">
        <v>315</v>
      </c>
      <c r="D275" s="530"/>
      <c r="E275" s="530"/>
      <c r="F275" s="531"/>
      <c r="G275" s="532" t="s">
        <v>316</v>
      </c>
      <c r="H275" s="532"/>
      <c r="I275" s="691" t="s">
        <v>29</v>
      </c>
    </row>
    <row r="276" spans="3:9" ht="20.100000000000001" customHeight="1">
      <c r="C276" s="437" t="s">
        <v>317</v>
      </c>
      <c r="D276" s="530"/>
      <c r="E276" s="530"/>
      <c r="F276" s="531"/>
      <c r="G276" s="532" t="s">
        <v>318</v>
      </c>
      <c r="H276" s="532"/>
      <c r="I276" s="688" t="s">
        <v>29</v>
      </c>
    </row>
    <row r="277" spans="3:9" ht="20.100000000000001" customHeight="1">
      <c r="C277" s="431" t="s">
        <v>48</v>
      </c>
      <c r="D277" s="530"/>
      <c r="E277" s="530"/>
      <c r="F277" s="531"/>
      <c r="G277" s="532" t="s">
        <v>318</v>
      </c>
      <c r="H277" s="532"/>
      <c r="I277" s="4" t="s">
        <v>29</v>
      </c>
    </row>
    <row r="278" spans="3:9" ht="20.100000000000001" customHeight="1">
      <c r="C278" s="431" t="s">
        <v>319</v>
      </c>
      <c r="D278" s="530"/>
      <c r="E278" s="530"/>
      <c r="F278" s="531"/>
      <c r="G278" s="532" t="s">
        <v>320</v>
      </c>
      <c r="H278" s="532"/>
      <c r="I278" s="691" t="s">
        <v>29</v>
      </c>
    </row>
    <row r="279" spans="3:9" ht="20.100000000000001" customHeight="1">
      <c r="C279" s="431" t="s">
        <v>321</v>
      </c>
      <c r="D279" s="530"/>
      <c r="E279" s="530"/>
      <c r="F279" s="531"/>
      <c r="G279" s="532" t="s">
        <v>322</v>
      </c>
      <c r="H279" s="532"/>
      <c r="I279" s="691" t="s">
        <v>29</v>
      </c>
    </row>
    <row r="280" spans="3:9" ht="20.100000000000001" customHeight="1">
      <c r="C280" s="431" t="s">
        <v>323</v>
      </c>
      <c r="D280" s="530"/>
      <c r="E280" s="530"/>
      <c r="F280" s="531"/>
      <c r="G280" s="532" t="s">
        <v>324</v>
      </c>
      <c r="H280" s="532"/>
      <c r="I280" s="691" t="s">
        <v>29</v>
      </c>
    </row>
    <row r="281" spans="3:9" ht="20.100000000000001" customHeight="1">
      <c r="C281" s="687" t="s">
        <v>325</v>
      </c>
      <c r="D281" s="530"/>
      <c r="E281" s="530"/>
      <c r="F281" s="531"/>
      <c r="G281" s="532" t="s">
        <v>326</v>
      </c>
      <c r="H281" s="532"/>
      <c r="I281" s="688" t="s">
        <v>29</v>
      </c>
    </row>
    <row r="282" spans="3:9" ht="20.100000000000001" customHeight="1">
      <c r="C282" s="437"/>
      <c r="D282" s="530"/>
      <c r="E282" s="530"/>
      <c r="F282" s="531"/>
      <c r="G282" s="532" t="s">
        <v>327</v>
      </c>
      <c r="H282" s="532"/>
      <c r="I282" s="688" t="s">
        <v>100</v>
      </c>
    </row>
    <row r="283" spans="3:9" ht="20.100000000000001" customHeight="1">
      <c r="C283" s="431" t="s">
        <v>328</v>
      </c>
      <c r="D283" s="530"/>
      <c r="E283" s="530"/>
      <c r="F283" s="531"/>
      <c r="G283" s="532" t="s">
        <v>329</v>
      </c>
      <c r="H283" s="532"/>
      <c r="I283" s="691" t="s">
        <v>29</v>
      </c>
    </row>
    <row r="284" spans="3:9" ht="20.100000000000001" customHeight="1">
      <c r="C284" s="439"/>
      <c r="D284" s="530"/>
      <c r="E284" s="530"/>
      <c r="F284" s="531"/>
      <c r="G284" s="532" t="s">
        <v>330</v>
      </c>
      <c r="H284" s="532"/>
      <c r="I284" s="691" t="s">
        <v>100</v>
      </c>
    </row>
    <row r="285" spans="3:9" ht="20.100000000000001" customHeight="1">
      <c r="C285" s="431" t="s">
        <v>331</v>
      </c>
      <c r="D285" s="530"/>
      <c r="E285" s="530"/>
      <c r="F285" s="531"/>
      <c r="G285" s="532" t="s">
        <v>332</v>
      </c>
      <c r="H285" s="532"/>
      <c r="I285" s="691" t="s">
        <v>29</v>
      </c>
    </row>
    <row r="286" spans="3:9" ht="20.100000000000001" customHeight="1">
      <c r="C286" s="439"/>
      <c r="D286" s="530"/>
      <c r="E286" s="530"/>
      <c r="F286" s="531"/>
      <c r="G286" s="532" t="s">
        <v>333</v>
      </c>
      <c r="H286" s="532"/>
      <c r="I286" s="691" t="s">
        <v>100</v>
      </c>
    </row>
    <row r="287" spans="3:9" ht="20.100000000000001" customHeight="1">
      <c r="C287" s="431" t="s">
        <v>334</v>
      </c>
      <c r="D287" s="530"/>
      <c r="E287" s="530"/>
      <c r="F287" s="531"/>
      <c r="G287" s="532" t="s">
        <v>335</v>
      </c>
      <c r="H287" s="532"/>
      <c r="I287" s="691" t="s">
        <v>29</v>
      </c>
    </row>
    <row r="288" spans="3:9" ht="20.100000000000001" customHeight="1">
      <c r="C288" s="439"/>
      <c r="D288" s="530"/>
      <c r="E288" s="530"/>
      <c r="F288" s="531"/>
      <c r="G288" s="532" t="s">
        <v>336</v>
      </c>
      <c r="H288" s="532"/>
      <c r="I288" s="691" t="s">
        <v>100</v>
      </c>
    </row>
    <row r="289" spans="2:9" ht="20.100000000000001" customHeight="1">
      <c r="C289" s="431" t="s">
        <v>337</v>
      </c>
      <c r="D289" s="530"/>
      <c r="E289" s="530"/>
      <c r="F289" s="531"/>
      <c r="G289" s="532" t="s">
        <v>338</v>
      </c>
      <c r="H289" s="532"/>
      <c r="I289" s="691" t="s">
        <v>29</v>
      </c>
    </row>
    <row r="290" spans="2:9" ht="20.100000000000001" customHeight="1">
      <c r="C290" s="422"/>
      <c r="D290" s="530"/>
      <c r="E290" s="530"/>
      <c r="F290" s="531"/>
      <c r="G290" s="532" t="s">
        <v>339</v>
      </c>
      <c r="H290" s="532"/>
      <c r="I290" s="691" t="s">
        <v>100</v>
      </c>
    </row>
    <row r="291" spans="2:9" ht="20.100000000000001" customHeight="1">
      <c r="C291" s="431" t="s">
        <v>340</v>
      </c>
      <c r="D291" s="530"/>
      <c r="E291" s="530"/>
      <c r="F291" s="531"/>
      <c r="G291" s="532" t="s">
        <v>341</v>
      </c>
      <c r="H291" s="532"/>
      <c r="I291" s="691" t="s">
        <v>29</v>
      </c>
    </row>
    <row r="292" spans="2:9" ht="20.100000000000001" customHeight="1">
      <c r="C292" s="422"/>
      <c r="D292" s="530"/>
      <c r="E292" s="530"/>
      <c r="F292" s="531"/>
      <c r="G292" s="532" t="s">
        <v>342</v>
      </c>
      <c r="H292" s="532"/>
      <c r="I292" s="691" t="s">
        <v>100</v>
      </c>
    </row>
    <row r="293" spans="2:9" ht="20.100000000000001" customHeight="1">
      <c r="C293" s="425" t="s">
        <v>305</v>
      </c>
      <c r="D293" s="530"/>
      <c r="E293" s="530"/>
      <c r="F293" s="531"/>
      <c r="G293" s="532" t="s">
        <v>343</v>
      </c>
      <c r="H293" s="532"/>
      <c r="I293" s="447" t="s">
        <v>29</v>
      </c>
    </row>
    <row r="294" spans="2:9" ht="20.100000000000001" customHeight="1">
      <c r="C294" s="437" t="s">
        <v>307</v>
      </c>
      <c r="D294" s="530"/>
      <c r="E294" s="530"/>
      <c r="F294" s="531"/>
      <c r="G294" s="532" t="s">
        <v>343</v>
      </c>
      <c r="H294" s="532"/>
      <c r="I294" s="688" t="s">
        <v>29</v>
      </c>
    </row>
    <row r="295" spans="2:9" ht="20.100000000000001" customHeight="1">
      <c r="B295" s="414" t="s">
        <v>344</v>
      </c>
      <c r="C295" s="429" t="s">
        <v>54</v>
      </c>
      <c r="D295" s="530"/>
      <c r="E295" s="530"/>
      <c r="F295" s="531"/>
      <c r="G295" s="532" t="s">
        <v>345</v>
      </c>
      <c r="H295" s="532"/>
      <c r="I295" s="447" t="s">
        <v>29</v>
      </c>
    </row>
    <row r="296" spans="2:9" ht="20.100000000000001" customHeight="1" outlineLevel="1">
      <c r="C296" s="418" t="s">
        <v>56</v>
      </c>
      <c r="D296" s="530"/>
      <c r="E296" s="530"/>
      <c r="F296" s="531"/>
      <c r="G296" s="532">
        <v>0</v>
      </c>
      <c r="H296" s="532"/>
      <c r="I296" s="447" t="s">
        <v>29</v>
      </c>
    </row>
    <row r="297" spans="2:9" ht="20.100000000000001" customHeight="1" outlineLevel="1">
      <c r="C297" s="420" t="s">
        <v>32</v>
      </c>
      <c r="D297" s="530"/>
      <c r="E297" s="530"/>
      <c r="F297" s="531"/>
      <c r="G297" s="532"/>
      <c r="H297" s="532"/>
      <c r="I297" s="688" t="s">
        <v>29</v>
      </c>
    </row>
    <row r="298" spans="2:9" ht="20.100000000000001" customHeight="1" outlineLevel="1">
      <c r="C298" s="419" t="s">
        <v>311</v>
      </c>
      <c r="D298" s="530"/>
      <c r="E298" s="530"/>
      <c r="F298" s="531"/>
      <c r="G298" s="532"/>
      <c r="H298" s="532"/>
      <c r="I298" s="691" t="s">
        <v>29</v>
      </c>
    </row>
    <row r="299" spans="2:9" ht="20.100000000000001" customHeight="1" outlineLevel="1">
      <c r="C299" s="419" t="s">
        <v>313</v>
      </c>
      <c r="D299" s="530"/>
      <c r="E299" s="530"/>
      <c r="F299" s="531"/>
      <c r="G299" s="532"/>
      <c r="H299" s="532"/>
      <c r="I299" s="691" t="s">
        <v>29</v>
      </c>
    </row>
    <row r="300" spans="2:9" ht="20.100000000000001" customHeight="1" outlineLevel="1">
      <c r="C300" s="419" t="s">
        <v>315</v>
      </c>
      <c r="D300" s="530"/>
      <c r="E300" s="530"/>
      <c r="F300" s="531"/>
      <c r="G300" s="532"/>
      <c r="H300" s="532"/>
      <c r="I300" s="691" t="s">
        <v>29</v>
      </c>
    </row>
    <row r="301" spans="2:9" ht="20.100000000000001" customHeight="1">
      <c r="C301" s="425" t="s">
        <v>30</v>
      </c>
      <c r="D301" s="530"/>
      <c r="E301" s="530"/>
      <c r="F301" s="531"/>
      <c r="G301" s="532" t="s">
        <v>346</v>
      </c>
      <c r="H301" s="532"/>
      <c r="I301" s="447" t="s">
        <v>29</v>
      </c>
    </row>
    <row r="302" spans="2:9" ht="20.100000000000001" customHeight="1">
      <c r="C302" s="437" t="s">
        <v>190</v>
      </c>
      <c r="D302" s="530"/>
      <c r="E302" s="530"/>
      <c r="F302" s="531"/>
      <c r="G302" s="532" t="s">
        <v>347</v>
      </c>
      <c r="H302" s="532"/>
      <c r="I302" s="688" t="s">
        <v>29</v>
      </c>
    </row>
    <row r="303" spans="2:9" ht="20.100000000000001" customHeight="1">
      <c r="C303" s="430" t="s">
        <v>348</v>
      </c>
      <c r="D303" s="530"/>
      <c r="E303" s="530"/>
      <c r="F303" s="531"/>
      <c r="G303" s="532" t="s">
        <v>349</v>
      </c>
      <c r="H303" s="532"/>
      <c r="I303" s="691" t="s">
        <v>29</v>
      </c>
    </row>
    <row r="304" spans="2:9" ht="20.100000000000001" customHeight="1">
      <c r="C304" s="430" t="s">
        <v>350</v>
      </c>
      <c r="D304" s="530"/>
      <c r="E304" s="530"/>
      <c r="F304" s="531"/>
      <c r="G304" s="532" t="s">
        <v>351</v>
      </c>
      <c r="H304" s="532"/>
      <c r="I304" s="691" t="s">
        <v>29</v>
      </c>
    </row>
    <row r="305" spans="3:9" ht="20.100000000000001" customHeight="1">
      <c r="C305" s="431" t="s">
        <v>58</v>
      </c>
      <c r="D305" s="530"/>
      <c r="E305" s="530"/>
      <c r="F305" s="531"/>
      <c r="G305" s="532" t="s">
        <v>352</v>
      </c>
      <c r="H305" s="532"/>
      <c r="I305" s="691" t="s">
        <v>29</v>
      </c>
    </row>
    <row r="306" spans="3:9" ht="20.100000000000001" customHeight="1">
      <c r="C306" s="431" t="s">
        <v>60</v>
      </c>
      <c r="D306" s="530"/>
      <c r="E306" s="530"/>
      <c r="F306" s="531"/>
      <c r="G306" s="532" t="s">
        <v>353</v>
      </c>
      <c r="H306" s="532"/>
      <c r="I306" s="691" t="s">
        <v>29</v>
      </c>
    </row>
    <row r="307" spans="3:9" ht="20.100000000000001" customHeight="1">
      <c r="C307" s="690" t="s">
        <v>95</v>
      </c>
      <c r="D307" s="530"/>
      <c r="E307" s="530"/>
      <c r="F307" s="531"/>
      <c r="G307" s="532" t="s">
        <v>354</v>
      </c>
      <c r="H307" s="532"/>
      <c r="I307" s="691" t="s">
        <v>29</v>
      </c>
    </row>
    <row r="308" spans="3:9" ht="20.100000000000001" customHeight="1" outlineLevel="1">
      <c r="C308" s="423" t="s">
        <v>355</v>
      </c>
      <c r="D308" s="530"/>
      <c r="E308" s="530"/>
      <c r="F308" s="531"/>
      <c r="G308" s="532">
        <v>0</v>
      </c>
      <c r="H308" s="532"/>
      <c r="I308" s="688" t="s">
        <v>29</v>
      </c>
    </row>
    <row r="309" spans="3:9" ht="20.100000000000001" customHeight="1" outlineLevel="1">
      <c r="C309" s="423"/>
      <c r="D309" s="530"/>
      <c r="E309" s="530"/>
      <c r="F309" s="531"/>
      <c r="G309" s="532">
        <v>0</v>
      </c>
      <c r="H309" s="532"/>
      <c r="I309" s="691" t="s">
        <v>29</v>
      </c>
    </row>
    <row r="310" spans="3:9" ht="20.100000000000001" customHeight="1" outlineLevel="1">
      <c r="C310" s="424" t="s">
        <v>356</v>
      </c>
      <c r="D310" s="530"/>
      <c r="E310" s="530"/>
      <c r="F310" s="531"/>
      <c r="G310" s="532"/>
      <c r="H310" s="532"/>
      <c r="I310" s="691" t="s">
        <v>29</v>
      </c>
    </row>
    <row r="311" spans="3:9" ht="20.100000000000001" customHeight="1" outlineLevel="1">
      <c r="C311" s="419"/>
      <c r="D311" s="530"/>
      <c r="E311" s="530"/>
      <c r="F311" s="531"/>
      <c r="G311" s="532"/>
      <c r="H311" s="532"/>
      <c r="I311" s="691" t="s">
        <v>29</v>
      </c>
    </row>
    <row r="312" spans="3:9" ht="20.100000000000001" customHeight="1">
      <c r="C312" s="425" t="s">
        <v>357</v>
      </c>
      <c r="D312" s="530"/>
      <c r="E312" s="530"/>
      <c r="F312" s="531"/>
      <c r="G312" s="532" t="s">
        <v>358</v>
      </c>
      <c r="H312" s="532"/>
      <c r="I312" s="447" t="s">
        <v>29</v>
      </c>
    </row>
    <row r="313" spans="3:9" ht="20.100000000000001" customHeight="1">
      <c r="C313" s="431" t="s">
        <v>359</v>
      </c>
      <c r="D313" s="530"/>
      <c r="E313" s="530"/>
      <c r="F313" s="531"/>
      <c r="G313" s="532" t="s">
        <v>358</v>
      </c>
      <c r="H313" s="532"/>
      <c r="I313" s="691" t="s">
        <v>29</v>
      </c>
    </row>
    <row r="314" spans="3:9" ht="20.100000000000001" customHeight="1">
      <c r="C314" s="686" t="s">
        <v>136</v>
      </c>
      <c r="D314" s="530"/>
      <c r="E314" s="530"/>
      <c r="F314" s="531"/>
      <c r="G314" s="532" t="s">
        <v>304</v>
      </c>
      <c r="H314" s="532"/>
      <c r="I314" s="447" t="s">
        <v>29</v>
      </c>
    </row>
    <row r="315" spans="3:9" ht="20.100000000000001" customHeight="1">
      <c r="C315" s="464" t="s">
        <v>360</v>
      </c>
      <c r="D315" s="530"/>
      <c r="E315" s="530"/>
      <c r="F315" s="531"/>
      <c r="G315" s="532" t="s">
        <v>304</v>
      </c>
      <c r="H315" s="532"/>
      <c r="I315" s="691" t="s">
        <v>29</v>
      </c>
    </row>
    <row r="316" spans="3:9" ht="20.100000000000001" customHeight="1">
      <c r="C316" s="425" t="s">
        <v>72</v>
      </c>
      <c r="D316" s="530"/>
      <c r="E316" s="530"/>
      <c r="F316" s="531"/>
      <c r="G316" s="532" t="s">
        <v>361</v>
      </c>
      <c r="H316" s="532"/>
      <c r="I316" s="447" t="s">
        <v>29</v>
      </c>
    </row>
    <row r="317" spans="3:9" ht="20.100000000000001" customHeight="1">
      <c r="C317" s="437" t="s">
        <v>36</v>
      </c>
      <c r="D317" s="530"/>
      <c r="E317" s="530"/>
      <c r="F317" s="531"/>
      <c r="G317" s="532" t="s">
        <v>361</v>
      </c>
      <c r="H317" s="532"/>
      <c r="I317" s="688" t="s">
        <v>29</v>
      </c>
    </row>
    <row r="318" spans="3:9" ht="20.100000000000001" customHeight="1">
      <c r="C318" s="431" t="s">
        <v>362</v>
      </c>
      <c r="D318" s="530"/>
      <c r="E318" s="530"/>
      <c r="F318" s="531"/>
      <c r="G318" s="532" t="s">
        <v>361</v>
      </c>
      <c r="H318" s="532"/>
      <c r="I318" s="691" t="s">
        <v>29</v>
      </c>
    </row>
    <row r="319" spans="3:9" ht="20.100000000000001" customHeight="1">
      <c r="C319" s="425" t="s">
        <v>305</v>
      </c>
      <c r="D319" s="530"/>
      <c r="E319" s="530"/>
      <c r="F319" s="531"/>
      <c r="G319" s="532" t="s">
        <v>363</v>
      </c>
      <c r="H319" s="532"/>
      <c r="I319" s="447" t="s">
        <v>29</v>
      </c>
    </row>
    <row r="320" spans="3:9" ht="20.100000000000001" customHeight="1">
      <c r="C320" s="437" t="s">
        <v>307</v>
      </c>
      <c r="D320" s="530"/>
      <c r="E320" s="530"/>
      <c r="F320" s="531"/>
      <c r="G320" s="532" t="s">
        <v>363</v>
      </c>
      <c r="H320" s="532"/>
      <c r="I320" s="688" t="s">
        <v>29</v>
      </c>
    </row>
    <row r="321" spans="2:9" ht="20.100000000000001" customHeight="1">
      <c r="B321" s="594" t="s">
        <v>364</v>
      </c>
      <c r="C321" s="700" t="s">
        <v>365</v>
      </c>
      <c r="D321" s="530"/>
      <c r="E321" s="530"/>
      <c r="F321" s="531"/>
      <c r="G321" s="532"/>
      <c r="H321" s="532"/>
      <c r="I321" s="685"/>
    </row>
    <row r="322" spans="2:9" ht="20.100000000000001" customHeight="1">
      <c r="C322" s="686" t="s">
        <v>38</v>
      </c>
      <c r="D322" s="530"/>
      <c r="E322" s="530"/>
      <c r="F322" s="531"/>
      <c r="G322" s="532" t="s">
        <v>366</v>
      </c>
      <c r="H322" s="532"/>
      <c r="I322" s="685" t="s">
        <v>29</v>
      </c>
    </row>
    <row r="323" spans="2:9" ht="20.100000000000001" customHeight="1">
      <c r="C323" s="687" t="s">
        <v>40</v>
      </c>
      <c r="D323" s="530"/>
      <c r="E323" s="530"/>
      <c r="F323" s="531"/>
      <c r="G323" s="532" t="s">
        <v>366</v>
      </c>
      <c r="H323" s="532"/>
      <c r="I323" s="688" t="s">
        <v>29</v>
      </c>
    </row>
    <row r="324" spans="2:9" ht="20.100000000000001" customHeight="1">
      <c r="B324" s="414" t="s">
        <v>367</v>
      </c>
      <c r="C324" s="689" t="s">
        <v>44</v>
      </c>
      <c r="D324" s="530"/>
      <c r="E324" s="530"/>
      <c r="F324" s="531"/>
      <c r="G324" s="532"/>
      <c r="H324" s="532"/>
      <c r="I324" s="685"/>
    </row>
    <row r="325" spans="2:9" ht="20.100000000000001" customHeight="1">
      <c r="C325" s="686" t="s">
        <v>38</v>
      </c>
      <c r="D325" s="530"/>
      <c r="E325" s="530"/>
      <c r="F325" s="531"/>
      <c r="G325" s="532" t="s">
        <v>368</v>
      </c>
      <c r="H325" s="532"/>
      <c r="I325" s="685" t="s">
        <v>29</v>
      </c>
    </row>
    <row r="326" spans="2:9" ht="20.100000000000001" customHeight="1">
      <c r="C326" s="687" t="s">
        <v>40</v>
      </c>
      <c r="D326" s="530"/>
      <c r="E326" s="530"/>
      <c r="F326" s="531"/>
      <c r="G326" s="532" t="s">
        <v>368</v>
      </c>
      <c r="H326" s="532"/>
      <c r="I326" s="688" t="s">
        <v>29</v>
      </c>
    </row>
    <row r="327" spans="2:9" ht="20.100000000000001" customHeight="1">
      <c r="B327" s="414" t="s">
        <v>369</v>
      </c>
      <c r="C327" s="689" t="s">
        <v>54</v>
      </c>
      <c r="D327" s="530"/>
      <c r="E327" s="530"/>
      <c r="F327" s="531"/>
      <c r="G327" s="532"/>
      <c r="H327" s="532"/>
      <c r="I327" s="685"/>
    </row>
    <row r="328" spans="2:9" ht="20.100000000000001" customHeight="1">
      <c r="C328" s="686" t="s">
        <v>38</v>
      </c>
      <c r="D328" s="530"/>
      <c r="E328" s="530"/>
      <c r="F328" s="531"/>
      <c r="G328" s="532" t="s">
        <v>370</v>
      </c>
      <c r="H328" s="532"/>
      <c r="I328" s="685" t="s">
        <v>29</v>
      </c>
    </row>
    <row r="329" spans="2:9" ht="20.100000000000001" customHeight="1">
      <c r="C329" s="687" t="s">
        <v>40</v>
      </c>
      <c r="D329" s="530"/>
      <c r="E329" s="530"/>
      <c r="F329" s="531"/>
      <c r="G329" s="532" t="s">
        <v>370</v>
      </c>
      <c r="H329" s="532"/>
      <c r="I329" s="688" t="s">
        <v>29</v>
      </c>
    </row>
    <row r="330" spans="2:9" ht="20.100000000000001" customHeight="1" outlineLevel="1">
      <c r="B330" s="594" t="s">
        <v>86</v>
      </c>
      <c r="C330" s="426" t="s">
        <v>371</v>
      </c>
      <c r="D330" s="530"/>
      <c r="E330" s="530"/>
      <c r="F330" s="531"/>
      <c r="G330" s="532"/>
      <c r="H330" s="532"/>
      <c r="I330" s="13" t="s">
        <v>100</v>
      </c>
    </row>
    <row r="331" spans="2:9" ht="20.100000000000001" customHeight="1" outlineLevel="1">
      <c r="C331" s="427" t="s">
        <v>41</v>
      </c>
      <c r="D331" s="530"/>
      <c r="E331" s="530"/>
      <c r="F331" s="531"/>
      <c r="G331" s="532"/>
      <c r="H331" s="532"/>
      <c r="I331" s="13" t="s">
        <v>100</v>
      </c>
    </row>
    <row r="332" spans="2:9" ht="20.100000000000001" customHeight="1" outlineLevel="1">
      <c r="C332" s="14" t="s">
        <v>42</v>
      </c>
      <c r="D332" s="530"/>
      <c r="E332" s="530"/>
      <c r="F332" s="531"/>
      <c r="G332" s="532"/>
      <c r="H332" s="532"/>
      <c r="I332" s="695" t="s">
        <v>29</v>
      </c>
    </row>
    <row r="333" spans="2:9" ht="20.100000000000001" customHeight="1" outlineLevel="1">
      <c r="C333" s="14"/>
      <c r="D333" s="530"/>
      <c r="E333" s="530"/>
      <c r="F333" s="531"/>
      <c r="G333" s="532"/>
      <c r="H333" s="532"/>
      <c r="I333" s="695" t="s">
        <v>100</v>
      </c>
    </row>
    <row r="334" spans="2:9" ht="20.100000000000001" customHeight="1" outlineLevel="1">
      <c r="B334" s="414" t="s">
        <v>372</v>
      </c>
      <c r="C334" s="428" t="s">
        <v>44</v>
      </c>
      <c r="D334" s="530"/>
      <c r="E334" s="530"/>
      <c r="F334" s="531"/>
      <c r="G334" s="532"/>
      <c r="H334" s="532"/>
      <c r="I334" s="13" t="s">
        <v>100</v>
      </c>
    </row>
    <row r="335" spans="2:9" ht="20.100000000000001" customHeight="1" outlineLevel="1">
      <c r="C335" s="427" t="s">
        <v>41</v>
      </c>
      <c r="D335" s="530"/>
      <c r="E335" s="530"/>
      <c r="F335" s="531"/>
      <c r="G335" s="532"/>
      <c r="H335" s="532"/>
      <c r="I335" s="13" t="s">
        <v>100</v>
      </c>
    </row>
    <row r="336" spans="2:9" ht="20.100000000000001" customHeight="1" outlineLevel="1">
      <c r="C336" s="14" t="s">
        <v>42</v>
      </c>
      <c r="D336" s="530"/>
      <c r="E336" s="530"/>
      <c r="F336" s="531"/>
      <c r="G336" s="532"/>
      <c r="H336" s="532"/>
      <c r="I336" s="695" t="s">
        <v>29</v>
      </c>
    </row>
    <row r="337" spans="2:9" ht="20.100000000000001" customHeight="1" outlineLevel="1">
      <c r="C337" s="14"/>
      <c r="D337" s="530"/>
      <c r="E337" s="530"/>
      <c r="F337" s="531"/>
      <c r="G337" s="532"/>
      <c r="H337" s="532"/>
      <c r="I337" s="695" t="s">
        <v>100</v>
      </c>
    </row>
    <row r="338" spans="2:9" ht="20.100000000000001" customHeight="1" outlineLevel="1">
      <c r="B338" s="414" t="s">
        <v>373</v>
      </c>
      <c r="C338" s="428" t="s">
        <v>54</v>
      </c>
      <c r="D338" s="530"/>
      <c r="E338" s="530"/>
      <c r="F338" s="531"/>
      <c r="G338" s="532"/>
      <c r="H338" s="532"/>
      <c r="I338" s="13" t="s">
        <v>100</v>
      </c>
    </row>
    <row r="339" spans="2:9" ht="20.100000000000001" customHeight="1" outlineLevel="1">
      <c r="C339" s="426"/>
      <c r="D339" s="530"/>
      <c r="E339" s="530"/>
      <c r="F339" s="531"/>
      <c r="G339" s="532"/>
      <c r="H339" s="532"/>
      <c r="I339" s="13"/>
    </row>
    <row r="340" spans="2:9" ht="20.100000000000001" customHeight="1">
      <c r="B340" s="594" t="s">
        <v>97</v>
      </c>
      <c r="C340" s="417" t="s">
        <v>374</v>
      </c>
      <c r="D340" s="530"/>
      <c r="E340" s="530"/>
      <c r="F340" s="531"/>
      <c r="G340" s="532"/>
      <c r="H340" s="532"/>
      <c r="I340" s="447"/>
    </row>
    <row r="341" spans="2:9" ht="20.100000000000001" customHeight="1">
      <c r="C341" s="425" t="s">
        <v>30</v>
      </c>
      <c r="D341" s="530"/>
      <c r="E341" s="530"/>
      <c r="F341" s="531"/>
      <c r="G341" s="532" t="s">
        <v>375</v>
      </c>
      <c r="H341" s="532"/>
      <c r="I341" s="447" t="s">
        <v>100</v>
      </c>
    </row>
    <row r="342" spans="2:9" ht="20.100000000000001" customHeight="1">
      <c r="C342" s="437" t="s">
        <v>34</v>
      </c>
      <c r="D342" s="530"/>
      <c r="E342" s="530"/>
      <c r="F342" s="531"/>
      <c r="G342" s="532" t="s">
        <v>376</v>
      </c>
      <c r="H342" s="532"/>
      <c r="I342" s="688" t="s">
        <v>100</v>
      </c>
    </row>
    <row r="343" spans="2:9" ht="20.100000000000001" customHeight="1">
      <c r="C343" s="437" t="s">
        <v>32</v>
      </c>
      <c r="D343" s="530"/>
      <c r="E343" s="530"/>
      <c r="F343" s="531"/>
      <c r="G343" s="532" t="s">
        <v>377</v>
      </c>
      <c r="H343" s="532"/>
      <c r="I343" s="688" t="s">
        <v>100</v>
      </c>
    </row>
    <row r="344" spans="2:9" ht="20.100000000000001" customHeight="1">
      <c r="B344" s="414" t="s">
        <v>101</v>
      </c>
      <c r="C344" s="429" t="s">
        <v>44</v>
      </c>
      <c r="D344" s="530"/>
      <c r="E344" s="530"/>
      <c r="F344" s="531"/>
      <c r="G344" s="532"/>
      <c r="H344" s="532"/>
      <c r="I344" s="447"/>
    </row>
    <row r="345" spans="2:9" ht="20.100000000000001" customHeight="1">
      <c r="C345" s="425" t="s">
        <v>30</v>
      </c>
      <c r="D345" s="530"/>
      <c r="E345" s="530"/>
      <c r="F345" s="531"/>
      <c r="G345" s="532" t="s">
        <v>378</v>
      </c>
      <c r="H345" s="532"/>
      <c r="I345" s="447" t="s">
        <v>100</v>
      </c>
    </row>
    <row r="346" spans="2:9" ht="20.100000000000001" customHeight="1">
      <c r="C346" s="437" t="s">
        <v>34</v>
      </c>
      <c r="D346" s="530"/>
      <c r="E346" s="530"/>
      <c r="F346" s="531"/>
      <c r="G346" s="532" t="s">
        <v>379</v>
      </c>
      <c r="H346" s="532"/>
      <c r="I346" s="688" t="s">
        <v>100</v>
      </c>
    </row>
    <row r="347" spans="2:9" ht="20.100000000000001" customHeight="1">
      <c r="C347" s="431" t="s">
        <v>92</v>
      </c>
      <c r="D347" s="530"/>
      <c r="E347" s="530"/>
      <c r="F347" s="531"/>
      <c r="G347" s="532" t="s">
        <v>380</v>
      </c>
      <c r="H347" s="532"/>
      <c r="I347" s="691" t="s">
        <v>100</v>
      </c>
    </row>
    <row r="348" spans="2:9" ht="20.100000000000001" customHeight="1">
      <c r="C348" s="431" t="s">
        <v>60</v>
      </c>
      <c r="D348" s="530"/>
      <c r="E348" s="530"/>
      <c r="F348" s="531"/>
      <c r="G348" s="532" t="s">
        <v>381</v>
      </c>
      <c r="H348" s="532"/>
      <c r="I348" s="691" t="s">
        <v>100</v>
      </c>
    </row>
    <row r="349" spans="2:9" ht="20.100000000000001" customHeight="1">
      <c r="C349" s="437" t="s">
        <v>32</v>
      </c>
      <c r="D349" s="530"/>
      <c r="E349" s="530"/>
      <c r="F349" s="531"/>
      <c r="G349" s="532" t="s">
        <v>382</v>
      </c>
      <c r="H349" s="532"/>
      <c r="I349" s="688" t="s">
        <v>100</v>
      </c>
    </row>
    <row r="350" spans="2:9" ht="20.100000000000001" customHeight="1">
      <c r="C350" s="431" t="s">
        <v>383</v>
      </c>
      <c r="D350" s="530"/>
      <c r="E350" s="530"/>
      <c r="F350" s="531"/>
      <c r="G350" s="532" t="s">
        <v>384</v>
      </c>
      <c r="H350" s="532"/>
      <c r="I350" s="691" t="s">
        <v>100</v>
      </c>
    </row>
    <row r="351" spans="2:9" ht="20.100000000000001" customHeight="1">
      <c r="C351" s="431" t="s">
        <v>385</v>
      </c>
      <c r="D351" s="530"/>
      <c r="E351" s="530"/>
      <c r="F351" s="531"/>
      <c r="G351" s="532" t="s">
        <v>386</v>
      </c>
      <c r="H351" s="532"/>
      <c r="I351" s="691" t="s">
        <v>100</v>
      </c>
    </row>
    <row r="352" spans="2:9" ht="20.100000000000001" customHeight="1">
      <c r="C352" s="431" t="s">
        <v>387</v>
      </c>
      <c r="D352" s="530"/>
      <c r="E352" s="530"/>
      <c r="F352" s="531"/>
      <c r="G352" s="532" t="s">
        <v>388</v>
      </c>
      <c r="H352" s="532"/>
      <c r="I352" s="691" t="s">
        <v>100</v>
      </c>
    </row>
    <row r="353" spans="2:9" ht="20.100000000000001" customHeight="1">
      <c r="C353" s="431" t="s">
        <v>389</v>
      </c>
      <c r="D353" s="530"/>
      <c r="E353" s="530"/>
      <c r="F353" s="531"/>
      <c r="G353" s="532" t="s">
        <v>390</v>
      </c>
      <c r="H353" s="532"/>
      <c r="I353" s="691" t="s">
        <v>100</v>
      </c>
    </row>
    <row r="354" spans="2:9" ht="20.100000000000001" customHeight="1">
      <c r="C354" s="431" t="s">
        <v>391</v>
      </c>
      <c r="D354" s="530"/>
      <c r="E354" s="530"/>
      <c r="F354" s="531"/>
      <c r="G354" s="532" t="s">
        <v>392</v>
      </c>
      <c r="H354" s="532"/>
      <c r="I354" s="691" t="s">
        <v>100</v>
      </c>
    </row>
    <row r="355" spans="2:9" ht="20.100000000000001" customHeight="1">
      <c r="C355" s="431" t="s">
        <v>393</v>
      </c>
      <c r="D355" s="530"/>
      <c r="E355" s="530"/>
      <c r="F355" s="531"/>
      <c r="G355" s="532" t="s">
        <v>394</v>
      </c>
      <c r="H355" s="532"/>
      <c r="I355" s="691" t="s">
        <v>100</v>
      </c>
    </row>
    <row r="356" spans="2:9" ht="20.100000000000001" customHeight="1">
      <c r="B356" s="414" t="s">
        <v>163</v>
      </c>
      <c r="C356" s="429" t="s">
        <v>54</v>
      </c>
      <c r="D356" s="530"/>
      <c r="E356" s="530"/>
      <c r="F356" s="531"/>
      <c r="G356" s="532"/>
      <c r="H356" s="532"/>
      <c r="I356" s="447"/>
    </row>
    <row r="357" spans="2:9" ht="20.100000000000001" customHeight="1">
      <c r="C357" s="425" t="s">
        <v>30</v>
      </c>
      <c r="D357" s="530"/>
      <c r="E357" s="530"/>
      <c r="F357" s="531"/>
      <c r="G357" s="532" t="s">
        <v>395</v>
      </c>
      <c r="H357" s="532"/>
      <c r="I357" s="447" t="s">
        <v>100</v>
      </c>
    </row>
    <row r="358" spans="2:9" ht="20.100000000000001" customHeight="1">
      <c r="C358" s="437" t="s">
        <v>32</v>
      </c>
      <c r="D358" s="530"/>
      <c r="E358" s="530"/>
      <c r="F358" s="531"/>
      <c r="G358" s="532">
        <v>0</v>
      </c>
      <c r="H358" s="532"/>
      <c r="I358" s="688" t="s">
        <v>100</v>
      </c>
    </row>
    <row r="359" spans="2:9" ht="20.100000000000001" customHeight="1">
      <c r="C359" s="431" t="s">
        <v>348</v>
      </c>
      <c r="D359" s="530"/>
      <c r="E359" s="530"/>
      <c r="F359" s="531"/>
      <c r="G359" s="532"/>
      <c r="H359" s="532"/>
      <c r="I359" s="691" t="s">
        <v>100</v>
      </c>
    </row>
    <row r="360" spans="2:9" ht="20.100000000000001" customHeight="1">
      <c r="C360" s="437" t="s">
        <v>190</v>
      </c>
      <c r="D360" s="530"/>
      <c r="E360" s="530"/>
      <c r="F360" s="531"/>
      <c r="G360" s="532" t="s">
        <v>396</v>
      </c>
      <c r="H360" s="532"/>
      <c r="I360" s="688" t="s">
        <v>100</v>
      </c>
    </row>
    <row r="361" spans="2:9" ht="20.100000000000001" customHeight="1">
      <c r="C361" s="431" t="s">
        <v>397</v>
      </c>
      <c r="D361" s="530"/>
      <c r="E361" s="530"/>
      <c r="F361" s="531"/>
      <c r="G361" s="532" t="s">
        <v>398</v>
      </c>
      <c r="H361" s="532"/>
      <c r="I361" s="691" t="s">
        <v>100</v>
      </c>
    </row>
    <row r="362" spans="2:9" ht="20.100000000000001" customHeight="1">
      <c r="C362" s="431" t="s">
        <v>399</v>
      </c>
      <c r="D362" s="530"/>
      <c r="E362" s="530"/>
      <c r="F362" s="531"/>
      <c r="G362" s="532" t="s">
        <v>400</v>
      </c>
      <c r="H362" s="532"/>
      <c r="I362" s="691" t="s">
        <v>100</v>
      </c>
    </row>
    <row r="363" spans="2:9" ht="20.100000000000001" customHeight="1">
      <c r="C363" s="431" t="s">
        <v>60</v>
      </c>
      <c r="D363" s="530"/>
      <c r="E363" s="530"/>
      <c r="F363" s="531"/>
      <c r="G363" s="532" t="s">
        <v>401</v>
      </c>
      <c r="H363" s="532"/>
      <c r="I363" s="691" t="s">
        <v>100</v>
      </c>
    </row>
    <row r="364" spans="2:9" ht="20.100000000000001" customHeight="1">
      <c r="C364" s="690" t="s">
        <v>95</v>
      </c>
      <c r="D364" s="530"/>
      <c r="E364" s="530"/>
      <c r="F364" s="531"/>
      <c r="G364" s="532" t="s">
        <v>402</v>
      </c>
      <c r="H364" s="532"/>
      <c r="I364" s="691" t="s">
        <v>100</v>
      </c>
    </row>
    <row r="365" spans="2:9" ht="20.100000000000001" customHeight="1">
      <c r="B365" s="594" t="s">
        <v>191</v>
      </c>
      <c r="C365" s="417" t="s">
        <v>403</v>
      </c>
      <c r="D365" s="530"/>
      <c r="E365" s="530"/>
      <c r="F365" s="531"/>
      <c r="G365" s="532"/>
      <c r="H365" s="532"/>
      <c r="I365" s="447"/>
    </row>
    <row r="366" spans="2:9" ht="20.100000000000001" customHeight="1">
      <c r="C366" s="425" t="s">
        <v>104</v>
      </c>
      <c r="D366" s="530"/>
      <c r="E366" s="530"/>
      <c r="F366" s="531"/>
      <c r="G366" s="532" t="s">
        <v>404</v>
      </c>
      <c r="H366" s="532"/>
      <c r="I366" s="447" t="s">
        <v>100</v>
      </c>
    </row>
    <row r="367" spans="2:9" ht="20.100000000000001" customHeight="1">
      <c r="C367" s="437" t="s">
        <v>32</v>
      </c>
      <c r="D367" s="530"/>
      <c r="E367" s="530"/>
      <c r="F367" s="531"/>
      <c r="G367" s="532" t="s">
        <v>405</v>
      </c>
      <c r="H367" s="532"/>
      <c r="I367" s="688" t="s">
        <v>100</v>
      </c>
    </row>
    <row r="368" spans="2:9" ht="20.100000000000001" customHeight="1">
      <c r="C368" s="437" t="s">
        <v>34</v>
      </c>
      <c r="D368" s="530"/>
      <c r="E368" s="530"/>
      <c r="F368" s="531"/>
      <c r="G368" s="532" t="s">
        <v>406</v>
      </c>
      <c r="H368" s="532"/>
      <c r="I368" s="688" t="s">
        <v>100</v>
      </c>
    </row>
    <row r="369" spans="2:9" ht="20.100000000000001" customHeight="1">
      <c r="C369" s="437" t="s">
        <v>158</v>
      </c>
      <c r="D369" s="530"/>
      <c r="E369" s="530"/>
      <c r="F369" s="531"/>
      <c r="G369" s="532" t="s">
        <v>407</v>
      </c>
      <c r="H369" s="532"/>
      <c r="I369" s="688" t="s">
        <v>100</v>
      </c>
    </row>
    <row r="370" spans="2:9" ht="20.100000000000001" customHeight="1">
      <c r="C370" s="437" t="s">
        <v>408</v>
      </c>
      <c r="D370" s="530"/>
      <c r="E370" s="530"/>
      <c r="F370" s="531"/>
      <c r="G370" s="532" t="s">
        <v>409</v>
      </c>
      <c r="H370" s="532"/>
      <c r="I370" s="688" t="s">
        <v>100</v>
      </c>
    </row>
    <row r="371" spans="2:9" ht="20.100000000000001" customHeight="1">
      <c r="B371" s="414" t="s">
        <v>197</v>
      </c>
      <c r="C371" s="429" t="s">
        <v>44</v>
      </c>
      <c r="D371" s="530"/>
      <c r="E371" s="530"/>
      <c r="F371" s="531"/>
      <c r="G371" s="532"/>
      <c r="H371" s="532"/>
      <c r="I371" s="447"/>
    </row>
    <row r="372" spans="2:9" ht="20.100000000000001" customHeight="1">
      <c r="C372" s="425" t="s">
        <v>104</v>
      </c>
      <c r="D372" s="530"/>
      <c r="E372" s="530"/>
      <c r="F372" s="531"/>
      <c r="G372" s="532" t="s">
        <v>404</v>
      </c>
      <c r="H372" s="532"/>
      <c r="I372" s="447" t="s">
        <v>100</v>
      </c>
    </row>
    <row r="373" spans="2:9" ht="20.100000000000001" customHeight="1">
      <c r="C373" s="437" t="s">
        <v>32</v>
      </c>
      <c r="D373" s="530"/>
      <c r="E373" s="530"/>
      <c r="F373" s="531"/>
      <c r="G373" s="532" t="s">
        <v>405</v>
      </c>
      <c r="H373" s="532"/>
      <c r="I373" s="688" t="s">
        <v>100</v>
      </c>
    </row>
    <row r="374" spans="2:9" ht="20.100000000000001" customHeight="1">
      <c r="C374" s="431" t="s">
        <v>285</v>
      </c>
      <c r="D374" s="530"/>
      <c r="E374" s="530"/>
      <c r="F374" s="531"/>
      <c r="G374" s="532" t="s">
        <v>286</v>
      </c>
      <c r="H374" s="532"/>
      <c r="I374" s="691" t="s">
        <v>100</v>
      </c>
    </row>
    <row r="375" spans="2:9" ht="20.100000000000001" customHeight="1">
      <c r="C375" s="437" t="s">
        <v>190</v>
      </c>
      <c r="D375" s="530"/>
      <c r="E375" s="530"/>
      <c r="F375" s="531"/>
      <c r="G375" s="532" t="s">
        <v>406</v>
      </c>
      <c r="H375" s="532"/>
      <c r="I375" s="688" t="s">
        <v>100</v>
      </c>
    </row>
    <row r="376" spans="2:9" ht="20.100000000000001" customHeight="1">
      <c r="C376" s="431" t="s">
        <v>92</v>
      </c>
      <c r="D376" s="530"/>
      <c r="E376" s="530"/>
      <c r="F376" s="531"/>
      <c r="G376" s="532" t="s">
        <v>410</v>
      </c>
      <c r="H376" s="532"/>
      <c r="I376" s="691" t="s">
        <v>100</v>
      </c>
    </row>
    <row r="377" spans="2:9" ht="20.100000000000001" customHeight="1">
      <c r="C377" s="431" t="s">
        <v>60</v>
      </c>
      <c r="D377" s="530"/>
      <c r="E377" s="530"/>
      <c r="F377" s="531"/>
      <c r="G377" s="532" t="s">
        <v>411</v>
      </c>
      <c r="H377" s="532"/>
      <c r="I377" s="691" t="s">
        <v>100</v>
      </c>
    </row>
    <row r="378" spans="2:9" ht="20.100000000000001" customHeight="1">
      <c r="C378" s="690" t="s">
        <v>95</v>
      </c>
      <c r="D378" s="530"/>
      <c r="E378" s="530"/>
      <c r="F378" s="531"/>
      <c r="G378" s="532" t="s">
        <v>412</v>
      </c>
      <c r="H378" s="532"/>
      <c r="I378" s="691" t="s">
        <v>100</v>
      </c>
    </row>
    <row r="379" spans="2:9" ht="20.100000000000001" customHeight="1">
      <c r="C379" s="437" t="s">
        <v>156</v>
      </c>
      <c r="D379" s="530"/>
      <c r="E379" s="530"/>
      <c r="F379" s="531"/>
      <c r="G379" s="532" t="s">
        <v>407</v>
      </c>
      <c r="H379" s="532"/>
      <c r="I379" s="688" t="s">
        <v>100</v>
      </c>
    </row>
    <row r="380" spans="2:9" ht="20.100000000000001" customHeight="1">
      <c r="C380" s="437" t="s">
        <v>408</v>
      </c>
      <c r="D380" s="530"/>
      <c r="E380" s="530"/>
      <c r="F380" s="531"/>
      <c r="G380" s="532" t="s">
        <v>409</v>
      </c>
      <c r="H380" s="532"/>
      <c r="I380" s="688" t="s">
        <v>100</v>
      </c>
    </row>
    <row r="381" spans="2:9" ht="20.100000000000001" customHeight="1">
      <c r="B381" s="414" t="s">
        <v>203</v>
      </c>
      <c r="C381" s="429" t="s">
        <v>54</v>
      </c>
      <c r="D381" s="530"/>
      <c r="E381" s="530"/>
      <c r="F381" s="531"/>
      <c r="G381" s="532">
        <v>0</v>
      </c>
      <c r="H381" s="532"/>
      <c r="I381" s="447" t="s">
        <v>100</v>
      </c>
    </row>
    <row r="382" spans="2:9" ht="20.100000000000001" customHeight="1">
      <c r="B382" s="594" t="s">
        <v>220</v>
      </c>
      <c r="C382" s="417" t="s">
        <v>413</v>
      </c>
      <c r="D382" s="530"/>
      <c r="E382" s="530"/>
      <c r="F382" s="531"/>
      <c r="G382" s="532" t="s">
        <v>414</v>
      </c>
      <c r="H382" s="532"/>
      <c r="I382" s="447" t="s">
        <v>100</v>
      </c>
    </row>
    <row r="383" spans="2:9" ht="20.100000000000001" customHeight="1">
      <c r="C383" s="425" t="s">
        <v>104</v>
      </c>
      <c r="D383" s="530"/>
      <c r="E383" s="530"/>
      <c r="F383" s="531"/>
      <c r="G383" s="532" t="s">
        <v>415</v>
      </c>
      <c r="H383" s="532"/>
      <c r="I383" s="447" t="s">
        <v>100</v>
      </c>
    </row>
    <row r="384" spans="2:9" ht="20.100000000000001" customHeight="1">
      <c r="C384" s="437" t="s">
        <v>416</v>
      </c>
      <c r="D384" s="530"/>
      <c r="E384" s="530"/>
      <c r="F384" s="531"/>
      <c r="G384" s="532" t="s">
        <v>417</v>
      </c>
      <c r="H384" s="532"/>
      <c r="I384" s="688" t="s">
        <v>100</v>
      </c>
    </row>
    <row r="385" spans="2:9" ht="20.100000000000001" customHeight="1">
      <c r="C385" s="437" t="s">
        <v>34</v>
      </c>
      <c r="D385" s="530"/>
      <c r="E385" s="530"/>
      <c r="F385" s="531"/>
      <c r="G385" s="532" t="s">
        <v>418</v>
      </c>
      <c r="H385" s="532"/>
      <c r="I385" s="688" t="s">
        <v>100</v>
      </c>
    </row>
    <row r="386" spans="2:9" ht="20.100000000000001" customHeight="1">
      <c r="C386" s="430" t="s">
        <v>419</v>
      </c>
      <c r="D386" s="530"/>
      <c r="E386" s="530"/>
      <c r="F386" s="531"/>
      <c r="G386" s="532" t="s">
        <v>420</v>
      </c>
      <c r="H386" s="532"/>
      <c r="I386" s="691" t="s">
        <v>100</v>
      </c>
    </row>
    <row r="387" spans="2:9" ht="20.100000000000001" customHeight="1">
      <c r="C387" s="430" t="s">
        <v>421</v>
      </c>
      <c r="D387" s="530"/>
      <c r="E387" s="530"/>
      <c r="F387" s="531"/>
      <c r="G387" s="532" t="s">
        <v>422</v>
      </c>
      <c r="H387" s="532"/>
      <c r="I387" s="691" t="s">
        <v>100</v>
      </c>
    </row>
    <row r="388" spans="2:9" ht="20.100000000000001" customHeight="1">
      <c r="C388" s="437" t="s">
        <v>423</v>
      </c>
      <c r="D388" s="530"/>
      <c r="E388" s="530"/>
      <c r="F388" s="531"/>
      <c r="G388" s="532" t="s">
        <v>424</v>
      </c>
      <c r="H388" s="532"/>
      <c r="I388" s="688" t="s">
        <v>100</v>
      </c>
    </row>
    <row r="389" spans="2:9" ht="20.100000000000001" customHeight="1">
      <c r="C389" s="437" t="s">
        <v>156</v>
      </c>
      <c r="D389" s="530"/>
      <c r="E389" s="530"/>
      <c r="F389" s="531"/>
      <c r="G389" s="532" t="s">
        <v>425</v>
      </c>
      <c r="H389" s="532"/>
      <c r="I389" s="688" t="s">
        <v>100</v>
      </c>
    </row>
    <row r="390" spans="2:9" ht="20.100000000000001" customHeight="1">
      <c r="C390" s="437" t="s">
        <v>246</v>
      </c>
      <c r="D390" s="530"/>
      <c r="E390" s="530"/>
      <c r="F390" s="531"/>
      <c r="G390" s="532" t="s">
        <v>426</v>
      </c>
      <c r="H390" s="532"/>
      <c r="I390" s="688" t="s">
        <v>100</v>
      </c>
    </row>
    <row r="391" spans="2:9" ht="20.100000000000001" customHeight="1">
      <c r="C391" s="425" t="s">
        <v>305</v>
      </c>
      <c r="D391" s="530"/>
      <c r="E391" s="530"/>
      <c r="F391" s="531"/>
      <c r="G391" s="532" t="s">
        <v>427</v>
      </c>
      <c r="H391" s="532"/>
      <c r="I391" s="447" t="s">
        <v>100</v>
      </c>
    </row>
    <row r="392" spans="2:9" ht="20.100000000000001" customHeight="1">
      <c r="C392" s="437" t="s">
        <v>307</v>
      </c>
      <c r="D392" s="530"/>
      <c r="E392" s="530"/>
      <c r="F392" s="531"/>
      <c r="G392" s="532" t="s">
        <v>427</v>
      </c>
      <c r="H392" s="532"/>
      <c r="I392" s="688" t="s">
        <v>100</v>
      </c>
    </row>
    <row r="393" spans="2:9" ht="20.100000000000001" customHeight="1">
      <c r="C393" s="425" t="s">
        <v>111</v>
      </c>
      <c r="D393" s="530"/>
      <c r="E393" s="530"/>
      <c r="F393" s="531"/>
      <c r="G393" s="532" t="s">
        <v>428</v>
      </c>
      <c r="H393" s="532"/>
      <c r="I393" s="447" t="s">
        <v>100</v>
      </c>
    </row>
    <row r="394" spans="2:9" ht="20.100000000000001" customHeight="1">
      <c r="C394" s="425" t="s">
        <v>429</v>
      </c>
      <c r="D394" s="530"/>
      <c r="E394" s="530"/>
      <c r="F394" s="531"/>
      <c r="G394" s="532" t="s">
        <v>430</v>
      </c>
      <c r="H394" s="532"/>
      <c r="I394" s="447" t="s">
        <v>100</v>
      </c>
    </row>
    <row r="395" spans="2:9" ht="20.100000000000001" customHeight="1">
      <c r="B395" s="414" t="s">
        <v>228</v>
      </c>
      <c r="C395" s="429" t="s">
        <v>44</v>
      </c>
      <c r="D395" s="530"/>
      <c r="E395" s="530"/>
      <c r="F395" s="531"/>
      <c r="G395" s="532" t="s">
        <v>431</v>
      </c>
      <c r="H395" s="532"/>
      <c r="I395" s="447" t="s">
        <v>100</v>
      </c>
    </row>
    <row r="396" spans="2:9" ht="20.100000000000001" customHeight="1">
      <c r="C396" s="425" t="s">
        <v>104</v>
      </c>
      <c r="D396" s="530"/>
      <c r="E396" s="530"/>
      <c r="F396" s="531"/>
      <c r="G396" s="532" t="s">
        <v>432</v>
      </c>
      <c r="H396" s="532"/>
      <c r="I396" s="447" t="s">
        <v>100</v>
      </c>
    </row>
    <row r="397" spans="2:9" ht="20.100000000000001" customHeight="1">
      <c r="C397" s="437" t="s">
        <v>433</v>
      </c>
      <c r="D397" s="530"/>
      <c r="E397" s="530"/>
      <c r="F397" s="531"/>
      <c r="G397" s="532" t="s">
        <v>417</v>
      </c>
      <c r="H397" s="532"/>
      <c r="I397" s="688" t="s">
        <v>100</v>
      </c>
    </row>
    <row r="398" spans="2:9" ht="20.100000000000001" customHeight="1">
      <c r="C398" s="437" t="s">
        <v>434</v>
      </c>
      <c r="D398" s="530"/>
      <c r="E398" s="530"/>
      <c r="F398" s="531"/>
      <c r="G398" s="532" t="s">
        <v>435</v>
      </c>
      <c r="H398" s="532"/>
      <c r="I398" s="688" t="s">
        <v>100</v>
      </c>
    </row>
    <row r="399" spans="2:9" ht="20.100000000000001" customHeight="1">
      <c r="C399" s="431" t="s">
        <v>92</v>
      </c>
      <c r="D399" s="530"/>
      <c r="E399" s="530"/>
      <c r="F399" s="531"/>
      <c r="G399" s="532" t="s">
        <v>436</v>
      </c>
      <c r="H399" s="532"/>
      <c r="I399" s="691" t="s">
        <v>100</v>
      </c>
    </row>
    <row r="400" spans="2:9" ht="20.100000000000001" customHeight="1">
      <c r="C400" s="431" t="s">
        <v>437</v>
      </c>
      <c r="D400" s="530"/>
      <c r="E400" s="530"/>
      <c r="F400" s="531"/>
      <c r="G400" s="532" t="s">
        <v>438</v>
      </c>
      <c r="H400" s="532"/>
      <c r="I400" s="691" t="s">
        <v>100</v>
      </c>
    </row>
    <row r="401" spans="3:9" ht="20.100000000000001" customHeight="1">
      <c r="C401" s="431" t="s">
        <v>439</v>
      </c>
      <c r="D401" s="530"/>
      <c r="E401" s="530"/>
      <c r="F401" s="531"/>
      <c r="G401" s="532"/>
      <c r="H401" s="532"/>
      <c r="I401" s="691" t="s">
        <v>100</v>
      </c>
    </row>
    <row r="402" spans="3:9" ht="20.100000000000001" customHeight="1">
      <c r="C402" s="431" t="s">
        <v>60</v>
      </c>
      <c r="D402" s="530"/>
      <c r="E402" s="530"/>
      <c r="F402" s="531"/>
      <c r="G402" s="532" t="s">
        <v>440</v>
      </c>
      <c r="H402" s="532"/>
      <c r="I402" s="691" t="s">
        <v>100</v>
      </c>
    </row>
    <row r="403" spans="3:9" ht="20.100000000000001" customHeight="1">
      <c r="C403" s="431" t="s">
        <v>437</v>
      </c>
      <c r="D403" s="530"/>
      <c r="E403" s="530"/>
      <c r="F403" s="531"/>
      <c r="G403" s="532" t="s">
        <v>441</v>
      </c>
      <c r="H403" s="532"/>
      <c r="I403" s="691" t="s">
        <v>100</v>
      </c>
    </row>
    <row r="404" spans="3:9" ht="20.100000000000001" customHeight="1">
      <c r="C404" s="431" t="s">
        <v>439</v>
      </c>
      <c r="D404" s="530"/>
      <c r="E404" s="530"/>
      <c r="F404" s="531"/>
      <c r="G404" s="532"/>
      <c r="H404" s="532"/>
      <c r="I404" s="691" t="s">
        <v>100</v>
      </c>
    </row>
    <row r="405" spans="3:9" ht="20.100000000000001" customHeight="1">
      <c r="C405" s="690" t="s">
        <v>95</v>
      </c>
      <c r="D405" s="530"/>
      <c r="E405" s="530"/>
      <c r="F405" s="531"/>
      <c r="G405" s="532" t="s">
        <v>442</v>
      </c>
      <c r="H405" s="532"/>
      <c r="I405" s="691" t="s">
        <v>100</v>
      </c>
    </row>
    <row r="406" spans="3:9" ht="20.100000000000001" customHeight="1">
      <c r="C406" s="431" t="s">
        <v>437</v>
      </c>
      <c r="D406" s="530"/>
      <c r="E406" s="530"/>
      <c r="F406" s="531"/>
      <c r="G406" s="532" t="s">
        <v>442</v>
      </c>
      <c r="H406" s="532"/>
      <c r="I406" s="691" t="s">
        <v>100</v>
      </c>
    </row>
    <row r="407" spans="3:9" ht="20.100000000000001" customHeight="1">
      <c r="C407" s="437" t="s">
        <v>443</v>
      </c>
      <c r="D407" s="530"/>
      <c r="E407" s="530"/>
      <c r="F407" s="531"/>
      <c r="G407" s="532" t="s">
        <v>444</v>
      </c>
      <c r="H407" s="532"/>
      <c r="I407" s="688" t="s">
        <v>100</v>
      </c>
    </row>
    <row r="408" spans="3:9" ht="20.100000000000001" customHeight="1">
      <c r="C408" s="437" t="s">
        <v>156</v>
      </c>
      <c r="D408" s="530"/>
      <c r="E408" s="530"/>
      <c r="F408" s="531"/>
      <c r="G408" s="532" t="s">
        <v>425</v>
      </c>
      <c r="H408" s="532"/>
      <c r="I408" s="688" t="s">
        <v>100</v>
      </c>
    </row>
    <row r="409" spans="3:9" ht="20.100000000000001" customHeight="1">
      <c r="C409" s="431" t="s">
        <v>445</v>
      </c>
      <c r="D409" s="530"/>
      <c r="E409" s="530"/>
      <c r="F409" s="531"/>
      <c r="G409" s="532" t="s">
        <v>446</v>
      </c>
      <c r="H409" s="532"/>
      <c r="I409" s="691" t="s">
        <v>100</v>
      </c>
    </row>
    <row r="410" spans="3:9" ht="20.100000000000001" customHeight="1">
      <c r="C410" s="431" t="s">
        <v>447</v>
      </c>
      <c r="D410" s="530"/>
      <c r="E410" s="530"/>
      <c r="F410" s="531"/>
      <c r="G410" s="532" t="s">
        <v>448</v>
      </c>
      <c r="H410" s="532"/>
      <c r="I410" s="691" t="s">
        <v>100</v>
      </c>
    </row>
    <row r="411" spans="3:9" ht="20.100000000000001" customHeight="1">
      <c r="C411" s="437" t="s">
        <v>246</v>
      </c>
      <c r="D411" s="530"/>
      <c r="E411" s="530"/>
      <c r="F411" s="531"/>
      <c r="G411" s="532" t="s">
        <v>426</v>
      </c>
      <c r="H411" s="532"/>
      <c r="I411" s="688" t="s">
        <v>100</v>
      </c>
    </row>
    <row r="412" spans="3:9" ht="20.100000000000001" customHeight="1">
      <c r="C412" s="431" t="s">
        <v>449</v>
      </c>
      <c r="D412" s="530"/>
      <c r="E412" s="530"/>
      <c r="F412" s="531"/>
      <c r="G412" s="532" t="s">
        <v>450</v>
      </c>
      <c r="H412" s="532"/>
      <c r="I412" s="691" t="s">
        <v>100</v>
      </c>
    </row>
    <row r="413" spans="3:9" ht="20.100000000000001" customHeight="1">
      <c r="C413" s="431" t="s">
        <v>451</v>
      </c>
      <c r="D413" s="530"/>
      <c r="E413" s="530"/>
      <c r="F413" s="531"/>
      <c r="G413" s="532" t="s">
        <v>452</v>
      </c>
      <c r="H413" s="532"/>
      <c r="I413" s="691" t="s">
        <v>100</v>
      </c>
    </row>
    <row r="414" spans="3:9" ht="20.100000000000001" customHeight="1">
      <c r="C414" s="431" t="s">
        <v>453</v>
      </c>
      <c r="D414" s="530"/>
      <c r="E414" s="530"/>
      <c r="F414" s="531"/>
      <c r="G414" s="532" t="s">
        <v>454</v>
      </c>
      <c r="H414" s="532"/>
      <c r="I414" s="691" t="s">
        <v>100</v>
      </c>
    </row>
    <row r="415" spans="3:9" ht="20.100000000000001" customHeight="1">
      <c r="C415" s="425" t="s">
        <v>305</v>
      </c>
      <c r="D415" s="530"/>
      <c r="E415" s="530"/>
      <c r="F415" s="531"/>
      <c r="G415" s="532" t="s">
        <v>427</v>
      </c>
      <c r="H415" s="532"/>
      <c r="I415" s="447" t="s">
        <v>100</v>
      </c>
    </row>
    <row r="416" spans="3:9" ht="20.100000000000001" customHeight="1">
      <c r="C416" s="437" t="s">
        <v>307</v>
      </c>
      <c r="D416" s="530"/>
      <c r="E416" s="530"/>
      <c r="F416" s="531"/>
      <c r="G416" s="532" t="s">
        <v>427</v>
      </c>
      <c r="H416" s="532"/>
      <c r="I416" s="688" t="s">
        <v>100</v>
      </c>
    </row>
    <row r="417" spans="2:9" ht="20.100000000000001" customHeight="1">
      <c r="C417" s="431" t="s">
        <v>455</v>
      </c>
      <c r="D417" s="530"/>
      <c r="E417" s="530"/>
      <c r="F417" s="531"/>
      <c r="G417" s="532" t="s">
        <v>456</v>
      </c>
      <c r="H417" s="532"/>
      <c r="I417" s="691" t="s">
        <v>100</v>
      </c>
    </row>
    <row r="418" spans="2:9" ht="20.100000000000001" customHeight="1">
      <c r="C418" s="431" t="s">
        <v>453</v>
      </c>
      <c r="D418" s="530"/>
      <c r="E418" s="530"/>
      <c r="F418" s="531"/>
      <c r="G418" s="532" t="s">
        <v>457</v>
      </c>
      <c r="H418" s="532"/>
      <c r="I418" s="691" t="s">
        <v>100</v>
      </c>
    </row>
    <row r="419" spans="2:9" ht="20.100000000000001" customHeight="1">
      <c r="C419" s="431" t="s">
        <v>458</v>
      </c>
      <c r="D419" s="530"/>
      <c r="E419" s="530"/>
      <c r="F419" s="531"/>
      <c r="G419" s="532" t="s">
        <v>459</v>
      </c>
      <c r="H419" s="532"/>
      <c r="I419" s="691" t="s">
        <v>100</v>
      </c>
    </row>
    <row r="420" spans="2:9" ht="20.100000000000001" customHeight="1">
      <c r="C420" s="425" t="s">
        <v>460</v>
      </c>
      <c r="D420" s="530"/>
      <c r="E420" s="530"/>
      <c r="F420" s="531"/>
      <c r="G420" s="532" t="s">
        <v>430</v>
      </c>
      <c r="H420" s="532"/>
      <c r="I420" s="447" t="s">
        <v>100</v>
      </c>
    </row>
    <row r="421" spans="2:9" ht="20.100000000000001" customHeight="1">
      <c r="C421" s="431" t="s">
        <v>461</v>
      </c>
      <c r="D421" s="530"/>
      <c r="E421" s="530"/>
      <c r="F421" s="531"/>
      <c r="G421" s="532" t="s">
        <v>430</v>
      </c>
      <c r="H421" s="532"/>
      <c r="I421" s="691" t="s">
        <v>100</v>
      </c>
    </row>
    <row r="422" spans="2:9" ht="20.100000000000001" customHeight="1">
      <c r="B422" s="414" t="s">
        <v>229</v>
      </c>
      <c r="C422" s="429" t="s">
        <v>54</v>
      </c>
      <c r="D422" s="530"/>
      <c r="E422" s="530"/>
      <c r="F422" s="531"/>
      <c r="G422" s="532" t="s">
        <v>462</v>
      </c>
      <c r="H422" s="532"/>
      <c r="I422" s="447" t="s">
        <v>100</v>
      </c>
    </row>
    <row r="423" spans="2:9" ht="20.100000000000001" customHeight="1">
      <c r="C423" s="425" t="s">
        <v>104</v>
      </c>
      <c r="D423" s="530"/>
      <c r="E423" s="530"/>
      <c r="F423" s="531"/>
      <c r="G423" s="532" t="s">
        <v>463</v>
      </c>
      <c r="H423" s="532"/>
      <c r="I423" s="447" t="s">
        <v>100</v>
      </c>
    </row>
    <row r="424" spans="2:9" ht="20.100000000000001" customHeight="1">
      <c r="C424" s="437" t="s">
        <v>434</v>
      </c>
      <c r="D424" s="530"/>
      <c r="E424" s="530"/>
      <c r="F424" s="531"/>
      <c r="G424" s="532" t="s">
        <v>463</v>
      </c>
      <c r="H424" s="532"/>
      <c r="I424" s="688" t="s">
        <v>100</v>
      </c>
    </row>
    <row r="425" spans="2:9" ht="20.100000000000001" customHeight="1">
      <c r="C425" s="431" t="s">
        <v>399</v>
      </c>
      <c r="D425" s="530"/>
      <c r="E425" s="530"/>
      <c r="F425" s="531"/>
      <c r="G425" s="532" t="s">
        <v>464</v>
      </c>
      <c r="H425" s="532"/>
      <c r="I425" s="691" t="s">
        <v>100</v>
      </c>
    </row>
    <row r="426" spans="2:9" ht="20.100000000000001" customHeight="1">
      <c r="C426" s="431" t="s">
        <v>465</v>
      </c>
      <c r="D426" s="530"/>
      <c r="E426" s="530"/>
      <c r="F426" s="531"/>
      <c r="G426" s="532" t="s">
        <v>466</v>
      </c>
      <c r="H426" s="532"/>
      <c r="I426" s="691" t="s">
        <v>100</v>
      </c>
    </row>
    <row r="427" spans="2:9" ht="20.100000000000001" customHeight="1">
      <c r="C427" s="431" t="s">
        <v>467</v>
      </c>
      <c r="D427" s="530"/>
      <c r="E427" s="530"/>
      <c r="F427" s="531"/>
      <c r="G427" s="532">
        <v>0</v>
      </c>
      <c r="H427" s="532"/>
      <c r="I427" s="691" t="s">
        <v>100</v>
      </c>
    </row>
    <row r="428" spans="2:9" ht="20.100000000000001" customHeight="1">
      <c r="C428" s="431" t="s">
        <v>60</v>
      </c>
      <c r="D428" s="530"/>
      <c r="E428" s="530"/>
      <c r="F428" s="531"/>
      <c r="G428" s="532" t="s">
        <v>468</v>
      </c>
      <c r="H428" s="532"/>
      <c r="I428" s="691" t="s">
        <v>100</v>
      </c>
    </row>
    <row r="429" spans="2:9" ht="20.100000000000001" customHeight="1">
      <c r="C429" s="690" t="s">
        <v>95</v>
      </c>
      <c r="D429" s="530"/>
      <c r="E429" s="530"/>
      <c r="F429" s="531"/>
      <c r="G429" s="532" t="s">
        <v>469</v>
      </c>
      <c r="H429" s="532"/>
      <c r="I429" s="691" t="s">
        <v>100</v>
      </c>
    </row>
    <row r="430" spans="2:9" ht="20.100000000000001" customHeight="1">
      <c r="C430" s="425" t="s">
        <v>111</v>
      </c>
      <c r="D430" s="530"/>
      <c r="E430" s="530"/>
      <c r="F430" s="531"/>
      <c r="G430" s="532" t="s">
        <v>428</v>
      </c>
      <c r="H430" s="532"/>
      <c r="I430" s="447" t="s">
        <v>100</v>
      </c>
    </row>
    <row r="431" spans="2:9" ht="20.100000000000001" customHeight="1">
      <c r="C431" s="431" t="s">
        <v>470</v>
      </c>
      <c r="D431" s="530"/>
      <c r="E431" s="530"/>
      <c r="F431" s="531"/>
      <c r="G431" s="532" t="s">
        <v>428</v>
      </c>
      <c r="H431" s="532"/>
      <c r="I431" s="691" t="s">
        <v>100</v>
      </c>
    </row>
    <row r="432" spans="2:9" ht="20.100000000000001" customHeight="1">
      <c r="C432" s="425" t="s">
        <v>64</v>
      </c>
      <c r="D432" s="530"/>
      <c r="E432" s="530"/>
      <c r="F432" s="531"/>
      <c r="G432" s="532" t="s">
        <v>471</v>
      </c>
      <c r="H432" s="532"/>
      <c r="I432" s="447" t="s">
        <v>100</v>
      </c>
    </row>
    <row r="433" spans="2:9" ht="20.100000000000001" customHeight="1">
      <c r="C433" s="437" t="s">
        <v>34</v>
      </c>
      <c r="D433" s="530"/>
      <c r="E433" s="530"/>
      <c r="F433" s="531"/>
      <c r="G433" s="532" t="s">
        <v>471</v>
      </c>
      <c r="H433" s="532"/>
      <c r="I433" s="688" t="s">
        <v>100</v>
      </c>
    </row>
    <row r="434" spans="2:9" ht="20.100000000000001" customHeight="1">
      <c r="C434" s="425" t="s">
        <v>72</v>
      </c>
      <c r="D434" s="530"/>
      <c r="E434" s="530"/>
      <c r="F434" s="531"/>
      <c r="G434" s="532" t="s">
        <v>472</v>
      </c>
      <c r="H434" s="532"/>
      <c r="I434" s="8" t="s">
        <v>100</v>
      </c>
    </row>
    <row r="435" spans="2:9" ht="20.100000000000001" customHeight="1">
      <c r="C435" s="437" t="s">
        <v>36</v>
      </c>
      <c r="D435" s="530"/>
      <c r="E435" s="530"/>
      <c r="F435" s="531"/>
      <c r="G435" s="532" t="s">
        <v>472</v>
      </c>
      <c r="H435" s="532"/>
      <c r="I435" s="688" t="s">
        <v>100</v>
      </c>
    </row>
    <row r="436" spans="2:9" ht="20.100000000000001" customHeight="1">
      <c r="C436" s="431" t="s">
        <v>362</v>
      </c>
      <c r="D436" s="530"/>
      <c r="E436" s="530"/>
      <c r="F436" s="531"/>
      <c r="G436" s="532" t="s">
        <v>472</v>
      </c>
      <c r="H436" s="532"/>
      <c r="I436" s="691" t="s">
        <v>100</v>
      </c>
    </row>
    <row r="437" spans="2:9" ht="20.100000000000001" customHeight="1">
      <c r="B437" s="594" t="s">
        <v>240</v>
      </c>
      <c r="C437" s="417" t="s">
        <v>473</v>
      </c>
      <c r="D437" s="530"/>
      <c r="E437" s="530"/>
      <c r="F437" s="531"/>
      <c r="G437" s="532" t="s">
        <v>474</v>
      </c>
      <c r="H437" s="532"/>
      <c r="I437" s="447" t="s">
        <v>100</v>
      </c>
    </row>
    <row r="438" spans="2:9" ht="20.100000000000001" customHeight="1">
      <c r="C438" s="425" t="s">
        <v>104</v>
      </c>
      <c r="D438" s="530"/>
      <c r="E438" s="530"/>
      <c r="F438" s="531"/>
      <c r="G438" s="532" t="s">
        <v>475</v>
      </c>
      <c r="H438" s="532"/>
      <c r="I438" s="447" t="s">
        <v>100</v>
      </c>
    </row>
    <row r="439" spans="2:9" ht="20.100000000000001" customHeight="1">
      <c r="C439" s="437" t="s">
        <v>190</v>
      </c>
      <c r="D439" s="530"/>
      <c r="E439" s="530"/>
      <c r="F439" s="531"/>
      <c r="G439" s="532" t="s">
        <v>476</v>
      </c>
      <c r="H439" s="532"/>
      <c r="I439" s="688" t="s">
        <v>100</v>
      </c>
    </row>
    <row r="440" spans="2:9" ht="20.100000000000001" customHeight="1">
      <c r="C440" s="437" t="s">
        <v>477</v>
      </c>
      <c r="D440" s="530"/>
      <c r="E440" s="530"/>
      <c r="F440" s="531"/>
      <c r="G440" s="532" t="s">
        <v>478</v>
      </c>
      <c r="H440" s="532"/>
      <c r="I440" s="688" t="s">
        <v>100</v>
      </c>
    </row>
    <row r="441" spans="2:9" ht="20.100000000000001" customHeight="1">
      <c r="C441" s="425" t="s">
        <v>305</v>
      </c>
      <c r="D441" s="530"/>
      <c r="E441" s="530"/>
      <c r="F441" s="531"/>
      <c r="G441" s="532" t="s">
        <v>479</v>
      </c>
      <c r="H441" s="532"/>
      <c r="I441" s="447" t="s">
        <v>100</v>
      </c>
    </row>
    <row r="442" spans="2:9" ht="20.100000000000001" customHeight="1">
      <c r="C442" s="437" t="s">
        <v>307</v>
      </c>
      <c r="D442" s="530"/>
      <c r="E442" s="530"/>
      <c r="F442" s="531"/>
      <c r="G442" s="532" t="s">
        <v>479</v>
      </c>
      <c r="H442" s="532"/>
      <c r="I442" s="688" t="s">
        <v>100</v>
      </c>
    </row>
    <row r="443" spans="2:9" ht="20.100000000000001" customHeight="1">
      <c r="B443" s="414" t="s">
        <v>249</v>
      </c>
      <c r="C443" s="429" t="s">
        <v>44</v>
      </c>
      <c r="D443" s="530"/>
      <c r="E443" s="530"/>
      <c r="F443" s="531"/>
      <c r="G443" s="532" t="s">
        <v>480</v>
      </c>
      <c r="H443" s="532"/>
      <c r="I443" s="447" t="s">
        <v>100</v>
      </c>
    </row>
    <row r="444" spans="2:9" ht="20.100000000000001" customHeight="1">
      <c r="C444" s="425" t="s">
        <v>104</v>
      </c>
      <c r="D444" s="530"/>
      <c r="E444" s="530"/>
      <c r="F444" s="531"/>
      <c r="G444" s="532" t="s">
        <v>475</v>
      </c>
      <c r="H444" s="532"/>
      <c r="I444" s="447" t="s">
        <v>100</v>
      </c>
    </row>
    <row r="445" spans="2:9" ht="20.100000000000001" customHeight="1">
      <c r="C445" s="437" t="s">
        <v>190</v>
      </c>
      <c r="D445" s="530"/>
      <c r="E445" s="530"/>
      <c r="F445" s="531"/>
      <c r="G445" s="532" t="s">
        <v>476</v>
      </c>
      <c r="H445" s="532"/>
      <c r="I445" s="688" t="s">
        <v>100</v>
      </c>
    </row>
    <row r="446" spans="2:9" ht="20.100000000000001" customHeight="1">
      <c r="C446" s="431" t="s">
        <v>92</v>
      </c>
      <c r="D446" s="530"/>
      <c r="E446" s="530"/>
      <c r="F446" s="531"/>
      <c r="G446" s="532" t="s">
        <v>481</v>
      </c>
      <c r="H446" s="532"/>
      <c r="I446" s="691" t="s">
        <v>100</v>
      </c>
    </row>
    <row r="447" spans="2:9" ht="20.100000000000001" customHeight="1">
      <c r="C447" s="431" t="s">
        <v>60</v>
      </c>
      <c r="D447" s="530"/>
      <c r="E447" s="530"/>
      <c r="F447" s="531"/>
      <c r="G447" s="532" t="s">
        <v>482</v>
      </c>
      <c r="H447" s="532"/>
      <c r="I447" s="691" t="s">
        <v>100</v>
      </c>
    </row>
    <row r="448" spans="2:9" ht="20.100000000000001" customHeight="1">
      <c r="C448" s="690" t="s">
        <v>95</v>
      </c>
      <c r="D448" s="530"/>
      <c r="E448" s="530"/>
      <c r="F448" s="531"/>
      <c r="G448" s="532" t="s">
        <v>483</v>
      </c>
      <c r="H448" s="532"/>
      <c r="I448" s="691" t="s">
        <v>100</v>
      </c>
    </row>
    <row r="449" spans="2:9" ht="20.100000000000001" customHeight="1">
      <c r="C449" s="437" t="s">
        <v>484</v>
      </c>
      <c r="D449" s="530"/>
      <c r="E449" s="530"/>
      <c r="F449" s="531"/>
      <c r="G449" s="532" t="s">
        <v>478</v>
      </c>
      <c r="H449" s="532"/>
      <c r="I449" s="688" t="s">
        <v>100</v>
      </c>
    </row>
    <row r="450" spans="2:9" ht="20.100000000000001" customHeight="1">
      <c r="C450" s="425" t="s">
        <v>305</v>
      </c>
      <c r="D450" s="530"/>
      <c r="E450" s="530"/>
      <c r="F450" s="531"/>
      <c r="G450" s="532" t="s">
        <v>485</v>
      </c>
      <c r="H450" s="532"/>
      <c r="I450" s="447" t="s">
        <v>100</v>
      </c>
    </row>
    <row r="451" spans="2:9" ht="20.100000000000001" customHeight="1">
      <c r="C451" s="437" t="s">
        <v>307</v>
      </c>
      <c r="D451" s="530"/>
      <c r="E451" s="530"/>
      <c r="F451" s="531"/>
      <c r="G451" s="532" t="s">
        <v>485</v>
      </c>
      <c r="H451" s="532"/>
      <c r="I451" s="688" t="s">
        <v>100</v>
      </c>
    </row>
    <row r="452" spans="2:9" ht="20.100000000000001" customHeight="1">
      <c r="B452" s="414" t="s">
        <v>252</v>
      </c>
      <c r="C452" s="429" t="s">
        <v>54</v>
      </c>
      <c r="D452" s="530"/>
      <c r="E452" s="530"/>
      <c r="F452" s="531"/>
      <c r="G452" s="532">
        <v>0</v>
      </c>
      <c r="H452" s="532"/>
      <c r="I452" s="447" t="s">
        <v>100</v>
      </c>
    </row>
    <row r="453" spans="2:9" ht="20.100000000000001" customHeight="1">
      <c r="C453" s="425" t="s">
        <v>305</v>
      </c>
      <c r="D453" s="530"/>
      <c r="E453" s="530"/>
      <c r="F453" s="531"/>
      <c r="G453" s="532" t="s">
        <v>486</v>
      </c>
      <c r="H453" s="532"/>
      <c r="I453" s="447" t="s">
        <v>100</v>
      </c>
    </row>
    <row r="454" spans="2:9" ht="20.100000000000001" customHeight="1">
      <c r="C454" s="437" t="s">
        <v>307</v>
      </c>
      <c r="D454" s="530"/>
      <c r="E454" s="530"/>
      <c r="F454" s="531"/>
      <c r="G454" s="532" t="s">
        <v>486</v>
      </c>
      <c r="H454" s="532"/>
      <c r="I454" s="688" t="s">
        <v>100</v>
      </c>
    </row>
    <row r="455" spans="2:9" ht="20.100000000000001" customHeight="1">
      <c r="B455" s="594" t="s">
        <v>487</v>
      </c>
      <c r="C455" s="417" t="s">
        <v>488</v>
      </c>
      <c r="D455" s="530"/>
      <c r="E455" s="530"/>
      <c r="F455" s="531"/>
      <c r="G455" s="532"/>
      <c r="H455" s="532"/>
      <c r="I455" s="447"/>
    </row>
    <row r="456" spans="2:9" ht="20.100000000000001" customHeight="1">
      <c r="C456" s="425" t="s">
        <v>104</v>
      </c>
      <c r="D456" s="530"/>
      <c r="E456" s="530"/>
      <c r="F456" s="531"/>
      <c r="G456" s="532" t="s">
        <v>489</v>
      </c>
      <c r="H456" s="532"/>
      <c r="I456" s="447" t="s">
        <v>100</v>
      </c>
    </row>
    <row r="457" spans="2:9" ht="20.100000000000001" customHeight="1">
      <c r="C457" s="437" t="s">
        <v>32</v>
      </c>
      <c r="D457" s="530"/>
      <c r="E457" s="530"/>
      <c r="F457" s="531"/>
      <c r="G457" s="532" t="s">
        <v>490</v>
      </c>
      <c r="H457" s="532"/>
      <c r="I457" s="688" t="s">
        <v>100</v>
      </c>
    </row>
    <row r="458" spans="2:9" ht="20.100000000000001" customHeight="1">
      <c r="C458" s="437" t="s">
        <v>34</v>
      </c>
      <c r="D458" s="530"/>
      <c r="E458" s="530"/>
      <c r="F458" s="531"/>
      <c r="G458" s="532" t="s">
        <v>491</v>
      </c>
      <c r="H458" s="532"/>
      <c r="I458" s="688" t="s">
        <v>100</v>
      </c>
    </row>
    <row r="459" spans="2:9" ht="20.100000000000001" customHeight="1">
      <c r="C459" s="437" t="s">
        <v>423</v>
      </c>
      <c r="D459" s="530"/>
      <c r="E459" s="530"/>
      <c r="F459" s="531"/>
      <c r="G459" s="532" t="s">
        <v>492</v>
      </c>
      <c r="H459" s="532"/>
      <c r="I459" s="688" t="s">
        <v>100</v>
      </c>
    </row>
    <row r="460" spans="2:9" ht="20.100000000000001" customHeight="1">
      <c r="C460" s="437" t="s">
        <v>244</v>
      </c>
      <c r="D460" s="530"/>
      <c r="E460" s="530"/>
      <c r="F460" s="531"/>
      <c r="G460" s="532" t="s">
        <v>493</v>
      </c>
      <c r="H460" s="532"/>
      <c r="I460" s="688" t="s">
        <v>100</v>
      </c>
    </row>
    <row r="461" spans="2:9" ht="20.100000000000001" customHeight="1">
      <c r="C461" s="437" t="s">
        <v>246</v>
      </c>
      <c r="D461" s="530"/>
      <c r="E461" s="530"/>
      <c r="F461" s="531"/>
      <c r="G461" s="532" t="s">
        <v>494</v>
      </c>
      <c r="H461" s="532"/>
      <c r="I461" s="688" t="s">
        <v>100</v>
      </c>
    </row>
    <row r="462" spans="2:9" ht="20.100000000000001" customHeight="1">
      <c r="C462" s="425" t="s">
        <v>136</v>
      </c>
      <c r="D462" s="530"/>
      <c r="E462" s="530"/>
      <c r="F462" s="531"/>
      <c r="G462" s="532" t="s">
        <v>495</v>
      </c>
      <c r="H462" s="532"/>
      <c r="I462" s="447" t="s">
        <v>117</v>
      </c>
    </row>
    <row r="463" spans="2:9" ht="20.100000000000001" customHeight="1">
      <c r="C463" s="425" t="s">
        <v>48</v>
      </c>
      <c r="D463" s="530"/>
      <c r="E463" s="530"/>
      <c r="F463" s="531"/>
      <c r="G463" s="532" t="s">
        <v>496</v>
      </c>
      <c r="H463" s="532"/>
      <c r="I463" s="447" t="s">
        <v>100</v>
      </c>
    </row>
    <row r="464" spans="2:9" ht="20.100000000000001" customHeight="1">
      <c r="C464" s="437" t="s">
        <v>497</v>
      </c>
      <c r="D464" s="530"/>
      <c r="E464" s="530"/>
      <c r="F464" s="531"/>
      <c r="G464" s="532" t="s">
        <v>498</v>
      </c>
      <c r="H464" s="532"/>
      <c r="I464" s="688" t="s">
        <v>100</v>
      </c>
    </row>
    <row r="465" spans="2:9" ht="20.100000000000001" customHeight="1">
      <c r="C465" s="425" t="s">
        <v>111</v>
      </c>
      <c r="D465" s="530"/>
      <c r="E465" s="530"/>
      <c r="F465" s="531"/>
      <c r="G465" s="532" t="s">
        <v>499</v>
      </c>
      <c r="H465" s="532"/>
      <c r="I465" s="447" t="s">
        <v>100</v>
      </c>
    </row>
    <row r="466" spans="2:9" ht="20.100000000000001" customHeight="1">
      <c r="C466" s="425" t="s">
        <v>113</v>
      </c>
      <c r="D466" s="530"/>
      <c r="E466" s="530"/>
      <c r="F466" s="531"/>
      <c r="G466" s="532" t="s">
        <v>500</v>
      </c>
      <c r="H466" s="532"/>
      <c r="I466" s="447" t="s">
        <v>117</v>
      </c>
    </row>
    <row r="467" spans="2:9" ht="20.100000000000001" customHeight="1">
      <c r="C467" s="425" t="s">
        <v>115</v>
      </c>
      <c r="D467" s="530"/>
      <c r="E467" s="530"/>
      <c r="F467" s="531"/>
      <c r="G467" s="532" t="s">
        <v>501</v>
      </c>
      <c r="H467" s="532"/>
      <c r="I467" s="447" t="s">
        <v>117</v>
      </c>
    </row>
    <row r="468" spans="2:9" ht="20.100000000000001" customHeight="1">
      <c r="C468" s="425" t="s">
        <v>118</v>
      </c>
      <c r="D468" s="530"/>
      <c r="E468" s="530"/>
      <c r="F468" s="531"/>
      <c r="G468" s="532" t="s">
        <v>502</v>
      </c>
      <c r="H468" s="532"/>
      <c r="I468" s="447" t="s">
        <v>117</v>
      </c>
    </row>
    <row r="469" spans="2:9" ht="20.100000000000001" customHeight="1">
      <c r="C469" s="425" t="s">
        <v>120</v>
      </c>
      <c r="D469" s="530"/>
      <c r="E469" s="530"/>
      <c r="F469" s="531"/>
      <c r="G469" s="532" t="s">
        <v>503</v>
      </c>
      <c r="H469" s="532"/>
      <c r="I469" s="447" t="s">
        <v>117</v>
      </c>
    </row>
    <row r="470" spans="2:9" ht="20.100000000000001" customHeight="1">
      <c r="C470" s="425" t="s">
        <v>41</v>
      </c>
      <c r="D470" s="530"/>
      <c r="E470" s="530"/>
      <c r="F470" s="531"/>
      <c r="G470" s="532" t="s">
        <v>504</v>
      </c>
      <c r="H470" s="532"/>
      <c r="I470" s="447" t="s">
        <v>117</v>
      </c>
    </row>
    <row r="471" spans="2:9" ht="20.100000000000001" customHeight="1">
      <c r="C471" s="437" t="s">
        <v>42</v>
      </c>
      <c r="D471" s="530"/>
      <c r="E471" s="530"/>
      <c r="F471" s="531"/>
      <c r="G471" s="532" t="s">
        <v>504</v>
      </c>
      <c r="H471" s="532"/>
      <c r="I471" s="688" t="s">
        <v>117</v>
      </c>
    </row>
    <row r="472" spans="2:9" ht="20.100000000000001" customHeight="1">
      <c r="C472" s="425" t="s">
        <v>505</v>
      </c>
      <c r="D472" s="530"/>
      <c r="E472" s="530"/>
      <c r="F472" s="531"/>
      <c r="G472" s="532">
        <v>0</v>
      </c>
      <c r="H472" s="532"/>
      <c r="I472" s="447" t="s">
        <v>117</v>
      </c>
    </row>
    <row r="473" spans="2:9" ht="20.100000000000001" customHeight="1">
      <c r="C473" s="425" t="s">
        <v>506</v>
      </c>
      <c r="D473" s="530"/>
      <c r="E473" s="530"/>
      <c r="F473" s="531"/>
      <c r="G473" s="532">
        <v>0</v>
      </c>
      <c r="H473" s="532"/>
      <c r="I473" s="447" t="s">
        <v>117</v>
      </c>
    </row>
    <row r="474" spans="2:9" ht="20.100000000000001" customHeight="1">
      <c r="B474" s="414" t="s">
        <v>507</v>
      </c>
      <c r="C474" s="429" t="s">
        <v>44</v>
      </c>
      <c r="D474" s="530"/>
      <c r="E474" s="530"/>
      <c r="F474" s="531"/>
      <c r="G474" s="532" t="s">
        <v>508</v>
      </c>
      <c r="H474" s="532"/>
      <c r="I474" s="447" t="s">
        <v>100</v>
      </c>
    </row>
    <row r="475" spans="2:9" ht="20.100000000000001" customHeight="1">
      <c r="C475" s="425" t="s">
        <v>104</v>
      </c>
      <c r="D475" s="530"/>
      <c r="E475" s="530"/>
      <c r="F475" s="531"/>
      <c r="G475" s="532" t="s">
        <v>509</v>
      </c>
      <c r="H475" s="532"/>
      <c r="I475" s="447" t="s">
        <v>100</v>
      </c>
    </row>
    <row r="476" spans="2:9" ht="20.100000000000001" customHeight="1">
      <c r="C476" s="437" t="s">
        <v>32</v>
      </c>
      <c r="D476" s="530"/>
      <c r="E476" s="530"/>
      <c r="F476" s="531"/>
      <c r="G476" s="532" t="s">
        <v>490</v>
      </c>
      <c r="H476" s="532"/>
      <c r="I476" s="688" t="s">
        <v>100</v>
      </c>
    </row>
    <row r="477" spans="2:9" ht="20.100000000000001" customHeight="1">
      <c r="C477" s="437" t="s">
        <v>34</v>
      </c>
      <c r="D477" s="530"/>
      <c r="E477" s="530"/>
      <c r="F477" s="531"/>
      <c r="G477" s="532" t="s">
        <v>510</v>
      </c>
      <c r="H477" s="532"/>
      <c r="I477" s="688" t="s">
        <v>100</v>
      </c>
    </row>
    <row r="478" spans="2:9" ht="20.100000000000001" customHeight="1">
      <c r="C478" s="431" t="s">
        <v>92</v>
      </c>
      <c r="D478" s="530"/>
      <c r="E478" s="530"/>
      <c r="F478" s="531"/>
      <c r="G478" s="532" t="s">
        <v>511</v>
      </c>
      <c r="H478" s="532"/>
      <c r="I478" s="691" t="s">
        <v>100</v>
      </c>
    </row>
    <row r="479" spans="2:9" ht="20.100000000000001" customHeight="1">
      <c r="C479" s="431" t="s">
        <v>60</v>
      </c>
      <c r="D479" s="530"/>
      <c r="E479" s="530"/>
      <c r="F479" s="531"/>
      <c r="G479" s="532" t="s">
        <v>512</v>
      </c>
      <c r="H479" s="532"/>
      <c r="I479" s="691" t="s">
        <v>100</v>
      </c>
    </row>
    <row r="480" spans="2:9" ht="20.100000000000001" customHeight="1">
      <c r="C480" s="431" t="s">
        <v>95</v>
      </c>
      <c r="D480" s="530"/>
      <c r="E480" s="530"/>
      <c r="F480" s="531"/>
      <c r="G480" s="532" t="s">
        <v>513</v>
      </c>
      <c r="H480" s="532"/>
      <c r="I480" s="691" t="s">
        <v>100</v>
      </c>
    </row>
    <row r="481" spans="3:9" ht="20.100000000000001" customHeight="1">
      <c r="C481" s="437" t="s">
        <v>36</v>
      </c>
      <c r="D481" s="530"/>
      <c r="E481" s="530"/>
      <c r="F481" s="531"/>
      <c r="G481" s="532" t="s">
        <v>514</v>
      </c>
      <c r="H481" s="532"/>
      <c r="I481" s="688" t="s">
        <v>100</v>
      </c>
    </row>
    <row r="482" spans="3:9" ht="20.100000000000001" customHeight="1">
      <c r="C482" s="431" t="s">
        <v>48</v>
      </c>
      <c r="D482" s="530"/>
      <c r="E482" s="530"/>
      <c r="F482" s="531"/>
      <c r="G482" s="532" t="s">
        <v>514</v>
      </c>
      <c r="H482" s="532"/>
      <c r="I482" s="691" t="s">
        <v>100</v>
      </c>
    </row>
    <row r="483" spans="3:9" ht="20.100000000000001" customHeight="1">
      <c r="C483" s="437" t="s">
        <v>244</v>
      </c>
      <c r="D483" s="530"/>
      <c r="E483" s="530"/>
      <c r="F483" s="531"/>
      <c r="G483" s="532" t="s">
        <v>493</v>
      </c>
      <c r="H483" s="532"/>
      <c r="I483" s="688" t="s">
        <v>100</v>
      </c>
    </row>
    <row r="484" spans="3:9" ht="20.100000000000001" customHeight="1">
      <c r="C484" s="431" t="s">
        <v>515</v>
      </c>
      <c r="D484" s="530"/>
      <c r="E484" s="530"/>
      <c r="F484" s="531"/>
      <c r="G484" s="532" t="s">
        <v>516</v>
      </c>
      <c r="H484" s="532"/>
      <c r="I484" s="691" t="s">
        <v>117</v>
      </c>
    </row>
    <row r="485" spans="3:9" ht="20.100000000000001" customHeight="1">
      <c r="C485" s="431" t="s">
        <v>517</v>
      </c>
      <c r="D485" s="530"/>
      <c r="E485" s="530"/>
      <c r="F485" s="531"/>
      <c r="G485" s="532" t="s">
        <v>518</v>
      </c>
      <c r="H485" s="532"/>
      <c r="I485" s="691" t="s">
        <v>117</v>
      </c>
    </row>
    <row r="486" spans="3:9" ht="20.100000000000001" customHeight="1">
      <c r="C486" s="431" t="s">
        <v>519</v>
      </c>
      <c r="D486" s="530"/>
      <c r="E486" s="530"/>
      <c r="F486" s="531"/>
      <c r="G486" s="532" t="s">
        <v>520</v>
      </c>
      <c r="H486" s="532"/>
      <c r="I486" s="691" t="s">
        <v>117</v>
      </c>
    </row>
    <row r="487" spans="3:9" ht="20.100000000000001" customHeight="1">
      <c r="C487" s="437" t="s">
        <v>246</v>
      </c>
      <c r="D487" s="530"/>
      <c r="E487" s="530"/>
      <c r="F487" s="531"/>
      <c r="G487" s="532" t="s">
        <v>494</v>
      </c>
      <c r="H487" s="532"/>
      <c r="I487" s="688" t="s">
        <v>100</v>
      </c>
    </row>
    <row r="488" spans="3:9" ht="20.100000000000001" customHeight="1">
      <c r="C488" s="425" t="s">
        <v>136</v>
      </c>
      <c r="D488" s="530"/>
      <c r="E488" s="530"/>
      <c r="F488" s="531"/>
      <c r="G488" s="532">
        <v>0</v>
      </c>
      <c r="H488" s="532"/>
      <c r="I488" s="447" t="s">
        <v>117</v>
      </c>
    </row>
    <row r="489" spans="3:9" ht="20.100000000000001" customHeight="1">
      <c r="C489" s="431" t="s">
        <v>521</v>
      </c>
      <c r="D489" s="530"/>
      <c r="E489" s="530"/>
      <c r="F489" s="531"/>
      <c r="G489" s="532">
        <v>0</v>
      </c>
      <c r="H489" s="532"/>
      <c r="I489" s="691" t="s">
        <v>100</v>
      </c>
    </row>
    <row r="490" spans="3:9" ht="20.100000000000001" customHeight="1">
      <c r="C490" s="425" t="s">
        <v>113</v>
      </c>
      <c r="D490" s="530"/>
      <c r="E490" s="530"/>
      <c r="F490" s="531"/>
      <c r="G490" s="532" t="s">
        <v>500</v>
      </c>
      <c r="H490" s="532"/>
      <c r="I490" s="447" t="s">
        <v>117</v>
      </c>
    </row>
    <row r="491" spans="3:9" ht="20.100000000000001" customHeight="1">
      <c r="C491" s="431" t="s">
        <v>142</v>
      </c>
      <c r="D491" s="530"/>
      <c r="E491" s="530"/>
      <c r="F491" s="531"/>
      <c r="G491" s="532" t="s">
        <v>522</v>
      </c>
      <c r="H491" s="532"/>
      <c r="I491" s="691" t="s">
        <v>100</v>
      </c>
    </row>
    <row r="492" spans="3:9" ht="20.100000000000001" customHeight="1">
      <c r="C492" s="431" t="s">
        <v>144</v>
      </c>
      <c r="D492" s="530"/>
      <c r="E492" s="530"/>
      <c r="F492" s="531"/>
      <c r="G492" s="532">
        <v>0</v>
      </c>
      <c r="H492" s="532"/>
      <c r="I492" s="691" t="s">
        <v>100</v>
      </c>
    </row>
    <row r="493" spans="3:9" ht="20.100000000000001" customHeight="1">
      <c r="C493" s="425" t="s">
        <v>115</v>
      </c>
      <c r="D493" s="530"/>
      <c r="E493" s="530"/>
      <c r="F493" s="531"/>
      <c r="G493" s="532" t="s">
        <v>501</v>
      </c>
      <c r="H493" s="532"/>
      <c r="I493" s="447" t="s">
        <v>117</v>
      </c>
    </row>
    <row r="494" spans="3:9" ht="20.100000000000001" customHeight="1">
      <c r="C494" s="431" t="s">
        <v>523</v>
      </c>
      <c r="D494" s="530"/>
      <c r="E494" s="530"/>
      <c r="F494" s="531"/>
      <c r="G494" s="532" t="s">
        <v>501</v>
      </c>
      <c r="H494" s="532"/>
      <c r="I494" s="691" t="s">
        <v>100</v>
      </c>
    </row>
    <row r="495" spans="3:9" ht="20.100000000000001" customHeight="1">
      <c r="C495" s="425" t="s">
        <v>118</v>
      </c>
      <c r="D495" s="530"/>
      <c r="E495" s="530"/>
      <c r="F495" s="531"/>
      <c r="G495" s="532" t="s">
        <v>524</v>
      </c>
      <c r="H495" s="532"/>
      <c r="I495" s="447" t="s">
        <v>117</v>
      </c>
    </row>
    <row r="496" spans="3:9" ht="20.100000000000001" customHeight="1">
      <c r="C496" s="431" t="s">
        <v>525</v>
      </c>
      <c r="D496" s="530"/>
      <c r="E496" s="530"/>
      <c r="F496" s="531"/>
      <c r="G496" s="532" t="s">
        <v>526</v>
      </c>
      <c r="H496" s="532"/>
      <c r="I496" s="691" t="s">
        <v>100</v>
      </c>
    </row>
    <row r="497" spans="2:9" ht="20.100000000000001" customHeight="1">
      <c r="C497" s="431" t="s">
        <v>527</v>
      </c>
      <c r="D497" s="530"/>
      <c r="E497" s="530"/>
      <c r="F497" s="531"/>
      <c r="G497" s="532" t="s">
        <v>528</v>
      </c>
      <c r="H497" s="532"/>
      <c r="I497" s="691" t="s">
        <v>100</v>
      </c>
    </row>
    <row r="498" spans="2:9" ht="20.100000000000001" customHeight="1">
      <c r="C498" s="431" t="s">
        <v>529</v>
      </c>
      <c r="D498" s="530"/>
      <c r="E498" s="530"/>
      <c r="F498" s="531"/>
      <c r="G498" s="532" t="s">
        <v>530</v>
      </c>
      <c r="H498" s="532"/>
      <c r="I498" s="691" t="s">
        <v>100</v>
      </c>
    </row>
    <row r="499" spans="2:9" ht="20.100000000000001" customHeight="1">
      <c r="C499" s="425" t="s">
        <v>41</v>
      </c>
      <c r="D499" s="530"/>
      <c r="E499" s="530"/>
      <c r="F499" s="531"/>
      <c r="G499" s="532" t="s">
        <v>504</v>
      </c>
      <c r="H499" s="532"/>
      <c r="I499" s="447" t="s">
        <v>117</v>
      </c>
    </row>
    <row r="500" spans="2:9" ht="20.100000000000001" customHeight="1">
      <c r="C500" s="437" t="s">
        <v>42</v>
      </c>
      <c r="D500" s="530"/>
      <c r="E500" s="530"/>
      <c r="F500" s="531"/>
      <c r="G500" s="532" t="s">
        <v>504</v>
      </c>
      <c r="H500" s="532"/>
      <c r="I500" s="688" t="s">
        <v>117</v>
      </c>
    </row>
    <row r="501" spans="2:9" ht="20.100000000000001" customHeight="1">
      <c r="C501" s="425" t="s">
        <v>505</v>
      </c>
      <c r="D501" s="530"/>
      <c r="E501" s="530"/>
      <c r="F501" s="531"/>
      <c r="G501" s="532">
        <v>0</v>
      </c>
      <c r="H501" s="532"/>
      <c r="I501" s="447" t="s">
        <v>100</v>
      </c>
    </row>
    <row r="502" spans="2:9" ht="20.100000000000001" customHeight="1">
      <c r="C502" s="425" t="s">
        <v>506</v>
      </c>
      <c r="D502" s="530"/>
      <c r="E502" s="530"/>
      <c r="F502" s="531"/>
      <c r="G502" s="532">
        <v>0</v>
      </c>
      <c r="H502" s="532"/>
      <c r="I502" s="447" t="s">
        <v>117</v>
      </c>
    </row>
    <row r="503" spans="2:9" ht="20.100000000000001" customHeight="1">
      <c r="B503" s="414" t="s">
        <v>531</v>
      </c>
      <c r="C503" s="429" t="s">
        <v>54</v>
      </c>
      <c r="D503" s="530"/>
      <c r="E503" s="530"/>
      <c r="F503" s="531"/>
      <c r="G503" s="532" t="s">
        <v>532</v>
      </c>
      <c r="H503" s="532"/>
      <c r="I503" s="447" t="s">
        <v>100</v>
      </c>
    </row>
    <row r="504" spans="2:9" ht="20.100000000000001" customHeight="1" outlineLevel="1">
      <c r="C504" s="418" t="s">
        <v>56</v>
      </c>
      <c r="D504" s="530"/>
      <c r="E504" s="530"/>
      <c r="F504" s="531"/>
      <c r="G504" s="532"/>
      <c r="H504" s="532"/>
      <c r="I504" s="447" t="s">
        <v>100</v>
      </c>
    </row>
    <row r="505" spans="2:9" ht="20.100000000000001" customHeight="1" outlineLevel="1">
      <c r="C505" s="420" t="s">
        <v>32</v>
      </c>
      <c r="D505" s="530"/>
      <c r="E505" s="530"/>
      <c r="F505" s="531"/>
      <c r="G505" s="532"/>
      <c r="H505" s="532"/>
      <c r="I505" s="688" t="s">
        <v>100</v>
      </c>
    </row>
    <row r="506" spans="2:9" ht="20.100000000000001" customHeight="1">
      <c r="C506" s="425" t="s">
        <v>104</v>
      </c>
      <c r="D506" s="530"/>
      <c r="E506" s="530"/>
      <c r="F506" s="531"/>
      <c r="G506" s="532" t="s">
        <v>533</v>
      </c>
      <c r="H506" s="532"/>
      <c r="I506" s="447" t="s">
        <v>100</v>
      </c>
    </row>
    <row r="507" spans="2:9" ht="20.100000000000001" customHeight="1">
      <c r="C507" s="437" t="s">
        <v>190</v>
      </c>
      <c r="D507" s="530"/>
      <c r="E507" s="530"/>
      <c r="F507" s="531"/>
      <c r="G507" s="532" t="s">
        <v>533</v>
      </c>
      <c r="H507" s="532"/>
      <c r="I507" s="688" t="s">
        <v>100</v>
      </c>
    </row>
    <row r="508" spans="2:9" ht="20.100000000000001" customHeight="1">
      <c r="C508" s="431" t="s">
        <v>92</v>
      </c>
      <c r="D508" s="530"/>
      <c r="E508" s="530"/>
      <c r="F508" s="531"/>
      <c r="G508" s="532" t="s">
        <v>534</v>
      </c>
      <c r="H508" s="532"/>
      <c r="I508" s="691" t="s">
        <v>100</v>
      </c>
    </row>
    <row r="509" spans="2:9" ht="20.100000000000001" customHeight="1">
      <c r="C509" s="431" t="s">
        <v>465</v>
      </c>
      <c r="D509" s="530"/>
      <c r="E509" s="530"/>
      <c r="F509" s="531"/>
      <c r="G509" s="532">
        <v>0</v>
      </c>
      <c r="H509" s="532"/>
      <c r="I509" s="691" t="s">
        <v>100</v>
      </c>
    </row>
    <row r="510" spans="2:9" ht="20.100000000000001" customHeight="1">
      <c r="C510" s="431" t="s">
        <v>467</v>
      </c>
      <c r="D510" s="530"/>
      <c r="E510" s="530"/>
      <c r="F510" s="531"/>
      <c r="G510" s="532" t="s">
        <v>535</v>
      </c>
      <c r="H510" s="532"/>
      <c r="I510" s="691" t="s">
        <v>100</v>
      </c>
    </row>
    <row r="511" spans="2:9" ht="20.100000000000001" customHeight="1">
      <c r="C511" s="431" t="s">
        <v>60</v>
      </c>
      <c r="D511" s="530"/>
      <c r="E511" s="530"/>
      <c r="F511" s="531"/>
      <c r="G511" s="532" t="s">
        <v>536</v>
      </c>
      <c r="H511" s="532"/>
      <c r="I511" s="691" t="s">
        <v>100</v>
      </c>
    </row>
    <row r="512" spans="2:9" ht="20.100000000000001" customHeight="1">
      <c r="C512" s="431" t="s">
        <v>95</v>
      </c>
      <c r="D512" s="530"/>
      <c r="E512" s="530"/>
      <c r="F512" s="531"/>
      <c r="G512" s="532" t="s">
        <v>537</v>
      </c>
      <c r="H512" s="532"/>
      <c r="I512" s="691" t="s">
        <v>100</v>
      </c>
    </row>
    <row r="513" spans="3:9" ht="20.100000000000001" customHeight="1">
      <c r="C513" s="425" t="s">
        <v>136</v>
      </c>
      <c r="D513" s="530"/>
      <c r="E513" s="530"/>
      <c r="F513" s="531"/>
      <c r="G513" s="532" t="s">
        <v>538</v>
      </c>
      <c r="H513" s="532"/>
      <c r="I513" s="447" t="s">
        <v>117</v>
      </c>
    </row>
    <row r="514" spans="3:9" ht="20.100000000000001" customHeight="1">
      <c r="C514" s="687" t="s">
        <v>539</v>
      </c>
      <c r="D514" s="530"/>
      <c r="E514" s="530"/>
      <c r="F514" s="531"/>
      <c r="G514" s="532" t="s">
        <v>540</v>
      </c>
      <c r="H514" s="532"/>
      <c r="I514" s="688" t="s">
        <v>100</v>
      </c>
    </row>
    <row r="515" spans="3:9" ht="20.100000000000001" customHeight="1">
      <c r="C515" s="464" t="s">
        <v>541</v>
      </c>
      <c r="D515" s="530"/>
      <c r="E515" s="530"/>
      <c r="F515" s="531"/>
      <c r="G515" s="532" t="s">
        <v>542</v>
      </c>
      <c r="H515" s="532"/>
      <c r="I515" s="691" t="s">
        <v>100</v>
      </c>
    </row>
    <row r="516" spans="3:9" ht="20.100000000000001" customHeight="1">
      <c r="C516" s="425" t="s">
        <v>48</v>
      </c>
      <c r="D516" s="530"/>
      <c r="E516" s="530"/>
      <c r="F516" s="531"/>
      <c r="G516" s="532" t="s">
        <v>496</v>
      </c>
      <c r="H516" s="532"/>
      <c r="I516" s="447" t="s">
        <v>100</v>
      </c>
    </row>
    <row r="517" spans="3:9" ht="20.100000000000001" customHeight="1">
      <c r="C517" s="431" t="s">
        <v>497</v>
      </c>
      <c r="D517" s="530"/>
      <c r="E517" s="530"/>
      <c r="F517" s="531"/>
      <c r="G517" s="532" t="s">
        <v>498</v>
      </c>
      <c r="H517" s="532"/>
      <c r="I517" s="691" t="s">
        <v>100</v>
      </c>
    </row>
    <row r="518" spans="3:9" ht="20.100000000000001" customHeight="1">
      <c r="C518" s="431" t="s">
        <v>543</v>
      </c>
      <c r="D518" s="530"/>
      <c r="E518" s="530"/>
      <c r="F518" s="531"/>
      <c r="G518" s="532" t="s">
        <v>544</v>
      </c>
      <c r="H518" s="532"/>
      <c r="I518" s="691" t="s">
        <v>100</v>
      </c>
    </row>
    <row r="519" spans="3:9" ht="20.100000000000001" customHeight="1">
      <c r="C519" s="425" t="s">
        <v>111</v>
      </c>
      <c r="D519" s="530"/>
      <c r="E519" s="530"/>
      <c r="F519" s="531"/>
      <c r="G519" s="532" t="s">
        <v>499</v>
      </c>
      <c r="H519" s="532"/>
      <c r="I519" s="447" t="s">
        <v>100</v>
      </c>
    </row>
    <row r="520" spans="3:9" ht="20.100000000000001" customHeight="1">
      <c r="C520" s="432" t="s">
        <v>545</v>
      </c>
      <c r="D520" s="530"/>
      <c r="E520" s="530"/>
      <c r="F520" s="531"/>
      <c r="G520" s="532" t="s">
        <v>546</v>
      </c>
      <c r="H520" s="532"/>
      <c r="I520" s="691" t="s">
        <v>100</v>
      </c>
    </row>
    <row r="521" spans="3:9" ht="20.100000000000001" customHeight="1">
      <c r="C521" s="431" t="s">
        <v>547</v>
      </c>
      <c r="D521" s="530"/>
      <c r="E521" s="530"/>
      <c r="F521" s="531"/>
      <c r="G521" s="532" t="s">
        <v>194</v>
      </c>
      <c r="H521" s="532"/>
      <c r="I521" s="691" t="s">
        <v>100</v>
      </c>
    </row>
    <row r="522" spans="3:9" ht="20.100000000000001" customHeight="1">
      <c r="C522" s="425" t="s">
        <v>64</v>
      </c>
      <c r="D522" s="530"/>
      <c r="E522" s="530"/>
      <c r="F522" s="531"/>
      <c r="G522" s="532" t="s">
        <v>548</v>
      </c>
      <c r="H522" s="532"/>
      <c r="I522" s="447" t="s">
        <v>100</v>
      </c>
    </row>
    <row r="523" spans="3:9" ht="20.100000000000001" customHeight="1">
      <c r="C523" s="437" t="s">
        <v>34</v>
      </c>
      <c r="D523" s="530"/>
      <c r="E523" s="530"/>
      <c r="F523" s="531"/>
      <c r="G523" s="532" t="s">
        <v>548</v>
      </c>
      <c r="H523" s="532"/>
      <c r="I523" s="688" t="s">
        <v>100</v>
      </c>
    </row>
    <row r="524" spans="3:9" ht="20.100000000000001" customHeight="1">
      <c r="C524" s="425" t="s">
        <v>118</v>
      </c>
      <c r="D524" s="530"/>
      <c r="E524" s="530"/>
      <c r="F524" s="531"/>
      <c r="G524" s="532" t="s">
        <v>549</v>
      </c>
      <c r="H524" s="532"/>
      <c r="I524" s="447" t="s">
        <v>117</v>
      </c>
    </row>
    <row r="525" spans="3:9" ht="20.100000000000001" customHeight="1">
      <c r="C525" s="433" t="s">
        <v>160</v>
      </c>
      <c r="D525" s="530"/>
      <c r="E525" s="530"/>
      <c r="F525" s="531"/>
      <c r="G525" s="532" t="s">
        <v>550</v>
      </c>
      <c r="H525" s="532"/>
      <c r="I525" s="691" t="s">
        <v>100</v>
      </c>
    </row>
    <row r="526" spans="3:9" ht="20.100000000000001" customHeight="1">
      <c r="C526" s="431" t="s">
        <v>551</v>
      </c>
      <c r="D526" s="530"/>
      <c r="E526" s="530"/>
      <c r="F526" s="531"/>
      <c r="G526" s="532" t="s">
        <v>217</v>
      </c>
      <c r="H526" s="532"/>
      <c r="I526" s="691" t="s">
        <v>100</v>
      </c>
    </row>
    <row r="527" spans="3:9" ht="20.100000000000001" customHeight="1">
      <c r="C527" s="431" t="s">
        <v>552</v>
      </c>
      <c r="D527" s="530"/>
      <c r="E527" s="530"/>
      <c r="F527" s="531"/>
      <c r="G527" s="532" t="s">
        <v>553</v>
      </c>
      <c r="H527" s="532"/>
      <c r="I527" s="691" t="s">
        <v>100</v>
      </c>
    </row>
    <row r="528" spans="3:9" ht="20.100000000000001" customHeight="1">
      <c r="C528" s="425" t="s">
        <v>120</v>
      </c>
      <c r="D528" s="530"/>
      <c r="E528" s="530"/>
      <c r="F528" s="531"/>
      <c r="G528" s="532" t="s">
        <v>503</v>
      </c>
      <c r="H528" s="532"/>
      <c r="I528" s="447" t="s">
        <v>117</v>
      </c>
    </row>
    <row r="529" spans="2:9" ht="20.100000000000001" customHeight="1">
      <c r="C529" s="430" t="s">
        <v>554</v>
      </c>
      <c r="D529" s="530"/>
      <c r="E529" s="530"/>
      <c r="F529" s="531"/>
      <c r="G529" s="532" t="s">
        <v>555</v>
      </c>
      <c r="H529" s="532"/>
      <c r="I529" s="691" t="s">
        <v>100</v>
      </c>
    </row>
    <row r="530" spans="2:9" ht="20.100000000000001" customHeight="1">
      <c r="C530" s="430" t="s">
        <v>556</v>
      </c>
      <c r="D530" s="530"/>
      <c r="E530" s="530"/>
      <c r="F530" s="531"/>
      <c r="G530" s="532" t="s">
        <v>557</v>
      </c>
      <c r="H530" s="532"/>
      <c r="I530" s="691" t="s">
        <v>100</v>
      </c>
    </row>
    <row r="531" spans="2:9" ht="20.100000000000001" customHeight="1">
      <c r="C531" s="430" t="s">
        <v>161</v>
      </c>
      <c r="D531" s="530"/>
      <c r="E531" s="530"/>
      <c r="F531" s="531"/>
      <c r="G531" s="532" t="s">
        <v>558</v>
      </c>
      <c r="H531" s="532"/>
      <c r="I531" s="691" t="s">
        <v>100</v>
      </c>
    </row>
    <row r="532" spans="2:9" ht="20.100000000000001" customHeight="1">
      <c r="C532" s="430" t="s">
        <v>559</v>
      </c>
      <c r="D532" s="530"/>
      <c r="E532" s="530"/>
      <c r="F532" s="531"/>
      <c r="G532" s="532" t="s">
        <v>560</v>
      </c>
      <c r="H532" s="532"/>
      <c r="I532" s="691" t="s">
        <v>100</v>
      </c>
    </row>
    <row r="533" spans="2:9" ht="20.100000000000001" customHeight="1">
      <c r="C533" s="425" t="s">
        <v>72</v>
      </c>
      <c r="D533" s="530"/>
      <c r="E533" s="530"/>
      <c r="F533" s="531"/>
      <c r="G533" s="532" t="s">
        <v>561</v>
      </c>
      <c r="H533" s="532"/>
      <c r="I533" s="447" t="s">
        <v>100</v>
      </c>
    </row>
    <row r="534" spans="2:9" ht="20.100000000000001" customHeight="1">
      <c r="C534" s="437" t="s">
        <v>36</v>
      </c>
      <c r="D534" s="530"/>
      <c r="E534" s="530"/>
      <c r="F534" s="531"/>
      <c r="G534" s="532" t="s">
        <v>561</v>
      </c>
      <c r="H534" s="532"/>
      <c r="I534" s="688" t="s">
        <v>100</v>
      </c>
    </row>
    <row r="535" spans="2:9" ht="20.100000000000001" customHeight="1">
      <c r="C535" s="431" t="s">
        <v>362</v>
      </c>
      <c r="D535" s="530"/>
      <c r="E535" s="530"/>
      <c r="F535" s="531"/>
      <c r="G535" s="532" t="s">
        <v>561</v>
      </c>
      <c r="H535" s="532"/>
      <c r="I535" s="691" t="s">
        <v>100</v>
      </c>
    </row>
    <row r="536" spans="2:9" ht="20.100000000000001" customHeight="1">
      <c r="B536" s="594" t="s">
        <v>562</v>
      </c>
      <c r="C536" s="417" t="s">
        <v>563</v>
      </c>
      <c r="D536" s="530"/>
      <c r="E536" s="530"/>
      <c r="F536" s="531"/>
      <c r="G536" s="532"/>
      <c r="H536" s="532"/>
      <c r="I536" s="447"/>
    </row>
    <row r="537" spans="2:9" ht="20.100000000000001" customHeight="1">
      <c r="C537" s="425" t="s">
        <v>104</v>
      </c>
      <c r="D537" s="530"/>
      <c r="E537" s="530"/>
      <c r="F537" s="531"/>
      <c r="G537" s="532" t="s">
        <v>564</v>
      </c>
      <c r="H537" s="532"/>
      <c r="I537" s="447" t="s">
        <v>100</v>
      </c>
    </row>
    <row r="538" spans="2:9" ht="20.100000000000001" customHeight="1">
      <c r="C538" s="437" t="s">
        <v>32</v>
      </c>
      <c r="D538" s="530"/>
      <c r="E538" s="530"/>
      <c r="F538" s="531"/>
      <c r="G538" s="532" t="s">
        <v>565</v>
      </c>
      <c r="H538" s="532"/>
      <c r="I538" s="688" t="s">
        <v>100</v>
      </c>
    </row>
    <row r="539" spans="2:9" ht="20.100000000000001" customHeight="1">
      <c r="C539" s="437" t="s">
        <v>34</v>
      </c>
      <c r="D539" s="530"/>
      <c r="E539" s="530"/>
      <c r="F539" s="531"/>
      <c r="G539" s="532" t="s">
        <v>566</v>
      </c>
      <c r="H539" s="532"/>
      <c r="I539" s="688" t="s">
        <v>100</v>
      </c>
    </row>
    <row r="540" spans="2:9" ht="20.100000000000001" customHeight="1">
      <c r="C540" s="437" t="s">
        <v>36</v>
      </c>
      <c r="D540" s="530"/>
      <c r="E540" s="530"/>
      <c r="F540" s="531"/>
      <c r="G540" s="532" t="s">
        <v>492</v>
      </c>
      <c r="H540" s="532"/>
      <c r="I540" s="688" t="s">
        <v>100</v>
      </c>
    </row>
    <row r="541" spans="2:9" ht="20.100000000000001" customHeight="1">
      <c r="C541" s="437" t="s">
        <v>244</v>
      </c>
      <c r="D541" s="530"/>
      <c r="E541" s="530"/>
      <c r="F541" s="531"/>
      <c r="G541" s="532" t="s">
        <v>567</v>
      </c>
      <c r="H541" s="532"/>
      <c r="I541" s="688" t="s">
        <v>100</v>
      </c>
    </row>
    <row r="542" spans="2:9" ht="20.100000000000001" customHeight="1">
      <c r="C542" s="437" t="s">
        <v>246</v>
      </c>
      <c r="D542" s="530"/>
      <c r="E542" s="530"/>
      <c r="F542" s="531"/>
      <c r="G542" s="532" t="s">
        <v>568</v>
      </c>
      <c r="H542" s="532"/>
      <c r="I542" s="688" t="s">
        <v>100</v>
      </c>
    </row>
    <row r="543" spans="2:9" ht="20.100000000000001" customHeight="1">
      <c r="C543" s="425" t="s">
        <v>136</v>
      </c>
      <c r="D543" s="530"/>
      <c r="E543" s="530"/>
      <c r="F543" s="531"/>
      <c r="G543" s="532" t="s">
        <v>569</v>
      </c>
      <c r="H543" s="532"/>
      <c r="I543" s="447" t="s">
        <v>117</v>
      </c>
    </row>
    <row r="544" spans="2:9" ht="20.100000000000001" customHeight="1">
      <c r="C544" s="425" t="s">
        <v>48</v>
      </c>
      <c r="D544" s="530"/>
      <c r="E544" s="530"/>
      <c r="F544" s="531"/>
      <c r="G544" s="532" t="s">
        <v>570</v>
      </c>
      <c r="H544" s="532"/>
      <c r="I544" s="447" t="s">
        <v>100</v>
      </c>
    </row>
    <row r="545" spans="2:9" ht="20.100000000000001" customHeight="1">
      <c r="C545" s="431" t="s">
        <v>497</v>
      </c>
      <c r="D545" s="530"/>
      <c r="E545" s="530"/>
      <c r="F545" s="531"/>
      <c r="G545" s="532" t="s">
        <v>571</v>
      </c>
      <c r="H545" s="532"/>
      <c r="I545" s="691" t="s">
        <v>100</v>
      </c>
    </row>
    <row r="546" spans="2:9" ht="20.100000000000001" customHeight="1">
      <c r="C546" s="431" t="s">
        <v>543</v>
      </c>
      <c r="D546" s="530"/>
      <c r="E546" s="530"/>
      <c r="F546" s="531"/>
      <c r="G546" s="532" t="s">
        <v>572</v>
      </c>
      <c r="H546" s="532"/>
      <c r="I546" s="691" t="s">
        <v>100</v>
      </c>
    </row>
    <row r="547" spans="2:9" ht="20.100000000000001" customHeight="1">
      <c r="C547" s="425" t="s">
        <v>111</v>
      </c>
      <c r="D547" s="530"/>
      <c r="E547" s="530"/>
      <c r="F547" s="531"/>
      <c r="G547" s="532" t="s">
        <v>573</v>
      </c>
      <c r="H547" s="532"/>
      <c r="I547" s="447" t="s">
        <v>100</v>
      </c>
    </row>
    <row r="548" spans="2:9" ht="20.100000000000001" customHeight="1">
      <c r="C548" s="425" t="s">
        <v>113</v>
      </c>
      <c r="D548" s="530"/>
      <c r="E548" s="530"/>
      <c r="F548" s="531"/>
      <c r="G548" s="532" t="s">
        <v>574</v>
      </c>
      <c r="H548" s="532"/>
      <c r="I548" s="447" t="s">
        <v>117</v>
      </c>
    </row>
    <row r="549" spans="2:9" ht="20.100000000000001" customHeight="1">
      <c r="C549" s="425" t="s">
        <v>115</v>
      </c>
      <c r="D549" s="530"/>
      <c r="E549" s="530"/>
      <c r="F549" s="531"/>
      <c r="G549" s="532" t="s">
        <v>501</v>
      </c>
      <c r="H549" s="532"/>
      <c r="I549" s="447" t="s">
        <v>117</v>
      </c>
    </row>
    <row r="550" spans="2:9" ht="20.100000000000001" customHeight="1">
      <c r="C550" s="425" t="s">
        <v>118</v>
      </c>
      <c r="D550" s="530"/>
      <c r="E550" s="530"/>
      <c r="F550" s="531"/>
      <c r="G550" s="532" t="s">
        <v>575</v>
      </c>
      <c r="H550" s="532"/>
      <c r="I550" s="447" t="s">
        <v>117</v>
      </c>
    </row>
    <row r="551" spans="2:9" ht="20.100000000000001" customHeight="1">
      <c r="C551" s="425" t="s">
        <v>120</v>
      </c>
      <c r="D551" s="530"/>
      <c r="E551" s="530"/>
      <c r="F551" s="531"/>
      <c r="G551" s="532" t="s">
        <v>503</v>
      </c>
      <c r="H551" s="532"/>
      <c r="I551" s="447" t="s">
        <v>117</v>
      </c>
    </row>
    <row r="552" spans="2:9" ht="20.100000000000001" customHeight="1">
      <c r="C552" s="425" t="s">
        <v>41</v>
      </c>
      <c r="D552" s="530"/>
      <c r="E552" s="530"/>
      <c r="F552" s="531"/>
      <c r="G552" s="532" t="s">
        <v>504</v>
      </c>
      <c r="H552" s="532"/>
      <c r="I552" s="447" t="s">
        <v>117</v>
      </c>
    </row>
    <row r="553" spans="2:9" ht="20.100000000000001" customHeight="1">
      <c r="C553" s="437" t="s">
        <v>42</v>
      </c>
      <c r="D553" s="530"/>
      <c r="E553" s="530"/>
      <c r="F553" s="531"/>
      <c r="G553" s="532" t="s">
        <v>504</v>
      </c>
      <c r="H553" s="532"/>
      <c r="I553" s="688" t="s">
        <v>117</v>
      </c>
    </row>
    <row r="554" spans="2:9" ht="20.100000000000001" customHeight="1">
      <c r="C554" s="425" t="s">
        <v>505</v>
      </c>
      <c r="D554" s="530"/>
      <c r="E554" s="530"/>
      <c r="F554" s="531"/>
      <c r="G554" s="532">
        <v>0</v>
      </c>
      <c r="H554" s="532"/>
      <c r="I554" s="447" t="s">
        <v>117</v>
      </c>
    </row>
    <row r="555" spans="2:9" ht="20.100000000000001" customHeight="1">
      <c r="C555" s="425" t="s">
        <v>506</v>
      </c>
      <c r="D555" s="530"/>
      <c r="E555" s="530"/>
      <c r="F555" s="531"/>
      <c r="G555" s="532">
        <v>0</v>
      </c>
      <c r="H555" s="532"/>
      <c r="I555" s="447" t="s">
        <v>117</v>
      </c>
    </row>
    <row r="556" spans="2:9" ht="20.100000000000001" customHeight="1">
      <c r="B556" s="414" t="s">
        <v>576</v>
      </c>
      <c r="C556" s="429" t="s">
        <v>44</v>
      </c>
      <c r="D556" s="530"/>
      <c r="E556" s="530"/>
      <c r="F556" s="531"/>
      <c r="G556" s="532" t="s">
        <v>577</v>
      </c>
      <c r="H556" s="532"/>
      <c r="I556" s="447" t="s">
        <v>100</v>
      </c>
    </row>
    <row r="557" spans="2:9" ht="20.100000000000001" customHeight="1">
      <c r="C557" s="425" t="s">
        <v>104</v>
      </c>
      <c r="D557" s="530"/>
      <c r="E557" s="530"/>
      <c r="F557" s="531"/>
      <c r="G557" s="532" t="s">
        <v>578</v>
      </c>
      <c r="H557" s="532"/>
      <c r="I557" s="447" t="s">
        <v>100</v>
      </c>
    </row>
    <row r="558" spans="2:9" ht="20.100000000000001" customHeight="1">
      <c r="C558" s="437" t="s">
        <v>32</v>
      </c>
      <c r="D558" s="530"/>
      <c r="E558" s="530"/>
      <c r="F558" s="531"/>
      <c r="G558" s="532" t="s">
        <v>579</v>
      </c>
      <c r="H558" s="532"/>
      <c r="I558" s="688" t="s">
        <v>100</v>
      </c>
    </row>
    <row r="559" spans="2:9" ht="20.100000000000001" customHeight="1">
      <c r="C559" s="437" t="s">
        <v>580</v>
      </c>
      <c r="D559" s="530"/>
      <c r="E559" s="530"/>
      <c r="F559" s="531"/>
      <c r="G559" s="532" t="s">
        <v>581</v>
      </c>
      <c r="H559" s="532"/>
      <c r="I559" s="447" t="s">
        <v>100</v>
      </c>
    </row>
    <row r="560" spans="2:9" ht="20.100000000000001" customHeight="1">
      <c r="C560" s="437" t="s">
        <v>34</v>
      </c>
      <c r="D560" s="530"/>
      <c r="E560" s="530"/>
      <c r="F560" s="531"/>
      <c r="G560" s="532" t="s">
        <v>582</v>
      </c>
      <c r="H560" s="532"/>
      <c r="I560" s="688" t="s">
        <v>100</v>
      </c>
    </row>
    <row r="561" spans="3:9" ht="20.100000000000001" customHeight="1">
      <c r="C561" s="431" t="s">
        <v>92</v>
      </c>
      <c r="D561" s="530"/>
      <c r="E561" s="530"/>
      <c r="F561" s="531"/>
      <c r="G561" s="532" t="s">
        <v>583</v>
      </c>
      <c r="H561" s="532"/>
      <c r="I561" s="691" t="s">
        <v>100</v>
      </c>
    </row>
    <row r="562" spans="3:9" ht="20.100000000000001" customHeight="1">
      <c r="C562" s="431" t="s">
        <v>60</v>
      </c>
      <c r="D562" s="530"/>
      <c r="E562" s="530"/>
      <c r="F562" s="531"/>
      <c r="G562" s="532" t="s">
        <v>584</v>
      </c>
      <c r="H562" s="532"/>
      <c r="I562" s="691" t="s">
        <v>100</v>
      </c>
    </row>
    <row r="563" spans="3:9" ht="20.100000000000001" customHeight="1">
      <c r="C563" s="690" t="s">
        <v>95</v>
      </c>
      <c r="D563" s="530"/>
      <c r="E563" s="530"/>
      <c r="F563" s="531"/>
      <c r="G563" s="532" t="s">
        <v>585</v>
      </c>
      <c r="H563" s="532"/>
      <c r="I563" s="691" t="s">
        <v>100</v>
      </c>
    </row>
    <row r="564" spans="3:9" ht="20.100000000000001" customHeight="1">
      <c r="C564" s="437" t="s">
        <v>423</v>
      </c>
      <c r="D564" s="530"/>
      <c r="E564" s="530"/>
      <c r="F564" s="531"/>
      <c r="G564" s="532" t="s">
        <v>514</v>
      </c>
      <c r="H564" s="532"/>
      <c r="I564" s="688" t="s">
        <v>100</v>
      </c>
    </row>
    <row r="565" spans="3:9" ht="20.100000000000001" customHeight="1">
      <c r="C565" s="437" t="s">
        <v>244</v>
      </c>
      <c r="D565" s="530"/>
      <c r="E565" s="530"/>
      <c r="F565" s="531"/>
      <c r="G565" s="532" t="s">
        <v>567</v>
      </c>
      <c r="H565" s="532"/>
      <c r="I565" s="688" t="s">
        <v>100</v>
      </c>
    </row>
    <row r="566" spans="3:9" ht="20.100000000000001" customHeight="1">
      <c r="C566" s="431" t="s">
        <v>586</v>
      </c>
      <c r="D566" s="530"/>
      <c r="E566" s="530"/>
      <c r="F566" s="531"/>
      <c r="G566" s="532" t="s">
        <v>587</v>
      </c>
      <c r="H566" s="532"/>
      <c r="I566" s="691" t="s">
        <v>100</v>
      </c>
    </row>
    <row r="567" spans="3:9" ht="20.100000000000001" customHeight="1">
      <c r="C567" s="431" t="s">
        <v>517</v>
      </c>
      <c r="D567" s="530"/>
      <c r="E567" s="530"/>
      <c r="F567" s="531"/>
      <c r="G567" s="532" t="s">
        <v>588</v>
      </c>
      <c r="H567" s="532"/>
      <c r="I567" s="691" t="s">
        <v>100</v>
      </c>
    </row>
    <row r="568" spans="3:9" ht="20.100000000000001" customHeight="1">
      <c r="C568" s="437" t="s">
        <v>246</v>
      </c>
      <c r="D568" s="530"/>
      <c r="E568" s="530"/>
      <c r="F568" s="531"/>
      <c r="G568" s="532" t="s">
        <v>568</v>
      </c>
      <c r="H568" s="532"/>
      <c r="I568" s="688" t="s">
        <v>100</v>
      </c>
    </row>
    <row r="569" spans="3:9" ht="20.100000000000001" customHeight="1">
      <c r="C569" s="425" t="s">
        <v>136</v>
      </c>
      <c r="D569" s="530"/>
      <c r="E569" s="530"/>
      <c r="F569" s="531"/>
      <c r="G569" s="532">
        <v>0</v>
      </c>
      <c r="H569" s="532"/>
      <c r="I569" s="447" t="s">
        <v>117</v>
      </c>
    </row>
    <row r="570" spans="3:9" ht="20.100000000000001" customHeight="1">
      <c r="C570" s="437" t="s">
        <v>521</v>
      </c>
      <c r="D570" s="530"/>
      <c r="E570" s="530"/>
      <c r="F570" s="531"/>
      <c r="G570" s="532">
        <v>0</v>
      </c>
      <c r="H570" s="532"/>
      <c r="I570" s="688" t="s">
        <v>100</v>
      </c>
    </row>
    <row r="571" spans="3:9" ht="20.100000000000001" customHeight="1">
      <c r="C571" s="425" t="s">
        <v>113</v>
      </c>
      <c r="D571" s="530"/>
      <c r="E571" s="530"/>
      <c r="F571" s="531"/>
      <c r="G571" s="532" t="s">
        <v>574</v>
      </c>
      <c r="H571" s="532"/>
      <c r="I571" s="447" t="s">
        <v>117</v>
      </c>
    </row>
    <row r="572" spans="3:9" ht="20.100000000000001" customHeight="1">
      <c r="C572" s="431" t="s">
        <v>589</v>
      </c>
      <c r="D572" s="530"/>
      <c r="E572" s="530"/>
      <c r="F572" s="531"/>
      <c r="G572" s="532" t="s">
        <v>590</v>
      </c>
      <c r="H572" s="532"/>
      <c r="I572" s="447" t="s">
        <v>100</v>
      </c>
    </row>
    <row r="573" spans="3:9" ht="20.100000000000001" customHeight="1">
      <c r="C573" s="431" t="s">
        <v>591</v>
      </c>
      <c r="D573" s="530"/>
      <c r="E573" s="530"/>
      <c r="F573" s="531"/>
      <c r="G573" s="532" t="s">
        <v>592</v>
      </c>
      <c r="H573" s="532"/>
      <c r="I573" s="691" t="s">
        <v>100</v>
      </c>
    </row>
    <row r="574" spans="3:9" ht="20.100000000000001" customHeight="1">
      <c r="C574" s="431" t="s">
        <v>593</v>
      </c>
      <c r="D574" s="530"/>
      <c r="E574" s="530"/>
      <c r="F574" s="531"/>
      <c r="G574" s="532" t="s">
        <v>594</v>
      </c>
      <c r="H574" s="532"/>
      <c r="I574" s="691" t="s">
        <v>100</v>
      </c>
    </row>
    <row r="575" spans="3:9" ht="20.100000000000001" customHeight="1">
      <c r="C575" s="431" t="s">
        <v>595</v>
      </c>
      <c r="D575" s="530"/>
      <c r="E575" s="530"/>
      <c r="F575" s="531"/>
      <c r="G575" s="532" t="s">
        <v>596</v>
      </c>
      <c r="H575" s="532"/>
      <c r="I575" s="691" t="s">
        <v>100</v>
      </c>
    </row>
    <row r="576" spans="3:9" ht="20.100000000000001" customHeight="1">
      <c r="C576" s="425" t="s">
        <v>115</v>
      </c>
      <c r="D576" s="530"/>
      <c r="E576" s="530"/>
      <c r="F576" s="531"/>
      <c r="G576" s="532" t="s">
        <v>501</v>
      </c>
      <c r="H576" s="532"/>
      <c r="I576" s="447" t="s">
        <v>117</v>
      </c>
    </row>
    <row r="577" spans="2:9" ht="20.100000000000001" customHeight="1">
      <c r="C577" s="431" t="s">
        <v>523</v>
      </c>
      <c r="D577" s="530"/>
      <c r="E577" s="530"/>
      <c r="F577" s="531"/>
      <c r="G577" s="532" t="s">
        <v>501</v>
      </c>
      <c r="H577" s="532"/>
      <c r="I577" s="691" t="s">
        <v>100</v>
      </c>
    </row>
    <row r="578" spans="2:9" ht="20.100000000000001" customHeight="1">
      <c r="C578" s="425" t="s">
        <v>597</v>
      </c>
      <c r="D578" s="530"/>
      <c r="E578" s="530"/>
      <c r="F578" s="531"/>
      <c r="G578" s="532" t="s">
        <v>598</v>
      </c>
      <c r="H578" s="532"/>
      <c r="I578" s="447" t="s">
        <v>117</v>
      </c>
    </row>
    <row r="579" spans="2:9" ht="20.100000000000001" customHeight="1">
      <c r="C579" s="431" t="s">
        <v>547</v>
      </c>
      <c r="D579" s="530"/>
      <c r="E579" s="530"/>
      <c r="F579" s="531"/>
      <c r="G579" s="532" t="s">
        <v>598</v>
      </c>
      <c r="H579" s="532"/>
      <c r="I579" s="691" t="s">
        <v>100</v>
      </c>
    </row>
    <row r="580" spans="2:9" ht="20.100000000000001" customHeight="1">
      <c r="C580" s="425" t="s">
        <v>118</v>
      </c>
      <c r="D580" s="530"/>
      <c r="E580" s="530"/>
      <c r="F580" s="531"/>
      <c r="G580" s="532" t="s">
        <v>599</v>
      </c>
      <c r="H580" s="532"/>
      <c r="I580" s="447" t="s">
        <v>117</v>
      </c>
    </row>
    <row r="581" spans="2:9" ht="20.100000000000001" customHeight="1">
      <c r="C581" s="431" t="s">
        <v>600</v>
      </c>
      <c r="D581" s="530"/>
      <c r="E581" s="530"/>
      <c r="F581" s="531"/>
      <c r="G581" s="532" t="s">
        <v>599</v>
      </c>
      <c r="H581" s="532"/>
      <c r="I581" s="691" t="s">
        <v>100</v>
      </c>
    </row>
    <row r="582" spans="2:9" ht="20.100000000000001" customHeight="1">
      <c r="C582" s="425" t="s">
        <v>41</v>
      </c>
      <c r="D582" s="530"/>
      <c r="E582" s="530"/>
      <c r="F582" s="531"/>
      <c r="G582" s="532" t="s">
        <v>504</v>
      </c>
      <c r="H582" s="532"/>
      <c r="I582" s="447" t="s">
        <v>117</v>
      </c>
    </row>
    <row r="583" spans="2:9" ht="20.100000000000001" customHeight="1">
      <c r="C583" s="437" t="s">
        <v>42</v>
      </c>
      <c r="D583" s="530"/>
      <c r="E583" s="530"/>
      <c r="F583" s="531"/>
      <c r="G583" s="532" t="s">
        <v>504</v>
      </c>
      <c r="H583" s="532"/>
      <c r="I583" s="688" t="s">
        <v>117</v>
      </c>
    </row>
    <row r="584" spans="2:9" ht="20.100000000000001" customHeight="1">
      <c r="C584" s="425" t="s">
        <v>505</v>
      </c>
      <c r="D584" s="530"/>
      <c r="E584" s="530"/>
      <c r="F584" s="531"/>
      <c r="G584" s="532">
        <v>0</v>
      </c>
      <c r="H584" s="532"/>
      <c r="I584" s="447" t="s">
        <v>100</v>
      </c>
    </row>
    <row r="585" spans="2:9" ht="20.100000000000001" customHeight="1">
      <c r="C585" s="425" t="s">
        <v>506</v>
      </c>
      <c r="D585" s="530"/>
      <c r="E585" s="530"/>
      <c r="F585" s="531"/>
      <c r="G585" s="532">
        <v>0</v>
      </c>
      <c r="H585" s="532"/>
      <c r="I585" s="447" t="s">
        <v>117</v>
      </c>
    </row>
    <row r="586" spans="2:9" ht="20.100000000000001" customHeight="1">
      <c r="B586" s="414" t="s">
        <v>601</v>
      </c>
      <c r="C586" s="429" t="s">
        <v>54</v>
      </c>
      <c r="D586" s="530"/>
      <c r="E586" s="530"/>
      <c r="F586" s="531"/>
      <c r="G586" s="532" t="s">
        <v>602</v>
      </c>
      <c r="H586" s="532"/>
      <c r="I586" s="447" t="s">
        <v>100</v>
      </c>
    </row>
    <row r="587" spans="2:9" ht="20.100000000000001" customHeight="1">
      <c r="C587" s="425" t="s">
        <v>104</v>
      </c>
      <c r="D587" s="530"/>
      <c r="E587" s="530"/>
      <c r="F587" s="531"/>
      <c r="G587" s="532">
        <v>0</v>
      </c>
      <c r="H587" s="532"/>
      <c r="I587" s="447" t="s">
        <v>100</v>
      </c>
    </row>
    <row r="588" spans="2:9" ht="20.100000000000001" customHeight="1">
      <c r="C588" s="437" t="s">
        <v>32</v>
      </c>
      <c r="D588" s="530"/>
      <c r="E588" s="530"/>
      <c r="F588" s="531"/>
      <c r="G588" s="532">
        <v>0</v>
      </c>
      <c r="H588" s="532"/>
      <c r="I588" s="688" t="s">
        <v>100</v>
      </c>
    </row>
    <row r="589" spans="2:9" ht="20.100000000000001" customHeight="1">
      <c r="C589" s="425" t="s">
        <v>136</v>
      </c>
      <c r="D589" s="530"/>
      <c r="E589" s="530"/>
      <c r="F589" s="531"/>
      <c r="G589" s="532" t="s">
        <v>603</v>
      </c>
      <c r="H589" s="532"/>
      <c r="I589" s="447" t="s">
        <v>117</v>
      </c>
    </row>
    <row r="590" spans="2:9" ht="20.100000000000001" customHeight="1">
      <c r="C590" s="464" t="s">
        <v>541</v>
      </c>
      <c r="D590" s="530"/>
      <c r="E590" s="530"/>
      <c r="F590" s="531"/>
      <c r="G590" s="532" t="s">
        <v>542</v>
      </c>
      <c r="H590" s="532"/>
      <c r="I590" s="691" t="s">
        <v>100</v>
      </c>
    </row>
    <row r="591" spans="2:9" ht="20.100000000000001" customHeight="1">
      <c r="C591" s="425" t="s">
        <v>48</v>
      </c>
      <c r="D591" s="530"/>
      <c r="E591" s="530"/>
      <c r="F591" s="531"/>
      <c r="G591" s="532" t="s">
        <v>570</v>
      </c>
      <c r="H591" s="532"/>
      <c r="I591" s="447" t="s">
        <v>100</v>
      </c>
    </row>
    <row r="592" spans="2:9" ht="20.100000000000001" customHeight="1">
      <c r="C592" s="431" t="s">
        <v>497</v>
      </c>
      <c r="D592" s="530"/>
      <c r="E592" s="530"/>
      <c r="F592" s="531"/>
      <c r="G592" s="532" t="s">
        <v>571</v>
      </c>
      <c r="H592" s="532"/>
      <c r="I592" s="691" t="s">
        <v>100</v>
      </c>
    </row>
    <row r="593" spans="3:9" ht="20.100000000000001" customHeight="1">
      <c r="C593" s="431" t="s">
        <v>543</v>
      </c>
      <c r="D593" s="530"/>
      <c r="E593" s="530"/>
      <c r="F593" s="531"/>
      <c r="G593" s="532" t="s">
        <v>572</v>
      </c>
      <c r="H593" s="532"/>
      <c r="I593" s="691" t="s">
        <v>100</v>
      </c>
    </row>
    <row r="594" spans="3:9" ht="20.100000000000001" customHeight="1">
      <c r="C594" s="425" t="s">
        <v>111</v>
      </c>
      <c r="D594" s="530"/>
      <c r="E594" s="530"/>
      <c r="F594" s="531"/>
      <c r="G594" s="532" t="s">
        <v>604</v>
      </c>
      <c r="H594" s="532"/>
      <c r="I594" s="447" t="s">
        <v>100</v>
      </c>
    </row>
    <row r="595" spans="3:9" ht="20.100000000000001" customHeight="1">
      <c r="C595" s="432" t="s">
        <v>545</v>
      </c>
      <c r="D595" s="530"/>
      <c r="E595" s="530"/>
      <c r="F595" s="531"/>
      <c r="G595" s="532" t="s">
        <v>605</v>
      </c>
      <c r="H595" s="532"/>
      <c r="I595" s="691" t="s">
        <v>100</v>
      </c>
    </row>
    <row r="596" spans="3:9" ht="20.100000000000001" customHeight="1">
      <c r="C596" s="431" t="s">
        <v>547</v>
      </c>
      <c r="D596" s="530"/>
      <c r="E596" s="530"/>
      <c r="F596" s="531"/>
      <c r="G596" s="532" t="s">
        <v>194</v>
      </c>
      <c r="H596" s="532"/>
      <c r="I596" s="691" t="s">
        <v>100</v>
      </c>
    </row>
    <row r="597" spans="3:9" ht="20.100000000000001" customHeight="1">
      <c r="C597" s="425" t="s">
        <v>64</v>
      </c>
      <c r="D597" s="530"/>
      <c r="E597" s="530"/>
      <c r="F597" s="531"/>
      <c r="G597" s="532" t="s">
        <v>548</v>
      </c>
      <c r="H597" s="532"/>
      <c r="I597" s="447" t="s">
        <v>100</v>
      </c>
    </row>
    <row r="598" spans="3:9" ht="20.100000000000001" customHeight="1">
      <c r="C598" s="437" t="s">
        <v>34</v>
      </c>
      <c r="D598" s="530"/>
      <c r="E598" s="530"/>
      <c r="F598" s="531"/>
      <c r="G598" s="532" t="s">
        <v>548</v>
      </c>
      <c r="H598" s="532"/>
      <c r="I598" s="688" t="s">
        <v>100</v>
      </c>
    </row>
    <row r="599" spans="3:9" ht="20.100000000000001" customHeight="1">
      <c r="C599" s="425" t="s">
        <v>120</v>
      </c>
      <c r="D599" s="530"/>
      <c r="E599" s="530"/>
      <c r="F599" s="531"/>
      <c r="G599" s="532" t="s">
        <v>503</v>
      </c>
      <c r="H599" s="532"/>
      <c r="I599" s="447" t="s">
        <v>117</v>
      </c>
    </row>
    <row r="600" spans="3:9" ht="20.100000000000001" customHeight="1">
      <c r="C600" s="430" t="s">
        <v>554</v>
      </c>
      <c r="D600" s="530"/>
      <c r="E600" s="530"/>
      <c r="F600" s="531"/>
      <c r="G600" s="532" t="s">
        <v>555</v>
      </c>
      <c r="H600" s="532"/>
      <c r="I600" s="691" t="s">
        <v>100</v>
      </c>
    </row>
    <row r="601" spans="3:9" ht="20.100000000000001" customHeight="1">
      <c r="C601" s="430" t="s">
        <v>556</v>
      </c>
      <c r="D601" s="530"/>
      <c r="E601" s="530"/>
      <c r="F601" s="531"/>
      <c r="G601" s="532" t="s">
        <v>557</v>
      </c>
      <c r="H601" s="532"/>
      <c r="I601" s="691" t="s">
        <v>100</v>
      </c>
    </row>
    <row r="602" spans="3:9" ht="20.100000000000001" customHeight="1">
      <c r="C602" s="430" t="s">
        <v>161</v>
      </c>
      <c r="D602" s="530"/>
      <c r="E602" s="530"/>
      <c r="F602" s="531"/>
      <c r="G602" s="532" t="s">
        <v>558</v>
      </c>
      <c r="H602" s="532"/>
      <c r="I602" s="691" t="s">
        <v>100</v>
      </c>
    </row>
    <row r="603" spans="3:9" ht="20.100000000000001" customHeight="1">
      <c r="C603" s="430" t="s">
        <v>559</v>
      </c>
      <c r="D603" s="530"/>
      <c r="E603" s="530"/>
      <c r="F603" s="531"/>
      <c r="G603" s="532" t="s">
        <v>560</v>
      </c>
      <c r="H603" s="532"/>
      <c r="I603" s="691" t="s">
        <v>100</v>
      </c>
    </row>
    <row r="604" spans="3:9" ht="20.100000000000001" customHeight="1">
      <c r="C604" s="425" t="s">
        <v>118</v>
      </c>
      <c r="D604" s="530"/>
      <c r="E604" s="530"/>
      <c r="F604" s="531"/>
      <c r="G604" s="532" t="s">
        <v>549</v>
      </c>
      <c r="H604" s="532"/>
      <c r="I604" s="447" t="s">
        <v>117</v>
      </c>
    </row>
    <row r="605" spans="3:9" ht="20.100000000000001" customHeight="1">
      <c r="C605" s="434" t="s">
        <v>606</v>
      </c>
      <c r="D605" s="530"/>
      <c r="E605" s="530"/>
      <c r="F605" s="531"/>
      <c r="G605" s="532" t="s">
        <v>550</v>
      </c>
      <c r="H605" s="532"/>
      <c r="I605" s="691" t="s">
        <v>100</v>
      </c>
    </row>
    <row r="606" spans="3:9" ht="20.100000000000001" customHeight="1">
      <c r="C606" s="431" t="s">
        <v>551</v>
      </c>
      <c r="D606" s="530"/>
      <c r="E606" s="530"/>
      <c r="F606" s="531"/>
      <c r="G606" s="532" t="s">
        <v>217</v>
      </c>
      <c r="H606" s="532"/>
      <c r="I606" s="691" t="s">
        <v>100</v>
      </c>
    </row>
    <row r="607" spans="3:9" ht="20.100000000000001" customHeight="1">
      <c r="C607" s="430" t="s">
        <v>552</v>
      </c>
      <c r="D607" s="530"/>
      <c r="E607" s="530"/>
      <c r="F607" s="531"/>
      <c r="G607" s="532" t="s">
        <v>553</v>
      </c>
      <c r="H607" s="532"/>
      <c r="I607" s="691" t="s">
        <v>100</v>
      </c>
    </row>
    <row r="608" spans="3:9" ht="20.100000000000001" customHeight="1">
      <c r="C608" s="425" t="s">
        <v>72</v>
      </c>
      <c r="D608" s="530"/>
      <c r="E608" s="530"/>
      <c r="F608" s="531"/>
      <c r="G608" s="532" t="s">
        <v>561</v>
      </c>
      <c r="H608" s="532"/>
      <c r="I608" s="447" t="s">
        <v>100</v>
      </c>
    </row>
    <row r="609" spans="2:9" ht="20.100000000000001" customHeight="1">
      <c r="C609" s="437" t="s">
        <v>36</v>
      </c>
      <c r="D609" s="530"/>
      <c r="E609" s="530"/>
      <c r="F609" s="531"/>
      <c r="G609" s="532" t="s">
        <v>561</v>
      </c>
      <c r="H609" s="532"/>
      <c r="I609" s="688" t="s">
        <v>100</v>
      </c>
    </row>
    <row r="610" spans="2:9" ht="20.100000000000001" customHeight="1">
      <c r="C610" s="431" t="s">
        <v>362</v>
      </c>
      <c r="D610" s="530"/>
      <c r="E610" s="530"/>
      <c r="F610" s="531"/>
      <c r="G610" s="532" t="s">
        <v>561</v>
      </c>
      <c r="H610" s="532"/>
      <c r="I610" s="691" t="s">
        <v>100</v>
      </c>
    </row>
    <row r="611" spans="2:9" ht="20.100000000000001" customHeight="1">
      <c r="B611" s="594" t="s">
        <v>607</v>
      </c>
      <c r="C611" s="417" t="s">
        <v>608</v>
      </c>
      <c r="D611" s="530"/>
      <c r="E611" s="530"/>
      <c r="F611" s="531"/>
      <c r="G611" s="532" t="s">
        <v>609</v>
      </c>
      <c r="H611" s="532"/>
      <c r="I611" s="447" t="s">
        <v>100</v>
      </c>
    </row>
    <row r="612" spans="2:9" ht="20.100000000000001" customHeight="1">
      <c r="C612" s="425" t="s">
        <v>104</v>
      </c>
      <c r="D612" s="530"/>
      <c r="E612" s="530"/>
      <c r="F612" s="531"/>
      <c r="G612" s="532" t="s">
        <v>609</v>
      </c>
      <c r="H612" s="532"/>
      <c r="I612" s="447" t="s">
        <v>100</v>
      </c>
    </row>
    <row r="613" spans="2:9" ht="20.100000000000001" customHeight="1">
      <c r="C613" s="437" t="s">
        <v>32</v>
      </c>
      <c r="D613" s="530"/>
      <c r="E613" s="530"/>
      <c r="F613" s="531"/>
      <c r="G613" s="532" t="s">
        <v>610</v>
      </c>
      <c r="H613" s="532"/>
      <c r="I613" s="688" t="s">
        <v>100</v>
      </c>
    </row>
    <row r="614" spans="2:9" ht="20.100000000000001" customHeight="1">
      <c r="C614" s="437" t="s">
        <v>246</v>
      </c>
      <c r="D614" s="530"/>
      <c r="E614" s="530"/>
      <c r="F614" s="531"/>
      <c r="G614" s="532" t="s">
        <v>611</v>
      </c>
      <c r="H614" s="532"/>
      <c r="I614" s="688" t="s">
        <v>100</v>
      </c>
    </row>
    <row r="615" spans="2:9" ht="20.100000000000001" customHeight="1">
      <c r="B615" s="414" t="s">
        <v>612</v>
      </c>
      <c r="C615" s="429" t="s">
        <v>44</v>
      </c>
      <c r="D615" s="530"/>
      <c r="E615" s="530"/>
      <c r="F615" s="531"/>
      <c r="G615" s="532"/>
      <c r="H615" s="532"/>
      <c r="I615" s="447"/>
    </row>
    <row r="616" spans="2:9" ht="20.100000000000001" customHeight="1">
      <c r="C616" s="425" t="s">
        <v>104</v>
      </c>
      <c r="D616" s="530"/>
      <c r="E616" s="530"/>
      <c r="F616" s="531"/>
      <c r="G616" s="532" t="s">
        <v>613</v>
      </c>
      <c r="H616" s="532"/>
      <c r="I616" s="447" t="s">
        <v>100</v>
      </c>
    </row>
    <row r="617" spans="2:9" ht="20.100000000000001" customHeight="1">
      <c r="C617" s="437" t="s">
        <v>32</v>
      </c>
      <c r="D617" s="530"/>
      <c r="E617" s="530"/>
      <c r="F617" s="531"/>
      <c r="G617" s="532" t="s">
        <v>614</v>
      </c>
      <c r="H617" s="532"/>
      <c r="I617" s="688" t="s">
        <v>100</v>
      </c>
    </row>
    <row r="618" spans="2:9" ht="20.100000000000001" customHeight="1">
      <c r="C618" s="431" t="s">
        <v>615</v>
      </c>
      <c r="D618" s="530"/>
      <c r="E618" s="530"/>
      <c r="F618" s="531"/>
      <c r="G618" s="532" t="s">
        <v>616</v>
      </c>
      <c r="H618" s="532"/>
      <c r="I618" s="691" t="s">
        <v>100</v>
      </c>
    </row>
    <row r="619" spans="2:9" ht="20.100000000000001" customHeight="1">
      <c r="C619" s="431" t="s">
        <v>617</v>
      </c>
      <c r="D619" s="530"/>
      <c r="E619" s="530"/>
      <c r="F619" s="531"/>
      <c r="G619" s="532" t="s">
        <v>618</v>
      </c>
      <c r="H619" s="532"/>
      <c r="I619" s="691" t="s">
        <v>100</v>
      </c>
    </row>
    <row r="620" spans="2:9" ht="20.100000000000001" customHeight="1">
      <c r="C620" s="431" t="s">
        <v>619</v>
      </c>
      <c r="D620" s="530"/>
      <c r="E620" s="530"/>
      <c r="F620" s="531"/>
      <c r="G620" s="532" t="s">
        <v>620</v>
      </c>
      <c r="H620" s="532"/>
      <c r="I620" s="691" t="s">
        <v>100</v>
      </c>
    </row>
    <row r="621" spans="2:9" ht="20.100000000000001" customHeight="1">
      <c r="C621" s="437" t="s">
        <v>246</v>
      </c>
      <c r="D621" s="530"/>
      <c r="E621" s="530"/>
      <c r="F621" s="531"/>
      <c r="G621" s="532" t="s">
        <v>611</v>
      </c>
      <c r="H621" s="532"/>
      <c r="I621" s="688" t="s">
        <v>100</v>
      </c>
    </row>
    <row r="622" spans="2:9" ht="20.100000000000001" customHeight="1">
      <c r="C622" s="431" t="s">
        <v>621</v>
      </c>
      <c r="D622" s="530"/>
      <c r="E622" s="530"/>
      <c r="F622" s="531"/>
      <c r="G622" s="532" t="s">
        <v>622</v>
      </c>
      <c r="H622" s="532"/>
      <c r="I622" s="691" t="s">
        <v>100</v>
      </c>
    </row>
    <row r="623" spans="2:9" ht="20.100000000000001" customHeight="1">
      <c r="C623" s="431" t="s">
        <v>619</v>
      </c>
      <c r="D623" s="530"/>
      <c r="E623" s="530"/>
      <c r="F623" s="531"/>
      <c r="G623" s="532" t="s">
        <v>623</v>
      </c>
      <c r="H623" s="532"/>
      <c r="I623" s="691" t="s">
        <v>100</v>
      </c>
    </row>
    <row r="624" spans="2:9" ht="20.100000000000001" customHeight="1">
      <c r="B624" s="414" t="s">
        <v>624</v>
      </c>
      <c r="C624" s="429" t="s">
        <v>54</v>
      </c>
      <c r="D624" s="530"/>
      <c r="E624" s="530"/>
      <c r="F624" s="531"/>
      <c r="G624" s="532" t="s">
        <v>625</v>
      </c>
      <c r="H624" s="532"/>
      <c r="I624" s="447" t="s">
        <v>100</v>
      </c>
    </row>
    <row r="625" spans="2:9" ht="20.100000000000001" customHeight="1">
      <c r="C625" s="425" t="s">
        <v>104</v>
      </c>
      <c r="D625" s="530"/>
      <c r="E625" s="530"/>
      <c r="F625" s="531"/>
      <c r="G625" s="532" t="s">
        <v>625</v>
      </c>
      <c r="H625" s="532"/>
      <c r="I625" s="447" t="s">
        <v>100</v>
      </c>
    </row>
    <row r="626" spans="2:9" ht="20.100000000000001" customHeight="1">
      <c r="C626" s="437" t="s">
        <v>32</v>
      </c>
      <c r="D626" s="530"/>
      <c r="E626" s="530"/>
      <c r="F626" s="531"/>
      <c r="G626" s="532" t="s">
        <v>625</v>
      </c>
      <c r="H626" s="532"/>
      <c r="I626" s="688" t="s">
        <v>100</v>
      </c>
    </row>
    <row r="627" spans="2:9" ht="20.100000000000001" customHeight="1">
      <c r="C627" s="431" t="s">
        <v>617</v>
      </c>
      <c r="D627" s="530"/>
      <c r="E627" s="530"/>
      <c r="F627" s="531"/>
      <c r="G627" s="532">
        <v>0</v>
      </c>
      <c r="H627" s="532"/>
      <c r="I627" s="691" t="s">
        <v>100</v>
      </c>
    </row>
    <row r="628" spans="2:9" ht="20.100000000000001" customHeight="1">
      <c r="C628" s="431" t="s">
        <v>626</v>
      </c>
      <c r="D628" s="530"/>
      <c r="E628" s="530"/>
      <c r="F628" s="531"/>
      <c r="G628" s="532">
        <v>0</v>
      </c>
      <c r="H628" s="532"/>
      <c r="I628" s="691" t="s">
        <v>100</v>
      </c>
    </row>
    <row r="629" spans="2:9" ht="20.100000000000001" customHeight="1">
      <c r="B629" s="594" t="s">
        <v>627</v>
      </c>
      <c r="C629" s="417" t="s">
        <v>628</v>
      </c>
      <c r="D629" s="530"/>
      <c r="E629" s="530"/>
      <c r="F629" s="531"/>
      <c r="G629" s="532"/>
      <c r="H629" s="532"/>
      <c r="I629" s="447"/>
    </row>
    <row r="630" spans="2:9" ht="20.100000000000001" customHeight="1">
      <c r="C630" s="425" t="s">
        <v>104</v>
      </c>
      <c r="D630" s="530"/>
      <c r="E630" s="530"/>
      <c r="F630" s="531"/>
      <c r="G630" s="532" t="s">
        <v>629</v>
      </c>
      <c r="H630" s="532"/>
      <c r="I630" s="447" t="s">
        <v>100</v>
      </c>
    </row>
    <row r="631" spans="2:9" ht="20.100000000000001" customHeight="1">
      <c r="C631" s="437" t="s">
        <v>630</v>
      </c>
      <c r="D631" s="530"/>
      <c r="E631" s="530"/>
      <c r="F631" s="531"/>
      <c r="G631" s="532" t="s">
        <v>631</v>
      </c>
      <c r="H631" s="532"/>
      <c r="I631" s="688" t="s">
        <v>100</v>
      </c>
    </row>
    <row r="632" spans="2:9" ht="20.100000000000001" customHeight="1">
      <c r="C632" s="437" t="s">
        <v>408</v>
      </c>
      <c r="D632" s="530"/>
      <c r="E632" s="530"/>
      <c r="F632" s="531"/>
      <c r="G632" s="532" t="s">
        <v>632</v>
      </c>
      <c r="H632" s="532"/>
      <c r="I632" s="688" t="s">
        <v>100</v>
      </c>
    </row>
    <row r="633" spans="2:9" ht="20.100000000000001" customHeight="1">
      <c r="B633" s="414" t="s">
        <v>633</v>
      </c>
      <c r="C633" s="429" t="s">
        <v>44</v>
      </c>
      <c r="D633" s="530"/>
      <c r="E633" s="530"/>
      <c r="F633" s="531"/>
      <c r="G633" s="532" t="s">
        <v>629</v>
      </c>
      <c r="H633" s="532"/>
      <c r="I633" s="447" t="s">
        <v>100</v>
      </c>
    </row>
    <row r="634" spans="2:9" ht="20.100000000000001" customHeight="1">
      <c r="C634" s="425" t="s">
        <v>104</v>
      </c>
      <c r="D634" s="530"/>
      <c r="E634" s="530"/>
      <c r="F634" s="531"/>
      <c r="G634" s="532" t="s">
        <v>629</v>
      </c>
      <c r="H634" s="532"/>
      <c r="I634" s="447" t="s">
        <v>100</v>
      </c>
    </row>
    <row r="635" spans="2:9" ht="20.100000000000001" customHeight="1">
      <c r="C635" s="437" t="s">
        <v>156</v>
      </c>
      <c r="D635" s="530"/>
      <c r="E635" s="530"/>
      <c r="F635" s="531"/>
      <c r="G635" s="532" t="s">
        <v>631</v>
      </c>
      <c r="H635" s="532"/>
      <c r="I635" s="688" t="s">
        <v>100</v>
      </c>
    </row>
    <row r="636" spans="2:9" ht="20.100000000000001" customHeight="1">
      <c r="C636" s="437" t="s">
        <v>408</v>
      </c>
      <c r="D636" s="530"/>
      <c r="E636" s="530"/>
      <c r="F636" s="531"/>
      <c r="G636" s="532" t="s">
        <v>632</v>
      </c>
      <c r="H636" s="532"/>
      <c r="I636" s="688" t="s">
        <v>100</v>
      </c>
    </row>
    <row r="637" spans="2:9" ht="20.100000000000001" customHeight="1">
      <c r="B637" s="414" t="s">
        <v>634</v>
      </c>
      <c r="C637" s="429" t="s">
        <v>54</v>
      </c>
      <c r="D637" s="530"/>
      <c r="E637" s="530"/>
      <c r="F637" s="531"/>
      <c r="G637" s="532">
        <v>0</v>
      </c>
      <c r="H637" s="532"/>
      <c r="I637" s="447" t="s">
        <v>100</v>
      </c>
    </row>
    <row r="638" spans="2:9" ht="20.100000000000001" customHeight="1">
      <c r="B638" s="594" t="s">
        <v>635</v>
      </c>
      <c r="C638" s="417" t="s">
        <v>636</v>
      </c>
      <c r="D638" s="530"/>
      <c r="E638" s="530"/>
      <c r="F638" s="531"/>
      <c r="G638" s="532" t="s">
        <v>637</v>
      </c>
      <c r="H638" s="532"/>
      <c r="I638" s="447" t="s">
        <v>100</v>
      </c>
    </row>
    <row r="639" spans="2:9" ht="20.100000000000001" customHeight="1">
      <c r="C639" s="425" t="s">
        <v>104</v>
      </c>
      <c r="D639" s="530"/>
      <c r="E639" s="530"/>
      <c r="F639" s="531"/>
      <c r="G639" s="532" t="s">
        <v>638</v>
      </c>
      <c r="H639" s="532"/>
      <c r="I639" s="447" t="s">
        <v>100</v>
      </c>
    </row>
    <row r="640" spans="2:9" ht="20.100000000000001" customHeight="1">
      <c r="C640" s="437" t="s">
        <v>32</v>
      </c>
      <c r="D640" s="530"/>
      <c r="E640" s="530"/>
      <c r="F640" s="531"/>
      <c r="G640" s="532" t="s">
        <v>639</v>
      </c>
      <c r="H640" s="532"/>
      <c r="I640" s="688" t="s">
        <v>100</v>
      </c>
    </row>
    <row r="641" spans="2:9" ht="20.100000000000001" customHeight="1">
      <c r="C641" s="437" t="s">
        <v>156</v>
      </c>
      <c r="D641" s="530"/>
      <c r="E641" s="530"/>
      <c r="F641" s="531"/>
      <c r="G641" s="532" t="s">
        <v>640</v>
      </c>
      <c r="H641" s="532"/>
      <c r="I641" s="688" t="s">
        <v>100</v>
      </c>
    </row>
    <row r="642" spans="2:9" ht="20.100000000000001" customHeight="1">
      <c r="C642" s="437" t="s">
        <v>246</v>
      </c>
      <c r="D642" s="530"/>
      <c r="E642" s="530"/>
      <c r="F642" s="531"/>
      <c r="G642" s="532" t="s">
        <v>641</v>
      </c>
      <c r="H642" s="532"/>
      <c r="I642" s="688" t="s">
        <v>100</v>
      </c>
    </row>
    <row r="643" spans="2:9" ht="20.100000000000001" customHeight="1">
      <c r="C643" s="425" t="s">
        <v>111</v>
      </c>
      <c r="D643" s="530"/>
      <c r="E643" s="530"/>
      <c r="F643" s="531"/>
      <c r="G643" s="532" t="s">
        <v>642</v>
      </c>
      <c r="H643" s="532"/>
      <c r="I643" s="447" t="s">
        <v>100</v>
      </c>
    </row>
    <row r="644" spans="2:9" ht="20.100000000000001" customHeight="1">
      <c r="B644" s="414" t="s">
        <v>643</v>
      </c>
      <c r="C644" s="429" t="s">
        <v>44</v>
      </c>
      <c r="D644" s="530"/>
      <c r="E644" s="530"/>
      <c r="F644" s="531"/>
      <c r="G644" s="532" t="s">
        <v>644</v>
      </c>
      <c r="H644" s="532"/>
      <c r="I644" s="447" t="s">
        <v>100</v>
      </c>
    </row>
    <row r="645" spans="2:9" ht="20.100000000000001" customHeight="1">
      <c r="C645" s="425" t="s">
        <v>104</v>
      </c>
      <c r="D645" s="530"/>
      <c r="E645" s="530"/>
      <c r="F645" s="531"/>
      <c r="G645" s="532" t="s">
        <v>644</v>
      </c>
      <c r="H645" s="532"/>
      <c r="I645" s="447" t="s">
        <v>100</v>
      </c>
    </row>
    <row r="646" spans="2:9" ht="20.100000000000001" customHeight="1">
      <c r="C646" s="437" t="s">
        <v>32</v>
      </c>
      <c r="D646" s="530"/>
      <c r="E646" s="530"/>
      <c r="F646" s="531"/>
      <c r="G646" s="532" t="s">
        <v>645</v>
      </c>
      <c r="H646" s="532"/>
      <c r="I646" s="688" t="s">
        <v>100</v>
      </c>
    </row>
    <row r="647" spans="2:9" ht="20.100000000000001" customHeight="1">
      <c r="C647" s="437" t="s">
        <v>156</v>
      </c>
      <c r="D647" s="530"/>
      <c r="E647" s="530"/>
      <c r="F647" s="531"/>
      <c r="G647" s="532" t="s">
        <v>640</v>
      </c>
      <c r="H647" s="532"/>
      <c r="I647" s="688" t="s">
        <v>100</v>
      </c>
    </row>
    <row r="648" spans="2:9" ht="20.100000000000001" customHeight="1">
      <c r="C648" s="437" t="s">
        <v>246</v>
      </c>
      <c r="D648" s="530"/>
      <c r="E648" s="530"/>
      <c r="F648" s="531"/>
      <c r="G648" s="532" t="s">
        <v>641</v>
      </c>
      <c r="H648" s="532"/>
      <c r="I648" s="688" t="s">
        <v>100</v>
      </c>
    </row>
    <row r="649" spans="2:9" ht="20.100000000000001" customHeight="1">
      <c r="B649" s="414" t="s">
        <v>646</v>
      </c>
      <c r="C649" s="429" t="s">
        <v>54</v>
      </c>
      <c r="D649" s="530"/>
      <c r="E649" s="530"/>
      <c r="F649" s="531"/>
      <c r="G649" s="532" t="s">
        <v>647</v>
      </c>
      <c r="H649" s="532"/>
      <c r="I649" s="447" t="s">
        <v>100</v>
      </c>
    </row>
    <row r="650" spans="2:9" ht="20.100000000000001" customHeight="1">
      <c r="C650" s="425" t="s">
        <v>104</v>
      </c>
      <c r="D650" s="530"/>
      <c r="E650" s="530"/>
      <c r="F650" s="531"/>
      <c r="G650" s="532">
        <v>0</v>
      </c>
      <c r="H650" s="532"/>
      <c r="I650" s="447" t="s">
        <v>100</v>
      </c>
    </row>
    <row r="651" spans="2:9" ht="20.100000000000001" customHeight="1">
      <c r="C651" s="437" t="s">
        <v>32</v>
      </c>
      <c r="D651" s="530"/>
      <c r="E651" s="530"/>
      <c r="F651" s="531"/>
      <c r="G651" s="532">
        <v>0</v>
      </c>
      <c r="H651" s="532"/>
      <c r="I651" s="688" t="s">
        <v>100</v>
      </c>
    </row>
    <row r="652" spans="2:9" ht="20.100000000000001" customHeight="1">
      <c r="C652" s="425" t="s">
        <v>111</v>
      </c>
      <c r="D652" s="530"/>
      <c r="E652" s="530"/>
      <c r="F652" s="531"/>
      <c r="G652" s="532" t="s">
        <v>642</v>
      </c>
      <c r="H652" s="532"/>
      <c r="I652" s="447" t="s">
        <v>100</v>
      </c>
    </row>
    <row r="653" spans="2:9" ht="20.100000000000001" customHeight="1">
      <c r="B653" s="594" t="s">
        <v>648</v>
      </c>
      <c r="C653" s="417" t="s">
        <v>649</v>
      </c>
      <c r="D653" s="530"/>
      <c r="E653" s="530"/>
      <c r="F653" s="531"/>
      <c r="G653" s="532" t="s">
        <v>650</v>
      </c>
      <c r="H653" s="532"/>
      <c r="I653" s="447" t="s">
        <v>100</v>
      </c>
    </row>
    <row r="654" spans="2:9" ht="20.100000000000001" customHeight="1">
      <c r="C654" s="425" t="s">
        <v>104</v>
      </c>
      <c r="D654" s="530"/>
      <c r="E654" s="530"/>
      <c r="F654" s="531"/>
      <c r="G654" s="532" t="s">
        <v>650</v>
      </c>
      <c r="H654" s="532"/>
      <c r="I654" s="447" t="s">
        <v>100</v>
      </c>
    </row>
    <row r="655" spans="2:9" ht="20.100000000000001" customHeight="1">
      <c r="C655" s="437" t="s">
        <v>32</v>
      </c>
      <c r="D655" s="530"/>
      <c r="E655" s="530"/>
      <c r="F655" s="531"/>
      <c r="G655" s="532" t="s">
        <v>650</v>
      </c>
      <c r="H655" s="532"/>
      <c r="I655" s="688" t="s">
        <v>100</v>
      </c>
    </row>
    <row r="656" spans="2:9" ht="20.100000000000001" customHeight="1">
      <c r="B656" s="414" t="s">
        <v>651</v>
      </c>
      <c r="C656" s="429" t="s">
        <v>44</v>
      </c>
      <c r="D656" s="530"/>
      <c r="E656" s="530"/>
      <c r="F656" s="531"/>
      <c r="G656" s="532" t="s">
        <v>650</v>
      </c>
      <c r="H656" s="532"/>
      <c r="I656" s="447" t="s">
        <v>100</v>
      </c>
    </row>
    <row r="657" spans="2:9" ht="20.100000000000001" customHeight="1">
      <c r="C657" s="425" t="s">
        <v>104</v>
      </c>
      <c r="D657" s="530"/>
      <c r="E657" s="530"/>
      <c r="F657" s="531"/>
      <c r="G657" s="532" t="s">
        <v>650</v>
      </c>
      <c r="H657" s="532"/>
      <c r="I657" s="447" t="s">
        <v>100</v>
      </c>
    </row>
    <row r="658" spans="2:9" ht="20.100000000000001" customHeight="1">
      <c r="C658" s="437" t="s">
        <v>32</v>
      </c>
      <c r="D658" s="530"/>
      <c r="E658" s="530"/>
      <c r="F658" s="531"/>
      <c r="G658" s="532" t="s">
        <v>650</v>
      </c>
      <c r="H658" s="532"/>
      <c r="I658" s="688" t="s">
        <v>100</v>
      </c>
    </row>
    <row r="659" spans="2:9" ht="20.100000000000001" customHeight="1">
      <c r="B659" s="414" t="s">
        <v>652</v>
      </c>
      <c r="C659" s="429" t="s">
        <v>54</v>
      </c>
      <c r="D659" s="530"/>
      <c r="E659" s="530"/>
      <c r="F659" s="531"/>
      <c r="G659" s="532">
        <v>0</v>
      </c>
      <c r="H659" s="532"/>
      <c r="I659" s="447" t="s">
        <v>100</v>
      </c>
    </row>
    <row r="660" spans="2:9" ht="20.100000000000001" customHeight="1">
      <c r="B660" s="594" t="s">
        <v>653</v>
      </c>
      <c r="C660" s="417" t="s">
        <v>654</v>
      </c>
      <c r="D660" s="530"/>
      <c r="E660" s="530"/>
      <c r="F660" s="531"/>
      <c r="G660" s="532" t="s">
        <v>655</v>
      </c>
      <c r="H660" s="532"/>
      <c r="I660" s="447" t="s">
        <v>100</v>
      </c>
    </row>
    <row r="661" spans="2:9" ht="20.100000000000001" customHeight="1">
      <c r="C661" s="425" t="s">
        <v>104</v>
      </c>
      <c r="D661" s="530"/>
      <c r="E661" s="530"/>
      <c r="F661" s="531"/>
      <c r="G661" s="532" t="s">
        <v>655</v>
      </c>
      <c r="H661" s="532"/>
      <c r="I661" s="447" t="s">
        <v>100</v>
      </c>
    </row>
    <row r="662" spans="2:9" ht="20.100000000000001" customHeight="1">
      <c r="C662" s="437" t="s">
        <v>32</v>
      </c>
      <c r="D662" s="530"/>
      <c r="E662" s="530"/>
      <c r="F662" s="531"/>
      <c r="G662" s="532" t="s">
        <v>656</v>
      </c>
      <c r="H662" s="532"/>
      <c r="I662" s="688" t="s">
        <v>100</v>
      </c>
    </row>
    <row r="663" spans="2:9" ht="20.100000000000001" customHeight="1">
      <c r="C663" s="437" t="s">
        <v>156</v>
      </c>
      <c r="D663" s="530"/>
      <c r="E663" s="530"/>
      <c r="F663" s="531"/>
      <c r="G663" s="532" t="s">
        <v>657</v>
      </c>
      <c r="H663" s="532"/>
      <c r="I663" s="688" t="s">
        <v>100</v>
      </c>
    </row>
    <row r="664" spans="2:9" ht="20.100000000000001" customHeight="1">
      <c r="C664" s="437" t="s">
        <v>246</v>
      </c>
      <c r="D664" s="530"/>
      <c r="E664" s="530"/>
      <c r="F664" s="531"/>
      <c r="G664" s="532" t="s">
        <v>658</v>
      </c>
      <c r="H664" s="532"/>
      <c r="I664" s="688" t="s">
        <v>100</v>
      </c>
    </row>
    <row r="665" spans="2:9" ht="20.100000000000001" customHeight="1">
      <c r="B665" s="414" t="s">
        <v>659</v>
      </c>
      <c r="C665" s="429" t="s">
        <v>44</v>
      </c>
      <c r="D665" s="530"/>
      <c r="E665" s="530"/>
      <c r="F665" s="531"/>
      <c r="G665" s="532" t="s">
        <v>660</v>
      </c>
      <c r="H665" s="532"/>
      <c r="I665" s="447" t="s">
        <v>100</v>
      </c>
    </row>
    <row r="666" spans="2:9" ht="20.100000000000001" customHeight="1">
      <c r="C666" s="425" t="s">
        <v>104</v>
      </c>
      <c r="D666" s="530"/>
      <c r="E666" s="530"/>
      <c r="F666" s="531"/>
      <c r="G666" s="532" t="s">
        <v>660</v>
      </c>
      <c r="H666" s="532"/>
      <c r="I666" s="447" t="s">
        <v>100</v>
      </c>
    </row>
    <row r="667" spans="2:9" ht="20.100000000000001" customHeight="1">
      <c r="C667" s="437" t="s">
        <v>32</v>
      </c>
      <c r="D667" s="530"/>
      <c r="E667" s="530"/>
      <c r="F667" s="531"/>
      <c r="G667" s="532" t="s">
        <v>661</v>
      </c>
      <c r="H667" s="532"/>
      <c r="I667" s="688" t="s">
        <v>100</v>
      </c>
    </row>
    <row r="668" spans="2:9" ht="20.100000000000001" customHeight="1">
      <c r="C668" s="437" t="s">
        <v>156</v>
      </c>
      <c r="D668" s="530"/>
      <c r="E668" s="530"/>
      <c r="F668" s="531"/>
      <c r="G668" s="532" t="s">
        <v>662</v>
      </c>
      <c r="H668" s="532"/>
      <c r="I668" s="688" t="s">
        <v>100</v>
      </c>
    </row>
    <row r="669" spans="2:9" ht="20.100000000000001" customHeight="1">
      <c r="C669" s="437" t="s">
        <v>663</v>
      </c>
      <c r="D669" s="530"/>
      <c r="E669" s="530"/>
      <c r="F669" s="531"/>
      <c r="G669" s="532" t="s">
        <v>658</v>
      </c>
      <c r="H669" s="532"/>
      <c r="I669" s="688" t="s">
        <v>100</v>
      </c>
    </row>
    <row r="670" spans="2:9" ht="20.100000000000001" customHeight="1">
      <c r="B670" s="414" t="s">
        <v>664</v>
      </c>
      <c r="C670" s="429" t="s">
        <v>54</v>
      </c>
      <c r="D670" s="530"/>
      <c r="E670" s="530"/>
      <c r="F670" s="531"/>
      <c r="G670" s="532" t="s">
        <v>625</v>
      </c>
      <c r="H670" s="532"/>
      <c r="I670" s="447" t="s">
        <v>100</v>
      </c>
    </row>
    <row r="671" spans="2:9" ht="20.100000000000001" customHeight="1">
      <c r="C671" s="425" t="s">
        <v>665</v>
      </c>
      <c r="D671" s="530"/>
      <c r="E671" s="530"/>
      <c r="F671" s="531"/>
      <c r="G671" s="532">
        <v>0</v>
      </c>
      <c r="H671" s="532"/>
      <c r="I671" s="447" t="s">
        <v>100</v>
      </c>
    </row>
    <row r="672" spans="2:9" ht="20.100000000000001" customHeight="1">
      <c r="C672" s="437" t="s">
        <v>156</v>
      </c>
      <c r="D672" s="530"/>
      <c r="E672" s="530"/>
      <c r="F672" s="531"/>
      <c r="G672" s="532">
        <v>0</v>
      </c>
      <c r="H672" s="532"/>
      <c r="I672" s="688" t="s">
        <v>100</v>
      </c>
    </row>
    <row r="673" spans="2:9" ht="20.100000000000001" customHeight="1">
      <c r="C673" s="425" t="s">
        <v>104</v>
      </c>
      <c r="D673" s="530"/>
      <c r="E673" s="530"/>
      <c r="F673" s="531"/>
      <c r="G673" s="532">
        <v>0</v>
      </c>
      <c r="H673" s="532"/>
      <c r="I673" s="447" t="s">
        <v>100</v>
      </c>
    </row>
    <row r="674" spans="2:9" ht="20.100000000000001" customHeight="1">
      <c r="C674" s="437" t="s">
        <v>32</v>
      </c>
      <c r="D674" s="530"/>
      <c r="E674" s="530"/>
      <c r="F674" s="531"/>
      <c r="G674" s="532">
        <v>0</v>
      </c>
      <c r="H674" s="532"/>
      <c r="I674" s="688" t="s">
        <v>100</v>
      </c>
    </row>
    <row r="675" spans="2:9" ht="20.100000000000001" customHeight="1">
      <c r="B675" s="594" t="s">
        <v>666</v>
      </c>
      <c r="C675" s="417" t="s">
        <v>667</v>
      </c>
      <c r="D675" s="530"/>
      <c r="E675" s="530"/>
      <c r="F675" s="531"/>
      <c r="G675" s="532" t="s">
        <v>668</v>
      </c>
      <c r="H675" s="532"/>
      <c r="I675" s="447" t="s">
        <v>100</v>
      </c>
    </row>
    <row r="676" spans="2:9" ht="20.100000000000001" customHeight="1">
      <c r="C676" s="425" t="s">
        <v>104</v>
      </c>
      <c r="D676" s="530"/>
      <c r="E676" s="530"/>
      <c r="F676" s="531"/>
      <c r="G676" s="532" t="s">
        <v>668</v>
      </c>
      <c r="H676" s="532"/>
      <c r="I676" s="447" t="s">
        <v>100</v>
      </c>
    </row>
    <row r="677" spans="2:9" ht="20.100000000000001" customHeight="1">
      <c r="C677" s="437" t="s">
        <v>32</v>
      </c>
      <c r="D677" s="530"/>
      <c r="E677" s="530"/>
      <c r="F677" s="531"/>
      <c r="G677" s="532" t="s">
        <v>668</v>
      </c>
      <c r="H677" s="532"/>
      <c r="I677" s="688" t="s">
        <v>100</v>
      </c>
    </row>
    <row r="678" spans="2:9" ht="20.100000000000001" customHeight="1">
      <c r="B678" s="414" t="s">
        <v>669</v>
      </c>
      <c r="C678" s="429" t="s">
        <v>44</v>
      </c>
      <c r="D678" s="530"/>
      <c r="E678" s="530"/>
      <c r="F678" s="531"/>
      <c r="G678" s="532" t="s">
        <v>670</v>
      </c>
      <c r="H678" s="532"/>
      <c r="I678" s="447" t="s">
        <v>100</v>
      </c>
    </row>
    <row r="679" spans="2:9" ht="20.100000000000001" customHeight="1">
      <c r="C679" s="425" t="s">
        <v>104</v>
      </c>
      <c r="D679" s="530"/>
      <c r="E679" s="530"/>
      <c r="F679" s="531"/>
      <c r="G679" s="532" t="s">
        <v>670</v>
      </c>
      <c r="H679" s="532"/>
      <c r="I679" s="447" t="s">
        <v>100</v>
      </c>
    </row>
    <row r="680" spans="2:9" ht="20.100000000000001" customHeight="1">
      <c r="C680" s="437" t="s">
        <v>32</v>
      </c>
      <c r="D680" s="530"/>
      <c r="E680" s="530"/>
      <c r="F680" s="531"/>
      <c r="G680" s="532" t="s">
        <v>670</v>
      </c>
      <c r="H680" s="532"/>
      <c r="I680" s="688" t="s">
        <v>100</v>
      </c>
    </row>
    <row r="681" spans="2:9" ht="20.100000000000001" customHeight="1">
      <c r="B681" s="414" t="s">
        <v>671</v>
      </c>
      <c r="C681" s="429" t="s">
        <v>54</v>
      </c>
      <c r="D681" s="530"/>
      <c r="E681" s="530"/>
      <c r="F681" s="531"/>
      <c r="G681" s="532">
        <v>0</v>
      </c>
      <c r="H681" s="532"/>
      <c r="I681" s="447" t="s">
        <v>100</v>
      </c>
    </row>
    <row r="682" spans="2:9" ht="20.100000000000001" customHeight="1">
      <c r="C682" s="425" t="s">
        <v>104</v>
      </c>
      <c r="D682" s="530"/>
      <c r="E682" s="530"/>
      <c r="F682" s="531"/>
      <c r="G682" s="532">
        <v>0</v>
      </c>
      <c r="H682" s="532"/>
      <c r="I682" s="447" t="s">
        <v>100</v>
      </c>
    </row>
    <row r="683" spans="2:9" ht="20.100000000000001" customHeight="1">
      <c r="C683" s="437" t="s">
        <v>32</v>
      </c>
      <c r="D683" s="530"/>
      <c r="E683" s="530"/>
      <c r="F683" s="531"/>
      <c r="G683" s="532">
        <v>0</v>
      </c>
      <c r="H683" s="532"/>
      <c r="I683" s="688" t="s">
        <v>100</v>
      </c>
    </row>
    <row r="684" spans="2:9" ht="20.100000000000001" customHeight="1">
      <c r="B684" s="594" t="s">
        <v>672</v>
      </c>
      <c r="C684" s="417" t="s">
        <v>673</v>
      </c>
      <c r="D684" s="530"/>
      <c r="E684" s="530"/>
      <c r="F684" s="531"/>
      <c r="G684" s="532" t="s">
        <v>674</v>
      </c>
      <c r="H684" s="532"/>
      <c r="I684" s="447" t="s">
        <v>100</v>
      </c>
    </row>
    <row r="685" spans="2:9" ht="20.100000000000001" customHeight="1">
      <c r="C685" s="425" t="s">
        <v>104</v>
      </c>
      <c r="D685" s="530"/>
      <c r="E685" s="530"/>
      <c r="F685" s="531"/>
      <c r="G685" s="532" t="s">
        <v>674</v>
      </c>
      <c r="H685" s="532"/>
      <c r="I685" s="447" t="s">
        <v>100</v>
      </c>
    </row>
    <row r="686" spans="2:9" ht="20.100000000000001" customHeight="1">
      <c r="C686" s="437" t="s">
        <v>32</v>
      </c>
      <c r="D686" s="530"/>
      <c r="E686" s="530"/>
      <c r="F686" s="531"/>
      <c r="G686" s="532" t="s">
        <v>674</v>
      </c>
      <c r="H686" s="532"/>
      <c r="I686" s="688" t="s">
        <v>100</v>
      </c>
    </row>
    <row r="687" spans="2:9" ht="20.100000000000001" customHeight="1">
      <c r="B687" s="414" t="s">
        <v>675</v>
      </c>
      <c r="C687" s="429" t="s">
        <v>44</v>
      </c>
      <c r="D687" s="530"/>
      <c r="E687" s="530"/>
      <c r="F687" s="531"/>
      <c r="G687" s="532" t="s">
        <v>676</v>
      </c>
      <c r="H687" s="532"/>
      <c r="I687" s="447" t="s">
        <v>100</v>
      </c>
    </row>
    <row r="688" spans="2:9" ht="20.100000000000001" customHeight="1">
      <c r="C688" s="425" t="s">
        <v>104</v>
      </c>
      <c r="D688" s="530"/>
      <c r="E688" s="530"/>
      <c r="F688" s="531"/>
      <c r="G688" s="532" t="s">
        <v>676</v>
      </c>
      <c r="H688" s="532"/>
      <c r="I688" s="447" t="s">
        <v>100</v>
      </c>
    </row>
    <row r="689" spans="2:9" ht="20.100000000000001" customHeight="1">
      <c r="C689" s="437" t="s">
        <v>32</v>
      </c>
      <c r="D689" s="530"/>
      <c r="E689" s="530"/>
      <c r="F689" s="531"/>
      <c r="G689" s="532" t="s">
        <v>676</v>
      </c>
      <c r="H689" s="532"/>
      <c r="I689" s="688" t="s">
        <v>100</v>
      </c>
    </row>
    <row r="690" spans="2:9" ht="20.100000000000001" customHeight="1">
      <c r="B690" s="414" t="s">
        <v>677</v>
      </c>
      <c r="C690" s="429" t="s">
        <v>54</v>
      </c>
      <c r="D690" s="530"/>
      <c r="E690" s="530"/>
      <c r="F690" s="531"/>
      <c r="G690" s="532">
        <v>0</v>
      </c>
      <c r="H690" s="532"/>
      <c r="I690" s="447" t="s">
        <v>100</v>
      </c>
    </row>
    <row r="691" spans="2:9" ht="20.100000000000001" customHeight="1">
      <c r="C691" s="425" t="s">
        <v>104</v>
      </c>
      <c r="D691" s="530"/>
      <c r="E691" s="530"/>
      <c r="F691" s="531"/>
      <c r="G691" s="532">
        <v>0</v>
      </c>
      <c r="H691" s="532"/>
      <c r="I691" s="447" t="s">
        <v>100</v>
      </c>
    </row>
    <row r="692" spans="2:9" ht="20.100000000000001" customHeight="1">
      <c r="C692" s="437" t="s">
        <v>32</v>
      </c>
      <c r="D692" s="530"/>
      <c r="E692" s="530"/>
      <c r="F692" s="531"/>
      <c r="G692" s="532">
        <v>0</v>
      </c>
      <c r="H692" s="532"/>
      <c r="I692" s="688" t="s">
        <v>100</v>
      </c>
    </row>
    <row r="693" spans="2:9" ht="20.100000000000001" customHeight="1">
      <c r="B693" s="594" t="s">
        <v>678</v>
      </c>
      <c r="C693" s="417" t="s">
        <v>679</v>
      </c>
      <c r="D693" s="530"/>
      <c r="E693" s="530"/>
      <c r="F693" s="531"/>
      <c r="G693" s="532" t="s">
        <v>680</v>
      </c>
      <c r="H693" s="532"/>
      <c r="I693" s="447" t="s">
        <v>100</v>
      </c>
    </row>
    <row r="694" spans="2:9" ht="20.100000000000001" customHeight="1">
      <c r="C694" s="425" t="s">
        <v>104</v>
      </c>
      <c r="D694" s="530"/>
      <c r="E694" s="530"/>
      <c r="F694" s="531"/>
      <c r="G694" s="532" t="s">
        <v>681</v>
      </c>
      <c r="H694" s="532"/>
      <c r="I694" s="447" t="s">
        <v>100</v>
      </c>
    </row>
    <row r="695" spans="2:9" ht="20.100000000000001" customHeight="1">
      <c r="C695" s="437" t="s">
        <v>34</v>
      </c>
      <c r="D695" s="530"/>
      <c r="E695" s="530"/>
      <c r="F695" s="531"/>
      <c r="G695" s="532" t="s">
        <v>681</v>
      </c>
      <c r="H695" s="532"/>
      <c r="I695" s="447" t="s">
        <v>100</v>
      </c>
    </row>
    <row r="696" spans="2:9" ht="20.100000000000001" customHeight="1">
      <c r="C696" s="425" t="s">
        <v>305</v>
      </c>
      <c r="D696" s="530"/>
      <c r="E696" s="530"/>
      <c r="F696" s="531"/>
      <c r="G696" s="532" t="s">
        <v>682</v>
      </c>
      <c r="H696" s="532"/>
      <c r="I696" s="447" t="s">
        <v>100</v>
      </c>
    </row>
    <row r="697" spans="2:9" ht="20.100000000000001" customHeight="1">
      <c r="C697" s="437" t="s">
        <v>307</v>
      </c>
      <c r="D697" s="530"/>
      <c r="E697" s="530"/>
      <c r="F697" s="531"/>
      <c r="G697" s="532" t="s">
        <v>682</v>
      </c>
      <c r="H697" s="532"/>
      <c r="I697" s="447" t="s">
        <v>100</v>
      </c>
    </row>
    <row r="698" spans="2:9" ht="20.100000000000001" customHeight="1">
      <c r="B698" s="414" t="s">
        <v>683</v>
      </c>
      <c r="C698" s="429" t="s">
        <v>44</v>
      </c>
      <c r="D698" s="530"/>
      <c r="E698" s="530"/>
      <c r="F698" s="531"/>
      <c r="G698" s="532" t="s">
        <v>682</v>
      </c>
      <c r="H698" s="532"/>
      <c r="I698" s="447" t="s">
        <v>100</v>
      </c>
    </row>
    <row r="699" spans="2:9" ht="20.100000000000001" customHeight="1">
      <c r="C699" s="425" t="s">
        <v>305</v>
      </c>
      <c r="D699" s="530"/>
      <c r="E699" s="530"/>
      <c r="F699" s="531"/>
      <c r="G699" s="532" t="s">
        <v>682</v>
      </c>
      <c r="H699" s="532"/>
      <c r="I699" s="447" t="s">
        <v>100</v>
      </c>
    </row>
    <row r="700" spans="2:9" ht="20.100000000000001" customHeight="1">
      <c r="C700" s="437" t="s">
        <v>307</v>
      </c>
      <c r="D700" s="530"/>
      <c r="E700" s="530"/>
      <c r="F700" s="531"/>
      <c r="G700" s="532" t="s">
        <v>682</v>
      </c>
      <c r="H700" s="532"/>
      <c r="I700" s="447" t="s">
        <v>100</v>
      </c>
    </row>
    <row r="701" spans="2:9" ht="20.100000000000001" customHeight="1">
      <c r="B701" s="414" t="s">
        <v>684</v>
      </c>
      <c r="C701" s="429" t="s">
        <v>54</v>
      </c>
      <c r="D701" s="530"/>
      <c r="E701" s="530"/>
      <c r="F701" s="531"/>
      <c r="G701" s="532"/>
      <c r="H701" s="532"/>
      <c r="I701" s="447"/>
    </row>
    <row r="702" spans="2:9" ht="20.100000000000001" customHeight="1">
      <c r="C702" s="425" t="s">
        <v>104</v>
      </c>
      <c r="D702" s="530"/>
      <c r="E702" s="530"/>
      <c r="F702" s="531"/>
      <c r="G702" s="532" t="s">
        <v>681</v>
      </c>
      <c r="H702" s="532"/>
      <c r="I702" s="447" t="s">
        <v>100</v>
      </c>
    </row>
    <row r="703" spans="2:9" ht="20.100000000000001" customHeight="1">
      <c r="C703" s="437" t="s">
        <v>34</v>
      </c>
      <c r="D703" s="530"/>
      <c r="E703" s="530"/>
      <c r="F703" s="531"/>
      <c r="G703" s="532" t="s">
        <v>681</v>
      </c>
      <c r="H703" s="532"/>
      <c r="I703" s="688" t="s">
        <v>100</v>
      </c>
    </row>
    <row r="704" spans="2:9" ht="20.100000000000001" customHeight="1">
      <c r="C704" s="431" t="s">
        <v>92</v>
      </c>
      <c r="D704" s="530"/>
      <c r="E704" s="530"/>
      <c r="F704" s="531"/>
      <c r="G704" s="532" t="s">
        <v>685</v>
      </c>
      <c r="H704" s="532"/>
      <c r="I704" s="447" t="s">
        <v>100</v>
      </c>
    </row>
    <row r="705" spans="2:9" ht="20.100000000000001" customHeight="1">
      <c r="C705" s="431" t="s">
        <v>60</v>
      </c>
      <c r="D705" s="530"/>
      <c r="E705" s="530"/>
      <c r="F705" s="531"/>
      <c r="G705" s="532" t="s">
        <v>686</v>
      </c>
      <c r="H705" s="532"/>
      <c r="I705" s="447" t="s">
        <v>100</v>
      </c>
    </row>
    <row r="706" spans="2:9" ht="20.100000000000001" customHeight="1">
      <c r="C706" s="690" t="s">
        <v>95</v>
      </c>
      <c r="D706" s="530"/>
      <c r="E706" s="530"/>
      <c r="F706" s="531"/>
      <c r="G706" s="532" t="s">
        <v>687</v>
      </c>
      <c r="H706" s="532"/>
      <c r="I706" s="447" t="s">
        <v>100</v>
      </c>
    </row>
    <row r="707" spans="2:9" ht="20.100000000000001" customHeight="1">
      <c r="B707" s="594" t="s">
        <v>688</v>
      </c>
      <c r="C707" s="435" t="s">
        <v>689</v>
      </c>
      <c r="D707" s="530"/>
      <c r="E707" s="530"/>
      <c r="F707" s="531"/>
      <c r="G707" s="532" t="s">
        <v>690</v>
      </c>
      <c r="H707" s="532"/>
      <c r="I707" s="9" t="s">
        <v>691</v>
      </c>
    </row>
    <row r="708" spans="2:9" ht="20.100000000000001" customHeight="1">
      <c r="C708" s="417"/>
      <c r="D708" s="530"/>
      <c r="E708" s="530"/>
      <c r="F708" s="531"/>
      <c r="G708" s="532" t="s">
        <v>692</v>
      </c>
      <c r="H708" s="532"/>
      <c r="I708" s="447" t="s">
        <v>693</v>
      </c>
    </row>
    <row r="709" spans="2:9" ht="20.100000000000001" customHeight="1">
      <c r="C709" s="425" t="s">
        <v>104</v>
      </c>
      <c r="D709" s="530"/>
      <c r="E709" s="530"/>
      <c r="F709" s="531"/>
      <c r="G709" s="532" t="s">
        <v>694</v>
      </c>
      <c r="H709" s="532"/>
      <c r="I709" s="447" t="s">
        <v>691</v>
      </c>
    </row>
    <row r="710" spans="2:9" ht="20.100000000000001" customHeight="1">
      <c r="C710" s="436" t="s">
        <v>34</v>
      </c>
      <c r="D710" s="530"/>
      <c r="E710" s="530"/>
      <c r="F710" s="531"/>
      <c r="G710" s="532" t="s">
        <v>694</v>
      </c>
      <c r="H710" s="532"/>
      <c r="I710" s="6" t="s">
        <v>691</v>
      </c>
    </row>
    <row r="711" spans="2:9" ht="20.100000000000001" customHeight="1">
      <c r="C711" s="437"/>
      <c r="D711" s="530"/>
      <c r="E711" s="530"/>
      <c r="F711" s="531"/>
      <c r="G711" s="532" t="s">
        <v>695</v>
      </c>
      <c r="H711" s="532"/>
      <c r="I711" s="4" t="s">
        <v>693</v>
      </c>
    </row>
    <row r="712" spans="2:9" ht="20.100000000000001" customHeight="1">
      <c r="C712" s="425" t="s">
        <v>38</v>
      </c>
      <c r="D712" s="530"/>
      <c r="E712" s="530"/>
      <c r="F712" s="531"/>
      <c r="G712" s="532" t="s">
        <v>696</v>
      </c>
      <c r="H712" s="532"/>
      <c r="I712" s="447" t="s">
        <v>691</v>
      </c>
    </row>
    <row r="713" spans="2:9" ht="20.100000000000001" customHeight="1">
      <c r="C713" s="436" t="s">
        <v>697</v>
      </c>
      <c r="D713" s="530"/>
      <c r="E713" s="530"/>
      <c r="F713" s="531"/>
      <c r="G713" s="532" t="s">
        <v>696</v>
      </c>
      <c r="H713" s="532"/>
      <c r="I713" s="6" t="s">
        <v>691</v>
      </c>
    </row>
    <row r="714" spans="2:9" ht="20.100000000000001" customHeight="1">
      <c r="C714" s="437"/>
      <c r="D714" s="530"/>
      <c r="E714" s="530"/>
      <c r="F714" s="531"/>
      <c r="G714" s="532" t="s">
        <v>698</v>
      </c>
      <c r="H714" s="532"/>
      <c r="I714" s="4" t="s">
        <v>693</v>
      </c>
    </row>
    <row r="715" spans="2:9" ht="20.100000000000001" customHeight="1">
      <c r="B715" s="414" t="s">
        <v>699</v>
      </c>
      <c r="C715" s="429" t="s">
        <v>44</v>
      </c>
      <c r="D715" s="530"/>
      <c r="E715" s="530"/>
      <c r="F715" s="531"/>
      <c r="G715" s="532" t="s">
        <v>700</v>
      </c>
      <c r="H715" s="532"/>
      <c r="I715" s="447" t="s">
        <v>691</v>
      </c>
    </row>
    <row r="716" spans="2:9" ht="20.100000000000001" customHeight="1">
      <c r="C716" s="425" t="s">
        <v>38</v>
      </c>
      <c r="D716" s="530"/>
      <c r="E716" s="530"/>
      <c r="F716" s="531"/>
      <c r="G716" s="532" t="s">
        <v>700</v>
      </c>
      <c r="H716" s="532"/>
      <c r="I716" s="447" t="s">
        <v>691</v>
      </c>
    </row>
    <row r="717" spans="2:9" ht="20.100000000000001" customHeight="1">
      <c r="C717" s="437" t="s">
        <v>697</v>
      </c>
      <c r="D717" s="530"/>
      <c r="E717" s="530"/>
      <c r="F717" s="531"/>
      <c r="G717" s="532" t="s">
        <v>700</v>
      </c>
      <c r="H717" s="532"/>
      <c r="I717" s="688" t="s">
        <v>691</v>
      </c>
    </row>
    <row r="718" spans="2:9" ht="20.100000000000001" customHeight="1">
      <c r="C718" s="431" t="s">
        <v>701</v>
      </c>
      <c r="D718" s="530"/>
      <c r="E718" s="530"/>
      <c r="F718" s="531"/>
      <c r="G718" s="532" t="s">
        <v>700</v>
      </c>
      <c r="H718" s="532"/>
      <c r="I718" s="7" t="s">
        <v>691</v>
      </c>
    </row>
    <row r="719" spans="2:9" ht="20.100000000000001" customHeight="1">
      <c r="C719" s="431"/>
      <c r="D719" s="530"/>
      <c r="E719" s="530"/>
      <c r="F719" s="531"/>
      <c r="G719" s="532" t="s">
        <v>702</v>
      </c>
      <c r="H719" s="532"/>
      <c r="I719" s="5" t="s">
        <v>693</v>
      </c>
    </row>
    <row r="720" spans="2:9" ht="20.100000000000001" customHeight="1">
      <c r="B720" s="414" t="s">
        <v>703</v>
      </c>
      <c r="C720" s="429" t="s">
        <v>54</v>
      </c>
      <c r="D720" s="530"/>
      <c r="E720" s="530"/>
      <c r="F720" s="531"/>
      <c r="G720" s="532" t="s">
        <v>704</v>
      </c>
      <c r="H720" s="532"/>
      <c r="I720" s="447" t="s">
        <v>691</v>
      </c>
    </row>
    <row r="721" spans="2:9" ht="20.100000000000001" customHeight="1">
      <c r="C721" s="425" t="s">
        <v>104</v>
      </c>
      <c r="D721" s="530"/>
      <c r="E721" s="530"/>
      <c r="F721" s="531"/>
      <c r="G721" s="532" t="s">
        <v>694</v>
      </c>
      <c r="H721" s="532"/>
      <c r="I721" s="447" t="s">
        <v>691</v>
      </c>
    </row>
    <row r="722" spans="2:9" ht="20.100000000000001" customHeight="1">
      <c r="C722" s="437" t="s">
        <v>34</v>
      </c>
      <c r="D722" s="530"/>
      <c r="E722" s="530"/>
      <c r="F722" s="531"/>
      <c r="G722" s="532" t="s">
        <v>694</v>
      </c>
      <c r="H722" s="532"/>
      <c r="I722" s="688" t="s">
        <v>691</v>
      </c>
    </row>
    <row r="723" spans="2:9" ht="20.100000000000001" customHeight="1">
      <c r="C723" s="431" t="s">
        <v>705</v>
      </c>
      <c r="D723" s="530"/>
      <c r="E723" s="530"/>
      <c r="F723" s="531"/>
      <c r="G723" s="532" t="s">
        <v>706</v>
      </c>
      <c r="H723" s="532"/>
      <c r="I723" s="7" t="s">
        <v>691</v>
      </c>
    </row>
    <row r="724" spans="2:9" ht="20.100000000000001" customHeight="1">
      <c r="C724" s="431"/>
      <c r="D724" s="530"/>
      <c r="E724" s="530"/>
      <c r="F724" s="531"/>
      <c r="G724" s="532" t="s">
        <v>707</v>
      </c>
      <c r="H724" s="532"/>
      <c r="I724" s="5" t="s">
        <v>693</v>
      </c>
    </row>
    <row r="725" spans="2:9" ht="20.100000000000001" customHeight="1">
      <c r="C725" s="431" t="s">
        <v>708</v>
      </c>
      <c r="D725" s="530"/>
      <c r="E725" s="530"/>
      <c r="F725" s="531"/>
      <c r="G725" s="532" t="s">
        <v>709</v>
      </c>
      <c r="H725" s="532"/>
      <c r="I725" s="5" t="s">
        <v>691</v>
      </c>
    </row>
    <row r="726" spans="2:9" ht="20.100000000000001" customHeight="1">
      <c r="C726" s="431" t="s">
        <v>467</v>
      </c>
      <c r="D726" s="530"/>
      <c r="E726" s="530"/>
      <c r="F726" s="531"/>
      <c r="G726" s="532">
        <v>0</v>
      </c>
      <c r="H726" s="532"/>
      <c r="I726" s="5" t="s">
        <v>691</v>
      </c>
    </row>
    <row r="727" spans="2:9" ht="20.100000000000001" customHeight="1">
      <c r="C727" s="431" t="s">
        <v>701</v>
      </c>
      <c r="D727" s="530"/>
      <c r="E727" s="530"/>
      <c r="F727" s="531"/>
      <c r="G727" s="532" t="s">
        <v>710</v>
      </c>
      <c r="H727" s="532"/>
      <c r="I727" s="7" t="s">
        <v>691</v>
      </c>
    </row>
    <row r="728" spans="2:9" ht="20.100000000000001" customHeight="1">
      <c r="C728" s="431"/>
      <c r="D728" s="530"/>
      <c r="E728" s="530"/>
      <c r="F728" s="531"/>
      <c r="G728" s="532" t="s">
        <v>711</v>
      </c>
      <c r="H728" s="532"/>
      <c r="I728" s="5" t="s">
        <v>693</v>
      </c>
    </row>
    <row r="729" spans="2:9" ht="20.100000000000001" customHeight="1">
      <c r="C729" s="425" t="s">
        <v>38</v>
      </c>
      <c r="D729" s="530"/>
      <c r="E729" s="530"/>
      <c r="F729" s="531"/>
      <c r="G729" s="532" t="s">
        <v>712</v>
      </c>
      <c r="H729" s="532"/>
      <c r="I729" s="447" t="s">
        <v>691</v>
      </c>
    </row>
    <row r="730" spans="2:9" ht="20.100000000000001" customHeight="1">
      <c r="C730" s="437" t="s">
        <v>697</v>
      </c>
      <c r="D730" s="530"/>
      <c r="E730" s="530"/>
      <c r="F730" s="531"/>
      <c r="G730" s="532" t="s">
        <v>712</v>
      </c>
      <c r="H730" s="532"/>
      <c r="I730" s="688" t="s">
        <v>691</v>
      </c>
    </row>
    <row r="731" spans="2:9" ht="20.100000000000001" customHeight="1">
      <c r="C731" s="431" t="s">
        <v>701</v>
      </c>
      <c r="D731" s="530"/>
      <c r="E731" s="530"/>
      <c r="F731" s="531"/>
      <c r="G731" s="532" t="s">
        <v>712</v>
      </c>
      <c r="H731" s="532"/>
      <c r="I731" s="7" t="s">
        <v>691</v>
      </c>
    </row>
    <row r="732" spans="2:9" ht="20.100000000000001" customHeight="1">
      <c r="C732" s="431"/>
      <c r="D732" s="530"/>
      <c r="E732" s="530"/>
      <c r="F732" s="531"/>
      <c r="G732" s="532" t="s">
        <v>713</v>
      </c>
      <c r="H732" s="532"/>
      <c r="I732" s="5" t="s">
        <v>693</v>
      </c>
    </row>
    <row r="733" spans="2:9" ht="20.100000000000001" customHeight="1">
      <c r="B733" s="594" t="s">
        <v>714</v>
      </c>
      <c r="C733" s="417" t="s">
        <v>715</v>
      </c>
      <c r="D733" s="530"/>
      <c r="E733" s="530"/>
      <c r="F733" s="531"/>
      <c r="G733" s="532"/>
      <c r="H733" s="532"/>
      <c r="I733" s="447"/>
    </row>
    <row r="734" spans="2:9" ht="20.100000000000001" customHeight="1">
      <c r="C734" s="425" t="s">
        <v>104</v>
      </c>
      <c r="D734" s="530"/>
      <c r="E734" s="530"/>
      <c r="F734" s="531"/>
      <c r="G734" s="532" t="s">
        <v>716</v>
      </c>
      <c r="H734" s="532"/>
      <c r="I734" s="447" t="s">
        <v>693</v>
      </c>
    </row>
    <row r="735" spans="2:9" ht="20.100000000000001" customHeight="1">
      <c r="C735" s="437" t="s">
        <v>34</v>
      </c>
      <c r="D735" s="530"/>
      <c r="E735" s="530"/>
      <c r="F735" s="531"/>
      <c r="G735" s="532" t="s">
        <v>716</v>
      </c>
      <c r="H735" s="532"/>
      <c r="I735" s="688" t="s">
        <v>693</v>
      </c>
    </row>
    <row r="736" spans="2:9" ht="20.100000000000001" customHeight="1">
      <c r="B736" s="414" t="s">
        <v>714</v>
      </c>
      <c r="C736" s="429" t="s">
        <v>44</v>
      </c>
      <c r="D736" s="530"/>
      <c r="E736" s="530"/>
      <c r="F736" s="531"/>
      <c r="G736" s="532">
        <v>0</v>
      </c>
      <c r="H736" s="532"/>
      <c r="I736" s="447" t="s">
        <v>693</v>
      </c>
    </row>
    <row r="737" spans="2:9" ht="20.100000000000001" customHeight="1">
      <c r="B737" s="414" t="s">
        <v>717</v>
      </c>
      <c r="C737" s="429" t="s">
        <v>54</v>
      </c>
      <c r="D737" s="530"/>
      <c r="E737" s="530"/>
      <c r="F737" s="531"/>
      <c r="G737" s="532" t="s">
        <v>716</v>
      </c>
      <c r="H737" s="532"/>
      <c r="I737" s="447" t="s">
        <v>693</v>
      </c>
    </row>
    <row r="738" spans="2:9" ht="20.100000000000001" customHeight="1">
      <c r="C738" s="425" t="s">
        <v>104</v>
      </c>
      <c r="D738" s="530"/>
      <c r="E738" s="530"/>
      <c r="F738" s="531"/>
      <c r="G738" s="532" t="s">
        <v>716</v>
      </c>
      <c r="H738" s="532"/>
      <c r="I738" s="447" t="s">
        <v>693</v>
      </c>
    </row>
    <row r="739" spans="2:9" ht="20.100000000000001" customHeight="1">
      <c r="C739" s="437" t="s">
        <v>34</v>
      </c>
      <c r="D739" s="530"/>
      <c r="E739" s="530"/>
      <c r="F739" s="531"/>
      <c r="G739" s="532" t="s">
        <v>716</v>
      </c>
      <c r="H739" s="532"/>
      <c r="I739" s="688" t="s">
        <v>693</v>
      </c>
    </row>
    <row r="740" spans="2:9" ht="20.100000000000001" customHeight="1">
      <c r="C740" s="431" t="s">
        <v>465</v>
      </c>
      <c r="D740" s="530"/>
      <c r="E740" s="530"/>
      <c r="F740" s="531"/>
      <c r="G740" s="532">
        <v>0</v>
      </c>
      <c r="H740" s="532"/>
      <c r="I740" s="691" t="s">
        <v>693</v>
      </c>
    </row>
    <row r="741" spans="2:9" ht="20.100000000000001" customHeight="1">
      <c r="B741" s="594" t="s">
        <v>718</v>
      </c>
      <c r="C741" s="417" t="s">
        <v>719</v>
      </c>
      <c r="D741" s="530"/>
      <c r="E741" s="530"/>
      <c r="F741" s="531"/>
      <c r="G741" s="532"/>
      <c r="H741" s="532"/>
      <c r="I741" s="447"/>
    </row>
    <row r="742" spans="2:9" ht="20.100000000000001" customHeight="1">
      <c r="C742" s="425" t="s">
        <v>104</v>
      </c>
      <c r="D742" s="530"/>
      <c r="E742" s="530"/>
      <c r="F742" s="531"/>
      <c r="G742" s="532" t="s">
        <v>720</v>
      </c>
      <c r="H742" s="532"/>
      <c r="I742" s="447" t="s">
        <v>693</v>
      </c>
    </row>
    <row r="743" spans="2:9" ht="20.100000000000001" customHeight="1">
      <c r="C743" s="437" t="s">
        <v>299</v>
      </c>
      <c r="D743" s="530"/>
      <c r="E743" s="530"/>
      <c r="F743" s="531"/>
      <c r="G743" s="532" t="s">
        <v>720</v>
      </c>
      <c r="H743" s="532"/>
      <c r="I743" s="688" t="s">
        <v>693</v>
      </c>
    </row>
    <row r="744" spans="2:9" ht="20.100000000000001" customHeight="1">
      <c r="B744" s="414" t="s">
        <v>721</v>
      </c>
      <c r="C744" s="429" t="s">
        <v>44</v>
      </c>
      <c r="D744" s="530"/>
      <c r="E744" s="530"/>
      <c r="F744" s="531"/>
      <c r="G744" s="532"/>
      <c r="H744" s="532"/>
      <c r="I744" s="447"/>
    </row>
    <row r="745" spans="2:9" ht="20.100000000000001" customHeight="1">
      <c r="C745" s="425" t="s">
        <v>104</v>
      </c>
      <c r="D745" s="530"/>
      <c r="E745" s="530"/>
      <c r="F745" s="531"/>
      <c r="G745" s="532" t="s">
        <v>720</v>
      </c>
      <c r="H745" s="532"/>
      <c r="I745" s="447" t="s">
        <v>693</v>
      </c>
    </row>
    <row r="746" spans="2:9" ht="20.100000000000001" customHeight="1">
      <c r="C746" s="437" t="s">
        <v>317</v>
      </c>
      <c r="D746" s="530"/>
      <c r="E746" s="530"/>
      <c r="F746" s="531"/>
      <c r="G746" s="532" t="s">
        <v>720</v>
      </c>
      <c r="H746" s="532"/>
      <c r="I746" s="688" t="s">
        <v>693</v>
      </c>
    </row>
    <row r="747" spans="2:9" ht="20.100000000000001" customHeight="1">
      <c r="C747" s="431" t="s">
        <v>722</v>
      </c>
      <c r="D747" s="530"/>
      <c r="E747" s="530"/>
      <c r="F747" s="531"/>
      <c r="G747" s="532" t="s">
        <v>723</v>
      </c>
      <c r="H747" s="532"/>
      <c r="I747" s="691" t="s">
        <v>693</v>
      </c>
    </row>
    <row r="748" spans="2:9" ht="20.100000000000001" customHeight="1">
      <c r="C748" s="431" t="s">
        <v>724</v>
      </c>
      <c r="D748" s="530"/>
      <c r="E748" s="530"/>
      <c r="F748" s="531"/>
      <c r="G748" s="532" t="s">
        <v>725</v>
      </c>
      <c r="H748" s="532"/>
      <c r="I748" s="691" t="s">
        <v>693</v>
      </c>
    </row>
    <row r="749" spans="2:9" ht="20.100000000000001" customHeight="1">
      <c r="B749" s="414" t="s">
        <v>726</v>
      </c>
      <c r="C749" s="429" t="s">
        <v>54</v>
      </c>
      <c r="D749" s="530"/>
      <c r="E749" s="530"/>
      <c r="F749" s="531"/>
      <c r="G749" s="532">
        <v>0</v>
      </c>
      <c r="H749" s="532"/>
      <c r="I749" s="447" t="s">
        <v>693</v>
      </c>
    </row>
    <row r="750" spans="2:9" ht="20.100000000000001" customHeight="1">
      <c r="B750" s="594" t="s">
        <v>727</v>
      </c>
      <c r="C750" s="417" t="s">
        <v>728</v>
      </c>
      <c r="D750" s="530"/>
      <c r="E750" s="530"/>
      <c r="F750" s="531"/>
      <c r="G750" s="532"/>
      <c r="H750" s="532"/>
      <c r="I750" s="447"/>
    </row>
    <row r="751" spans="2:9" ht="20.100000000000001" customHeight="1">
      <c r="C751" s="425" t="s">
        <v>30</v>
      </c>
      <c r="D751" s="530"/>
      <c r="E751" s="530"/>
      <c r="F751" s="531"/>
      <c r="G751" s="532" t="s">
        <v>729</v>
      </c>
      <c r="H751" s="532"/>
      <c r="I751" s="9" t="s">
        <v>29</v>
      </c>
    </row>
    <row r="752" spans="2:9" ht="20.100000000000001" customHeight="1">
      <c r="C752" s="425"/>
      <c r="D752" s="530"/>
      <c r="E752" s="530"/>
      <c r="F752" s="531"/>
      <c r="G752" s="532" t="s">
        <v>730</v>
      </c>
      <c r="H752" s="532"/>
      <c r="I752" s="447" t="s">
        <v>100</v>
      </c>
    </row>
    <row r="753" spans="2:9" ht="20.100000000000001" customHeight="1">
      <c r="C753" s="437" t="s">
        <v>32</v>
      </c>
      <c r="D753" s="530"/>
      <c r="E753" s="530"/>
      <c r="F753" s="531"/>
      <c r="G753" s="532" t="s">
        <v>729</v>
      </c>
      <c r="H753" s="532"/>
      <c r="I753" s="9" t="s">
        <v>29</v>
      </c>
    </row>
    <row r="754" spans="2:9" ht="20.100000000000001" customHeight="1">
      <c r="C754" s="417"/>
      <c r="D754" s="530"/>
      <c r="E754" s="530"/>
      <c r="F754" s="531"/>
      <c r="G754" s="532" t="s">
        <v>730</v>
      </c>
      <c r="H754" s="532"/>
      <c r="I754" s="447" t="s">
        <v>100</v>
      </c>
    </row>
    <row r="755" spans="2:9" ht="20.100000000000001" customHeight="1">
      <c r="B755" s="414" t="s">
        <v>731</v>
      </c>
      <c r="C755" s="429" t="s">
        <v>44</v>
      </c>
      <c r="D755" s="530"/>
      <c r="E755" s="530"/>
      <c r="F755" s="531"/>
      <c r="G755" s="532"/>
      <c r="H755" s="532"/>
      <c r="I755" s="447"/>
    </row>
    <row r="756" spans="2:9" ht="20.100000000000001" customHeight="1">
      <c r="C756" s="425" t="s">
        <v>30</v>
      </c>
      <c r="D756" s="530"/>
      <c r="E756" s="530"/>
      <c r="F756" s="531"/>
      <c r="G756" s="532" t="s">
        <v>729</v>
      </c>
      <c r="H756" s="532"/>
      <c r="I756" s="9" t="s">
        <v>29</v>
      </c>
    </row>
    <row r="757" spans="2:9" ht="20.100000000000001" customHeight="1">
      <c r="C757" s="425"/>
      <c r="D757" s="530"/>
      <c r="E757" s="530"/>
      <c r="F757" s="531"/>
      <c r="G757" s="532" t="s">
        <v>730</v>
      </c>
      <c r="H757" s="532"/>
      <c r="I757" s="447" t="s">
        <v>100</v>
      </c>
    </row>
    <row r="758" spans="2:9" ht="20.100000000000001" customHeight="1">
      <c r="C758" s="437" t="s">
        <v>32</v>
      </c>
      <c r="D758" s="530"/>
      <c r="E758" s="530"/>
      <c r="F758" s="531"/>
      <c r="G758" s="532" t="s">
        <v>729</v>
      </c>
      <c r="H758" s="532"/>
      <c r="I758" s="6" t="s">
        <v>29</v>
      </c>
    </row>
    <row r="759" spans="2:9" ht="20.100000000000001" customHeight="1">
      <c r="C759" s="417"/>
      <c r="D759" s="530"/>
      <c r="E759" s="530"/>
      <c r="F759" s="531"/>
      <c r="G759" s="532" t="s">
        <v>730</v>
      </c>
      <c r="H759" s="532"/>
      <c r="I759" s="4" t="s">
        <v>100</v>
      </c>
    </row>
    <row r="760" spans="2:9" ht="20.100000000000001" customHeight="1">
      <c r="B760" s="414" t="s">
        <v>732</v>
      </c>
      <c r="C760" s="429" t="s">
        <v>54</v>
      </c>
      <c r="D760" s="530"/>
      <c r="E760" s="530"/>
      <c r="F760" s="531"/>
      <c r="G760" s="532">
        <v>0</v>
      </c>
      <c r="H760" s="532"/>
      <c r="I760" s="9" t="s">
        <v>29</v>
      </c>
    </row>
    <row r="761" spans="2:9" ht="20.100000000000001" customHeight="1">
      <c r="C761" s="417"/>
      <c r="D761" s="530"/>
      <c r="E761" s="530"/>
      <c r="F761" s="531"/>
      <c r="G761" s="532">
        <v>0</v>
      </c>
      <c r="H761" s="532"/>
      <c r="I761" s="447" t="s">
        <v>100</v>
      </c>
    </row>
    <row r="762" spans="2:9" ht="20.100000000000001" customHeight="1">
      <c r="B762" s="594" t="s">
        <v>733</v>
      </c>
      <c r="C762" s="417" t="s">
        <v>734</v>
      </c>
      <c r="D762" s="530"/>
      <c r="E762" s="530"/>
      <c r="F762" s="531"/>
      <c r="G762" s="532" t="s">
        <v>735</v>
      </c>
      <c r="H762" s="532"/>
      <c r="I762" s="9" t="s">
        <v>29</v>
      </c>
    </row>
    <row r="763" spans="2:9" ht="20.100000000000001" customHeight="1">
      <c r="C763" s="461"/>
      <c r="D763" s="530"/>
      <c r="E763" s="530"/>
      <c r="F763" s="531"/>
      <c r="G763" s="532" t="s">
        <v>736</v>
      </c>
      <c r="H763" s="532"/>
      <c r="I763" s="447" t="s">
        <v>100</v>
      </c>
    </row>
    <row r="764" spans="2:9" ht="20.100000000000001" customHeight="1">
      <c r="C764" s="425" t="s">
        <v>30</v>
      </c>
      <c r="D764" s="530"/>
      <c r="E764" s="530"/>
      <c r="F764" s="531"/>
      <c r="G764" s="532" t="s">
        <v>737</v>
      </c>
      <c r="H764" s="532"/>
      <c r="I764" s="9" t="s">
        <v>29</v>
      </c>
    </row>
    <row r="765" spans="2:9" ht="20.100000000000001" customHeight="1">
      <c r="C765" s="425"/>
      <c r="D765" s="530"/>
      <c r="E765" s="530"/>
      <c r="F765" s="531"/>
      <c r="G765" s="532" t="s">
        <v>738</v>
      </c>
      <c r="H765" s="532"/>
      <c r="I765" s="447" t="s">
        <v>100</v>
      </c>
    </row>
    <row r="766" spans="2:9" ht="20.100000000000001" customHeight="1">
      <c r="C766" s="437" t="s">
        <v>34</v>
      </c>
      <c r="D766" s="530"/>
      <c r="E766" s="530"/>
      <c r="F766" s="531"/>
      <c r="G766" s="532" t="s">
        <v>737</v>
      </c>
      <c r="H766" s="532"/>
      <c r="I766" s="6" t="s">
        <v>29</v>
      </c>
    </row>
    <row r="767" spans="2:9" ht="20.100000000000001" customHeight="1">
      <c r="C767" s="425"/>
      <c r="D767" s="530"/>
      <c r="E767" s="530"/>
      <c r="F767" s="531"/>
      <c r="G767" s="532" t="s">
        <v>738</v>
      </c>
      <c r="H767" s="532"/>
      <c r="I767" s="4" t="s">
        <v>100</v>
      </c>
    </row>
    <row r="768" spans="2:9" ht="20.100000000000001" customHeight="1">
      <c r="C768" s="425" t="s">
        <v>305</v>
      </c>
      <c r="D768" s="530"/>
      <c r="E768" s="530"/>
      <c r="F768" s="531"/>
      <c r="G768" s="532" t="s">
        <v>739</v>
      </c>
      <c r="H768" s="532"/>
      <c r="I768" s="9" t="s">
        <v>29</v>
      </c>
    </row>
    <row r="769" spans="2:9" ht="20.100000000000001" customHeight="1">
      <c r="C769" s="425"/>
      <c r="D769" s="530"/>
      <c r="E769" s="530"/>
      <c r="F769" s="531"/>
      <c r="G769" s="532" t="s">
        <v>740</v>
      </c>
      <c r="H769" s="532"/>
      <c r="I769" s="447" t="s">
        <v>100</v>
      </c>
    </row>
    <row r="770" spans="2:9" ht="20.100000000000001" customHeight="1">
      <c r="C770" s="437" t="s">
        <v>307</v>
      </c>
      <c r="D770" s="530"/>
      <c r="E770" s="530"/>
      <c r="F770" s="531"/>
      <c r="G770" s="532" t="s">
        <v>739</v>
      </c>
      <c r="H770" s="532"/>
      <c r="I770" s="6" t="s">
        <v>29</v>
      </c>
    </row>
    <row r="771" spans="2:9" ht="20.100000000000001" customHeight="1">
      <c r="C771" s="437"/>
      <c r="D771" s="530"/>
      <c r="E771" s="530"/>
      <c r="F771" s="531"/>
      <c r="G771" s="532" t="s">
        <v>740</v>
      </c>
      <c r="H771" s="532"/>
      <c r="I771" s="4" t="s">
        <v>100</v>
      </c>
    </row>
    <row r="772" spans="2:9" ht="20.100000000000001" customHeight="1">
      <c r="B772" s="414" t="s">
        <v>741</v>
      </c>
      <c r="C772" s="429" t="s">
        <v>44</v>
      </c>
      <c r="D772" s="530"/>
      <c r="E772" s="530"/>
      <c r="F772" s="531"/>
      <c r="G772" s="532" t="s">
        <v>742</v>
      </c>
      <c r="H772" s="532"/>
      <c r="I772" s="9" t="s">
        <v>29</v>
      </c>
    </row>
    <row r="773" spans="2:9" ht="20.100000000000001" customHeight="1">
      <c r="C773" s="417"/>
      <c r="D773" s="530"/>
      <c r="E773" s="530"/>
      <c r="F773" s="531"/>
      <c r="G773" s="532" t="s">
        <v>743</v>
      </c>
      <c r="H773" s="532"/>
      <c r="I773" s="447" t="s">
        <v>100</v>
      </c>
    </row>
    <row r="774" spans="2:9" ht="20.100000000000001" customHeight="1">
      <c r="C774" s="425" t="s">
        <v>30</v>
      </c>
      <c r="D774" s="530"/>
      <c r="E774" s="530"/>
      <c r="F774" s="531"/>
      <c r="G774" s="532" t="s">
        <v>744</v>
      </c>
      <c r="H774" s="532"/>
      <c r="I774" s="9" t="s">
        <v>29</v>
      </c>
    </row>
    <row r="775" spans="2:9" ht="20.100000000000001" customHeight="1">
      <c r="C775" s="417"/>
      <c r="D775" s="530"/>
      <c r="E775" s="530"/>
      <c r="F775" s="531"/>
      <c r="G775" s="532" t="s">
        <v>745</v>
      </c>
      <c r="H775" s="532"/>
      <c r="I775" s="447" t="s">
        <v>100</v>
      </c>
    </row>
    <row r="776" spans="2:9" ht="20.100000000000001" customHeight="1">
      <c r="C776" s="437" t="s">
        <v>34</v>
      </c>
      <c r="D776" s="530"/>
      <c r="E776" s="530"/>
      <c r="F776" s="531"/>
      <c r="G776" s="532" t="s">
        <v>744</v>
      </c>
      <c r="H776" s="532"/>
      <c r="I776" s="6" t="s">
        <v>29</v>
      </c>
    </row>
    <row r="777" spans="2:9" ht="20.100000000000001" customHeight="1">
      <c r="C777" s="425"/>
      <c r="D777" s="530"/>
      <c r="E777" s="530"/>
      <c r="F777" s="531"/>
      <c r="G777" s="532" t="s">
        <v>745</v>
      </c>
      <c r="H777" s="532"/>
      <c r="I777" s="5" t="s">
        <v>100</v>
      </c>
    </row>
    <row r="778" spans="2:9" ht="20.100000000000001" customHeight="1">
      <c r="C778" s="431" t="s">
        <v>92</v>
      </c>
      <c r="D778" s="530"/>
      <c r="E778" s="530"/>
      <c r="F778" s="531"/>
      <c r="G778" s="532" t="s">
        <v>746</v>
      </c>
      <c r="H778" s="532"/>
      <c r="I778" s="7" t="s">
        <v>29</v>
      </c>
    </row>
    <row r="779" spans="2:9" ht="20.100000000000001" customHeight="1">
      <c r="C779" s="437"/>
      <c r="D779" s="530"/>
      <c r="E779" s="530"/>
      <c r="F779" s="531"/>
      <c r="G779" s="532" t="s">
        <v>747</v>
      </c>
      <c r="H779" s="532"/>
      <c r="I779" s="5" t="s">
        <v>100</v>
      </c>
    </row>
    <row r="780" spans="2:9" ht="20.100000000000001" customHeight="1">
      <c r="C780" s="431" t="s">
        <v>60</v>
      </c>
      <c r="D780" s="530"/>
      <c r="E780" s="530"/>
      <c r="F780" s="531"/>
      <c r="G780" s="532" t="s">
        <v>748</v>
      </c>
      <c r="H780" s="532"/>
      <c r="I780" s="7" t="s">
        <v>29</v>
      </c>
    </row>
    <row r="781" spans="2:9" ht="20.100000000000001" customHeight="1">
      <c r="C781" s="425"/>
      <c r="D781" s="530"/>
      <c r="E781" s="530"/>
      <c r="F781" s="531"/>
      <c r="G781" s="532" t="s">
        <v>749</v>
      </c>
      <c r="H781" s="532"/>
      <c r="I781" s="5" t="s">
        <v>100</v>
      </c>
    </row>
    <row r="782" spans="2:9" ht="20.100000000000001" customHeight="1">
      <c r="C782" s="425" t="s">
        <v>305</v>
      </c>
      <c r="D782" s="530"/>
      <c r="E782" s="530"/>
      <c r="F782" s="531"/>
      <c r="G782" s="532" t="s">
        <v>750</v>
      </c>
      <c r="H782" s="532"/>
      <c r="I782" s="9" t="s">
        <v>29</v>
      </c>
    </row>
    <row r="783" spans="2:9" ht="20.100000000000001" customHeight="1">
      <c r="C783" s="425"/>
      <c r="D783" s="530"/>
      <c r="E783" s="530"/>
      <c r="F783" s="531"/>
      <c r="G783" s="532" t="s">
        <v>751</v>
      </c>
      <c r="H783" s="532"/>
      <c r="I783" s="447" t="s">
        <v>100</v>
      </c>
    </row>
    <row r="784" spans="2:9" ht="20.100000000000001" customHeight="1">
      <c r="C784" s="437" t="s">
        <v>307</v>
      </c>
      <c r="D784" s="530"/>
      <c r="E784" s="530"/>
      <c r="F784" s="531"/>
      <c r="G784" s="532" t="s">
        <v>750</v>
      </c>
      <c r="H784" s="532"/>
      <c r="I784" s="6" t="s">
        <v>29</v>
      </c>
    </row>
    <row r="785" spans="2:9" ht="20.100000000000001" customHeight="1">
      <c r="C785" s="437"/>
      <c r="D785" s="530"/>
      <c r="E785" s="530"/>
      <c r="F785" s="531"/>
      <c r="G785" s="532" t="s">
        <v>751</v>
      </c>
      <c r="H785" s="532"/>
      <c r="I785" s="4" t="s">
        <v>100</v>
      </c>
    </row>
    <row r="786" spans="2:9" ht="20.100000000000001" customHeight="1">
      <c r="B786" s="414" t="s">
        <v>733</v>
      </c>
      <c r="C786" s="429" t="s">
        <v>54</v>
      </c>
      <c r="D786" s="530"/>
      <c r="E786" s="530"/>
      <c r="F786" s="531"/>
      <c r="G786" s="532" t="s">
        <v>752</v>
      </c>
      <c r="H786" s="532"/>
      <c r="I786" s="9" t="s">
        <v>29</v>
      </c>
    </row>
    <row r="787" spans="2:9" ht="20.100000000000001" customHeight="1">
      <c r="C787" s="417"/>
      <c r="D787" s="530"/>
      <c r="E787" s="530"/>
      <c r="F787" s="531"/>
      <c r="G787" s="532" t="s">
        <v>753</v>
      </c>
      <c r="H787" s="532"/>
      <c r="I787" s="447" t="s">
        <v>100</v>
      </c>
    </row>
    <row r="788" spans="2:9" ht="20.100000000000001" customHeight="1">
      <c r="C788" s="425" t="s">
        <v>30</v>
      </c>
      <c r="D788" s="530"/>
      <c r="E788" s="530"/>
      <c r="F788" s="531"/>
      <c r="G788" s="532" t="s">
        <v>754</v>
      </c>
      <c r="H788" s="532"/>
      <c r="I788" s="9" t="s">
        <v>29</v>
      </c>
    </row>
    <row r="789" spans="2:9" ht="20.100000000000001" customHeight="1">
      <c r="C789" s="417"/>
      <c r="D789" s="530"/>
      <c r="E789" s="530"/>
      <c r="F789" s="531"/>
      <c r="G789" s="532" t="s">
        <v>755</v>
      </c>
      <c r="H789" s="532"/>
      <c r="I789" s="447" t="s">
        <v>100</v>
      </c>
    </row>
    <row r="790" spans="2:9" ht="20.100000000000001" customHeight="1">
      <c r="C790" s="437" t="s">
        <v>34</v>
      </c>
      <c r="D790" s="530"/>
      <c r="E790" s="530"/>
      <c r="F790" s="531"/>
      <c r="G790" s="532" t="s">
        <v>754</v>
      </c>
      <c r="H790" s="532"/>
      <c r="I790" s="6" t="s">
        <v>29</v>
      </c>
    </row>
    <row r="791" spans="2:9" ht="20.100000000000001" customHeight="1">
      <c r="C791" s="425"/>
      <c r="D791" s="530"/>
      <c r="E791" s="530"/>
      <c r="F791" s="531"/>
      <c r="G791" s="532" t="s">
        <v>755</v>
      </c>
      <c r="H791" s="532"/>
      <c r="I791" s="4" t="s">
        <v>100</v>
      </c>
    </row>
    <row r="792" spans="2:9" ht="20.100000000000001" customHeight="1">
      <c r="C792" s="431" t="s">
        <v>92</v>
      </c>
      <c r="D792" s="530"/>
      <c r="E792" s="530"/>
      <c r="F792" s="531"/>
      <c r="G792" s="532" t="s">
        <v>756</v>
      </c>
      <c r="H792" s="532"/>
      <c r="I792" s="7" t="s">
        <v>29</v>
      </c>
    </row>
    <row r="793" spans="2:9" ht="20.100000000000001" customHeight="1">
      <c r="C793" s="431"/>
      <c r="D793" s="530"/>
      <c r="E793" s="530"/>
      <c r="F793" s="531"/>
      <c r="G793" s="532" t="s">
        <v>757</v>
      </c>
      <c r="H793" s="532"/>
      <c r="I793" s="5" t="s">
        <v>100</v>
      </c>
    </row>
    <row r="794" spans="2:9" ht="20.100000000000001" customHeight="1">
      <c r="C794" s="431" t="s">
        <v>60</v>
      </c>
      <c r="D794" s="530"/>
      <c r="E794" s="530"/>
      <c r="F794" s="531"/>
      <c r="G794" s="532" t="s">
        <v>758</v>
      </c>
      <c r="H794" s="532"/>
      <c r="I794" s="7" t="s">
        <v>29</v>
      </c>
    </row>
    <row r="795" spans="2:9" ht="20.100000000000001" customHeight="1">
      <c r="C795" s="438"/>
      <c r="D795" s="530"/>
      <c r="E795" s="530"/>
      <c r="F795" s="531"/>
      <c r="G795" s="532" t="s">
        <v>759</v>
      </c>
      <c r="H795" s="532"/>
      <c r="I795" s="5" t="s">
        <v>100</v>
      </c>
    </row>
    <row r="796" spans="2:9" ht="20.100000000000001" customHeight="1">
      <c r="C796" s="690" t="s">
        <v>95</v>
      </c>
      <c r="D796" s="530"/>
      <c r="E796" s="530"/>
      <c r="F796" s="531"/>
      <c r="G796" s="532" t="s">
        <v>760</v>
      </c>
      <c r="H796" s="532"/>
      <c r="I796" s="7" t="s">
        <v>29</v>
      </c>
    </row>
    <row r="797" spans="2:9" ht="20.100000000000001" customHeight="1">
      <c r="C797" s="431"/>
      <c r="D797" s="530"/>
      <c r="E797" s="530"/>
      <c r="F797" s="531"/>
      <c r="G797" s="532" t="s">
        <v>761</v>
      </c>
      <c r="H797" s="532"/>
      <c r="I797" s="5" t="s">
        <v>100</v>
      </c>
    </row>
    <row r="798" spans="2:9" ht="20.100000000000001" customHeight="1">
      <c r="C798" s="425" t="s">
        <v>305</v>
      </c>
      <c r="D798" s="530"/>
      <c r="E798" s="530"/>
      <c r="F798" s="531"/>
      <c r="G798" s="532" t="s">
        <v>762</v>
      </c>
      <c r="H798" s="532"/>
      <c r="I798" s="9" t="s">
        <v>29</v>
      </c>
    </row>
    <row r="799" spans="2:9" ht="20.100000000000001" customHeight="1">
      <c r="C799" s="425"/>
      <c r="D799" s="530"/>
      <c r="E799" s="530"/>
      <c r="F799" s="531"/>
      <c r="G799" s="532" t="s">
        <v>763</v>
      </c>
      <c r="H799" s="532"/>
      <c r="I799" s="447" t="s">
        <v>100</v>
      </c>
    </row>
    <row r="800" spans="2:9" ht="20.100000000000001" customHeight="1">
      <c r="C800" s="437" t="s">
        <v>307</v>
      </c>
      <c r="D800" s="530"/>
      <c r="E800" s="530"/>
      <c r="F800" s="531"/>
      <c r="G800" s="532" t="s">
        <v>762</v>
      </c>
      <c r="H800" s="532"/>
      <c r="I800" s="6" t="s">
        <v>29</v>
      </c>
    </row>
    <row r="801" spans="2:9" ht="20.100000000000001" customHeight="1">
      <c r="C801" s="437"/>
      <c r="D801" s="530"/>
      <c r="E801" s="530"/>
      <c r="F801" s="531"/>
      <c r="G801" s="532" t="s">
        <v>763</v>
      </c>
      <c r="H801" s="532"/>
      <c r="I801" s="4" t="s">
        <v>100</v>
      </c>
    </row>
    <row r="802" spans="2:9" ht="20.100000000000001" customHeight="1">
      <c r="B802" s="594" t="s">
        <v>764</v>
      </c>
      <c r="C802" s="417" t="s">
        <v>765</v>
      </c>
      <c r="D802" s="530"/>
      <c r="E802" s="530"/>
      <c r="F802" s="531"/>
      <c r="G802" s="532"/>
      <c r="H802" s="532"/>
      <c r="I802" s="447"/>
    </row>
    <row r="803" spans="2:9" ht="20.100000000000001" customHeight="1">
      <c r="C803" s="425" t="s">
        <v>104</v>
      </c>
      <c r="D803" s="530"/>
      <c r="E803" s="530"/>
      <c r="F803" s="531"/>
      <c r="G803" s="532" t="s">
        <v>766</v>
      </c>
      <c r="H803" s="532"/>
      <c r="I803" s="9" t="s">
        <v>29</v>
      </c>
    </row>
    <row r="804" spans="2:9" ht="20.100000000000001" customHeight="1">
      <c r="C804" s="425"/>
      <c r="D804" s="530"/>
      <c r="E804" s="530"/>
      <c r="F804" s="531"/>
      <c r="G804" s="532" t="s">
        <v>767</v>
      </c>
      <c r="H804" s="532"/>
      <c r="I804" s="447" t="s">
        <v>100</v>
      </c>
    </row>
    <row r="805" spans="2:9" ht="20.100000000000001" customHeight="1">
      <c r="C805" s="437" t="s">
        <v>768</v>
      </c>
      <c r="D805" s="530"/>
      <c r="E805" s="530"/>
      <c r="F805" s="531"/>
      <c r="G805" s="532" t="s">
        <v>766</v>
      </c>
      <c r="H805" s="532"/>
      <c r="I805" s="6" t="s">
        <v>29</v>
      </c>
    </row>
    <row r="806" spans="2:9" ht="20.100000000000001" customHeight="1">
      <c r="C806" s="417"/>
      <c r="D806" s="530"/>
      <c r="E806" s="530"/>
      <c r="F806" s="531"/>
      <c r="G806" s="532" t="s">
        <v>767</v>
      </c>
      <c r="H806" s="532"/>
      <c r="I806" s="4" t="s">
        <v>100</v>
      </c>
    </row>
    <row r="807" spans="2:9" ht="20.100000000000001" customHeight="1">
      <c r="B807" s="414" t="s">
        <v>769</v>
      </c>
      <c r="C807" s="429" t="s">
        <v>44</v>
      </c>
      <c r="D807" s="530"/>
      <c r="E807" s="530"/>
      <c r="F807" s="531"/>
      <c r="G807" s="532"/>
      <c r="H807" s="532"/>
      <c r="I807" s="9"/>
    </row>
    <row r="808" spans="2:9" ht="20.100000000000001" customHeight="1">
      <c r="C808" s="425" t="s">
        <v>104</v>
      </c>
      <c r="D808" s="530"/>
      <c r="E808" s="530"/>
      <c r="F808" s="531"/>
      <c r="G808" s="532" t="s">
        <v>766</v>
      </c>
      <c r="H808" s="532"/>
      <c r="I808" s="9" t="s">
        <v>29</v>
      </c>
    </row>
    <row r="809" spans="2:9" ht="20.100000000000001" customHeight="1">
      <c r="C809" s="425"/>
      <c r="D809" s="530"/>
      <c r="E809" s="530"/>
      <c r="F809" s="531"/>
      <c r="G809" s="532" t="s">
        <v>767</v>
      </c>
      <c r="H809" s="532"/>
      <c r="I809" s="447" t="s">
        <v>100</v>
      </c>
    </row>
    <row r="810" spans="2:9" ht="20.100000000000001" customHeight="1">
      <c r="C810" s="437" t="s">
        <v>484</v>
      </c>
      <c r="D810" s="530"/>
      <c r="E810" s="530"/>
      <c r="F810" s="531"/>
      <c r="G810" s="532" t="s">
        <v>766</v>
      </c>
      <c r="H810" s="532"/>
      <c r="I810" s="6" t="s">
        <v>29</v>
      </c>
    </row>
    <row r="811" spans="2:9" ht="20.100000000000001" customHeight="1">
      <c r="C811" s="417"/>
      <c r="D811" s="530"/>
      <c r="E811" s="530"/>
      <c r="F811" s="531"/>
      <c r="G811" s="532" t="s">
        <v>767</v>
      </c>
      <c r="H811" s="532"/>
      <c r="I811" s="4" t="s">
        <v>100</v>
      </c>
    </row>
    <row r="812" spans="2:9" ht="20.100000000000001" customHeight="1">
      <c r="B812" s="414" t="s">
        <v>770</v>
      </c>
      <c r="C812" s="429" t="s">
        <v>54</v>
      </c>
      <c r="D812" s="530"/>
      <c r="E812" s="530"/>
      <c r="F812" s="531"/>
      <c r="G812" s="532">
        <v>0</v>
      </c>
      <c r="H812" s="532"/>
      <c r="I812" s="9" t="s">
        <v>29</v>
      </c>
    </row>
    <row r="813" spans="2:9" ht="20.100000000000001" customHeight="1">
      <c r="C813" s="417"/>
      <c r="D813" s="530"/>
      <c r="E813" s="530"/>
      <c r="F813" s="531"/>
      <c r="G813" s="532">
        <v>0</v>
      </c>
      <c r="H813" s="532"/>
      <c r="I813" s="447" t="s">
        <v>100</v>
      </c>
    </row>
    <row r="814" spans="2:9" ht="20.100000000000001" customHeight="1">
      <c r="B814" s="594" t="s">
        <v>771</v>
      </c>
      <c r="C814" s="417" t="s">
        <v>772</v>
      </c>
      <c r="D814" s="530"/>
      <c r="E814" s="530"/>
      <c r="F814" s="531"/>
      <c r="G814" s="532" t="s">
        <v>773</v>
      </c>
      <c r="H814" s="532"/>
      <c r="I814" s="9" t="s">
        <v>29</v>
      </c>
    </row>
    <row r="815" spans="2:9" ht="20.100000000000001" customHeight="1">
      <c r="C815" s="417"/>
      <c r="D815" s="530"/>
      <c r="E815" s="530"/>
      <c r="F815" s="531"/>
      <c r="G815" s="532" t="s">
        <v>774</v>
      </c>
      <c r="H815" s="532"/>
      <c r="I815" s="447" t="s">
        <v>100</v>
      </c>
    </row>
    <row r="816" spans="2:9" ht="20.100000000000001" customHeight="1">
      <c r="C816" s="425" t="s">
        <v>111</v>
      </c>
      <c r="D816" s="530"/>
      <c r="E816" s="530"/>
      <c r="F816" s="531"/>
      <c r="G816" s="532" t="s">
        <v>775</v>
      </c>
      <c r="H816" s="532"/>
      <c r="I816" s="9" t="s">
        <v>29</v>
      </c>
    </row>
    <row r="817" spans="2:9" ht="20.100000000000001" customHeight="1">
      <c r="C817" s="417"/>
      <c r="D817" s="530"/>
      <c r="E817" s="530"/>
      <c r="F817" s="531"/>
      <c r="G817" s="532" t="s">
        <v>776</v>
      </c>
      <c r="H817" s="532"/>
      <c r="I817" s="447" t="s">
        <v>100</v>
      </c>
    </row>
    <row r="818" spans="2:9" ht="20.100000000000001" customHeight="1">
      <c r="C818" s="425" t="s">
        <v>118</v>
      </c>
      <c r="D818" s="530"/>
      <c r="E818" s="530"/>
      <c r="F818" s="531"/>
      <c r="G818" s="532" t="s">
        <v>777</v>
      </c>
      <c r="H818" s="532"/>
      <c r="I818" s="9" t="s">
        <v>29</v>
      </c>
    </row>
    <row r="819" spans="2:9" ht="20.100000000000001" customHeight="1">
      <c r="C819" s="417"/>
      <c r="D819" s="530"/>
      <c r="E819" s="530"/>
      <c r="F819" s="531"/>
      <c r="G819" s="532" t="s">
        <v>778</v>
      </c>
      <c r="H819" s="532"/>
      <c r="I819" s="447" t="s">
        <v>100</v>
      </c>
    </row>
    <row r="820" spans="2:9" ht="20.100000000000001" customHeight="1">
      <c r="C820" s="425" t="s">
        <v>113</v>
      </c>
      <c r="D820" s="530"/>
      <c r="E820" s="530"/>
      <c r="F820" s="531"/>
      <c r="G820" s="532" t="s">
        <v>779</v>
      </c>
      <c r="H820" s="532"/>
      <c r="I820" s="9" t="s">
        <v>29</v>
      </c>
    </row>
    <row r="821" spans="2:9" ht="20.100000000000001" customHeight="1">
      <c r="C821" s="417"/>
      <c r="D821" s="530"/>
      <c r="E821" s="530"/>
      <c r="F821" s="531"/>
      <c r="G821" s="532" t="s">
        <v>780</v>
      </c>
      <c r="H821" s="532"/>
      <c r="I821" s="447" t="s">
        <v>100</v>
      </c>
    </row>
    <row r="822" spans="2:9" ht="20.100000000000001" customHeight="1">
      <c r="C822" s="686" t="s">
        <v>115</v>
      </c>
      <c r="D822" s="530"/>
      <c r="E822" s="530"/>
      <c r="F822" s="531"/>
      <c r="G822" s="532" t="s">
        <v>781</v>
      </c>
      <c r="H822" s="532"/>
      <c r="I822" s="9" t="s">
        <v>29</v>
      </c>
    </row>
    <row r="823" spans="2:9" ht="20.100000000000001" customHeight="1">
      <c r="C823" s="417"/>
      <c r="D823" s="530"/>
      <c r="E823" s="530"/>
      <c r="F823" s="531"/>
      <c r="G823" s="532" t="s">
        <v>782</v>
      </c>
      <c r="H823" s="532"/>
      <c r="I823" s="447" t="s">
        <v>100</v>
      </c>
    </row>
    <row r="824" spans="2:9" ht="20.100000000000001" customHeight="1">
      <c r="C824" s="425" t="s">
        <v>136</v>
      </c>
      <c r="D824" s="530"/>
      <c r="E824" s="530"/>
      <c r="F824" s="531"/>
      <c r="G824" s="532">
        <v>0</v>
      </c>
      <c r="H824" s="532"/>
      <c r="I824" s="9" t="s">
        <v>29</v>
      </c>
    </row>
    <row r="825" spans="2:9" ht="20.100000000000001" customHeight="1">
      <c r="C825" s="464"/>
      <c r="D825" s="530"/>
      <c r="E825" s="530"/>
      <c r="F825" s="531"/>
      <c r="G825" s="532">
        <v>0</v>
      </c>
      <c r="H825" s="532"/>
      <c r="I825" s="447" t="s">
        <v>100</v>
      </c>
    </row>
    <row r="826" spans="2:9" ht="20.100000000000001" customHeight="1">
      <c r="B826" s="414" t="s">
        <v>783</v>
      </c>
      <c r="C826" s="429" t="s">
        <v>44</v>
      </c>
      <c r="D826" s="530"/>
      <c r="E826" s="530"/>
      <c r="F826" s="531"/>
      <c r="G826" s="532" t="s">
        <v>784</v>
      </c>
      <c r="H826" s="532"/>
      <c r="I826" s="9" t="s">
        <v>29</v>
      </c>
    </row>
    <row r="827" spans="2:9" ht="20.100000000000001" customHeight="1">
      <c r="C827" s="417"/>
      <c r="D827" s="530"/>
      <c r="E827" s="530"/>
      <c r="F827" s="531"/>
      <c r="G827" s="532" t="s">
        <v>785</v>
      </c>
      <c r="H827" s="532"/>
      <c r="I827" s="447" t="s">
        <v>100</v>
      </c>
    </row>
    <row r="828" spans="2:9" ht="20.100000000000001" customHeight="1">
      <c r="C828" s="425" t="s">
        <v>118</v>
      </c>
      <c r="D828" s="530"/>
      <c r="E828" s="530"/>
      <c r="F828" s="531"/>
      <c r="G828" s="532" t="s">
        <v>786</v>
      </c>
      <c r="H828" s="532"/>
      <c r="I828" s="9" t="s">
        <v>29</v>
      </c>
    </row>
    <row r="829" spans="2:9" ht="20.100000000000001" customHeight="1">
      <c r="C829" s="417"/>
      <c r="D829" s="530"/>
      <c r="E829" s="530"/>
      <c r="F829" s="531"/>
      <c r="G829" s="532" t="s">
        <v>787</v>
      </c>
      <c r="H829" s="532"/>
      <c r="I829" s="447" t="s">
        <v>100</v>
      </c>
    </row>
    <row r="830" spans="2:9" ht="20.100000000000001" customHeight="1">
      <c r="C830" s="425" t="s">
        <v>113</v>
      </c>
      <c r="D830" s="530"/>
      <c r="E830" s="530"/>
      <c r="F830" s="531"/>
      <c r="G830" s="532" t="s">
        <v>779</v>
      </c>
      <c r="H830" s="532"/>
      <c r="I830" s="9" t="s">
        <v>29</v>
      </c>
    </row>
    <row r="831" spans="2:9" ht="20.100000000000001" customHeight="1">
      <c r="C831" s="417"/>
      <c r="D831" s="530"/>
      <c r="E831" s="530"/>
      <c r="F831" s="531"/>
      <c r="G831" s="532" t="s">
        <v>780</v>
      </c>
      <c r="H831" s="532"/>
      <c r="I831" s="447" t="s">
        <v>100</v>
      </c>
    </row>
    <row r="832" spans="2:9" ht="20.100000000000001" customHeight="1">
      <c r="C832" s="686" t="s">
        <v>115</v>
      </c>
      <c r="D832" s="530"/>
      <c r="E832" s="530"/>
      <c r="F832" s="531"/>
      <c r="G832" s="532" t="s">
        <v>781</v>
      </c>
      <c r="H832" s="532"/>
      <c r="I832" s="9" t="s">
        <v>29</v>
      </c>
    </row>
    <row r="833" spans="2:9" ht="20.100000000000001" customHeight="1">
      <c r="C833" s="417"/>
      <c r="D833" s="530"/>
      <c r="E833" s="530"/>
      <c r="F833" s="531"/>
      <c r="G833" s="532" t="s">
        <v>782</v>
      </c>
      <c r="H833" s="532"/>
      <c r="I833" s="447" t="s">
        <v>100</v>
      </c>
    </row>
    <row r="834" spans="2:9" ht="20.100000000000001" customHeight="1">
      <c r="B834" s="414" t="s">
        <v>788</v>
      </c>
      <c r="C834" s="429" t="s">
        <v>54</v>
      </c>
      <c r="D834" s="530"/>
      <c r="E834" s="530"/>
      <c r="F834" s="531"/>
      <c r="G834" s="532" t="s">
        <v>789</v>
      </c>
      <c r="H834" s="532"/>
      <c r="I834" s="9" t="s">
        <v>29</v>
      </c>
    </row>
    <row r="835" spans="2:9" ht="20.100000000000001" customHeight="1">
      <c r="C835" s="417"/>
      <c r="D835" s="530"/>
      <c r="E835" s="530"/>
      <c r="F835" s="531"/>
      <c r="G835" s="532" t="s">
        <v>790</v>
      </c>
      <c r="H835" s="532"/>
      <c r="I835" s="447" t="s">
        <v>100</v>
      </c>
    </row>
    <row r="836" spans="2:9" ht="20.100000000000001" customHeight="1">
      <c r="C836" s="425" t="s">
        <v>111</v>
      </c>
      <c r="D836" s="530"/>
      <c r="E836" s="530"/>
      <c r="F836" s="531"/>
      <c r="G836" s="532" t="s">
        <v>775</v>
      </c>
      <c r="H836" s="532"/>
      <c r="I836" s="9" t="s">
        <v>29</v>
      </c>
    </row>
    <row r="837" spans="2:9" ht="20.100000000000001" customHeight="1">
      <c r="C837" s="417"/>
      <c r="D837" s="530"/>
      <c r="E837" s="530"/>
      <c r="F837" s="531"/>
      <c r="G837" s="532" t="s">
        <v>776</v>
      </c>
      <c r="H837" s="532"/>
      <c r="I837" s="447" t="s">
        <v>100</v>
      </c>
    </row>
    <row r="838" spans="2:9" ht="20.100000000000001" customHeight="1">
      <c r="C838" s="421" t="s">
        <v>791</v>
      </c>
      <c r="D838" s="530"/>
      <c r="E838" s="530"/>
      <c r="F838" s="531"/>
      <c r="G838" s="532"/>
      <c r="H838" s="532"/>
      <c r="I838" s="447" t="s">
        <v>29</v>
      </c>
    </row>
    <row r="839" spans="2:9" ht="20.100000000000001" customHeight="1">
      <c r="C839" s="416"/>
      <c r="D839" s="530"/>
      <c r="E839" s="530"/>
      <c r="F839" s="531"/>
      <c r="G839" s="532"/>
      <c r="H839" s="532"/>
      <c r="I839" s="447" t="s">
        <v>100</v>
      </c>
    </row>
    <row r="840" spans="2:9" ht="20.100000000000001" customHeight="1">
      <c r="C840" s="421" t="s">
        <v>792</v>
      </c>
      <c r="D840" s="530"/>
      <c r="E840" s="530"/>
      <c r="F840" s="531"/>
      <c r="G840" s="532"/>
      <c r="H840" s="532"/>
      <c r="I840" s="9" t="s">
        <v>29</v>
      </c>
    </row>
    <row r="841" spans="2:9" ht="20.100000000000001" customHeight="1">
      <c r="C841" s="464"/>
      <c r="D841" s="530"/>
      <c r="E841" s="530"/>
      <c r="F841" s="531"/>
      <c r="G841" s="532"/>
      <c r="H841" s="532"/>
      <c r="I841" s="447" t="s">
        <v>100</v>
      </c>
    </row>
    <row r="842" spans="2:9" ht="20.100000000000001" customHeight="1">
      <c r="B842" s="594" t="s">
        <v>793</v>
      </c>
      <c r="C842" s="417" t="s">
        <v>794</v>
      </c>
      <c r="D842" s="530"/>
      <c r="E842" s="530"/>
      <c r="F842" s="531"/>
      <c r="G842" s="532" t="s">
        <v>795</v>
      </c>
      <c r="H842" s="532"/>
      <c r="I842" s="447" t="s">
        <v>100</v>
      </c>
    </row>
    <row r="843" spans="2:9" ht="20.100000000000001" customHeight="1">
      <c r="C843" s="425" t="s">
        <v>104</v>
      </c>
      <c r="D843" s="530"/>
      <c r="E843" s="530"/>
      <c r="F843" s="531"/>
      <c r="G843" s="532" t="s">
        <v>795</v>
      </c>
      <c r="H843" s="532"/>
      <c r="I843" s="447" t="s">
        <v>100</v>
      </c>
    </row>
    <row r="844" spans="2:9" ht="20.100000000000001" customHeight="1">
      <c r="C844" s="437" t="s">
        <v>156</v>
      </c>
      <c r="D844" s="530"/>
      <c r="E844" s="530"/>
      <c r="F844" s="531"/>
      <c r="G844" s="532" t="s">
        <v>796</v>
      </c>
      <c r="H844" s="532"/>
      <c r="I844" s="688" t="s">
        <v>100</v>
      </c>
    </row>
    <row r="845" spans="2:9" ht="20.100000000000001" customHeight="1">
      <c r="C845" s="437" t="s">
        <v>477</v>
      </c>
      <c r="D845" s="530"/>
      <c r="E845" s="530"/>
      <c r="F845" s="531"/>
      <c r="G845" s="532" t="s">
        <v>797</v>
      </c>
      <c r="H845" s="532"/>
      <c r="I845" s="688" t="s">
        <v>100</v>
      </c>
    </row>
    <row r="846" spans="2:9" ht="20.100000000000001" customHeight="1">
      <c r="C846" s="437" t="s">
        <v>36</v>
      </c>
      <c r="D846" s="530"/>
      <c r="E846" s="530"/>
      <c r="F846" s="531"/>
      <c r="G846" s="532" t="s">
        <v>798</v>
      </c>
      <c r="H846" s="532"/>
      <c r="I846" s="688" t="s">
        <v>100</v>
      </c>
    </row>
    <row r="847" spans="2:9" ht="20.100000000000001" customHeight="1">
      <c r="B847" s="414" t="s">
        <v>799</v>
      </c>
      <c r="C847" s="429" t="s">
        <v>44</v>
      </c>
      <c r="D847" s="530"/>
      <c r="E847" s="530"/>
      <c r="F847" s="531"/>
      <c r="G847" s="532" t="s">
        <v>800</v>
      </c>
      <c r="H847" s="532"/>
      <c r="I847" s="447" t="s">
        <v>100</v>
      </c>
    </row>
    <row r="848" spans="2:9" ht="20.100000000000001" customHeight="1">
      <c r="C848" s="425" t="s">
        <v>104</v>
      </c>
      <c r="D848" s="530"/>
      <c r="E848" s="530"/>
      <c r="F848" s="531"/>
      <c r="G848" s="532" t="s">
        <v>800</v>
      </c>
      <c r="H848" s="532"/>
      <c r="I848" s="447" t="s">
        <v>100</v>
      </c>
    </row>
    <row r="849" spans="2:9" ht="20.100000000000001" customHeight="1">
      <c r="C849" s="437" t="s">
        <v>355</v>
      </c>
      <c r="D849" s="530"/>
      <c r="E849" s="530"/>
      <c r="F849" s="531"/>
      <c r="G849" s="532" t="s">
        <v>801</v>
      </c>
      <c r="H849" s="532"/>
      <c r="I849" s="688" t="s">
        <v>100</v>
      </c>
    </row>
    <row r="850" spans="2:9" ht="20.100000000000001" customHeight="1">
      <c r="C850" s="437" t="s">
        <v>477</v>
      </c>
      <c r="D850" s="530"/>
      <c r="E850" s="530"/>
      <c r="F850" s="531"/>
      <c r="G850" s="532" t="s">
        <v>797</v>
      </c>
      <c r="H850" s="532"/>
      <c r="I850" s="688" t="s">
        <v>100</v>
      </c>
    </row>
    <row r="851" spans="2:9" ht="20.100000000000001" customHeight="1">
      <c r="C851" s="437" t="s">
        <v>36</v>
      </c>
      <c r="D851" s="530"/>
      <c r="E851" s="530"/>
      <c r="F851" s="531"/>
      <c r="G851" s="532" t="s">
        <v>798</v>
      </c>
      <c r="H851" s="532"/>
      <c r="I851" s="688" t="s">
        <v>100</v>
      </c>
    </row>
    <row r="852" spans="2:9" ht="20.100000000000001" customHeight="1">
      <c r="B852" s="414" t="s">
        <v>802</v>
      </c>
      <c r="C852" s="429" t="s">
        <v>54</v>
      </c>
      <c r="D852" s="530"/>
      <c r="E852" s="530"/>
      <c r="F852" s="531"/>
      <c r="G852" s="532">
        <v>0</v>
      </c>
      <c r="H852" s="532"/>
      <c r="I852" s="447" t="s">
        <v>100</v>
      </c>
    </row>
    <row r="853" spans="2:9" ht="20.100000000000001" customHeight="1">
      <c r="C853" s="425" t="s">
        <v>803</v>
      </c>
      <c r="D853" s="530"/>
      <c r="E853" s="530"/>
      <c r="F853" s="531"/>
      <c r="G853" s="532">
        <v>0</v>
      </c>
      <c r="H853" s="532"/>
      <c r="I853" s="447" t="s">
        <v>100</v>
      </c>
    </row>
    <row r="854" spans="2:9" ht="20.100000000000001" customHeight="1">
      <c r="C854" s="437" t="s">
        <v>355</v>
      </c>
      <c r="D854" s="530"/>
      <c r="E854" s="530"/>
      <c r="F854" s="531"/>
      <c r="G854" s="532"/>
      <c r="H854" s="532"/>
      <c r="I854" s="688" t="s">
        <v>100</v>
      </c>
    </row>
    <row r="855" spans="2:9" ht="20.100000000000001" customHeight="1">
      <c r="C855" s="439" t="s">
        <v>804</v>
      </c>
      <c r="D855" s="530"/>
      <c r="E855" s="530"/>
      <c r="F855" s="531"/>
      <c r="G855" s="532"/>
      <c r="H855" s="532"/>
      <c r="I855" s="447"/>
    </row>
    <row r="856" spans="2:9" ht="20.100000000000001" customHeight="1">
      <c r="C856" s="417" t="s">
        <v>805</v>
      </c>
      <c r="D856" s="530"/>
      <c r="E856" s="530"/>
      <c r="F856" s="531"/>
      <c r="G856" s="532"/>
      <c r="H856" s="532"/>
      <c r="I856" s="447"/>
    </row>
    <row r="857" spans="2:9" ht="20.100000000000001" customHeight="1">
      <c r="C857" s="425" t="s">
        <v>806</v>
      </c>
      <c r="D857" s="530"/>
      <c r="E857" s="530"/>
      <c r="F857" s="531"/>
      <c r="G857" s="532" t="s">
        <v>807</v>
      </c>
      <c r="H857" s="532"/>
      <c r="I857" s="447" t="s">
        <v>100</v>
      </c>
    </row>
    <row r="858" spans="2:9" ht="20.100000000000001" customHeight="1">
      <c r="C858" s="437" t="s">
        <v>808</v>
      </c>
      <c r="D858" s="530"/>
      <c r="E858" s="530"/>
      <c r="F858" s="531"/>
      <c r="G858" s="532"/>
      <c r="H858" s="532"/>
      <c r="I858" s="447"/>
    </row>
    <row r="859" spans="2:9" ht="20.100000000000001" customHeight="1">
      <c r="C859" s="440" t="s">
        <v>809</v>
      </c>
      <c r="D859" s="530"/>
      <c r="E859" s="530"/>
      <c r="F859" s="531"/>
      <c r="G859" s="532"/>
      <c r="H859" s="532"/>
      <c r="I859" s="441"/>
    </row>
    <row r="860" spans="2:9" ht="20.100000000000001" customHeight="1">
      <c r="C860" s="461"/>
      <c r="D860" s="530"/>
      <c r="E860" s="530"/>
      <c r="F860" s="531"/>
      <c r="G860" s="532"/>
      <c r="H860" s="532"/>
      <c r="I860" s="441"/>
    </row>
    <row r="861" spans="2:9" ht="20.100000000000001" customHeight="1">
      <c r="B861" s="417" t="s">
        <v>810</v>
      </c>
      <c r="C861" s="417"/>
      <c r="D861" s="530"/>
      <c r="E861" s="530"/>
      <c r="F861" s="531"/>
      <c r="G861" s="532"/>
      <c r="H861" s="532"/>
      <c r="I861" s="417"/>
    </row>
    <row r="862" spans="2:9" ht="20.100000000000001" customHeight="1">
      <c r="C862" s="417" t="s">
        <v>811</v>
      </c>
      <c r="D862" s="530"/>
      <c r="E862" s="530"/>
      <c r="F862" s="531"/>
      <c r="G862" s="532"/>
      <c r="H862" s="532"/>
      <c r="I862" s="447"/>
    </row>
    <row r="863" spans="2:9" ht="20.100000000000001" customHeight="1">
      <c r="B863" s="594" t="s">
        <v>26</v>
      </c>
      <c r="C863" s="598" t="s">
        <v>812</v>
      </c>
      <c r="D863" s="530"/>
      <c r="E863" s="530"/>
      <c r="F863" s="531"/>
      <c r="G863" s="532" t="s">
        <v>813</v>
      </c>
      <c r="H863" s="532"/>
      <c r="I863" s="447" t="s">
        <v>814</v>
      </c>
    </row>
    <row r="864" spans="2:9" ht="34.5" customHeight="1">
      <c r="B864" s="594" t="s">
        <v>43</v>
      </c>
      <c r="C864" s="598" t="s">
        <v>815</v>
      </c>
      <c r="D864" s="530"/>
      <c r="E864" s="530"/>
      <c r="F864" s="531"/>
      <c r="G864" s="532" t="s">
        <v>816</v>
      </c>
      <c r="H864" s="532"/>
      <c r="I864" s="447" t="s">
        <v>814</v>
      </c>
    </row>
    <row r="865" spans="2:9" ht="20.100000000000001" customHeight="1">
      <c r="C865" s="746" t="s">
        <v>817</v>
      </c>
      <c r="D865" s="530"/>
      <c r="E865" s="530"/>
      <c r="F865" s="531"/>
      <c r="G865" s="532" t="s">
        <v>818</v>
      </c>
      <c r="H865" s="532"/>
      <c r="I865" s="688" t="s">
        <v>814</v>
      </c>
    </row>
    <row r="866" spans="2:9" ht="20.100000000000001" customHeight="1">
      <c r="C866" s="744"/>
      <c r="D866" s="530"/>
      <c r="E866" s="530"/>
      <c r="F866" s="531"/>
      <c r="G866" s="532" t="s">
        <v>819</v>
      </c>
      <c r="H866" s="532"/>
      <c r="I866" s="688" t="s">
        <v>820</v>
      </c>
    </row>
    <row r="867" spans="2:9" ht="20.100000000000001" customHeight="1">
      <c r="C867" s="600" t="s">
        <v>821</v>
      </c>
      <c r="D867" s="530"/>
      <c r="E867" s="530"/>
      <c r="F867" s="531"/>
      <c r="G867" s="532" t="s">
        <v>822</v>
      </c>
      <c r="H867" s="532"/>
      <c r="I867" s="688" t="s">
        <v>814</v>
      </c>
    </row>
    <row r="868" spans="2:9" ht="20.100000000000001" customHeight="1">
      <c r="C868" s="442" t="s">
        <v>823</v>
      </c>
      <c r="D868" s="530"/>
      <c r="E868" s="530"/>
      <c r="F868" s="531"/>
      <c r="G868" s="532" t="s">
        <v>824</v>
      </c>
      <c r="H868" s="532"/>
      <c r="I868" s="691" t="s">
        <v>814</v>
      </c>
    </row>
    <row r="869" spans="2:9" ht="20.100000000000001" customHeight="1">
      <c r="C869" s="600" t="s">
        <v>805</v>
      </c>
      <c r="D869" s="530"/>
      <c r="E869" s="530"/>
      <c r="F869" s="531"/>
      <c r="G869" s="532" t="s">
        <v>825</v>
      </c>
      <c r="H869" s="532"/>
      <c r="I869" s="688" t="s">
        <v>814</v>
      </c>
    </row>
    <row r="870" spans="2:9" ht="20.100000000000001" customHeight="1">
      <c r="C870" s="442" t="s">
        <v>826</v>
      </c>
      <c r="D870" s="530"/>
      <c r="E870" s="530"/>
      <c r="F870" s="531"/>
      <c r="G870" s="532" t="s">
        <v>827</v>
      </c>
      <c r="H870" s="532"/>
      <c r="I870" s="691" t="s">
        <v>814</v>
      </c>
    </row>
    <row r="871" spans="2:9" ht="20.100000000000001" customHeight="1">
      <c r="C871" s="764" t="s">
        <v>828</v>
      </c>
      <c r="D871" s="530"/>
      <c r="E871" s="530"/>
      <c r="F871" s="531"/>
      <c r="G871" s="532" t="s">
        <v>829</v>
      </c>
      <c r="H871" s="532"/>
      <c r="I871" s="691" t="s">
        <v>814</v>
      </c>
    </row>
    <row r="872" spans="2:9" ht="20.100000000000001" customHeight="1">
      <c r="C872" s="744"/>
      <c r="D872" s="530"/>
      <c r="E872" s="530"/>
      <c r="F872" s="531"/>
      <c r="G872" s="532" t="s">
        <v>830</v>
      </c>
      <c r="H872" s="532"/>
      <c r="I872" s="691" t="s">
        <v>820</v>
      </c>
    </row>
    <row r="873" spans="2:9" ht="20.100000000000001" customHeight="1">
      <c r="B873" s="745" t="s">
        <v>53</v>
      </c>
      <c r="C873" s="743" t="s">
        <v>831</v>
      </c>
      <c r="D873" s="530"/>
      <c r="E873" s="530"/>
      <c r="F873" s="531"/>
      <c r="G873" s="532" t="s">
        <v>832</v>
      </c>
      <c r="H873" s="532"/>
      <c r="I873" s="447" t="s">
        <v>814</v>
      </c>
    </row>
    <row r="874" spans="2:9" ht="20.100000000000001" customHeight="1">
      <c r="B874" s="745"/>
      <c r="C874" s="744"/>
      <c r="D874" s="530"/>
      <c r="E874" s="530"/>
      <c r="F874" s="531"/>
      <c r="G874" s="532" t="s">
        <v>833</v>
      </c>
      <c r="H874" s="532"/>
      <c r="I874" s="711" t="s">
        <v>820</v>
      </c>
    </row>
    <row r="875" spans="2:9" ht="20.100000000000001" customHeight="1">
      <c r="C875" s="746" t="s">
        <v>817</v>
      </c>
      <c r="D875" s="530"/>
      <c r="E875" s="530"/>
      <c r="F875" s="531"/>
      <c r="G875" s="532" t="s">
        <v>834</v>
      </c>
      <c r="H875" s="532"/>
      <c r="I875" s="688" t="s">
        <v>814</v>
      </c>
    </row>
    <row r="876" spans="2:9" ht="20.100000000000001" customHeight="1">
      <c r="C876" s="744"/>
      <c r="D876" s="530"/>
      <c r="E876" s="530"/>
      <c r="F876" s="531"/>
      <c r="G876" s="532" t="s">
        <v>835</v>
      </c>
      <c r="H876" s="532"/>
      <c r="I876" s="688" t="s">
        <v>820</v>
      </c>
    </row>
    <row r="877" spans="2:9" ht="20.100000000000001" customHeight="1">
      <c r="B877" s="745" t="s">
        <v>836</v>
      </c>
      <c r="C877" s="743" t="s">
        <v>837</v>
      </c>
      <c r="D877" s="530"/>
      <c r="E877" s="530"/>
      <c r="F877" s="531"/>
      <c r="G877" s="532" t="s">
        <v>838</v>
      </c>
      <c r="H877" s="532"/>
      <c r="I877" s="447" t="s">
        <v>814</v>
      </c>
    </row>
    <row r="878" spans="2:9" ht="20.100000000000001" customHeight="1">
      <c r="B878" s="745"/>
      <c r="C878" s="744"/>
      <c r="D878" s="530"/>
      <c r="E878" s="530"/>
      <c r="F878" s="531"/>
      <c r="G878" s="532" t="s">
        <v>839</v>
      </c>
      <c r="H878" s="532"/>
      <c r="I878" s="711" t="s">
        <v>820</v>
      </c>
    </row>
    <row r="879" spans="2:9" ht="20.100000000000001" customHeight="1">
      <c r="C879" s="746" t="s">
        <v>817</v>
      </c>
      <c r="D879" s="530"/>
      <c r="E879" s="530"/>
      <c r="F879" s="531"/>
      <c r="G879" s="532" t="s">
        <v>840</v>
      </c>
      <c r="H879" s="532"/>
      <c r="I879" s="688" t="s">
        <v>814</v>
      </c>
    </row>
    <row r="880" spans="2:9" ht="20.100000000000001" customHeight="1">
      <c r="C880" s="744"/>
      <c r="D880" s="530"/>
      <c r="E880" s="530"/>
      <c r="F880" s="531"/>
      <c r="G880" s="532" t="s">
        <v>841</v>
      </c>
      <c r="H880" s="532"/>
      <c r="I880" s="688" t="s">
        <v>820</v>
      </c>
    </row>
    <row r="881" spans="2:9" ht="20.100000000000001" customHeight="1">
      <c r="B881" s="594" t="s">
        <v>842</v>
      </c>
      <c r="C881" s="598" t="s">
        <v>843</v>
      </c>
      <c r="D881" s="530"/>
      <c r="E881" s="530"/>
      <c r="F881" s="531"/>
      <c r="G881" s="532" t="s">
        <v>844</v>
      </c>
      <c r="H881" s="532"/>
      <c r="I881" s="447" t="s">
        <v>814</v>
      </c>
    </row>
    <row r="882" spans="2:9" ht="20.100000000000001" customHeight="1">
      <c r="C882" s="600" t="s">
        <v>845</v>
      </c>
      <c r="D882" s="530"/>
      <c r="E882" s="530"/>
      <c r="F882" s="531"/>
      <c r="G882" s="532" t="s">
        <v>846</v>
      </c>
      <c r="H882" s="532"/>
      <c r="I882" s="688" t="s">
        <v>814</v>
      </c>
    </row>
    <row r="883" spans="2:9" ht="20.100000000000001" customHeight="1">
      <c r="C883" s="746" t="s">
        <v>847</v>
      </c>
      <c r="D883" s="530"/>
      <c r="E883" s="530"/>
      <c r="F883" s="531"/>
      <c r="G883" s="532" t="s">
        <v>848</v>
      </c>
      <c r="H883" s="532"/>
      <c r="I883" s="688" t="s">
        <v>814</v>
      </c>
    </row>
    <row r="884" spans="2:9" ht="20.100000000000001" customHeight="1">
      <c r="C884" s="744"/>
      <c r="D884" s="530"/>
      <c r="E884" s="530"/>
      <c r="F884" s="531"/>
      <c r="G884" s="532" t="s">
        <v>849</v>
      </c>
      <c r="H884" s="532"/>
      <c r="I884" s="688" t="s">
        <v>820</v>
      </c>
    </row>
    <row r="885" spans="2:9" ht="20.100000000000001" customHeight="1">
      <c r="B885" s="594" t="s">
        <v>850</v>
      </c>
      <c r="C885" s="598" t="s">
        <v>851</v>
      </c>
      <c r="D885" s="530"/>
      <c r="E885" s="530"/>
      <c r="F885" s="531"/>
      <c r="G885" s="532" t="s">
        <v>852</v>
      </c>
      <c r="H885" s="532"/>
      <c r="I885" s="447" t="s">
        <v>814</v>
      </c>
    </row>
    <row r="886" spans="2:9" ht="20.100000000000001" customHeight="1">
      <c r="B886" s="594" t="s">
        <v>82</v>
      </c>
      <c r="C886" s="598" t="s">
        <v>853</v>
      </c>
      <c r="D886" s="530"/>
      <c r="E886" s="530"/>
      <c r="F886" s="531"/>
      <c r="G886" s="532" t="s">
        <v>854</v>
      </c>
      <c r="H886" s="532"/>
      <c r="I886" s="447" t="s">
        <v>814</v>
      </c>
    </row>
    <row r="887" spans="2:9" ht="20.100000000000001" customHeight="1">
      <c r="C887" s="600" t="s">
        <v>855</v>
      </c>
      <c r="D887" s="530"/>
      <c r="E887" s="530"/>
      <c r="F887" s="531"/>
      <c r="G887" s="532" t="s">
        <v>856</v>
      </c>
      <c r="H887" s="532"/>
      <c r="I887" s="688" t="s">
        <v>814</v>
      </c>
    </row>
    <row r="888" spans="2:9" ht="20.100000000000001" customHeight="1">
      <c r="C888" s="600" t="s">
        <v>857</v>
      </c>
      <c r="D888" s="530"/>
      <c r="E888" s="530"/>
      <c r="F888" s="531"/>
      <c r="G888" s="532" t="s">
        <v>858</v>
      </c>
      <c r="H888" s="532"/>
      <c r="I888" s="688" t="s">
        <v>814</v>
      </c>
    </row>
    <row r="889" spans="2:9" ht="20.100000000000001" customHeight="1">
      <c r="C889" s="600" t="s">
        <v>859</v>
      </c>
      <c r="D889" s="530"/>
      <c r="E889" s="530"/>
      <c r="F889" s="531"/>
      <c r="G889" s="532" t="s">
        <v>860</v>
      </c>
      <c r="H889" s="532"/>
      <c r="I889" s="688" t="s">
        <v>814</v>
      </c>
    </row>
    <row r="890" spans="2:9" ht="20.100000000000001" customHeight="1">
      <c r="C890" s="600" t="s">
        <v>861</v>
      </c>
      <c r="D890" s="530"/>
      <c r="E890" s="530"/>
      <c r="F890" s="531"/>
      <c r="G890" s="532" t="s">
        <v>862</v>
      </c>
      <c r="H890" s="532"/>
      <c r="I890" s="688" t="s">
        <v>814</v>
      </c>
    </row>
    <row r="891" spans="2:9" ht="37.5" customHeight="1">
      <c r="B891" s="594" t="s">
        <v>84</v>
      </c>
      <c r="C891" s="597" t="s">
        <v>863</v>
      </c>
      <c r="D891" s="530"/>
      <c r="E891" s="530"/>
      <c r="F891" s="531"/>
      <c r="G891" s="532" t="s">
        <v>864</v>
      </c>
      <c r="H891" s="532"/>
      <c r="I891" s="629" t="s">
        <v>814</v>
      </c>
    </row>
    <row r="892" spans="2:9" ht="20.100000000000001" customHeight="1">
      <c r="C892" s="596" t="s">
        <v>855</v>
      </c>
      <c r="D892" s="530"/>
      <c r="E892" s="530"/>
      <c r="F892" s="531"/>
      <c r="G892" s="532" t="s">
        <v>865</v>
      </c>
      <c r="H892" s="532"/>
      <c r="I892" s="688" t="s">
        <v>814</v>
      </c>
    </row>
    <row r="893" spans="2:9" ht="20.100000000000001" customHeight="1">
      <c r="C893" s="596" t="s">
        <v>857</v>
      </c>
      <c r="D893" s="530"/>
      <c r="E893" s="530"/>
      <c r="F893" s="531"/>
      <c r="G893" s="532" t="s">
        <v>866</v>
      </c>
      <c r="H893" s="532"/>
      <c r="I893" s="688" t="s">
        <v>814</v>
      </c>
    </row>
    <row r="894" spans="2:9" ht="20.100000000000001" customHeight="1">
      <c r="C894" s="600" t="s">
        <v>859</v>
      </c>
      <c r="D894" s="530"/>
      <c r="E894" s="530"/>
      <c r="F894" s="531"/>
      <c r="G894" s="532" t="s">
        <v>867</v>
      </c>
      <c r="H894" s="532"/>
      <c r="I894" s="688" t="s">
        <v>814</v>
      </c>
    </row>
    <row r="895" spans="2:9" ht="20.100000000000001" customHeight="1">
      <c r="C895" s="600" t="s">
        <v>861</v>
      </c>
      <c r="D895" s="530"/>
      <c r="E895" s="530"/>
      <c r="F895" s="531"/>
      <c r="G895" s="532" t="s">
        <v>868</v>
      </c>
      <c r="H895" s="532"/>
      <c r="I895" s="688" t="s">
        <v>814</v>
      </c>
    </row>
    <row r="896" spans="2:9" ht="20.100000000000001" customHeight="1">
      <c r="B896" s="745" t="s">
        <v>869</v>
      </c>
      <c r="C896" s="743" t="s">
        <v>870</v>
      </c>
      <c r="D896" s="530"/>
      <c r="E896" s="530"/>
      <c r="F896" s="531"/>
      <c r="G896" s="532" t="s">
        <v>871</v>
      </c>
      <c r="H896" s="532"/>
      <c r="I896" s="629" t="s">
        <v>814</v>
      </c>
    </row>
    <row r="897" spans="2:9" ht="20.100000000000001" customHeight="1">
      <c r="B897" s="745"/>
      <c r="C897" s="744"/>
      <c r="D897" s="530"/>
      <c r="E897" s="530"/>
      <c r="F897" s="531"/>
      <c r="G897" s="532" t="s">
        <v>872</v>
      </c>
      <c r="H897" s="532"/>
      <c r="I897" s="711" t="s">
        <v>820</v>
      </c>
    </row>
    <row r="898" spans="2:9" ht="20.100000000000001" customHeight="1">
      <c r="C898" s="746" t="s">
        <v>873</v>
      </c>
      <c r="D898" s="530"/>
      <c r="E898" s="530"/>
      <c r="F898" s="531"/>
      <c r="G898" s="532" t="s">
        <v>874</v>
      </c>
      <c r="H898" s="532"/>
      <c r="I898" s="688" t="s">
        <v>814</v>
      </c>
    </row>
    <row r="899" spans="2:9" ht="20.100000000000001" customHeight="1">
      <c r="C899" s="744"/>
      <c r="D899" s="530"/>
      <c r="E899" s="530"/>
      <c r="F899" s="531"/>
      <c r="G899" s="532" t="s">
        <v>875</v>
      </c>
      <c r="H899" s="532"/>
      <c r="I899" s="688" t="s">
        <v>820</v>
      </c>
    </row>
    <row r="900" spans="2:9" ht="20.100000000000001" customHeight="1">
      <c r="C900" s="746" t="s">
        <v>876</v>
      </c>
      <c r="D900" s="530"/>
      <c r="E900" s="530"/>
      <c r="F900" s="531"/>
      <c r="G900" s="532" t="s">
        <v>877</v>
      </c>
      <c r="H900" s="532"/>
      <c r="I900" s="688" t="s">
        <v>814</v>
      </c>
    </row>
    <row r="901" spans="2:9" ht="20.100000000000001" customHeight="1">
      <c r="C901" s="744"/>
      <c r="D901" s="530"/>
      <c r="E901" s="530"/>
      <c r="F901" s="531"/>
      <c r="G901" s="532" t="s">
        <v>878</v>
      </c>
      <c r="H901" s="532"/>
      <c r="I901" s="688" t="s">
        <v>820</v>
      </c>
    </row>
    <row r="902" spans="2:9" ht="20.100000000000001" customHeight="1">
      <c r="C902" s="746" t="s">
        <v>879</v>
      </c>
      <c r="D902" s="530"/>
      <c r="E902" s="530"/>
      <c r="F902" s="531"/>
      <c r="G902" s="532" t="s">
        <v>880</v>
      </c>
      <c r="H902" s="532"/>
      <c r="I902" s="688" t="s">
        <v>814</v>
      </c>
    </row>
    <row r="903" spans="2:9" ht="20.100000000000001" customHeight="1">
      <c r="C903" s="744"/>
      <c r="D903" s="530"/>
      <c r="E903" s="530"/>
      <c r="F903" s="531"/>
      <c r="G903" s="532" t="s">
        <v>881</v>
      </c>
      <c r="H903" s="532"/>
      <c r="I903" s="688" t="s">
        <v>820</v>
      </c>
    </row>
    <row r="904" spans="2:9" ht="20.100000000000001" customHeight="1">
      <c r="C904" s="746" t="s">
        <v>861</v>
      </c>
      <c r="D904" s="530"/>
      <c r="E904" s="530"/>
      <c r="F904" s="531"/>
      <c r="G904" s="532" t="s">
        <v>882</v>
      </c>
      <c r="H904" s="532"/>
      <c r="I904" s="688" t="s">
        <v>814</v>
      </c>
    </row>
    <row r="905" spans="2:9" ht="20.100000000000001" customHeight="1">
      <c r="C905" s="744"/>
      <c r="D905" s="530"/>
      <c r="E905" s="530"/>
      <c r="F905" s="531"/>
      <c r="G905" s="532" t="s">
        <v>883</v>
      </c>
      <c r="H905" s="532"/>
      <c r="I905" s="688" t="s">
        <v>820</v>
      </c>
    </row>
    <row r="906" spans="2:9" ht="20.100000000000001" customHeight="1">
      <c r="B906" s="745" t="s">
        <v>884</v>
      </c>
      <c r="C906" s="743" t="s">
        <v>885</v>
      </c>
      <c r="D906" s="530"/>
      <c r="E906" s="530"/>
      <c r="F906" s="531"/>
      <c r="G906" s="532" t="s">
        <v>886</v>
      </c>
      <c r="H906" s="532"/>
      <c r="I906" s="629" t="s">
        <v>814</v>
      </c>
    </row>
    <row r="907" spans="2:9" ht="20.100000000000001" customHeight="1">
      <c r="B907" s="745"/>
      <c r="C907" s="744"/>
      <c r="D907" s="530"/>
      <c r="E907" s="530"/>
      <c r="F907" s="531"/>
      <c r="G907" s="532" t="s">
        <v>887</v>
      </c>
      <c r="H907" s="532"/>
      <c r="I907" s="711" t="s">
        <v>820</v>
      </c>
    </row>
    <row r="908" spans="2:9" ht="20.100000000000001" customHeight="1">
      <c r="C908" s="746" t="s">
        <v>873</v>
      </c>
      <c r="D908" s="530"/>
      <c r="E908" s="530"/>
      <c r="F908" s="531"/>
      <c r="G908" s="532" t="s">
        <v>888</v>
      </c>
      <c r="H908" s="532"/>
      <c r="I908" s="688" t="s">
        <v>814</v>
      </c>
    </row>
    <row r="909" spans="2:9" ht="20.100000000000001" customHeight="1">
      <c r="C909" s="744"/>
      <c r="D909" s="530"/>
      <c r="E909" s="530"/>
      <c r="F909" s="531"/>
      <c r="G909" s="532" t="s">
        <v>889</v>
      </c>
      <c r="H909" s="532"/>
      <c r="I909" s="688" t="s">
        <v>820</v>
      </c>
    </row>
    <row r="910" spans="2:9" ht="20.100000000000001" customHeight="1">
      <c r="C910" s="746" t="s">
        <v>876</v>
      </c>
      <c r="D910" s="530"/>
      <c r="E910" s="530"/>
      <c r="F910" s="531"/>
      <c r="G910" s="532" t="s">
        <v>890</v>
      </c>
      <c r="H910" s="532"/>
      <c r="I910" s="688" t="s">
        <v>814</v>
      </c>
    </row>
    <row r="911" spans="2:9" ht="20.100000000000001" customHeight="1">
      <c r="C911" s="744"/>
      <c r="D911" s="530"/>
      <c r="E911" s="530"/>
      <c r="F911" s="531"/>
      <c r="G911" s="532" t="s">
        <v>891</v>
      </c>
      <c r="H911" s="532"/>
      <c r="I911" s="688" t="s">
        <v>820</v>
      </c>
    </row>
    <row r="912" spans="2:9" ht="20.100000000000001" customHeight="1">
      <c r="C912" s="746" t="s">
        <v>879</v>
      </c>
      <c r="D912" s="530"/>
      <c r="E912" s="530"/>
      <c r="F912" s="531"/>
      <c r="G912" s="532" t="s">
        <v>892</v>
      </c>
      <c r="H912" s="532"/>
      <c r="I912" s="688" t="s">
        <v>814</v>
      </c>
    </row>
    <row r="913" spans="2:9" ht="20.100000000000001" customHeight="1">
      <c r="C913" s="744"/>
      <c r="D913" s="530"/>
      <c r="E913" s="530"/>
      <c r="F913" s="531"/>
      <c r="G913" s="532" t="s">
        <v>893</v>
      </c>
      <c r="H913" s="532"/>
      <c r="I913" s="688" t="s">
        <v>820</v>
      </c>
    </row>
    <row r="914" spans="2:9" ht="20.100000000000001" customHeight="1">
      <c r="C914" s="746" t="s">
        <v>861</v>
      </c>
      <c r="D914" s="530"/>
      <c r="E914" s="530"/>
      <c r="F914" s="531"/>
      <c r="G914" s="532" t="s">
        <v>894</v>
      </c>
      <c r="H914" s="532"/>
      <c r="I914" s="688" t="s">
        <v>814</v>
      </c>
    </row>
    <row r="915" spans="2:9" ht="20.100000000000001" customHeight="1">
      <c r="C915" s="744"/>
      <c r="D915" s="530"/>
      <c r="E915" s="530"/>
      <c r="F915" s="531"/>
      <c r="G915" s="532" t="s">
        <v>895</v>
      </c>
      <c r="H915" s="532"/>
      <c r="I915" s="688" t="s">
        <v>820</v>
      </c>
    </row>
    <row r="916" spans="2:9" ht="42.75" customHeight="1">
      <c r="B916" s="594" t="s">
        <v>896</v>
      </c>
      <c r="C916" s="598" t="s">
        <v>897</v>
      </c>
      <c r="D916" s="530"/>
      <c r="E916" s="530"/>
      <c r="F916" s="531"/>
      <c r="G916" s="532" t="s">
        <v>898</v>
      </c>
      <c r="H916" s="532"/>
      <c r="I916" s="629" t="s">
        <v>814</v>
      </c>
    </row>
    <row r="917" spans="2:9" ht="39" customHeight="1">
      <c r="B917" s="594" t="s">
        <v>899</v>
      </c>
      <c r="C917" s="598" t="s">
        <v>900</v>
      </c>
      <c r="D917" s="530"/>
      <c r="E917" s="530"/>
      <c r="F917" s="531"/>
      <c r="G917" s="532" t="s">
        <v>901</v>
      </c>
      <c r="H917" s="532"/>
      <c r="I917" s="629" t="s">
        <v>814</v>
      </c>
    </row>
    <row r="918" spans="2:9" ht="20.100000000000001" customHeight="1">
      <c r="C918" s="600" t="s">
        <v>873</v>
      </c>
      <c r="D918" s="530"/>
      <c r="E918" s="530"/>
      <c r="F918" s="531"/>
      <c r="G918" s="532" t="s">
        <v>902</v>
      </c>
      <c r="H918" s="532"/>
      <c r="I918" s="688" t="s">
        <v>814</v>
      </c>
    </row>
    <row r="919" spans="2:9" ht="20.100000000000001" customHeight="1">
      <c r="C919" s="600" t="s">
        <v>876</v>
      </c>
      <c r="D919" s="530"/>
      <c r="E919" s="530"/>
      <c r="F919" s="531"/>
      <c r="G919" s="532" t="s">
        <v>903</v>
      </c>
      <c r="H919" s="532"/>
      <c r="I919" s="688" t="s">
        <v>814</v>
      </c>
    </row>
    <row r="920" spans="2:9" ht="20.100000000000001" customHeight="1">
      <c r="C920" s="600" t="s">
        <v>859</v>
      </c>
      <c r="D920" s="530"/>
      <c r="E920" s="530"/>
      <c r="F920" s="531"/>
      <c r="G920" s="532" t="s">
        <v>904</v>
      </c>
      <c r="H920" s="532"/>
      <c r="I920" s="688" t="s">
        <v>814</v>
      </c>
    </row>
    <row r="921" spans="2:9" ht="20.100000000000001" customHeight="1">
      <c r="C921" s="600" t="s">
        <v>861</v>
      </c>
      <c r="D921" s="530"/>
      <c r="E921" s="530"/>
      <c r="F921" s="531"/>
      <c r="G921" s="532" t="s">
        <v>905</v>
      </c>
      <c r="H921" s="532"/>
      <c r="I921" s="688" t="s">
        <v>814</v>
      </c>
    </row>
    <row r="922" spans="2:9" ht="20.100000000000001" customHeight="1">
      <c r="B922" s="745" t="s">
        <v>906</v>
      </c>
      <c r="C922" s="743" t="s">
        <v>907</v>
      </c>
      <c r="D922" s="530"/>
      <c r="E922" s="530"/>
      <c r="F922" s="531"/>
      <c r="G922" s="532" t="s">
        <v>908</v>
      </c>
      <c r="H922" s="532"/>
      <c r="I922" s="629" t="s">
        <v>814</v>
      </c>
    </row>
    <row r="923" spans="2:9" ht="20.100000000000001" customHeight="1">
      <c r="B923" s="745"/>
      <c r="C923" s="744"/>
      <c r="D923" s="530"/>
      <c r="E923" s="530"/>
      <c r="F923" s="531"/>
      <c r="G923" s="532" t="s">
        <v>909</v>
      </c>
      <c r="H923" s="532"/>
      <c r="I923" s="711" t="s">
        <v>820</v>
      </c>
    </row>
    <row r="924" spans="2:9" ht="20.100000000000001" customHeight="1">
      <c r="B924" s="745" t="s">
        <v>910</v>
      </c>
      <c r="C924" s="748" t="s">
        <v>911</v>
      </c>
      <c r="D924" s="530"/>
      <c r="E924" s="530"/>
      <c r="F924" s="531"/>
      <c r="G924" s="532" t="s">
        <v>912</v>
      </c>
      <c r="H924" s="532"/>
      <c r="I924" s="629" t="s">
        <v>814</v>
      </c>
    </row>
    <row r="925" spans="2:9" ht="20.100000000000001" customHeight="1">
      <c r="B925" s="745"/>
      <c r="C925" s="744"/>
      <c r="D925" s="530"/>
      <c r="E925" s="530"/>
      <c r="F925" s="531"/>
      <c r="G925" s="532" t="s">
        <v>913</v>
      </c>
      <c r="H925" s="532"/>
      <c r="I925" s="711" t="s">
        <v>820</v>
      </c>
    </row>
    <row r="926" spans="2:9" ht="20.100000000000001" customHeight="1">
      <c r="C926" s="747" t="s">
        <v>873</v>
      </c>
      <c r="D926" s="530"/>
      <c r="E926" s="530"/>
      <c r="F926" s="531"/>
      <c r="G926" s="532" t="s">
        <v>914</v>
      </c>
      <c r="H926" s="532"/>
      <c r="I926" s="688" t="s">
        <v>814</v>
      </c>
    </row>
    <row r="927" spans="2:9" ht="20.100000000000001" customHeight="1">
      <c r="C927" s="744"/>
      <c r="D927" s="530"/>
      <c r="E927" s="530"/>
      <c r="F927" s="531"/>
      <c r="G927" s="532" t="s">
        <v>915</v>
      </c>
      <c r="H927" s="532"/>
      <c r="I927" s="688" t="s">
        <v>820</v>
      </c>
    </row>
    <row r="928" spans="2:9" ht="20.100000000000001" customHeight="1">
      <c r="C928" s="747" t="s">
        <v>876</v>
      </c>
      <c r="D928" s="530"/>
      <c r="E928" s="530"/>
      <c r="F928" s="531"/>
      <c r="G928" s="532" t="s">
        <v>916</v>
      </c>
      <c r="H928" s="532"/>
      <c r="I928" s="688" t="s">
        <v>814</v>
      </c>
    </row>
    <row r="929" spans="2:9" ht="20.100000000000001" customHeight="1">
      <c r="C929" s="744"/>
      <c r="D929" s="530"/>
      <c r="E929" s="530"/>
      <c r="F929" s="531"/>
      <c r="G929" s="532" t="s">
        <v>917</v>
      </c>
      <c r="H929" s="532"/>
      <c r="I929" s="688" t="s">
        <v>820</v>
      </c>
    </row>
    <row r="930" spans="2:9" ht="20.100000000000001" customHeight="1">
      <c r="C930" s="747" t="s">
        <v>879</v>
      </c>
      <c r="D930" s="530"/>
      <c r="E930" s="530"/>
      <c r="F930" s="531"/>
      <c r="G930" s="532" t="s">
        <v>918</v>
      </c>
      <c r="H930" s="532"/>
      <c r="I930" s="629" t="s">
        <v>814</v>
      </c>
    </row>
    <row r="931" spans="2:9" ht="20.100000000000001" customHeight="1">
      <c r="C931" s="744"/>
      <c r="D931" s="530"/>
      <c r="E931" s="530"/>
      <c r="F931" s="531"/>
      <c r="G931" s="532" t="s">
        <v>919</v>
      </c>
      <c r="H931" s="532"/>
      <c r="I931" s="688" t="s">
        <v>820</v>
      </c>
    </row>
    <row r="932" spans="2:9" ht="20.100000000000001" customHeight="1">
      <c r="B932" s="745" t="s">
        <v>920</v>
      </c>
      <c r="C932" s="748" t="s">
        <v>921</v>
      </c>
      <c r="D932" s="530"/>
      <c r="E932" s="530"/>
      <c r="F932" s="531"/>
      <c r="G932" s="532" t="s">
        <v>922</v>
      </c>
      <c r="H932" s="532"/>
      <c r="I932" s="629" t="s">
        <v>814</v>
      </c>
    </row>
    <row r="933" spans="2:9" ht="20.100000000000001" customHeight="1">
      <c r="B933" s="745"/>
      <c r="C933" s="744"/>
      <c r="D933" s="530"/>
      <c r="E933" s="530"/>
      <c r="F933" s="531"/>
      <c r="G933" s="532" t="s">
        <v>923</v>
      </c>
      <c r="H933" s="532"/>
      <c r="I933" s="688" t="s">
        <v>820</v>
      </c>
    </row>
    <row r="934" spans="2:9" ht="20.100000000000001" customHeight="1">
      <c r="C934" s="747" t="s">
        <v>861</v>
      </c>
      <c r="D934" s="530"/>
      <c r="E934" s="530"/>
      <c r="F934" s="531"/>
      <c r="G934" s="532" t="s">
        <v>924</v>
      </c>
      <c r="H934" s="532"/>
      <c r="I934" s="688" t="s">
        <v>814</v>
      </c>
    </row>
    <row r="935" spans="2:9" ht="20.100000000000001" customHeight="1">
      <c r="C935" s="744"/>
      <c r="D935" s="530"/>
      <c r="E935" s="530"/>
      <c r="F935" s="531"/>
      <c r="G935" s="532" t="s">
        <v>925</v>
      </c>
      <c r="H935" s="532"/>
      <c r="I935" s="688" t="s">
        <v>820</v>
      </c>
    </row>
    <row r="936" spans="2:9" ht="20.100000000000001" customHeight="1">
      <c r="B936" s="745" t="s">
        <v>926</v>
      </c>
      <c r="C936" s="758" t="s">
        <v>927</v>
      </c>
      <c r="D936" s="530"/>
      <c r="E936" s="530"/>
      <c r="F936" s="531"/>
      <c r="G936" s="532" t="s">
        <v>928</v>
      </c>
      <c r="H936" s="532"/>
      <c r="I936" s="629" t="s">
        <v>814</v>
      </c>
    </row>
    <row r="937" spans="2:9" ht="20.100000000000001" customHeight="1">
      <c r="B937" s="745"/>
      <c r="C937" s="744"/>
      <c r="D937" s="530"/>
      <c r="E937" s="530"/>
      <c r="F937" s="531"/>
      <c r="G937" s="532" t="s">
        <v>929</v>
      </c>
      <c r="H937" s="532"/>
      <c r="I937" s="711" t="s">
        <v>820</v>
      </c>
    </row>
    <row r="938" spans="2:9" ht="20.100000000000001" customHeight="1">
      <c r="B938" s="745" t="s">
        <v>930</v>
      </c>
      <c r="C938" s="748" t="s">
        <v>911</v>
      </c>
      <c r="D938" s="530"/>
      <c r="E938" s="530"/>
      <c r="F938" s="531"/>
      <c r="G938" s="532" t="s">
        <v>931</v>
      </c>
      <c r="H938" s="532"/>
      <c r="I938" s="447" t="s">
        <v>814</v>
      </c>
    </row>
    <row r="939" spans="2:9" ht="20.100000000000001" customHeight="1">
      <c r="B939" s="745"/>
      <c r="C939" s="744"/>
      <c r="D939" s="530"/>
      <c r="E939" s="530"/>
      <c r="F939" s="531"/>
      <c r="G939" s="532" t="s">
        <v>932</v>
      </c>
      <c r="H939" s="532"/>
      <c r="I939" s="711" t="s">
        <v>820</v>
      </c>
    </row>
    <row r="940" spans="2:9" ht="20.100000000000001" customHeight="1">
      <c r="C940" s="746" t="s">
        <v>876</v>
      </c>
      <c r="D940" s="530"/>
      <c r="E940" s="530"/>
      <c r="F940" s="531"/>
      <c r="G940" s="532" t="s">
        <v>933</v>
      </c>
      <c r="H940" s="532"/>
      <c r="I940" s="688" t="s">
        <v>814</v>
      </c>
    </row>
    <row r="941" spans="2:9" ht="20.100000000000001" customHeight="1">
      <c r="C941" s="744"/>
      <c r="D941" s="530"/>
      <c r="E941" s="530"/>
      <c r="F941" s="531"/>
      <c r="G941" s="532" t="s">
        <v>934</v>
      </c>
      <c r="H941" s="532"/>
      <c r="I941" s="688" t="s">
        <v>820</v>
      </c>
    </row>
    <row r="942" spans="2:9" ht="20.100000000000001" customHeight="1">
      <c r="C942" s="746" t="s">
        <v>879</v>
      </c>
      <c r="D942" s="530"/>
      <c r="E942" s="530"/>
      <c r="F942" s="531"/>
      <c r="G942" s="532" t="s">
        <v>935</v>
      </c>
      <c r="H942" s="532"/>
      <c r="I942" s="688" t="s">
        <v>814</v>
      </c>
    </row>
    <row r="943" spans="2:9" ht="20.100000000000001" customHeight="1">
      <c r="C943" s="744"/>
      <c r="D943" s="530"/>
      <c r="E943" s="530"/>
      <c r="F943" s="531"/>
      <c r="G943" s="532" t="s">
        <v>936</v>
      </c>
      <c r="H943" s="532"/>
      <c r="I943" s="688" t="s">
        <v>820</v>
      </c>
    </row>
    <row r="944" spans="2:9" ht="20.100000000000001" customHeight="1">
      <c r="B944" s="745" t="s">
        <v>937</v>
      </c>
      <c r="C944" s="748" t="s">
        <v>921</v>
      </c>
      <c r="D944" s="530"/>
      <c r="E944" s="530"/>
      <c r="F944" s="531"/>
      <c r="G944" s="532" t="s">
        <v>938</v>
      </c>
      <c r="H944" s="532"/>
      <c r="I944" s="447" t="s">
        <v>814</v>
      </c>
    </row>
    <row r="945" spans="2:9" ht="20.100000000000001" customHeight="1">
      <c r="B945" s="745"/>
      <c r="C945" s="744"/>
      <c r="D945" s="530"/>
      <c r="E945" s="530"/>
      <c r="F945" s="531"/>
      <c r="G945" s="532" t="s">
        <v>939</v>
      </c>
      <c r="H945" s="532"/>
      <c r="I945" s="711" t="s">
        <v>820</v>
      </c>
    </row>
    <row r="946" spans="2:9" ht="20.100000000000001" customHeight="1">
      <c r="C946" s="746" t="s">
        <v>861</v>
      </c>
      <c r="D946" s="530"/>
      <c r="E946" s="530"/>
      <c r="F946" s="531"/>
      <c r="G946" s="532" t="s">
        <v>940</v>
      </c>
      <c r="H946" s="532"/>
      <c r="I946" s="688" t="s">
        <v>814</v>
      </c>
    </row>
    <row r="947" spans="2:9" ht="20.100000000000001" customHeight="1">
      <c r="C947" s="744"/>
      <c r="D947" s="530"/>
      <c r="E947" s="530"/>
      <c r="F947" s="531"/>
      <c r="G947" s="532" t="s">
        <v>941</v>
      </c>
      <c r="H947" s="532"/>
      <c r="I947" s="688" t="s">
        <v>820</v>
      </c>
    </row>
    <row r="948" spans="2:9" ht="20.100000000000001" customHeight="1">
      <c r="C948" s="443"/>
      <c r="D948" s="530"/>
      <c r="E948" s="530"/>
      <c r="F948" s="531"/>
      <c r="G948" s="532"/>
      <c r="H948" s="532"/>
      <c r="I948" s="441"/>
    </row>
    <row r="949" spans="2:9" ht="20.100000000000001" customHeight="1">
      <c r="B949" s="444"/>
      <c r="C949" s="459" t="s">
        <v>942</v>
      </c>
      <c r="D949" s="530"/>
      <c r="E949" s="530"/>
      <c r="F949" s="531"/>
      <c r="G949" s="532"/>
      <c r="H949" s="532"/>
      <c r="I949" s="15"/>
    </row>
    <row r="950" spans="2:9" ht="20.100000000000001" customHeight="1">
      <c r="B950" s="444" t="s">
        <v>26</v>
      </c>
      <c r="C950" s="595" t="s">
        <v>25</v>
      </c>
      <c r="D950" s="530"/>
      <c r="E950" s="530"/>
      <c r="F950" s="531"/>
      <c r="G950" s="532"/>
      <c r="H950" s="532"/>
      <c r="I950" s="685"/>
    </row>
    <row r="951" spans="2:9" ht="33.75" customHeight="1">
      <c r="C951" s="596" t="s">
        <v>943</v>
      </c>
      <c r="D951" s="530"/>
      <c r="E951" s="530"/>
      <c r="F951" s="531"/>
      <c r="G951" s="532" t="s">
        <v>944</v>
      </c>
      <c r="H951" s="532"/>
      <c r="I951" s="685" t="s">
        <v>820</v>
      </c>
    </row>
    <row r="952" spans="2:9" ht="20.100000000000001" customHeight="1">
      <c r="B952" s="444" t="s">
        <v>364</v>
      </c>
      <c r="C952" s="595" t="s">
        <v>293</v>
      </c>
      <c r="D952" s="530"/>
      <c r="E952" s="530"/>
      <c r="F952" s="531"/>
      <c r="G952" s="532"/>
      <c r="H952" s="532"/>
      <c r="I952" s="685"/>
    </row>
    <row r="953" spans="2:9" ht="20.100000000000001" customHeight="1">
      <c r="C953" s="596" t="s">
        <v>945</v>
      </c>
      <c r="D953" s="530"/>
      <c r="E953" s="530"/>
      <c r="F953" s="531"/>
      <c r="G953" s="532" t="s">
        <v>946</v>
      </c>
      <c r="H953" s="532"/>
      <c r="I953" s="447" t="s">
        <v>814</v>
      </c>
    </row>
    <row r="954" spans="2:9" ht="20.100000000000001" customHeight="1">
      <c r="C954" s="461"/>
      <c r="D954" s="530"/>
      <c r="E954" s="530"/>
      <c r="F954" s="531"/>
      <c r="G954" s="532"/>
      <c r="H954" s="532"/>
      <c r="I954" s="447"/>
    </row>
    <row r="955" spans="2:9" ht="20.100000000000001" customHeight="1">
      <c r="B955" s="444"/>
      <c r="C955" s="595" t="s">
        <v>947</v>
      </c>
      <c r="D955" s="530"/>
      <c r="E955" s="530"/>
      <c r="F955" s="531"/>
      <c r="G955" s="532"/>
      <c r="H955" s="532"/>
      <c r="I955" s="10"/>
    </row>
    <row r="956" spans="2:9" ht="20.100000000000001" customHeight="1">
      <c r="B956" s="594" t="s">
        <v>26</v>
      </c>
      <c r="C956" s="417" t="s">
        <v>25</v>
      </c>
      <c r="D956" s="530"/>
      <c r="E956" s="530"/>
      <c r="F956" s="531"/>
      <c r="G956" s="532"/>
      <c r="H956" s="532"/>
      <c r="I956" s="447"/>
    </row>
    <row r="957" spans="2:9" ht="20.100000000000001" customHeight="1">
      <c r="B957" s="594" t="s">
        <v>43</v>
      </c>
      <c r="C957" s="595" t="s">
        <v>948</v>
      </c>
      <c r="D957" s="530"/>
      <c r="E957" s="530"/>
      <c r="F957" s="531"/>
      <c r="G957" s="532"/>
      <c r="H957" s="532"/>
      <c r="I957" s="447"/>
    </row>
    <row r="958" spans="2:9" ht="20.100000000000001" customHeight="1">
      <c r="C958" s="452" t="s">
        <v>949</v>
      </c>
      <c r="D958" s="530"/>
      <c r="E958" s="530"/>
      <c r="F958" s="531"/>
      <c r="G958" s="532" t="s">
        <v>950</v>
      </c>
      <c r="H958" s="532"/>
      <c r="I958" s="688" t="s">
        <v>814</v>
      </c>
    </row>
    <row r="959" spans="2:9" ht="20.100000000000001" customHeight="1">
      <c r="C959" s="452" t="s">
        <v>951</v>
      </c>
      <c r="D959" s="530"/>
      <c r="E959" s="530"/>
      <c r="F959" s="531"/>
      <c r="G959" s="532" t="s">
        <v>952</v>
      </c>
      <c r="H959" s="532"/>
      <c r="I959" s="688" t="s">
        <v>814</v>
      </c>
    </row>
    <row r="960" spans="2:9" ht="20.100000000000001" customHeight="1">
      <c r="C960" s="452" t="s">
        <v>953</v>
      </c>
      <c r="D960" s="530"/>
      <c r="E960" s="530"/>
      <c r="F960" s="531"/>
      <c r="G960" s="532" t="s">
        <v>954</v>
      </c>
      <c r="H960" s="532"/>
      <c r="I960" s="688" t="s">
        <v>814</v>
      </c>
    </row>
    <row r="961" spans="2:9" ht="20.100000000000001" customHeight="1">
      <c r="B961" s="594" t="s">
        <v>53</v>
      </c>
      <c r="C961" s="595" t="s">
        <v>955</v>
      </c>
      <c r="D961" s="530"/>
      <c r="E961" s="530"/>
      <c r="F961" s="531"/>
      <c r="G961" s="532"/>
      <c r="H961" s="532"/>
      <c r="I961" s="447"/>
    </row>
    <row r="962" spans="2:9" ht="20.100000000000001" customHeight="1">
      <c r="C962" s="452" t="s">
        <v>956</v>
      </c>
      <c r="D962" s="530"/>
      <c r="E962" s="530"/>
      <c r="F962" s="531"/>
      <c r="G962" s="532" t="s">
        <v>957</v>
      </c>
      <c r="H962" s="532"/>
      <c r="I962" s="688" t="s">
        <v>820</v>
      </c>
    </row>
    <row r="963" spans="2:9" ht="20.100000000000001" customHeight="1">
      <c r="B963" s="594" t="s">
        <v>364</v>
      </c>
      <c r="C963" s="449" t="s">
        <v>293</v>
      </c>
      <c r="D963" s="530"/>
      <c r="E963" s="530"/>
      <c r="F963" s="531"/>
      <c r="G963" s="532"/>
      <c r="H963" s="532"/>
      <c r="I963" s="447"/>
    </row>
    <row r="964" spans="2:9" ht="20.100000000000001" customHeight="1">
      <c r="C964" s="452" t="s">
        <v>949</v>
      </c>
      <c r="D964" s="530"/>
      <c r="E964" s="530"/>
      <c r="F964" s="531"/>
      <c r="G964" s="532" t="s">
        <v>958</v>
      </c>
      <c r="H964" s="532"/>
      <c r="I964" s="688" t="s">
        <v>814</v>
      </c>
    </row>
    <row r="965" spans="2:9" ht="20.100000000000001" customHeight="1">
      <c r="C965" s="452" t="s">
        <v>951</v>
      </c>
      <c r="D965" s="530"/>
      <c r="E965" s="530"/>
      <c r="F965" s="531"/>
      <c r="G965" s="532" t="s">
        <v>959</v>
      </c>
      <c r="H965" s="532"/>
      <c r="I965" s="688" t="s">
        <v>814</v>
      </c>
    </row>
    <row r="966" spans="2:9" ht="20.100000000000001" customHeight="1">
      <c r="C966" s="452" t="s">
        <v>953</v>
      </c>
      <c r="D966" s="530"/>
      <c r="E966" s="530"/>
      <c r="F966" s="531"/>
      <c r="G966" s="532" t="s">
        <v>960</v>
      </c>
      <c r="H966" s="532"/>
      <c r="I966" s="688" t="s">
        <v>814</v>
      </c>
    </row>
    <row r="967" spans="2:9" ht="20.100000000000001" customHeight="1">
      <c r="B967" s="594" t="s">
        <v>82</v>
      </c>
      <c r="C967" s="449" t="s">
        <v>961</v>
      </c>
      <c r="D967" s="530"/>
      <c r="E967" s="530"/>
      <c r="F967" s="531"/>
      <c r="G967" s="532"/>
      <c r="H967" s="532"/>
      <c r="I967" s="688"/>
    </row>
    <row r="968" spans="2:9" ht="20.100000000000001" customHeight="1">
      <c r="C968" s="452" t="s">
        <v>956</v>
      </c>
      <c r="D968" s="530"/>
      <c r="E968" s="530"/>
      <c r="F968" s="531"/>
      <c r="G968" s="532" t="s">
        <v>962</v>
      </c>
      <c r="H968" s="532"/>
      <c r="I968" s="688" t="s">
        <v>820</v>
      </c>
    </row>
    <row r="969" spans="2:9" ht="20.100000000000001" customHeight="1">
      <c r="B969" s="594" t="s">
        <v>84</v>
      </c>
      <c r="C969" s="449" t="s">
        <v>963</v>
      </c>
      <c r="D969" s="530"/>
      <c r="E969" s="530"/>
      <c r="F969" s="531"/>
      <c r="G969" s="532"/>
      <c r="H969" s="532"/>
      <c r="I969" s="447"/>
    </row>
    <row r="970" spans="2:9" ht="20.100000000000001" customHeight="1">
      <c r="C970" s="452" t="s">
        <v>956</v>
      </c>
      <c r="D970" s="530"/>
      <c r="E970" s="530"/>
      <c r="F970" s="531"/>
      <c r="G970" s="532" t="s">
        <v>964</v>
      </c>
      <c r="H970" s="532"/>
      <c r="I970" s="688" t="s">
        <v>814</v>
      </c>
    </row>
    <row r="971" spans="2:9" ht="20.100000000000001" customHeight="1">
      <c r="B971" s="594" t="s">
        <v>869</v>
      </c>
      <c r="C971" s="449" t="s">
        <v>965</v>
      </c>
      <c r="D971" s="530"/>
      <c r="E971" s="530"/>
      <c r="F971" s="531"/>
      <c r="G971" s="532"/>
      <c r="H971" s="532"/>
      <c r="I971" s="447"/>
    </row>
    <row r="972" spans="2:9" ht="20.100000000000001" customHeight="1">
      <c r="C972" s="452" t="s">
        <v>949</v>
      </c>
      <c r="D972" s="530"/>
      <c r="E972" s="530"/>
      <c r="F972" s="531"/>
      <c r="G972" s="532" t="s">
        <v>966</v>
      </c>
      <c r="H972" s="532"/>
      <c r="I972" s="688" t="s">
        <v>814</v>
      </c>
    </row>
    <row r="973" spans="2:9" ht="20.100000000000001" customHeight="1">
      <c r="C973" s="452" t="s">
        <v>951</v>
      </c>
      <c r="D973" s="530"/>
      <c r="E973" s="530"/>
      <c r="F973" s="531"/>
      <c r="G973" s="532" t="s">
        <v>967</v>
      </c>
      <c r="H973" s="532"/>
      <c r="I973" s="688" t="s">
        <v>814</v>
      </c>
    </row>
    <row r="974" spans="2:9" ht="20.100000000000001" customHeight="1">
      <c r="C974" s="452" t="s">
        <v>953</v>
      </c>
      <c r="D974" s="530"/>
      <c r="E974" s="530"/>
      <c r="F974" s="531"/>
      <c r="G974" s="532" t="s">
        <v>968</v>
      </c>
      <c r="H974" s="532"/>
      <c r="I974" s="688" t="s">
        <v>814</v>
      </c>
    </row>
    <row r="975" spans="2:9" ht="20.100000000000001" customHeight="1">
      <c r="B975" s="594" t="s">
        <v>884</v>
      </c>
      <c r="C975" s="449" t="s">
        <v>969</v>
      </c>
      <c r="D975" s="530"/>
      <c r="E975" s="530"/>
      <c r="F975" s="531"/>
      <c r="G975" s="532"/>
      <c r="H975" s="532"/>
      <c r="I975" s="447"/>
    </row>
    <row r="976" spans="2:9" ht="20.100000000000001" customHeight="1">
      <c r="C976" s="452" t="s">
        <v>949</v>
      </c>
      <c r="D976" s="530"/>
      <c r="E976" s="530"/>
      <c r="F976" s="531"/>
      <c r="G976" s="532" t="s">
        <v>970</v>
      </c>
      <c r="H976" s="532"/>
      <c r="I976" s="688" t="s">
        <v>814</v>
      </c>
    </row>
    <row r="977" spans="2:9" ht="20.100000000000001" customHeight="1">
      <c r="C977" s="452" t="s">
        <v>951</v>
      </c>
      <c r="D977" s="530"/>
      <c r="E977" s="530"/>
      <c r="F977" s="531"/>
      <c r="G977" s="532" t="s">
        <v>971</v>
      </c>
      <c r="H977" s="532"/>
      <c r="I977" s="688" t="s">
        <v>814</v>
      </c>
    </row>
    <row r="978" spans="2:9" ht="20.100000000000001" customHeight="1">
      <c r="C978" s="452" t="s">
        <v>953</v>
      </c>
      <c r="D978" s="530"/>
      <c r="E978" s="530"/>
      <c r="F978" s="531"/>
      <c r="G978" s="532" t="s">
        <v>972</v>
      </c>
      <c r="H978" s="532"/>
      <c r="I978" s="688" t="s">
        <v>814</v>
      </c>
    </row>
    <row r="979" spans="2:9" ht="20.100000000000001" customHeight="1">
      <c r="B979" s="594" t="s">
        <v>896</v>
      </c>
      <c r="C979" s="449" t="s">
        <v>973</v>
      </c>
      <c r="D979" s="530"/>
      <c r="E979" s="530"/>
      <c r="F979" s="531"/>
      <c r="G979" s="532"/>
      <c r="H979" s="532"/>
      <c r="I979" s="447"/>
    </row>
    <row r="980" spans="2:9" ht="20.100000000000001" customHeight="1">
      <c r="C980" s="452" t="s">
        <v>949</v>
      </c>
      <c r="D980" s="530"/>
      <c r="E980" s="530"/>
      <c r="F980" s="531"/>
      <c r="G980" s="532" t="s">
        <v>974</v>
      </c>
      <c r="H980" s="532"/>
      <c r="I980" s="688" t="s">
        <v>814</v>
      </c>
    </row>
    <row r="981" spans="2:9" ht="20.100000000000001" customHeight="1">
      <c r="C981" s="452" t="s">
        <v>951</v>
      </c>
      <c r="D981" s="530"/>
      <c r="E981" s="530"/>
      <c r="F981" s="531"/>
      <c r="G981" s="532" t="s">
        <v>975</v>
      </c>
      <c r="H981" s="532"/>
      <c r="I981" s="688" t="s">
        <v>814</v>
      </c>
    </row>
    <row r="982" spans="2:9" ht="20.100000000000001" customHeight="1">
      <c r="C982" s="452" t="s">
        <v>953</v>
      </c>
      <c r="D982" s="530"/>
      <c r="E982" s="530"/>
      <c r="F982" s="531"/>
      <c r="G982" s="532" t="s">
        <v>976</v>
      </c>
      <c r="H982" s="532"/>
      <c r="I982" s="688" t="s">
        <v>814</v>
      </c>
    </row>
    <row r="983" spans="2:9" ht="20.100000000000001" customHeight="1">
      <c r="B983" s="594" t="s">
        <v>899</v>
      </c>
      <c r="C983" s="449" t="s">
        <v>977</v>
      </c>
      <c r="D983" s="530"/>
      <c r="E983" s="530"/>
      <c r="F983" s="531"/>
      <c r="G983" s="532"/>
      <c r="H983" s="532"/>
      <c r="I983" s="447"/>
    </row>
    <row r="984" spans="2:9" ht="20.100000000000001" customHeight="1">
      <c r="C984" s="452" t="s">
        <v>949</v>
      </c>
      <c r="D984" s="530"/>
      <c r="E984" s="530"/>
      <c r="F984" s="531"/>
      <c r="G984" s="532" t="s">
        <v>978</v>
      </c>
      <c r="H984" s="532"/>
      <c r="I984" s="688" t="s">
        <v>814</v>
      </c>
    </row>
    <row r="985" spans="2:9" ht="20.100000000000001" customHeight="1">
      <c r="C985" s="452" t="s">
        <v>951</v>
      </c>
      <c r="D985" s="530"/>
      <c r="E985" s="530"/>
      <c r="F985" s="531"/>
      <c r="G985" s="532" t="s">
        <v>979</v>
      </c>
      <c r="H985" s="532"/>
      <c r="I985" s="688" t="s">
        <v>814</v>
      </c>
    </row>
    <row r="986" spans="2:9" ht="20.100000000000001" customHeight="1">
      <c r="C986" s="452" t="s">
        <v>953</v>
      </c>
      <c r="D986" s="530"/>
      <c r="E986" s="530"/>
      <c r="F986" s="531"/>
      <c r="G986" s="532" t="s">
        <v>980</v>
      </c>
      <c r="H986" s="532"/>
      <c r="I986" s="688" t="s">
        <v>814</v>
      </c>
    </row>
    <row r="987" spans="2:9" ht="20.100000000000001" customHeight="1">
      <c r="B987" s="594" t="s">
        <v>906</v>
      </c>
      <c r="C987" s="449" t="s">
        <v>981</v>
      </c>
      <c r="D987" s="530"/>
      <c r="E987" s="530"/>
      <c r="F987" s="531"/>
      <c r="G987" s="532"/>
      <c r="H987" s="532"/>
      <c r="I987" s="447"/>
    </row>
    <row r="988" spans="2:9" ht="20.100000000000001" customHeight="1">
      <c r="C988" s="452" t="s">
        <v>949</v>
      </c>
      <c r="D988" s="530"/>
      <c r="E988" s="530"/>
      <c r="F988" s="531"/>
      <c r="G988" s="532" t="s">
        <v>982</v>
      </c>
      <c r="H988" s="532"/>
      <c r="I988" s="688" t="s">
        <v>814</v>
      </c>
    </row>
    <row r="989" spans="2:9" ht="20.100000000000001" customHeight="1">
      <c r="C989" s="452" t="s">
        <v>951</v>
      </c>
      <c r="D989" s="530"/>
      <c r="E989" s="530"/>
      <c r="F989" s="531"/>
      <c r="G989" s="532" t="s">
        <v>983</v>
      </c>
      <c r="H989" s="532"/>
      <c r="I989" s="688" t="s">
        <v>814</v>
      </c>
    </row>
    <row r="990" spans="2:9" ht="20.100000000000001" customHeight="1">
      <c r="C990" s="452" t="s">
        <v>953</v>
      </c>
      <c r="D990" s="530"/>
      <c r="E990" s="530"/>
      <c r="F990" s="531"/>
      <c r="G990" s="532" t="s">
        <v>984</v>
      </c>
      <c r="H990" s="532"/>
      <c r="I990" s="688" t="s">
        <v>814</v>
      </c>
    </row>
    <row r="991" spans="2:9" ht="20.100000000000001" customHeight="1">
      <c r="B991" s="594" t="s">
        <v>926</v>
      </c>
      <c r="C991" s="449" t="s">
        <v>985</v>
      </c>
      <c r="D991" s="530"/>
      <c r="E991" s="530"/>
      <c r="F991" s="531"/>
      <c r="G991" s="532"/>
      <c r="H991" s="532"/>
      <c r="I991" s="447"/>
    </row>
    <row r="992" spans="2:9" ht="20.100000000000001" customHeight="1">
      <c r="C992" s="452" t="s">
        <v>949</v>
      </c>
      <c r="D992" s="530"/>
      <c r="E992" s="530"/>
      <c r="F992" s="531"/>
      <c r="G992" s="532" t="s">
        <v>986</v>
      </c>
      <c r="H992" s="532"/>
      <c r="I992" s="688" t="s">
        <v>814</v>
      </c>
    </row>
    <row r="993" spans="2:9" ht="20.100000000000001" customHeight="1">
      <c r="C993" s="452" t="s">
        <v>951</v>
      </c>
      <c r="D993" s="530"/>
      <c r="E993" s="530"/>
      <c r="F993" s="531"/>
      <c r="G993" s="532" t="s">
        <v>987</v>
      </c>
      <c r="H993" s="532"/>
      <c r="I993" s="688" t="s">
        <v>814</v>
      </c>
    </row>
    <row r="994" spans="2:9" ht="20.100000000000001" customHeight="1">
      <c r="C994" s="452" t="s">
        <v>953</v>
      </c>
      <c r="D994" s="530"/>
      <c r="E994" s="530"/>
      <c r="F994" s="531"/>
      <c r="G994" s="532" t="s">
        <v>988</v>
      </c>
      <c r="H994" s="532"/>
      <c r="I994" s="688" t="s">
        <v>814</v>
      </c>
    </row>
    <row r="995" spans="2:9" ht="20.100000000000001" customHeight="1">
      <c r="B995" s="594" t="s">
        <v>989</v>
      </c>
      <c r="C995" s="449" t="s">
        <v>990</v>
      </c>
      <c r="D995" s="530"/>
      <c r="E995" s="530"/>
      <c r="F995" s="531"/>
      <c r="G995" s="532"/>
      <c r="H995" s="532"/>
      <c r="I995" s="447"/>
    </row>
    <row r="996" spans="2:9" ht="20.100000000000001" customHeight="1">
      <c r="C996" s="452" t="s">
        <v>949</v>
      </c>
      <c r="D996" s="530"/>
      <c r="E996" s="530"/>
      <c r="F996" s="531"/>
      <c r="G996" s="532" t="s">
        <v>991</v>
      </c>
      <c r="H996" s="532"/>
      <c r="I996" s="688" t="s">
        <v>814</v>
      </c>
    </row>
    <row r="997" spans="2:9" ht="20.100000000000001" customHeight="1">
      <c r="C997" s="452" t="s">
        <v>953</v>
      </c>
      <c r="D997" s="530"/>
      <c r="E997" s="530"/>
      <c r="F997" s="531"/>
      <c r="G997" s="532" t="s">
        <v>992</v>
      </c>
      <c r="H997" s="532"/>
      <c r="I997" s="688" t="s">
        <v>814</v>
      </c>
    </row>
    <row r="998" spans="2:9" ht="20.100000000000001" customHeight="1">
      <c r="B998" s="594" t="s">
        <v>993</v>
      </c>
      <c r="C998" s="449" t="s">
        <v>994</v>
      </c>
      <c r="D998" s="530"/>
      <c r="E998" s="530"/>
      <c r="F998" s="531"/>
      <c r="G998" s="532"/>
      <c r="H998" s="532"/>
      <c r="I998" s="447"/>
    </row>
    <row r="999" spans="2:9" ht="20.100000000000001" customHeight="1">
      <c r="C999" s="452" t="s">
        <v>949</v>
      </c>
      <c r="D999" s="530"/>
      <c r="E999" s="530"/>
      <c r="F999" s="531"/>
      <c r="G999" s="532" t="s">
        <v>995</v>
      </c>
      <c r="H999" s="532"/>
      <c r="I999" s="688" t="s">
        <v>814</v>
      </c>
    </row>
    <row r="1000" spans="2:9" ht="20.100000000000001" customHeight="1">
      <c r="C1000" s="452" t="s">
        <v>951</v>
      </c>
      <c r="D1000" s="530"/>
      <c r="E1000" s="530"/>
      <c r="F1000" s="531"/>
      <c r="G1000" s="532" t="s">
        <v>996</v>
      </c>
      <c r="H1000" s="532"/>
      <c r="I1000" s="688" t="s">
        <v>814</v>
      </c>
    </row>
    <row r="1001" spans="2:9" ht="20.100000000000001" customHeight="1">
      <c r="C1001" s="452" t="s">
        <v>953</v>
      </c>
      <c r="D1001" s="530"/>
      <c r="E1001" s="530"/>
      <c r="F1001" s="531"/>
      <c r="G1001" s="532" t="s">
        <v>997</v>
      </c>
      <c r="H1001" s="532"/>
      <c r="I1001" s="688" t="s">
        <v>814</v>
      </c>
    </row>
    <row r="1002" spans="2:9" ht="20.100000000000001" customHeight="1">
      <c r="B1002" s="594" t="s">
        <v>998</v>
      </c>
      <c r="C1002" s="449" t="s">
        <v>999</v>
      </c>
      <c r="D1002" s="530"/>
      <c r="E1002" s="530"/>
      <c r="F1002" s="531"/>
      <c r="G1002" s="532"/>
      <c r="H1002" s="532"/>
      <c r="I1002" s="447"/>
    </row>
    <row r="1003" spans="2:9" ht="20.100000000000001" customHeight="1">
      <c r="C1003" s="452" t="s">
        <v>949</v>
      </c>
      <c r="D1003" s="530"/>
      <c r="E1003" s="530"/>
      <c r="F1003" s="531"/>
      <c r="G1003" s="532" t="s">
        <v>1000</v>
      </c>
      <c r="H1003" s="532"/>
      <c r="I1003" s="688" t="s">
        <v>814</v>
      </c>
    </row>
    <row r="1004" spans="2:9" ht="20.100000000000001" customHeight="1">
      <c r="C1004" s="452" t="s">
        <v>951</v>
      </c>
      <c r="D1004" s="530"/>
      <c r="E1004" s="530"/>
      <c r="F1004" s="531"/>
      <c r="G1004" s="532" t="s">
        <v>1001</v>
      </c>
      <c r="H1004" s="532"/>
      <c r="I1004" s="688" t="s">
        <v>814</v>
      </c>
    </row>
    <row r="1005" spans="2:9" ht="20.100000000000001" customHeight="1">
      <c r="C1005" s="452" t="s">
        <v>953</v>
      </c>
      <c r="D1005" s="530"/>
      <c r="E1005" s="530"/>
      <c r="F1005" s="531"/>
      <c r="G1005" s="532" t="s">
        <v>1002</v>
      </c>
      <c r="H1005" s="532"/>
      <c r="I1005" s="688" t="s">
        <v>814</v>
      </c>
    </row>
    <row r="1006" spans="2:9" ht="20.100000000000001" customHeight="1">
      <c r="B1006" s="594" t="s">
        <v>1003</v>
      </c>
      <c r="C1006" s="449" t="s">
        <v>1004</v>
      </c>
      <c r="D1006" s="530"/>
      <c r="E1006" s="530"/>
      <c r="F1006" s="531"/>
      <c r="G1006" s="532"/>
      <c r="H1006" s="532"/>
      <c r="I1006" s="447"/>
    </row>
    <row r="1007" spans="2:9" ht="20.100000000000001" customHeight="1">
      <c r="C1007" s="452" t="s">
        <v>949</v>
      </c>
      <c r="D1007" s="530"/>
      <c r="E1007" s="530"/>
      <c r="F1007" s="531"/>
      <c r="G1007" s="532" t="s">
        <v>1005</v>
      </c>
      <c r="H1007" s="532"/>
      <c r="I1007" s="688" t="s">
        <v>814</v>
      </c>
    </row>
    <row r="1008" spans="2:9" ht="20.100000000000001" customHeight="1">
      <c r="C1008" s="452" t="s">
        <v>951</v>
      </c>
      <c r="D1008" s="530"/>
      <c r="E1008" s="530"/>
      <c r="F1008" s="531"/>
      <c r="G1008" s="532" t="s">
        <v>1006</v>
      </c>
      <c r="H1008" s="532"/>
      <c r="I1008" s="688" t="s">
        <v>814</v>
      </c>
    </row>
    <row r="1009" spans="2:9" ht="20.100000000000001" customHeight="1">
      <c r="C1009" s="452" t="s">
        <v>953</v>
      </c>
      <c r="D1009" s="530"/>
      <c r="E1009" s="530"/>
      <c r="F1009" s="531"/>
      <c r="G1009" s="532" t="s">
        <v>1007</v>
      </c>
      <c r="H1009" s="532"/>
      <c r="I1009" s="688" t="s">
        <v>814</v>
      </c>
    </row>
    <row r="1010" spans="2:9" ht="20.100000000000001" customHeight="1">
      <c r="B1010" s="594" t="s">
        <v>1008</v>
      </c>
      <c r="C1010" s="449" t="s">
        <v>1009</v>
      </c>
      <c r="D1010" s="530"/>
      <c r="E1010" s="530"/>
      <c r="F1010" s="531"/>
      <c r="G1010" s="532"/>
      <c r="H1010" s="532"/>
      <c r="I1010" s="447"/>
    </row>
    <row r="1011" spans="2:9" ht="20.100000000000001" customHeight="1">
      <c r="C1011" s="452" t="s">
        <v>949</v>
      </c>
      <c r="D1011" s="530"/>
      <c r="E1011" s="530"/>
      <c r="F1011" s="531"/>
      <c r="G1011" s="532" t="s">
        <v>1010</v>
      </c>
      <c r="H1011" s="532"/>
      <c r="I1011" s="688" t="s">
        <v>814</v>
      </c>
    </row>
    <row r="1012" spans="2:9" ht="20.100000000000001" customHeight="1">
      <c r="C1012" s="452" t="s">
        <v>951</v>
      </c>
      <c r="D1012" s="530"/>
      <c r="E1012" s="530"/>
      <c r="F1012" s="531"/>
      <c r="G1012" s="532" t="s">
        <v>1011</v>
      </c>
      <c r="H1012" s="532"/>
      <c r="I1012" s="688" t="s">
        <v>814</v>
      </c>
    </row>
    <row r="1013" spans="2:9" ht="20.100000000000001" customHeight="1">
      <c r="C1013" s="452" t="s">
        <v>953</v>
      </c>
      <c r="D1013" s="530"/>
      <c r="E1013" s="530"/>
      <c r="F1013" s="531"/>
      <c r="G1013" s="532" t="s">
        <v>1012</v>
      </c>
      <c r="H1013" s="532"/>
      <c r="I1013" s="688" t="s">
        <v>814</v>
      </c>
    </row>
    <row r="1014" spans="2:9" ht="20.100000000000001" customHeight="1">
      <c r="C1014" s="461"/>
      <c r="D1014" s="530"/>
      <c r="E1014" s="530"/>
      <c r="F1014" s="531"/>
      <c r="G1014" s="532"/>
      <c r="H1014" s="532"/>
      <c r="I1014" s="447"/>
    </row>
    <row r="1015" spans="2:9" ht="20.100000000000001" customHeight="1">
      <c r="C1015" s="445" t="s">
        <v>1013</v>
      </c>
      <c r="D1015" s="530"/>
      <c r="E1015" s="530"/>
      <c r="F1015" s="531"/>
      <c r="G1015" s="532"/>
      <c r="H1015" s="532"/>
      <c r="I1015" s="447"/>
    </row>
    <row r="1016" spans="2:9" ht="20.100000000000001" customHeight="1">
      <c r="C1016" s="595" t="s">
        <v>1014</v>
      </c>
      <c r="D1016" s="530"/>
      <c r="E1016" s="530"/>
      <c r="F1016" s="531"/>
      <c r="G1016" s="532"/>
      <c r="H1016" s="532"/>
      <c r="I1016" s="448"/>
    </row>
    <row r="1017" spans="2:9" ht="30.75" customHeight="1">
      <c r="B1017" s="594" t="s">
        <v>26</v>
      </c>
      <c r="C1017" s="598" t="s">
        <v>1015</v>
      </c>
      <c r="D1017" s="530"/>
      <c r="E1017" s="530"/>
      <c r="F1017" s="531"/>
      <c r="G1017" s="532" t="s">
        <v>1016</v>
      </c>
      <c r="H1017" s="532"/>
      <c r="I1017" s="629" t="s">
        <v>814</v>
      </c>
    </row>
    <row r="1018" spans="2:9" ht="20.100000000000001" customHeight="1">
      <c r="B1018" s="594" t="s">
        <v>43</v>
      </c>
      <c r="C1018" s="449" t="s">
        <v>1017</v>
      </c>
      <c r="D1018" s="530"/>
      <c r="E1018" s="530"/>
      <c r="F1018" s="531"/>
      <c r="G1018" s="532" t="s">
        <v>1018</v>
      </c>
      <c r="H1018" s="532"/>
      <c r="I1018" s="629" t="s">
        <v>814</v>
      </c>
    </row>
    <row r="1019" spans="2:9" ht="20.100000000000001" customHeight="1">
      <c r="C1019" s="449" t="s">
        <v>1019</v>
      </c>
      <c r="D1019" s="530"/>
      <c r="E1019" s="530"/>
      <c r="F1019" s="531"/>
      <c r="G1019" s="532" t="s">
        <v>1020</v>
      </c>
      <c r="H1019" s="532"/>
      <c r="I1019" s="629" t="s">
        <v>814</v>
      </c>
    </row>
    <row r="1020" spans="2:9" ht="20.100000000000001" customHeight="1">
      <c r="C1020" s="450" t="s">
        <v>32</v>
      </c>
      <c r="D1020" s="530"/>
      <c r="E1020" s="530"/>
      <c r="F1020" s="531"/>
      <c r="G1020" s="532" t="s">
        <v>1021</v>
      </c>
      <c r="H1020" s="532"/>
      <c r="I1020" s="688" t="s">
        <v>814</v>
      </c>
    </row>
    <row r="1021" spans="2:9" ht="20.100000000000001" customHeight="1">
      <c r="C1021" s="450" t="s">
        <v>484</v>
      </c>
      <c r="D1021" s="530"/>
      <c r="E1021" s="530"/>
      <c r="F1021" s="531"/>
      <c r="G1021" s="532" t="s">
        <v>1022</v>
      </c>
      <c r="H1021" s="532"/>
      <c r="I1021" s="688" t="s">
        <v>814</v>
      </c>
    </row>
    <row r="1022" spans="2:9" ht="20.100000000000001" customHeight="1">
      <c r="C1022" s="450" t="s">
        <v>36</v>
      </c>
      <c r="D1022" s="530"/>
      <c r="E1022" s="530"/>
      <c r="F1022" s="531"/>
      <c r="G1022" s="532" t="s">
        <v>1023</v>
      </c>
      <c r="H1022" s="532"/>
      <c r="I1022" s="688" t="s">
        <v>814</v>
      </c>
    </row>
    <row r="1023" spans="2:9" ht="20.100000000000001" customHeight="1">
      <c r="C1023" s="449" t="s">
        <v>1024</v>
      </c>
      <c r="D1023" s="530"/>
      <c r="E1023" s="530"/>
      <c r="F1023" s="531"/>
      <c r="G1023" s="532" t="s">
        <v>1025</v>
      </c>
      <c r="H1023" s="532"/>
      <c r="I1023" s="688" t="s">
        <v>814</v>
      </c>
    </row>
    <row r="1024" spans="2:9" ht="20.100000000000001" customHeight="1">
      <c r="C1024" s="449" t="s">
        <v>1026</v>
      </c>
      <c r="D1024" s="530"/>
      <c r="E1024" s="530"/>
      <c r="F1024" s="531"/>
      <c r="G1024" s="532" t="s">
        <v>1027</v>
      </c>
      <c r="H1024" s="532"/>
      <c r="I1024" s="629" t="s">
        <v>814</v>
      </c>
    </row>
    <row r="1025" spans="2:9" ht="20.100000000000001" customHeight="1">
      <c r="C1025" s="449" t="s">
        <v>1028</v>
      </c>
      <c r="D1025" s="530"/>
      <c r="E1025" s="530"/>
      <c r="F1025" s="531"/>
      <c r="G1025" s="532" t="s">
        <v>1029</v>
      </c>
      <c r="H1025" s="532"/>
      <c r="I1025" s="629" t="s">
        <v>814</v>
      </c>
    </row>
    <row r="1026" spans="2:9" ht="20.100000000000001" customHeight="1">
      <c r="B1026" s="594" t="s">
        <v>53</v>
      </c>
      <c r="C1026" s="449" t="s">
        <v>805</v>
      </c>
      <c r="D1026" s="530"/>
      <c r="E1026" s="530"/>
      <c r="F1026" s="531"/>
      <c r="G1026" s="532" t="s">
        <v>1030</v>
      </c>
      <c r="H1026" s="532"/>
      <c r="I1026" s="629" t="s">
        <v>814</v>
      </c>
    </row>
    <row r="1027" spans="2:9" ht="20.100000000000001" customHeight="1">
      <c r="C1027" s="449" t="s">
        <v>1031</v>
      </c>
      <c r="D1027" s="530"/>
      <c r="E1027" s="530"/>
      <c r="F1027" s="531"/>
      <c r="G1027" s="532" t="s">
        <v>1032</v>
      </c>
      <c r="H1027" s="532"/>
      <c r="I1027" s="688" t="s">
        <v>814</v>
      </c>
    </row>
    <row r="1028" spans="2:9" ht="20.100000000000001" customHeight="1">
      <c r="C1028" s="449" t="s">
        <v>1033</v>
      </c>
      <c r="D1028" s="530"/>
      <c r="E1028" s="530"/>
      <c r="F1028" s="531"/>
      <c r="G1028" s="532" t="s">
        <v>1034</v>
      </c>
      <c r="H1028" s="532"/>
      <c r="I1028" s="688" t="s">
        <v>814</v>
      </c>
    </row>
    <row r="1029" spans="2:9" ht="20.100000000000001" customHeight="1">
      <c r="C1029" s="449" t="s">
        <v>1035</v>
      </c>
      <c r="D1029" s="530"/>
      <c r="E1029" s="530"/>
      <c r="F1029" s="531"/>
      <c r="G1029" s="532" t="s">
        <v>1036</v>
      </c>
      <c r="H1029" s="532"/>
      <c r="I1029" s="688" t="s">
        <v>814</v>
      </c>
    </row>
    <row r="1030" spans="2:9" ht="20.100000000000001" customHeight="1">
      <c r="C1030" s="449" t="s">
        <v>1037</v>
      </c>
      <c r="D1030" s="530"/>
      <c r="E1030" s="530"/>
      <c r="F1030" s="531"/>
      <c r="G1030" s="532" t="s">
        <v>1038</v>
      </c>
      <c r="H1030" s="532"/>
      <c r="I1030" s="688" t="s">
        <v>814</v>
      </c>
    </row>
    <row r="1031" spans="2:9" ht="20.100000000000001" customHeight="1">
      <c r="C1031" s="449" t="s">
        <v>1039</v>
      </c>
      <c r="D1031" s="530"/>
      <c r="E1031" s="530"/>
      <c r="F1031" s="531"/>
      <c r="G1031" s="532" t="s">
        <v>1040</v>
      </c>
      <c r="H1031" s="532"/>
      <c r="I1031" s="688" t="s">
        <v>814</v>
      </c>
    </row>
    <row r="1032" spans="2:9" ht="20.100000000000001" customHeight="1">
      <c r="C1032" s="449" t="s">
        <v>1041</v>
      </c>
      <c r="D1032" s="530"/>
      <c r="E1032" s="530"/>
      <c r="F1032" s="531"/>
      <c r="G1032" s="532" t="s">
        <v>1042</v>
      </c>
      <c r="H1032" s="532"/>
      <c r="I1032" s="688" t="s">
        <v>814</v>
      </c>
    </row>
    <row r="1033" spans="2:9" ht="20.100000000000001" customHeight="1">
      <c r="C1033" s="449" t="s">
        <v>1028</v>
      </c>
      <c r="D1033" s="530"/>
      <c r="E1033" s="530"/>
      <c r="F1033" s="531"/>
      <c r="G1033" s="532" t="s">
        <v>1043</v>
      </c>
      <c r="H1033" s="532"/>
      <c r="I1033" s="688" t="s">
        <v>814</v>
      </c>
    </row>
    <row r="1034" spans="2:9" ht="20.100000000000001" customHeight="1">
      <c r="B1034" s="594" t="s">
        <v>836</v>
      </c>
      <c r="C1034" s="449" t="s">
        <v>1044</v>
      </c>
      <c r="D1034" s="530"/>
      <c r="E1034" s="530"/>
      <c r="F1034" s="531"/>
      <c r="G1034" s="532" t="s">
        <v>1045</v>
      </c>
      <c r="H1034" s="532"/>
      <c r="I1034" s="629" t="s">
        <v>814</v>
      </c>
    </row>
    <row r="1035" spans="2:9" ht="20.100000000000001" customHeight="1">
      <c r="C1035" s="450" t="s">
        <v>1046</v>
      </c>
      <c r="D1035" s="530"/>
      <c r="E1035" s="530"/>
      <c r="F1035" s="531"/>
      <c r="G1035" s="532" t="s">
        <v>1047</v>
      </c>
      <c r="H1035" s="532"/>
      <c r="I1035" s="688" t="s">
        <v>814</v>
      </c>
    </row>
    <row r="1036" spans="2:9" ht="20.100000000000001" customHeight="1">
      <c r="B1036" s="594" t="s">
        <v>842</v>
      </c>
      <c r="C1036" s="595" t="s">
        <v>1048</v>
      </c>
      <c r="D1036" s="530"/>
      <c r="E1036" s="530"/>
      <c r="F1036" s="531"/>
      <c r="G1036" s="532" t="s">
        <v>1049</v>
      </c>
      <c r="H1036" s="532"/>
      <c r="I1036" s="629" t="s">
        <v>814</v>
      </c>
    </row>
    <row r="1037" spans="2:9" ht="31.5" customHeight="1">
      <c r="B1037" s="594" t="s">
        <v>364</v>
      </c>
      <c r="C1037" s="598" t="s">
        <v>1050</v>
      </c>
      <c r="D1037" s="530"/>
      <c r="E1037" s="530"/>
      <c r="F1037" s="531"/>
      <c r="G1037" s="532" t="s">
        <v>1051</v>
      </c>
      <c r="H1037" s="532"/>
      <c r="I1037" s="629" t="s">
        <v>814</v>
      </c>
    </row>
    <row r="1038" spans="2:9" ht="20.100000000000001" customHeight="1">
      <c r="B1038" s="594" t="s">
        <v>82</v>
      </c>
      <c r="C1038" s="449" t="s">
        <v>1017</v>
      </c>
      <c r="D1038" s="530"/>
      <c r="E1038" s="530"/>
      <c r="F1038" s="531"/>
      <c r="G1038" s="532" t="s">
        <v>1052</v>
      </c>
      <c r="H1038" s="532"/>
      <c r="I1038" s="629" t="s">
        <v>814</v>
      </c>
    </row>
    <row r="1039" spans="2:9" ht="20.100000000000001" customHeight="1">
      <c r="C1039" s="449" t="s">
        <v>1019</v>
      </c>
      <c r="D1039" s="530"/>
      <c r="E1039" s="530"/>
      <c r="F1039" s="531"/>
      <c r="G1039" s="532" t="s">
        <v>1053</v>
      </c>
      <c r="H1039" s="532"/>
      <c r="I1039" s="688" t="s">
        <v>814</v>
      </c>
    </row>
    <row r="1040" spans="2:9" ht="20.100000000000001" customHeight="1">
      <c r="C1040" s="450" t="s">
        <v>1054</v>
      </c>
      <c r="D1040" s="530"/>
      <c r="E1040" s="530"/>
      <c r="F1040" s="531"/>
      <c r="G1040" s="532" t="s">
        <v>1055</v>
      </c>
      <c r="H1040" s="532"/>
      <c r="I1040" s="688" t="s">
        <v>814</v>
      </c>
    </row>
    <row r="1041" spans="2:9" ht="20.100000000000001" customHeight="1">
      <c r="C1041" s="450" t="s">
        <v>768</v>
      </c>
      <c r="D1041" s="530"/>
      <c r="E1041" s="530"/>
      <c r="F1041" s="531"/>
      <c r="G1041" s="532" t="s">
        <v>1056</v>
      </c>
      <c r="H1041" s="532"/>
      <c r="I1041" s="688" t="s">
        <v>814</v>
      </c>
    </row>
    <row r="1042" spans="2:9" ht="20.100000000000001" customHeight="1">
      <c r="C1042" s="450" t="s">
        <v>1057</v>
      </c>
      <c r="D1042" s="530"/>
      <c r="E1042" s="530"/>
      <c r="F1042" s="531"/>
      <c r="G1042" s="532" t="s">
        <v>1058</v>
      </c>
      <c r="H1042" s="532"/>
      <c r="I1042" s="688" t="s">
        <v>814</v>
      </c>
    </row>
    <row r="1043" spans="2:9" ht="20.100000000000001" customHeight="1">
      <c r="C1043" s="449" t="s">
        <v>1024</v>
      </c>
      <c r="D1043" s="530"/>
      <c r="E1043" s="530"/>
      <c r="F1043" s="531"/>
      <c r="G1043" s="532" t="s">
        <v>1059</v>
      </c>
      <c r="H1043" s="532"/>
      <c r="I1043" s="688" t="s">
        <v>814</v>
      </c>
    </row>
    <row r="1044" spans="2:9" ht="20.100000000000001" customHeight="1">
      <c r="C1044" s="449" t="s">
        <v>1026</v>
      </c>
      <c r="D1044" s="530"/>
      <c r="E1044" s="530"/>
      <c r="F1044" s="531"/>
      <c r="G1044" s="532" t="s">
        <v>1060</v>
      </c>
      <c r="H1044" s="532"/>
      <c r="I1044" s="688" t="s">
        <v>814</v>
      </c>
    </row>
    <row r="1045" spans="2:9" ht="20.100000000000001" customHeight="1">
      <c r="C1045" s="449" t="s">
        <v>1028</v>
      </c>
      <c r="D1045" s="530"/>
      <c r="E1045" s="530"/>
      <c r="F1045" s="531"/>
      <c r="G1045" s="532" t="s">
        <v>1061</v>
      </c>
      <c r="H1045" s="532"/>
      <c r="I1045" s="688" t="s">
        <v>814</v>
      </c>
    </row>
    <row r="1046" spans="2:9" ht="20.100000000000001" customHeight="1">
      <c r="B1046" s="594" t="s">
        <v>84</v>
      </c>
      <c r="C1046" s="449" t="s">
        <v>805</v>
      </c>
      <c r="D1046" s="530"/>
      <c r="E1046" s="530"/>
      <c r="F1046" s="531"/>
      <c r="G1046" s="532" t="s">
        <v>1062</v>
      </c>
      <c r="H1046" s="532"/>
      <c r="I1046" s="629" t="s">
        <v>814</v>
      </c>
    </row>
    <row r="1047" spans="2:9" ht="20.100000000000001" customHeight="1">
      <c r="C1047" s="449" t="s">
        <v>1031</v>
      </c>
      <c r="D1047" s="530"/>
      <c r="E1047" s="530"/>
      <c r="F1047" s="531"/>
      <c r="G1047" s="532" t="s">
        <v>1063</v>
      </c>
      <c r="H1047" s="532"/>
      <c r="I1047" s="688" t="s">
        <v>814</v>
      </c>
    </row>
    <row r="1048" spans="2:9" ht="20.100000000000001" customHeight="1">
      <c r="C1048" s="449" t="s">
        <v>1033</v>
      </c>
      <c r="D1048" s="530"/>
      <c r="E1048" s="530"/>
      <c r="F1048" s="531"/>
      <c r="G1048" s="532" t="s">
        <v>1064</v>
      </c>
      <c r="H1048" s="532"/>
      <c r="I1048" s="688" t="s">
        <v>814</v>
      </c>
    </row>
    <row r="1049" spans="2:9" ht="20.100000000000001" customHeight="1">
      <c r="C1049" s="449" t="s">
        <v>1035</v>
      </c>
      <c r="D1049" s="530"/>
      <c r="E1049" s="530"/>
      <c r="F1049" s="531"/>
      <c r="G1049" s="532" t="s">
        <v>1065</v>
      </c>
      <c r="H1049" s="532"/>
      <c r="I1049" s="688" t="s">
        <v>814</v>
      </c>
    </row>
    <row r="1050" spans="2:9" ht="20.100000000000001" customHeight="1">
      <c r="C1050" s="449" t="s">
        <v>1037</v>
      </c>
      <c r="D1050" s="530"/>
      <c r="E1050" s="530"/>
      <c r="F1050" s="531"/>
      <c r="G1050" s="532" t="s">
        <v>1066</v>
      </c>
      <c r="H1050" s="532"/>
      <c r="I1050" s="688" t="s">
        <v>814</v>
      </c>
    </row>
    <row r="1051" spans="2:9" ht="20.100000000000001" customHeight="1">
      <c r="C1051" s="449" t="s">
        <v>1039</v>
      </c>
      <c r="D1051" s="530"/>
      <c r="E1051" s="530"/>
      <c r="F1051" s="531"/>
      <c r="G1051" s="532" t="s">
        <v>1067</v>
      </c>
      <c r="H1051" s="532"/>
      <c r="I1051" s="688" t="s">
        <v>814</v>
      </c>
    </row>
    <row r="1052" spans="2:9" ht="20.100000000000001" customHeight="1">
      <c r="C1052" s="449" t="s">
        <v>1041</v>
      </c>
      <c r="D1052" s="530"/>
      <c r="E1052" s="530"/>
      <c r="F1052" s="531"/>
      <c r="G1052" s="532" t="s">
        <v>1068</v>
      </c>
      <c r="H1052" s="532"/>
      <c r="I1052" s="688" t="s">
        <v>814</v>
      </c>
    </row>
    <row r="1053" spans="2:9" ht="20.100000000000001" customHeight="1">
      <c r="B1053" s="594" t="s">
        <v>869</v>
      </c>
      <c r="C1053" s="449" t="s">
        <v>1028</v>
      </c>
      <c r="D1053" s="530"/>
      <c r="E1053" s="530"/>
      <c r="F1053" s="531"/>
      <c r="G1053" s="532" t="s">
        <v>1069</v>
      </c>
      <c r="H1053" s="532"/>
      <c r="I1053" s="688" t="s">
        <v>814</v>
      </c>
    </row>
    <row r="1054" spans="2:9" ht="20.100000000000001" customHeight="1">
      <c r="B1054" s="594" t="s">
        <v>884</v>
      </c>
      <c r="C1054" s="449" t="s">
        <v>1044</v>
      </c>
      <c r="D1054" s="530"/>
      <c r="E1054" s="530"/>
      <c r="F1054" s="531"/>
      <c r="G1054" s="532" t="s">
        <v>1070</v>
      </c>
      <c r="H1054" s="532"/>
      <c r="I1054" s="629" t="s">
        <v>814</v>
      </c>
    </row>
    <row r="1055" spans="2:9" ht="20.100000000000001" customHeight="1">
      <c r="C1055" s="451" t="s">
        <v>1046</v>
      </c>
      <c r="D1055" s="530"/>
      <c r="E1055" s="530"/>
      <c r="F1055" s="531"/>
      <c r="G1055" s="532" t="s">
        <v>1071</v>
      </c>
      <c r="H1055" s="532"/>
      <c r="I1055" s="688" t="s">
        <v>814</v>
      </c>
    </row>
    <row r="1056" spans="2:9" ht="20.100000000000001" customHeight="1">
      <c r="C1056" s="451" t="s">
        <v>32</v>
      </c>
      <c r="D1056" s="530"/>
      <c r="E1056" s="530"/>
      <c r="F1056" s="531"/>
      <c r="G1056" s="532" t="s">
        <v>1072</v>
      </c>
      <c r="H1056" s="532"/>
      <c r="I1056" s="688" t="s">
        <v>814</v>
      </c>
    </row>
    <row r="1057" spans="2:9" ht="20.100000000000001" customHeight="1">
      <c r="B1057" s="594" t="s">
        <v>896</v>
      </c>
      <c r="C1057" s="595" t="s">
        <v>1048</v>
      </c>
      <c r="D1057" s="530"/>
      <c r="E1057" s="530"/>
      <c r="F1057" s="531"/>
      <c r="G1057" s="532" t="s">
        <v>1073</v>
      </c>
      <c r="H1057" s="532"/>
      <c r="I1057" s="629" t="s">
        <v>814</v>
      </c>
    </row>
    <row r="1058" spans="2:9" ht="20.100000000000001" customHeight="1">
      <c r="B1058" s="594" t="s">
        <v>899</v>
      </c>
      <c r="C1058" s="597" t="s">
        <v>1074</v>
      </c>
      <c r="D1058" s="530"/>
      <c r="E1058" s="530"/>
      <c r="F1058" s="531"/>
      <c r="G1058" s="532" t="s">
        <v>1075</v>
      </c>
      <c r="H1058" s="532"/>
      <c r="I1058" s="629" t="s">
        <v>814</v>
      </c>
    </row>
    <row r="1059" spans="2:9" ht="20.100000000000001" customHeight="1">
      <c r="B1059" s="594" t="s">
        <v>906</v>
      </c>
      <c r="C1059" s="595" t="s">
        <v>1076</v>
      </c>
      <c r="D1059" s="530"/>
      <c r="E1059" s="530"/>
      <c r="F1059" s="531"/>
      <c r="G1059" s="532" t="s">
        <v>1077</v>
      </c>
      <c r="H1059" s="532"/>
      <c r="I1059" s="629" t="s">
        <v>814</v>
      </c>
    </row>
    <row r="1060" spans="2:9" ht="20.100000000000001" customHeight="1">
      <c r="C1060" s="452" t="s">
        <v>1078</v>
      </c>
      <c r="D1060" s="530"/>
      <c r="E1060" s="530"/>
      <c r="F1060" s="531"/>
      <c r="G1060" s="532" t="s">
        <v>1079</v>
      </c>
      <c r="H1060" s="532"/>
      <c r="I1060" s="688" t="s">
        <v>814</v>
      </c>
    </row>
    <row r="1061" spans="2:9" ht="20.100000000000001" customHeight="1">
      <c r="B1061" s="594" t="s">
        <v>926</v>
      </c>
      <c r="C1061" s="595" t="s">
        <v>1080</v>
      </c>
      <c r="D1061" s="530"/>
      <c r="E1061" s="530"/>
      <c r="F1061" s="531"/>
      <c r="G1061" s="532" t="s">
        <v>1081</v>
      </c>
      <c r="H1061" s="532"/>
      <c r="I1061" s="629" t="s">
        <v>814</v>
      </c>
    </row>
    <row r="1062" spans="2:9" ht="20.100000000000001" customHeight="1">
      <c r="B1062" s="594" t="s">
        <v>989</v>
      </c>
      <c r="C1062" s="449" t="s">
        <v>1082</v>
      </c>
      <c r="D1062" s="530"/>
      <c r="E1062" s="530"/>
      <c r="F1062" s="531"/>
      <c r="G1062" s="532" t="s">
        <v>1083</v>
      </c>
      <c r="H1062" s="532"/>
      <c r="I1062" s="629" t="s">
        <v>814</v>
      </c>
    </row>
    <row r="1063" spans="2:9" ht="20.100000000000001" customHeight="1">
      <c r="B1063" s="594" t="s">
        <v>86</v>
      </c>
      <c r="C1063" s="598" t="s">
        <v>851</v>
      </c>
      <c r="D1063" s="530"/>
      <c r="E1063" s="530"/>
      <c r="F1063" s="531"/>
      <c r="G1063" s="532"/>
      <c r="H1063" s="532"/>
      <c r="I1063" s="629"/>
    </row>
    <row r="1064" spans="2:9" ht="20.100000000000001" customHeight="1">
      <c r="B1064" s="594" t="s">
        <v>90</v>
      </c>
      <c r="C1064" s="598" t="s">
        <v>1084</v>
      </c>
      <c r="D1064" s="530"/>
      <c r="E1064" s="530"/>
      <c r="F1064" s="531"/>
      <c r="G1064" s="532" t="s">
        <v>1085</v>
      </c>
      <c r="H1064" s="532"/>
      <c r="I1064" s="629" t="s">
        <v>814</v>
      </c>
    </row>
    <row r="1065" spans="2:9" ht="20.100000000000001" customHeight="1">
      <c r="C1065" s="453" t="s">
        <v>1086</v>
      </c>
      <c r="D1065" s="530"/>
      <c r="E1065" s="530"/>
      <c r="F1065" s="531"/>
      <c r="G1065" s="532" t="s">
        <v>1087</v>
      </c>
      <c r="H1065" s="532"/>
      <c r="I1065" s="688" t="s">
        <v>814</v>
      </c>
    </row>
    <row r="1066" spans="2:9" ht="20.100000000000001" customHeight="1">
      <c r="C1066" s="453" t="s">
        <v>1088</v>
      </c>
      <c r="D1066" s="530"/>
      <c r="E1066" s="530"/>
      <c r="F1066" s="531"/>
      <c r="G1066" s="532" t="s">
        <v>1089</v>
      </c>
      <c r="H1066" s="532"/>
      <c r="I1066" s="688" t="s">
        <v>814</v>
      </c>
    </row>
    <row r="1067" spans="2:9" ht="20.100000000000001" customHeight="1">
      <c r="B1067" s="594" t="s">
        <v>91</v>
      </c>
      <c r="C1067" s="598" t="s">
        <v>1090</v>
      </c>
      <c r="D1067" s="530"/>
      <c r="E1067" s="530"/>
      <c r="F1067" s="531"/>
      <c r="G1067" s="532" t="s">
        <v>1091</v>
      </c>
      <c r="H1067" s="532"/>
      <c r="I1067" s="629" t="s">
        <v>814</v>
      </c>
    </row>
    <row r="1068" spans="2:9" ht="20.100000000000001" customHeight="1">
      <c r="B1068" s="594" t="s">
        <v>1092</v>
      </c>
      <c r="C1068" s="598" t="s">
        <v>1093</v>
      </c>
      <c r="D1068" s="530"/>
      <c r="E1068" s="530"/>
      <c r="F1068" s="531"/>
      <c r="G1068" s="532" t="s">
        <v>1094</v>
      </c>
      <c r="H1068" s="532"/>
      <c r="I1068" s="629" t="s">
        <v>814</v>
      </c>
    </row>
    <row r="1069" spans="2:9" ht="20.100000000000001" customHeight="1">
      <c r="C1069" s="453" t="s">
        <v>1095</v>
      </c>
      <c r="D1069" s="530"/>
      <c r="E1069" s="530"/>
      <c r="F1069" s="531"/>
      <c r="G1069" s="532" t="s">
        <v>1096</v>
      </c>
      <c r="H1069" s="532"/>
      <c r="I1069" s="688" t="s">
        <v>814</v>
      </c>
    </row>
    <row r="1070" spans="2:9" ht="20.100000000000001" customHeight="1">
      <c r="C1070" s="453" t="s">
        <v>1097</v>
      </c>
      <c r="D1070" s="530"/>
      <c r="E1070" s="530"/>
      <c r="F1070" s="531"/>
      <c r="G1070" s="532" t="s">
        <v>1098</v>
      </c>
      <c r="H1070" s="532"/>
      <c r="I1070" s="688" t="s">
        <v>814</v>
      </c>
    </row>
    <row r="1071" spans="2:9" ht="20.100000000000001" customHeight="1">
      <c r="B1071" s="594" t="s">
        <v>1099</v>
      </c>
      <c r="C1071" s="598" t="s">
        <v>1100</v>
      </c>
      <c r="D1071" s="530"/>
      <c r="E1071" s="530"/>
      <c r="F1071" s="531"/>
      <c r="G1071" s="532" t="s">
        <v>1101</v>
      </c>
      <c r="H1071" s="532"/>
      <c r="I1071" s="629" t="s">
        <v>814</v>
      </c>
    </row>
    <row r="1072" spans="2:9" ht="20.100000000000001" customHeight="1">
      <c r="B1072" s="594" t="s">
        <v>1102</v>
      </c>
      <c r="C1072" s="598" t="s">
        <v>1103</v>
      </c>
      <c r="D1072" s="530"/>
      <c r="E1072" s="530"/>
      <c r="F1072" s="531"/>
      <c r="G1072" s="532" t="s">
        <v>1104</v>
      </c>
      <c r="H1072" s="532"/>
      <c r="I1072" s="629" t="s">
        <v>814</v>
      </c>
    </row>
    <row r="1073" spans="2:9" ht="20.100000000000001" customHeight="1">
      <c r="C1073" s="453" t="s">
        <v>1105</v>
      </c>
      <c r="D1073" s="530"/>
      <c r="E1073" s="530"/>
      <c r="F1073" s="531"/>
      <c r="G1073" s="532" t="s">
        <v>1106</v>
      </c>
      <c r="H1073" s="532"/>
      <c r="I1073" s="688" t="s">
        <v>814</v>
      </c>
    </row>
    <row r="1074" spans="2:9" ht="20.100000000000001" customHeight="1">
      <c r="C1074" s="453" t="s">
        <v>1107</v>
      </c>
      <c r="D1074" s="530"/>
      <c r="E1074" s="530"/>
      <c r="F1074" s="531"/>
      <c r="G1074" s="532" t="s">
        <v>1108</v>
      </c>
      <c r="H1074" s="532"/>
      <c r="I1074" s="688" t="s">
        <v>814</v>
      </c>
    </row>
    <row r="1075" spans="2:9" ht="20.100000000000001" customHeight="1">
      <c r="B1075" s="594" t="s">
        <v>1109</v>
      </c>
      <c r="C1075" s="598" t="s">
        <v>1110</v>
      </c>
      <c r="D1075" s="530"/>
      <c r="E1075" s="530"/>
      <c r="F1075" s="531"/>
      <c r="G1075" s="532" t="s">
        <v>1111</v>
      </c>
      <c r="H1075" s="532"/>
      <c r="I1075" s="629" t="s">
        <v>814</v>
      </c>
    </row>
    <row r="1076" spans="2:9" ht="20.100000000000001" customHeight="1">
      <c r="B1076" s="594" t="s">
        <v>1112</v>
      </c>
      <c r="C1076" s="598" t="s">
        <v>1113</v>
      </c>
      <c r="D1076" s="530"/>
      <c r="E1076" s="530"/>
      <c r="F1076" s="531"/>
      <c r="G1076" s="532" t="s">
        <v>1114</v>
      </c>
      <c r="H1076" s="532"/>
      <c r="I1076" s="629" t="s">
        <v>814</v>
      </c>
    </row>
    <row r="1077" spans="2:9" ht="20.100000000000001" customHeight="1">
      <c r="C1077" s="453" t="s">
        <v>1115</v>
      </c>
      <c r="D1077" s="530"/>
      <c r="E1077" s="530"/>
      <c r="F1077" s="531"/>
      <c r="G1077" s="532" t="s">
        <v>1116</v>
      </c>
      <c r="H1077" s="532"/>
      <c r="I1077" s="688" t="s">
        <v>814</v>
      </c>
    </row>
    <row r="1078" spans="2:9" ht="20.100000000000001" customHeight="1">
      <c r="C1078" s="453" t="s">
        <v>1117</v>
      </c>
      <c r="D1078" s="530"/>
      <c r="E1078" s="530"/>
      <c r="F1078" s="531"/>
      <c r="G1078" s="532" t="s">
        <v>1118</v>
      </c>
      <c r="H1078" s="532"/>
      <c r="I1078" s="688" t="s">
        <v>814</v>
      </c>
    </row>
    <row r="1079" spans="2:9" ht="20.100000000000001" customHeight="1">
      <c r="C1079" s="453" t="s">
        <v>1119</v>
      </c>
      <c r="D1079" s="530"/>
      <c r="E1079" s="530"/>
      <c r="F1079" s="531"/>
      <c r="G1079" s="532" t="s">
        <v>1120</v>
      </c>
      <c r="H1079" s="532"/>
      <c r="I1079" s="688" t="s">
        <v>814</v>
      </c>
    </row>
    <row r="1080" spans="2:9" ht="20.100000000000001" customHeight="1">
      <c r="B1080" s="594" t="s">
        <v>1121</v>
      </c>
      <c r="C1080" s="598" t="s">
        <v>1122</v>
      </c>
      <c r="D1080" s="530"/>
      <c r="E1080" s="530"/>
      <c r="F1080" s="531"/>
      <c r="G1080" s="532" t="s">
        <v>1123</v>
      </c>
      <c r="H1080" s="532"/>
      <c r="I1080" s="629" t="s">
        <v>814</v>
      </c>
    </row>
    <row r="1081" spans="2:9" ht="20.100000000000001" customHeight="1">
      <c r="C1081" s="453" t="s">
        <v>1105</v>
      </c>
      <c r="D1081" s="530"/>
      <c r="E1081" s="530"/>
      <c r="F1081" s="531"/>
      <c r="G1081" s="532" t="s">
        <v>1124</v>
      </c>
      <c r="H1081" s="532"/>
      <c r="I1081" s="688" t="s">
        <v>814</v>
      </c>
    </row>
    <row r="1082" spans="2:9" ht="20.100000000000001" customHeight="1">
      <c r="C1082" s="453" t="s">
        <v>1107</v>
      </c>
      <c r="D1082" s="530"/>
      <c r="E1082" s="530"/>
      <c r="F1082" s="531"/>
      <c r="G1082" s="532" t="s">
        <v>1125</v>
      </c>
      <c r="H1082" s="532"/>
      <c r="I1082" s="688" t="s">
        <v>814</v>
      </c>
    </row>
    <row r="1083" spans="2:9" ht="20.100000000000001" customHeight="1">
      <c r="B1083" s="594" t="s">
        <v>1126</v>
      </c>
      <c r="C1083" s="598" t="s">
        <v>1127</v>
      </c>
      <c r="D1083" s="530"/>
      <c r="E1083" s="530"/>
      <c r="F1083" s="531"/>
      <c r="G1083" s="532" t="s">
        <v>1128</v>
      </c>
      <c r="H1083" s="532"/>
      <c r="I1083" s="629" t="s">
        <v>814</v>
      </c>
    </row>
    <row r="1084" spans="2:9" ht="20.100000000000001" customHeight="1">
      <c r="C1084" s="453" t="s">
        <v>1129</v>
      </c>
      <c r="D1084" s="530"/>
      <c r="E1084" s="530"/>
      <c r="F1084" s="531"/>
      <c r="G1084" s="532" t="s">
        <v>1130</v>
      </c>
      <c r="H1084" s="532"/>
      <c r="I1084" s="688" t="s">
        <v>814</v>
      </c>
    </row>
    <row r="1085" spans="2:9" ht="20.100000000000001" customHeight="1">
      <c r="C1085" s="453" t="s">
        <v>1107</v>
      </c>
      <c r="D1085" s="530"/>
      <c r="E1085" s="530"/>
      <c r="F1085" s="531"/>
      <c r="G1085" s="532" t="s">
        <v>1131</v>
      </c>
      <c r="H1085" s="532"/>
      <c r="I1085" s="688" t="s">
        <v>814</v>
      </c>
    </row>
    <row r="1086" spans="2:9" ht="20.100000000000001" customHeight="1">
      <c r="B1086" s="594" t="s">
        <v>1132</v>
      </c>
      <c r="C1086" s="598" t="s">
        <v>1133</v>
      </c>
      <c r="D1086" s="530"/>
      <c r="E1086" s="530"/>
      <c r="F1086" s="531"/>
      <c r="G1086" s="532" t="s">
        <v>1134</v>
      </c>
      <c r="H1086" s="532"/>
      <c r="I1086" s="629" t="s">
        <v>814</v>
      </c>
    </row>
    <row r="1087" spans="2:9" ht="20.100000000000001" customHeight="1">
      <c r="B1087" s="594" t="s">
        <v>1135</v>
      </c>
      <c r="C1087" s="598" t="s">
        <v>1136</v>
      </c>
      <c r="D1087" s="530"/>
      <c r="E1087" s="530"/>
      <c r="F1087" s="531"/>
      <c r="G1087" s="532" t="s">
        <v>1137</v>
      </c>
      <c r="H1087" s="532"/>
      <c r="I1087" s="629" t="s">
        <v>814</v>
      </c>
    </row>
    <row r="1088" spans="2:9" ht="20.100000000000001" customHeight="1">
      <c r="B1088" s="594" t="s">
        <v>1138</v>
      </c>
      <c r="C1088" s="598" t="s">
        <v>1139</v>
      </c>
      <c r="D1088" s="530"/>
      <c r="E1088" s="530"/>
      <c r="F1088" s="531"/>
      <c r="G1088" s="532" t="s">
        <v>1140</v>
      </c>
      <c r="H1088" s="532"/>
      <c r="I1088" s="629" t="s">
        <v>814</v>
      </c>
    </row>
    <row r="1089" spans="2:9" ht="20.100000000000001" customHeight="1">
      <c r="B1089" s="594" t="s">
        <v>1141</v>
      </c>
      <c r="C1089" s="598" t="s">
        <v>1142</v>
      </c>
      <c r="D1089" s="530"/>
      <c r="E1089" s="530"/>
      <c r="F1089" s="531"/>
      <c r="G1089" s="532" t="s">
        <v>1143</v>
      </c>
      <c r="H1089" s="532"/>
      <c r="I1089" s="629" t="s">
        <v>814</v>
      </c>
    </row>
    <row r="1090" spans="2:9" ht="20.100000000000001" customHeight="1">
      <c r="C1090" s="453" t="s">
        <v>1129</v>
      </c>
      <c r="D1090" s="530"/>
      <c r="E1090" s="530"/>
      <c r="F1090" s="531"/>
      <c r="G1090" s="532" t="s">
        <v>1144</v>
      </c>
      <c r="H1090" s="532"/>
      <c r="I1090" s="688" t="s">
        <v>814</v>
      </c>
    </row>
    <row r="1091" spans="2:9" ht="20.100000000000001" customHeight="1">
      <c r="C1091" s="453" t="s">
        <v>1107</v>
      </c>
      <c r="D1091" s="530"/>
      <c r="E1091" s="530"/>
      <c r="F1091" s="531"/>
      <c r="G1091" s="532" t="s">
        <v>1145</v>
      </c>
      <c r="H1091" s="532"/>
      <c r="I1091" s="688" t="s">
        <v>814</v>
      </c>
    </row>
    <row r="1092" spans="2:9" ht="20.100000000000001" customHeight="1">
      <c r="C1092" s="453" t="s">
        <v>1146</v>
      </c>
      <c r="D1092" s="530"/>
      <c r="E1092" s="530"/>
      <c r="F1092" s="531"/>
      <c r="G1092" s="532" t="s">
        <v>1147</v>
      </c>
      <c r="H1092" s="532"/>
      <c r="I1092" s="688" t="s">
        <v>814</v>
      </c>
    </row>
    <row r="1093" spans="2:9" ht="20.100000000000001" customHeight="1">
      <c r="B1093" s="594" t="s">
        <v>1148</v>
      </c>
      <c r="C1093" s="598" t="s">
        <v>1149</v>
      </c>
      <c r="D1093" s="530"/>
      <c r="E1093" s="530"/>
      <c r="F1093" s="531"/>
      <c r="G1093" s="532" t="s">
        <v>1150</v>
      </c>
      <c r="H1093" s="532"/>
      <c r="I1093" s="629" t="s">
        <v>814</v>
      </c>
    </row>
    <row r="1094" spans="2:9" ht="20.100000000000001" customHeight="1">
      <c r="C1094" s="453" t="s">
        <v>1107</v>
      </c>
      <c r="D1094" s="530"/>
      <c r="E1094" s="530"/>
      <c r="F1094" s="531"/>
      <c r="G1094" s="532" t="s">
        <v>1151</v>
      </c>
      <c r="H1094" s="532"/>
      <c r="I1094" s="688" t="s">
        <v>814</v>
      </c>
    </row>
    <row r="1095" spans="2:9" ht="20.100000000000001" customHeight="1">
      <c r="B1095" s="594" t="s">
        <v>1152</v>
      </c>
      <c r="C1095" s="598" t="s">
        <v>1153</v>
      </c>
      <c r="D1095" s="530"/>
      <c r="E1095" s="530"/>
      <c r="F1095" s="531"/>
      <c r="G1095" s="532" t="s">
        <v>1154</v>
      </c>
      <c r="H1095" s="532"/>
      <c r="I1095" s="629" t="s">
        <v>814</v>
      </c>
    </row>
    <row r="1096" spans="2:9" ht="20.100000000000001" customHeight="1">
      <c r="C1096" s="453" t="s">
        <v>1107</v>
      </c>
      <c r="D1096" s="530"/>
      <c r="E1096" s="530"/>
      <c r="F1096" s="531"/>
      <c r="G1096" s="532" t="s">
        <v>1155</v>
      </c>
      <c r="H1096" s="532"/>
      <c r="I1096" s="688" t="s">
        <v>814</v>
      </c>
    </row>
    <row r="1097" spans="2:9" ht="20.100000000000001" customHeight="1">
      <c r="B1097" s="594" t="s">
        <v>1156</v>
      </c>
      <c r="C1097" s="598" t="s">
        <v>1157</v>
      </c>
      <c r="D1097" s="530"/>
      <c r="E1097" s="530"/>
      <c r="F1097" s="531"/>
      <c r="G1097" s="532" t="s">
        <v>1158</v>
      </c>
      <c r="H1097" s="532"/>
      <c r="I1097" s="629" t="s">
        <v>814</v>
      </c>
    </row>
    <row r="1098" spans="2:9" ht="20.100000000000001" customHeight="1">
      <c r="C1098" s="453" t="s">
        <v>1129</v>
      </c>
      <c r="D1098" s="530"/>
      <c r="E1098" s="530"/>
      <c r="F1098" s="531"/>
      <c r="G1098" s="532" t="s">
        <v>1159</v>
      </c>
      <c r="H1098" s="532"/>
      <c r="I1098" s="688" t="s">
        <v>814</v>
      </c>
    </row>
    <row r="1099" spans="2:9" ht="20.100000000000001" customHeight="1">
      <c r="C1099" s="453" t="s">
        <v>1160</v>
      </c>
      <c r="D1099" s="530"/>
      <c r="E1099" s="530"/>
      <c r="F1099" s="531"/>
      <c r="G1099" s="532" t="s">
        <v>1161</v>
      </c>
      <c r="H1099" s="532"/>
      <c r="I1099" s="688" t="s">
        <v>814</v>
      </c>
    </row>
    <row r="1100" spans="2:9" ht="20.100000000000001" customHeight="1">
      <c r="C1100" s="453" t="s">
        <v>1162</v>
      </c>
      <c r="D1100" s="530"/>
      <c r="E1100" s="530"/>
      <c r="F1100" s="531"/>
      <c r="G1100" s="532" t="s">
        <v>1163</v>
      </c>
      <c r="H1100" s="532"/>
      <c r="I1100" s="688" t="s">
        <v>814</v>
      </c>
    </row>
    <row r="1101" spans="2:9" ht="20.100000000000001" customHeight="1">
      <c r="B1101" s="594" t="s">
        <v>1164</v>
      </c>
      <c r="C1101" s="598" t="s">
        <v>1165</v>
      </c>
      <c r="D1101" s="530"/>
      <c r="E1101" s="530"/>
      <c r="F1101" s="531"/>
      <c r="G1101" s="532" t="s">
        <v>1166</v>
      </c>
      <c r="H1101" s="532"/>
      <c r="I1101" s="629" t="s">
        <v>814</v>
      </c>
    </row>
    <row r="1102" spans="2:9" ht="20.100000000000001" customHeight="1">
      <c r="C1102" s="453" t="s">
        <v>1129</v>
      </c>
      <c r="D1102" s="530"/>
      <c r="E1102" s="530"/>
      <c r="F1102" s="531"/>
      <c r="G1102" s="532" t="s">
        <v>1167</v>
      </c>
      <c r="H1102" s="532"/>
      <c r="I1102" s="688" t="s">
        <v>814</v>
      </c>
    </row>
    <row r="1103" spans="2:9" ht="20.100000000000001" customHeight="1">
      <c r="C1103" s="453" t="s">
        <v>1168</v>
      </c>
      <c r="D1103" s="530"/>
      <c r="E1103" s="530"/>
      <c r="F1103" s="531"/>
      <c r="G1103" s="532" t="s">
        <v>1169</v>
      </c>
      <c r="H1103" s="532"/>
      <c r="I1103" s="688" t="s">
        <v>814</v>
      </c>
    </row>
    <row r="1104" spans="2:9" ht="20.100000000000001" customHeight="1">
      <c r="B1104" s="594" t="s">
        <v>1170</v>
      </c>
      <c r="C1104" s="597" t="s">
        <v>1171</v>
      </c>
      <c r="D1104" s="530"/>
      <c r="E1104" s="530"/>
      <c r="F1104" s="531"/>
      <c r="G1104" s="532" t="s">
        <v>1172</v>
      </c>
      <c r="H1104" s="532"/>
      <c r="I1104" s="629" t="s">
        <v>814</v>
      </c>
    </row>
    <row r="1105" spans="2:9" ht="20.100000000000001" customHeight="1">
      <c r="C1105" s="454" t="s">
        <v>1173</v>
      </c>
      <c r="D1105" s="530"/>
      <c r="E1105" s="530"/>
      <c r="F1105" s="531"/>
      <c r="G1105" s="532" t="s">
        <v>1174</v>
      </c>
      <c r="H1105" s="532"/>
      <c r="I1105" s="688" t="s">
        <v>814</v>
      </c>
    </row>
    <row r="1106" spans="2:9" ht="20.100000000000001" customHeight="1">
      <c r="B1106" s="594" t="s">
        <v>1175</v>
      </c>
      <c r="C1106" s="598" t="s">
        <v>1176</v>
      </c>
      <c r="D1106" s="530"/>
      <c r="E1106" s="530"/>
      <c r="F1106" s="531"/>
      <c r="G1106" s="532" t="s">
        <v>1177</v>
      </c>
      <c r="H1106" s="532"/>
      <c r="I1106" s="629" t="s">
        <v>814</v>
      </c>
    </row>
    <row r="1107" spans="2:9" ht="20.100000000000001" customHeight="1">
      <c r="C1107" s="453" t="s">
        <v>1129</v>
      </c>
      <c r="D1107" s="530"/>
      <c r="E1107" s="530"/>
      <c r="F1107" s="531"/>
      <c r="G1107" s="532" t="s">
        <v>1178</v>
      </c>
      <c r="H1107" s="532"/>
      <c r="I1107" s="688" t="s">
        <v>814</v>
      </c>
    </row>
    <row r="1108" spans="2:9" ht="20.100000000000001" customHeight="1">
      <c r="B1108" s="594" t="s">
        <v>1179</v>
      </c>
      <c r="C1108" s="598" t="s">
        <v>1180</v>
      </c>
      <c r="D1108" s="530"/>
      <c r="E1108" s="530"/>
      <c r="F1108" s="531"/>
      <c r="G1108" s="532" t="s">
        <v>1181</v>
      </c>
      <c r="H1108" s="532"/>
      <c r="I1108" s="629" t="s">
        <v>814</v>
      </c>
    </row>
    <row r="1109" spans="2:9" ht="20.100000000000001" customHeight="1">
      <c r="B1109" s="594" t="s">
        <v>1182</v>
      </c>
      <c r="C1109" s="448" t="s">
        <v>1183</v>
      </c>
      <c r="D1109" s="530"/>
      <c r="E1109" s="530"/>
      <c r="F1109" s="531"/>
      <c r="G1109" s="532" t="s">
        <v>1184</v>
      </c>
      <c r="H1109" s="532"/>
      <c r="I1109" s="629" t="s">
        <v>814</v>
      </c>
    </row>
    <row r="1110" spans="2:9" ht="20.100000000000001" customHeight="1">
      <c r="C1110" s="455"/>
      <c r="D1110" s="530"/>
      <c r="E1110" s="530"/>
      <c r="F1110" s="531"/>
      <c r="G1110" s="532"/>
      <c r="H1110" s="532"/>
      <c r="I1110" s="447"/>
    </row>
    <row r="1111" spans="2:9" ht="20.100000000000001" customHeight="1">
      <c r="C1111" s="595" t="s">
        <v>1185</v>
      </c>
      <c r="D1111" s="530"/>
      <c r="E1111" s="530"/>
      <c r="F1111" s="531"/>
      <c r="G1111" s="532"/>
      <c r="H1111" s="532"/>
      <c r="I1111" s="448"/>
    </row>
    <row r="1112" spans="2:9" ht="32.25" customHeight="1">
      <c r="B1112" s="594" t="s">
        <v>26</v>
      </c>
      <c r="C1112" s="598" t="s">
        <v>1015</v>
      </c>
      <c r="D1112" s="530"/>
      <c r="E1112" s="530"/>
      <c r="F1112" s="531"/>
      <c r="G1112" s="532" t="s">
        <v>1186</v>
      </c>
      <c r="H1112" s="532"/>
      <c r="I1112" s="629" t="s">
        <v>814</v>
      </c>
    </row>
    <row r="1113" spans="2:9" ht="20.100000000000001" customHeight="1">
      <c r="B1113" s="594" t="s">
        <v>43</v>
      </c>
      <c r="C1113" s="449" t="s">
        <v>1187</v>
      </c>
      <c r="D1113" s="530"/>
      <c r="E1113" s="530"/>
      <c r="F1113" s="531"/>
      <c r="G1113" s="532" t="s">
        <v>1188</v>
      </c>
      <c r="H1113" s="532"/>
      <c r="I1113" s="629" t="s">
        <v>814</v>
      </c>
    </row>
    <row r="1114" spans="2:9" ht="20.100000000000001" customHeight="1">
      <c r="C1114" s="451" t="s">
        <v>1189</v>
      </c>
      <c r="D1114" s="530"/>
      <c r="E1114" s="530"/>
      <c r="F1114" s="531"/>
      <c r="G1114" s="532" t="s">
        <v>1190</v>
      </c>
      <c r="H1114" s="532"/>
      <c r="I1114" s="688" t="s">
        <v>814</v>
      </c>
    </row>
    <row r="1115" spans="2:9" ht="20.100000000000001" customHeight="1">
      <c r="B1115" s="594" t="s">
        <v>53</v>
      </c>
      <c r="C1115" s="449" t="s">
        <v>1103</v>
      </c>
      <c r="D1115" s="530"/>
      <c r="E1115" s="530"/>
      <c r="F1115" s="531"/>
      <c r="G1115" s="532" t="s">
        <v>1191</v>
      </c>
      <c r="H1115" s="532"/>
      <c r="I1115" s="629" t="s">
        <v>814</v>
      </c>
    </row>
    <row r="1116" spans="2:9" ht="20.100000000000001" customHeight="1">
      <c r="C1116" s="449" t="s">
        <v>1019</v>
      </c>
      <c r="D1116" s="530"/>
      <c r="E1116" s="530"/>
      <c r="F1116" s="531"/>
      <c r="G1116" s="532" t="s">
        <v>1192</v>
      </c>
      <c r="H1116" s="532"/>
      <c r="I1116" s="688" t="s">
        <v>814</v>
      </c>
    </row>
    <row r="1117" spans="2:9" ht="20.100000000000001" customHeight="1">
      <c r="C1117" s="450" t="s">
        <v>32</v>
      </c>
      <c r="D1117" s="530"/>
      <c r="E1117" s="530"/>
      <c r="F1117" s="531"/>
      <c r="G1117" s="532" t="s">
        <v>1193</v>
      </c>
      <c r="H1117" s="532"/>
      <c r="I1117" s="688" t="s">
        <v>814</v>
      </c>
    </row>
    <row r="1118" spans="2:9" ht="20.100000000000001" customHeight="1">
      <c r="C1118" s="450" t="s">
        <v>1194</v>
      </c>
      <c r="D1118" s="530"/>
      <c r="E1118" s="530"/>
      <c r="F1118" s="531"/>
      <c r="G1118" s="532" t="s">
        <v>1195</v>
      </c>
      <c r="H1118" s="532"/>
      <c r="I1118" s="688" t="s">
        <v>814</v>
      </c>
    </row>
    <row r="1119" spans="2:9" ht="20.100000000000001" customHeight="1">
      <c r="C1119" s="449" t="s">
        <v>1189</v>
      </c>
      <c r="D1119" s="530"/>
      <c r="E1119" s="530"/>
      <c r="F1119" s="531"/>
      <c r="G1119" s="532" t="s">
        <v>1196</v>
      </c>
      <c r="H1119" s="532"/>
      <c r="I1119" s="688" t="s">
        <v>814</v>
      </c>
    </row>
    <row r="1120" spans="2:9" ht="20.100000000000001" customHeight="1">
      <c r="B1120" s="594" t="s">
        <v>836</v>
      </c>
      <c r="C1120" s="448" t="s">
        <v>1197</v>
      </c>
      <c r="D1120" s="530"/>
      <c r="E1120" s="530"/>
      <c r="F1120" s="531"/>
      <c r="G1120" s="532" t="s">
        <v>1198</v>
      </c>
      <c r="H1120" s="532"/>
      <c r="I1120" s="629" t="s">
        <v>814</v>
      </c>
    </row>
    <row r="1121" spans="2:9" ht="20.100000000000001" customHeight="1">
      <c r="C1121" s="451" t="s">
        <v>484</v>
      </c>
      <c r="D1121" s="530"/>
      <c r="E1121" s="530"/>
      <c r="F1121" s="531"/>
      <c r="G1121" s="532" t="s">
        <v>1199</v>
      </c>
      <c r="H1121" s="532"/>
      <c r="I1121" s="688" t="s">
        <v>814</v>
      </c>
    </row>
    <row r="1122" spans="2:9" ht="20.100000000000001" customHeight="1">
      <c r="B1122" s="594" t="s">
        <v>842</v>
      </c>
      <c r="C1122" s="449" t="s">
        <v>1200</v>
      </c>
      <c r="D1122" s="530"/>
      <c r="E1122" s="530"/>
      <c r="F1122" s="531"/>
      <c r="G1122" s="532" t="s">
        <v>1201</v>
      </c>
      <c r="H1122" s="532"/>
      <c r="I1122" s="629" t="s">
        <v>814</v>
      </c>
    </row>
    <row r="1123" spans="2:9" ht="20.100000000000001" customHeight="1">
      <c r="C1123" s="452" t="s">
        <v>1019</v>
      </c>
      <c r="D1123" s="530"/>
      <c r="E1123" s="530"/>
      <c r="F1123" s="531"/>
      <c r="G1123" s="532" t="s">
        <v>1202</v>
      </c>
      <c r="H1123" s="532"/>
      <c r="I1123" s="688" t="s">
        <v>814</v>
      </c>
    </row>
    <row r="1124" spans="2:9" ht="20.100000000000001" customHeight="1">
      <c r="C1124" s="450" t="s">
        <v>89</v>
      </c>
      <c r="D1124" s="530"/>
      <c r="E1124" s="530"/>
      <c r="F1124" s="531"/>
      <c r="G1124" s="532" t="s">
        <v>1203</v>
      </c>
      <c r="H1124" s="532"/>
      <c r="I1124" s="688" t="s">
        <v>814</v>
      </c>
    </row>
    <row r="1125" spans="2:9" ht="34.5" customHeight="1">
      <c r="B1125" s="594" t="s">
        <v>1204</v>
      </c>
      <c r="C1125" s="456" t="s">
        <v>1205</v>
      </c>
      <c r="D1125" s="530"/>
      <c r="E1125" s="530"/>
      <c r="F1125" s="531"/>
      <c r="G1125" s="532" t="s">
        <v>1206</v>
      </c>
      <c r="H1125" s="532"/>
      <c r="I1125" s="629" t="s">
        <v>814</v>
      </c>
    </row>
    <row r="1126" spans="2:9" ht="20.100000000000001" customHeight="1">
      <c r="B1126" s="594" t="s">
        <v>1207</v>
      </c>
      <c r="C1126" s="449" t="s">
        <v>1208</v>
      </c>
      <c r="D1126" s="530"/>
      <c r="E1126" s="530"/>
      <c r="F1126" s="531"/>
      <c r="G1126" s="532" t="s">
        <v>1209</v>
      </c>
      <c r="H1126" s="532"/>
      <c r="I1126" s="629" t="s">
        <v>814</v>
      </c>
    </row>
    <row r="1127" spans="2:9" ht="20.100000000000001" customHeight="1">
      <c r="C1127" s="451" t="s">
        <v>1210</v>
      </c>
      <c r="D1127" s="530"/>
      <c r="E1127" s="530"/>
      <c r="F1127" s="531"/>
      <c r="G1127" s="532" t="s">
        <v>1211</v>
      </c>
      <c r="H1127" s="532"/>
      <c r="I1127" s="688" t="s">
        <v>814</v>
      </c>
    </row>
    <row r="1128" spans="2:9" ht="20.100000000000001" customHeight="1">
      <c r="C1128" s="451" t="s">
        <v>1212</v>
      </c>
      <c r="D1128" s="530"/>
      <c r="E1128" s="530"/>
      <c r="F1128" s="531"/>
      <c r="G1128" s="532" t="s">
        <v>1213</v>
      </c>
      <c r="H1128" s="532"/>
      <c r="I1128" s="688" t="s">
        <v>814</v>
      </c>
    </row>
    <row r="1129" spans="2:9" ht="20.100000000000001" customHeight="1">
      <c r="C1129" s="457" t="s">
        <v>1214</v>
      </c>
      <c r="D1129" s="530"/>
      <c r="E1129" s="530"/>
      <c r="F1129" s="531"/>
      <c r="G1129" s="532" t="s">
        <v>1215</v>
      </c>
      <c r="H1129" s="532"/>
      <c r="I1129" s="688" t="s">
        <v>814</v>
      </c>
    </row>
    <row r="1130" spans="2:9" ht="20.100000000000001" customHeight="1">
      <c r="B1130" s="594" t="s">
        <v>1216</v>
      </c>
      <c r="C1130" s="448" t="s">
        <v>1217</v>
      </c>
      <c r="D1130" s="530"/>
      <c r="E1130" s="530"/>
      <c r="F1130" s="531"/>
      <c r="G1130" s="532" t="s">
        <v>1218</v>
      </c>
      <c r="H1130" s="532"/>
      <c r="I1130" s="629" t="s">
        <v>814</v>
      </c>
    </row>
    <row r="1131" spans="2:9" ht="32.25" customHeight="1">
      <c r="B1131" s="594" t="s">
        <v>364</v>
      </c>
      <c r="C1131" s="598" t="s">
        <v>1050</v>
      </c>
      <c r="D1131" s="530"/>
      <c r="E1131" s="530"/>
      <c r="F1131" s="531"/>
      <c r="G1131" s="532" t="s">
        <v>1219</v>
      </c>
      <c r="H1131" s="532"/>
      <c r="I1131" s="629" t="s">
        <v>814</v>
      </c>
    </row>
    <row r="1132" spans="2:9" ht="20.100000000000001" customHeight="1">
      <c r="B1132" s="594" t="s">
        <v>82</v>
      </c>
      <c r="C1132" s="449" t="s">
        <v>1187</v>
      </c>
      <c r="D1132" s="530"/>
      <c r="E1132" s="530"/>
      <c r="F1132" s="531"/>
      <c r="G1132" s="532" t="s">
        <v>1220</v>
      </c>
      <c r="H1132" s="532"/>
      <c r="I1132" s="629" t="s">
        <v>814</v>
      </c>
    </row>
    <row r="1133" spans="2:9" ht="20.100000000000001" customHeight="1">
      <c r="C1133" s="451" t="s">
        <v>1189</v>
      </c>
      <c r="D1133" s="530"/>
      <c r="E1133" s="530"/>
      <c r="F1133" s="531"/>
      <c r="G1133" s="532" t="s">
        <v>1221</v>
      </c>
      <c r="H1133" s="532"/>
      <c r="I1133" s="688" t="s">
        <v>814</v>
      </c>
    </row>
    <row r="1134" spans="2:9" ht="20.100000000000001" customHeight="1">
      <c r="B1134" s="594" t="s">
        <v>84</v>
      </c>
      <c r="C1134" s="449" t="s">
        <v>1103</v>
      </c>
      <c r="D1134" s="530"/>
      <c r="E1134" s="530"/>
      <c r="F1134" s="531"/>
      <c r="G1134" s="532" t="s">
        <v>1222</v>
      </c>
      <c r="H1134" s="532"/>
      <c r="I1134" s="629" t="s">
        <v>814</v>
      </c>
    </row>
    <row r="1135" spans="2:9" ht="20.100000000000001" customHeight="1">
      <c r="C1135" s="451" t="s">
        <v>1223</v>
      </c>
      <c r="D1135" s="530"/>
      <c r="E1135" s="530"/>
      <c r="F1135" s="531"/>
      <c r="G1135" s="532" t="s">
        <v>1224</v>
      </c>
      <c r="H1135" s="532"/>
      <c r="I1135" s="688" t="s">
        <v>814</v>
      </c>
    </row>
    <row r="1136" spans="2:9" ht="20.100000000000001" customHeight="1">
      <c r="C1136" s="451" t="s">
        <v>32</v>
      </c>
      <c r="D1136" s="530"/>
      <c r="E1136" s="530"/>
      <c r="F1136" s="531"/>
      <c r="G1136" s="532" t="s">
        <v>1225</v>
      </c>
      <c r="H1136" s="532"/>
      <c r="I1136" s="688" t="s">
        <v>814</v>
      </c>
    </row>
    <row r="1137" spans="2:9" ht="20.100000000000001" customHeight="1">
      <c r="C1137" s="451" t="s">
        <v>1194</v>
      </c>
      <c r="D1137" s="530"/>
      <c r="E1137" s="530"/>
      <c r="F1137" s="531"/>
      <c r="G1137" s="532" t="s">
        <v>1226</v>
      </c>
      <c r="H1137" s="532"/>
      <c r="I1137" s="688" t="s">
        <v>814</v>
      </c>
    </row>
    <row r="1138" spans="2:9" ht="20.100000000000001" customHeight="1">
      <c r="C1138" s="457" t="s">
        <v>1227</v>
      </c>
      <c r="D1138" s="530"/>
      <c r="E1138" s="530"/>
      <c r="F1138" s="531"/>
      <c r="G1138" s="532" t="s">
        <v>1228</v>
      </c>
      <c r="H1138" s="532"/>
      <c r="I1138" s="629" t="s">
        <v>814</v>
      </c>
    </row>
    <row r="1139" spans="2:9" ht="20.100000000000001" customHeight="1">
      <c r="B1139" s="594" t="s">
        <v>869</v>
      </c>
      <c r="C1139" s="449" t="s">
        <v>1197</v>
      </c>
      <c r="D1139" s="530"/>
      <c r="E1139" s="530"/>
      <c r="F1139" s="531"/>
      <c r="G1139" s="532" t="s">
        <v>1229</v>
      </c>
      <c r="H1139" s="532"/>
      <c r="I1139" s="629" t="s">
        <v>814</v>
      </c>
    </row>
    <row r="1140" spans="2:9" ht="20.100000000000001" customHeight="1">
      <c r="C1140" s="451" t="s">
        <v>484</v>
      </c>
      <c r="D1140" s="530"/>
      <c r="E1140" s="530"/>
      <c r="F1140" s="531"/>
      <c r="G1140" s="532" t="s">
        <v>1230</v>
      </c>
      <c r="H1140" s="532"/>
      <c r="I1140" s="688" t="s">
        <v>814</v>
      </c>
    </row>
    <row r="1141" spans="2:9" ht="20.100000000000001" customHeight="1">
      <c r="B1141" s="594" t="s">
        <v>884</v>
      </c>
      <c r="C1141" s="449" t="s">
        <v>1200</v>
      </c>
      <c r="D1141" s="530"/>
      <c r="E1141" s="530"/>
      <c r="F1141" s="531"/>
      <c r="G1141" s="532" t="s">
        <v>1231</v>
      </c>
      <c r="H1141" s="532"/>
      <c r="I1141" s="629" t="s">
        <v>814</v>
      </c>
    </row>
    <row r="1142" spans="2:9" ht="20.100000000000001" customHeight="1">
      <c r="C1142" s="451" t="s">
        <v>1223</v>
      </c>
      <c r="D1142" s="530"/>
      <c r="E1142" s="530"/>
      <c r="F1142" s="531"/>
      <c r="G1142" s="532" t="s">
        <v>1232</v>
      </c>
      <c r="H1142" s="532"/>
      <c r="I1142" s="688" t="s">
        <v>814</v>
      </c>
    </row>
    <row r="1143" spans="2:9" ht="20.100000000000001" customHeight="1">
      <c r="C1143" s="451" t="s">
        <v>89</v>
      </c>
      <c r="D1143" s="530"/>
      <c r="E1143" s="530"/>
      <c r="F1143" s="531"/>
      <c r="G1143" s="532" t="s">
        <v>1233</v>
      </c>
      <c r="H1143" s="532"/>
      <c r="I1143" s="688" t="s">
        <v>814</v>
      </c>
    </row>
    <row r="1144" spans="2:9" ht="34.5" customHeight="1">
      <c r="B1144" s="594" t="s">
        <v>896</v>
      </c>
      <c r="C1144" s="598" t="s">
        <v>1234</v>
      </c>
      <c r="D1144" s="530"/>
      <c r="E1144" s="530"/>
      <c r="F1144" s="531"/>
      <c r="G1144" s="532" t="s">
        <v>1235</v>
      </c>
      <c r="H1144" s="532"/>
      <c r="I1144" s="629" t="s">
        <v>814</v>
      </c>
    </row>
    <row r="1145" spans="2:9" ht="20.100000000000001" customHeight="1">
      <c r="B1145" s="594" t="s">
        <v>899</v>
      </c>
      <c r="C1145" s="449" t="s">
        <v>1208</v>
      </c>
      <c r="D1145" s="530"/>
      <c r="E1145" s="530"/>
      <c r="F1145" s="531"/>
      <c r="G1145" s="532" t="s">
        <v>1236</v>
      </c>
      <c r="H1145" s="532"/>
      <c r="I1145" s="629" t="s">
        <v>814</v>
      </c>
    </row>
    <row r="1146" spans="2:9" ht="20.100000000000001" customHeight="1">
      <c r="C1146" s="451" t="s">
        <v>1210</v>
      </c>
      <c r="D1146" s="530"/>
      <c r="E1146" s="530"/>
      <c r="F1146" s="531"/>
      <c r="G1146" s="532" t="s">
        <v>1237</v>
      </c>
      <c r="H1146" s="532"/>
      <c r="I1146" s="688" t="s">
        <v>814</v>
      </c>
    </row>
    <row r="1147" spans="2:9" ht="20.100000000000001" customHeight="1">
      <c r="C1147" s="451" t="s">
        <v>1212</v>
      </c>
      <c r="D1147" s="530"/>
      <c r="E1147" s="530"/>
      <c r="F1147" s="531"/>
      <c r="G1147" s="532" t="s">
        <v>1238</v>
      </c>
      <c r="H1147" s="532"/>
      <c r="I1147" s="688" t="s">
        <v>814</v>
      </c>
    </row>
    <row r="1148" spans="2:9" ht="20.100000000000001" customHeight="1">
      <c r="C1148" s="457" t="s">
        <v>1214</v>
      </c>
      <c r="D1148" s="530"/>
      <c r="E1148" s="530"/>
      <c r="F1148" s="531"/>
      <c r="G1148" s="532" t="s">
        <v>1239</v>
      </c>
      <c r="H1148" s="532"/>
      <c r="I1148" s="688" t="s">
        <v>814</v>
      </c>
    </row>
    <row r="1149" spans="2:9" ht="20.100000000000001" customHeight="1">
      <c r="B1149" s="594" t="s">
        <v>906</v>
      </c>
      <c r="C1149" s="449" t="s">
        <v>1217</v>
      </c>
      <c r="D1149" s="530"/>
      <c r="E1149" s="530"/>
      <c r="F1149" s="531"/>
      <c r="G1149" s="532" t="s">
        <v>1240</v>
      </c>
      <c r="H1149" s="532"/>
      <c r="I1149" s="629" t="s">
        <v>814</v>
      </c>
    </row>
    <row r="1150" spans="2:9" ht="20.100000000000001" customHeight="1">
      <c r="B1150" s="594" t="s">
        <v>926</v>
      </c>
      <c r="C1150" s="449" t="s">
        <v>1241</v>
      </c>
      <c r="D1150" s="530"/>
      <c r="E1150" s="530"/>
      <c r="F1150" s="531"/>
      <c r="G1150" s="532" t="s">
        <v>1242</v>
      </c>
      <c r="H1150" s="532"/>
      <c r="I1150" s="629" t="s">
        <v>1243</v>
      </c>
    </row>
    <row r="1151" spans="2:9" ht="20.100000000000001" customHeight="1">
      <c r="B1151" s="594" t="s">
        <v>86</v>
      </c>
      <c r="C1151" s="598" t="s">
        <v>851</v>
      </c>
      <c r="D1151" s="530"/>
      <c r="E1151" s="530"/>
      <c r="F1151" s="531"/>
      <c r="G1151" s="532"/>
      <c r="H1151" s="532"/>
      <c r="I1151" s="629"/>
    </row>
    <row r="1152" spans="2:9" ht="20.100000000000001" customHeight="1">
      <c r="B1152" s="594" t="s">
        <v>90</v>
      </c>
      <c r="C1152" s="449" t="s">
        <v>1244</v>
      </c>
      <c r="D1152" s="530"/>
      <c r="E1152" s="530"/>
      <c r="F1152" s="531"/>
      <c r="G1152" s="532" t="s">
        <v>1245</v>
      </c>
      <c r="H1152" s="532"/>
      <c r="I1152" s="629" t="s">
        <v>814</v>
      </c>
    </row>
    <row r="1153" spans="2:9" ht="20.100000000000001" customHeight="1">
      <c r="C1153" s="600" t="s">
        <v>1129</v>
      </c>
      <c r="D1153" s="530"/>
      <c r="E1153" s="530"/>
      <c r="F1153" s="531"/>
      <c r="G1153" s="532" t="s">
        <v>1246</v>
      </c>
      <c r="H1153" s="532"/>
      <c r="I1153" s="688" t="s">
        <v>814</v>
      </c>
    </row>
    <row r="1154" spans="2:9" ht="20.100000000000001" customHeight="1">
      <c r="B1154" s="594" t="s">
        <v>91</v>
      </c>
      <c r="C1154" s="449" t="s">
        <v>1247</v>
      </c>
      <c r="D1154" s="530"/>
      <c r="E1154" s="530"/>
      <c r="F1154" s="531"/>
      <c r="G1154" s="532" t="s">
        <v>1248</v>
      </c>
      <c r="H1154" s="532"/>
      <c r="I1154" s="629" t="s">
        <v>814</v>
      </c>
    </row>
    <row r="1155" spans="2:9" ht="20.100000000000001" customHeight="1">
      <c r="C1155" s="600" t="s">
        <v>1129</v>
      </c>
      <c r="D1155" s="530"/>
      <c r="E1155" s="530"/>
      <c r="F1155" s="531"/>
      <c r="G1155" s="532" t="s">
        <v>1249</v>
      </c>
      <c r="H1155" s="532"/>
      <c r="I1155" s="688" t="s">
        <v>814</v>
      </c>
    </row>
    <row r="1156" spans="2:9" ht="20.100000000000001" customHeight="1">
      <c r="C1156" s="600" t="s">
        <v>1146</v>
      </c>
      <c r="D1156" s="530"/>
      <c r="E1156" s="530"/>
      <c r="F1156" s="531"/>
      <c r="G1156" s="532" t="s">
        <v>1250</v>
      </c>
      <c r="H1156" s="532"/>
      <c r="I1156" s="688" t="s">
        <v>814</v>
      </c>
    </row>
    <row r="1157" spans="2:9" ht="20.100000000000001" customHeight="1">
      <c r="B1157" s="594" t="s">
        <v>1092</v>
      </c>
      <c r="C1157" s="449" t="s">
        <v>1251</v>
      </c>
      <c r="D1157" s="530"/>
      <c r="E1157" s="530"/>
      <c r="F1157" s="531"/>
      <c r="G1157" s="532" t="s">
        <v>1252</v>
      </c>
      <c r="H1157" s="532"/>
      <c r="I1157" s="629" t="s">
        <v>814</v>
      </c>
    </row>
    <row r="1158" spans="2:9" ht="20.100000000000001" customHeight="1">
      <c r="C1158" s="600" t="s">
        <v>1129</v>
      </c>
      <c r="D1158" s="530"/>
      <c r="E1158" s="530"/>
      <c r="F1158" s="531"/>
      <c r="G1158" s="532" t="s">
        <v>1253</v>
      </c>
      <c r="H1158" s="532"/>
      <c r="I1158" s="688" t="s">
        <v>814</v>
      </c>
    </row>
    <row r="1159" spans="2:9" ht="20.100000000000001" customHeight="1">
      <c r="B1159" s="594" t="s">
        <v>1099</v>
      </c>
      <c r="C1159" s="449" t="s">
        <v>1254</v>
      </c>
      <c r="D1159" s="530"/>
      <c r="E1159" s="530"/>
      <c r="F1159" s="531"/>
      <c r="G1159" s="532" t="s">
        <v>1255</v>
      </c>
      <c r="H1159" s="532"/>
      <c r="I1159" s="629" t="s">
        <v>814</v>
      </c>
    </row>
    <row r="1160" spans="2:9" ht="20.100000000000001" customHeight="1">
      <c r="C1160" s="600" t="s">
        <v>1129</v>
      </c>
      <c r="D1160" s="530"/>
      <c r="E1160" s="530"/>
      <c r="F1160" s="531"/>
      <c r="G1160" s="532" t="s">
        <v>1256</v>
      </c>
      <c r="H1160" s="532"/>
      <c r="I1160" s="688" t="s">
        <v>814</v>
      </c>
    </row>
    <row r="1161" spans="2:9" ht="20.100000000000001" customHeight="1">
      <c r="B1161" s="594" t="s">
        <v>1102</v>
      </c>
      <c r="C1161" s="449" t="s">
        <v>1257</v>
      </c>
      <c r="D1161" s="530"/>
      <c r="E1161" s="530"/>
      <c r="F1161" s="531"/>
      <c r="G1161" s="532" t="s">
        <v>1258</v>
      </c>
      <c r="H1161" s="532"/>
      <c r="I1161" s="629" t="s">
        <v>814</v>
      </c>
    </row>
    <row r="1162" spans="2:9" ht="20.100000000000001" customHeight="1">
      <c r="C1162" s="600" t="s">
        <v>1129</v>
      </c>
      <c r="D1162" s="530"/>
      <c r="E1162" s="530"/>
      <c r="F1162" s="531"/>
      <c r="G1162" s="532" t="s">
        <v>1259</v>
      </c>
      <c r="H1162" s="532"/>
      <c r="I1162" s="688" t="s">
        <v>814</v>
      </c>
    </row>
    <row r="1163" spans="2:9" ht="20.100000000000001" customHeight="1">
      <c r="B1163" s="594" t="s">
        <v>1109</v>
      </c>
      <c r="C1163" s="449" t="s">
        <v>1260</v>
      </c>
      <c r="D1163" s="530"/>
      <c r="E1163" s="530"/>
      <c r="F1163" s="531"/>
      <c r="G1163" s="532" t="s">
        <v>1261</v>
      </c>
      <c r="H1163" s="532"/>
      <c r="I1163" s="629" t="s">
        <v>814</v>
      </c>
    </row>
    <row r="1164" spans="2:9" ht="20.100000000000001" customHeight="1">
      <c r="C1164" s="600" t="s">
        <v>1129</v>
      </c>
      <c r="D1164" s="530"/>
      <c r="E1164" s="530"/>
      <c r="F1164" s="531"/>
      <c r="G1164" s="532" t="s">
        <v>1262</v>
      </c>
      <c r="H1164" s="532"/>
      <c r="I1164" s="688" t="s">
        <v>814</v>
      </c>
    </row>
    <row r="1165" spans="2:9" ht="20.100000000000001" customHeight="1">
      <c r="B1165" s="594" t="s">
        <v>1112</v>
      </c>
      <c r="C1165" s="449" t="s">
        <v>1263</v>
      </c>
      <c r="D1165" s="530"/>
      <c r="E1165" s="530"/>
      <c r="F1165" s="531"/>
      <c r="G1165" s="532" t="s">
        <v>1264</v>
      </c>
      <c r="H1165" s="532"/>
      <c r="I1165" s="629" t="s">
        <v>814</v>
      </c>
    </row>
    <row r="1166" spans="2:9" ht="20.100000000000001" customHeight="1">
      <c r="C1166" s="600" t="s">
        <v>1129</v>
      </c>
      <c r="D1166" s="530"/>
      <c r="E1166" s="530"/>
      <c r="F1166" s="531"/>
      <c r="G1166" s="532" t="s">
        <v>1265</v>
      </c>
      <c r="H1166" s="532"/>
      <c r="I1166" s="688" t="s">
        <v>814</v>
      </c>
    </row>
    <row r="1167" spans="2:9" ht="20.100000000000001" customHeight="1">
      <c r="B1167" s="594" t="s">
        <v>1121</v>
      </c>
      <c r="C1167" s="449" t="s">
        <v>1266</v>
      </c>
      <c r="D1167" s="530"/>
      <c r="E1167" s="530"/>
      <c r="F1167" s="531"/>
      <c r="G1167" s="532" t="s">
        <v>1267</v>
      </c>
      <c r="H1167" s="532"/>
      <c r="I1167" s="629" t="s">
        <v>814</v>
      </c>
    </row>
    <row r="1168" spans="2:9" ht="20.100000000000001" customHeight="1">
      <c r="C1168" s="600" t="s">
        <v>1129</v>
      </c>
      <c r="D1168" s="530"/>
      <c r="E1168" s="530"/>
      <c r="F1168" s="531"/>
      <c r="G1168" s="532" t="s">
        <v>1268</v>
      </c>
      <c r="H1168" s="532"/>
      <c r="I1168" s="688" t="s">
        <v>814</v>
      </c>
    </row>
    <row r="1169" spans="2:9" ht="20.100000000000001" customHeight="1">
      <c r="B1169" s="594" t="s">
        <v>1126</v>
      </c>
      <c r="C1169" s="449" t="s">
        <v>1269</v>
      </c>
      <c r="D1169" s="530"/>
      <c r="E1169" s="530"/>
      <c r="F1169" s="531"/>
      <c r="G1169" s="532" t="s">
        <v>1270</v>
      </c>
      <c r="H1169" s="532"/>
      <c r="I1169" s="629" t="s">
        <v>814</v>
      </c>
    </row>
    <row r="1170" spans="2:9" ht="20.100000000000001" customHeight="1">
      <c r="C1170" s="600" t="s">
        <v>1129</v>
      </c>
      <c r="D1170" s="530"/>
      <c r="E1170" s="530"/>
      <c r="F1170" s="531"/>
      <c r="G1170" s="532" t="s">
        <v>1271</v>
      </c>
      <c r="H1170" s="532"/>
      <c r="I1170" s="688" t="s">
        <v>814</v>
      </c>
    </row>
    <row r="1171" spans="2:9" ht="20.100000000000001" customHeight="1">
      <c r="B1171" s="594" t="s">
        <v>1132</v>
      </c>
      <c r="C1171" s="449" t="s">
        <v>1272</v>
      </c>
      <c r="D1171" s="530"/>
      <c r="E1171" s="530"/>
      <c r="F1171" s="531"/>
      <c r="G1171" s="532" t="s">
        <v>1273</v>
      </c>
      <c r="H1171" s="532"/>
      <c r="I1171" s="629" t="s">
        <v>814</v>
      </c>
    </row>
    <row r="1172" spans="2:9" ht="20.100000000000001" customHeight="1">
      <c r="C1172" s="600" t="s">
        <v>1129</v>
      </c>
      <c r="D1172" s="530"/>
      <c r="E1172" s="530"/>
      <c r="F1172" s="531"/>
      <c r="G1172" s="532" t="s">
        <v>1274</v>
      </c>
      <c r="H1172" s="532"/>
      <c r="I1172" s="688" t="s">
        <v>814</v>
      </c>
    </row>
    <row r="1173" spans="2:9" ht="20.100000000000001" customHeight="1">
      <c r="B1173" s="594" t="s">
        <v>1135</v>
      </c>
      <c r="C1173" s="449" t="s">
        <v>1275</v>
      </c>
      <c r="D1173" s="530"/>
      <c r="E1173" s="530"/>
      <c r="F1173" s="531"/>
      <c r="G1173" s="532" t="s">
        <v>1276</v>
      </c>
      <c r="H1173" s="532"/>
      <c r="I1173" s="629" t="s">
        <v>814</v>
      </c>
    </row>
    <row r="1174" spans="2:9" ht="20.100000000000001" customHeight="1">
      <c r="C1174" s="600" t="s">
        <v>1129</v>
      </c>
      <c r="D1174" s="530"/>
      <c r="E1174" s="530"/>
      <c r="F1174" s="531"/>
      <c r="G1174" s="532" t="s">
        <v>1277</v>
      </c>
      <c r="H1174" s="532"/>
      <c r="I1174" s="688" t="s">
        <v>814</v>
      </c>
    </row>
    <row r="1175" spans="2:9" ht="20.100000000000001" customHeight="1">
      <c r="B1175" s="594" t="s">
        <v>1138</v>
      </c>
      <c r="C1175" s="449" t="s">
        <v>1278</v>
      </c>
      <c r="D1175" s="530"/>
      <c r="E1175" s="530"/>
      <c r="F1175" s="531"/>
      <c r="G1175" s="532" t="s">
        <v>1279</v>
      </c>
      <c r="H1175" s="532"/>
      <c r="I1175" s="629" t="s">
        <v>814</v>
      </c>
    </row>
    <row r="1176" spans="2:9" ht="20.100000000000001" customHeight="1">
      <c r="C1176" s="600" t="s">
        <v>1129</v>
      </c>
      <c r="D1176" s="530"/>
      <c r="E1176" s="530"/>
      <c r="F1176" s="531"/>
      <c r="G1176" s="532" t="s">
        <v>1280</v>
      </c>
      <c r="H1176" s="532"/>
      <c r="I1176" s="688" t="s">
        <v>814</v>
      </c>
    </row>
    <row r="1177" spans="2:9" ht="20.100000000000001" customHeight="1">
      <c r="B1177" s="594" t="s">
        <v>1141</v>
      </c>
      <c r="C1177" s="449" t="s">
        <v>1281</v>
      </c>
      <c r="D1177" s="530"/>
      <c r="E1177" s="530"/>
      <c r="F1177" s="531"/>
      <c r="G1177" s="532" t="s">
        <v>1282</v>
      </c>
      <c r="H1177" s="532"/>
      <c r="I1177" s="629" t="s">
        <v>814</v>
      </c>
    </row>
    <row r="1178" spans="2:9" ht="20.100000000000001" customHeight="1">
      <c r="C1178" s="600" t="s">
        <v>1129</v>
      </c>
      <c r="D1178" s="530"/>
      <c r="E1178" s="530"/>
      <c r="F1178" s="531"/>
      <c r="G1178" s="532" t="s">
        <v>1283</v>
      </c>
      <c r="H1178" s="532"/>
      <c r="I1178" s="688" t="s">
        <v>814</v>
      </c>
    </row>
    <row r="1179" spans="2:9" ht="20.100000000000001" customHeight="1">
      <c r="C1179" s="449" t="s">
        <v>1284</v>
      </c>
      <c r="D1179" s="530"/>
      <c r="E1179" s="530"/>
      <c r="F1179" s="531"/>
      <c r="G1179" s="532" t="s">
        <v>1285</v>
      </c>
      <c r="H1179" s="532"/>
      <c r="I1179" s="629" t="s">
        <v>814</v>
      </c>
    </row>
    <row r="1180" spans="2:9" ht="20.100000000000001" customHeight="1">
      <c r="C1180" s="600" t="s">
        <v>1129</v>
      </c>
      <c r="D1180" s="530"/>
      <c r="E1180" s="530"/>
      <c r="F1180" s="531"/>
      <c r="G1180" s="532" t="s">
        <v>1286</v>
      </c>
      <c r="H1180" s="532"/>
      <c r="I1180" s="688" t="s">
        <v>814</v>
      </c>
    </row>
    <row r="1181" spans="2:9" ht="20.100000000000001" customHeight="1">
      <c r="C1181" s="600" t="s">
        <v>1146</v>
      </c>
      <c r="D1181" s="530"/>
      <c r="E1181" s="530"/>
      <c r="F1181" s="531"/>
      <c r="G1181" s="532" t="s">
        <v>1287</v>
      </c>
      <c r="H1181" s="532"/>
      <c r="I1181" s="688" t="s">
        <v>814</v>
      </c>
    </row>
    <row r="1182" spans="2:9" ht="20.100000000000001" customHeight="1">
      <c r="C1182" s="600" t="s">
        <v>1288</v>
      </c>
      <c r="D1182" s="530"/>
      <c r="E1182" s="530"/>
      <c r="F1182" s="531"/>
      <c r="G1182" s="532" t="s">
        <v>1289</v>
      </c>
      <c r="H1182" s="532"/>
      <c r="I1182" s="688" t="s">
        <v>814</v>
      </c>
    </row>
    <row r="1183" spans="2:9" ht="20.100000000000001" customHeight="1">
      <c r="B1183" s="594" t="s">
        <v>1148</v>
      </c>
      <c r="C1183" s="449" t="s">
        <v>1290</v>
      </c>
      <c r="D1183" s="530"/>
      <c r="E1183" s="530"/>
      <c r="F1183" s="531"/>
      <c r="G1183" s="532" t="s">
        <v>1291</v>
      </c>
      <c r="H1183" s="532"/>
      <c r="I1183" s="629" t="s">
        <v>814</v>
      </c>
    </row>
    <row r="1184" spans="2:9" ht="20.100000000000001" customHeight="1">
      <c r="C1184" s="600" t="s">
        <v>1129</v>
      </c>
      <c r="D1184" s="530"/>
      <c r="E1184" s="530"/>
      <c r="F1184" s="531"/>
      <c r="G1184" s="532" t="s">
        <v>1292</v>
      </c>
      <c r="H1184" s="532"/>
      <c r="I1184" s="688" t="s">
        <v>814</v>
      </c>
    </row>
    <row r="1185" spans="2:9" ht="20.100000000000001" customHeight="1">
      <c r="C1185" s="600" t="s">
        <v>1293</v>
      </c>
      <c r="D1185" s="530"/>
      <c r="E1185" s="530"/>
      <c r="F1185" s="531"/>
      <c r="G1185" s="532" t="s">
        <v>1294</v>
      </c>
      <c r="H1185" s="532"/>
      <c r="I1185" s="629" t="s">
        <v>814</v>
      </c>
    </row>
    <row r="1186" spans="2:9" ht="21.75" customHeight="1">
      <c r="B1186" s="594" t="s">
        <v>1152</v>
      </c>
      <c r="C1186" s="598" t="s">
        <v>1295</v>
      </c>
      <c r="D1186" s="530"/>
      <c r="E1186" s="530"/>
      <c r="F1186" s="531"/>
      <c r="G1186" s="532" t="s">
        <v>1296</v>
      </c>
      <c r="H1186" s="532"/>
      <c r="I1186" s="629" t="s">
        <v>814</v>
      </c>
    </row>
    <row r="1187" spans="2:9" ht="20.100000000000001" customHeight="1">
      <c r="C1187" s="600" t="s">
        <v>1129</v>
      </c>
      <c r="D1187" s="530"/>
      <c r="E1187" s="530"/>
      <c r="F1187" s="531"/>
      <c r="G1187" s="532" t="s">
        <v>1297</v>
      </c>
      <c r="H1187" s="532"/>
      <c r="I1187" s="688" t="s">
        <v>814</v>
      </c>
    </row>
    <row r="1188" spans="2:9" ht="20.100000000000001" customHeight="1">
      <c r="C1188" s="600" t="s">
        <v>1293</v>
      </c>
      <c r="D1188" s="530"/>
      <c r="E1188" s="530"/>
      <c r="F1188" s="531"/>
      <c r="G1188" s="532" t="s">
        <v>1298</v>
      </c>
      <c r="H1188" s="532"/>
      <c r="I1188" s="688" t="s">
        <v>814</v>
      </c>
    </row>
    <row r="1189" spans="2:9" ht="20.100000000000001" customHeight="1">
      <c r="B1189" s="594" t="s">
        <v>1156</v>
      </c>
      <c r="C1189" s="449" t="s">
        <v>1299</v>
      </c>
      <c r="D1189" s="530"/>
      <c r="E1189" s="530"/>
      <c r="F1189" s="531"/>
      <c r="G1189" s="532" t="s">
        <v>1300</v>
      </c>
      <c r="H1189" s="532"/>
      <c r="I1189" s="629" t="s">
        <v>814</v>
      </c>
    </row>
    <row r="1190" spans="2:9" ht="20.100000000000001" customHeight="1">
      <c r="C1190" s="600" t="s">
        <v>1129</v>
      </c>
      <c r="D1190" s="530"/>
      <c r="E1190" s="530"/>
      <c r="F1190" s="531"/>
      <c r="G1190" s="532" t="s">
        <v>1301</v>
      </c>
      <c r="H1190" s="532"/>
      <c r="I1190" s="688" t="s">
        <v>814</v>
      </c>
    </row>
    <row r="1191" spans="2:9" ht="20.100000000000001" customHeight="1">
      <c r="B1191" s="594" t="s">
        <v>1164</v>
      </c>
      <c r="C1191" s="449" t="s">
        <v>1302</v>
      </c>
      <c r="D1191" s="530"/>
      <c r="E1191" s="530"/>
      <c r="F1191" s="531"/>
      <c r="G1191" s="532" t="s">
        <v>1303</v>
      </c>
      <c r="H1191" s="532"/>
      <c r="I1191" s="629" t="s">
        <v>814</v>
      </c>
    </row>
    <row r="1192" spans="2:9" ht="20.100000000000001" customHeight="1">
      <c r="C1192" s="600" t="s">
        <v>1129</v>
      </c>
      <c r="D1192" s="530"/>
      <c r="E1192" s="530"/>
      <c r="F1192" s="531"/>
      <c r="G1192" s="532" t="s">
        <v>1304</v>
      </c>
      <c r="H1192" s="532"/>
      <c r="I1192" s="688" t="s">
        <v>814</v>
      </c>
    </row>
    <row r="1193" spans="2:9" ht="20.100000000000001" customHeight="1">
      <c r="C1193" s="600" t="s">
        <v>1293</v>
      </c>
      <c r="D1193" s="530"/>
      <c r="E1193" s="530"/>
      <c r="F1193" s="531"/>
      <c r="G1193" s="532" t="s">
        <v>1305</v>
      </c>
      <c r="H1193" s="532"/>
      <c r="I1193" s="688" t="s">
        <v>814</v>
      </c>
    </row>
    <row r="1194" spans="2:9" ht="20.100000000000001" customHeight="1">
      <c r="B1194" s="594" t="s">
        <v>1170</v>
      </c>
      <c r="C1194" s="449" t="s">
        <v>1306</v>
      </c>
      <c r="D1194" s="530"/>
      <c r="E1194" s="530"/>
      <c r="F1194" s="531"/>
      <c r="G1194" s="532" t="s">
        <v>1307</v>
      </c>
      <c r="H1194" s="532"/>
      <c r="I1194" s="629" t="s">
        <v>814</v>
      </c>
    </row>
    <row r="1195" spans="2:9" ht="20.100000000000001" customHeight="1">
      <c r="C1195" s="600" t="s">
        <v>1129</v>
      </c>
      <c r="D1195" s="530"/>
      <c r="E1195" s="530"/>
      <c r="F1195" s="531"/>
      <c r="G1195" s="532" t="s">
        <v>1308</v>
      </c>
      <c r="H1195" s="532"/>
      <c r="I1195" s="688" t="s">
        <v>814</v>
      </c>
    </row>
    <row r="1196" spans="2:9" ht="20.100000000000001" customHeight="1">
      <c r="B1196" s="594" t="s">
        <v>1175</v>
      </c>
      <c r="C1196" s="449" t="s">
        <v>1309</v>
      </c>
      <c r="D1196" s="530"/>
      <c r="E1196" s="530"/>
      <c r="F1196" s="531"/>
      <c r="G1196" s="532" t="s">
        <v>1310</v>
      </c>
      <c r="H1196" s="532"/>
      <c r="I1196" s="629" t="s">
        <v>814</v>
      </c>
    </row>
    <row r="1197" spans="2:9" ht="20.100000000000001" customHeight="1">
      <c r="C1197" s="600" t="s">
        <v>1129</v>
      </c>
      <c r="D1197" s="530"/>
      <c r="E1197" s="530"/>
      <c r="F1197" s="531"/>
      <c r="G1197" s="532" t="s">
        <v>1311</v>
      </c>
      <c r="H1197" s="532"/>
      <c r="I1197" s="688" t="s">
        <v>814</v>
      </c>
    </row>
    <row r="1198" spans="2:9" ht="20.100000000000001" customHeight="1">
      <c r="B1198" s="594" t="s">
        <v>1179</v>
      </c>
      <c r="C1198" s="598" t="s">
        <v>1312</v>
      </c>
      <c r="D1198" s="530"/>
      <c r="E1198" s="530"/>
      <c r="F1198" s="531"/>
      <c r="G1198" s="532" t="s">
        <v>1313</v>
      </c>
      <c r="H1198" s="532"/>
      <c r="I1198" s="629" t="s">
        <v>814</v>
      </c>
    </row>
    <row r="1199" spans="2:9" ht="20.100000000000001" customHeight="1">
      <c r="C1199" s="600" t="s">
        <v>1129</v>
      </c>
      <c r="D1199" s="530"/>
      <c r="E1199" s="530"/>
      <c r="F1199" s="531"/>
      <c r="G1199" s="532" t="s">
        <v>1314</v>
      </c>
      <c r="H1199" s="532"/>
      <c r="I1199" s="688" t="s">
        <v>814</v>
      </c>
    </row>
    <row r="1200" spans="2:9" ht="20.100000000000001" customHeight="1">
      <c r="C1200" s="600"/>
      <c r="D1200" s="530"/>
      <c r="E1200" s="530"/>
      <c r="F1200" s="531"/>
      <c r="G1200" s="532"/>
      <c r="H1200" s="532"/>
      <c r="I1200" s="629"/>
    </row>
    <row r="1201" spans="2:9" ht="20.100000000000001" customHeight="1">
      <c r="C1201" s="595" t="s">
        <v>1315</v>
      </c>
      <c r="D1201" s="530"/>
      <c r="E1201" s="530"/>
      <c r="F1201" s="531"/>
      <c r="G1201" s="532"/>
      <c r="H1201" s="532"/>
      <c r="I1201" s="629"/>
    </row>
    <row r="1202" spans="2:9" ht="20.100000000000001" customHeight="1">
      <c r="B1202" s="594" t="s">
        <v>26</v>
      </c>
      <c r="C1202" s="598" t="s">
        <v>812</v>
      </c>
      <c r="D1202" s="530"/>
      <c r="E1202" s="530"/>
      <c r="F1202" s="531"/>
      <c r="G1202" s="532"/>
      <c r="H1202" s="532"/>
      <c r="I1202" s="629"/>
    </row>
    <row r="1203" spans="2:9" ht="20.100000000000001" customHeight="1">
      <c r="B1203" s="594" t="s">
        <v>43</v>
      </c>
      <c r="C1203" s="449" t="s">
        <v>1316</v>
      </c>
      <c r="D1203" s="530"/>
      <c r="E1203" s="530"/>
      <c r="F1203" s="531"/>
      <c r="G1203" s="532" t="s">
        <v>1317</v>
      </c>
      <c r="H1203" s="532"/>
      <c r="I1203" s="629" t="s">
        <v>1243</v>
      </c>
    </row>
    <row r="1204" spans="2:9" ht="20.100000000000001" customHeight="1">
      <c r="B1204" s="594" t="s">
        <v>364</v>
      </c>
      <c r="C1204" s="598" t="s">
        <v>851</v>
      </c>
      <c r="D1204" s="530"/>
      <c r="E1204" s="530"/>
      <c r="F1204" s="531"/>
      <c r="G1204" s="532"/>
      <c r="H1204" s="532"/>
      <c r="I1204" s="629"/>
    </row>
    <row r="1205" spans="2:9" ht="20.100000000000001" customHeight="1">
      <c r="B1205" s="594" t="s">
        <v>82</v>
      </c>
      <c r="C1205" s="449" t="s">
        <v>1318</v>
      </c>
      <c r="D1205" s="530"/>
      <c r="E1205" s="530"/>
      <c r="F1205" s="531"/>
      <c r="G1205" s="532" t="s">
        <v>1319</v>
      </c>
      <c r="H1205" s="532"/>
      <c r="I1205" s="629" t="s">
        <v>814</v>
      </c>
    </row>
    <row r="1206" spans="2:9" ht="20.100000000000001" customHeight="1">
      <c r="C1206" s="600" t="s">
        <v>1129</v>
      </c>
      <c r="D1206" s="530"/>
      <c r="E1206" s="530"/>
      <c r="F1206" s="531"/>
      <c r="G1206" s="532" t="s">
        <v>1320</v>
      </c>
      <c r="H1206" s="532"/>
      <c r="I1206" s="688" t="s">
        <v>814</v>
      </c>
    </row>
    <row r="1207" spans="2:9" ht="20.100000000000001" customHeight="1">
      <c r="B1207" s="594" t="s">
        <v>84</v>
      </c>
      <c r="C1207" s="449" t="s">
        <v>1321</v>
      </c>
      <c r="D1207" s="530"/>
      <c r="E1207" s="530"/>
      <c r="F1207" s="531"/>
      <c r="G1207" s="532" t="s">
        <v>1322</v>
      </c>
      <c r="H1207" s="532"/>
      <c r="I1207" s="629" t="s">
        <v>814</v>
      </c>
    </row>
    <row r="1208" spans="2:9" ht="20.100000000000001" customHeight="1">
      <c r="C1208" s="600" t="s">
        <v>1129</v>
      </c>
      <c r="D1208" s="530"/>
      <c r="E1208" s="530"/>
      <c r="F1208" s="531"/>
      <c r="G1208" s="532" t="s">
        <v>1323</v>
      </c>
      <c r="H1208" s="532"/>
      <c r="I1208" s="688" t="s">
        <v>814</v>
      </c>
    </row>
    <row r="1209" spans="2:9" ht="20.100000000000001" customHeight="1">
      <c r="B1209" s="594" t="s">
        <v>869</v>
      </c>
      <c r="C1209" s="449" t="s">
        <v>1324</v>
      </c>
      <c r="D1209" s="530"/>
      <c r="E1209" s="530"/>
      <c r="F1209" s="531"/>
      <c r="G1209" s="532" t="s">
        <v>1325</v>
      </c>
      <c r="H1209" s="532"/>
      <c r="I1209" s="629" t="s">
        <v>814</v>
      </c>
    </row>
    <row r="1210" spans="2:9" ht="20.100000000000001" customHeight="1">
      <c r="C1210" s="600" t="s">
        <v>1129</v>
      </c>
      <c r="D1210" s="530"/>
      <c r="E1210" s="530"/>
      <c r="F1210" s="531"/>
      <c r="G1210" s="532" t="s">
        <v>1326</v>
      </c>
      <c r="H1210" s="532"/>
      <c r="I1210" s="688" t="s">
        <v>814</v>
      </c>
    </row>
    <row r="1211" spans="2:9" ht="20.100000000000001" customHeight="1">
      <c r="C1211" s="600"/>
      <c r="D1211" s="530"/>
      <c r="E1211" s="530"/>
      <c r="F1211" s="531"/>
      <c r="G1211" s="532"/>
      <c r="H1211" s="532"/>
      <c r="I1211" s="629"/>
    </row>
    <row r="1212" spans="2:9" ht="20.100000000000001" customHeight="1">
      <c r="C1212" s="595" t="s">
        <v>1327</v>
      </c>
      <c r="D1212" s="530"/>
      <c r="E1212" s="530"/>
      <c r="F1212" s="531"/>
      <c r="G1212" s="532"/>
      <c r="H1212" s="532"/>
      <c r="I1212" s="629"/>
    </row>
    <row r="1213" spans="2:9" ht="20.100000000000001" customHeight="1">
      <c r="B1213" s="594" t="s">
        <v>26</v>
      </c>
      <c r="C1213" s="598" t="s">
        <v>812</v>
      </c>
      <c r="D1213" s="530"/>
      <c r="E1213" s="530"/>
      <c r="F1213" s="531"/>
      <c r="G1213" s="532" t="s">
        <v>1328</v>
      </c>
      <c r="H1213" s="532"/>
      <c r="I1213" s="629" t="s">
        <v>814</v>
      </c>
    </row>
    <row r="1214" spans="2:9" ht="31.5" customHeight="1">
      <c r="B1214" s="594" t="s">
        <v>43</v>
      </c>
      <c r="C1214" s="597" t="s">
        <v>1329</v>
      </c>
      <c r="D1214" s="530"/>
      <c r="E1214" s="530"/>
      <c r="F1214" s="531"/>
      <c r="G1214" s="532" t="s">
        <v>1330</v>
      </c>
      <c r="H1214" s="532"/>
      <c r="I1214" s="629" t="s">
        <v>814</v>
      </c>
    </row>
    <row r="1215" spans="2:9" ht="33.75" customHeight="1">
      <c r="B1215" s="594" t="s">
        <v>53</v>
      </c>
      <c r="C1215" s="597" t="s">
        <v>1331</v>
      </c>
      <c r="D1215" s="530"/>
      <c r="E1215" s="530"/>
      <c r="F1215" s="531"/>
      <c r="G1215" s="532" t="s">
        <v>1332</v>
      </c>
      <c r="H1215" s="532"/>
      <c r="I1215" s="629" t="s">
        <v>814</v>
      </c>
    </row>
    <row r="1216" spans="2:9" ht="20.100000000000001" customHeight="1">
      <c r="B1216" s="594" t="s">
        <v>364</v>
      </c>
      <c r="C1216" s="598" t="s">
        <v>851</v>
      </c>
      <c r="D1216" s="530"/>
      <c r="E1216" s="530"/>
      <c r="F1216" s="531"/>
      <c r="G1216" s="532"/>
      <c r="H1216" s="532"/>
      <c r="I1216" s="629"/>
    </row>
    <row r="1217" spans="2:9" ht="20.100000000000001" customHeight="1">
      <c r="B1217" s="594" t="s">
        <v>82</v>
      </c>
      <c r="C1217" s="449" t="s">
        <v>1333</v>
      </c>
      <c r="D1217" s="530"/>
      <c r="E1217" s="530"/>
      <c r="F1217" s="531"/>
      <c r="G1217" s="532" t="s">
        <v>1334</v>
      </c>
      <c r="H1217" s="532"/>
      <c r="I1217" s="629" t="s">
        <v>814</v>
      </c>
    </row>
    <row r="1218" spans="2:9" ht="20.100000000000001" customHeight="1">
      <c r="B1218" s="594" t="s">
        <v>84</v>
      </c>
      <c r="C1218" s="449" t="s">
        <v>1335</v>
      </c>
      <c r="D1218" s="530"/>
      <c r="E1218" s="530"/>
      <c r="F1218" s="531"/>
      <c r="G1218" s="532" t="s">
        <v>1336</v>
      </c>
      <c r="H1218" s="532"/>
      <c r="I1218" s="629" t="s">
        <v>814</v>
      </c>
    </row>
    <row r="1219" spans="2:9" ht="20.100000000000001" customHeight="1">
      <c r="C1219" s="458"/>
      <c r="D1219" s="530"/>
      <c r="E1219" s="530"/>
      <c r="F1219" s="531"/>
      <c r="G1219" s="532"/>
      <c r="H1219" s="532"/>
      <c r="I1219" s="447"/>
    </row>
    <row r="1220" spans="2:9" ht="20.100000000000001" customHeight="1">
      <c r="B1220" s="417" t="s">
        <v>1337</v>
      </c>
      <c r="C1220" s="459"/>
      <c r="D1220" s="530"/>
      <c r="E1220" s="530"/>
      <c r="F1220" s="531"/>
      <c r="G1220" s="532"/>
      <c r="H1220" s="532"/>
      <c r="I1220" s="459"/>
    </row>
    <row r="1221" spans="2:9" ht="20.100000000000001" customHeight="1">
      <c r="C1221" s="417" t="s">
        <v>1035</v>
      </c>
      <c r="D1221" s="530"/>
      <c r="E1221" s="530"/>
      <c r="F1221" s="531"/>
      <c r="G1221" s="532"/>
      <c r="H1221" s="532"/>
      <c r="I1221" s="447"/>
    </row>
    <row r="1222" spans="2:9" ht="20.100000000000001" customHeight="1">
      <c r="B1222" s="460" t="s">
        <v>26</v>
      </c>
      <c r="C1222" s="460" t="s">
        <v>25</v>
      </c>
      <c r="D1222" s="530"/>
      <c r="E1222" s="530"/>
      <c r="F1222" s="531"/>
      <c r="G1222" s="532"/>
      <c r="H1222" s="532"/>
      <c r="I1222" s="447"/>
    </row>
    <row r="1223" spans="2:9" ht="20.100000000000001" customHeight="1">
      <c r="B1223" s="594" t="s">
        <v>43</v>
      </c>
      <c r="C1223" s="700" t="s">
        <v>1338</v>
      </c>
      <c r="D1223" s="530"/>
      <c r="E1223" s="530"/>
      <c r="F1223" s="531"/>
      <c r="G1223" s="532" t="s">
        <v>1339</v>
      </c>
      <c r="H1223" s="532"/>
      <c r="I1223" s="447" t="s">
        <v>1340</v>
      </c>
    </row>
    <row r="1224" spans="2:9" ht="20.100000000000001" customHeight="1">
      <c r="C1224" s="437" t="s">
        <v>1341</v>
      </c>
      <c r="D1224" s="530"/>
      <c r="E1224" s="530"/>
      <c r="F1224" s="531"/>
      <c r="G1224" s="532" t="s">
        <v>1339</v>
      </c>
      <c r="H1224" s="532"/>
      <c r="I1224" s="688" t="s">
        <v>1340</v>
      </c>
    </row>
    <row r="1225" spans="2:9" ht="20.100000000000001" customHeight="1">
      <c r="C1225" s="437" t="s">
        <v>1342</v>
      </c>
      <c r="D1225" s="530"/>
      <c r="E1225" s="530"/>
      <c r="F1225" s="531"/>
      <c r="G1225" s="532" t="s">
        <v>1343</v>
      </c>
      <c r="H1225" s="532"/>
      <c r="I1225" s="688" t="s">
        <v>1340</v>
      </c>
    </row>
    <row r="1226" spans="2:9" ht="20.100000000000001" customHeight="1">
      <c r="B1226" s="594" t="s">
        <v>53</v>
      </c>
      <c r="C1226" s="417" t="s">
        <v>1344</v>
      </c>
      <c r="D1226" s="530"/>
      <c r="E1226" s="530"/>
      <c r="F1226" s="531"/>
      <c r="G1226" s="532" t="s">
        <v>1345</v>
      </c>
      <c r="H1226" s="532"/>
      <c r="I1226" s="447" t="s">
        <v>1340</v>
      </c>
    </row>
    <row r="1227" spans="2:9" ht="20.100000000000001" customHeight="1">
      <c r="C1227" s="437" t="s">
        <v>1341</v>
      </c>
      <c r="D1227" s="530"/>
      <c r="E1227" s="530"/>
      <c r="F1227" s="531"/>
      <c r="G1227" s="532" t="s">
        <v>1345</v>
      </c>
      <c r="H1227" s="532"/>
      <c r="I1227" s="688" t="s">
        <v>1340</v>
      </c>
    </row>
    <row r="1228" spans="2:9" ht="20.100000000000001" customHeight="1">
      <c r="B1228" s="460"/>
      <c r="C1228" s="460" t="s">
        <v>293</v>
      </c>
      <c r="D1228" s="530"/>
      <c r="E1228" s="530"/>
      <c r="F1228" s="531"/>
      <c r="G1228" s="532"/>
      <c r="H1228" s="532"/>
      <c r="I1228" s="447"/>
    </row>
    <row r="1229" spans="2:9" ht="20.100000000000001" customHeight="1">
      <c r="B1229" s="594" t="s">
        <v>364</v>
      </c>
      <c r="C1229" s="417" t="s">
        <v>1346</v>
      </c>
      <c r="D1229" s="530"/>
      <c r="E1229" s="530"/>
      <c r="F1229" s="531"/>
      <c r="G1229" s="532"/>
      <c r="H1229" s="532"/>
      <c r="I1229" s="447"/>
    </row>
    <row r="1230" spans="2:9" ht="20.100000000000001" customHeight="1">
      <c r="C1230" s="461" t="s">
        <v>1347</v>
      </c>
      <c r="D1230" s="530"/>
      <c r="E1230" s="530"/>
      <c r="F1230" s="531"/>
      <c r="G1230" s="532" t="s">
        <v>1348</v>
      </c>
      <c r="H1230" s="532"/>
      <c r="I1230" s="447" t="s">
        <v>100</v>
      </c>
    </row>
    <row r="1231" spans="2:9" ht="20.100000000000001" customHeight="1">
      <c r="C1231" s="437" t="s">
        <v>1349</v>
      </c>
      <c r="D1231" s="530"/>
      <c r="E1231" s="530"/>
      <c r="F1231" s="531"/>
      <c r="G1231" s="532" t="s">
        <v>1348</v>
      </c>
      <c r="H1231" s="532"/>
      <c r="I1231" s="688" t="s">
        <v>100</v>
      </c>
    </row>
    <row r="1232" spans="2:9" ht="20.100000000000001" customHeight="1">
      <c r="B1232" s="594" t="s">
        <v>82</v>
      </c>
      <c r="C1232" s="417" t="s">
        <v>1350</v>
      </c>
      <c r="D1232" s="530"/>
      <c r="E1232" s="530"/>
      <c r="F1232" s="531"/>
      <c r="G1232" s="532"/>
      <c r="H1232" s="532"/>
      <c r="I1232" s="447"/>
    </row>
    <row r="1233" spans="2:9" ht="20.100000000000001" customHeight="1">
      <c r="C1233" s="461" t="s">
        <v>1347</v>
      </c>
      <c r="D1233" s="530"/>
      <c r="E1233" s="530"/>
      <c r="F1233" s="531"/>
      <c r="G1233" s="532" t="s">
        <v>1351</v>
      </c>
      <c r="H1233" s="532"/>
      <c r="I1233" s="447" t="s">
        <v>100</v>
      </c>
    </row>
    <row r="1234" spans="2:9" ht="20.100000000000001" customHeight="1">
      <c r="C1234" s="437" t="s">
        <v>1349</v>
      </c>
      <c r="D1234" s="530"/>
      <c r="E1234" s="530"/>
      <c r="F1234" s="531"/>
      <c r="G1234" s="532" t="s">
        <v>1351</v>
      </c>
      <c r="H1234" s="532"/>
      <c r="I1234" s="688" t="s">
        <v>100</v>
      </c>
    </row>
    <row r="1235" spans="2:9" ht="20.100000000000001" customHeight="1">
      <c r="B1235" s="594" t="s">
        <v>84</v>
      </c>
      <c r="C1235" s="417" t="s">
        <v>1352</v>
      </c>
      <c r="D1235" s="530"/>
      <c r="E1235" s="530"/>
      <c r="F1235" s="531"/>
      <c r="G1235" s="532"/>
      <c r="H1235" s="532"/>
      <c r="I1235" s="447"/>
    </row>
    <row r="1236" spans="2:9" ht="20.100000000000001" customHeight="1">
      <c r="C1236" s="461" t="s">
        <v>1347</v>
      </c>
      <c r="D1236" s="530"/>
      <c r="E1236" s="530"/>
      <c r="F1236" s="531"/>
      <c r="G1236" s="532" t="s">
        <v>1353</v>
      </c>
      <c r="H1236" s="532"/>
      <c r="I1236" s="447" t="s">
        <v>100</v>
      </c>
    </row>
    <row r="1237" spans="2:9" ht="20.100000000000001" customHeight="1">
      <c r="C1237" s="437" t="s">
        <v>1349</v>
      </c>
      <c r="D1237" s="530"/>
      <c r="E1237" s="530"/>
      <c r="F1237" s="531"/>
      <c r="G1237" s="532" t="s">
        <v>1353</v>
      </c>
      <c r="H1237" s="532"/>
      <c r="I1237" s="688" t="s">
        <v>100</v>
      </c>
    </row>
    <row r="1238" spans="2:9" ht="20.100000000000001" customHeight="1">
      <c r="B1238" s="594" t="s">
        <v>869</v>
      </c>
      <c r="C1238" s="417" t="s">
        <v>1103</v>
      </c>
      <c r="D1238" s="530"/>
      <c r="E1238" s="530"/>
      <c r="F1238" s="531"/>
      <c r="G1238" s="532"/>
      <c r="H1238" s="532"/>
      <c r="I1238" s="447"/>
    </row>
    <row r="1239" spans="2:9" ht="20.100000000000001" customHeight="1">
      <c r="C1239" s="461" t="s">
        <v>1347</v>
      </c>
      <c r="D1239" s="530"/>
      <c r="E1239" s="530"/>
      <c r="F1239" s="531"/>
      <c r="G1239" s="532" t="s">
        <v>1354</v>
      </c>
      <c r="H1239" s="532"/>
      <c r="I1239" s="447" t="s">
        <v>100</v>
      </c>
    </row>
    <row r="1240" spans="2:9" ht="20.100000000000001" customHeight="1">
      <c r="C1240" s="437" t="s">
        <v>1349</v>
      </c>
      <c r="D1240" s="530"/>
      <c r="E1240" s="530"/>
      <c r="F1240" s="531"/>
      <c r="G1240" s="532" t="s">
        <v>1354</v>
      </c>
      <c r="H1240" s="532"/>
      <c r="I1240" s="688" t="s">
        <v>100</v>
      </c>
    </row>
    <row r="1241" spans="2:9" ht="20.100000000000001" customHeight="1">
      <c r="B1241" s="594" t="s">
        <v>884</v>
      </c>
      <c r="C1241" s="417" t="s">
        <v>1355</v>
      </c>
      <c r="D1241" s="530"/>
      <c r="E1241" s="530"/>
      <c r="F1241" s="531"/>
      <c r="G1241" s="532"/>
      <c r="H1241" s="532"/>
      <c r="I1241" s="447"/>
    </row>
    <row r="1242" spans="2:9" ht="20.100000000000001" customHeight="1">
      <c r="C1242" s="461" t="s">
        <v>1347</v>
      </c>
      <c r="D1242" s="530"/>
      <c r="E1242" s="530"/>
      <c r="F1242" s="531"/>
      <c r="G1242" s="532" t="s">
        <v>1356</v>
      </c>
      <c r="H1242" s="532"/>
      <c r="I1242" s="447" t="s">
        <v>100</v>
      </c>
    </row>
    <row r="1243" spans="2:9" ht="20.100000000000001" customHeight="1">
      <c r="C1243" s="437" t="s">
        <v>1349</v>
      </c>
      <c r="D1243" s="530"/>
      <c r="E1243" s="530"/>
      <c r="F1243" s="531"/>
      <c r="G1243" s="532" t="s">
        <v>1356</v>
      </c>
      <c r="H1243" s="532"/>
      <c r="I1243" s="688" t="s">
        <v>100</v>
      </c>
    </row>
    <row r="1244" spans="2:9" ht="20.100000000000001" customHeight="1">
      <c r="B1244" s="594" t="s">
        <v>896</v>
      </c>
      <c r="C1244" s="417" t="s">
        <v>1357</v>
      </c>
      <c r="D1244" s="530"/>
      <c r="E1244" s="530"/>
      <c r="F1244" s="531"/>
      <c r="G1244" s="532"/>
      <c r="H1244" s="532"/>
      <c r="I1244" s="447"/>
    </row>
    <row r="1245" spans="2:9" ht="20.100000000000001" customHeight="1">
      <c r="C1245" s="461" t="s">
        <v>1347</v>
      </c>
      <c r="D1245" s="530"/>
      <c r="E1245" s="530"/>
      <c r="F1245" s="531"/>
      <c r="G1245" s="532" t="s">
        <v>1358</v>
      </c>
      <c r="H1245" s="532"/>
      <c r="I1245" s="447" t="s">
        <v>1340</v>
      </c>
    </row>
    <row r="1246" spans="2:9" ht="20.100000000000001" customHeight="1">
      <c r="C1246" s="437" t="s">
        <v>1349</v>
      </c>
      <c r="D1246" s="530"/>
      <c r="E1246" s="530"/>
      <c r="F1246" s="531"/>
      <c r="G1246" s="532" t="s">
        <v>1358</v>
      </c>
      <c r="H1246" s="532"/>
      <c r="I1246" s="688" t="s">
        <v>1340</v>
      </c>
    </row>
    <row r="1247" spans="2:9" ht="20.100000000000001" customHeight="1">
      <c r="B1247" s="594" t="s">
        <v>899</v>
      </c>
      <c r="C1247" s="417" t="s">
        <v>1359</v>
      </c>
      <c r="D1247" s="530"/>
      <c r="E1247" s="530"/>
      <c r="F1247" s="531"/>
      <c r="G1247" s="532"/>
      <c r="H1247" s="532"/>
      <c r="I1247" s="447"/>
    </row>
    <row r="1248" spans="2:9" ht="20.100000000000001" customHeight="1">
      <c r="C1248" s="461" t="s">
        <v>1347</v>
      </c>
      <c r="D1248" s="530"/>
      <c r="E1248" s="530"/>
      <c r="F1248" s="531"/>
      <c r="G1248" s="532" t="s">
        <v>1360</v>
      </c>
      <c r="H1248" s="532"/>
      <c r="I1248" s="447" t="s">
        <v>100</v>
      </c>
    </row>
    <row r="1249" spans="2:9" ht="20.100000000000001" customHeight="1">
      <c r="C1249" s="437" t="s">
        <v>1349</v>
      </c>
      <c r="D1249" s="530"/>
      <c r="E1249" s="530"/>
      <c r="F1249" s="531"/>
      <c r="G1249" s="532" t="s">
        <v>1360</v>
      </c>
      <c r="H1249" s="532"/>
      <c r="I1249" s="688" t="s">
        <v>100</v>
      </c>
    </row>
    <row r="1250" spans="2:9" ht="20.100000000000001" customHeight="1">
      <c r="B1250" s="594" t="s">
        <v>906</v>
      </c>
      <c r="C1250" s="417" t="s">
        <v>1361</v>
      </c>
      <c r="D1250" s="530"/>
      <c r="E1250" s="530"/>
      <c r="F1250" s="531"/>
      <c r="G1250" s="532"/>
      <c r="H1250" s="532"/>
      <c r="I1250" s="447"/>
    </row>
    <row r="1251" spans="2:9" ht="20.100000000000001" customHeight="1">
      <c r="C1251" s="461" t="s">
        <v>1347</v>
      </c>
      <c r="D1251" s="530"/>
      <c r="E1251" s="530"/>
      <c r="F1251" s="531"/>
      <c r="G1251" s="532" t="s">
        <v>1362</v>
      </c>
      <c r="H1251" s="532"/>
      <c r="I1251" s="447" t="s">
        <v>1340</v>
      </c>
    </row>
    <row r="1252" spans="2:9" ht="20.100000000000001" customHeight="1">
      <c r="C1252" s="437" t="s">
        <v>1349</v>
      </c>
      <c r="D1252" s="530"/>
      <c r="E1252" s="530"/>
      <c r="F1252" s="531"/>
      <c r="G1252" s="532" t="s">
        <v>1362</v>
      </c>
      <c r="H1252" s="532"/>
      <c r="I1252" s="688" t="s">
        <v>1340</v>
      </c>
    </row>
    <row r="1253" spans="2:9" s="323" customFormat="1" ht="18.75" customHeight="1">
      <c r="B1253" s="462"/>
      <c r="C1253" s="325"/>
      <c r="D1253" s="325"/>
      <c r="E1253" s="325"/>
      <c r="F1253" s="325"/>
    </row>
    <row r="1254" spans="2:9" s="323" customFormat="1" ht="18.75" customHeight="1">
      <c r="B1254" s="462"/>
      <c r="C1254" s="325"/>
      <c r="D1254" s="325"/>
      <c r="E1254" s="325"/>
      <c r="F1254" s="325"/>
    </row>
    <row r="1255" spans="2:9" s="323" customFormat="1" ht="18.75" customHeight="1">
      <c r="B1255" s="462"/>
      <c r="C1255" s="463"/>
      <c r="D1255" s="463"/>
      <c r="E1255" s="463"/>
      <c r="F1255" s="463"/>
    </row>
    <row r="1256" spans="2:9" s="323" customFormat="1" ht="18.75" customHeight="1">
      <c r="B1256" s="462"/>
      <c r="C1256" s="325"/>
      <c r="D1256" s="325"/>
      <c r="E1256" s="325"/>
      <c r="F1256" s="325"/>
    </row>
    <row r="1257" spans="2:9" s="323" customFormat="1" ht="18.75" customHeight="1">
      <c r="B1257" s="462"/>
      <c r="C1257" s="325"/>
      <c r="D1257" s="325"/>
      <c r="E1257" s="325"/>
      <c r="F1257" s="325"/>
    </row>
    <row r="1258" spans="2:9" s="323" customFormat="1" ht="18.75" customHeight="1">
      <c r="B1258" s="462"/>
      <c r="C1258" s="325"/>
      <c r="D1258" s="325"/>
      <c r="E1258" s="325"/>
      <c r="F1258" s="325"/>
    </row>
    <row r="1259" spans="2:9" s="323" customFormat="1" ht="18.75" customHeight="1">
      <c r="B1259" s="462"/>
      <c r="C1259" s="325"/>
      <c r="D1259" s="325"/>
      <c r="E1259" s="325"/>
      <c r="F1259" s="325"/>
    </row>
    <row r="1260" spans="2:9" s="323" customFormat="1" ht="18.75" customHeight="1">
      <c r="B1260" s="462"/>
      <c r="C1260" s="325"/>
      <c r="D1260" s="325"/>
      <c r="E1260" s="325"/>
      <c r="F1260" s="325"/>
    </row>
    <row r="1261" spans="2:9" s="323" customFormat="1" ht="18.75" customHeight="1">
      <c r="B1261" s="462"/>
      <c r="C1261" s="325"/>
      <c r="D1261" s="325"/>
      <c r="E1261" s="325"/>
      <c r="F1261" s="325"/>
    </row>
    <row r="1262" spans="2:9" s="323" customFormat="1" ht="18.75" customHeight="1">
      <c r="B1262" s="462"/>
      <c r="C1262" s="325"/>
      <c r="D1262" s="325"/>
      <c r="E1262" s="325"/>
      <c r="F1262" s="325"/>
    </row>
    <row r="1263" spans="2:9" s="323" customFormat="1" ht="18.75" customHeight="1">
      <c r="B1263" s="462"/>
      <c r="C1263" s="325"/>
      <c r="D1263" s="325"/>
      <c r="E1263" s="325"/>
      <c r="F1263" s="325"/>
    </row>
    <row r="1264" spans="2:9" s="323" customFormat="1" ht="18.75" customHeight="1">
      <c r="B1264" s="462"/>
      <c r="C1264" s="325"/>
      <c r="D1264" s="325"/>
      <c r="E1264" s="325"/>
      <c r="F1264" s="325"/>
    </row>
    <row r="1265" spans="2:6" s="323" customFormat="1" ht="18.75" customHeight="1">
      <c r="B1265" s="462"/>
      <c r="C1265" s="325"/>
      <c r="D1265" s="325"/>
      <c r="E1265" s="325"/>
      <c r="F1265" s="325"/>
    </row>
    <row r="1266" spans="2:6" s="323" customFormat="1" ht="18.75" customHeight="1">
      <c r="B1266" s="462"/>
      <c r="C1266" s="325"/>
      <c r="D1266" s="325"/>
      <c r="E1266" s="325"/>
      <c r="F1266" s="325"/>
    </row>
    <row r="1267" spans="2:6" s="323" customFormat="1" ht="18.75" customHeight="1">
      <c r="B1267" s="462"/>
      <c r="C1267" s="325"/>
      <c r="D1267" s="325"/>
      <c r="E1267" s="325"/>
      <c r="F1267" s="325"/>
    </row>
    <row r="1268" spans="2:6" s="323" customFormat="1" ht="18.75" customHeight="1">
      <c r="B1268" s="462"/>
      <c r="C1268" s="325"/>
      <c r="D1268" s="325"/>
      <c r="E1268" s="325"/>
      <c r="F1268" s="325"/>
    </row>
    <row r="1269" spans="2:6" s="323" customFormat="1" ht="18.75" customHeight="1">
      <c r="B1269" s="462"/>
      <c r="C1269" s="325"/>
      <c r="D1269" s="325"/>
      <c r="E1269" s="325"/>
      <c r="F1269" s="325"/>
    </row>
    <row r="1270" spans="2:6" s="323" customFormat="1" ht="18.75" customHeight="1">
      <c r="B1270" s="462"/>
      <c r="C1270" s="325"/>
      <c r="D1270" s="325"/>
      <c r="E1270" s="325"/>
      <c r="F1270" s="325"/>
    </row>
    <row r="1271" spans="2:6" s="323" customFormat="1" ht="18.75" customHeight="1">
      <c r="B1271" s="462"/>
      <c r="C1271" s="325"/>
      <c r="D1271" s="325"/>
      <c r="E1271" s="325"/>
      <c r="F1271" s="325"/>
    </row>
    <row r="1272" spans="2:6" s="323" customFormat="1" ht="18.75" customHeight="1">
      <c r="B1272" s="462"/>
      <c r="C1272" s="325"/>
      <c r="D1272" s="325"/>
      <c r="E1272" s="325"/>
      <c r="F1272" s="325"/>
    </row>
    <row r="1273" spans="2:6" s="323" customFormat="1" ht="18.75" customHeight="1">
      <c r="B1273" s="462"/>
      <c r="C1273" s="325"/>
      <c r="D1273" s="325"/>
      <c r="E1273" s="325"/>
      <c r="F1273" s="325"/>
    </row>
    <row r="1274" spans="2:6" s="323" customFormat="1" ht="18.75" customHeight="1">
      <c r="B1274" s="462"/>
      <c r="C1274" s="325"/>
      <c r="D1274" s="325"/>
      <c r="E1274" s="325"/>
      <c r="F1274" s="325"/>
    </row>
    <row r="1275" spans="2:6" s="323" customFormat="1" ht="18.75" customHeight="1">
      <c r="B1275" s="462"/>
      <c r="C1275" s="325"/>
      <c r="D1275" s="325"/>
      <c r="E1275" s="325"/>
      <c r="F1275" s="325"/>
    </row>
    <row r="1276" spans="2:6" s="323" customFormat="1" ht="18.75" customHeight="1">
      <c r="B1276" s="462"/>
      <c r="C1276" s="325"/>
      <c r="D1276" s="325"/>
      <c r="E1276" s="325"/>
      <c r="F1276" s="325"/>
    </row>
    <row r="1277" spans="2:6" s="323" customFormat="1" ht="18.75" customHeight="1">
      <c r="B1277" s="462"/>
      <c r="C1277" s="325"/>
      <c r="D1277" s="325"/>
      <c r="E1277" s="325"/>
      <c r="F1277" s="325"/>
    </row>
    <row r="1278" spans="2:6" s="323" customFormat="1" ht="18.75" customHeight="1">
      <c r="B1278" s="462"/>
      <c r="C1278" s="325"/>
      <c r="D1278" s="325"/>
      <c r="E1278" s="325"/>
      <c r="F1278" s="325"/>
    </row>
    <row r="1279" spans="2:6" s="323" customFormat="1" ht="18.75" customHeight="1">
      <c r="B1279" s="462"/>
      <c r="C1279" s="325"/>
      <c r="D1279" s="325"/>
      <c r="E1279" s="325"/>
      <c r="F1279" s="325"/>
    </row>
    <row r="1280" spans="2:6" s="323" customFormat="1" ht="18.75" customHeight="1">
      <c r="B1280" s="462"/>
      <c r="C1280" s="325"/>
      <c r="D1280" s="325"/>
      <c r="E1280" s="325"/>
      <c r="F1280" s="325"/>
    </row>
    <row r="1281" spans="2:6" s="323" customFormat="1" ht="18.75" customHeight="1">
      <c r="B1281" s="462"/>
      <c r="C1281" s="325"/>
      <c r="D1281" s="325"/>
      <c r="E1281" s="325"/>
      <c r="F1281" s="325"/>
    </row>
    <row r="1282" spans="2:6" s="323" customFormat="1" ht="18.75" customHeight="1">
      <c r="B1282" s="462"/>
      <c r="C1282" s="325"/>
      <c r="D1282" s="325"/>
      <c r="E1282" s="325"/>
      <c r="F1282" s="325"/>
    </row>
    <row r="1283" spans="2:6" s="323" customFormat="1" ht="18.75" customHeight="1">
      <c r="B1283" s="462"/>
      <c r="C1283" s="325"/>
      <c r="D1283" s="325"/>
      <c r="E1283" s="325"/>
      <c r="F1283" s="325"/>
    </row>
    <row r="1284" spans="2:6" s="323" customFormat="1" ht="18.75" customHeight="1">
      <c r="B1284" s="462"/>
      <c r="C1284" s="325"/>
      <c r="D1284" s="325"/>
      <c r="E1284" s="325"/>
      <c r="F1284" s="325"/>
    </row>
    <row r="1285" spans="2:6" s="323" customFormat="1" ht="18.75" customHeight="1">
      <c r="B1285" s="462"/>
      <c r="C1285" s="325"/>
      <c r="D1285" s="325"/>
      <c r="E1285" s="325"/>
      <c r="F1285" s="325"/>
    </row>
    <row r="1286" spans="2:6" s="323" customFormat="1" ht="18.75" customHeight="1">
      <c r="B1286" s="462"/>
      <c r="C1286" s="325"/>
      <c r="D1286" s="325"/>
      <c r="E1286" s="325"/>
      <c r="F1286" s="325"/>
    </row>
    <row r="1287" spans="2:6" s="323" customFormat="1" ht="18.75" customHeight="1">
      <c r="B1287" s="462"/>
      <c r="C1287" s="325"/>
      <c r="D1287" s="325"/>
      <c r="E1287" s="325"/>
      <c r="F1287" s="325"/>
    </row>
    <row r="1288" spans="2:6" s="323" customFormat="1" ht="18.75" customHeight="1">
      <c r="B1288" s="462"/>
      <c r="C1288" s="325"/>
      <c r="D1288" s="325"/>
      <c r="E1288" s="325"/>
      <c r="F1288" s="325"/>
    </row>
    <row r="1289" spans="2:6" s="323" customFormat="1" ht="18.75" customHeight="1">
      <c r="B1289" s="462"/>
      <c r="C1289" s="325"/>
      <c r="D1289" s="325"/>
      <c r="E1289" s="325"/>
      <c r="F1289" s="325"/>
    </row>
    <row r="1290" spans="2:6" s="323" customFormat="1" ht="18.75" customHeight="1">
      <c r="B1290" s="462"/>
      <c r="C1290" s="325"/>
      <c r="D1290" s="325"/>
      <c r="E1290" s="325"/>
      <c r="F1290" s="325"/>
    </row>
    <row r="1291" spans="2:6" s="323" customFormat="1" ht="18.75" customHeight="1">
      <c r="B1291" s="462"/>
      <c r="C1291" s="325"/>
      <c r="D1291" s="325"/>
      <c r="E1291" s="325"/>
      <c r="F1291" s="325"/>
    </row>
    <row r="1292" spans="2:6" s="323" customFormat="1" ht="18.75" customHeight="1">
      <c r="B1292" s="462"/>
      <c r="C1292" s="325"/>
      <c r="D1292" s="325"/>
      <c r="E1292" s="325"/>
      <c r="F1292" s="325"/>
    </row>
    <row r="1293" spans="2:6" s="323" customFormat="1" ht="18.75" customHeight="1">
      <c r="B1293" s="462"/>
      <c r="C1293" s="325"/>
      <c r="D1293" s="325"/>
      <c r="E1293" s="325"/>
      <c r="F1293" s="325"/>
    </row>
    <row r="1294" spans="2:6" s="323" customFormat="1" ht="18.75" customHeight="1">
      <c r="B1294" s="462"/>
      <c r="C1294" s="325"/>
      <c r="D1294" s="325"/>
      <c r="E1294" s="325"/>
      <c r="F1294" s="325"/>
    </row>
    <row r="1295" spans="2:6" s="323" customFormat="1" ht="18.75" customHeight="1">
      <c r="B1295" s="462"/>
      <c r="C1295" s="325"/>
      <c r="D1295" s="325"/>
      <c r="E1295" s="325"/>
      <c r="F1295" s="325"/>
    </row>
    <row r="1296" spans="2:6" s="323" customFormat="1" ht="18.75" customHeight="1">
      <c r="B1296" s="462"/>
      <c r="C1296" s="325"/>
      <c r="D1296" s="325"/>
      <c r="E1296" s="325"/>
      <c r="F1296" s="325"/>
    </row>
    <row r="1297" spans="2:6" s="323" customFormat="1" ht="18.75" customHeight="1">
      <c r="B1297" s="462"/>
      <c r="C1297" s="325"/>
      <c r="D1297" s="325"/>
      <c r="E1297" s="325"/>
      <c r="F1297" s="325"/>
    </row>
    <row r="1298" spans="2:6" s="323" customFormat="1" ht="18.75" customHeight="1">
      <c r="B1298" s="462"/>
      <c r="C1298" s="325"/>
      <c r="D1298" s="325"/>
      <c r="E1298" s="325"/>
      <c r="F1298" s="325"/>
    </row>
    <row r="1299" spans="2:6" s="323" customFormat="1" ht="18.75" customHeight="1">
      <c r="B1299" s="462"/>
      <c r="C1299" s="325"/>
      <c r="D1299" s="325"/>
      <c r="E1299" s="325"/>
      <c r="F1299" s="325"/>
    </row>
    <row r="1300" spans="2:6" s="323" customFormat="1" ht="18.75" customHeight="1">
      <c r="B1300" s="462"/>
      <c r="C1300" s="325"/>
      <c r="D1300" s="325"/>
      <c r="E1300" s="325"/>
      <c r="F1300" s="325"/>
    </row>
    <row r="1301" spans="2:6" s="323" customFormat="1" ht="18.75" customHeight="1">
      <c r="B1301" s="462"/>
      <c r="C1301" s="325"/>
      <c r="D1301" s="325"/>
      <c r="E1301" s="325"/>
      <c r="F1301" s="325"/>
    </row>
    <row r="1302" spans="2:6" s="323" customFormat="1" ht="18.75" customHeight="1">
      <c r="B1302" s="462"/>
      <c r="C1302" s="325"/>
      <c r="D1302" s="325"/>
      <c r="E1302" s="325"/>
      <c r="F1302" s="325"/>
    </row>
    <row r="1303" spans="2:6" s="323" customFormat="1" ht="18.75" customHeight="1">
      <c r="B1303" s="462"/>
      <c r="C1303" s="325"/>
      <c r="D1303" s="325"/>
      <c r="E1303" s="325"/>
      <c r="F1303" s="325"/>
    </row>
    <row r="1304" spans="2:6" s="323" customFormat="1" ht="18.75" customHeight="1">
      <c r="B1304" s="462"/>
      <c r="C1304" s="325"/>
      <c r="D1304" s="325"/>
      <c r="E1304" s="325"/>
      <c r="F1304" s="325"/>
    </row>
    <row r="1305" spans="2:6" s="323" customFormat="1" ht="18.75" customHeight="1">
      <c r="B1305" s="462"/>
      <c r="C1305" s="325"/>
      <c r="D1305" s="325"/>
      <c r="E1305" s="325"/>
      <c r="F1305" s="325"/>
    </row>
    <row r="1306" spans="2:6" s="323" customFormat="1" ht="18.75" customHeight="1">
      <c r="B1306" s="462"/>
      <c r="C1306" s="325"/>
      <c r="D1306" s="325"/>
      <c r="E1306" s="325"/>
      <c r="F1306" s="325"/>
    </row>
    <row r="1307" spans="2:6" s="323" customFormat="1" ht="18.75" customHeight="1">
      <c r="B1307" s="462"/>
      <c r="C1307" s="325"/>
      <c r="D1307" s="325"/>
      <c r="E1307" s="325"/>
      <c r="F1307" s="325"/>
    </row>
    <row r="1308" spans="2:6" s="323" customFormat="1" ht="18.75" customHeight="1">
      <c r="B1308" s="462"/>
      <c r="C1308" s="325"/>
      <c r="D1308" s="325"/>
      <c r="E1308" s="325"/>
      <c r="F1308" s="325"/>
    </row>
    <row r="1309" spans="2:6" s="323" customFormat="1" ht="18.75" customHeight="1">
      <c r="B1309" s="462"/>
      <c r="C1309" s="325"/>
      <c r="D1309" s="325"/>
      <c r="E1309" s="325"/>
      <c r="F1309" s="325"/>
    </row>
    <row r="1310" spans="2:6" s="323" customFormat="1" ht="18.75" customHeight="1">
      <c r="B1310" s="462"/>
      <c r="C1310" s="325"/>
      <c r="D1310" s="325"/>
      <c r="E1310" s="325"/>
      <c r="F1310" s="325"/>
    </row>
    <row r="1311" spans="2:6" s="323" customFormat="1" ht="18.75" customHeight="1">
      <c r="B1311" s="462"/>
      <c r="C1311" s="325"/>
      <c r="D1311" s="325"/>
      <c r="E1311" s="325"/>
      <c r="F1311" s="325"/>
    </row>
    <row r="1312" spans="2:6" s="323" customFormat="1" ht="18.75" customHeight="1">
      <c r="B1312" s="462"/>
      <c r="C1312" s="325"/>
      <c r="D1312" s="325"/>
      <c r="E1312" s="325"/>
      <c r="F1312" s="325"/>
    </row>
    <row r="1313" spans="2:6" s="323" customFormat="1" ht="18.75" customHeight="1">
      <c r="B1313" s="462"/>
      <c r="C1313" s="325"/>
      <c r="D1313" s="325"/>
      <c r="E1313" s="325"/>
      <c r="F1313" s="325"/>
    </row>
    <row r="1314" spans="2:6" s="323" customFormat="1" ht="18.75" customHeight="1">
      <c r="B1314" s="462"/>
      <c r="C1314" s="325"/>
      <c r="D1314" s="325"/>
      <c r="E1314" s="325"/>
      <c r="F1314" s="325"/>
    </row>
    <row r="1315" spans="2:6" s="323" customFormat="1" ht="18.75" customHeight="1">
      <c r="B1315" s="462"/>
      <c r="C1315" s="325"/>
      <c r="D1315" s="325"/>
      <c r="E1315" s="325"/>
      <c r="F1315" s="325"/>
    </row>
    <row r="1316" spans="2:6" s="323" customFormat="1" ht="18.75" customHeight="1">
      <c r="B1316" s="462"/>
      <c r="C1316" s="325"/>
      <c r="D1316" s="325"/>
      <c r="E1316" s="325"/>
      <c r="F1316" s="325"/>
    </row>
    <row r="1317" spans="2:6" s="323" customFormat="1" ht="18.75" customHeight="1">
      <c r="B1317" s="462"/>
      <c r="C1317" s="325"/>
      <c r="D1317" s="325"/>
      <c r="E1317" s="325"/>
      <c r="F1317" s="325"/>
    </row>
    <row r="1318" spans="2:6" s="323" customFormat="1" ht="18.75" customHeight="1">
      <c r="B1318" s="462"/>
      <c r="C1318" s="325"/>
      <c r="D1318" s="325"/>
      <c r="E1318" s="325"/>
      <c r="F1318" s="325"/>
    </row>
    <row r="1319" spans="2:6" s="323" customFormat="1" ht="18.75" customHeight="1">
      <c r="B1319" s="462"/>
      <c r="C1319" s="325"/>
      <c r="D1319" s="325"/>
      <c r="E1319" s="325"/>
      <c r="F1319" s="325"/>
    </row>
    <row r="1320" spans="2:6" s="323" customFormat="1" ht="18.75" customHeight="1">
      <c r="B1320" s="462"/>
      <c r="C1320" s="325"/>
      <c r="D1320" s="325"/>
      <c r="E1320" s="325"/>
      <c r="F1320" s="325"/>
    </row>
    <row r="1321" spans="2:6" s="323" customFormat="1" ht="18.75" customHeight="1">
      <c r="B1321" s="462"/>
      <c r="C1321" s="325"/>
      <c r="D1321" s="325"/>
      <c r="E1321" s="325"/>
      <c r="F1321" s="325"/>
    </row>
    <row r="1322" spans="2:6" s="323" customFormat="1" ht="18.75" customHeight="1">
      <c r="B1322" s="462"/>
      <c r="C1322" s="325"/>
      <c r="D1322" s="325"/>
      <c r="E1322" s="325"/>
      <c r="F1322" s="325"/>
    </row>
    <row r="1323" spans="2:6" s="323" customFormat="1" ht="18.75" customHeight="1">
      <c r="B1323" s="462"/>
      <c r="C1323" s="325"/>
      <c r="D1323" s="325"/>
      <c r="E1323" s="325"/>
      <c r="F1323" s="325"/>
    </row>
    <row r="1324" spans="2:6" s="323" customFormat="1" ht="18.75" customHeight="1">
      <c r="B1324" s="462"/>
      <c r="C1324" s="325"/>
      <c r="D1324" s="325"/>
      <c r="E1324" s="325"/>
      <c r="F1324" s="325"/>
    </row>
    <row r="1325" spans="2:6" s="323" customFormat="1" ht="18.75" customHeight="1">
      <c r="B1325" s="462"/>
      <c r="C1325" s="325"/>
      <c r="D1325" s="325"/>
      <c r="E1325" s="325"/>
      <c r="F1325" s="325"/>
    </row>
    <row r="1326" spans="2:6" s="323" customFormat="1" ht="18.75" customHeight="1">
      <c r="B1326" s="462"/>
      <c r="C1326" s="325"/>
      <c r="D1326" s="325"/>
      <c r="E1326" s="325"/>
      <c r="F1326" s="325"/>
    </row>
    <row r="1327" spans="2:6" s="323" customFormat="1" ht="18.75" customHeight="1">
      <c r="B1327" s="462"/>
      <c r="C1327" s="325"/>
      <c r="D1327" s="325"/>
      <c r="E1327" s="325"/>
      <c r="F1327" s="325"/>
    </row>
    <row r="1328" spans="2:6" s="323" customFormat="1" ht="18.75" customHeight="1">
      <c r="B1328" s="462"/>
      <c r="C1328" s="325"/>
      <c r="D1328" s="325"/>
      <c r="E1328" s="325"/>
      <c r="F1328" s="325"/>
    </row>
    <row r="1329" spans="2:6" s="323" customFormat="1" ht="18.75" customHeight="1">
      <c r="B1329" s="462"/>
      <c r="C1329" s="325"/>
      <c r="D1329" s="325"/>
      <c r="E1329" s="325"/>
      <c r="F1329" s="325"/>
    </row>
    <row r="1330" spans="2:6" s="323" customFormat="1" ht="18.75" customHeight="1">
      <c r="B1330" s="462"/>
      <c r="C1330" s="325"/>
      <c r="D1330" s="325"/>
      <c r="E1330" s="325"/>
      <c r="F1330" s="325"/>
    </row>
    <row r="1331" spans="2:6" s="323" customFormat="1" ht="18.75" customHeight="1">
      <c r="B1331" s="462"/>
      <c r="C1331" s="325"/>
      <c r="D1331" s="325"/>
      <c r="E1331" s="325"/>
      <c r="F1331" s="325"/>
    </row>
    <row r="1332" spans="2:6" s="323" customFormat="1" ht="18.75" customHeight="1">
      <c r="B1332" s="462"/>
      <c r="C1332" s="325"/>
      <c r="D1332" s="325"/>
      <c r="E1332" s="325"/>
      <c r="F1332" s="325"/>
    </row>
    <row r="1333" spans="2:6" s="323" customFormat="1" ht="18.75" customHeight="1">
      <c r="B1333" s="462"/>
      <c r="C1333" s="325"/>
      <c r="D1333" s="325"/>
      <c r="E1333" s="325"/>
      <c r="F1333" s="325"/>
    </row>
    <row r="1334" spans="2:6" s="323" customFormat="1" ht="18.75" customHeight="1">
      <c r="B1334" s="462"/>
      <c r="C1334" s="325"/>
      <c r="D1334" s="325"/>
      <c r="E1334" s="325"/>
      <c r="F1334" s="325"/>
    </row>
    <row r="1335" spans="2:6" s="323" customFormat="1" ht="18.75" customHeight="1">
      <c r="B1335" s="462"/>
      <c r="C1335" s="325"/>
      <c r="D1335" s="325"/>
      <c r="E1335" s="325"/>
      <c r="F1335" s="325"/>
    </row>
    <row r="1336" spans="2:6" s="323" customFormat="1" ht="18.75" customHeight="1">
      <c r="B1336" s="462"/>
      <c r="C1336" s="325"/>
      <c r="D1336" s="325"/>
      <c r="E1336" s="325"/>
      <c r="F1336" s="325"/>
    </row>
    <row r="1337" spans="2:6" s="323" customFormat="1" ht="18.75" customHeight="1">
      <c r="B1337" s="462"/>
      <c r="C1337" s="325"/>
      <c r="D1337" s="325"/>
      <c r="E1337" s="325"/>
      <c r="F1337" s="325"/>
    </row>
    <row r="1338" spans="2:6" s="323" customFormat="1" ht="18.75" customHeight="1">
      <c r="B1338" s="462"/>
      <c r="C1338" s="325"/>
      <c r="D1338" s="325"/>
      <c r="E1338" s="325"/>
      <c r="F1338" s="325"/>
    </row>
    <row r="1339" spans="2:6" s="323" customFormat="1" ht="18.75" customHeight="1">
      <c r="B1339" s="462"/>
      <c r="C1339" s="325"/>
      <c r="D1339" s="325"/>
      <c r="E1339" s="325"/>
      <c r="F1339" s="325"/>
    </row>
    <row r="1340" spans="2:6" s="323" customFormat="1" ht="18.75" customHeight="1">
      <c r="B1340" s="462"/>
      <c r="C1340" s="325"/>
      <c r="D1340" s="325"/>
      <c r="E1340" s="325"/>
      <c r="F1340" s="325"/>
    </row>
    <row r="1341" spans="2:6" s="323" customFormat="1" ht="18.75" customHeight="1">
      <c r="B1341" s="462"/>
      <c r="C1341" s="325"/>
      <c r="D1341" s="325"/>
      <c r="E1341" s="325"/>
      <c r="F1341" s="325"/>
    </row>
    <row r="1342" spans="2:6" s="323" customFormat="1" ht="18.75" customHeight="1">
      <c r="B1342" s="462"/>
      <c r="C1342" s="325"/>
      <c r="D1342" s="325"/>
      <c r="E1342" s="325"/>
      <c r="F1342" s="325"/>
    </row>
    <row r="1343" spans="2:6" s="323" customFormat="1" ht="18.75" customHeight="1">
      <c r="B1343" s="462"/>
      <c r="C1343" s="325"/>
      <c r="D1343" s="325"/>
      <c r="E1343" s="325"/>
      <c r="F1343" s="325"/>
    </row>
    <row r="1344" spans="2:6" s="323" customFormat="1" ht="18.75" customHeight="1">
      <c r="B1344" s="462"/>
      <c r="C1344" s="325"/>
      <c r="D1344" s="325"/>
      <c r="E1344" s="325"/>
      <c r="F1344" s="325"/>
    </row>
    <row r="1345" spans="2:6" s="323" customFormat="1" ht="18.75" customHeight="1">
      <c r="B1345" s="462"/>
      <c r="C1345" s="325"/>
      <c r="D1345" s="325"/>
      <c r="E1345" s="325"/>
      <c r="F1345" s="325"/>
    </row>
    <row r="1346" spans="2:6" s="323" customFormat="1" ht="18.75" customHeight="1">
      <c r="B1346" s="462"/>
      <c r="C1346" s="325"/>
      <c r="D1346" s="325"/>
      <c r="E1346" s="325"/>
      <c r="F1346" s="325"/>
    </row>
    <row r="1347" spans="2:6" s="323" customFormat="1" ht="18.75" customHeight="1">
      <c r="B1347" s="462"/>
      <c r="C1347" s="325"/>
      <c r="D1347" s="325"/>
      <c r="E1347" s="325"/>
      <c r="F1347" s="325"/>
    </row>
    <row r="1348" spans="2:6" s="323" customFormat="1" ht="18.75" customHeight="1">
      <c r="B1348" s="462"/>
      <c r="C1348" s="325"/>
      <c r="D1348" s="325"/>
      <c r="E1348" s="325"/>
      <c r="F1348" s="325"/>
    </row>
    <row r="1349" spans="2:6" s="323" customFormat="1" ht="18.75" customHeight="1">
      <c r="B1349" s="462"/>
      <c r="C1349" s="325"/>
      <c r="D1349" s="325"/>
      <c r="E1349" s="325"/>
      <c r="F1349" s="325"/>
    </row>
    <row r="1350" spans="2:6" s="323" customFormat="1" ht="18.75" customHeight="1">
      <c r="B1350" s="462"/>
      <c r="C1350" s="325"/>
      <c r="D1350" s="325"/>
      <c r="E1350" s="325"/>
      <c r="F1350" s="325"/>
    </row>
    <row r="1351" spans="2:6" s="323" customFormat="1" ht="18.75" customHeight="1">
      <c r="B1351" s="462"/>
      <c r="C1351" s="325"/>
      <c r="D1351" s="325"/>
      <c r="E1351" s="325"/>
      <c r="F1351" s="325"/>
    </row>
    <row r="1352" spans="2:6" s="323" customFormat="1" ht="18.75" customHeight="1">
      <c r="B1352" s="462"/>
      <c r="C1352" s="325"/>
      <c r="D1352" s="325"/>
      <c r="E1352" s="325"/>
      <c r="F1352" s="325"/>
    </row>
    <row r="1353" spans="2:6" s="323" customFormat="1" ht="18.75" customHeight="1">
      <c r="B1353" s="462"/>
      <c r="C1353" s="325"/>
      <c r="D1353" s="325"/>
      <c r="E1353" s="325"/>
      <c r="F1353" s="325"/>
    </row>
    <row r="1354" spans="2:6" s="323" customFormat="1" ht="18.75" customHeight="1">
      <c r="B1354" s="462"/>
      <c r="C1354" s="325"/>
      <c r="D1354" s="325"/>
      <c r="E1354" s="325"/>
      <c r="F1354" s="325"/>
    </row>
    <row r="1355" spans="2:6" s="323" customFormat="1" ht="18.75" customHeight="1">
      <c r="B1355" s="462"/>
      <c r="C1355" s="325"/>
      <c r="D1355" s="325"/>
      <c r="E1355" s="325"/>
      <c r="F1355" s="325"/>
    </row>
    <row r="1356" spans="2:6" s="323" customFormat="1" ht="18.75" customHeight="1">
      <c r="B1356" s="462"/>
      <c r="C1356" s="325"/>
      <c r="D1356" s="325"/>
      <c r="E1356" s="325"/>
      <c r="F1356" s="325"/>
    </row>
    <row r="1357" spans="2:6" s="323" customFormat="1" ht="18.75" customHeight="1">
      <c r="B1357" s="462"/>
      <c r="C1357" s="325"/>
      <c r="D1357" s="325"/>
      <c r="E1357" s="325"/>
      <c r="F1357" s="325"/>
    </row>
    <row r="1358" spans="2:6" s="323" customFormat="1" ht="18.75" customHeight="1">
      <c r="B1358" s="462"/>
      <c r="C1358" s="325"/>
      <c r="D1358" s="325"/>
      <c r="E1358" s="325"/>
      <c r="F1358" s="325"/>
    </row>
    <row r="1359" spans="2:6" s="323" customFormat="1" ht="18.75" customHeight="1">
      <c r="B1359" s="462"/>
      <c r="C1359" s="325"/>
      <c r="D1359" s="325"/>
      <c r="E1359" s="325"/>
      <c r="F1359" s="325"/>
    </row>
    <row r="1360" spans="2:6" s="323" customFormat="1" ht="18.75" customHeight="1">
      <c r="B1360" s="462"/>
      <c r="C1360" s="325"/>
      <c r="D1360" s="325"/>
      <c r="E1360" s="325"/>
      <c r="F1360" s="325"/>
    </row>
    <row r="1361" spans="2:6" s="323" customFormat="1" ht="18.75" customHeight="1">
      <c r="B1361" s="462"/>
      <c r="C1361" s="325"/>
      <c r="D1361" s="325"/>
      <c r="E1361" s="325"/>
      <c r="F1361" s="325"/>
    </row>
    <row r="1362" spans="2:6" s="323" customFormat="1" ht="18.75" customHeight="1">
      <c r="B1362" s="462"/>
      <c r="C1362" s="325"/>
      <c r="D1362" s="325"/>
      <c r="E1362" s="325"/>
      <c r="F1362" s="325"/>
    </row>
    <row r="1363" spans="2:6" s="323" customFormat="1" ht="18.75" customHeight="1">
      <c r="B1363" s="462"/>
      <c r="C1363" s="325"/>
      <c r="D1363" s="325"/>
      <c r="E1363" s="325"/>
      <c r="F1363" s="325"/>
    </row>
    <row r="1364" spans="2:6" s="323" customFormat="1" ht="18.75" customHeight="1">
      <c r="B1364" s="462"/>
      <c r="C1364" s="325"/>
      <c r="D1364" s="325"/>
      <c r="E1364" s="325"/>
      <c r="F1364" s="325"/>
    </row>
    <row r="1365" spans="2:6" s="323" customFormat="1" ht="18.75" customHeight="1">
      <c r="B1365" s="462"/>
      <c r="C1365" s="325"/>
      <c r="D1365" s="325"/>
      <c r="E1365" s="325"/>
      <c r="F1365" s="325"/>
    </row>
    <row r="1366" spans="2:6" s="323" customFormat="1" ht="18.75" customHeight="1">
      <c r="B1366" s="462"/>
      <c r="C1366" s="325"/>
      <c r="D1366" s="325"/>
      <c r="E1366" s="325"/>
      <c r="F1366" s="325"/>
    </row>
    <row r="1367" spans="2:6" s="323" customFormat="1" ht="18.75" customHeight="1">
      <c r="B1367" s="462"/>
      <c r="C1367" s="325"/>
      <c r="D1367" s="325"/>
      <c r="E1367" s="325"/>
      <c r="F1367" s="325"/>
    </row>
    <row r="1368" spans="2:6" s="323" customFormat="1" ht="18.75" customHeight="1">
      <c r="B1368" s="462"/>
      <c r="C1368" s="325"/>
      <c r="D1368" s="325"/>
      <c r="E1368" s="325"/>
      <c r="F1368" s="325"/>
    </row>
    <row r="1369" spans="2:6" s="323" customFormat="1" ht="18.75" customHeight="1">
      <c r="B1369" s="462"/>
      <c r="C1369" s="325"/>
      <c r="D1369" s="325"/>
      <c r="E1369" s="325"/>
      <c r="F1369" s="325"/>
    </row>
    <row r="1370" spans="2:6" s="323" customFormat="1" ht="18.75" customHeight="1">
      <c r="B1370" s="462"/>
      <c r="C1370" s="325"/>
      <c r="D1370" s="325"/>
      <c r="E1370" s="325"/>
      <c r="F1370" s="325"/>
    </row>
    <row r="1371" spans="2:6" s="323" customFormat="1" ht="18.75" customHeight="1">
      <c r="B1371" s="462"/>
      <c r="C1371" s="325"/>
      <c r="D1371" s="325"/>
      <c r="E1371" s="325"/>
      <c r="F1371" s="325"/>
    </row>
    <row r="1372" spans="2:6" s="323" customFormat="1" ht="18.75" customHeight="1">
      <c r="B1372" s="462"/>
      <c r="C1372" s="325"/>
      <c r="D1372" s="325"/>
      <c r="E1372" s="325"/>
      <c r="F1372" s="325"/>
    </row>
    <row r="1373" spans="2:6" s="323" customFormat="1" ht="18.75" customHeight="1">
      <c r="B1373" s="462"/>
      <c r="C1373" s="325"/>
      <c r="D1373" s="325"/>
      <c r="E1373" s="325"/>
      <c r="F1373" s="325"/>
    </row>
    <row r="1374" spans="2:6" s="323" customFormat="1" ht="18.75" customHeight="1">
      <c r="B1374" s="462"/>
      <c r="C1374" s="325"/>
      <c r="D1374" s="325"/>
      <c r="E1374" s="325"/>
      <c r="F1374" s="325"/>
    </row>
    <row r="1375" spans="2:6" s="323" customFormat="1" ht="18.75" customHeight="1">
      <c r="B1375" s="462"/>
      <c r="C1375" s="325"/>
      <c r="D1375" s="325"/>
      <c r="E1375" s="325"/>
      <c r="F1375" s="325"/>
    </row>
    <row r="1376" spans="2:6" s="323" customFormat="1" ht="18.75" customHeight="1">
      <c r="B1376" s="462"/>
      <c r="C1376" s="325"/>
      <c r="D1376" s="325"/>
      <c r="E1376" s="325"/>
      <c r="F1376" s="325"/>
    </row>
    <row r="1377" spans="2:6" s="323" customFormat="1" ht="18.75" customHeight="1">
      <c r="B1377" s="462"/>
      <c r="C1377" s="325"/>
      <c r="D1377" s="325"/>
      <c r="E1377" s="325"/>
      <c r="F1377" s="325"/>
    </row>
    <row r="1378" spans="2:6" s="323" customFormat="1" ht="18.75" customHeight="1">
      <c r="B1378" s="462"/>
      <c r="C1378" s="325"/>
      <c r="D1378" s="325"/>
      <c r="E1378" s="325"/>
      <c r="F1378" s="325"/>
    </row>
    <row r="1379" spans="2:6" s="323" customFormat="1" ht="18.75" customHeight="1">
      <c r="B1379" s="462"/>
      <c r="C1379" s="325"/>
      <c r="D1379" s="325"/>
      <c r="E1379" s="325"/>
      <c r="F1379" s="325"/>
    </row>
    <row r="1380" spans="2:6" s="323" customFormat="1" ht="18.75" customHeight="1">
      <c r="B1380" s="462"/>
      <c r="C1380" s="325"/>
      <c r="D1380" s="325"/>
      <c r="E1380" s="325"/>
      <c r="F1380" s="325"/>
    </row>
    <row r="1381" spans="2:6" s="323" customFormat="1" ht="18.75" customHeight="1">
      <c r="B1381" s="462"/>
      <c r="C1381" s="325"/>
      <c r="D1381" s="325"/>
      <c r="E1381" s="325"/>
      <c r="F1381" s="325"/>
    </row>
    <row r="1382" spans="2:6" s="323" customFormat="1" ht="18.75" customHeight="1">
      <c r="B1382" s="462"/>
      <c r="C1382" s="325"/>
      <c r="D1382" s="325"/>
      <c r="E1382" s="325"/>
      <c r="F1382" s="325"/>
    </row>
    <row r="1383" spans="2:6" s="323" customFormat="1" ht="18.75" customHeight="1">
      <c r="B1383" s="462"/>
      <c r="C1383" s="325"/>
      <c r="D1383" s="325"/>
      <c r="E1383" s="325"/>
      <c r="F1383" s="325"/>
    </row>
    <row r="1384" spans="2:6" s="323" customFormat="1" ht="18.75" customHeight="1">
      <c r="B1384" s="462"/>
      <c r="C1384" s="325"/>
      <c r="D1384" s="325"/>
      <c r="E1384" s="325"/>
      <c r="F1384" s="325"/>
    </row>
  </sheetData>
  <mergeCells count="49">
    <mergeCell ref="B944:B945"/>
    <mergeCell ref="C873:C874"/>
    <mergeCell ref="B3:I3"/>
    <mergeCell ref="C914:C915"/>
    <mergeCell ref="D6:H6"/>
    <mergeCell ref="B936:B937"/>
    <mergeCell ref="C898:C899"/>
    <mergeCell ref="C934:C935"/>
    <mergeCell ref="H7:H8"/>
    <mergeCell ref="C900:C901"/>
    <mergeCell ref="C940:C941"/>
    <mergeCell ref="C877:C878"/>
    <mergeCell ref="C871:C872"/>
    <mergeCell ref="C942:C943"/>
    <mergeCell ref="C879:C880"/>
    <mergeCell ref="I6:I8"/>
    <mergeCell ref="C910:C911"/>
    <mergeCell ref="C912:C913"/>
    <mergeCell ref="E7:E8"/>
    <mergeCell ref="C896:C897"/>
    <mergeCell ref="C883:C884"/>
    <mergeCell ref="C875:C876"/>
    <mergeCell ref="F7:F8"/>
    <mergeCell ref="C946:C947"/>
    <mergeCell ref="C928:C929"/>
    <mergeCell ref="G7:G8"/>
    <mergeCell ref="C902:C903"/>
    <mergeCell ref="C904:C905"/>
    <mergeCell ref="C944:C945"/>
    <mergeCell ref="C924:C925"/>
    <mergeCell ref="C865:C866"/>
    <mergeCell ref="C930:C931"/>
    <mergeCell ref="B6:C8"/>
    <mergeCell ref="B932:B933"/>
    <mergeCell ref="B922:B923"/>
    <mergeCell ref="C936:C937"/>
    <mergeCell ref="C932:C933"/>
    <mergeCell ref="B896:B897"/>
    <mergeCell ref="D7:D8"/>
    <mergeCell ref="C906:C907"/>
    <mergeCell ref="B938:B939"/>
    <mergeCell ref="C908:C909"/>
    <mergeCell ref="C926:C927"/>
    <mergeCell ref="B924:B925"/>
    <mergeCell ref="B873:B874"/>
    <mergeCell ref="B906:B907"/>
    <mergeCell ref="B877:B878"/>
    <mergeCell ref="C938:C939"/>
    <mergeCell ref="C922:C923"/>
  </mergeCells>
  <conditionalFormatting sqref="L10:L1252 M10:M1252 P10:P1252 Q10:Q1252 T10:T1252 U10:U1252 X10:X1252 Y10:Y1252 AB10:AB1252 AC10:AC1252 AF10:AF1252 AG10:AG1252 AJ10:AJ1252 AK10:AK1252 AN10:AN1252 AO10:AO1252 AR10:AR1252 AS10:AS1252 AV10:AV1252 AW10:AW1252 AZ10:AZ1252 BA10:BA1252 BD10:BD1252 BE10:BE1252 BH10:BH1252 BI10:BI1252 BL10:BL1252 BM10:BM1252 BP10:BP1252 BQ10:BQ1252 BT10:BT1252 BU10:BU1252 BX10:BX1252 BY10:BY1252">
    <cfRule type="cellIs" dxfId="83" priority="3" operator="greaterThan">
      <formula>0</formula>
    </cfRule>
    <cfRule type="cellIs" dxfId="82" priority="2" operator="lessThan">
      <formula>0</formula>
    </cfRule>
    <cfRule type="cellIs" dxfId="81" priority="1" operator="equal">
      <formula>0</formula>
    </cfRule>
  </conditionalFormatting>
  <pageMargins left="0.7" right="0.7" top="0.75" bottom="0.75" header="0.3" footer="0.3"/>
  <pageSetup paperSize="8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3:BY430"/>
  <sheetViews>
    <sheetView topLeftCell="B1" zoomScale="60" zoomScaleNormal="60" workbookViewId="0">
      <pane xSplit="8" ySplit="9" topLeftCell="J10" activePane="bottomRight" state="frozen"/>
      <selection activeCell="B1" sqref="B1"/>
      <selection pane="topRight" activeCell="J1" sqref="J1"/>
      <selection pane="bottomLeft" activeCell="B10" sqref="B10"/>
      <selection pane="bottomRight" activeCell="J24" sqref="J24"/>
    </sheetView>
  </sheetViews>
  <sheetFormatPr defaultRowHeight="15" outlineLevelCol="1"/>
  <cols>
    <col min="1" max="1" width="13" style="621" hidden="1" customWidth="1"/>
    <col min="2" max="2" width="11.28515625" style="621" customWidth="1"/>
    <col min="3" max="3" width="88" style="621" customWidth="1"/>
    <col min="4" max="6" width="24.85546875" style="621" customWidth="1" outlineLevel="1"/>
    <col min="7" max="8" width="22.42578125" style="621" customWidth="1" outlineLevel="1"/>
    <col min="9" max="9" width="14.7109375" style="621" customWidth="1"/>
    <col min="10" max="77" width="8.42578125" style="621" customWidth="1"/>
  </cols>
  <sheetData>
    <row r="3" spans="2:9" ht="18.75" customHeight="1">
      <c r="B3" s="775" t="s">
        <v>1363</v>
      </c>
      <c r="C3" s="760"/>
      <c r="D3" s="760"/>
      <c r="E3" s="760"/>
      <c r="F3" s="760"/>
      <c r="G3" s="760"/>
      <c r="H3" s="760"/>
      <c r="I3" s="760"/>
    </row>
    <row r="6" spans="2:9" ht="20.100000000000001" customHeight="1">
      <c r="B6" s="773" t="s">
        <v>1364</v>
      </c>
      <c r="C6" s="777" t="s">
        <v>16</v>
      </c>
      <c r="D6" s="761" t="s">
        <v>17</v>
      </c>
      <c r="E6" s="762"/>
      <c r="F6" s="762"/>
      <c r="G6" s="762"/>
      <c r="H6" s="763"/>
      <c r="I6" s="772" t="s">
        <v>1365</v>
      </c>
    </row>
    <row r="7" spans="2:9" ht="39.950000000000003" customHeight="1">
      <c r="B7" s="756"/>
      <c r="C7" s="756"/>
      <c r="D7" s="741" t="s">
        <v>19</v>
      </c>
      <c r="E7" s="741" t="s">
        <v>20</v>
      </c>
      <c r="F7" s="741" t="s">
        <v>21</v>
      </c>
      <c r="G7" s="741" t="s">
        <v>22</v>
      </c>
      <c r="H7" s="741" t="s">
        <v>23</v>
      </c>
      <c r="I7" s="756"/>
    </row>
    <row r="8" spans="2:9" ht="20.100000000000001" customHeight="1">
      <c r="B8" s="757"/>
      <c r="C8" s="742"/>
      <c r="D8" s="742"/>
      <c r="E8" s="742"/>
      <c r="F8" s="742"/>
      <c r="G8" s="742"/>
      <c r="H8" s="742"/>
      <c r="I8" s="742"/>
    </row>
    <row r="9" spans="2:9" ht="20.100000000000001" hidden="1" customHeight="1">
      <c r="B9" s="525"/>
      <c r="C9" s="526"/>
      <c r="D9" s="527"/>
      <c r="E9" s="527"/>
      <c r="F9" s="527"/>
      <c r="G9" s="527"/>
      <c r="H9" s="527"/>
      <c r="I9" s="527"/>
    </row>
    <row r="10" spans="2:9" ht="25.5" customHeight="1">
      <c r="B10" s="603" t="s">
        <v>1366</v>
      </c>
      <c r="C10" s="470" t="s">
        <v>1367</v>
      </c>
      <c r="D10" s="530"/>
      <c r="E10" s="530"/>
      <c r="F10" s="531"/>
      <c r="G10" s="532" t="s">
        <v>1368</v>
      </c>
      <c r="H10" s="532"/>
      <c r="I10" s="521" t="s">
        <v>1369</v>
      </c>
    </row>
    <row r="11" spans="2:9" ht="27.75" customHeight="1">
      <c r="B11" s="603" t="s">
        <v>1370</v>
      </c>
      <c r="C11" s="471" t="s">
        <v>1371</v>
      </c>
      <c r="D11" s="530"/>
      <c r="E11" s="530"/>
      <c r="F11" s="531"/>
      <c r="G11" s="532" t="s">
        <v>1372</v>
      </c>
      <c r="H11" s="532"/>
      <c r="I11" s="521" t="s">
        <v>1369</v>
      </c>
    </row>
    <row r="12" spans="2:9" ht="60" customHeight="1">
      <c r="B12" s="603" t="s">
        <v>1373</v>
      </c>
      <c r="C12" s="607" t="s">
        <v>1374</v>
      </c>
      <c r="D12" s="530"/>
      <c r="E12" s="530"/>
      <c r="F12" s="531"/>
      <c r="G12" s="532" t="s">
        <v>1375</v>
      </c>
      <c r="H12" s="532"/>
      <c r="I12" s="521" t="s">
        <v>1369</v>
      </c>
    </row>
    <row r="13" spans="2:9" s="676" customFormat="1" ht="18.75" customHeight="1">
      <c r="B13" s="677"/>
      <c r="C13" s="678"/>
      <c r="D13" s="679"/>
      <c r="E13" s="679"/>
      <c r="F13" s="679"/>
      <c r="G13" s="680" t="e">
        <f>G14+G15/1000</f>
        <v>#VALUE!</v>
      </c>
      <c r="H13" s="680"/>
      <c r="I13" s="681"/>
    </row>
    <row r="14" spans="2:9" ht="18.75" customHeight="1">
      <c r="B14" s="770" t="s">
        <v>1376</v>
      </c>
      <c r="C14" s="473" t="s">
        <v>1377</v>
      </c>
      <c r="D14" s="530"/>
      <c r="E14" s="530"/>
      <c r="F14" s="531"/>
      <c r="G14" s="532" t="s">
        <v>1378</v>
      </c>
      <c r="H14" s="532"/>
      <c r="I14" s="521" t="s">
        <v>1369</v>
      </c>
    </row>
    <row r="15" spans="2:9" ht="18.75" customHeight="1">
      <c r="B15" s="760"/>
      <c r="C15" s="486" t="s">
        <v>1379</v>
      </c>
      <c r="D15" s="530"/>
      <c r="E15" s="530"/>
      <c r="F15" s="531"/>
      <c r="G15" s="532" t="s">
        <v>1380</v>
      </c>
      <c r="H15" s="532"/>
      <c r="I15" s="521" t="s">
        <v>1369</v>
      </c>
    </row>
    <row r="16" spans="2:9" ht="18.75" customHeight="1">
      <c r="B16" s="760"/>
      <c r="C16" s="472" t="s">
        <v>1381</v>
      </c>
      <c r="D16" s="530"/>
      <c r="E16" s="530"/>
      <c r="F16" s="531"/>
      <c r="G16" s="532">
        <v>0</v>
      </c>
      <c r="H16" s="532"/>
      <c r="I16" s="519" t="s">
        <v>1369</v>
      </c>
    </row>
    <row r="17" spans="2:9" ht="18.75" customHeight="1">
      <c r="B17" s="603" t="s">
        <v>1382</v>
      </c>
      <c r="C17" s="473" t="s">
        <v>1383</v>
      </c>
      <c r="D17" s="530"/>
      <c r="E17" s="530"/>
      <c r="F17" s="531"/>
      <c r="G17" s="532" t="s">
        <v>625</v>
      </c>
      <c r="H17" s="532"/>
      <c r="I17" s="521" t="s">
        <v>1369</v>
      </c>
    </row>
    <row r="18" spans="2:9" ht="19.5" customHeight="1">
      <c r="B18" s="474"/>
      <c r="C18" s="475" t="s">
        <v>1384</v>
      </c>
      <c r="D18" s="530"/>
      <c r="E18" s="530"/>
      <c r="F18" s="531"/>
      <c r="G18" s="532">
        <v>0</v>
      </c>
      <c r="H18" s="532"/>
      <c r="I18" s="519" t="s">
        <v>1369</v>
      </c>
    </row>
    <row r="19" spans="2:9" ht="19.5" customHeight="1">
      <c r="B19" s="474"/>
      <c r="C19" s="475" t="s">
        <v>1385</v>
      </c>
      <c r="D19" s="530"/>
      <c r="E19" s="530"/>
      <c r="F19" s="531"/>
      <c r="G19" s="532">
        <v>0</v>
      </c>
      <c r="H19" s="532"/>
      <c r="I19" s="519" t="s">
        <v>1369</v>
      </c>
    </row>
    <row r="20" spans="2:9" ht="18.75" customHeight="1">
      <c r="B20" s="485"/>
      <c r="C20" s="606" t="s">
        <v>1386</v>
      </c>
      <c r="D20" s="530"/>
      <c r="E20" s="530"/>
      <c r="F20" s="531"/>
      <c r="G20" s="532">
        <v>0</v>
      </c>
      <c r="H20" s="532"/>
      <c r="I20" s="521" t="s">
        <v>1369</v>
      </c>
    </row>
    <row r="21" spans="2:9" ht="18.75" customHeight="1">
      <c r="B21" s="485"/>
      <c r="C21" s="767" t="s">
        <v>1387</v>
      </c>
      <c r="D21" s="530"/>
      <c r="E21" s="530"/>
      <c r="F21" s="531"/>
      <c r="G21" s="532">
        <v>0</v>
      </c>
      <c r="H21" s="532"/>
      <c r="I21" s="521" t="s">
        <v>1369</v>
      </c>
    </row>
    <row r="22" spans="2:9" ht="18.75" customHeight="1">
      <c r="B22" s="485"/>
      <c r="C22" s="760"/>
      <c r="D22" s="530"/>
      <c r="E22" s="530"/>
      <c r="F22" s="531"/>
      <c r="G22" s="532">
        <v>0</v>
      </c>
      <c r="H22" s="532"/>
      <c r="I22" s="712" t="s">
        <v>1340</v>
      </c>
    </row>
    <row r="23" spans="2:9" ht="18.75" customHeight="1">
      <c r="B23" s="485"/>
      <c r="C23" s="606" t="s">
        <v>1388</v>
      </c>
      <c r="D23" s="530"/>
      <c r="E23" s="530"/>
      <c r="F23" s="531"/>
      <c r="G23" s="532">
        <v>0</v>
      </c>
      <c r="H23" s="532"/>
      <c r="I23" s="521" t="s">
        <v>1369</v>
      </c>
    </row>
    <row r="24" spans="2:9" ht="18.75" customHeight="1">
      <c r="B24" s="485"/>
      <c r="C24" s="606" t="s">
        <v>1389</v>
      </c>
      <c r="D24" s="530"/>
      <c r="E24" s="530"/>
      <c r="F24" s="531"/>
      <c r="G24" s="532">
        <v>0</v>
      </c>
      <c r="H24" s="532"/>
      <c r="I24" s="521" t="s">
        <v>1369</v>
      </c>
    </row>
    <row r="25" spans="2:9" ht="18.75" customHeight="1">
      <c r="B25" s="603"/>
      <c r="C25" s="606" t="s">
        <v>1390</v>
      </c>
      <c r="D25" s="530"/>
      <c r="E25" s="530"/>
      <c r="F25" s="531"/>
      <c r="G25" s="532" t="s">
        <v>625</v>
      </c>
      <c r="H25" s="532"/>
      <c r="I25" s="521" t="s">
        <v>1369</v>
      </c>
    </row>
    <row r="26" spans="2:9" ht="18.75" customHeight="1">
      <c r="B26" s="485"/>
      <c r="C26" s="606" t="s">
        <v>1391</v>
      </c>
      <c r="D26" s="530"/>
      <c r="E26" s="530"/>
      <c r="F26" s="531"/>
      <c r="G26" s="532">
        <v>0</v>
      </c>
      <c r="H26" s="532"/>
      <c r="I26" s="521" t="s">
        <v>1369</v>
      </c>
    </row>
    <row r="27" spans="2:9" ht="18.75" customHeight="1">
      <c r="B27" s="603"/>
      <c r="C27" s="476" t="s">
        <v>1392</v>
      </c>
      <c r="D27" s="530"/>
      <c r="E27" s="530"/>
      <c r="F27" s="531"/>
      <c r="G27" s="532" t="s">
        <v>1393</v>
      </c>
      <c r="H27" s="532"/>
      <c r="I27" s="521" t="s">
        <v>1369</v>
      </c>
    </row>
    <row r="28" spans="2:9" ht="18.75" customHeight="1">
      <c r="B28" s="485"/>
      <c r="C28" s="476" t="s">
        <v>1394</v>
      </c>
      <c r="D28" s="530"/>
      <c r="E28" s="530"/>
      <c r="F28" s="531"/>
      <c r="G28" s="532">
        <v>0</v>
      </c>
      <c r="H28" s="532"/>
      <c r="I28" s="521" t="s">
        <v>1369</v>
      </c>
    </row>
    <row r="29" spans="2:9" ht="19.5" customHeight="1">
      <c r="B29" s="484"/>
      <c r="C29" s="480" t="s">
        <v>1395</v>
      </c>
      <c r="D29" s="530"/>
      <c r="E29" s="530"/>
      <c r="F29" s="531"/>
      <c r="G29" s="532" t="s">
        <v>1396</v>
      </c>
      <c r="H29" s="532"/>
      <c r="I29" s="520" t="s">
        <v>1369</v>
      </c>
    </row>
    <row r="30" spans="2:9" ht="18.75" customHeight="1">
      <c r="B30" s="603" t="s">
        <v>1397</v>
      </c>
      <c r="C30" s="473" t="s">
        <v>211</v>
      </c>
      <c r="D30" s="530"/>
      <c r="E30" s="530"/>
      <c r="F30" s="531"/>
      <c r="G30" s="532" t="s">
        <v>1398</v>
      </c>
      <c r="H30" s="532"/>
      <c r="I30" s="521" t="s">
        <v>1369</v>
      </c>
    </row>
    <row r="31" spans="2:9" ht="18.75" customHeight="1">
      <c r="B31" s="603" t="s">
        <v>1399</v>
      </c>
      <c r="C31" s="473" t="s">
        <v>1400</v>
      </c>
      <c r="D31" s="530"/>
      <c r="E31" s="530"/>
      <c r="F31" s="531"/>
      <c r="G31" s="532" t="s">
        <v>625</v>
      </c>
      <c r="H31" s="532"/>
      <c r="I31" s="521" t="s">
        <v>1369</v>
      </c>
    </row>
    <row r="32" spans="2:9" ht="18.75" customHeight="1">
      <c r="B32" s="485"/>
      <c r="C32" s="606" t="s">
        <v>1401</v>
      </c>
      <c r="D32" s="530"/>
      <c r="E32" s="530"/>
      <c r="F32" s="531"/>
      <c r="G32" s="532">
        <v>0</v>
      </c>
      <c r="H32" s="532"/>
      <c r="I32" s="521" t="s">
        <v>1369</v>
      </c>
    </row>
    <row r="33" spans="2:9" ht="18.75" customHeight="1">
      <c r="B33" s="485"/>
      <c r="C33" s="606" t="s">
        <v>1402</v>
      </c>
      <c r="D33" s="530"/>
      <c r="E33" s="530"/>
      <c r="F33" s="531"/>
      <c r="G33" s="532">
        <v>0</v>
      </c>
      <c r="H33" s="532"/>
      <c r="I33" s="521" t="s">
        <v>1369</v>
      </c>
    </row>
    <row r="34" spans="2:9" ht="18.75" customHeight="1">
      <c r="B34" s="485"/>
      <c r="C34" s="606" t="s">
        <v>1386</v>
      </c>
      <c r="D34" s="530"/>
      <c r="E34" s="530"/>
      <c r="F34" s="531"/>
      <c r="G34" s="532">
        <v>0</v>
      </c>
      <c r="H34" s="532"/>
      <c r="I34" s="521" t="s">
        <v>1369</v>
      </c>
    </row>
    <row r="35" spans="2:9" ht="18.75" customHeight="1">
      <c r="B35" s="485"/>
      <c r="C35" s="767" t="s">
        <v>1387</v>
      </c>
      <c r="D35" s="530"/>
      <c r="E35" s="530"/>
      <c r="F35" s="531"/>
      <c r="G35" s="532">
        <v>0</v>
      </c>
      <c r="H35" s="532"/>
      <c r="I35" s="521" t="s">
        <v>1369</v>
      </c>
    </row>
    <row r="36" spans="2:9" ht="18.75" customHeight="1">
      <c r="B36" s="485"/>
      <c r="C36" s="760"/>
      <c r="D36" s="530"/>
      <c r="E36" s="530"/>
      <c r="F36" s="531"/>
      <c r="G36" s="532">
        <v>0</v>
      </c>
      <c r="H36" s="532"/>
      <c r="I36" s="712" t="s">
        <v>1340</v>
      </c>
    </row>
    <row r="37" spans="2:9" ht="18.75" customHeight="1">
      <c r="B37" s="485"/>
      <c r="C37" s="606" t="s">
        <v>1388</v>
      </c>
      <c r="D37" s="530"/>
      <c r="E37" s="530"/>
      <c r="F37" s="531"/>
      <c r="G37" s="532">
        <v>0</v>
      </c>
      <c r="H37" s="532"/>
      <c r="I37" s="521" t="s">
        <v>1369</v>
      </c>
    </row>
    <row r="38" spans="2:9" ht="18.75" customHeight="1">
      <c r="B38" s="485"/>
      <c r="C38" s="606" t="s">
        <v>1389</v>
      </c>
      <c r="D38" s="530"/>
      <c r="E38" s="530"/>
      <c r="F38" s="531"/>
      <c r="G38" s="532">
        <v>0</v>
      </c>
      <c r="H38" s="532"/>
      <c r="I38" s="521" t="s">
        <v>1369</v>
      </c>
    </row>
    <row r="39" spans="2:9" ht="18.75" customHeight="1">
      <c r="B39" s="485"/>
      <c r="C39" s="606" t="s">
        <v>1390</v>
      </c>
      <c r="D39" s="530"/>
      <c r="E39" s="530"/>
      <c r="F39" s="531"/>
      <c r="G39" s="532">
        <v>0</v>
      </c>
      <c r="H39" s="532"/>
      <c r="I39" s="521" t="s">
        <v>1369</v>
      </c>
    </row>
    <row r="40" spans="2:9" ht="18.75" customHeight="1">
      <c r="B40" s="603"/>
      <c r="C40" s="606" t="s">
        <v>1391</v>
      </c>
      <c r="D40" s="530"/>
      <c r="E40" s="530"/>
      <c r="F40" s="531"/>
      <c r="G40" s="532">
        <v>0</v>
      </c>
      <c r="H40" s="532"/>
      <c r="I40" s="521" t="s">
        <v>1369</v>
      </c>
    </row>
    <row r="41" spans="2:9" ht="18.75" customHeight="1">
      <c r="B41" s="485"/>
      <c r="C41" s="476" t="s">
        <v>1392</v>
      </c>
      <c r="D41" s="530"/>
      <c r="E41" s="530"/>
      <c r="F41" s="531"/>
      <c r="G41" s="532">
        <v>0</v>
      </c>
      <c r="H41" s="532"/>
      <c r="I41" s="521" t="s">
        <v>1369</v>
      </c>
    </row>
    <row r="42" spans="2:9" ht="18.75" customHeight="1">
      <c r="B42" s="485"/>
      <c r="C42" s="476" t="s">
        <v>1394</v>
      </c>
      <c r="D42" s="530"/>
      <c r="E42" s="530"/>
      <c r="F42" s="531"/>
      <c r="G42" s="532">
        <v>0</v>
      </c>
      <c r="H42" s="532"/>
      <c r="I42" s="521" t="s">
        <v>1369</v>
      </c>
    </row>
    <row r="43" spans="2:9" ht="19.5" customHeight="1">
      <c r="B43" s="484"/>
      <c r="C43" s="480" t="s">
        <v>1395</v>
      </c>
      <c r="D43" s="530"/>
      <c r="E43" s="530"/>
      <c r="F43" s="531"/>
      <c r="G43" s="532" t="s">
        <v>1403</v>
      </c>
      <c r="H43" s="532"/>
      <c r="I43" s="520" t="s">
        <v>1369</v>
      </c>
    </row>
    <row r="44" spans="2:9" ht="18.75" customHeight="1">
      <c r="B44" s="603" t="s">
        <v>1404</v>
      </c>
      <c r="C44" s="473" t="s">
        <v>1405</v>
      </c>
      <c r="D44" s="530"/>
      <c r="E44" s="530"/>
      <c r="F44" s="531"/>
      <c r="G44" s="532" t="s">
        <v>1406</v>
      </c>
      <c r="H44" s="532"/>
      <c r="I44" s="521" t="s">
        <v>1369</v>
      </c>
    </row>
    <row r="45" spans="2:9" ht="18.75" customHeight="1">
      <c r="B45" s="603" t="s">
        <v>1407</v>
      </c>
      <c r="C45" s="473" t="s">
        <v>1408</v>
      </c>
      <c r="D45" s="530"/>
      <c r="E45" s="530"/>
      <c r="F45" s="531"/>
      <c r="G45" s="532" t="s">
        <v>1409</v>
      </c>
      <c r="H45" s="532"/>
      <c r="I45" s="521" t="s">
        <v>1369</v>
      </c>
    </row>
    <row r="46" spans="2:9" ht="18.75" customHeight="1">
      <c r="B46" s="603" t="s">
        <v>1410</v>
      </c>
      <c r="C46" s="473" t="s">
        <v>1411</v>
      </c>
      <c r="D46" s="530"/>
      <c r="E46" s="530"/>
      <c r="F46" s="531"/>
      <c r="G46" s="532">
        <v>0</v>
      </c>
      <c r="H46" s="532"/>
      <c r="I46" s="521" t="s">
        <v>1369</v>
      </c>
    </row>
    <row r="47" spans="2:9" ht="18.75" customHeight="1">
      <c r="B47" s="485"/>
      <c r="C47" s="477" t="s">
        <v>1412</v>
      </c>
      <c r="D47" s="530"/>
      <c r="E47" s="530"/>
      <c r="F47" s="531"/>
      <c r="G47" s="532">
        <v>0</v>
      </c>
      <c r="H47" s="532"/>
      <c r="I47" s="521" t="s">
        <v>1369</v>
      </c>
    </row>
    <row r="48" spans="2:9" ht="18.75" customHeight="1">
      <c r="B48" s="485"/>
      <c r="C48" s="477" t="s">
        <v>1413</v>
      </c>
      <c r="D48" s="530"/>
      <c r="E48" s="530"/>
      <c r="F48" s="531"/>
      <c r="G48" s="532">
        <v>0</v>
      </c>
      <c r="H48" s="532"/>
      <c r="I48" s="521" t="s">
        <v>1369</v>
      </c>
    </row>
    <row r="49" spans="2:9" ht="18.75" customHeight="1">
      <c r="B49" s="485"/>
      <c r="C49" s="477" t="s">
        <v>1414</v>
      </c>
      <c r="D49" s="530"/>
      <c r="E49" s="530"/>
      <c r="F49" s="531"/>
      <c r="G49" s="532">
        <v>0</v>
      </c>
      <c r="H49" s="532"/>
      <c r="I49" s="521" t="s">
        <v>1369</v>
      </c>
    </row>
    <row r="50" spans="2:9" ht="18.75" customHeight="1">
      <c r="B50" s="485"/>
      <c r="C50" s="767" t="s">
        <v>1387</v>
      </c>
      <c r="D50" s="530"/>
      <c r="E50" s="530"/>
      <c r="F50" s="531"/>
      <c r="G50" s="532">
        <v>0</v>
      </c>
      <c r="H50" s="532"/>
      <c r="I50" s="521" t="s">
        <v>1369</v>
      </c>
    </row>
    <row r="51" spans="2:9" ht="18.75" customHeight="1">
      <c r="B51" s="485"/>
      <c r="C51" s="760"/>
      <c r="D51" s="530"/>
      <c r="E51" s="530"/>
      <c r="F51" s="531"/>
      <c r="G51" s="532">
        <v>0</v>
      </c>
      <c r="H51" s="532"/>
      <c r="I51" s="712" t="s">
        <v>1340</v>
      </c>
    </row>
    <row r="52" spans="2:9" ht="18.75" customHeight="1">
      <c r="B52" s="485"/>
      <c r="C52" s="606" t="s">
        <v>1388</v>
      </c>
      <c r="D52" s="530"/>
      <c r="E52" s="530"/>
      <c r="F52" s="531"/>
      <c r="G52" s="532">
        <v>0</v>
      </c>
      <c r="H52" s="532"/>
      <c r="I52" s="521" t="s">
        <v>1369</v>
      </c>
    </row>
    <row r="53" spans="2:9" ht="18.75" customHeight="1">
      <c r="B53" s="485"/>
      <c r="C53" s="606" t="s">
        <v>1389</v>
      </c>
      <c r="D53" s="530"/>
      <c r="E53" s="530"/>
      <c r="F53" s="531"/>
      <c r="G53" s="532">
        <v>0</v>
      </c>
      <c r="H53" s="532"/>
      <c r="I53" s="521" t="s">
        <v>1369</v>
      </c>
    </row>
    <row r="54" spans="2:9" ht="18.75" customHeight="1">
      <c r="B54" s="485"/>
      <c r="C54" s="606" t="s">
        <v>1390</v>
      </c>
      <c r="D54" s="530"/>
      <c r="E54" s="530"/>
      <c r="F54" s="531"/>
      <c r="G54" s="532">
        <v>0</v>
      </c>
      <c r="H54" s="532"/>
      <c r="I54" s="521" t="s">
        <v>1369</v>
      </c>
    </row>
    <row r="55" spans="2:9" ht="18.75" customHeight="1">
      <c r="B55" s="603"/>
      <c r="C55" s="606" t="s">
        <v>1391</v>
      </c>
      <c r="D55" s="530"/>
      <c r="E55" s="530"/>
      <c r="F55" s="531"/>
      <c r="G55" s="532" t="s">
        <v>625</v>
      </c>
      <c r="H55" s="532"/>
      <c r="I55" s="521" t="s">
        <v>1369</v>
      </c>
    </row>
    <row r="56" spans="2:9" ht="18.75" customHeight="1">
      <c r="B56" s="485"/>
      <c r="C56" s="476" t="s">
        <v>1392</v>
      </c>
      <c r="D56" s="530"/>
      <c r="E56" s="530"/>
      <c r="F56" s="531"/>
      <c r="G56" s="532">
        <v>0</v>
      </c>
      <c r="H56" s="532"/>
      <c r="I56" s="521" t="s">
        <v>1369</v>
      </c>
    </row>
    <row r="57" spans="2:9" ht="18.75" customHeight="1">
      <c r="B57" s="485"/>
      <c r="C57" s="476" t="s">
        <v>1394</v>
      </c>
      <c r="D57" s="530"/>
      <c r="E57" s="530"/>
      <c r="F57" s="531"/>
      <c r="G57" s="532" t="s">
        <v>1415</v>
      </c>
      <c r="H57" s="532"/>
      <c r="I57" s="521" t="s">
        <v>1369</v>
      </c>
    </row>
    <row r="58" spans="2:9" ht="19.5" customHeight="1">
      <c r="B58" s="484"/>
      <c r="C58" s="480" t="s">
        <v>1395</v>
      </c>
      <c r="D58" s="530"/>
      <c r="E58" s="530"/>
      <c r="F58" s="531"/>
      <c r="G58" s="532" t="s">
        <v>1416</v>
      </c>
      <c r="H58" s="532"/>
      <c r="I58" s="520" t="s">
        <v>1369</v>
      </c>
    </row>
    <row r="59" spans="2:9" ht="18.75" customHeight="1">
      <c r="B59" s="603" t="s">
        <v>1417</v>
      </c>
      <c r="C59" s="478" t="s">
        <v>1418</v>
      </c>
      <c r="D59" s="530"/>
      <c r="E59" s="530"/>
      <c r="F59" s="531"/>
      <c r="G59" s="532" t="s">
        <v>1419</v>
      </c>
      <c r="H59" s="532"/>
      <c r="I59" s="521" t="s">
        <v>1369</v>
      </c>
    </row>
    <row r="60" spans="2:9" ht="18.75" customHeight="1">
      <c r="B60" s="603" t="s">
        <v>1420</v>
      </c>
      <c r="C60" s="478" t="s">
        <v>1421</v>
      </c>
      <c r="D60" s="530"/>
      <c r="E60" s="530"/>
      <c r="F60" s="531"/>
      <c r="G60" s="532" t="s">
        <v>1422</v>
      </c>
      <c r="H60" s="532"/>
      <c r="I60" s="521" t="s">
        <v>1369</v>
      </c>
    </row>
    <row r="61" spans="2:9" ht="18.75" customHeight="1">
      <c r="B61" s="603" t="s">
        <v>1423</v>
      </c>
      <c r="C61" s="478" t="s">
        <v>1424</v>
      </c>
      <c r="D61" s="530"/>
      <c r="E61" s="530"/>
      <c r="F61" s="531"/>
      <c r="G61" s="532" t="s">
        <v>625</v>
      </c>
      <c r="H61" s="532"/>
      <c r="I61" s="521" t="s">
        <v>1369</v>
      </c>
    </row>
    <row r="62" spans="2:9" ht="18.75" customHeight="1">
      <c r="B62" s="485"/>
      <c r="C62" s="606" t="s">
        <v>1425</v>
      </c>
      <c r="D62" s="530"/>
      <c r="E62" s="530"/>
      <c r="F62" s="531"/>
      <c r="G62" s="532">
        <v>0</v>
      </c>
      <c r="H62" s="532"/>
      <c r="I62" s="521" t="s">
        <v>1369</v>
      </c>
    </row>
    <row r="63" spans="2:9" ht="18.75" customHeight="1">
      <c r="B63" s="485"/>
      <c r="C63" s="606" t="s">
        <v>1426</v>
      </c>
      <c r="D63" s="530"/>
      <c r="E63" s="530"/>
      <c r="F63" s="531"/>
      <c r="G63" s="532">
        <v>0</v>
      </c>
      <c r="H63" s="532"/>
      <c r="I63" s="521" t="s">
        <v>1369</v>
      </c>
    </row>
    <row r="64" spans="2:9" ht="18.75" customHeight="1">
      <c r="B64" s="485"/>
      <c r="C64" s="606" t="s">
        <v>1386</v>
      </c>
      <c r="D64" s="530"/>
      <c r="E64" s="530"/>
      <c r="F64" s="531"/>
      <c r="G64" s="532">
        <v>0</v>
      </c>
      <c r="H64" s="532"/>
      <c r="I64" s="521" t="s">
        <v>1369</v>
      </c>
    </row>
    <row r="65" spans="2:9" ht="18.75" customHeight="1">
      <c r="B65" s="485"/>
      <c r="C65" s="767" t="s">
        <v>1387</v>
      </c>
      <c r="D65" s="530"/>
      <c r="E65" s="530"/>
      <c r="F65" s="531"/>
      <c r="G65" s="532">
        <v>0</v>
      </c>
      <c r="H65" s="532"/>
      <c r="I65" s="521" t="s">
        <v>1369</v>
      </c>
    </row>
    <row r="66" spans="2:9" ht="18.75" customHeight="1">
      <c r="B66" s="485"/>
      <c r="C66" s="760"/>
      <c r="D66" s="530"/>
      <c r="E66" s="530"/>
      <c r="F66" s="531"/>
      <c r="G66" s="532">
        <v>0</v>
      </c>
      <c r="H66" s="532"/>
      <c r="I66" s="712" t="s">
        <v>1340</v>
      </c>
    </row>
    <row r="67" spans="2:9" ht="18.75" customHeight="1">
      <c r="B67" s="485"/>
      <c r="C67" s="767" t="s">
        <v>1427</v>
      </c>
      <c r="D67" s="530"/>
      <c r="E67" s="530"/>
      <c r="F67" s="531"/>
      <c r="G67" s="532">
        <v>0</v>
      </c>
      <c r="H67" s="532"/>
      <c r="I67" s="521" t="s">
        <v>1369</v>
      </c>
    </row>
    <row r="68" spans="2:9" ht="18.75" customHeight="1">
      <c r="B68" s="485"/>
      <c r="C68" s="760"/>
      <c r="D68" s="530"/>
      <c r="E68" s="530"/>
      <c r="F68" s="531"/>
      <c r="G68" s="532">
        <v>0</v>
      </c>
      <c r="H68" s="532"/>
      <c r="I68" s="712" t="s">
        <v>1340</v>
      </c>
    </row>
    <row r="69" spans="2:9" ht="18.75" customHeight="1">
      <c r="B69" s="485"/>
      <c r="C69" s="606" t="s">
        <v>1388</v>
      </c>
      <c r="D69" s="530"/>
      <c r="E69" s="530"/>
      <c r="F69" s="531"/>
      <c r="G69" s="532">
        <v>0</v>
      </c>
      <c r="H69" s="532"/>
      <c r="I69" s="521" t="s">
        <v>1369</v>
      </c>
    </row>
    <row r="70" spans="2:9" ht="18.75" customHeight="1">
      <c r="B70" s="485"/>
      <c r="C70" s="606" t="s">
        <v>1428</v>
      </c>
      <c r="D70" s="530"/>
      <c r="E70" s="530"/>
      <c r="F70" s="531"/>
      <c r="G70" s="532">
        <v>0</v>
      </c>
      <c r="H70" s="532"/>
      <c r="I70" s="521" t="s">
        <v>1369</v>
      </c>
    </row>
    <row r="71" spans="2:9" ht="18.75" customHeight="1">
      <c r="B71" s="603"/>
      <c r="C71" s="606" t="s">
        <v>1389</v>
      </c>
      <c r="D71" s="530"/>
      <c r="E71" s="530"/>
      <c r="F71" s="531"/>
      <c r="G71" s="532" t="s">
        <v>1429</v>
      </c>
      <c r="H71" s="532"/>
      <c r="I71" s="521" t="s">
        <v>1369</v>
      </c>
    </row>
    <row r="72" spans="2:9" ht="18.75" customHeight="1">
      <c r="B72" s="603"/>
      <c r="C72" s="606" t="s">
        <v>1430</v>
      </c>
      <c r="D72" s="530"/>
      <c r="E72" s="530"/>
      <c r="F72" s="531"/>
      <c r="G72" s="532" t="s">
        <v>1429</v>
      </c>
      <c r="H72" s="532"/>
      <c r="I72" s="521" t="s">
        <v>1369</v>
      </c>
    </row>
    <row r="73" spans="2:9" ht="18.75" customHeight="1">
      <c r="B73" s="603"/>
      <c r="C73" s="606" t="s">
        <v>1390</v>
      </c>
      <c r="D73" s="530"/>
      <c r="E73" s="530"/>
      <c r="F73" s="531"/>
      <c r="G73" s="532" t="s">
        <v>625</v>
      </c>
      <c r="H73" s="532"/>
      <c r="I73" s="521" t="s">
        <v>1369</v>
      </c>
    </row>
    <row r="74" spans="2:9" ht="18.75" customHeight="1">
      <c r="B74" s="603"/>
      <c r="C74" s="606" t="s">
        <v>1391</v>
      </c>
      <c r="D74" s="530"/>
      <c r="E74" s="530"/>
      <c r="F74" s="531"/>
      <c r="G74" s="532" t="s">
        <v>1431</v>
      </c>
      <c r="H74" s="532"/>
      <c r="I74" s="521" t="s">
        <v>1369</v>
      </c>
    </row>
    <row r="75" spans="2:9" ht="18.75" customHeight="1">
      <c r="B75" s="603"/>
      <c r="C75" s="476" t="s">
        <v>1392</v>
      </c>
      <c r="D75" s="530"/>
      <c r="E75" s="530"/>
      <c r="F75" s="531"/>
      <c r="G75" s="532" t="s">
        <v>1431</v>
      </c>
      <c r="H75" s="532"/>
      <c r="I75" s="521" t="s">
        <v>1369</v>
      </c>
    </row>
    <row r="76" spans="2:9" ht="18.75" customHeight="1">
      <c r="B76" s="485"/>
      <c r="C76" s="476" t="s">
        <v>1394</v>
      </c>
      <c r="D76" s="530"/>
      <c r="E76" s="530"/>
      <c r="F76" s="531"/>
      <c r="G76" s="532">
        <v>0</v>
      </c>
      <c r="H76" s="532"/>
      <c r="I76" s="521" t="s">
        <v>1369</v>
      </c>
    </row>
    <row r="77" spans="2:9" ht="24" customHeight="1">
      <c r="B77" s="479"/>
      <c r="C77" s="480" t="s">
        <v>1395</v>
      </c>
      <c r="D77" s="530"/>
      <c r="E77" s="530"/>
      <c r="F77" s="531"/>
      <c r="G77" s="532" t="s">
        <v>1432</v>
      </c>
      <c r="H77" s="532"/>
      <c r="I77" s="520" t="s">
        <v>1369</v>
      </c>
    </row>
    <row r="78" spans="2:9" ht="18.75" customHeight="1">
      <c r="B78" s="603" t="s">
        <v>1433</v>
      </c>
      <c r="C78" s="478" t="s">
        <v>1434</v>
      </c>
      <c r="D78" s="530"/>
      <c r="E78" s="530"/>
      <c r="F78" s="531"/>
      <c r="G78" s="532" t="s">
        <v>625</v>
      </c>
      <c r="H78" s="532"/>
      <c r="I78" s="521" t="s">
        <v>1369</v>
      </c>
    </row>
    <row r="79" spans="2:9" ht="18.75" customHeight="1">
      <c r="B79" s="485"/>
      <c r="C79" s="606" t="s">
        <v>1425</v>
      </c>
      <c r="D79" s="530"/>
      <c r="E79" s="530"/>
      <c r="F79" s="531"/>
      <c r="G79" s="532">
        <v>0</v>
      </c>
      <c r="H79" s="532"/>
      <c r="I79" s="521" t="s">
        <v>1369</v>
      </c>
    </row>
    <row r="80" spans="2:9" ht="18.75" customHeight="1">
      <c r="B80" s="485"/>
      <c r="C80" s="606" t="s">
        <v>1426</v>
      </c>
      <c r="D80" s="530"/>
      <c r="E80" s="530"/>
      <c r="F80" s="531"/>
      <c r="G80" s="532">
        <v>0</v>
      </c>
      <c r="H80" s="532"/>
      <c r="I80" s="521" t="s">
        <v>1369</v>
      </c>
    </row>
    <row r="81" spans="2:9" ht="18.75" customHeight="1">
      <c r="B81" s="485"/>
      <c r="C81" s="606" t="s">
        <v>1386</v>
      </c>
      <c r="D81" s="530"/>
      <c r="E81" s="530"/>
      <c r="F81" s="531"/>
      <c r="G81" s="532">
        <v>0</v>
      </c>
      <c r="H81" s="532"/>
      <c r="I81" s="521" t="s">
        <v>1369</v>
      </c>
    </row>
    <row r="82" spans="2:9" ht="18.75" customHeight="1">
      <c r="B82" s="485"/>
      <c r="C82" s="767" t="s">
        <v>1387</v>
      </c>
      <c r="D82" s="530"/>
      <c r="E82" s="530"/>
      <c r="F82" s="531"/>
      <c r="G82" s="532">
        <v>0</v>
      </c>
      <c r="H82" s="532"/>
      <c r="I82" s="521" t="s">
        <v>1369</v>
      </c>
    </row>
    <row r="83" spans="2:9" ht="18.75" customHeight="1">
      <c r="B83" s="485"/>
      <c r="C83" s="760"/>
      <c r="D83" s="530"/>
      <c r="E83" s="530"/>
      <c r="F83" s="531"/>
      <c r="G83" s="532">
        <v>0</v>
      </c>
      <c r="H83" s="532"/>
      <c r="I83" s="712" t="s">
        <v>1340</v>
      </c>
    </row>
    <row r="84" spans="2:9" ht="18.75" customHeight="1">
      <c r="B84" s="485"/>
      <c r="C84" s="606" t="s">
        <v>1388</v>
      </c>
      <c r="D84" s="530"/>
      <c r="E84" s="530"/>
      <c r="F84" s="531"/>
      <c r="G84" s="532">
        <v>0</v>
      </c>
      <c r="H84" s="532"/>
      <c r="I84" s="521" t="s">
        <v>1369</v>
      </c>
    </row>
    <row r="85" spans="2:9" ht="18.75" customHeight="1">
      <c r="B85" s="485"/>
      <c r="C85" s="606" t="s">
        <v>1389</v>
      </c>
      <c r="D85" s="530"/>
      <c r="E85" s="530"/>
      <c r="F85" s="531"/>
      <c r="G85" s="532">
        <v>0</v>
      </c>
      <c r="H85" s="532"/>
      <c r="I85" s="521" t="s">
        <v>1369</v>
      </c>
    </row>
    <row r="86" spans="2:9" ht="18.75" customHeight="1">
      <c r="B86" s="603"/>
      <c r="C86" s="606" t="s">
        <v>1390</v>
      </c>
      <c r="D86" s="530"/>
      <c r="E86" s="530"/>
      <c r="F86" s="531"/>
      <c r="G86" s="532">
        <v>0</v>
      </c>
      <c r="H86" s="532"/>
      <c r="I86" s="521" t="s">
        <v>1369</v>
      </c>
    </row>
    <row r="87" spans="2:9" ht="18.75" customHeight="1">
      <c r="B87" s="603"/>
      <c r="C87" s="606" t="s">
        <v>1391</v>
      </c>
      <c r="D87" s="530"/>
      <c r="E87" s="530"/>
      <c r="F87" s="531"/>
      <c r="G87" s="532" t="s">
        <v>625</v>
      </c>
      <c r="H87" s="532"/>
      <c r="I87" s="521" t="s">
        <v>1369</v>
      </c>
    </row>
    <row r="88" spans="2:9" ht="18.75" customHeight="1">
      <c r="B88" s="485"/>
      <c r="C88" s="476" t="s">
        <v>1392</v>
      </c>
      <c r="D88" s="530"/>
      <c r="E88" s="530"/>
      <c r="F88" s="531"/>
      <c r="G88" s="532">
        <v>0</v>
      </c>
      <c r="H88" s="532"/>
      <c r="I88" s="521" t="s">
        <v>1369</v>
      </c>
    </row>
    <row r="89" spans="2:9" ht="18.75" customHeight="1">
      <c r="B89" s="485"/>
      <c r="C89" s="476" t="s">
        <v>1394</v>
      </c>
      <c r="D89" s="530"/>
      <c r="E89" s="530"/>
      <c r="F89" s="531"/>
      <c r="G89" s="532">
        <v>0</v>
      </c>
      <c r="H89" s="532"/>
      <c r="I89" s="521" t="s">
        <v>1369</v>
      </c>
    </row>
    <row r="90" spans="2:9" ht="18.75" customHeight="1">
      <c r="B90" s="479"/>
      <c r="C90" s="480" t="s">
        <v>1395</v>
      </c>
      <c r="D90" s="530"/>
      <c r="E90" s="530"/>
      <c r="F90" s="531"/>
      <c r="G90" s="532" t="s">
        <v>1403</v>
      </c>
      <c r="H90" s="532"/>
      <c r="I90" s="520" t="s">
        <v>1369</v>
      </c>
    </row>
    <row r="91" spans="2:9" ht="18.75" customHeight="1">
      <c r="B91" s="603" t="s">
        <v>1435</v>
      </c>
      <c r="C91" s="481" t="s">
        <v>1436</v>
      </c>
      <c r="D91" s="530"/>
      <c r="E91" s="530"/>
      <c r="F91" s="531"/>
      <c r="G91" s="532" t="s">
        <v>1437</v>
      </c>
      <c r="H91" s="532"/>
      <c r="I91" s="521" t="s">
        <v>1369</v>
      </c>
    </row>
    <row r="92" spans="2:9" ht="18.75" customHeight="1">
      <c r="B92" s="603"/>
      <c r="C92" s="486" t="s">
        <v>207</v>
      </c>
      <c r="D92" s="530"/>
      <c r="E92" s="530"/>
      <c r="F92" s="531"/>
      <c r="G92" s="532" t="s">
        <v>1438</v>
      </c>
      <c r="H92" s="532"/>
      <c r="I92" s="521" t="s">
        <v>1369</v>
      </c>
    </row>
    <row r="93" spans="2:9" ht="18.75" customHeight="1">
      <c r="B93" s="603"/>
      <c r="C93" s="486" t="s">
        <v>205</v>
      </c>
      <c r="D93" s="530"/>
      <c r="E93" s="530"/>
      <c r="F93" s="531"/>
      <c r="G93" s="532" t="s">
        <v>1439</v>
      </c>
      <c r="H93" s="532"/>
      <c r="I93" s="521" t="s">
        <v>1369</v>
      </c>
    </row>
    <row r="94" spans="2:9" ht="18.75" customHeight="1">
      <c r="B94" s="603" t="s">
        <v>1440</v>
      </c>
      <c r="C94" s="481" t="s">
        <v>1441</v>
      </c>
      <c r="D94" s="530"/>
      <c r="E94" s="530"/>
      <c r="F94" s="531"/>
      <c r="G94" s="532" t="s">
        <v>1442</v>
      </c>
      <c r="H94" s="532"/>
      <c r="I94" s="521" t="s">
        <v>1369</v>
      </c>
    </row>
    <row r="95" spans="2:9" ht="18.75" customHeight="1">
      <c r="B95" s="603"/>
      <c r="C95" s="486" t="s">
        <v>216</v>
      </c>
      <c r="D95" s="530"/>
      <c r="E95" s="530"/>
      <c r="F95" s="531"/>
      <c r="G95" s="532" t="s">
        <v>1442</v>
      </c>
      <c r="H95" s="532"/>
      <c r="I95" s="521" t="s">
        <v>1369</v>
      </c>
    </row>
    <row r="96" spans="2:9" ht="18.75" customHeight="1">
      <c r="B96" s="603"/>
      <c r="C96" s="482" t="s">
        <v>1443</v>
      </c>
      <c r="D96" s="530"/>
      <c r="E96" s="530"/>
      <c r="F96" s="531"/>
      <c r="G96" s="532" t="s">
        <v>1442</v>
      </c>
      <c r="H96" s="532"/>
      <c r="I96" s="521" t="s">
        <v>1369</v>
      </c>
    </row>
    <row r="97" spans="2:9" ht="24" customHeight="1">
      <c r="B97" s="603"/>
      <c r="C97" s="482" t="s">
        <v>1444</v>
      </c>
      <c r="D97" s="530"/>
      <c r="E97" s="530"/>
      <c r="F97" s="531"/>
      <c r="G97" s="532" t="s">
        <v>1445</v>
      </c>
      <c r="H97" s="532"/>
      <c r="I97" s="521" t="s">
        <v>1369</v>
      </c>
    </row>
    <row r="98" spans="2:9" ht="48" customHeight="1">
      <c r="B98" s="603" t="s">
        <v>1446</v>
      </c>
      <c r="C98" s="481" t="s">
        <v>1447</v>
      </c>
      <c r="D98" s="530"/>
      <c r="E98" s="530"/>
      <c r="F98" s="531"/>
      <c r="G98" s="532" t="s">
        <v>1448</v>
      </c>
      <c r="H98" s="532"/>
      <c r="I98" s="521" t="s">
        <v>1369</v>
      </c>
    </row>
    <row r="99" spans="2:9" ht="18.75" customHeight="1">
      <c r="B99" s="603"/>
      <c r="C99" s="486" t="s">
        <v>1449</v>
      </c>
      <c r="D99" s="530"/>
      <c r="E99" s="530"/>
      <c r="F99" s="531"/>
      <c r="G99" s="532" t="s">
        <v>1450</v>
      </c>
      <c r="H99" s="532"/>
      <c r="I99" s="521" t="s">
        <v>1369</v>
      </c>
    </row>
    <row r="100" spans="2:9" ht="18.75" customHeight="1">
      <c r="B100" s="603"/>
      <c r="C100" s="486" t="s">
        <v>1451</v>
      </c>
      <c r="D100" s="530"/>
      <c r="E100" s="530"/>
      <c r="F100" s="531"/>
      <c r="G100" s="532" t="s">
        <v>1452</v>
      </c>
      <c r="H100" s="532"/>
      <c r="I100" s="521" t="s">
        <v>1369</v>
      </c>
    </row>
    <row r="101" spans="2:9" ht="18.75" customHeight="1">
      <c r="B101" s="603"/>
      <c r="C101" s="486" t="s">
        <v>1453</v>
      </c>
      <c r="D101" s="530"/>
      <c r="E101" s="530"/>
      <c r="F101" s="531"/>
      <c r="G101" s="532" t="s">
        <v>162</v>
      </c>
      <c r="H101" s="532"/>
      <c r="I101" s="521" t="s">
        <v>1369</v>
      </c>
    </row>
    <row r="102" spans="2:9" ht="18.75" customHeight="1">
      <c r="B102" s="603"/>
      <c r="C102" s="486" t="s">
        <v>1454</v>
      </c>
      <c r="D102" s="530"/>
      <c r="E102" s="530"/>
      <c r="F102" s="531"/>
      <c r="G102" s="532" t="s">
        <v>1455</v>
      </c>
      <c r="H102" s="532"/>
      <c r="I102" s="521" t="s">
        <v>1369</v>
      </c>
    </row>
    <row r="103" spans="2:9" ht="18.75" customHeight="1">
      <c r="B103" s="603"/>
      <c r="C103" s="486" t="s">
        <v>1456</v>
      </c>
      <c r="D103" s="530"/>
      <c r="E103" s="530"/>
      <c r="F103" s="531"/>
      <c r="G103" s="532" t="s">
        <v>237</v>
      </c>
      <c r="H103" s="532"/>
      <c r="I103" s="521" t="s">
        <v>1369</v>
      </c>
    </row>
    <row r="104" spans="2:9" ht="18.75" customHeight="1">
      <c r="B104" s="603"/>
      <c r="C104" s="486" t="s">
        <v>1457</v>
      </c>
      <c r="D104" s="530"/>
      <c r="E104" s="530"/>
      <c r="F104" s="531"/>
      <c r="G104" s="532" t="s">
        <v>239</v>
      </c>
      <c r="H104" s="532"/>
      <c r="I104" s="521" t="s">
        <v>1369</v>
      </c>
    </row>
    <row r="105" spans="2:9" ht="36" customHeight="1">
      <c r="B105" s="603"/>
      <c r="C105" s="483" t="s">
        <v>1458</v>
      </c>
      <c r="D105" s="530"/>
      <c r="E105" s="530"/>
      <c r="F105" s="531"/>
      <c r="G105" s="532" t="s">
        <v>1459</v>
      </c>
      <c r="H105" s="532"/>
      <c r="I105" s="521" t="s">
        <v>1369</v>
      </c>
    </row>
    <row r="106" spans="2:9" ht="18.75" customHeight="1">
      <c r="B106" s="603"/>
      <c r="C106" s="482" t="s">
        <v>1449</v>
      </c>
      <c r="D106" s="530"/>
      <c r="E106" s="530"/>
      <c r="F106" s="531"/>
      <c r="G106" s="532" t="s">
        <v>1460</v>
      </c>
      <c r="H106" s="532"/>
      <c r="I106" s="521" t="s">
        <v>1369</v>
      </c>
    </row>
    <row r="107" spans="2:9" ht="18.75" customHeight="1">
      <c r="B107" s="603"/>
      <c r="C107" s="482" t="s">
        <v>1451</v>
      </c>
      <c r="D107" s="530"/>
      <c r="E107" s="530"/>
      <c r="F107" s="531"/>
      <c r="G107" s="532" t="s">
        <v>1461</v>
      </c>
      <c r="H107" s="532"/>
      <c r="I107" s="521" t="s">
        <v>1369</v>
      </c>
    </row>
    <row r="108" spans="2:9" ht="18.75" customHeight="1">
      <c r="B108" s="603"/>
      <c r="C108" s="482" t="s">
        <v>1453</v>
      </c>
      <c r="D108" s="530"/>
      <c r="E108" s="530"/>
      <c r="F108" s="531"/>
      <c r="G108" s="532" t="s">
        <v>1462</v>
      </c>
      <c r="H108" s="532"/>
      <c r="I108" s="521" t="s">
        <v>1369</v>
      </c>
    </row>
    <row r="109" spans="2:9" ht="18.75" customHeight="1">
      <c r="B109" s="603"/>
      <c r="C109" s="482" t="s">
        <v>1454</v>
      </c>
      <c r="D109" s="530"/>
      <c r="E109" s="530"/>
      <c r="F109" s="531"/>
      <c r="G109" s="532" t="s">
        <v>1463</v>
      </c>
      <c r="H109" s="532"/>
      <c r="I109" s="521" t="s">
        <v>1369</v>
      </c>
    </row>
    <row r="110" spans="2:9" ht="18.75" customHeight="1">
      <c r="B110" s="603" t="s">
        <v>1464</v>
      </c>
      <c r="C110" s="481" t="s">
        <v>1465</v>
      </c>
      <c r="D110" s="530"/>
      <c r="E110" s="530"/>
      <c r="F110" s="531"/>
      <c r="G110" s="532" t="s">
        <v>1466</v>
      </c>
      <c r="H110" s="532"/>
      <c r="I110" s="521" t="s">
        <v>1369</v>
      </c>
    </row>
    <row r="111" spans="2:9" ht="18.75" customHeight="1">
      <c r="B111" s="603"/>
      <c r="C111" s="486" t="s">
        <v>1467</v>
      </c>
      <c r="D111" s="530"/>
      <c r="E111" s="530"/>
      <c r="F111" s="531"/>
      <c r="G111" s="532" t="s">
        <v>1466</v>
      </c>
      <c r="H111" s="532"/>
      <c r="I111" s="521" t="s">
        <v>1369</v>
      </c>
    </row>
    <row r="112" spans="2:9" ht="18.75" customHeight="1">
      <c r="B112" s="603"/>
      <c r="C112" s="482" t="s">
        <v>1468</v>
      </c>
      <c r="D112" s="530"/>
      <c r="E112" s="530"/>
      <c r="F112" s="531"/>
      <c r="G112" s="532" t="s">
        <v>1466</v>
      </c>
      <c r="H112" s="532"/>
      <c r="I112" s="521" t="s">
        <v>1369</v>
      </c>
    </row>
    <row r="113" spans="2:9" ht="48" customHeight="1">
      <c r="B113" s="603" t="s">
        <v>53</v>
      </c>
      <c r="C113" s="471" t="s">
        <v>1469</v>
      </c>
      <c r="D113" s="530"/>
      <c r="E113" s="530"/>
      <c r="F113" s="531"/>
      <c r="G113" s="532" t="s">
        <v>1470</v>
      </c>
      <c r="H113" s="532"/>
      <c r="I113" s="521" t="s">
        <v>1369</v>
      </c>
    </row>
    <row r="114" spans="2:9" ht="36" customHeight="1">
      <c r="B114" s="603" t="s">
        <v>1471</v>
      </c>
      <c r="C114" s="607" t="s">
        <v>1374</v>
      </c>
      <c r="D114" s="530"/>
      <c r="E114" s="530"/>
      <c r="F114" s="531"/>
      <c r="G114" s="532" t="s">
        <v>1472</v>
      </c>
      <c r="H114" s="532"/>
      <c r="I114" s="521" t="s">
        <v>1369</v>
      </c>
    </row>
    <row r="115" spans="2:9" ht="18.75" customHeight="1">
      <c r="B115" s="485" t="s">
        <v>1473</v>
      </c>
      <c r="C115" s="478" t="s">
        <v>1474</v>
      </c>
      <c r="D115" s="530"/>
      <c r="E115" s="530"/>
      <c r="F115" s="531"/>
      <c r="G115" s="532" t="s">
        <v>1475</v>
      </c>
      <c r="H115" s="532"/>
      <c r="I115" s="521" t="s">
        <v>1369</v>
      </c>
    </row>
    <row r="116" spans="2:9" ht="18.75" customHeight="1">
      <c r="B116" s="485"/>
      <c r="C116" s="482" t="s">
        <v>529</v>
      </c>
      <c r="D116" s="530"/>
      <c r="E116" s="530"/>
      <c r="F116" s="531"/>
      <c r="G116" s="532">
        <v>0</v>
      </c>
      <c r="H116" s="532"/>
      <c r="I116" s="521" t="s">
        <v>1369</v>
      </c>
    </row>
    <row r="117" spans="2:9" ht="18.75" customHeight="1">
      <c r="B117" s="603" t="s">
        <v>1476</v>
      </c>
      <c r="C117" s="478" t="s">
        <v>1477</v>
      </c>
      <c r="D117" s="530"/>
      <c r="E117" s="530"/>
      <c r="F117" s="531"/>
      <c r="G117" s="532" t="s">
        <v>1478</v>
      </c>
      <c r="H117" s="532"/>
      <c r="I117" s="521" t="s">
        <v>1369</v>
      </c>
    </row>
    <row r="118" spans="2:9" ht="18.75" customHeight="1">
      <c r="B118" s="485"/>
      <c r="C118" s="486" t="s">
        <v>1479</v>
      </c>
      <c r="D118" s="530"/>
      <c r="E118" s="530"/>
      <c r="F118" s="531"/>
      <c r="G118" s="532">
        <v>0</v>
      </c>
      <c r="H118" s="532"/>
      <c r="I118" s="521" t="s">
        <v>1369</v>
      </c>
    </row>
    <row r="119" spans="2:9" ht="18.75" customHeight="1">
      <c r="B119" s="485"/>
      <c r="C119" s="486" t="s">
        <v>1480</v>
      </c>
      <c r="D119" s="530"/>
      <c r="E119" s="530"/>
      <c r="F119" s="531"/>
      <c r="G119" s="532">
        <v>0</v>
      </c>
      <c r="H119" s="532"/>
      <c r="I119" s="521" t="s">
        <v>1369</v>
      </c>
    </row>
    <row r="120" spans="2:9" ht="18.75" customHeight="1">
      <c r="B120" s="485"/>
      <c r="C120" s="606" t="s">
        <v>1481</v>
      </c>
      <c r="D120" s="530"/>
      <c r="E120" s="530"/>
      <c r="F120" s="531"/>
      <c r="G120" s="532">
        <v>0</v>
      </c>
      <c r="H120" s="532"/>
      <c r="I120" s="521" t="s">
        <v>1369</v>
      </c>
    </row>
    <row r="121" spans="2:9" ht="18.75" customHeight="1">
      <c r="B121" s="603"/>
      <c r="C121" s="606" t="s">
        <v>1482</v>
      </c>
      <c r="D121" s="530"/>
      <c r="E121" s="530"/>
      <c r="F121" s="531"/>
      <c r="G121" s="532" t="s">
        <v>1393</v>
      </c>
      <c r="H121" s="532"/>
      <c r="I121" s="521" t="s">
        <v>1369</v>
      </c>
    </row>
    <row r="122" spans="2:9" ht="18.75" customHeight="1">
      <c r="B122" s="485"/>
      <c r="C122" s="486" t="s">
        <v>1483</v>
      </c>
      <c r="D122" s="530"/>
      <c r="E122" s="530"/>
      <c r="F122" s="531"/>
      <c r="G122" s="532">
        <v>0</v>
      </c>
      <c r="H122" s="532"/>
      <c r="I122" s="521" t="s">
        <v>1369</v>
      </c>
    </row>
    <row r="123" spans="2:9" ht="19.5" customHeight="1">
      <c r="B123" s="484"/>
      <c r="C123" s="480" t="s">
        <v>1395</v>
      </c>
      <c r="D123" s="530"/>
      <c r="E123" s="530"/>
      <c r="F123" s="531"/>
      <c r="G123" s="532" t="s">
        <v>1484</v>
      </c>
      <c r="H123" s="532"/>
      <c r="I123" s="520" t="s">
        <v>1369</v>
      </c>
    </row>
    <row r="124" spans="2:9" ht="18.75" customHeight="1">
      <c r="B124" s="603" t="s">
        <v>1485</v>
      </c>
      <c r="C124" s="478" t="s">
        <v>1486</v>
      </c>
      <c r="D124" s="530"/>
      <c r="E124" s="530"/>
      <c r="F124" s="531"/>
      <c r="G124" s="532" t="s">
        <v>1487</v>
      </c>
      <c r="H124" s="532"/>
      <c r="I124" s="521" t="s">
        <v>1369</v>
      </c>
    </row>
    <row r="125" spans="2:9" ht="18.75" customHeight="1">
      <c r="B125" s="485"/>
      <c r="C125" s="486" t="s">
        <v>1479</v>
      </c>
      <c r="D125" s="530"/>
      <c r="E125" s="530"/>
      <c r="F125" s="531"/>
      <c r="G125" s="532">
        <v>0</v>
      </c>
      <c r="H125" s="532"/>
      <c r="I125" s="521"/>
    </row>
    <row r="126" spans="2:9" ht="18.75" customHeight="1">
      <c r="B126" s="603"/>
      <c r="C126" s="486" t="s">
        <v>1480</v>
      </c>
      <c r="D126" s="530"/>
      <c r="E126" s="530"/>
      <c r="F126" s="531"/>
      <c r="G126" s="532" t="s">
        <v>625</v>
      </c>
      <c r="H126" s="532"/>
      <c r="I126" s="521" t="s">
        <v>1369</v>
      </c>
    </row>
    <row r="127" spans="2:9" ht="18.75" customHeight="1">
      <c r="B127" s="485"/>
      <c r="C127" s="606" t="s">
        <v>1481</v>
      </c>
      <c r="D127" s="530"/>
      <c r="E127" s="530"/>
      <c r="F127" s="531"/>
      <c r="G127" s="532">
        <v>0</v>
      </c>
      <c r="H127" s="532"/>
      <c r="I127" s="521" t="s">
        <v>1369</v>
      </c>
    </row>
    <row r="128" spans="2:9" ht="18.75" customHeight="1">
      <c r="B128" s="485"/>
      <c r="C128" s="606" t="s">
        <v>1482</v>
      </c>
      <c r="D128" s="530"/>
      <c r="E128" s="530"/>
      <c r="F128" s="531"/>
      <c r="G128" s="532">
        <v>0</v>
      </c>
      <c r="H128" s="532"/>
      <c r="I128" s="521" t="s">
        <v>1369</v>
      </c>
    </row>
    <row r="129" spans="2:9" ht="18.75" customHeight="1">
      <c r="B129" s="485"/>
      <c r="C129" s="486" t="s">
        <v>1483</v>
      </c>
      <c r="D129" s="530"/>
      <c r="E129" s="530"/>
      <c r="F129" s="531"/>
      <c r="G129" s="532">
        <v>0</v>
      </c>
      <c r="H129" s="532"/>
      <c r="I129" s="521" t="s">
        <v>1369</v>
      </c>
    </row>
    <row r="130" spans="2:9" ht="19.5" customHeight="1">
      <c r="B130" s="484"/>
      <c r="C130" s="480" t="s">
        <v>1395</v>
      </c>
      <c r="D130" s="530"/>
      <c r="E130" s="530"/>
      <c r="F130" s="531"/>
      <c r="G130" s="532" t="s">
        <v>1488</v>
      </c>
      <c r="H130" s="532"/>
      <c r="I130" s="520" t="s">
        <v>1369</v>
      </c>
    </row>
    <row r="131" spans="2:9" ht="18.75" customHeight="1">
      <c r="B131" s="603" t="s">
        <v>1489</v>
      </c>
      <c r="C131" s="478" t="s">
        <v>1490</v>
      </c>
      <c r="D131" s="530"/>
      <c r="E131" s="530"/>
      <c r="F131" s="531"/>
      <c r="G131" s="532" t="s">
        <v>1487</v>
      </c>
      <c r="H131" s="532"/>
      <c r="I131" s="521" t="s">
        <v>1369</v>
      </c>
    </row>
    <row r="132" spans="2:9" ht="18.75" customHeight="1">
      <c r="B132" s="485"/>
      <c r="C132" s="486" t="s">
        <v>1479</v>
      </c>
      <c r="D132" s="530"/>
      <c r="E132" s="530"/>
      <c r="F132" s="531"/>
      <c r="G132" s="532">
        <v>0</v>
      </c>
      <c r="H132" s="532"/>
      <c r="I132" s="521" t="s">
        <v>1369</v>
      </c>
    </row>
    <row r="133" spans="2:9" ht="18.75" customHeight="1">
      <c r="B133" s="603"/>
      <c r="C133" s="486" t="s">
        <v>1480</v>
      </c>
      <c r="D133" s="530"/>
      <c r="E133" s="530"/>
      <c r="F133" s="531"/>
      <c r="G133" s="532" t="s">
        <v>625</v>
      </c>
      <c r="H133" s="532"/>
      <c r="I133" s="521" t="s">
        <v>1369</v>
      </c>
    </row>
    <row r="134" spans="2:9" ht="18.75" customHeight="1">
      <c r="B134" s="485"/>
      <c r="C134" s="606" t="s">
        <v>1481</v>
      </c>
      <c r="D134" s="530"/>
      <c r="E134" s="530"/>
      <c r="F134" s="531"/>
      <c r="G134" s="532">
        <v>0</v>
      </c>
      <c r="H134" s="532"/>
      <c r="I134" s="521" t="s">
        <v>1369</v>
      </c>
    </row>
    <row r="135" spans="2:9" ht="18.75" customHeight="1">
      <c r="B135" s="485"/>
      <c r="C135" s="606" t="s">
        <v>1482</v>
      </c>
      <c r="D135" s="530"/>
      <c r="E135" s="530"/>
      <c r="F135" s="531"/>
      <c r="G135" s="532">
        <v>0</v>
      </c>
      <c r="H135" s="532"/>
      <c r="I135" s="521" t="s">
        <v>1369</v>
      </c>
    </row>
    <row r="136" spans="2:9" ht="18.75" customHeight="1">
      <c r="B136" s="485"/>
      <c r="C136" s="486" t="s">
        <v>1483</v>
      </c>
      <c r="D136" s="530"/>
      <c r="E136" s="530"/>
      <c r="F136" s="531"/>
      <c r="G136" s="532">
        <v>0</v>
      </c>
      <c r="H136" s="532"/>
      <c r="I136" s="521" t="s">
        <v>1369</v>
      </c>
    </row>
    <row r="137" spans="2:9" ht="19.5" customHeight="1">
      <c r="B137" s="484"/>
      <c r="C137" s="480" t="s">
        <v>1395</v>
      </c>
      <c r="D137" s="530"/>
      <c r="E137" s="530"/>
      <c r="F137" s="531"/>
      <c r="G137" s="532" t="s">
        <v>1491</v>
      </c>
      <c r="H137" s="532"/>
      <c r="I137" s="520" t="s">
        <v>1369</v>
      </c>
    </row>
    <row r="138" spans="2:9" ht="18.75" customHeight="1">
      <c r="B138" s="485" t="s">
        <v>1492</v>
      </c>
      <c r="C138" s="478" t="s">
        <v>1493</v>
      </c>
      <c r="D138" s="530"/>
      <c r="E138" s="530"/>
      <c r="F138" s="531"/>
      <c r="G138" s="532">
        <v>0</v>
      </c>
      <c r="H138" s="532"/>
      <c r="I138" s="521" t="s">
        <v>1369</v>
      </c>
    </row>
    <row r="139" spans="2:9" ht="18.75" customHeight="1">
      <c r="B139" s="485"/>
      <c r="C139" s="486" t="s">
        <v>1479</v>
      </c>
      <c r="D139" s="530"/>
      <c r="E139" s="530"/>
      <c r="F139" s="531"/>
      <c r="G139" s="532">
        <v>0</v>
      </c>
      <c r="H139" s="532"/>
      <c r="I139" s="521" t="s">
        <v>1369</v>
      </c>
    </row>
    <row r="140" spans="2:9" ht="18.75" customHeight="1">
      <c r="B140" s="485"/>
      <c r="C140" s="486" t="s">
        <v>1480</v>
      </c>
      <c r="D140" s="530"/>
      <c r="E140" s="530"/>
      <c r="F140" s="531"/>
      <c r="G140" s="532">
        <v>0</v>
      </c>
      <c r="H140" s="532"/>
      <c r="I140" s="521" t="s">
        <v>1369</v>
      </c>
    </row>
    <row r="141" spans="2:9" ht="18.75" customHeight="1">
      <c r="B141" s="485"/>
      <c r="C141" s="606" t="s">
        <v>1481</v>
      </c>
      <c r="D141" s="530"/>
      <c r="E141" s="530"/>
      <c r="F141" s="531"/>
      <c r="G141" s="532">
        <v>0</v>
      </c>
      <c r="H141" s="532"/>
      <c r="I141" s="521" t="s">
        <v>1369</v>
      </c>
    </row>
    <row r="142" spans="2:9" ht="18.75" customHeight="1">
      <c r="B142" s="485"/>
      <c r="C142" s="606" t="s">
        <v>1482</v>
      </c>
      <c r="D142" s="530"/>
      <c r="E142" s="530"/>
      <c r="F142" s="531"/>
      <c r="G142" s="532">
        <v>0</v>
      </c>
      <c r="H142" s="532"/>
      <c r="I142" s="521" t="s">
        <v>1369</v>
      </c>
    </row>
    <row r="143" spans="2:9" ht="18.75" customHeight="1">
      <c r="B143" s="485"/>
      <c r="C143" s="486" t="s">
        <v>1483</v>
      </c>
      <c r="D143" s="530"/>
      <c r="E143" s="530"/>
      <c r="F143" s="531"/>
      <c r="G143" s="532">
        <v>0</v>
      </c>
      <c r="H143" s="532"/>
      <c r="I143" s="521" t="s">
        <v>1369</v>
      </c>
    </row>
    <row r="144" spans="2:9" ht="19.5" customHeight="1">
      <c r="B144" s="484"/>
      <c r="C144" s="480" t="s">
        <v>1395</v>
      </c>
      <c r="D144" s="530"/>
      <c r="E144" s="530"/>
      <c r="F144" s="531"/>
      <c r="G144" s="532">
        <v>0</v>
      </c>
      <c r="H144" s="532"/>
      <c r="I144" s="520" t="s">
        <v>1369</v>
      </c>
    </row>
    <row r="145" spans="2:9" ht="18.75" customHeight="1">
      <c r="B145" s="603" t="s">
        <v>1494</v>
      </c>
      <c r="C145" s="478" t="s">
        <v>1495</v>
      </c>
      <c r="D145" s="530"/>
      <c r="E145" s="530"/>
      <c r="F145" s="531"/>
      <c r="G145" s="532" t="s">
        <v>1487</v>
      </c>
      <c r="H145" s="532"/>
      <c r="I145" s="521" t="s">
        <v>1369</v>
      </c>
    </row>
    <row r="146" spans="2:9" ht="18.75" customHeight="1">
      <c r="B146" s="485"/>
      <c r="C146" s="486" t="s">
        <v>1479</v>
      </c>
      <c r="D146" s="530"/>
      <c r="E146" s="530"/>
      <c r="F146" s="531"/>
      <c r="G146" s="532">
        <v>0</v>
      </c>
      <c r="H146" s="532"/>
      <c r="I146" s="521" t="s">
        <v>1369</v>
      </c>
    </row>
    <row r="147" spans="2:9" ht="18.75" customHeight="1">
      <c r="B147" s="603"/>
      <c r="C147" s="486" t="s">
        <v>1480</v>
      </c>
      <c r="D147" s="530"/>
      <c r="E147" s="530"/>
      <c r="F147" s="531"/>
      <c r="G147" s="532" t="s">
        <v>625</v>
      </c>
      <c r="H147" s="532"/>
      <c r="I147" s="521" t="s">
        <v>1369</v>
      </c>
    </row>
    <row r="148" spans="2:9" ht="18.75" customHeight="1">
      <c r="B148" s="485"/>
      <c r="C148" s="606" t="s">
        <v>1481</v>
      </c>
      <c r="D148" s="530"/>
      <c r="E148" s="530"/>
      <c r="F148" s="531"/>
      <c r="G148" s="532">
        <v>0</v>
      </c>
      <c r="H148" s="532"/>
      <c r="I148" s="521" t="s">
        <v>1369</v>
      </c>
    </row>
    <row r="149" spans="2:9" ht="18.75" customHeight="1">
      <c r="B149" s="485"/>
      <c r="C149" s="606" t="s">
        <v>1482</v>
      </c>
      <c r="D149" s="530"/>
      <c r="E149" s="530"/>
      <c r="F149" s="531"/>
      <c r="G149" s="532">
        <v>0</v>
      </c>
      <c r="H149" s="532"/>
      <c r="I149" s="521" t="s">
        <v>1369</v>
      </c>
    </row>
    <row r="150" spans="2:9" ht="18.75" customHeight="1">
      <c r="B150" s="485"/>
      <c r="C150" s="486" t="s">
        <v>1483</v>
      </c>
      <c r="D150" s="530"/>
      <c r="E150" s="530"/>
      <c r="F150" s="531"/>
      <c r="G150" s="532">
        <v>0</v>
      </c>
      <c r="H150" s="532"/>
      <c r="I150" s="521" t="s">
        <v>1369</v>
      </c>
    </row>
    <row r="151" spans="2:9" ht="19.5" customHeight="1">
      <c r="B151" s="484"/>
      <c r="C151" s="480" t="s">
        <v>1395</v>
      </c>
      <c r="D151" s="530"/>
      <c r="E151" s="530"/>
      <c r="F151" s="531"/>
      <c r="G151" s="532" t="s">
        <v>1491</v>
      </c>
      <c r="H151" s="532"/>
      <c r="I151" s="520" t="s">
        <v>1369</v>
      </c>
    </row>
    <row r="152" spans="2:9" ht="18.75" customHeight="1">
      <c r="B152" s="603" t="s">
        <v>1496</v>
      </c>
      <c r="C152" s="607" t="s">
        <v>1497</v>
      </c>
      <c r="D152" s="530"/>
      <c r="E152" s="530"/>
      <c r="F152" s="531"/>
      <c r="G152" s="532" t="s">
        <v>1498</v>
      </c>
      <c r="H152" s="532"/>
      <c r="I152" s="521" t="s">
        <v>1369</v>
      </c>
    </row>
    <row r="153" spans="2:9" ht="18.75" customHeight="1">
      <c r="B153" s="603"/>
      <c r="C153" s="486" t="s">
        <v>205</v>
      </c>
      <c r="D153" s="530"/>
      <c r="E153" s="530"/>
      <c r="F153" s="531"/>
      <c r="G153" s="532" t="s">
        <v>206</v>
      </c>
      <c r="H153" s="532"/>
      <c r="I153" s="521" t="s">
        <v>1369</v>
      </c>
    </row>
    <row r="154" spans="2:9" ht="18.75" customHeight="1">
      <c r="B154" s="603"/>
      <c r="C154" s="486" t="s">
        <v>207</v>
      </c>
      <c r="D154" s="530"/>
      <c r="E154" s="530"/>
      <c r="F154" s="531"/>
      <c r="G154" s="532" t="s">
        <v>208</v>
      </c>
      <c r="H154" s="532"/>
      <c r="I154" s="521" t="s">
        <v>1369</v>
      </c>
    </row>
    <row r="155" spans="2:9" ht="18.75" customHeight="1">
      <c r="B155" s="603"/>
      <c r="C155" s="713" t="s">
        <v>1499</v>
      </c>
      <c r="D155" s="530"/>
      <c r="E155" s="530"/>
      <c r="F155" s="531"/>
      <c r="G155" s="532" t="s">
        <v>1498</v>
      </c>
      <c r="H155" s="532"/>
      <c r="I155" s="521" t="s">
        <v>1369</v>
      </c>
    </row>
    <row r="156" spans="2:9" ht="24" customHeight="1">
      <c r="B156" s="603"/>
      <c r="C156" s="714" t="s">
        <v>1500</v>
      </c>
      <c r="D156" s="530"/>
      <c r="E156" s="530"/>
      <c r="F156" s="531"/>
      <c r="G156" s="532" t="s">
        <v>1501</v>
      </c>
      <c r="H156" s="532"/>
      <c r="I156" s="521" t="s">
        <v>1369</v>
      </c>
    </row>
    <row r="157" spans="2:9" ht="18.75" customHeight="1">
      <c r="B157" s="603" t="s">
        <v>1502</v>
      </c>
      <c r="C157" s="607" t="s">
        <v>1503</v>
      </c>
      <c r="D157" s="530"/>
      <c r="E157" s="530"/>
      <c r="F157" s="531"/>
      <c r="G157" s="532" t="s">
        <v>1504</v>
      </c>
      <c r="H157" s="532"/>
      <c r="I157" s="521" t="s">
        <v>1369</v>
      </c>
    </row>
    <row r="158" spans="2:9" ht="18.75" customHeight="1">
      <c r="B158" s="603"/>
      <c r="C158" s="486" t="s">
        <v>216</v>
      </c>
      <c r="D158" s="530"/>
      <c r="E158" s="530"/>
      <c r="F158" s="531"/>
      <c r="G158" s="532" t="s">
        <v>1504</v>
      </c>
      <c r="H158" s="532"/>
      <c r="I158" s="521" t="s">
        <v>1369</v>
      </c>
    </row>
    <row r="159" spans="2:9" ht="18.75" customHeight="1">
      <c r="B159" s="485"/>
      <c r="C159" s="482" t="s">
        <v>1505</v>
      </c>
      <c r="D159" s="530"/>
      <c r="E159" s="530"/>
      <c r="F159" s="531"/>
      <c r="G159" s="532">
        <v>0</v>
      </c>
      <c r="H159" s="532"/>
      <c r="I159" s="521" t="s">
        <v>1369</v>
      </c>
    </row>
    <row r="160" spans="2:9" ht="18.75" customHeight="1">
      <c r="B160" s="485"/>
      <c r="C160" s="482" t="s">
        <v>1506</v>
      </c>
      <c r="D160" s="530"/>
      <c r="E160" s="530"/>
      <c r="F160" s="531"/>
      <c r="G160" s="532">
        <v>0</v>
      </c>
      <c r="H160" s="532"/>
      <c r="I160" s="521" t="s">
        <v>1369</v>
      </c>
    </row>
    <row r="161" spans="2:9" ht="18.75" customHeight="1">
      <c r="B161" s="603"/>
      <c r="C161" s="482" t="s">
        <v>1499</v>
      </c>
      <c r="D161" s="530"/>
      <c r="E161" s="530"/>
      <c r="F161" s="531"/>
      <c r="G161" s="532" t="s">
        <v>1507</v>
      </c>
      <c r="H161" s="532"/>
      <c r="I161" s="521" t="s">
        <v>1369</v>
      </c>
    </row>
    <row r="162" spans="2:9" ht="18.75" customHeight="1">
      <c r="B162" s="603"/>
      <c r="C162" s="607" t="s">
        <v>804</v>
      </c>
      <c r="D162" s="530"/>
      <c r="E162" s="530"/>
      <c r="F162" s="531"/>
      <c r="G162" s="532"/>
      <c r="H162" s="532"/>
      <c r="I162" s="521"/>
    </row>
    <row r="163" spans="2:9" ht="144" customHeight="1">
      <c r="B163" s="603"/>
      <c r="C163" s="481" t="s">
        <v>1508</v>
      </c>
      <c r="D163" s="530"/>
      <c r="E163" s="530"/>
      <c r="F163" s="531"/>
      <c r="G163" s="532" t="s">
        <v>1509</v>
      </c>
      <c r="H163" s="532"/>
      <c r="I163" s="521" t="s">
        <v>1369</v>
      </c>
    </row>
    <row r="164" spans="2:9" ht="108" customHeight="1">
      <c r="B164" s="603"/>
      <c r="C164" s="516" t="s">
        <v>1510</v>
      </c>
      <c r="D164" s="530"/>
      <c r="E164" s="530"/>
      <c r="F164" s="531"/>
      <c r="G164" s="532" t="s">
        <v>1511</v>
      </c>
      <c r="H164" s="532"/>
      <c r="I164" s="521" t="s">
        <v>1369</v>
      </c>
    </row>
    <row r="165" spans="2:9" ht="108" customHeight="1">
      <c r="B165" s="603"/>
      <c r="C165" s="487" t="s">
        <v>1512</v>
      </c>
      <c r="D165" s="530"/>
      <c r="E165" s="530"/>
      <c r="F165" s="531"/>
      <c r="G165" s="532" t="s">
        <v>1513</v>
      </c>
      <c r="H165" s="532"/>
      <c r="I165" s="521" t="s">
        <v>1369</v>
      </c>
    </row>
    <row r="166" spans="2:9" ht="60" customHeight="1">
      <c r="B166" s="603"/>
      <c r="C166" s="478" t="s">
        <v>1374</v>
      </c>
      <c r="D166" s="530"/>
      <c r="E166" s="530"/>
      <c r="F166" s="531"/>
      <c r="G166" s="532" t="s">
        <v>1514</v>
      </c>
      <c r="H166" s="532"/>
      <c r="I166" s="521" t="s">
        <v>1369</v>
      </c>
    </row>
    <row r="167" spans="2:9" ht="18.75" customHeight="1">
      <c r="B167" s="603"/>
      <c r="C167" s="715" t="s">
        <v>1515</v>
      </c>
      <c r="D167" s="530"/>
      <c r="E167" s="530"/>
      <c r="F167" s="531"/>
      <c r="G167" s="532" t="s">
        <v>1516</v>
      </c>
      <c r="H167" s="532"/>
      <c r="I167" s="521" t="s">
        <v>1369</v>
      </c>
    </row>
    <row r="168" spans="2:9" ht="24" customHeight="1">
      <c r="B168" s="603"/>
      <c r="C168" s="478" t="s">
        <v>1436</v>
      </c>
      <c r="D168" s="530"/>
      <c r="E168" s="530"/>
      <c r="F168" s="531"/>
      <c r="G168" s="532" t="s">
        <v>1517</v>
      </c>
      <c r="H168" s="532"/>
      <c r="I168" s="521" t="s">
        <v>1369</v>
      </c>
    </row>
    <row r="169" spans="2:9" ht="18.75" customHeight="1">
      <c r="B169" s="603"/>
      <c r="C169" s="715" t="s">
        <v>207</v>
      </c>
      <c r="D169" s="530"/>
      <c r="E169" s="530"/>
      <c r="F169" s="531"/>
      <c r="G169" s="532" t="s">
        <v>1518</v>
      </c>
      <c r="H169" s="532"/>
      <c r="I169" s="521" t="s">
        <v>1369</v>
      </c>
    </row>
    <row r="170" spans="2:9" ht="18.75" customHeight="1">
      <c r="B170" s="603"/>
      <c r="C170" s="715" t="s">
        <v>205</v>
      </c>
      <c r="D170" s="530"/>
      <c r="E170" s="530"/>
      <c r="F170" s="531"/>
      <c r="G170" s="532" t="s">
        <v>1519</v>
      </c>
      <c r="H170" s="532"/>
      <c r="I170" s="521" t="s">
        <v>1369</v>
      </c>
    </row>
    <row r="171" spans="2:9" ht="18.75" customHeight="1">
      <c r="B171" s="603"/>
      <c r="C171" s="478" t="s">
        <v>1441</v>
      </c>
      <c r="D171" s="530"/>
      <c r="E171" s="530"/>
      <c r="F171" s="531"/>
      <c r="G171" s="532" t="s">
        <v>1442</v>
      </c>
      <c r="H171" s="532"/>
      <c r="I171" s="521" t="s">
        <v>1369</v>
      </c>
    </row>
    <row r="172" spans="2:9" ht="18.75" customHeight="1">
      <c r="B172" s="603"/>
      <c r="C172" s="478" t="s">
        <v>1465</v>
      </c>
      <c r="D172" s="530"/>
      <c r="E172" s="530"/>
      <c r="F172" s="531"/>
      <c r="G172" s="532" t="s">
        <v>1466</v>
      </c>
      <c r="H172" s="532"/>
      <c r="I172" s="521" t="s">
        <v>1369</v>
      </c>
    </row>
    <row r="173" spans="2:9" ht="18.75" customHeight="1">
      <c r="B173" s="603"/>
      <c r="C173" s="487" t="s">
        <v>521</v>
      </c>
      <c r="D173" s="530"/>
      <c r="E173" s="530"/>
      <c r="F173" s="531"/>
      <c r="G173" s="532" t="s">
        <v>1520</v>
      </c>
      <c r="H173" s="532"/>
      <c r="I173" s="521" t="s">
        <v>1369</v>
      </c>
    </row>
    <row r="174" spans="2:9" ht="37.5" customHeight="1">
      <c r="B174" s="603"/>
      <c r="C174" s="516" t="s">
        <v>1521</v>
      </c>
      <c r="D174" s="530"/>
      <c r="E174" s="530"/>
      <c r="F174" s="531"/>
      <c r="G174" s="532" t="s">
        <v>1522</v>
      </c>
      <c r="H174" s="532"/>
      <c r="I174" s="521" t="s">
        <v>1369</v>
      </c>
    </row>
    <row r="175" spans="2:9" ht="18.75" customHeight="1">
      <c r="B175" s="603"/>
      <c r="C175" s="487" t="s">
        <v>1512</v>
      </c>
      <c r="D175" s="530"/>
      <c r="E175" s="530"/>
      <c r="F175" s="531"/>
      <c r="G175" s="532" t="s">
        <v>1523</v>
      </c>
      <c r="H175" s="532"/>
      <c r="I175" s="521" t="s">
        <v>1369</v>
      </c>
    </row>
    <row r="176" spans="2:9" ht="18.75" customHeight="1">
      <c r="B176" s="603"/>
      <c r="C176" s="487" t="s">
        <v>521</v>
      </c>
      <c r="D176" s="530"/>
      <c r="E176" s="530"/>
      <c r="F176" s="531"/>
      <c r="G176" s="532" t="s">
        <v>1487</v>
      </c>
      <c r="H176" s="532"/>
      <c r="I176" s="521" t="s">
        <v>1369</v>
      </c>
    </row>
    <row r="177" spans="2:9" ht="37.5" customHeight="1">
      <c r="B177" s="603"/>
      <c r="C177" s="516" t="s">
        <v>1524</v>
      </c>
      <c r="D177" s="530"/>
      <c r="E177" s="530"/>
      <c r="F177" s="531"/>
      <c r="G177" s="532" t="s">
        <v>1525</v>
      </c>
      <c r="H177" s="532"/>
      <c r="I177" s="521" t="s">
        <v>1369</v>
      </c>
    </row>
    <row r="178" spans="2:9" ht="18.75" customHeight="1">
      <c r="B178" s="603"/>
      <c r="C178" s="487" t="s">
        <v>1512</v>
      </c>
      <c r="D178" s="530"/>
      <c r="E178" s="530"/>
      <c r="F178" s="531"/>
      <c r="G178" s="532" t="s">
        <v>1526</v>
      </c>
      <c r="H178" s="532"/>
      <c r="I178" s="521" t="s">
        <v>1369</v>
      </c>
    </row>
    <row r="179" spans="2:9" ht="18.75" customHeight="1">
      <c r="B179" s="603"/>
      <c r="C179" s="487" t="s">
        <v>521</v>
      </c>
      <c r="D179" s="530"/>
      <c r="E179" s="530"/>
      <c r="F179" s="531"/>
      <c r="G179" s="532" t="s">
        <v>1527</v>
      </c>
      <c r="H179" s="532"/>
      <c r="I179" s="521" t="s">
        <v>1369</v>
      </c>
    </row>
    <row r="180" spans="2:9" ht="408" customHeight="1">
      <c r="B180" s="484"/>
      <c r="C180" s="480" t="s">
        <v>1395</v>
      </c>
      <c r="D180" s="530"/>
      <c r="E180" s="530"/>
      <c r="F180" s="531"/>
      <c r="G180" s="532" t="s">
        <v>1528</v>
      </c>
      <c r="H180" s="532"/>
      <c r="I180" s="520" t="s">
        <v>1369</v>
      </c>
    </row>
    <row r="181" spans="2:9" ht="18.75" customHeight="1">
      <c r="B181" s="603"/>
      <c r="C181" s="715"/>
      <c r="D181" s="530"/>
      <c r="E181" s="530"/>
      <c r="F181" s="531"/>
      <c r="G181" s="532"/>
      <c r="H181" s="532"/>
      <c r="I181" s="521"/>
    </row>
    <row r="182" spans="2:9" ht="18.75" customHeight="1">
      <c r="B182" s="603" t="s">
        <v>1529</v>
      </c>
      <c r="C182" s="488" t="s">
        <v>1530</v>
      </c>
      <c r="D182" s="530"/>
      <c r="E182" s="530"/>
      <c r="F182" s="531"/>
      <c r="G182" s="532"/>
      <c r="H182" s="532"/>
      <c r="I182" s="521"/>
    </row>
    <row r="183" spans="2:9" ht="18.75" customHeight="1">
      <c r="B183" s="603"/>
      <c r="C183" s="489"/>
      <c r="D183" s="530"/>
      <c r="E183" s="530"/>
      <c r="F183" s="531"/>
      <c r="G183" s="532"/>
      <c r="H183" s="532"/>
      <c r="I183" s="522"/>
    </row>
    <row r="184" spans="2:9" ht="18.75" customHeight="1">
      <c r="B184" s="603" t="s">
        <v>1370</v>
      </c>
      <c r="C184" s="607" t="s">
        <v>1436</v>
      </c>
      <c r="D184" s="530"/>
      <c r="E184" s="530"/>
      <c r="F184" s="531"/>
      <c r="G184" s="532"/>
      <c r="H184" s="532"/>
      <c r="I184" s="521"/>
    </row>
    <row r="185" spans="2:9" ht="37.5" customHeight="1">
      <c r="B185" s="603" t="s">
        <v>43</v>
      </c>
      <c r="C185" s="602" t="s">
        <v>1531</v>
      </c>
      <c r="D185" s="530"/>
      <c r="E185" s="530"/>
      <c r="F185" s="531"/>
      <c r="G185" s="532" t="s">
        <v>1532</v>
      </c>
      <c r="H185" s="532"/>
      <c r="I185" s="521" t="s">
        <v>1369</v>
      </c>
    </row>
    <row r="186" spans="2:9" ht="18.75" customHeight="1">
      <c r="B186" s="603" t="s">
        <v>53</v>
      </c>
      <c r="C186" s="607" t="s">
        <v>1533</v>
      </c>
      <c r="D186" s="530"/>
      <c r="E186" s="530"/>
      <c r="F186" s="531"/>
      <c r="G186" s="532" t="s">
        <v>1534</v>
      </c>
      <c r="H186" s="532"/>
      <c r="I186" s="521" t="s">
        <v>1369</v>
      </c>
    </row>
    <row r="187" spans="2:9" ht="18.75" customHeight="1">
      <c r="B187" s="603" t="s">
        <v>836</v>
      </c>
      <c r="C187" s="607" t="s">
        <v>1535</v>
      </c>
      <c r="D187" s="530"/>
      <c r="E187" s="530"/>
      <c r="F187" s="531"/>
      <c r="G187" s="532" t="s">
        <v>1536</v>
      </c>
      <c r="H187" s="532"/>
      <c r="I187" s="521" t="s">
        <v>1369</v>
      </c>
    </row>
    <row r="188" spans="2:9" ht="18.75" customHeight="1">
      <c r="B188" s="603" t="s">
        <v>1537</v>
      </c>
      <c r="C188" s="607" t="s">
        <v>1538</v>
      </c>
      <c r="D188" s="530"/>
      <c r="E188" s="530"/>
      <c r="F188" s="531"/>
      <c r="G188" s="532" t="s">
        <v>605</v>
      </c>
      <c r="H188" s="532"/>
      <c r="I188" s="521" t="s">
        <v>1369</v>
      </c>
    </row>
    <row r="189" spans="2:9" ht="18.75" customHeight="1">
      <c r="B189" s="490"/>
      <c r="C189" s="491" t="s">
        <v>1539</v>
      </c>
      <c r="D189" s="530"/>
      <c r="E189" s="530"/>
      <c r="F189" s="531"/>
      <c r="G189" s="532" t="s">
        <v>1540</v>
      </c>
      <c r="H189" s="532"/>
      <c r="I189" s="521" t="s">
        <v>1369</v>
      </c>
    </row>
    <row r="190" spans="2:9" ht="18.75" customHeight="1">
      <c r="B190" s="603"/>
      <c r="C190" s="602" t="s">
        <v>804</v>
      </c>
      <c r="D190" s="530"/>
      <c r="E190" s="530"/>
      <c r="F190" s="531"/>
      <c r="G190" s="532"/>
      <c r="H190" s="532"/>
      <c r="I190" s="521" t="s">
        <v>1369</v>
      </c>
    </row>
    <row r="191" spans="2:9" ht="18.75" customHeight="1">
      <c r="B191" s="490"/>
      <c r="C191" s="380" t="s">
        <v>1541</v>
      </c>
      <c r="D191" s="530"/>
      <c r="E191" s="530"/>
      <c r="F191" s="531"/>
      <c r="G191" s="532" t="s">
        <v>546</v>
      </c>
      <c r="H191" s="532"/>
      <c r="I191" s="521" t="s">
        <v>1369</v>
      </c>
    </row>
    <row r="192" spans="2:9" ht="18.75" customHeight="1">
      <c r="B192" s="490"/>
      <c r="C192" s="380" t="s">
        <v>1542</v>
      </c>
      <c r="D192" s="530"/>
      <c r="E192" s="530"/>
      <c r="F192" s="531"/>
      <c r="G192" s="532" t="s">
        <v>248</v>
      </c>
      <c r="H192" s="532"/>
      <c r="I192" s="521" t="s">
        <v>1369</v>
      </c>
    </row>
    <row r="193" spans="2:9" ht="18.75" customHeight="1">
      <c r="B193" s="603" t="s">
        <v>1543</v>
      </c>
      <c r="C193" s="607" t="s">
        <v>1544</v>
      </c>
      <c r="D193" s="530"/>
      <c r="E193" s="530"/>
      <c r="F193" s="531"/>
      <c r="G193" s="532" t="s">
        <v>428</v>
      </c>
      <c r="H193" s="532"/>
      <c r="I193" s="521" t="s">
        <v>1369</v>
      </c>
    </row>
    <row r="194" spans="2:9" ht="18.75" customHeight="1">
      <c r="B194" s="603" t="s">
        <v>1545</v>
      </c>
      <c r="C194" s="607" t="s">
        <v>1546</v>
      </c>
      <c r="D194" s="530"/>
      <c r="E194" s="530"/>
      <c r="F194" s="531"/>
      <c r="G194" s="532" t="s">
        <v>642</v>
      </c>
      <c r="H194" s="532"/>
      <c r="I194" s="521" t="s">
        <v>1369</v>
      </c>
    </row>
    <row r="195" spans="2:9" ht="18.75" customHeight="1">
      <c r="B195" s="490"/>
      <c r="C195" s="491" t="s">
        <v>1539</v>
      </c>
      <c r="D195" s="530"/>
      <c r="E195" s="530"/>
      <c r="F195" s="531"/>
      <c r="G195" s="532" t="s">
        <v>1547</v>
      </c>
      <c r="H195" s="532"/>
      <c r="I195" s="521" t="s">
        <v>1369</v>
      </c>
    </row>
    <row r="196" spans="2:9" ht="18.75" customHeight="1">
      <c r="B196" s="603" t="s">
        <v>1548</v>
      </c>
      <c r="C196" s="776" t="s">
        <v>1549</v>
      </c>
      <c r="D196" s="530"/>
      <c r="E196" s="530"/>
      <c r="F196" s="531"/>
      <c r="G196" s="532" t="s">
        <v>776</v>
      </c>
      <c r="H196" s="532"/>
      <c r="I196" s="521" t="s">
        <v>1369</v>
      </c>
    </row>
    <row r="197" spans="2:9" ht="18.75" customHeight="1">
      <c r="B197" s="603"/>
      <c r="C197" s="760"/>
      <c r="D197" s="530"/>
      <c r="E197" s="530"/>
      <c r="F197" s="531"/>
      <c r="G197" s="532" t="s">
        <v>775</v>
      </c>
      <c r="H197" s="532"/>
      <c r="I197" s="521" t="s">
        <v>1340</v>
      </c>
    </row>
    <row r="198" spans="2:9" ht="18.75" customHeight="1">
      <c r="B198" s="603" t="s">
        <v>1550</v>
      </c>
      <c r="C198" s="607" t="s">
        <v>1551</v>
      </c>
      <c r="D198" s="530"/>
      <c r="E198" s="530"/>
      <c r="F198" s="531"/>
      <c r="G198" s="532" t="s">
        <v>1552</v>
      </c>
      <c r="H198" s="532"/>
      <c r="I198" s="521" t="s">
        <v>1369</v>
      </c>
    </row>
    <row r="199" spans="2:9" ht="18.75" customHeight="1">
      <c r="B199" s="603"/>
      <c r="C199" s="492"/>
      <c r="D199" s="530"/>
      <c r="E199" s="530"/>
      <c r="F199" s="531"/>
      <c r="G199" s="532"/>
      <c r="H199" s="532"/>
      <c r="I199" s="521"/>
    </row>
    <row r="200" spans="2:9" ht="18.75" customHeight="1">
      <c r="B200" s="603" t="s">
        <v>850</v>
      </c>
      <c r="C200" s="607" t="s">
        <v>1553</v>
      </c>
      <c r="D200" s="530"/>
      <c r="E200" s="530"/>
      <c r="F200" s="531"/>
      <c r="G200" s="532"/>
      <c r="H200" s="532"/>
      <c r="I200" s="521" t="s">
        <v>1554</v>
      </c>
    </row>
    <row r="201" spans="2:9" ht="37.5" customHeight="1">
      <c r="B201" s="603"/>
      <c r="C201" s="602" t="s">
        <v>1555</v>
      </c>
      <c r="D201" s="530"/>
      <c r="E201" s="530"/>
      <c r="F201" s="531"/>
      <c r="G201" s="532"/>
      <c r="H201" s="532"/>
      <c r="I201" s="712"/>
    </row>
    <row r="202" spans="2:9" ht="144" customHeight="1">
      <c r="B202" s="603"/>
      <c r="C202" s="516" t="s">
        <v>1556</v>
      </c>
      <c r="D202" s="530"/>
      <c r="E202" s="530"/>
      <c r="F202" s="531"/>
      <c r="G202" s="532" t="s">
        <v>1557</v>
      </c>
      <c r="H202" s="532"/>
      <c r="I202" s="523" t="s">
        <v>1369</v>
      </c>
    </row>
    <row r="203" spans="2:9" ht="96" customHeight="1">
      <c r="B203" s="493" t="s">
        <v>82</v>
      </c>
      <c r="C203" s="494" t="s">
        <v>1558</v>
      </c>
      <c r="D203" s="530"/>
      <c r="E203" s="530"/>
      <c r="F203" s="531"/>
      <c r="G203" s="532" t="s">
        <v>1559</v>
      </c>
      <c r="H203" s="532"/>
      <c r="I203" s="523" t="s">
        <v>1369</v>
      </c>
    </row>
    <row r="204" spans="2:9" ht="96" customHeight="1">
      <c r="B204" s="493" t="s">
        <v>1560</v>
      </c>
      <c r="C204" s="495" t="s">
        <v>1561</v>
      </c>
      <c r="D204" s="530"/>
      <c r="E204" s="530"/>
      <c r="F204" s="531"/>
      <c r="G204" s="532" t="s">
        <v>1562</v>
      </c>
      <c r="H204" s="532"/>
      <c r="I204" s="523" t="s">
        <v>1369</v>
      </c>
    </row>
    <row r="205" spans="2:9" ht="24" customHeight="1">
      <c r="B205" s="493" t="s">
        <v>1563</v>
      </c>
      <c r="C205" s="496" t="s">
        <v>1436</v>
      </c>
      <c r="D205" s="530"/>
      <c r="E205" s="530"/>
      <c r="F205" s="531"/>
      <c r="G205" s="532" t="s">
        <v>1517</v>
      </c>
      <c r="H205" s="532"/>
      <c r="I205" s="523" t="s">
        <v>1369</v>
      </c>
    </row>
    <row r="206" spans="2:9" ht="18.75" customHeight="1">
      <c r="B206" s="493"/>
      <c r="C206" s="497" t="s">
        <v>207</v>
      </c>
      <c r="D206" s="530"/>
      <c r="E206" s="530"/>
      <c r="F206" s="531"/>
      <c r="G206" s="532" t="s">
        <v>1564</v>
      </c>
      <c r="H206" s="532"/>
      <c r="I206" s="523" t="s">
        <v>1369</v>
      </c>
    </row>
    <row r="207" spans="2:9" ht="18.75" customHeight="1">
      <c r="B207" s="493"/>
      <c r="C207" s="497" t="s">
        <v>1565</v>
      </c>
      <c r="D207" s="530"/>
      <c r="E207" s="530"/>
      <c r="F207" s="531"/>
      <c r="G207" s="532" t="s">
        <v>1566</v>
      </c>
      <c r="H207" s="532"/>
      <c r="I207" s="523" t="s">
        <v>1369</v>
      </c>
    </row>
    <row r="208" spans="2:9" ht="18.75" customHeight="1">
      <c r="B208" s="493"/>
      <c r="C208" s="491" t="s">
        <v>1567</v>
      </c>
      <c r="D208" s="530"/>
      <c r="E208" s="530"/>
      <c r="F208" s="531"/>
      <c r="G208" s="532" t="s">
        <v>1568</v>
      </c>
      <c r="H208" s="532"/>
      <c r="I208" s="523" t="s">
        <v>1369</v>
      </c>
    </row>
    <row r="209" spans="2:9" ht="48" customHeight="1">
      <c r="B209" s="493" t="s">
        <v>1569</v>
      </c>
      <c r="C209" s="496" t="s">
        <v>1374</v>
      </c>
      <c r="D209" s="530"/>
      <c r="E209" s="530"/>
      <c r="F209" s="531"/>
      <c r="G209" s="532" t="s">
        <v>1570</v>
      </c>
      <c r="H209" s="532"/>
      <c r="I209" s="523" t="s">
        <v>1369</v>
      </c>
    </row>
    <row r="210" spans="2:9" ht="18.75" customHeight="1">
      <c r="B210" s="493"/>
      <c r="C210" s="497" t="s">
        <v>1377</v>
      </c>
      <c r="D210" s="530"/>
      <c r="E210" s="530"/>
      <c r="F210" s="531"/>
      <c r="G210" s="532" t="s">
        <v>1378</v>
      </c>
      <c r="H210" s="532"/>
      <c r="I210" s="523" t="s">
        <v>1369</v>
      </c>
    </row>
    <row r="211" spans="2:9" ht="18.75" customHeight="1">
      <c r="B211" s="493"/>
      <c r="C211" s="491" t="s">
        <v>1443</v>
      </c>
      <c r="D211" s="530"/>
      <c r="E211" s="530"/>
      <c r="F211" s="531"/>
      <c r="G211" s="532" t="s">
        <v>1571</v>
      </c>
      <c r="H211" s="532"/>
      <c r="I211" s="523" t="s">
        <v>1369</v>
      </c>
    </row>
    <row r="212" spans="2:9" ht="18.75" customHeight="1">
      <c r="B212" s="493"/>
      <c r="C212" s="497" t="s">
        <v>1572</v>
      </c>
      <c r="D212" s="530"/>
      <c r="E212" s="530"/>
      <c r="F212" s="531"/>
      <c r="G212" s="532"/>
      <c r="H212" s="532"/>
      <c r="I212" s="523"/>
    </row>
    <row r="213" spans="2:9" ht="18.75" customHeight="1">
      <c r="B213" s="493"/>
      <c r="C213" s="497" t="s">
        <v>1383</v>
      </c>
      <c r="D213" s="530"/>
      <c r="E213" s="530"/>
      <c r="F213" s="531"/>
      <c r="G213" s="532" t="s">
        <v>625</v>
      </c>
      <c r="H213" s="532"/>
      <c r="I213" s="523" t="s">
        <v>1369</v>
      </c>
    </row>
    <row r="214" spans="2:9" ht="18.75" customHeight="1">
      <c r="B214" s="493"/>
      <c r="C214" s="497" t="s">
        <v>211</v>
      </c>
      <c r="D214" s="530"/>
      <c r="E214" s="530"/>
      <c r="F214" s="531"/>
      <c r="G214" s="532" t="s">
        <v>1398</v>
      </c>
      <c r="H214" s="532"/>
      <c r="I214" s="523" t="s">
        <v>1369</v>
      </c>
    </row>
    <row r="215" spans="2:9" ht="18.75" customHeight="1">
      <c r="B215" s="493"/>
      <c r="C215" s="491" t="s">
        <v>1567</v>
      </c>
      <c r="D215" s="530"/>
      <c r="E215" s="530"/>
      <c r="F215" s="531"/>
      <c r="G215" s="532" t="s">
        <v>1573</v>
      </c>
      <c r="H215" s="532"/>
      <c r="I215" s="523" t="s">
        <v>1369</v>
      </c>
    </row>
    <row r="216" spans="2:9" ht="18.75" customHeight="1">
      <c r="B216" s="493"/>
      <c r="C216" s="497" t="s">
        <v>1400</v>
      </c>
      <c r="D216" s="530"/>
      <c r="E216" s="530"/>
      <c r="F216" s="531"/>
      <c r="G216" s="532">
        <v>0</v>
      </c>
      <c r="H216" s="532"/>
      <c r="I216" s="523" t="s">
        <v>1369</v>
      </c>
    </row>
    <row r="217" spans="2:9" ht="18.75" customHeight="1">
      <c r="B217" s="493"/>
      <c r="C217" s="497" t="s">
        <v>1574</v>
      </c>
      <c r="D217" s="530"/>
      <c r="E217" s="530"/>
      <c r="F217" s="531"/>
      <c r="G217" s="532" t="s">
        <v>1406</v>
      </c>
      <c r="H217" s="532"/>
      <c r="I217" s="523" t="s">
        <v>1369</v>
      </c>
    </row>
    <row r="218" spans="2:9" ht="18.75" customHeight="1">
      <c r="B218" s="493"/>
      <c r="C218" s="497" t="s">
        <v>1575</v>
      </c>
      <c r="D218" s="530"/>
      <c r="E218" s="530"/>
      <c r="F218" s="531"/>
      <c r="G218" s="532" t="s">
        <v>1409</v>
      </c>
      <c r="H218" s="532"/>
      <c r="I218" s="523" t="s">
        <v>1369</v>
      </c>
    </row>
    <row r="219" spans="2:9" ht="18.75" customHeight="1">
      <c r="B219" s="493"/>
      <c r="C219" s="497" t="s">
        <v>1576</v>
      </c>
      <c r="D219" s="530"/>
      <c r="E219" s="530"/>
      <c r="F219" s="531"/>
      <c r="G219" s="532">
        <v>0</v>
      </c>
      <c r="H219" s="532"/>
      <c r="I219" s="523" t="s">
        <v>1369</v>
      </c>
    </row>
    <row r="220" spans="2:9" ht="18.75" customHeight="1">
      <c r="B220" s="493"/>
      <c r="C220" s="491" t="s">
        <v>1443</v>
      </c>
      <c r="D220" s="530"/>
      <c r="E220" s="530"/>
      <c r="F220" s="531"/>
      <c r="G220" s="532" t="s">
        <v>1577</v>
      </c>
      <c r="H220" s="532"/>
      <c r="I220" s="523" t="s">
        <v>1369</v>
      </c>
    </row>
    <row r="221" spans="2:9" ht="18.75" customHeight="1">
      <c r="B221" s="493"/>
      <c r="C221" s="497" t="s">
        <v>1424</v>
      </c>
      <c r="D221" s="530"/>
      <c r="E221" s="530"/>
      <c r="F221" s="531"/>
      <c r="G221" s="532" t="s">
        <v>625</v>
      </c>
      <c r="H221" s="532"/>
      <c r="I221" s="523" t="s">
        <v>1369</v>
      </c>
    </row>
    <row r="222" spans="2:9" ht="18.75" customHeight="1">
      <c r="B222" s="493"/>
      <c r="C222" s="497" t="s">
        <v>1434</v>
      </c>
      <c r="D222" s="530"/>
      <c r="E222" s="530"/>
      <c r="F222" s="531"/>
      <c r="G222" s="532">
        <v>0</v>
      </c>
      <c r="H222" s="532"/>
      <c r="I222" s="523" t="s">
        <v>1369</v>
      </c>
    </row>
    <row r="223" spans="2:9" ht="18.75" customHeight="1">
      <c r="B223" s="493" t="s">
        <v>1578</v>
      </c>
      <c r="C223" s="496" t="s">
        <v>1579</v>
      </c>
      <c r="D223" s="530"/>
      <c r="E223" s="530"/>
      <c r="F223" s="531"/>
      <c r="G223" s="532" t="s">
        <v>1580</v>
      </c>
      <c r="H223" s="532"/>
      <c r="I223" s="523" t="s">
        <v>1369</v>
      </c>
    </row>
    <row r="224" spans="2:9" ht="18.75" customHeight="1">
      <c r="B224" s="493"/>
      <c r="C224" s="497" t="s">
        <v>1581</v>
      </c>
      <c r="D224" s="530"/>
      <c r="E224" s="530"/>
      <c r="F224" s="531"/>
      <c r="G224" s="532" t="s">
        <v>1419</v>
      </c>
      <c r="H224" s="532"/>
      <c r="I224" s="523" t="s">
        <v>1369</v>
      </c>
    </row>
    <row r="225" spans="2:9" ht="18.75" customHeight="1">
      <c r="B225" s="493"/>
      <c r="C225" s="497" t="s">
        <v>1582</v>
      </c>
      <c r="D225" s="530"/>
      <c r="E225" s="530"/>
      <c r="F225" s="531"/>
      <c r="G225" s="532" t="s">
        <v>1422</v>
      </c>
      <c r="H225" s="532"/>
      <c r="I225" s="523" t="s">
        <v>1369</v>
      </c>
    </row>
    <row r="226" spans="2:9" ht="18.75" customHeight="1">
      <c r="B226" s="493" t="s">
        <v>1583</v>
      </c>
      <c r="C226" s="496" t="s">
        <v>1465</v>
      </c>
      <c r="D226" s="530"/>
      <c r="E226" s="530"/>
      <c r="F226" s="531"/>
      <c r="G226" s="532" t="s">
        <v>1466</v>
      </c>
      <c r="H226" s="532"/>
      <c r="I226" s="523" t="s">
        <v>1369</v>
      </c>
    </row>
    <row r="227" spans="2:9" ht="18.75" customHeight="1">
      <c r="B227" s="493"/>
      <c r="C227" s="497" t="s">
        <v>1467</v>
      </c>
      <c r="D227" s="530"/>
      <c r="E227" s="530"/>
      <c r="F227" s="531"/>
      <c r="G227" s="532" t="s">
        <v>1466</v>
      </c>
      <c r="H227" s="532"/>
      <c r="I227" s="523" t="s">
        <v>1369</v>
      </c>
    </row>
    <row r="228" spans="2:9" ht="18.75" customHeight="1">
      <c r="B228" s="493" t="s">
        <v>1584</v>
      </c>
      <c r="C228" s="496" t="s">
        <v>1441</v>
      </c>
      <c r="D228" s="530"/>
      <c r="E228" s="530"/>
      <c r="F228" s="531"/>
      <c r="G228" s="532" t="s">
        <v>1442</v>
      </c>
      <c r="H228" s="532"/>
      <c r="I228" s="523" t="s">
        <v>1369</v>
      </c>
    </row>
    <row r="229" spans="2:9" ht="18.75" customHeight="1">
      <c r="B229" s="493"/>
      <c r="C229" s="497" t="s">
        <v>216</v>
      </c>
      <c r="D229" s="530"/>
      <c r="E229" s="530"/>
      <c r="F229" s="531"/>
      <c r="G229" s="532" t="s">
        <v>1442</v>
      </c>
      <c r="H229" s="532"/>
      <c r="I229" s="523" t="s">
        <v>1369</v>
      </c>
    </row>
    <row r="230" spans="2:9" ht="18.75" customHeight="1">
      <c r="B230" s="493"/>
      <c r="C230" s="491" t="s">
        <v>1443</v>
      </c>
      <c r="D230" s="530"/>
      <c r="E230" s="530"/>
      <c r="F230" s="531"/>
      <c r="G230" s="532" t="s">
        <v>1442</v>
      </c>
      <c r="H230" s="532"/>
      <c r="I230" s="523" t="s">
        <v>1369</v>
      </c>
    </row>
    <row r="231" spans="2:9" ht="18.75" customHeight="1">
      <c r="B231" s="493" t="s">
        <v>1585</v>
      </c>
      <c r="C231" s="495" t="s">
        <v>1586</v>
      </c>
      <c r="D231" s="530"/>
      <c r="E231" s="530"/>
      <c r="F231" s="531"/>
      <c r="G231" s="532" t="s">
        <v>157</v>
      </c>
      <c r="H231" s="532"/>
      <c r="I231" s="523" t="s">
        <v>1369</v>
      </c>
    </row>
    <row r="232" spans="2:9" ht="48" customHeight="1">
      <c r="B232" s="603" t="s">
        <v>84</v>
      </c>
      <c r="C232" s="494" t="s">
        <v>1587</v>
      </c>
      <c r="D232" s="530"/>
      <c r="E232" s="530"/>
      <c r="F232" s="531"/>
      <c r="G232" s="532" t="s">
        <v>1588</v>
      </c>
      <c r="H232" s="532"/>
      <c r="I232" s="712" t="s">
        <v>1369</v>
      </c>
    </row>
    <row r="233" spans="2:9" ht="24" customHeight="1">
      <c r="B233" s="603" t="s">
        <v>1589</v>
      </c>
      <c r="C233" s="495" t="s">
        <v>1561</v>
      </c>
      <c r="D233" s="530"/>
      <c r="E233" s="530"/>
      <c r="F233" s="531"/>
      <c r="G233" s="532" t="s">
        <v>1590</v>
      </c>
      <c r="H233" s="532"/>
      <c r="I233" s="712" t="s">
        <v>1369</v>
      </c>
    </row>
    <row r="234" spans="2:9" ht="24" customHeight="1">
      <c r="B234" s="603"/>
      <c r="C234" s="496" t="s">
        <v>1374</v>
      </c>
      <c r="D234" s="530"/>
      <c r="E234" s="530"/>
      <c r="F234" s="531"/>
      <c r="G234" s="532" t="s">
        <v>1590</v>
      </c>
      <c r="H234" s="532"/>
      <c r="I234" s="712" t="s">
        <v>1369</v>
      </c>
    </row>
    <row r="235" spans="2:9" ht="24" customHeight="1">
      <c r="B235" s="603"/>
      <c r="C235" s="498" t="s">
        <v>1377</v>
      </c>
      <c r="D235" s="530"/>
      <c r="E235" s="530"/>
      <c r="F235" s="531"/>
      <c r="G235" s="532" t="s">
        <v>1590</v>
      </c>
      <c r="H235" s="532"/>
      <c r="I235" s="712" t="s">
        <v>1369</v>
      </c>
    </row>
    <row r="236" spans="2:9" ht="18.75" customHeight="1">
      <c r="B236" s="603"/>
      <c r="C236" s="491" t="s">
        <v>1443</v>
      </c>
      <c r="D236" s="530"/>
      <c r="E236" s="530"/>
      <c r="F236" s="531"/>
      <c r="G236" s="532" t="s">
        <v>1591</v>
      </c>
      <c r="H236" s="532"/>
      <c r="I236" s="712" t="s">
        <v>1369</v>
      </c>
    </row>
    <row r="237" spans="2:9" ht="24" customHeight="1">
      <c r="B237" s="603"/>
      <c r="C237" s="499" t="s">
        <v>1592</v>
      </c>
      <c r="D237" s="530"/>
      <c r="E237" s="530"/>
      <c r="F237" s="531"/>
      <c r="G237" s="532" t="s">
        <v>1593</v>
      </c>
      <c r="H237" s="532"/>
      <c r="I237" s="712" t="s">
        <v>1369</v>
      </c>
    </row>
    <row r="238" spans="2:9" ht="18.75" customHeight="1">
      <c r="B238" s="603" t="s">
        <v>1594</v>
      </c>
      <c r="C238" s="495" t="s">
        <v>1586</v>
      </c>
      <c r="D238" s="530"/>
      <c r="E238" s="530"/>
      <c r="F238" s="531"/>
      <c r="G238" s="532" t="s">
        <v>188</v>
      </c>
      <c r="H238" s="532"/>
      <c r="I238" s="712" t="s">
        <v>1369</v>
      </c>
    </row>
    <row r="239" spans="2:9" ht="18.75" customHeight="1">
      <c r="B239" s="603" t="s">
        <v>1595</v>
      </c>
      <c r="C239" s="495" t="s">
        <v>1596</v>
      </c>
      <c r="D239" s="530"/>
      <c r="E239" s="530"/>
      <c r="F239" s="531"/>
      <c r="G239" s="532" t="s">
        <v>1597</v>
      </c>
      <c r="H239" s="532"/>
      <c r="I239" s="712" t="s">
        <v>1369</v>
      </c>
    </row>
    <row r="240" spans="2:9" ht="18.75" customHeight="1">
      <c r="B240" s="603"/>
      <c r="C240" s="602" t="s">
        <v>804</v>
      </c>
      <c r="D240" s="530"/>
      <c r="E240" s="530"/>
      <c r="F240" s="531"/>
      <c r="G240" s="532"/>
      <c r="H240" s="532"/>
      <c r="I240" s="712"/>
    </row>
    <row r="241" spans="2:9" ht="36" customHeight="1">
      <c r="B241" s="603"/>
      <c r="C241" s="495" t="s">
        <v>1598</v>
      </c>
      <c r="D241" s="530"/>
      <c r="E241" s="530"/>
      <c r="F241" s="531"/>
      <c r="G241" s="532" t="s">
        <v>1599</v>
      </c>
      <c r="H241" s="532"/>
      <c r="I241" s="712" t="s">
        <v>1369</v>
      </c>
    </row>
    <row r="242" spans="2:9" ht="18.75" customHeight="1">
      <c r="B242" s="603"/>
      <c r="C242" s="498" t="s">
        <v>1600</v>
      </c>
      <c r="D242" s="530"/>
      <c r="E242" s="530"/>
      <c r="F242" s="531"/>
      <c r="G242" s="532" t="s">
        <v>1601</v>
      </c>
      <c r="H242" s="532"/>
      <c r="I242" s="712" t="s">
        <v>1369</v>
      </c>
    </row>
    <row r="243" spans="2:9" ht="120" customHeight="1">
      <c r="B243" s="493" t="s">
        <v>869</v>
      </c>
      <c r="C243" s="516" t="s">
        <v>1602</v>
      </c>
      <c r="D243" s="530"/>
      <c r="E243" s="530"/>
      <c r="F243" s="531"/>
      <c r="G243" s="532" t="s">
        <v>1603</v>
      </c>
      <c r="H243" s="532"/>
      <c r="I243" s="523" t="s">
        <v>1369</v>
      </c>
    </row>
    <row r="244" spans="2:9" ht="108" customHeight="1">
      <c r="B244" s="603" t="s">
        <v>1604</v>
      </c>
      <c r="C244" s="602" t="s">
        <v>1605</v>
      </c>
      <c r="D244" s="530"/>
      <c r="E244" s="530"/>
      <c r="F244" s="531"/>
      <c r="G244" s="532" t="s">
        <v>1606</v>
      </c>
      <c r="H244" s="532"/>
      <c r="I244" s="523" t="s">
        <v>1369</v>
      </c>
    </row>
    <row r="245" spans="2:9" ht="24" customHeight="1">
      <c r="B245" s="603" t="s">
        <v>1607</v>
      </c>
      <c r="C245" s="496" t="s">
        <v>1436</v>
      </c>
      <c r="D245" s="530"/>
      <c r="E245" s="530"/>
      <c r="F245" s="531"/>
      <c r="G245" s="532" t="s">
        <v>1608</v>
      </c>
      <c r="H245" s="532"/>
      <c r="I245" s="523" t="s">
        <v>1369</v>
      </c>
    </row>
    <row r="246" spans="2:9" ht="18.75" customHeight="1">
      <c r="B246" s="603"/>
      <c r="C246" s="497" t="s">
        <v>1609</v>
      </c>
      <c r="D246" s="530"/>
      <c r="E246" s="530"/>
      <c r="F246" s="531"/>
      <c r="G246" s="532" t="s">
        <v>1564</v>
      </c>
      <c r="H246" s="532"/>
      <c r="I246" s="523" t="s">
        <v>1369</v>
      </c>
    </row>
    <row r="247" spans="2:9" ht="24" customHeight="1">
      <c r="B247" s="603"/>
      <c r="C247" s="498" t="s">
        <v>205</v>
      </c>
      <c r="D247" s="530"/>
      <c r="E247" s="530"/>
      <c r="F247" s="531"/>
      <c r="G247" s="532" t="s">
        <v>1610</v>
      </c>
      <c r="H247" s="532"/>
      <c r="I247" s="523" t="s">
        <v>1369</v>
      </c>
    </row>
    <row r="248" spans="2:9" ht="48" customHeight="1">
      <c r="B248" s="603" t="s">
        <v>1611</v>
      </c>
      <c r="C248" s="496" t="s">
        <v>1374</v>
      </c>
      <c r="D248" s="530"/>
      <c r="E248" s="530"/>
      <c r="F248" s="531"/>
      <c r="G248" s="532" t="s">
        <v>1612</v>
      </c>
      <c r="H248" s="532"/>
      <c r="I248" s="523" t="s">
        <v>1369</v>
      </c>
    </row>
    <row r="249" spans="2:9" ht="18.75" customHeight="1">
      <c r="B249" s="603"/>
      <c r="C249" s="497" t="s">
        <v>1377</v>
      </c>
      <c r="D249" s="530"/>
      <c r="E249" s="530"/>
      <c r="F249" s="531"/>
      <c r="G249" s="532" t="s">
        <v>1378</v>
      </c>
      <c r="H249" s="532"/>
      <c r="I249" s="523" t="s">
        <v>1369</v>
      </c>
    </row>
    <row r="250" spans="2:9" ht="18.75" customHeight="1">
      <c r="B250" s="603"/>
      <c r="C250" s="498" t="s">
        <v>1383</v>
      </c>
      <c r="D250" s="530"/>
      <c r="E250" s="530"/>
      <c r="F250" s="531"/>
      <c r="G250" s="532" t="s">
        <v>625</v>
      </c>
      <c r="H250" s="532"/>
      <c r="I250" s="712" t="s">
        <v>1369</v>
      </c>
    </row>
    <row r="251" spans="2:9" ht="18.75" customHeight="1">
      <c r="B251" s="603"/>
      <c r="C251" s="497" t="s">
        <v>211</v>
      </c>
      <c r="D251" s="530"/>
      <c r="E251" s="530"/>
      <c r="F251" s="531"/>
      <c r="G251" s="532" t="s">
        <v>1613</v>
      </c>
      <c r="H251" s="532"/>
      <c r="I251" s="523" t="s">
        <v>1369</v>
      </c>
    </row>
    <row r="252" spans="2:9" ht="18.75" customHeight="1">
      <c r="B252" s="603"/>
      <c r="C252" s="498" t="s">
        <v>1400</v>
      </c>
      <c r="D252" s="530"/>
      <c r="E252" s="530"/>
      <c r="F252" s="531"/>
      <c r="G252" s="532">
        <v>0</v>
      </c>
      <c r="H252" s="532"/>
      <c r="I252" s="523" t="s">
        <v>1369</v>
      </c>
    </row>
    <row r="253" spans="2:9" ht="18.75" customHeight="1">
      <c r="B253" s="603"/>
      <c r="C253" s="497" t="s">
        <v>1574</v>
      </c>
      <c r="D253" s="530"/>
      <c r="E253" s="530"/>
      <c r="F253" s="531"/>
      <c r="G253" s="532" t="s">
        <v>1406</v>
      </c>
      <c r="H253" s="532"/>
      <c r="I253" s="523" t="s">
        <v>1369</v>
      </c>
    </row>
    <row r="254" spans="2:9" ht="18.75" customHeight="1">
      <c r="B254" s="603"/>
      <c r="C254" s="498" t="s">
        <v>1575</v>
      </c>
      <c r="D254" s="530"/>
      <c r="E254" s="530"/>
      <c r="F254" s="531"/>
      <c r="G254" s="532" t="s">
        <v>1409</v>
      </c>
      <c r="H254" s="532"/>
      <c r="I254" s="523" t="s">
        <v>1369</v>
      </c>
    </row>
    <row r="255" spans="2:9" ht="18.75" customHeight="1">
      <c r="B255" s="603"/>
      <c r="C255" s="497" t="s">
        <v>1576</v>
      </c>
      <c r="D255" s="530"/>
      <c r="E255" s="530"/>
      <c r="F255" s="531"/>
      <c r="G255" s="532">
        <v>0</v>
      </c>
      <c r="H255" s="532"/>
      <c r="I255" s="523" t="s">
        <v>1369</v>
      </c>
    </row>
    <row r="256" spans="2:9" ht="18.75" customHeight="1">
      <c r="B256" s="603"/>
      <c r="C256" s="498" t="s">
        <v>1424</v>
      </c>
      <c r="D256" s="530"/>
      <c r="E256" s="530"/>
      <c r="F256" s="531"/>
      <c r="G256" s="532" t="s">
        <v>625</v>
      </c>
      <c r="H256" s="532"/>
      <c r="I256" s="523" t="s">
        <v>1369</v>
      </c>
    </row>
    <row r="257" spans="2:9" ht="18.75" customHeight="1">
      <c r="B257" s="603"/>
      <c r="C257" s="497" t="s">
        <v>1434</v>
      </c>
      <c r="D257" s="530"/>
      <c r="E257" s="530"/>
      <c r="F257" s="531"/>
      <c r="G257" s="532">
        <v>0</v>
      </c>
      <c r="H257" s="532"/>
      <c r="I257" s="523" t="s">
        <v>1369</v>
      </c>
    </row>
    <row r="258" spans="2:9" ht="18.75" customHeight="1">
      <c r="B258" s="603" t="s">
        <v>1614</v>
      </c>
      <c r="C258" s="496" t="s">
        <v>1579</v>
      </c>
      <c r="D258" s="530"/>
      <c r="E258" s="530"/>
      <c r="F258" s="531"/>
      <c r="G258" s="532" t="s">
        <v>1580</v>
      </c>
      <c r="H258" s="532"/>
      <c r="I258" s="523" t="s">
        <v>1369</v>
      </c>
    </row>
    <row r="259" spans="2:9" ht="18.75" customHeight="1">
      <c r="B259" s="603"/>
      <c r="C259" s="497" t="s">
        <v>1581</v>
      </c>
      <c r="D259" s="530"/>
      <c r="E259" s="530"/>
      <c r="F259" s="531"/>
      <c r="G259" s="532" t="s">
        <v>1419</v>
      </c>
      <c r="H259" s="532"/>
      <c r="I259" s="523" t="s">
        <v>1369</v>
      </c>
    </row>
    <row r="260" spans="2:9" ht="18.75" customHeight="1">
      <c r="B260" s="603"/>
      <c r="C260" s="497" t="s">
        <v>1582</v>
      </c>
      <c r="D260" s="530"/>
      <c r="E260" s="530"/>
      <c r="F260" s="531"/>
      <c r="G260" s="532" t="s">
        <v>1422</v>
      </c>
      <c r="H260" s="532"/>
      <c r="I260" s="523" t="s">
        <v>1369</v>
      </c>
    </row>
    <row r="261" spans="2:9" ht="18.75" customHeight="1">
      <c r="B261" s="603" t="s">
        <v>1615</v>
      </c>
      <c r="C261" s="496" t="s">
        <v>1465</v>
      </c>
      <c r="D261" s="530"/>
      <c r="E261" s="530"/>
      <c r="F261" s="531"/>
      <c r="G261" s="532" t="s">
        <v>1466</v>
      </c>
      <c r="H261" s="532"/>
      <c r="I261" s="523" t="s">
        <v>1369</v>
      </c>
    </row>
    <row r="262" spans="2:9" ht="18.75" customHeight="1">
      <c r="B262" s="603"/>
      <c r="C262" s="497" t="s">
        <v>1467</v>
      </c>
      <c r="D262" s="530"/>
      <c r="E262" s="530"/>
      <c r="F262" s="531"/>
      <c r="G262" s="532" t="s">
        <v>1466</v>
      </c>
      <c r="H262" s="532"/>
      <c r="I262" s="523" t="s">
        <v>1369</v>
      </c>
    </row>
    <row r="263" spans="2:9" ht="18.75" customHeight="1">
      <c r="B263" s="603" t="s">
        <v>1616</v>
      </c>
      <c r="C263" s="496" t="s">
        <v>1441</v>
      </c>
      <c r="D263" s="530"/>
      <c r="E263" s="530"/>
      <c r="F263" s="531"/>
      <c r="G263" s="532" t="s">
        <v>1442</v>
      </c>
      <c r="H263" s="532"/>
      <c r="I263" s="523" t="s">
        <v>1369</v>
      </c>
    </row>
    <row r="264" spans="2:9" ht="18.75" customHeight="1">
      <c r="B264" s="603"/>
      <c r="C264" s="497" t="s">
        <v>216</v>
      </c>
      <c r="D264" s="530"/>
      <c r="E264" s="530"/>
      <c r="F264" s="531"/>
      <c r="G264" s="532" t="s">
        <v>1442</v>
      </c>
      <c r="H264" s="532"/>
      <c r="I264" s="523" t="s">
        <v>1369</v>
      </c>
    </row>
    <row r="265" spans="2:9" ht="24" customHeight="1">
      <c r="B265" s="603" t="s">
        <v>1617</v>
      </c>
      <c r="C265" s="602" t="s">
        <v>1618</v>
      </c>
      <c r="D265" s="530"/>
      <c r="E265" s="530"/>
      <c r="F265" s="531"/>
      <c r="G265" s="532" t="s">
        <v>1590</v>
      </c>
      <c r="H265" s="532"/>
      <c r="I265" s="523" t="s">
        <v>1369</v>
      </c>
    </row>
    <row r="266" spans="2:9" ht="18.75" customHeight="1">
      <c r="B266" s="603" t="s">
        <v>884</v>
      </c>
      <c r="C266" s="602" t="s">
        <v>1619</v>
      </c>
      <c r="D266" s="530"/>
      <c r="E266" s="530"/>
      <c r="F266" s="531"/>
      <c r="G266" s="532" t="s">
        <v>1620</v>
      </c>
      <c r="H266" s="532"/>
      <c r="I266" s="523" t="s">
        <v>1369</v>
      </c>
    </row>
    <row r="267" spans="2:9" ht="18.75" customHeight="1">
      <c r="B267" s="603"/>
      <c r="C267" s="605" t="s">
        <v>1621</v>
      </c>
      <c r="D267" s="530"/>
      <c r="E267" s="530"/>
      <c r="F267" s="531"/>
      <c r="G267" s="532" t="s">
        <v>1622</v>
      </c>
      <c r="H267" s="532"/>
      <c r="I267" s="523" t="s">
        <v>1369</v>
      </c>
    </row>
    <row r="268" spans="2:9" ht="18.75" customHeight="1">
      <c r="B268" s="603"/>
      <c r="C268" s="605" t="s">
        <v>1623</v>
      </c>
      <c r="D268" s="530"/>
      <c r="E268" s="530"/>
      <c r="F268" s="531"/>
      <c r="G268" s="532" t="s">
        <v>1624</v>
      </c>
      <c r="H268" s="532"/>
      <c r="I268" s="523" t="s">
        <v>1369</v>
      </c>
    </row>
    <row r="269" spans="2:9" ht="18.75" customHeight="1">
      <c r="B269" s="603"/>
      <c r="C269" s="497" t="s">
        <v>1625</v>
      </c>
      <c r="D269" s="530"/>
      <c r="E269" s="530"/>
      <c r="F269" s="531"/>
      <c r="G269" s="532" t="s">
        <v>1626</v>
      </c>
      <c r="H269" s="532"/>
      <c r="I269" s="523" t="s">
        <v>1369</v>
      </c>
    </row>
    <row r="270" spans="2:9" ht="396" customHeight="1">
      <c r="B270" s="603" t="s">
        <v>896</v>
      </c>
      <c r="C270" s="602" t="s">
        <v>1533</v>
      </c>
      <c r="D270" s="530"/>
      <c r="E270" s="530"/>
      <c r="F270" s="531"/>
      <c r="G270" s="532" t="s">
        <v>1627</v>
      </c>
      <c r="H270" s="532"/>
      <c r="I270" s="523" t="s">
        <v>1369</v>
      </c>
    </row>
    <row r="271" spans="2:9" ht="168" customHeight="1">
      <c r="B271" s="603"/>
      <c r="C271" s="605" t="s">
        <v>1621</v>
      </c>
      <c r="D271" s="530"/>
      <c r="E271" s="530"/>
      <c r="F271" s="531"/>
      <c r="G271" s="532" t="s">
        <v>1628</v>
      </c>
      <c r="H271" s="532"/>
      <c r="I271" s="523" t="s">
        <v>1369</v>
      </c>
    </row>
    <row r="272" spans="2:9" ht="192" customHeight="1">
      <c r="B272" s="603"/>
      <c r="C272" s="605" t="s">
        <v>1623</v>
      </c>
      <c r="D272" s="530"/>
      <c r="E272" s="530"/>
      <c r="F272" s="531"/>
      <c r="G272" s="532" t="s">
        <v>1629</v>
      </c>
      <c r="H272" s="532"/>
      <c r="I272" s="523" t="s">
        <v>1369</v>
      </c>
    </row>
    <row r="273" spans="2:9" ht="24" customHeight="1">
      <c r="B273" s="603"/>
      <c r="C273" s="608" t="s">
        <v>1630</v>
      </c>
      <c r="D273" s="530"/>
      <c r="E273" s="530"/>
      <c r="F273" s="531"/>
      <c r="G273" s="532" t="s">
        <v>1631</v>
      </c>
      <c r="H273" s="532"/>
      <c r="I273" s="523" t="s">
        <v>1369</v>
      </c>
    </row>
    <row r="274" spans="2:9" ht="24" customHeight="1">
      <c r="B274" s="603"/>
      <c r="C274" s="608" t="s">
        <v>1632</v>
      </c>
      <c r="D274" s="530"/>
      <c r="E274" s="530"/>
      <c r="F274" s="531"/>
      <c r="G274" s="532" t="s">
        <v>1633</v>
      </c>
      <c r="H274" s="532"/>
      <c r="I274" s="523" t="s">
        <v>1369</v>
      </c>
    </row>
    <row r="275" spans="2:9" ht="240" customHeight="1">
      <c r="B275" s="493" t="s">
        <v>899</v>
      </c>
      <c r="C275" s="602" t="s">
        <v>1634</v>
      </c>
      <c r="D275" s="530"/>
      <c r="E275" s="530"/>
      <c r="F275" s="531"/>
      <c r="G275" s="532" t="s">
        <v>1635</v>
      </c>
      <c r="H275" s="532"/>
      <c r="I275" s="523" t="s">
        <v>1369</v>
      </c>
    </row>
    <row r="276" spans="2:9" ht="120" customHeight="1">
      <c r="B276" s="493"/>
      <c r="C276" s="608" t="s">
        <v>1621</v>
      </c>
      <c r="D276" s="530"/>
      <c r="E276" s="530"/>
      <c r="F276" s="531"/>
      <c r="G276" s="532" t="s">
        <v>1636</v>
      </c>
      <c r="H276" s="532"/>
      <c r="I276" s="523" t="s">
        <v>1369</v>
      </c>
    </row>
    <row r="277" spans="2:9" ht="96" customHeight="1">
      <c r="B277" s="493"/>
      <c r="C277" s="608" t="s">
        <v>1623</v>
      </c>
      <c r="D277" s="530"/>
      <c r="E277" s="530"/>
      <c r="F277" s="531"/>
      <c r="G277" s="532" t="s">
        <v>1637</v>
      </c>
      <c r="H277" s="532"/>
      <c r="I277" s="712" t="s">
        <v>1369</v>
      </c>
    </row>
    <row r="278" spans="2:9" ht="18.75" customHeight="1">
      <c r="B278" s="493"/>
      <c r="C278" s="608" t="s">
        <v>1630</v>
      </c>
      <c r="D278" s="530"/>
      <c r="E278" s="530"/>
      <c r="F278" s="531"/>
      <c r="G278" s="532" t="s">
        <v>1638</v>
      </c>
      <c r="H278" s="532"/>
      <c r="I278" s="712" t="s">
        <v>1369</v>
      </c>
    </row>
    <row r="279" spans="2:9" ht="18.75" customHeight="1">
      <c r="B279" s="493"/>
      <c r="C279" s="608" t="s">
        <v>1632</v>
      </c>
      <c r="D279" s="530"/>
      <c r="E279" s="530"/>
      <c r="F279" s="531"/>
      <c r="G279" s="532" t="s">
        <v>1639</v>
      </c>
      <c r="H279" s="532"/>
      <c r="I279" s="712" t="s">
        <v>1369</v>
      </c>
    </row>
    <row r="280" spans="2:9" ht="24" customHeight="1">
      <c r="B280" s="603" t="s">
        <v>1640</v>
      </c>
      <c r="C280" s="771" t="s">
        <v>1641</v>
      </c>
      <c r="D280" s="530"/>
      <c r="E280" s="530"/>
      <c r="F280" s="531"/>
      <c r="G280" s="532" t="s">
        <v>1642</v>
      </c>
      <c r="H280" s="532"/>
      <c r="I280" s="391" t="s">
        <v>814</v>
      </c>
    </row>
    <row r="281" spans="2:9" ht="24" customHeight="1">
      <c r="B281" s="603"/>
      <c r="C281" s="760"/>
      <c r="D281" s="530"/>
      <c r="E281" s="530"/>
      <c r="F281" s="531"/>
      <c r="G281" s="532" t="s">
        <v>1643</v>
      </c>
      <c r="H281" s="532"/>
      <c r="I281" s="716" t="s">
        <v>820</v>
      </c>
    </row>
    <row r="282" spans="2:9" ht="18.75" customHeight="1">
      <c r="B282" s="603"/>
      <c r="C282" s="768" t="s">
        <v>1644</v>
      </c>
      <c r="D282" s="530"/>
      <c r="E282" s="530"/>
      <c r="F282" s="531"/>
      <c r="G282" s="532" t="s">
        <v>336</v>
      </c>
      <c r="H282" s="532"/>
      <c r="I282" s="391" t="s">
        <v>814</v>
      </c>
    </row>
    <row r="283" spans="2:9" ht="18.75" customHeight="1">
      <c r="B283" s="603"/>
      <c r="C283" s="760"/>
      <c r="D283" s="530"/>
      <c r="E283" s="530"/>
      <c r="F283" s="531"/>
      <c r="G283" s="532" t="s">
        <v>335</v>
      </c>
      <c r="H283" s="532"/>
      <c r="I283" s="716" t="s">
        <v>820</v>
      </c>
    </row>
    <row r="284" spans="2:9" ht="18.75" customHeight="1">
      <c r="B284" s="603"/>
      <c r="C284" s="765" t="s">
        <v>1645</v>
      </c>
      <c r="D284" s="530"/>
      <c r="E284" s="530"/>
      <c r="F284" s="531"/>
      <c r="G284" s="532" t="s">
        <v>333</v>
      </c>
      <c r="H284" s="532"/>
      <c r="I284" s="391" t="s">
        <v>814</v>
      </c>
    </row>
    <row r="285" spans="2:9" ht="18.75" customHeight="1">
      <c r="B285" s="603"/>
      <c r="C285" s="760"/>
      <c r="D285" s="530"/>
      <c r="E285" s="530"/>
      <c r="F285" s="531"/>
      <c r="G285" s="532" t="s">
        <v>332</v>
      </c>
      <c r="H285" s="532"/>
      <c r="I285" s="716" t="s">
        <v>820</v>
      </c>
    </row>
    <row r="286" spans="2:9" ht="18.75" customHeight="1">
      <c r="B286" s="603"/>
      <c r="C286" s="765" t="s">
        <v>1646</v>
      </c>
      <c r="D286" s="530"/>
      <c r="E286" s="530"/>
      <c r="F286" s="531"/>
      <c r="G286" s="532" t="s">
        <v>1647</v>
      </c>
      <c r="H286" s="532"/>
      <c r="I286" s="391" t="s">
        <v>814</v>
      </c>
    </row>
    <row r="287" spans="2:9" ht="18.75" customHeight="1">
      <c r="B287" s="603"/>
      <c r="C287" s="760"/>
      <c r="D287" s="530"/>
      <c r="E287" s="530"/>
      <c r="F287" s="531"/>
      <c r="G287" s="532" t="s">
        <v>1648</v>
      </c>
      <c r="H287" s="532"/>
      <c r="I287" s="716" t="s">
        <v>820</v>
      </c>
    </row>
    <row r="288" spans="2:9" ht="18.75" customHeight="1">
      <c r="B288" s="603"/>
      <c r="C288" s="765" t="s">
        <v>1649</v>
      </c>
      <c r="D288" s="530"/>
      <c r="E288" s="530"/>
      <c r="F288" s="531"/>
      <c r="G288" s="532" t="s">
        <v>1650</v>
      </c>
      <c r="H288" s="532"/>
      <c r="I288" s="391" t="s">
        <v>814</v>
      </c>
    </row>
    <row r="289" spans="2:9" ht="18.75" customHeight="1">
      <c r="B289" s="603"/>
      <c r="C289" s="760"/>
      <c r="D289" s="530"/>
      <c r="E289" s="530"/>
      <c r="F289" s="531"/>
      <c r="G289" s="532" t="s">
        <v>1651</v>
      </c>
      <c r="H289" s="532"/>
      <c r="I289" s="716" t="s">
        <v>820</v>
      </c>
    </row>
    <row r="290" spans="2:9" ht="18.75" customHeight="1">
      <c r="B290" s="603"/>
      <c r="C290" s="765" t="s">
        <v>1652</v>
      </c>
      <c r="D290" s="530"/>
      <c r="E290" s="530"/>
      <c r="F290" s="531"/>
      <c r="G290" s="532" t="s">
        <v>342</v>
      </c>
      <c r="H290" s="532"/>
      <c r="I290" s="391" t="s">
        <v>814</v>
      </c>
    </row>
    <row r="291" spans="2:9" ht="18.75" customHeight="1">
      <c r="B291" s="603"/>
      <c r="C291" s="760"/>
      <c r="D291" s="530"/>
      <c r="E291" s="530"/>
      <c r="F291" s="531"/>
      <c r="G291" s="532" t="s">
        <v>341</v>
      </c>
      <c r="H291" s="532"/>
      <c r="I291" s="716" t="s">
        <v>820</v>
      </c>
    </row>
    <row r="292" spans="2:9" ht="18.75" customHeight="1">
      <c r="B292" s="603"/>
      <c r="C292" s="602" t="s">
        <v>804</v>
      </c>
      <c r="D292" s="530"/>
      <c r="E292" s="530"/>
      <c r="F292" s="531"/>
      <c r="G292" s="532"/>
      <c r="H292" s="532"/>
      <c r="I292" s="712"/>
    </row>
    <row r="293" spans="2:9" ht="18.75" customHeight="1">
      <c r="B293" s="603"/>
      <c r="C293" s="766" t="s">
        <v>1653</v>
      </c>
      <c r="D293" s="530"/>
      <c r="E293" s="530"/>
      <c r="F293" s="531"/>
      <c r="G293" s="532" t="s">
        <v>1654</v>
      </c>
      <c r="H293" s="532"/>
      <c r="I293" s="391" t="s">
        <v>814</v>
      </c>
    </row>
    <row r="294" spans="2:9" ht="18.75" customHeight="1">
      <c r="B294" s="603"/>
      <c r="C294" s="760"/>
      <c r="D294" s="530"/>
      <c r="E294" s="530"/>
      <c r="F294" s="531"/>
      <c r="G294" s="532" t="s">
        <v>1655</v>
      </c>
      <c r="H294" s="532"/>
      <c r="I294" s="716" t="s">
        <v>820</v>
      </c>
    </row>
    <row r="295" spans="2:9" ht="18.75" customHeight="1">
      <c r="B295" s="603"/>
      <c r="C295" s="765" t="s">
        <v>1621</v>
      </c>
      <c r="D295" s="530"/>
      <c r="E295" s="530"/>
      <c r="F295" s="531"/>
      <c r="G295" s="532" t="s">
        <v>1656</v>
      </c>
      <c r="H295" s="532"/>
      <c r="I295" s="391" t="s">
        <v>814</v>
      </c>
    </row>
    <row r="296" spans="2:9" ht="18.75" customHeight="1">
      <c r="B296" s="603"/>
      <c r="C296" s="760"/>
      <c r="D296" s="530"/>
      <c r="E296" s="530"/>
      <c r="F296" s="531"/>
      <c r="G296" s="532" t="s">
        <v>1657</v>
      </c>
      <c r="H296" s="532"/>
      <c r="I296" s="716" t="s">
        <v>820</v>
      </c>
    </row>
    <row r="297" spans="2:9" ht="18.75" customHeight="1">
      <c r="B297" s="603"/>
      <c r="C297" s="765" t="s">
        <v>1632</v>
      </c>
      <c r="D297" s="530"/>
      <c r="E297" s="530"/>
      <c r="F297" s="531"/>
      <c r="G297" s="532" t="s">
        <v>1658</v>
      </c>
      <c r="H297" s="532"/>
      <c r="I297" s="391" t="s">
        <v>814</v>
      </c>
    </row>
    <row r="298" spans="2:9" ht="18.75" customHeight="1">
      <c r="B298" s="603"/>
      <c r="C298" s="760"/>
      <c r="D298" s="530"/>
      <c r="E298" s="530"/>
      <c r="F298" s="531"/>
      <c r="G298" s="532" t="s">
        <v>1659</v>
      </c>
      <c r="H298" s="532"/>
      <c r="I298" s="716" t="s">
        <v>820</v>
      </c>
    </row>
    <row r="299" spans="2:9" ht="18.75" customHeight="1">
      <c r="B299" s="603"/>
      <c r="C299" s="766" t="s">
        <v>1660</v>
      </c>
      <c r="D299" s="530"/>
      <c r="E299" s="530"/>
      <c r="F299" s="531"/>
      <c r="G299" s="532" t="s">
        <v>1661</v>
      </c>
      <c r="H299" s="532"/>
      <c r="I299" s="391" t="s">
        <v>814</v>
      </c>
    </row>
    <row r="300" spans="2:9" ht="18.75" customHeight="1">
      <c r="B300" s="603"/>
      <c r="C300" s="760"/>
      <c r="D300" s="530"/>
      <c r="E300" s="530"/>
      <c r="F300" s="531"/>
      <c r="G300" s="532" t="s">
        <v>1662</v>
      </c>
      <c r="H300" s="532"/>
      <c r="I300" s="716" t="s">
        <v>820</v>
      </c>
    </row>
    <row r="301" spans="2:9" ht="18.75" customHeight="1">
      <c r="B301" s="603"/>
      <c r="C301" s="765" t="s">
        <v>1621</v>
      </c>
      <c r="D301" s="530"/>
      <c r="E301" s="530"/>
      <c r="F301" s="531"/>
      <c r="G301" s="532" t="s">
        <v>1661</v>
      </c>
      <c r="H301" s="532"/>
      <c r="I301" s="391" t="s">
        <v>814</v>
      </c>
    </row>
    <row r="302" spans="2:9" ht="18.75" customHeight="1">
      <c r="B302" s="603"/>
      <c r="C302" s="760"/>
      <c r="D302" s="530"/>
      <c r="E302" s="530"/>
      <c r="F302" s="531"/>
      <c r="G302" s="532" t="s">
        <v>1662</v>
      </c>
      <c r="H302" s="532"/>
      <c r="I302" s="716" t="s">
        <v>820</v>
      </c>
    </row>
    <row r="303" spans="2:9" ht="18.75" customHeight="1">
      <c r="B303" s="603" t="s">
        <v>1663</v>
      </c>
      <c r="C303" s="774" t="s">
        <v>1664</v>
      </c>
      <c r="D303" s="530"/>
      <c r="E303" s="530"/>
      <c r="F303" s="531"/>
      <c r="G303" s="532" t="s">
        <v>1665</v>
      </c>
      <c r="H303" s="532"/>
      <c r="I303" s="391" t="s">
        <v>814</v>
      </c>
    </row>
    <row r="304" spans="2:9" ht="18.75" customHeight="1">
      <c r="B304" s="603"/>
      <c r="C304" s="760"/>
      <c r="D304" s="530"/>
      <c r="E304" s="530"/>
      <c r="F304" s="531"/>
      <c r="G304" s="532" t="s">
        <v>1666</v>
      </c>
      <c r="H304" s="532"/>
      <c r="I304" s="716" t="s">
        <v>820</v>
      </c>
    </row>
    <row r="305" spans="2:9" ht="18.75" customHeight="1">
      <c r="B305" s="603"/>
      <c r="C305" s="765" t="s">
        <v>1621</v>
      </c>
      <c r="D305" s="530"/>
      <c r="E305" s="530"/>
      <c r="F305" s="531"/>
      <c r="G305" s="532" t="s">
        <v>330</v>
      </c>
      <c r="H305" s="532"/>
      <c r="I305" s="391" t="s">
        <v>814</v>
      </c>
    </row>
    <row r="306" spans="2:9" ht="18.75" customHeight="1">
      <c r="B306" s="603"/>
      <c r="C306" s="760"/>
      <c r="D306" s="530"/>
      <c r="E306" s="530"/>
      <c r="F306" s="531"/>
      <c r="G306" s="532" t="s">
        <v>329</v>
      </c>
      <c r="H306" s="532"/>
      <c r="I306" s="716" t="s">
        <v>820</v>
      </c>
    </row>
    <row r="307" spans="2:9" ht="18.75" customHeight="1">
      <c r="B307" s="603"/>
      <c r="C307" s="765" t="s">
        <v>1630</v>
      </c>
      <c r="D307" s="530"/>
      <c r="E307" s="530"/>
      <c r="F307" s="531"/>
      <c r="G307" s="532" t="s">
        <v>339</v>
      </c>
      <c r="H307" s="532"/>
      <c r="I307" s="391" t="s">
        <v>814</v>
      </c>
    </row>
    <row r="308" spans="2:9" ht="18.75" customHeight="1">
      <c r="B308" s="603"/>
      <c r="C308" s="760"/>
      <c r="D308" s="530"/>
      <c r="E308" s="530"/>
      <c r="F308" s="531"/>
      <c r="G308" s="532" t="s">
        <v>338</v>
      </c>
      <c r="H308" s="532"/>
      <c r="I308" s="716" t="s">
        <v>820</v>
      </c>
    </row>
    <row r="309" spans="2:9" ht="18.75" customHeight="1">
      <c r="B309" s="603" t="s">
        <v>1667</v>
      </c>
      <c r="C309" s="774" t="s">
        <v>1668</v>
      </c>
      <c r="D309" s="530"/>
      <c r="E309" s="530"/>
      <c r="F309" s="531"/>
      <c r="G309" s="532" t="s">
        <v>767</v>
      </c>
      <c r="H309" s="532"/>
      <c r="I309" s="391" t="s">
        <v>814</v>
      </c>
    </row>
    <row r="310" spans="2:9" ht="18.75" customHeight="1">
      <c r="B310" s="603"/>
      <c r="C310" s="760"/>
      <c r="D310" s="530"/>
      <c r="E310" s="530"/>
      <c r="F310" s="531"/>
      <c r="G310" s="532" t="s">
        <v>766</v>
      </c>
      <c r="H310" s="532"/>
      <c r="I310" s="716" t="s">
        <v>820</v>
      </c>
    </row>
    <row r="311" spans="2:9" ht="18.75" customHeight="1">
      <c r="B311" s="603"/>
      <c r="C311" s="765" t="s">
        <v>1669</v>
      </c>
      <c r="D311" s="530"/>
      <c r="E311" s="530"/>
      <c r="F311" s="531"/>
      <c r="G311" s="532" t="s">
        <v>767</v>
      </c>
      <c r="H311" s="532"/>
      <c r="I311" s="391" t="s">
        <v>814</v>
      </c>
    </row>
    <row r="312" spans="2:9" ht="18.75" customHeight="1">
      <c r="B312" s="603"/>
      <c r="C312" s="760"/>
      <c r="D312" s="530"/>
      <c r="E312" s="530"/>
      <c r="F312" s="531"/>
      <c r="G312" s="532" t="s">
        <v>766</v>
      </c>
      <c r="H312" s="532"/>
      <c r="I312" s="716" t="s">
        <v>820</v>
      </c>
    </row>
    <row r="313" spans="2:9" ht="18.75" customHeight="1">
      <c r="B313" s="603"/>
      <c r="C313" s="602" t="s">
        <v>804</v>
      </c>
      <c r="D313" s="530"/>
      <c r="E313" s="530"/>
      <c r="F313" s="531"/>
      <c r="G313" s="532"/>
      <c r="H313" s="532"/>
      <c r="I313" s="716"/>
    </row>
    <row r="314" spans="2:9" ht="18.75" customHeight="1">
      <c r="B314" s="603"/>
      <c r="C314" s="769" t="s">
        <v>1670</v>
      </c>
      <c r="D314" s="530"/>
      <c r="E314" s="530"/>
      <c r="F314" s="531"/>
      <c r="G314" s="532" t="s">
        <v>1671</v>
      </c>
      <c r="H314" s="532"/>
      <c r="I314" s="391" t="s">
        <v>814</v>
      </c>
    </row>
    <row r="315" spans="2:9" ht="18.75" customHeight="1">
      <c r="B315" s="603"/>
      <c r="C315" s="760"/>
      <c r="D315" s="530"/>
      <c r="E315" s="530"/>
      <c r="F315" s="531"/>
      <c r="G315" s="532" t="s">
        <v>1672</v>
      </c>
      <c r="H315" s="532"/>
      <c r="I315" s="391" t="s">
        <v>814</v>
      </c>
    </row>
    <row r="316" spans="2:9" ht="18.75" customHeight="1">
      <c r="B316" s="603"/>
      <c r="C316" s="769" t="s">
        <v>1673</v>
      </c>
      <c r="D316" s="530"/>
      <c r="E316" s="530"/>
      <c r="F316" s="531"/>
      <c r="G316" s="532" t="s">
        <v>1674</v>
      </c>
      <c r="H316" s="532"/>
      <c r="I316" s="391" t="s">
        <v>814</v>
      </c>
    </row>
    <row r="317" spans="2:9" ht="18.75" customHeight="1">
      <c r="B317" s="603"/>
      <c r="C317" s="760"/>
      <c r="D317" s="530"/>
      <c r="E317" s="530"/>
      <c r="F317" s="531"/>
      <c r="G317" s="532" t="s">
        <v>1675</v>
      </c>
      <c r="H317" s="532"/>
      <c r="I317" s="391" t="s">
        <v>814</v>
      </c>
    </row>
    <row r="318" spans="2:9" ht="18.75" customHeight="1">
      <c r="B318" s="603" t="s">
        <v>1676</v>
      </c>
      <c r="C318" s="500" t="s">
        <v>1677</v>
      </c>
      <c r="D318" s="530"/>
      <c r="E318" s="530"/>
      <c r="F318" s="531"/>
      <c r="G318" s="532" t="s">
        <v>1678</v>
      </c>
      <c r="H318" s="532"/>
      <c r="I318" s="391" t="s">
        <v>814</v>
      </c>
    </row>
    <row r="319" spans="2:9" ht="18.75" customHeight="1">
      <c r="B319" s="603"/>
      <c r="C319" s="608" t="s">
        <v>1621</v>
      </c>
      <c r="D319" s="530"/>
      <c r="E319" s="530"/>
      <c r="F319" s="531"/>
      <c r="G319" s="532" t="s">
        <v>407</v>
      </c>
      <c r="H319" s="532"/>
      <c r="I319" s="391" t="s">
        <v>814</v>
      </c>
    </row>
    <row r="320" spans="2:9" ht="18.75" customHeight="1">
      <c r="B320" s="603"/>
      <c r="C320" s="608" t="s">
        <v>1623</v>
      </c>
      <c r="D320" s="530"/>
      <c r="E320" s="530"/>
      <c r="F320" s="531"/>
      <c r="G320" s="532" t="s">
        <v>409</v>
      </c>
      <c r="H320" s="532"/>
      <c r="I320" s="391" t="s">
        <v>814</v>
      </c>
    </row>
    <row r="321" spans="2:9" ht="19.5" customHeight="1">
      <c r="B321" s="603"/>
      <c r="C321" s="501" t="s">
        <v>804</v>
      </c>
      <c r="D321" s="530"/>
      <c r="E321" s="530"/>
      <c r="F321" s="531"/>
      <c r="G321" s="532"/>
      <c r="H321" s="532"/>
      <c r="I321" s="391"/>
    </row>
    <row r="322" spans="2:9" ht="19.5" customHeight="1">
      <c r="B322" s="603"/>
      <c r="C322" s="502" t="s">
        <v>1679</v>
      </c>
      <c r="D322" s="530"/>
      <c r="E322" s="530"/>
      <c r="F322" s="531"/>
      <c r="G322" s="532" t="s">
        <v>1680</v>
      </c>
      <c r="H322" s="532"/>
      <c r="I322" s="391" t="s">
        <v>814</v>
      </c>
    </row>
    <row r="323" spans="2:9" ht="18.75" customHeight="1">
      <c r="B323" s="603"/>
      <c r="C323" s="380" t="s">
        <v>1621</v>
      </c>
      <c r="D323" s="530"/>
      <c r="E323" s="530"/>
      <c r="F323" s="531"/>
      <c r="G323" s="532" t="s">
        <v>273</v>
      </c>
      <c r="H323" s="532"/>
      <c r="I323" s="391" t="s">
        <v>814</v>
      </c>
    </row>
    <row r="324" spans="2:9" ht="18.75" customHeight="1">
      <c r="B324" s="603"/>
      <c r="C324" s="380" t="s">
        <v>1623</v>
      </c>
      <c r="D324" s="530"/>
      <c r="E324" s="530"/>
      <c r="F324" s="531"/>
      <c r="G324" s="532" t="s">
        <v>274</v>
      </c>
      <c r="H324" s="532"/>
      <c r="I324" s="391" t="s">
        <v>814</v>
      </c>
    </row>
    <row r="325" spans="2:9" ht="19.5" customHeight="1">
      <c r="B325" s="603"/>
      <c r="C325" s="502" t="s">
        <v>1681</v>
      </c>
      <c r="D325" s="530"/>
      <c r="E325" s="530"/>
      <c r="F325" s="531"/>
      <c r="G325" s="532" t="s">
        <v>1682</v>
      </c>
      <c r="H325" s="532"/>
      <c r="I325" s="391" t="s">
        <v>814</v>
      </c>
    </row>
    <row r="326" spans="2:9" ht="18.75" customHeight="1">
      <c r="B326" s="603"/>
      <c r="C326" s="380" t="s">
        <v>1621</v>
      </c>
      <c r="D326" s="530"/>
      <c r="E326" s="530"/>
      <c r="F326" s="531"/>
      <c r="G326" s="532" t="s">
        <v>291</v>
      </c>
      <c r="H326" s="532"/>
      <c r="I326" s="391" t="s">
        <v>814</v>
      </c>
    </row>
    <row r="327" spans="2:9" ht="18.75" customHeight="1">
      <c r="B327" s="603"/>
      <c r="C327" s="503" t="s">
        <v>1683</v>
      </c>
      <c r="D327" s="530"/>
      <c r="E327" s="530"/>
      <c r="F327" s="531"/>
      <c r="G327" s="532"/>
      <c r="H327" s="532"/>
      <c r="I327" s="391" t="s">
        <v>814</v>
      </c>
    </row>
    <row r="328" spans="2:9" ht="18.75" customHeight="1">
      <c r="B328" s="603"/>
      <c r="C328" s="380" t="s">
        <v>1623</v>
      </c>
      <c r="D328" s="530"/>
      <c r="E328" s="530"/>
      <c r="F328" s="531"/>
      <c r="G328" s="532" t="s">
        <v>292</v>
      </c>
      <c r="H328" s="532"/>
      <c r="I328" s="391" t="s">
        <v>814</v>
      </c>
    </row>
    <row r="329" spans="2:9" ht="18.75" customHeight="1">
      <c r="B329" s="603"/>
      <c r="C329" s="503" t="s">
        <v>1683</v>
      </c>
      <c r="D329" s="530"/>
      <c r="E329" s="530"/>
      <c r="F329" s="531"/>
      <c r="G329" s="532"/>
      <c r="H329" s="532"/>
      <c r="I329" s="391" t="s">
        <v>814</v>
      </c>
    </row>
    <row r="330" spans="2:9" ht="36" customHeight="1">
      <c r="B330" s="603" t="s">
        <v>1684</v>
      </c>
      <c r="C330" s="500" t="s">
        <v>1685</v>
      </c>
      <c r="D330" s="530"/>
      <c r="E330" s="530"/>
      <c r="F330" s="531"/>
      <c r="G330" s="532" t="s">
        <v>1686</v>
      </c>
      <c r="H330" s="532"/>
      <c r="I330" s="712" t="s">
        <v>1369</v>
      </c>
    </row>
    <row r="331" spans="2:9" ht="18.75" customHeight="1">
      <c r="B331" s="603"/>
      <c r="C331" s="608" t="s">
        <v>1621</v>
      </c>
      <c r="D331" s="530"/>
      <c r="E331" s="530"/>
      <c r="F331" s="531"/>
      <c r="G331" s="532" t="s">
        <v>1687</v>
      </c>
      <c r="H331" s="532"/>
      <c r="I331" s="712" t="s">
        <v>1369</v>
      </c>
    </row>
    <row r="332" spans="2:9" ht="18.75" customHeight="1">
      <c r="B332" s="603"/>
      <c r="C332" s="504" t="s">
        <v>1688</v>
      </c>
      <c r="D332" s="530"/>
      <c r="E332" s="530"/>
      <c r="F332" s="531"/>
      <c r="G332" s="532" t="s">
        <v>446</v>
      </c>
      <c r="H332" s="532"/>
      <c r="I332" s="712" t="s">
        <v>1369</v>
      </c>
    </row>
    <row r="333" spans="2:9" ht="18.75" customHeight="1">
      <c r="B333" s="603"/>
      <c r="C333" s="504" t="s">
        <v>447</v>
      </c>
      <c r="D333" s="530"/>
      <c r="E333" s="530"/>
      <c r="F333" s="531"/>
      <c r="G333" s="532" t="s">
        <v>448</v>
      </c>
      <c r="H333" s="532"/>
      <c r="I333" s="712" t="s">
        <v>1369</v>
      </c>
    </row>
    <row r="334" spans="2:9" ht="24" customHeight="1">
      <c r="B334" s="603"/>
      <c r="C334" s="608" t="s">
        <v>1623</v>
      </c>
      <c r="D334" s="530"/>
      <c r="E334" s="530"/>
      <c r="F334" s="531"/>
      <c r="G334" s="532" t="s">
        <v>1689</v>
      </c>
      <c r="H334" s="532"/>
      <c r="I334" s="712" t="s">
        <v>1369</v>
      </c>
    </row>
    <row r="335" spans="2:9" ht="18.75" customHeight="1">
      <c r="B335" s="603"/>
      <c r="C335" s="504" t="s">
        <v>1690</v>
      </c>
      <c r="D335" s="530"/>
      <c r="E335" s="530"/>
      <c r="F335" s="531"/>
      <c r="G335" s="532" t="s">
        <v>450</v>
      </c>
      <c r="H335" s="532"/>
      <c r="I335" s="712" t="s">
        <v>1369</v>
      </c>
    </row>
    <row r="336" spans="2:9" ht="18.75" customHeight="1">
      <c r="B336" s="603"/>
      <c r="C336" s="504" t="s">
        <v>451</v>
      </c>
      <c r="D336" s="530"/>
      <c r="E336" s="530"/>
      <c r="F336" s="531"/>
      <c r="G336" s="532" t="s">
        <v>452</v>
      </c>
      <c r="H336" s="532"/>
      <c r="I336" s="712" t="s">
        <v>1369</v>
      </c>
    </row>
    <row r="337" spans="2:9" ht="18.75" customHeight="1">
      <c r="B337" s="603"/>
      <c r="C337" s="504" t="s">
        <v>439</v>
      </c>
      <c r="D337" s="530"/>
      <c r="E337" s="530"/>
      <c r="F337" s="531"/>
      <c r="G337" s="532" t="s">
        <v>454</v>
      </c>
      <c r="H337" s="532"/>
      <c r="I337" s="712" t="s">
        <v>1369</v>
      </c>
    </row>
    <row r="338" spans="2:9" ht="18.75" customHeight="1">
      <c r="B338" s="603" t="s">
        <v>1691</v>
      </c>
      <c r="C338" s="500" t="s">
        <v>1692</v>
      </c>
      <c r="D338" s="530"/>
      <c r="E338" s="530"/>
      <c r="F338" s="531"/>
      <c r="G338" s="532" t="s">
        <v>478</v>
      </c>
      <c r="H338" s="532"/>
      <c r="I338" s="712" t="s">
        <v>1369</v>
      </c>
    </row>
    <row r="339" spans="2:9" ht="18.75" customHeight="1">
      <c r="B339" s="603" t="s">
        <v>1693</v>
      </c>
      <c r="C339" s="500" t="s">
        <v>1694</v>
      </c>
      <c r="D339" s="530"/>
      <c r="E339" s="530"/>
      <c r="F339" s="531"/>
      <c r="G339" s="532" t="s">
        <v>611</v>
      </c>
      <c r="H339" s="532"/>
      <c r="I339" s="712" t="s">
        <v>1369</v>
      </c>
    </row>
    <row r="340" spans="2:9" ht="18.75" customHeight="1">
      <c r="B340" s="603"/>
      <c r="C340" s="608" t="s">
        <v>617</v>
      </c>
      <c r="D340" s="530"/>
      <c r="E340" s="530"/>
      <c r="F340" s="531"/>
      <c r="G340" s="532" t="s">
        <v>622</v>
      </c>
      <c r="H340" s="532"/>
      <c r="I340" s="712" t="s">
        <v>1369</v>
      </c>
    </row>
    <row r="341" spans="2:9" ht="18.75" customHeight="1">
      <c r="B341" s="603"/>
      <c r="C341" s="608" t="s">
        <v>626</v>
      </c>
      <c r="D341" s="530"/>
      <c r="E341" s="530"/>
      <c r="F341" s="531"/>
      <c r="G341" s="532" t="s">
        <v>623</v>
      </c>
      <c r="H341" s="532"/>
      <c r="I341" s="712" t="s">
        <v>1369</v>
      </c>
    </row>
    <row r="342" spans="2:9" ht="18.75" customHeight="1">
      <c r="B342" s="603" t="s">
        <v>1695</v>
      </c>
      <c r="C342" s="604" t="s">
        <v>1696</v>
      </c>
      <c r="D342" s="530"/>
      <c r="E342" s="530"/>
      <c r="F342" s="531"/>
      <c r="G342" s="532" t="s">
        <v>629</v>
      </c>
      <c r="H342" s="532"/>
      <c r="I342" s="712" t="s">
        <v>1369</v>
      </c>
    </row>
    <row r="343" spans="2:9" ht="18.75" customHeight="1">
      <c r="B343" s="603"/>
      <c r="C343" s="608" t="s">
        <v>1621</v>
      </c>
      <c r="D343" s="530"/>
      <c r="E343" s="530"/>
      <c r="F343" s="531"/>
      <c r="G343" s="532" t="s">
        <v>631</v>
      </c>
      <c r="H343" s="532"/>
      <c r="I343" s="712" t="s">
        <v>1369</v>
      </c>
    </row>
    <row r="344" spans="2:9" ht="18.75" customHeight="1">
      <c r="B344" s="603"/>
      <c r="C344" s="608" t="s">
        <v>1623</v>
      </c>
      <c r="D344" s="530"/>
      <c r="E344" s="530"/>
      <c r="F344" s="531"/>
      <c r="G344" s="532" t="s">
        <v>632</v>
      </c>
      <c r="H344" s="532"/>
      <c r="I344" s="712" t="s">
        <v>1369</v>
      </c>
    </row>
    <row r="345" spans="2:9" ht="18.75" customHeight="1">
      <c r="B345" s="603" t="s">
        <v>1697</v>
      </c>
      <c r="C345" s="500" t="s">
        <v>1698</v>
      </c>
      <c r="D345" s="530"/>
      <c r="E345" s="530"/>
      <c r="F345" s="531"/>
      <c r="G345" s="532" t="s">
        <v>1699</v>
      </c>
      <c r="H345" s="532"/>
      <c r="I345" s="712" t="s">
        <v>1369</v>
      </c>
    </row>
    <row r="346" spans="2:9" ht="18.75" customHeight="1">
      <c r="B346" s="603"/>
      <c r="C346" s="608" t="s">
        <v>1621</v>
      </c>
      <c r="D346" s="530"/>
      <c r="E346" s="530"/>
      <c r="F346" s="531"/>
      <c r="G346" s="532" t="s">
        <v>640</v>
      </c>
      <c r="H346" s="532"/>
      <c r="I346" s="712" t="s">
        <v>1369</v>
      </c>
    </row>
    <row r="347" spans="2:9" ht="18.75" customHeight="1">
      <c r="B347" s="603"/>
      <c r="C347" s="608" t="s">
        <v>1623</v>
      </c>
      <c r="D347" s="530"/>
      <c r="E347" s="530"/>
      <c r="F347" s="531"/>
      <c r="G347" s="532" t="s">
        <v>641</v>
      </c>
      <c r="H347" s="532"/>
      <c r="I347" s="712" t="s">
        <v>1369</v>
      </c>
    </row>
    <row r="348" spans="2:9" ht="18.75" customHeight="1">
      <c r="B348" s="603" t="s">
        <v>1700</v>
      </c>
      <c r="C348" s="500" t="s">
        <v>1701</v>
      </c>
      <c r="D348" s="530"/>
      <c r="E348" s="530"/>
      <c r="F348" s="531"/>
      <c r="G348" s="532" t="s">
        <v>1702</v>
      </c>
      <c r="H348" s="532"/>
      <c r="I348" s="712" t="s">
        <v>1369</v>
      </c>
    </row>
    <row r="349" spans="2:9" ht="18.75" customHeight="1">
      <c r="B349" s="603"/>
      <c r="C349" s="608" t="s">
        <v>1621</v>
      </c>
      <c r="D349" s="530"/>
      <c r="E349" s="530"/>
      <c r="F349" s="531"/>
      <c r="G349" s="532" t="s">
        <v>662</v>
      </c>
      <c r="H349" s="532"/>
      <c r="I349" s="712" t="s">
        <v>1369</v>
      </c>
    </row>
    <row r="350" spans="2:9" ht="18.75" customHeight="1">
      <c r="B350" s="603"/>
      <c r="C350" s="505" t="s">
        <v>1703</v>
      </c>
      <c r="D350" s="530"/>
      <c r="E350" s="530"/>
      <c r="F350" s="531"/>
      <c r="G350" s="532" t="s">
        <v>1704</v>
      </c>
      <c r="H350" s="532"/>
      <c r="I350" s="712" t="s">
        <v>1369</v>
      </c>
    </row>
    <row r="351" spans="2:9" ht="18.75" customHeight="1">
      <c r="B351" s="603"/>
      <c r="C351" s="608" t="s">
        <v>1623</v>
      </c>
      <c r="D351" s="530"/>
      <c r="E351" s="530"/>
      <c r="F351" s="531"/>
      <c r="G351" s="532" t="s">
        <v>658</v>
      </c>
      <c r="H351" s="532"/>
      <c r="I351" s="712" t="s">
        <v>1369</v>
      </c>
    </row>
    <row r="352" spans="2:9" ht="18.75" customHeight="1">
      <c r="B352" s="603" t="s">
        <v>1705</v>
      </c>
      <c r="C352" s="500" t="s">
        <v>1706</v>
      </c>
      <c r="D352" s="530"/>
      <c r="E352" s="530"/>
      <c r="F352" s="531"/>
      <c r="G352" s="532" t="s">
        <v>1707</v>
      </c>
      <c r="H352" s="532"/>
      <c r="I352" s="712" t="s">
        <v>1369</v>
      </c>
    </row>
    <row r="353" spans="2:9" ht="18.75" customHeight="1">
      <c r="B353" s="603"/>
      <c r="C353" s="608" t="s">
        <v>1621</v>
      </c>
      <c r="D353" s="530"/>
      <c r="E353" s="530"/>
      <c r="F353" s="531"/>
      <c r="G353" s="532" t="s">
        <v>587</v>
      </c>
      <c r="H353" s="532"/>
      <c r="I353" s="712" t="s">
        <v>1369</v>
      </c>
    </row>
    <row r="354" spans="2:9" ht="18.75" customHeight="1">
      <c r="B354" s="603"/>
      <c r="C354" s="608" t="s">
        <v>1623</v>
      </c>
      <c r="D354" s="530"/>
      <c r="E354" s="530"/>
      <c r="F354" s="531"/>
      <c r="G354" s="532" t="s">
        <v>1708</v>
      </c>
      <c r="H354" s="532"/>
      <c r="I354" s="712" t="s">
        <v>1369</v>
      </c>
    </row>
    <row r="355" spans="2:9" ht="24" customHeight="1">
      <c r="B355" s="603" t="s">
        <v>1709</v>
      </c>
      <c r="C355" s="506" t="s">
        <v>1710</v>
      </c>
      <c r="D355" s="530"/>
      <c r="E355" s="530"/>
      <c r="F355" s="531"/>
      <c r="G355" s="532" t="s">
        <v>1711</v>
      </c>
      <c r="H355" s="532"/>
      <c r="I355" s="523" t="s">
        <v>1369</v>
      </c>
    </row>
    <row r="356" spans="2:9" ht="18.75" customHeight="1">
      <c r="B356" s="603"/>
      <c r="C356" s="608" t="s">
        <v>1621</v>
      </c>
      <c r="D356" s="530"/>
      <c r="E356" s="530"/>
      <c r="F356" s="531"/>
      <c r="G356" s="532" t="s">
        <v>1712</v>
      </c>
      <c r="H356" s="532"/>
      <c r="I356" s="523" t="s">
        <v>1369</v>
      </c>
    </row>
    <row r="357" spans="2:9" ht="18.75" customHeight="1">
      <c r="B357" s="603"/>
      <c r="C357" s="504" t="s">
        <v>1713</v>
      </c>
      <c r="D357" s="530"/>
      <c r="E357" s="530"/>
      <c r="F357" s="531"/>
      <c r="G357" s="532" t="s">
        <v>1714</v>
      </c>
      <c r="H357" s="532"/>
      <c r="I357" s="712" t="s">
        <v>1369</v>
      </c>
    </row>
    <row r="358" spans="2:9" ht="18.75" customHeight="1">
      <c r="B358" s="603"/>
      <c r="C358" s="504" t="s">
        <v>1715</v>
      </c>
      <c r="D358" s="530"/>
      <c r="E358" s="530"/>
      <c r="F358" s="531"/>
      <c r="G358" s="532" t="s">
        <v>1716</v>
      </c>
      <c r="H358" s="532"/>
      <c r="I358" s="712" t="s">
        <v>1369</v>
      </c>
    </row>
    <row r="359" spans="2:9" ht="18.75" customHeight="1">
      <c r="B359" s="603"/>
      <c r="C359" s="608" t="s">
        <v>1623</v>
      </c>
      <c r="D359" s="530"/>
      <c r="E359" s="530"/>
      <c r="F359" s="531"/>
      <c r="G359" s="532" t="s">
        <v>1717</v>
      </c>
      <c r="H359" s="532"/>
      <c r="I359" s="712" t="s">
        <v>1369</v>
      </c>
    </row>
    <row r="360" spans="2:9" ht="19.5" customHeight="1">
      <c r="B360" s="603"/>
      <c r="C360" s="507" t="s">
        <v>804</v>
      </c>
      <c r="D360" s="530"/>
      <c r="E360" s="530"/>
      <c r="F360" s="531"/>
      <c r="G360" s="532"/>
      <c r="H360" s="532"/>
      <c r="I360" s="712"/>
    </row>
    <row r="361" spans="2:9" ht="36" customHeight="1">
      <c r="B361" s="603"/>
      <c r="C361" s="502" t="s">
        <v>1718</v>
      </c>
      <c r="D361" s="530"/>
      <c r="E361" s="530"/>
      <c r="F361" s="531"/>
      <c r="G361" s="532" t="s">
        <v>1719</v>
      </c>
      <c r="H361" s="532"/>
      <c r="I361" s="712" t="s">
        <v>1369</v>
      </c>
    </row>
    <row r="362" spans="2:9" ht="24" customHeight="1">
      <c r="B362" s="603"/>
      <c r="C362" s="659" t="s">
        <v>1621</v>
      </c>
      <c r="D362" s="530"/>
      <c r="E362" s="530"/>
      <c r="F362" s="531"/>
      <c r="G362" s="532" t="s">
        <v>493</v>
      </c>
      <c r="H362" s="532"/>
      <c r="I362" s="712" t="s">
        <v>1369</v>
      </c>
    </row>
    <row r="363" spans="2:9" ht="18.75" customHeight="1">
      <c r="B363" s="603"/>
      <c r="C363" s="508" t="s">
        <v>1720</v>
      </c>
      <c r="D363" s="530"/>
      <c r="E363" s="530"/>
      <c r="F363" s="531"/>
      <c r="G363" s="532" t="s">
        <v>516</v>
      </c>
      <c r="H363" s="532"/>
      <c r="I363" s="712" t="s">
        <v>1369</v>
      </c>
    </row>
    <row r="364" spans="2:9" ht="18.75" customHeight="1">
      <c r="B364" s="603"/>
      <c r="C364" s="508" t="s">
        <v>1721</v>
      </c>
      <c r="D364" s="530"/>
      <c r="E364" s="530"/>
      <c r="F364" s="531"/>
      <c r="G364" s="532" t="s">
        <v>518</v>
      </c>
      <c r="H364" s="532"/>
      <c r="I364" s="712" t="s">
        <v>1369</v>
      </c>
    </row>
    <row r="365" spans="2:9" ht="18.75" customHeight="1">
      <c r="B365" s="603"/>
      <c r="C365" s="508" t="s">
        <v>1715</v>
      </c>
      <c r="D365" s="530"/>
      <c r="E365" s="530"/>
      <c r="F365" s="531"/>
      <c r="G365" s="532" t="s">
        <v>520</v>
      </c>
      <c r="H365" s="532"/>
      <c r="I365" s="712" t="s">
        <v>1369</v>
      </c>
    </row>
    <row r="366" spans="2:9" ht="18.75" customHeight="1">
      <c r="B366" s="603"/>
      <c r="C366" s="659" t="s">
        <v>1623</v>
      </c>
      <c r="D366" s="530"/>
      <c r="E366" s="530"/>
      <c r="F366" s="531"/>
      <c r="G366" s="532" t="s">
        <v>494</v>
      </c>
      <c r="H366" s="532"/>
      <c r="I366" s="712" t="s">
        <v>1369</v>
      </c>
    </row>
    <row r="367" spans="2:9" ht="19.5" customHeight="1">
      <c r="B367" s="603"/>
      <c r="C367" s="502" t="s">
        <v>1722</v>
      </c>
      <c r="D367" s="530"/>
      <c r="E367" s="530"/>
      <c r="F367" s="531"/>
      <c r="G367" s="532" t="s">
        <v>1723</v>
      </c>
      <c r="H367" s="532"/>
      <c r="I367" s="712" t="s">
        <v>1369</v>
      </c>
    </row>
    <row r="368" spans="2:9" ht="18.75" customHeight="1">
      <c r="B368" s="603"/>
      <c r="C368" s="659" t="s">
        <v>1621</v>
      </c>
      <c r="D368" s="530"/>
      <c r="E368" s="530"/>
      <c r="F368" s="531"/>
      <c r="G368" s="532" t="s">
        <v>245</v>
      </c>
      <c r="H368" s="532"/>
      <c r="I368" s="712" t="s">
        <v>1369</v>
      </c>
    </row>
    <row r="369" spans="2:9" ht="18.75" customHeight="1">
      <c r="B369" s="603"/>
      <c r="C369" s="659" t="s">
        <v>1623</v>
      </c>
      <c r="D369" s="530"/>
      <c r="E369" s="530"/>
      <c r="F369" s="531"/>
      <c r="G369" s="532" t="s">
        <v>247</v>
      </c>
      <c r="H369" s="532"/>
      <c r="I369" s="712" t="s">
        <v>1369</v>
      </c>
    </row>
    <row r="370" spans="2:9" ht="39" customHeight="1">
      <c r="B370" s="603"/>
      <c r="C370" s="509" t="s">
        <v>1724</v>
      </c>
      <c r="D370" s="530"/>
      <c r="E370" s="530"/>
      <c r="F370" s="531"/>
      <c r="G370" s="532" t="s">
        <v>257</v>
      </c>
      <c r="H370" s="532"/>
      <c r="I370" s="712" t="s">
        <v>1369</v>
      </c>
    </row>
    <row r="371" spans="2:9" ht="18.75" customHeight="1">
      <c r="B371" s="603"/>
      <c r="C371" s="380" t="s">
        <v>1621</v>
      </c>
      <c r="D371" s="530"/>
      <c r="E371" s="530"/>
      <c r="F371" s="531"/>
      <c r="G371" s="532" t="s">
        <v>258</v>
      </c>
      <c r="H371" s="532"/>
      <c r="I371" s="712" t="s">
        <v>1369</v>
      </c>
    </row>
    <row r="372" spans="2:9" ht="18.75" customHeight="1">
      <c r="B372" s="603"/>
      <c r="C372" s="503" t="s">
        <v>1683</v>
      </c>
      <c r="D372" s="530"/>
      <c r="E372" s="530"/>
      <c r="F372" s="531"/>
      <c r="G372" s="532"/>
      <c r="H372" s="532"/>
      <c r="I372" s="712" t="s">
        <v>1369</v>
      </c>
    </row>
    <row r="373" spans="2:9" ht="18.75" customHeight="1">
      <c r="B373" s="603"/>
      <c r="C373" s="380" t="s">
        <v>1623</v>
      </c>
      <c r="D373" s="530"/>
      <c r="E373" s="530"/>
      <c r="F373" s="531"/>
      <c r="G373" s="532" t="s">
        <v>259</v>
      </c>
      <c r="H373" s="532"/>
      <c r="I373" s="712" t="s">
        <v>1369</v>
      </c>
    </row>
    <row r="374" spans="2:9" ht="18.75" customHeight="1">
      <c r="B374" s="603"/>
      <c r="C374" s="503" t="s">
        <v>1683</v>
      </c>
      <c r="D374" s="530"/>
      <c r="E374" s="530"/>
      <c r="F374" s="531"/>
      <c r="G374" s="532"/>
      <c r="H374" s="532"/>
      <c r="I374" s="712" t="s">
        <v>1369</v>
      </c>
    </row>
    <row r="375" spans="2:9" ht="19.5" customHeight="1">
      <c r="B375" s="603"/>
      <c r="C375" s="502" t="s">
        <v>1725</v>
      </c>
      <c r="D375" s="530"/>
      <c r="E375" s="530"/>
      <c r="F375" s="531"/>
      <c r="G375" s="532"/>
      <c r="H375" s="532"/>
      <c r="I375" s="712" t="s">
        <v>1369</v>
      </c>
    </row>
    <row r="376" spans="2:9" ht="18.75" customHeight="1">
      <c r="B376" s="603"/>
      <c r="C376" s="659" t="s">
        <v>1623</v>
      </c>
      <c r="D376" s="530"/>
      <c r="E376" s="530"/>
      <c r="F376" s="531"/>
      <c r="G376" s="532"/>
      <c r="H376" s="532"/>
      <c r="I376" s="712"/>
    </row>
    <row r="377" spans="2:9" ht="18.75" customHeight="1">
      <c r="B377" s="603" t="s">
        <v>1726</v>
      </c>
      <c r="C377" s="604" t="s">
        <v>1727</v>
      </c>
      <c r="D377" s="530"/>
      <c r="E377" s="530"/>
      <c r="F377" s="531"/>
      <c r="G377" s="532" t="s">
        <v>1728</v>
      </c>
      <c r="H377" s="532"/>
      <c r="I377" s="712" t="s">
        <v>693</v>
      </c>
    </row>
    <row r="378" spans="2:9" ht="18.75" customHeight="1">
      <c r="B378" s="603"/>
      <c r="C378" s="608" t="s">
        <v>1729</v>
      </c>
      <c r="D378" s="530"/>
      <c r="E378" s="530"/>
      <c r="F378" s="531"/>
      <c r="G378" s="532" t="s">
        <v>1730</v>
      </c>
      <c r="H378" s="532"/>
      <c r="I378" s="712" t="s">
        <v>693</v>
      </c>
    </row>
    <row r="379" spans="2:9" ht="18.75" customHeight="1">
      <c r="B379" s="603"/>
      <c r="C379" s="608" t="s">
        <v>1623</v>
      </c>
      <c r="D379" s="530"/>
      <c r="E379" s="530"/>
      <c r="F379" s="531"/>
      <c r="G379" s="532" t="s">
        <v>1731</v>
      </c>
      <c r="H379" s="532"/>
      <c r="I379" s="712" t="s">
        <v>693</v>
      </c>
    </row>
    <row r="380" spans="2:9" ht="18.75" customHeight="1">
      <c r="B380" s="603" t="s">
        <v>1732</v>
      </c>
      <c r="C380" s="604" t="s">
        <v>1733</v>
      </c>
      <c r="D380" s="530"/>
      <c r="E380" s="530"/>
      <c r="F380" s="531"/>
      <c r="G380" s="532" t="s">
        <v>1734</v>
      </c>
      <c r="H380" s="532"/>
      <c r="I380" s="712" t="s">
        <v>1369</v>
      </c>
    </row>
    <row r="381" spans="2:9" ht="18.75" customHeight="1">
      <c r="B381" s="603" t="s">
        <v>1735</v>
      </c>
      <c r="C381" s="604" t="s">
        <v>1736</v>
      </c>
      <c r="D381" s="530"/>
      <c r="E381" s="530"/>
      <c r="F381" s="531"/>
      <c r="G381" s="532" t="s">
        <v>1737</v>
      </c>
      <c r="H381" s="532"/>
      <c r="I381" s="712" t="s">
        <v>1369</v>
      </c>
    </row>
    <row r="382" spans="2:9" ht="18.75" customHeight="1">
      <c r="B382" s="603"/>
      <c r="C382" s="503" t="s">
        <v>1683</v>
      </c>
      <c r="D382" s="530"/>
      <c r="E382" s="530"/>
      <c r="F382" s="531"/>
      <c r="G382" s="532"/>
      <c r="H382" s="532"/>
      <c r="I382" s="712" t="s">
        <v>1369</v>
      </c>
    </row>
    <row r="383" spans="2:9" ht="19.5" customHeight="1">
      <c r="B383" s="603"/>
      <c r="C383" s="507" t="s">
        <v>804</v>
      </c>
      <c r="D383" s="530"/>
      <c r="E383" s="530"/>
      <c r="F383" s="531"/>
      <c r="G383" s="532"/>
      <c r="H383" s="532"/>
      <c r="I383" s="712"/>
    </row>
    <row r="384" spans="2:9" ht="48" customHeight="1">
      <c r="B384" s="603" t="s">
        <v>906</v>
      </c>
      <c r="C384" s="510" t="s">
        <v>1738</v>
      </c>
      <c r="D384" s="530"/>
      <c r="E384" s="530"/>
      <c r="F384" s="531"/>
      <c r="G384" s="532" t="s">
        <v>1739</v>
      </c>
      <c r="H384" s="532"/>
      <c r="I384" s="712" t="s">
        <v>1369</v>
      </c>
    </row>
    <row r="385" spans="2:9" ht="36" customHeight="1">
      <c r="B385" s="603" t="s">
        <v>910</v>
      </c>
      <c r="C385" s="501" t="s">
        <v>1740</v>
      </c>
      <c r="D385" s="530"/>
      <c r="E385" s="530"/>
      <c r="F385" s="531"/>
      <c r="G385" s="532" t="s">
        <v>1741</v>
      </c>
      <c r="H385" s="532"/>
      <c r="I385" s="712" t="s">
        <v>1369</v>
      </c>
    </row>
    <row r="386" spans="2:9" ht="18.75" customHeight="1">
      <c r="B386" s="603"/>
      <c r="C386" s="511" t="s">
        <v>1621</v>
      </c>
      <c r="D386" s="530"/>
      <c r="E386" s="530"/>
      <c r="F386" s="531"/>
      <c r="G386" s="532" t="s">
        <v>1742</v>
      </c>
      <c r="H386" s="532"/>
      <c r="I386" s="712" t="s">
        <v>1369</v>
      </c>
    </row>
    <row r="387" spans="2:9" ht="18.75" customHeight="1">
      <c r="B387" s="603"/>
      <c r="C387" s="512" t="s">
        <v>1743</v>
      </c>
      <c r="D387" s="530"/>
      <c r="E387" s="530"/>
      <c r="F387" s="531"/>
      <c r="G387" s="532" t="s">
        <v>1744</v>
      </c>
      <c r="H387" s="532"/>
      <c r="I387" s="712" t="s">
        <v>1369</v>
      </c>
    </row>
    <row r="388" spans="2:9" ht="18.75" customHeight="1">
      <c r="B388" s="603"/>
      <c r="C388" s="513" t="s">
        <v>138</v>
      </c>
      <c r="D388" s="530"/>
      <c r="E388" s="530"/>
      <c r="F388" s="531"/>
      <c r="G388" s="532" t="s">
        <v>1745</v>
      </c>
      <c r="H388" s="532"/>
      <c r="I388" s="524" t="s">
        <v>1369</v>
      </c>
    </row>
    <row r="389" spans="2:9" ht="18.75" customHeight="1">
      <c r="B389" s="603"/>
      <c r="C389" s="512" t="s">
        <v>1746</v>
      </c>
      <c r="D389" s="530"/>
      <c r="E389" s="530"/>
      <c r="F389" s="531"/>
      <c r="G389" s="532" t="s">
        <v>1747</v>
      </c>
      <c r="H389" s="532"/>
      <c r="I389" s="524" t="s">
        <v>1369</v>
      </c>
    </row>
    <row r="390" spans="2:9" ht="18.75" customHeight="1">
      <c r="B390" s="603"/>
      <c r="C390" s="511" t="s">
        <v>1630</v>
      </c>
      <c r="D390" s="530"/>
      <c r="E390" s="530"/>
      <c r="F390" s="531"/>
      <c r="G390" s="532" t="s">
        <v>1748</v>
      </c>
      <c r="H390" s="532"/>
      <c r="I390" s="712" t="s">
        <v>1369</v>
      </c>
    </row>
    <row r="391" spans="2:9" ht="18.75" customHeight="1">
      <c r="B391" s="603"/>
      <c r="C391" s="511" t="s">
        <v>1632</v>
      </c>
      <c r="D391" s="530"/>
      <c r="E391" s="530"/>
      <c r="F391" s="531"/>
      <c r="G391" s="532" t="s">
        <v>1749</v>
      </c>
      <c r="H391" s="532"/>
      <c r="I391" s="712" t="s">
        <v>1369</v>
      </c>
    </row>
    <row r="392" spans="2:9" ht="24" customHeight="1">
      <c r="B392" s="603" t="s">
        <v>920</v>
      </c>
      <c r="C392" s="510" t="s">
        <v>1750</v>
      </c>
      <c r="D392" s="530"/>
      <c r="E392" s="530"/>
      <c r="F392" s="531"/>
      <c r="G392" s="532" t="s">
        <v>1590</v>
      </c>
      <c r="H392" s="532"/>
      <c r="I392" s="712" t="s">
        <v>1369</v>
      </c>
    </row>
    <row r="393" spans="2:9" ht="36" customHeight="1">
      <c r="B393" s="603" t="s">
        <v>926</v>
      </c>
      <c r="C393" s="510" t="s">
        <v>1751</v>
      </c>
      <c r="D393" s="530"/>
      <c r="E393" s="530"/>
      <c r="F393" s="531"/>
      <c r="G393" s="532" t="s">
        <v>1752</v>
      </c>
      <c r="H393" s="532"/>
      <c r="I393" s="712" t="s">
        <v>1369</v>
      </c>
    </row>
    <row r="394" spans="2:9" ht="24" customHeight="1">
      <c r="B394" s="603"/>
      <c r="C394" s="511" t="s">
        <v>1621</v>
      </c>
      <c r="D394" s="530"/>
      <c r="E394" s="530"/>
      <c r="F394" s="531"/>
      <c r="G394" s="532" t="s">
        <v>1753</v>
      </c>
      <c r="H394" s="532"/>
      <c r="I394" s="712" t="s">
        <v>1369</v>
      </c>
    </row>
    <row r="395" spans="2:9" ht="18.75" customHeight="1">
      <c r="B395" s="603"/>
      <c r="C395" s="512" t="s">
        <v>1743</v>
      </c>
      <c r="D395" s="530"/>
      <c r="E395" s="530"/>
      <c r="F395" s="531"/>
      <c r="G395" s="532" t="s">
        <v>1754</v>
      </c>
      <c r="H395" s="532"/>
      <c r="I395" s="712" t="s">
        <v>1369</v>
      </c>
    </row>
    <row r="396" spans="2:9" ht="18.75" customHeight="1">
      <c r="B396" s="603"/>
      <c r="C396" s="512" t="s">
        <v>1755</v>
      </c>
      <c r="D396" s="530"/>
      <c r="E396" s="530"/>
      <c r="F396" s="531"/>
      <c r="G396" s="532" t="s">
        <v>1756</v>
      </c>
      <c r="H396" s="532"/>
      <c r="I396" s="712" t="s">
        <v>1369</v>
      </c>
    </row>
    <row r="397" spans="2:9" ht="18.75" customHeight="1">
      <c r="B397" s="603"/>
      <c r="C397" s="512" t="s">
        <v>1746</v>
      </c>
      <c r="D397" s="530"/>
      <c r="E397" s="530"/>
      <c r="F397" s="531"/>
      <c r="G397" s="532" t="s">
        <v>1757</v>
      </c>
      <c r="H397" s="532"/>
      <c r="I397" s="712" t="s">
        <v>1369</v>
      </c>
    </row>
    <row r="398" spans="2:9" ht="18.75" customHeight="1">
      <c r="B398" s="603"/>
      <c r="C398" s="511" t="s">
        <v>1630</v>
      </c>
      <c r="D398" s="530"/>
      <c r="E398" s="530"/>
      <c r="F398" s="531"/>
      <c r="G398" s="532" t="s">
        <v>1758</v>
      </c>
      <c r="H398" s="532"/>
      <c r="I398" s="712" t="s">
        <v>1369</v>
      </c>
    </row>
    <row r="399" spans="2:9" ht="18.75" customHeight="1">
      <c r="B399" s="603"/>
      <c r="C399" s="511" t="s">
        <v>1632</v>
      </c>
      <c r="D399" s="530"/>
      <c r="E399" s="530"/>
      <c r="F399" s="531"/>
      <c r="G399" s="532" t="s">
        <v>1759</v>
      </c>
      <c r="H399" s="532"/>
      <c r="I399" s="712" t="s">
        <v>1369</v>
      </c>
    </row>
    <row r="400" spans="2:9" ht="22.5" customHeight="1">
      <c r="B400" s="603" t="s">
        <v>989</v>
      </c>
      <c r="C400" s="501" t="s">
        <v>1760</v>
      </c>
      <c r="D400" s="530"/>
      <c r="E400" s="530"/>
      <c r="F400" s="531"/>
      <c r="G400" s="532" t="s">
        <v>1761</v>
      </c>
      <c r="H400" s="532"/>
      <c r="I400" s="712" t="s">
        <v>1369</v>
      </c>
    </row>
    <row r="401" spans="2:9" ht="48" customHeight="1">
      <c r="B401" s="603"/>
      <c r="C401" s="659" t="s">
        <v>1762</v>
      </c>
      <c r="D401" s="530"/>
      <c r="E401" s="530"/>
      <c r="F401" s="531"/>
      <c r="G401" s="532" t="s">
        <v>1763</v>
      </c>
      <c r="H401" s="532"/>
      <c r="I401" s="712" t="s">
        <v>1369</v>
      </c>
    </row>
    <row r="402" spans="2:9" ht="18.75" customHeight="1">
      <c r="B402" s="603"/>
      <c r="C402" s="659" t="s">
        <v>805</v>
      </c>
      <c r="D402" s="530"/>
      <c r="E402" s="530"/>
      <c r="F402" s="531"/>
      <c r="G402" s="532" t="s">
        <v>172</v>
      </c>
      <c r="H402" s="532"/>
      <c r="I402" s="712" t="s">
        <v>1369</v>
      </c>
    </row>
    <row r="403" spans="2:9" ht="36" customHeight="1">
      <c r="B403" s="603"/>
      <c r="C403" s="659" t="s">
        <v>1764</v>
      </c>
      <c r="D403" s="530"/>
      <c r="E403" s="530"/>
      <c r="F403" s="531"/>
      <c r="G403" s="532" t="s">
        <v>1765</v>
      </c>
      <c r="H403" s="532"/>
      <c r="I403" s="712" t="s">
        <v>1369</v>
      </c>
    </row>
    <row r="404" spans="2:9" ht="18.75" customHeight="1">
      <c r="B404" s="603"/>
      <c r="C404" s="514" t="s">
        <v>1441</v>
      </c>
      <c r="D404" s="530"/>
      <c r="E404" s="530"/>
      <c r="F404" s="531"/>
      <c r="G404" s="532" t="s">
        <v>1442</v>
      </c>
      <c r="H404" s="532"/>
      <c r="I404" s="712" t="s">
        <v>1369</v>
      </c>
    </row>
    <row r="405" spans="2:9" ht="18.75" customHeight="1">
      <c r="B405" s="603"/>
      <c r="C405" s="514" t="s">
        <v>1374</v>
      </c>
      <c r="D405" s="530"/>
      <c r="E405" s="530"/>
      <c r="F405" s="531"/>
      <c r="G405" s="532" t="s">
        <v>1766</v>
      </c>
      <c r="H405" s="532"/>
      <c r="I405" s="712" t="s">
        <v>1369</v>
      </c>
    </row>
    <row r="406" spans="2:9" ht="18.75" customHeight="1">
      <c r="B406" s="603"/>
      <c r="C406" s="515" t="s">
        <v>1377</v>
      </c>
      <c r="D406" s="530"/>
      <c r="E406" s="530"/>
      <c r="F406" s="531"/>
      <c r="G406" s="532" t="s">
        <v>1571</v>
      </c>
      <c r="H406" s="532"/>
      <c r="I406" s="712" t="s">
        <v>1369</v>
      </c>
    </row>
    <row r="407" spans="2:9" ht="18.75" customHeight="1">
      <c r="B407" s="603"/>
      <c r="C407" s="515" t="s">
        <v>1767</v>
      </c>
      <c r="D407" s="530"/>
      <c r="E407" s="530"/>
      <c r="F407" s="531"/>
      <c r="G407" s="532" t="s">
        <v>1577</v>
      </c>
      <c r="H407" s="532"/>
      <c r="I407" s="712" t="s">
        <v>1369</v>
      </c>
    </row>
    <row r="408" spans="2:9" ht="18.75" customHeight="1">
      <c r="B408" s="603" t="s">
        <v>993</v>
      </c>
      <c r="C408" s="516" t="s">
        <v>1768</v>
      </c>
      <c r="D408" s="530"/>
      <c r="E408" s="530"/>
      <c r="F408" s="531"/>
      <c r="G408" s="532"/>
      <c r="H408" s="532"/>
      <c r="I408" s="712"/>
    </row>
    <row r="409" spans="2:9" ht="18.75" customHeight="1">
      <c r="B409" s="603"/>
      <c r="C409" s="605" t="s">
        <v>1769</v>
      </c>
      <c r="D409" s="530"/>
      <c r="E409" s="530"/>
      <c r="F409" s="531"/>
      <c r="G409" s="532" t="s">
        <v>1770</v>
      </c>
      <c r="H409" s="532"/>
      <c r="I409" s="712" t="s">
        <v>1369</v>
      </c>
    </row>
    <row r="410" spans="2:9" ht="18.75" customHeight="1">
      <c r="B410" s="603"/>
      <c r="C410" s="605" t="s">
        <v>1771</v>
      </c>
      <c r="D410" s="530"/>
      <c r="E410" s="530"/>
      <c r="F410" s="531"/>
      <c r="G410" s="532" t="s">
        <v>1772</v>
      </c>
      <c r="H410" s="532"/>
      <c r="I410" s="712" t="s">
        <v>1369</v>
      </c>
    </row>
    <row r="411" spans="2:9" ht="18.75" customHeight="1">
      <c r="B411" s="603"/>
      <c r="C411" s="605" t="s">
        <v>1773</v>
      </c>
      <c r="D411" s="530"/>
      <c r="E411" s="530"/>
      <c r="F411" s="531"/>
      <c r="G411" s="532" t="s">
        <v>1774</v>
      </c>
      <c r="H411" s="532"/>
      <c r="I411" s="712" t="s">
        <v>1369</v>
      </c>
    </row>
    <row r="412" spans="2:9" ht="18.75" customHeight="1">
      <c r="B412" s="603"/>
      <c r="C412" s="605" t="s">
        <v>1775</v>
      </c>
      <c r="D412" s="530"/>
      <c r="E412" s="530"/>
      <c r="F412" s="531"/>
      <c r="G412" s="532" t="s">
        <v>1776</v>
      </c>
      <c r="H412" s="532"/>
      <c r="I412" s="712" t="s">
        <v>1369</v>
      </c>
    </row>
    <row r="413" spans="2:9" ht="18.75" customHeight="1">
      <c r="B413" s="603"/>
      <c r="C413" s="605" t="s">
        <v>1777</v>
      </c>
      <c r="D413" s="530"/>
      <c r="E413" s="530"/>
      <c r="F413" s="531"/>
      <c r="G413" s="532" t="s">
        <v>1778</v>
      </c>
      <c r="H413" s="532"/>
      <c r="I413" s="712" t="s">
        <v>1369</v>
      </c>
    </row>
    <row r="414" spans="2:9" ht="18.75" customHeight="1">
      <c r="B414" s="603"/>
      <c r="C414" s="605" t="s">
        <v>1779</v>
      </c>
      <c r="D414" s="530"/>
      <c r="E414" s="530"/>
      <c r="F414" s="531"/>
      <c r="G414" s="532" t="s">
        <v>1780</v>
      </c>
      <c r="H414" s="532"/>
      <c r="I414" s="712" t="s">
        <v>1369</v>
      </c>
    </row>
    <row r="415" spans="2:9" ht="37.5" customHeight="1">
      <c r="B415" s="603" t="s">
        <v>998</v>
      </c>
      <c r="C415" s="516" t="s">
        <v>1781</v>
      </c>
      <c r="D415" s="530"/>
      <c r="E415" s="530"/>
      <c r="F415" s="531"/>
      <c r="G415" s="532" t="s">
        <v>1782</v>
      </c>
      <c r="H415" s="532"/>
      <c r="I415" s="712" t="s">
        <v>1369</v>
      </c>
    </row>
    <row r="416" spans="2:9" ht="24" customHeight="1">
      <c r="B416" s="603" t="s">
        <v>1783</v>
      </c>
      <c r="C416" s="517" t="s">
        <v>1784</v>
      </c>
      <c r="D416" s="530"/>
      <c r="E416" s="530"/>
      <c r="F416" s="531"/>
      <c r="G416" s="532" t="s">
        <v>1785</v>
      </c>
      <c r="H416" s="532"/>
      <c r="I416" s="712" t="s">
        <v>1369</v>
      </c>
    </row>
    <row r="417" spans="2:9" ht="18.75" customHeight="1">
      <c r="B417" s="603"/>
      <c r="C417" s="517" t="s">
        <v>1786</v>
      </c>
      <c r="D417" s="530"/>
      <c r="E417" s="530"/>
      <c r="F417" s="531"/>
      <c r="G417" s="532" t="s">
        <v>1787</v>
      </c>
      <c r="H417" s="532"/>
      <c r="I417" s="712" t="s">
        <v>1369</v>
      </c>
    </row>
    <row r="418" spans="2:9" ht="18.75" customHeight="1">
      <c r="B418" s="603"/>
      <c r="C418" s="517" t="s">
        <v>1767</v>
      </c>
      <c r="D418" s="530"/>
      <c r="E418" s="530"/>
      <c r="F418" s="531"/>
      <c r="G418" s="532" t="s">
        <v>1788</v>
      </c>
      <c r="H418" s="532"/>
      <c r="I418" s="712" t="s">
        <v>1369</v>
      </c>
    </row>
    <row r="419" spans="2:9" ht="18.75" customHeight="1">
      <c r="B419" s="603"/>
      <c r="C419" s="518" t="s">
        <v>1789</v>
      </c>
      <c r="D419" s="530"/>
      <c r="E419" s="530"/>
      <c r="F419" s="531"/>
      <c r="G419" s="532">
        <v>0</v>
      </c>
      <c r="H419" s="532"/>
      <c r="I419" s="712" t="s">
        <v>1369</v>
      </c>
    </row>
    <row r="420" spans="2:9" ht="18.75" customHeight="1">
      <c r="B420" s="603"/>
      <c r="C420" s="518" t="s">
        <v>1790</v>
      </c>
      <c r="D420" s="530"/>
      <c r="E420" s="530"/>
      <c r="F420" s="531"/>
      <c r="G420" s="532">
        <v>0</v>
      </c>
      <c r="H420" s="532"/>
      <c r="I420" s="712" t="s">
        <v>1369</v>
      </c>
    </row>
    <row r="421" spans="2:9" ht="18.75" customHeight="1">
      <c r="B421" s="603"/>
      <c r="C421" s="518" t="s">
        <v>213</v>
      </c>
      <c r="D421" s="530"/>
      <c r="E421" s="530"/>
      <c r="F421" s="531"/>
      <c r="G421" s="532" t="s">
        <v>1431</v>
      </c>
      <c r="H421" s="532"/>
      <c r="I421" s="712" t="s">
        <v>1369</v>
      </c>
    </row>
    <row r="422" spans="2:9" ht="18.75" customHeight="1">
      <c r="B422" s="603"/>
      <c r="C422" s="518" t="s">
        <v>1791</v>
      </c>
      <c r="D422" s="530"/>
      <c r="E422" s="530"/>
      <c r="F422" s="531"/>
      <c r="G422" s="532">
        <v>0</v>
      </c>
      <c r="H422" s="532"/>
      <c r="I422" s="712" t="s">
        <v>1369</v>
      </c>
    </row>
    <row r="423" spans="2:9" ht="18.75" customHeight="1">
      <c r="B423" s="603" t="s">
        <v>1792</v>
      </c>
      <c r="C423" s="517" t="s">
        <v>805</v>
      </c>
      <c r="D423" s="530"/>
      <c r="E423" s="530"/>
      <c r="F423" s="531"/>
      <c r="G423" s="532" t="s">
        <v>1793</v>
      </c>
      <c r="H423" s="532"/>
      <c r="I423" s="712" t="s">
        <v>1369</v>
      </c>
    </row>
    <row r="424" spans="2:9" ht="18.75" customHeight="1">
      <c r="B424" s="603"/>
      <c r="C424" s="517" t="s">
        <v>1786</v>
      </c>
      <c r="D424" s="530"/>
      <c r="E424" s="530"/>
      <c r="F424" s="531"/>
      <c r="G424" s="532" t="s">
        <v>1794</v>
      </c>
      <c r="H424" s="532"/>
      <c r="I424" s="712" t="s">
        <v>1369</v>
      </c>
    </row>
    <row r="425" spans="2:9" ht="18.75" customHeight="1">
      <c r="B425" s="603"/>
      <c r="C425" s="517" t="s">
        <v>1767</v>
      </c>
      <c r="D425" s="530"/>
      <c r="E425" s="530"/>
      <c r="F425" s="531"/>
      <c r="G425" s="532" t="s">
        <v>1487</v>
      </c>
      <c r="H425" s="532"/>
      <c r="I425" s="712" t="s">
        <v>1369</v>
      </c>
    </row>
    <row r="426" spans="2:9" ht="18.75" customHeight="1">
      <c r="B426" s="603"/>
      <c r="C426" s="518" t="s">
        <v>1795</v>
      </c>
      <c r="D426" s="530"/>
      <c r="E426" s="530"/>
      <c r="F426" s="531"/>
      <c r="G426" s="532">
        <v>0</v>
      </c>
      <c r="H426" s="532"/>
      <c r="I426" s="712" t="s">
        <v>1369</v>
      </c>
    </row>
    <row r="427" spans="2:9" ht="18.75" customHeight="1">
      <c r="B427" s="603"/>
      <c r="C427" s="518" t="s">
        <v>1582</v>
      </c>
      <c r="D427" s="530"/>
      <c r="E427" s="530"/>
      <c r="F427" s="531"/>
      <c r="G427" s="532">
        <v>0</v>
      </c>
      <c r="H427" s="532"/>
      <c r="I427" s="712" t="s">
        <v>1369</v>
      </c>
    </row>
    <row r="428" spans="2:9" ht="18.75" customHeight="1">
      <c r="B428" s="603"/>
      <c r="C428" s="518" t="s">
        <v>1796</v>
      </c>
      <c r="D428" s="530"/>
      <c r="E428" s="530"/>
      <c r="F428" s="531"/>
      <c r="G428" s="532">
        <v>0</v>
      </c>
      <c r="H428" s="532"/>
      <c r="I428" s="712" t="s">
        <v>1369</v>
      </c>
    </row>
    <row r="429" spans="2:9" ht="18.75" customHeight="1">
      <c r="B429" s="603"/>
      <c r="C429" s="518" t="s">
        <v>1790</v>
      </c>
      <c r="D429" s="530"/>
      <c r="E429" s="530"/>
      <c r="F429" s="531"/>
      <c r="G429" s="532">
        <v>0</v>
      </c>
      <c r="H429" s="532"/>
      <c r="I429" s="712" t="s">
        <v>1369</v>
      </c>
    </row>
    <row r="430" spans="2:9" ht="18.75" customHeight="1">
      <c r="B430" s="603"/>
      <c r="C430" s="518" t="s">
        <v>213</v>
      </c>
      <c r="D430" s="530"/>
      <c r="E430" s="530"/>
      <c r="F430" s="531"/>
      <c r="G430" s="532">
        <v>0</v>
      </c>
      <c r="H430" s="532"/>
      <c r="I430" s="712" t="s">
        <v>1369</v>
      </c>
    </row>
  </sheetData>
  <mergeCells count="36">
    <mergeCell ref="B6:B8"/>
    <mergeCell ref="C309:C310"/>
    <mergeCell ref="B3:I3"/>
    <mergeCell ref="C196:C197"/>
    <mergeCell ref="C35:C36"/>
    <mergeCell ref="D6:H6"/>
    <mergeCell ref="C301:C302"/>
    <mergeCell ref="H7:H8"/>
    <mergeCell ref="C6:C8"/>
    <mergeCell ref="C67:C68"/>
    <mergeCell ref="C303:C304"/>
    <mergeCell ref="I6:I8"/>
    <mergeCell ref="C295:C296"/>
    <mergeCell ref="C21:C22"/>
    <mergeCell ref="E7:E8"/>
    <mergeCell ref="C314:C315"/>
    <mergeCell ref="C307:C308"/>
    <mergeCell ref="C288:C289"/>
    <mergeCell ref="C311:C312"/>
    <mergeCell ref="C316:C317"/>
    <mergeCell ref="C297:C298"/>
    <mergeCell ref="C82:C83"/>
    <mergeCell ref="C299:C300"/>
    <mergeCell ref="B14:B16"/>
    <mergeCell ref="C284:C285"/>
    <mergeCell ref="C280:C281"/>
    <mergeCell ref="C50:C51"/>
    <mergeCell ref="C286:C287"/>
    <mergeCell ref="C305:C306"/>
    <mergeCell ref="D7:D8"/>
    <mergeCell ref="C293:C294"/>
    <mergeCell ref="F7:F8"/>
    <mergeCell ref="G7:G8"/>
    <mergeCell ref="C290:C291"/>
    <mergeCell ref="C65:C66"/>
    <mergeCell ref="C282:C283"/>
  </mergeCells>
  <conditionalFormatting sqref="L10:L430 M10:M430 P10:P430 Q10:Q430 T10:T430 U10:U430 X10:X430 Y10:Y430 AB10:AB430 AC10:AC430 AF10:AF430 AG10:AG430 AJ10:AJ430 AK10:AK430 AN10:AN430 AO10:AO430 AR10:AR430 AS10:AS430 AV10:AV430 AW10:AW430 AZ10:AZ430 BA10:BA430 BD10:BD430 BE10:BE430 BH10:BH430 BI10:BI430 BL10:BL430 BM10:BM430 BP10:BP430 BQ10:BQ430 BT10:BT430 BU10:BU430 BX10:BX430 BY10:BY430">
    <cfRule type="cellIs" dxfId="79" priority="3" operator="greaterThan">
      <formula>0</formula>
    </cfRule>
    <cfRule type="cellIs" dxfId="78" priority="2" operator="lessThan">
      <formula>0</formula>
    </cfRule>
    <cfRule type="cellIs" dxfId="77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6">
    <tabColor theme="8" tint="0.59999389629810485"/>
    <pageSetUpPr autoPageBreaks="0" fitToPage="1"/>
  </sheetPr>
  <dimension ref="A1:DH96"/>
  <sheetViews>
    <sheetView tabSelected="1" zoomScale="60" zoomScaleNormal="60" zoomScaleSheetLayoutView="55" workbookViewId="0">
      <pane xSplit="10" ySplit="9" topLeftCell="K16" activePane="bottomRight" state="frozen"/>
      <selection activeCell="C1" sqref="C1"/>
      <selection pane="topRight" activeCell="K1" sqref="K1"/>
      <selection pane="bottomLeft" activeCell="C10" sqref="C10"/>
      <selection pane="bottomRight" activeCell="K10" sqref="K10"/>
    </sheetView>
  </sheetViews>
  <sheetFormatPr defaultColWidth="8.42578125" defaultRowHeight="18.75" outlineLevelRow="1" outlineLevelCol="1"/>
  <cols>
    <col min="1" max="1" width="13.42578125" style="323" hidden="1" customWidth="1" outlineLevel="1"/>
    <col min="2" max="2" width="12.42578125" style="152" hidden="1" customWidth="1" outlineLevel="1"/>
    <col min="3" max="3" width="14.42578125" style="138" bestFit="1" customWidth="1" collapsed="1"/>
    <col min="4" max="4" width="77.7109375" style="323" customWidth="1"/>
    <col min="5" max="5" width="17.140625" style="323" customWidth="1" outlineLevel="1"/>
    <col min="6" max="6" width="14.7109375" style="323" customWidth="1" outlineLevel="1"/>
    <col min="7" max="7" width="15.42578125" style="323" customWidth="1" outlineLevel="1"/>
    <col min="8" max="9" width="28" style="323" customWidth="1" outlineLevel="1"/>
    <col min="10" max="10" width="14" style="324" bestFit="1" customWidth="1"/>
    <col min="11" max="11" width="8.42578125" style="323" customWidth="1"/>
    <col min="12" max="112" width="8.42578125" style="621" customWidth="1"/>
    <col min="113" max="16384" width="8.42578125" style="323"/>
  </cols>
  <sheetData>
    <row r="1" spans="1:10" ht="15" customHeight="1"/>
    <row r="2" spans="1:10" ht="18.75" customHeight="1"/>
    <row r="3" spans="1:10" ht="20.25" customHeight="1">
      <c r="C3" s="789" t="s">
        <v>1797</v>
      </c>
      <c r="D3" s="790"/>
      <c r="E3" s="790"/>
      <c r="F3" s="790"/>
      <c r="G3" s="790"/>
      <c r="H3" s="790"/>
      <c r="I3" s="790"/>
      <c r="J3" s="791"/>
    </row>
    <row r="4" spans="1:10" ht="15" customHeight="1"/>
    <row r="5" spans="1:10" ht="19.5" customHeight="1">
      <c r="B5" s="20"/>
      <c r="C5" s="326" t="s">
        <v>1798</v>
      </c>
      <c r="J5" s="717"/>
    </row>
    <row r="6" spans="1:10" ht="20.100000000000001" customHeight="1">
      <c r="B6" s="787" t="s">
        <v>1799</v>
      </c>
      <c r="C6" s="792" t="s">
        <v>1364</v>
      </c>
      <c r="D6" s="783" t="s">
        <v>16</v>
      </c>
      <c r="E6" s="761" t="s">
        <v>17</v>
      </c>
      <c r="F6" s="762"/>
      <c r="G6" s="762"/>
      <c r="H6" s="762"/>
      <c r="I6" s="763"/>
      <c r="J6" s="783" t="s">
        <v>1800</v>
      </c>
    </row>
    <row r="7" spans="1:10" ht="39.950000000000003" customHeight="1">
      <c r="B7" s="788"/>
      <c r="C7" s="756"/>
      <c r="D7" s="756"/>
      <c r="E7" s="741" t="s">
        <v>19</v>
      </c>
      <c r="F7" s="741" t="s">
        <v>20</v>
      </c>
      <c r="G7" s="741" t="s">
        <v>21</v>
      </c>
      <c r="H7" s="741" t="s">
        <v>22</v>
      </c>
      <c r="I7" s="741" t="s">
        <v>23</v>
      </c>
      <c r="J7" s="756"/>
    </row>
    <row r="8" spans="1:10" ht="20.100000000000001" customHeight="1">
      <c r="B8" s="788"/>
      <c r="C8" s="757"/>
      <c r="D8" s="757"/>
      <c r="E8" s="742"/>
      <c r="F8" s="742"/>
      <c r="G8" s="742"/>
      <c r="H8" s="742"/>
      <c r="I8" s="742"/>
      <c r="J8" s="757"/>
    </row>
    <row r="9" spans="1:10" ht="20.100000000000001" hidden="1" customHeight="1">
      <c r="B9" s="610"/>
      <c r="C9" s="645"/>
      <c r="D9" s="382"/>
      <c r="E9" s="391"/>
      <c r="F9" s="391"/>
      <c r="G9" s="391"/>
      <c r="H9" s="203"/>
      <c r="I9" s="203"/>
      <c r="J9" s="657"/>
    </row>
    <row r="10" spans="1:10" s="22" customFormat="1" ht="40.5" customHeight="1">
      <c r="A10" s="718"/>
      <c r="B10" s="23" t="s">
        <v>43</v>
      </c>
      <c r="C10" s="24">
        <v>1</v>
      </c>
      <c r="D10" s="200" t="s">
        <v>1801</v>
      </c>
      <c r="E10" s="530" t="s">
        <v>1802</v>
      </c>
      <c r="F10" s="530"/>
      <c r="G10" s="531"/>
      <c r="H10" s="532" t="s">
        <v>1803</v>
      </c>
      <c r="I10" s="532" t="s">
        <v>1804</v>
      </c>
      <c r="J10" s="25" t="s">
        <v>814</v>
      </c>
    </row>
    <row r="11" spans="1:10" s="22" customFormat="1" ht="19.5" customHeight="1">
      <c r="A11" s="718"/>
      <c r="B11" s="23" t="s">
        <v>53</v>
      </c>
      <c r="C11" s="785" t="s">
        <v>43</v>
      </c>
      <c r="D11" s="780" t="s">
        <v>1805</v>
      </c>
      <c r="E11" s="530" t="s">
        <v>1806</v>
      </c>
      <c r="F11" s="530"/>
      <c r="G11" s="531"/>
      <c r="H11" s="532"/>
      <c r="I11" s="532" t="s">
        <v>1807</v>
      </c>
      <c r="J11" s="660" t="s">
        <v>814</v>
      </c>
    </row>
    <row r="12" spans="1:10" s="22" customFormat="1" ht="19.5" customHeight="1">
      <c r="A12" s="718"/>
      <c r="B12" s="23" t="s">
        <v>836</v>
      </c>
      <c r="C12" s="756"/>
      <c r="D12" s="756"/>
      <c r="E12" s="530" t="s">
        <v>1808</v>
      </c>
      <c r="F12" s="530"/>
      <c r="G12" s="531"/>
      <c r="H12" s="532"/>
      <c r="I12" s="532"/>
      <c r="J12" s="719" t="s">
        <v>820</v>
      </c>
    </row>
    <row r="13" spans="1:10" s="22" customFormat="1" ht="56.25" customHeight="1">
      <c r="A13" s="718"/>
      <c r="B13" s="23" t="s">
        <v>842</v>
      </c>
      <c r="C13" s="613" t="s">
        <v>53</v>
      </c>
      <c r="D13" s="614" t="s">
        <v>1809</v>
      </c>
      <c r="E13" s="530" t="s">
        <v>1810</v>
      </c>
      <c r="F13" s="530"/>
      <c r="G13" s="531"/>
      <c r="H13" s="532"/>
      <c r="I13" s="532" t="s">
        <v>1811</v>
      </c>
      <c r="J13" s="396" t="s">
        <v>814</v>
      </c>
    </row>
    <row r="14" spans="1:10" s="22" customFormat="1" ht="39" customHeight="1">
      <c r="A14" s="718"/>
      <c r="B14" s="23" t="s">
        <v>1204</v>
      </c>
      <c r="C14" s="613"/>
      <c r="D14" s="658" t="s">
        <v>1812</v>
      </c>
      <c r="E14" s="530" t="s">
        <v>1813</v>
      </c>
      <c r="F14" s="530"/>
      <c r="G14" s="531"/>
      <c r="H14" s="532" t="s">
        <v>1814</v>
      </c>
      <c r="I14" s="532" t="s">
        <v>1815</v>
      </c>
      <c r="J14" s="672" t="s">
        <v>814</v>
      </c>
    </row>
    <row r="15" spans="1:10" s="22" customFormat="1">
      <c r="A15" s="718"/>
      <c r="B15" s="23" t="s">
        <v>1207</v>
      </c>
      <c r="C15" s="613"/>
      <c r="D15" s="403" t="s">
        <v>1816</v>
      </c>
      <c r="E15" s="530" t="s">
        <v>1814</v>
      </c>
      <c r="F15" s="530"/>
      <c r="G15" s="531"/>
      <c r="H15" s="532"/>
      <c r="I15" s="532" t="s">
        <v>1817</v>
      </c>
      <c r="J15" s="396" t="s">
        <v>814</v>
      </c>
    </row>
    <row r="16" spans="1:10" s="22" customFormat="1" ht="37.5" customHeight="1">
      <c r="A16" s="718"/>
      <c r="B16" s="23" t="s">
        <v>1216</v>
      </c>
      <c r="C16" s="655" t="s">
        <v>836</v>
      </c>
      <c r="D16" s="614" t="s">
        <v>1818</v>
      </c>
      <c r="E16" s="530" t="s">
        <v>1819</v>
      </c>
      <c r="F16" s="530"/>
      <c r="G16" s="531"/>
      <c r="H16" s="532" t="s">
        <v>1820</v>
      </c>
      <c r="I16" s="532" t="s">
        <v>1821</v>
      </c>
      <c r="J16" s="396" t="s">
        <v>814</v>
      </c>
    </row>
    <row r="17" spans="1:10" s="22" customFormat="1" ht="20.25" customHeight="1">
      <c r="A17" s="718"/>
      <c r="B17" s="23" t="s">
        <v>1822</v>
      </c>
      <c r="C17" s="784" t="s">
        <v>1537</v>
      </c>
      <c r="D17" s="782" t="s">
        <v>1823</v>
      </c>
      <c r="E17" s="530" t="s">
        <v>1824</v>
      </c>
      <c r="F17" s="530"/>
      <c r="G17" s="531"/>
      <c r="H17" s="532"/>
      <c r="I17" s="532" t="s">
        <v>1825</v>
      </c>
      <c r="J17" s="396" t="s">
        <v>814</v>
      </c>
    </row>
    <row r="18" spans="1:10" s="22" customFormat="1" ht="20.25" customHeight="1">
      <c r="A18" s="718"/>
      <c r="B18" s="23" t="s">
        <v>1826</v>
      </c>
      <c r="C18" s="756"/>
      <c r="D18" s="756"/>
      <c r="E18" s="530" t="s">
        <v>1827</v>
      </c>
      <c r="F18" s="530"/>
      <c r="G18" s="531"/>
      <c r="H18" s="532"/>
      <c r="I18" s="532"/>
      <c r="J18" s="719" t="s">
        <v>820</v>
      </c>
    </row>
    <row r="19" spans="1:10" s="22" customFormat="1" ht="20.25" customHeight="1">
      <c r="A19" s="718"/>
      <c r="B19" s="23" t="s">
        <v>1828</v>
      </c>
      <c r="C19" s="653" t="s">
        <v>1543</v>
      </c>
      <c r="D19" s="612" t="s">
        <v>1829</v>
      </c>
      <c r="E19" s="530">
        <v>100335804</v>
      </c>
      <c r="F19" s="530"/>
      <c r="G19" s="531"/>
      <c r="H19" s="532"/>
      <c r="I19" s="532" t="s">
        <v>1830</v>
      </c>
      <c r="J19" s="396" t="s">
        <v>814</v>
      </c>
    </row>
    <row r="20" spans="1:10" s="22" customFormat="1" ht="39.950000000000003" customHeight="1">
      <c r="A20" s="718"/>
      <c r="B20" s="23" t="s">
        <v>1831</v>
      </c>
      <c r="C20" s="613" t="s">
        <v>850</v>
      </c>
      <c r="D20" s="614" t="s">
        <v>1832</v>
      </c>
      <c r="E20" s="530" t="s">
        <v>1833</v>
      </c>
      <c r="F20" s="530"/>
      <c r="G20" s="531"/>
      <c r="H20" s="532" t="s">
        <v>1834</v>
      </c>
      <c r="I20" s="532"/>
      <c r="J20" s="719" t="s">
        <v>814</v>
      </c>
    </row>
    <row r="21" spans="1:10" s="22" customFormat="1" ht="29.25" customHeight="1">
      <c r="A21" s="718"/>
      <c r="B21" s="23" t="s">
        <v>1835</v>
      </c>
      <c r="C21" s="785" t="s">
        <v>82</v>
      </c>
      <c r="D21" s="778" t="s">
        <v>1836</v>
      </c>
      <c r="E21" s="530" t="s">
        <v>1837</v>
      </c>
      <c r="F21" s="530"/>
      <c r="G21" s="531"/>
      <c r="H21" s="532" t="s">
        <v>1824</v>
      </c>
      <c r="I21" s="532" t="s">
        <v>1838</v>
      </c>
      <c r="J21" s="719" t="s">
        <v>814</v>
      </c>
    </row>
    <row r="22" spans="1:10" s="22" customFormat="1" ht="30.75" customHeight="1">
      <c r="A22" s="718"/>
      <c r="B22" s="23" t="s">
        <v>1839</v>
      </c>
      <c r="C22" s="756"/>
      <c r="D22" s="756"/>
      <c r="E22" s="530">
        <v>1003335807</v>
      </c>
      <c r="F22" s="530"/>
      <c r="G22" s="531"/>
      <c r="H22" s="532" t="s">
        <v>1827</v>
      </c>
      <c r="I22" s="532"/>
      <c r="J22" s="719" t="s">
        <v>820</v>
      </c>
    </row>
    <row r="23" spans="1:10" s="22" customFormat="1" ht="63.75" customHeight="1">
      <c r="A23" s="718"/>
      <c r="B23" s="23" t="s">
        <v>1840</v>
      </c>
      <c r="C23" s="613" t="s">
        <v>84</v>
      </c>
      <c r="D23" s="162" t="s">
        <v>1841</v>
      </c>
      <c r="E23" s="530" t="s">
        <v>1842</v>
      </c>
      <c r="F23" s="530"/>
      <c r="G23" s="531"/>
      <c r="H23" s="532" t="s">
        <v>1843</v>
      </c>
      <c r="I23" s="532" t="s">
        <v>1844</v>
      </c>
      <c r="J23" s="660" t="s">
        <v>814</v>
      </c>
    </row>
    <row r="24" spans="1:10" s="22" customFormat="1" ht="39.950000000000003" customHeight="1">
      <c r="A24" s="718"/>
      <c r="B24" s="23" t="s">
        <v>1845</v>
      </c>
      <c r="C24" s="655" t="s">
        <v>869</v>
      </c>
      <c r="D24" s="616" t="s">
        <v>1619</v>
      </c>
      <c r="E24" s="530" t="s">
        <v>1846</v>
      </c>
      <c r="F24" s="530"/>
      <c r="G24" s="531"/>
      <c r="H24" s="532" t="s">
        <v>1847</v>
      </c>
      <c r="I24" s="532"/>
      <c r="J24" s="660" t="s">
        <v>814</v>
      </c>
    </row>
    <row r="25" spans="1:10" ht="37.5" customHeight="1">
      <c r="A25" s="718"/>
      <c r="B25" s="23" t="s">
        <v>1848</v>
      </c>
      <c r="C25" s="653" t="s">
        <v>1604</v>
      </c>
      <c r="D25" s="644" t="s">
        <v>1849</v>
      </c>
      <c r="E25" s="530" t="s">
        <v>1850</v>
      </c>
      <c r="F25" s="530"/>
      <c r="G25" s="531"/>
      <c r="H25" s="532"/>
      <c r="I25" s="532"/>
      <c r="J25" s="657" t="s">
        <v>814</v>
      </c>
    </row>
    <row r="26" spans="1:10" ht="20.25" customHeight="1">
      <c r="A26" s="718"/>
      <c r="B26" s="23" t="s">
        <v>1851</v>
      </c>
      <c r="C26" s="653" t="s">
        <v>1852</v>
      </c>
      <c r="D26" s="404" t="s">
        <v>1853</v>
      </c>
      <c r="E26" s="530" t="s">
        <v>1854</v>
      </c>
      <c r="F26" s="530"/>
      <c r="G26" s="531"/>
      <c r="H26" s="532"/>
      <c r="I26" s="532"/>
      <c r="J26" s="657" t="s">
        <v>814</v>
      </c>
    </row>
    <row r="27" spans="1:10" ht="39.75" customHeight="1">
      <c r="A27" s="718"/>
      <c r="B27" s="23" t="s">
        <v>1855</v>
      </c>
      <c r="C27" s="653" t="s">
        <v>1617</v>
      </c>
      <c r="D27" s="644" t="s">
        <v>1856</v>
      </c>
      <c r="E27" s="530" t="s">
        <v>1857</v>
      </c>
      <c r="F27" s="530"/>
      <c r="G27" s="531"/>
      <c r="H27" s="532"/>
      <c r="I27" s="532"/>
      <c r="J27" s="657" t="s">
        <v>814</v>
      </c>
    </row>
    <row r="28" spans="1:10" ht="20.25" customHeight="1">
      <c r="A28" s="718"/>
      <c r="B28" s="23" t="s">
        <v>1858</v>
      </c>
      <c r="C28" s="653" t="s">
        <v>1859</v>
      </c>
      <c r="D28" s="644" t="s">
        <v>1860</v>
      </c>
      <c r="E28" s="530" t="s">
        <v>1861</v>
      </c>
      <c r="F28" s="530"/>
      <c r="G28" s="531"/>
      <c r="H28" s="532"/>
      <c r="I28" s="532"/>
      <c r="J28" s="657" t="s">
        <v>814</v>
      </c>
    </row>
    <row r="29" spans="1:10" ht="20.25" customHeight="1">
      <c r="A29" s="718"/>
      <c r="B29" s="23" t="s">
        <v>1862</v>
      </c>
      <c r="C29" s="617"/>
      <c r="D29" s="124" t="s">
        <v>804</v>
      </c>
      <c r="E29" s="530"/>
      <c r="F29" s="530"/>
      <c r="G29" s="531"/>
      <c r="H29" s="532"/>
      <c r="I29" s="532"/>
      <c r="J29" s="657"/>
    </row>
    <row r="30" spans="1:10" s="28" customFormat="1" ht="39" customHeight="1" outlineLevel="1">
      <c r="A30" s="718"/>
      <c r="B30" s="23" t="s">
        <v>1863</v>
      </c>
      <c r="C30" s="672">
        <v>3</v>
      </c>
      <c r="D30" s="124" t="s">
        <v>1864</v>
      </c>
      <c r="E30" s="530" t="s">
        <v>1865</v>
      </c>
      <c r="F30" s="530"/>
      <c r="G30" s="531"/>
      <c r="H30" s="532" t="s">
        <v>1866</v>
      </c>
      <c r="I30" s="532"/>
      <c r="J30" s="29" t="s">
        <v>814</v>
      </c>
    </row>
    <row r="31" spans="1:10" s="30" customFormat="1" ht="20.25" customHeight="1" outlineLevel="1">
      <c r="A31" s="718"/>
      <c r="B31" s="23" t="s">
        <v>1867</v>
      </c>
      <c r="C31" s="31" t="s">
        <v>90</v>
      </c>
      <c r="D31" s="637" t="s">
        <v>1316</v>
      </c>
      <c r="E31" s="530" t="s">
        <v>1868</v>
      </c>
      <c r="F31" s="530"/>
      <c r="G31" s="531"/>
      <c r="H31" s="532"/>
      <c r="I31" s="532"/>
      <c r="J31" s="32" t="s">
        <v>814</v>
      </c>
    </row>
    <row r="32" spans="1:10" s="30" customFormat="1" ht="20.25" customHeight="1" outlineLevel="1">
      <c r="A32" s="718"/>
      <c r="B32" s="23" t="s">
        <v>1869</v>
      </c>
      <c r="C32" s="31" t="s">
        <v>91</v>
      </c>
      <c r="D32" s="35" t="s">
        <v>1829</v>
      </c>
      <c r="E32" s="530" t="s">
        <v>1870</v>
      </c>
      <c r="F32" s="530"/>
      <c r="G32" s="531"/>
      <c r="H32" s="532"/>
      <c r="I32" s="532"/>
      <c r="J32" s="32" t="s">
        <v>814</v>
      </c>
    </row>
    <row r="33" spans="1:10" s="22" customFormat="1" ht="39.950000000000003" customHeight="1">
      <c r="A33" s="718"/>
      <c r="B33" s="23" t="s">
        <v>1871</v>
      </c>
      <c r="C33" s="396">
        <v>4</v>
      </c>
      <c r="D33" s="616" t="s">
        <v>1872</v>
      </c>
      <c r="E33" s="530" t="s">
        <v>1873</v>
      </c>
      <c r="F33" s="530"/>
      <c r="G33" s="531"/>
      <c r="H33" s="532" t="s">
        <v>1874</v>
      </c>
      <c r="I33" s="532"/>
      <c r="J33" s="660" t="s">
        <v>814</v>
      </c>
    </row>
    <row r="34" spans="1:10" s="22" customFormat="1" ht="20.25" customHeight="1">
      <c r="A34" s="718"/>
      <c r="B34" s="23" t="s">
        <v>1875</v>
      </c>
      <c r="C34" s="785" t="s">
        <v>1876</v>
      </c>
      <c r="D34" s="778" t="s">
        <v>1877</v>
      </c>
      <c r="E34" s="530" t="s">
        <v>1878</v>
      </c>
      <c r="F34" s="530"/>
      <c r="G34" s="531"/>
      <c r="H34" s="532" t="s">
        <v>1879</v>
      </c>
      <c r="I34" s="532"/>
      <c r="J34" s="660" t="s">
        <v>814</v>
      </c>
    </row>
    <row r="35" spans="1:10" s="22" customFormat="1" ht="20.25" customHeight="1">
      <c r="A35" s="718"/>
      <c r="B35" s="23" t="s">
        <v>1880</v>
      </c>
      <c r="C35" s="756"/>
      <c r="D35" s="756"/>
      <c r="E35" s="530" t="s">
        <v>1881</v>
      </c>
      <c r="F35" s="530"/>
      <c r="G35" s="531"/>
      <c r="H35" s="532" t="s">
        <v>1882</v>
      </c>
      <c r="I35" s="532"/>
      <c r="J35" s="719" t="s">
        <v>820</v>
      </c>
    </row>
    <row r="36" spans="1:10" ht="20.25" customHeight="1">
      <c r="A36" s="718"/>
      <c r="B36" s="23" t="s">
        <v>1883</v>
      </c>
      <c r="C36" s="786" t="s">
        <v>1884</v>
      </c>
      <c r="D36" s="779" t="s">
        <v>1885</v>
      </c>
      <c r="E36" s="530" t="s">
        <v>1886</v>
      </c>
      <c r="F36" s="530"/>
      <c r="G36" s="531"/>
      <c r="H36" s="532"/>
      <c r="I36" s="532"/>
      <c r="J36" s="657" t="s">
        <v>814</v>
      </c>
    </row>
    <row r="37" spans="1:10" ht="20.25" customHeight="1">
      <c r="A37" s="718"/>
      <c r="B37" s="23" t="s">
        <v>1887</v>
      </c>
      <c r="C37" s="756"/>
      <c r="D37" s="756"/>
      <c r="E37" s="530" t="s">
        <v>1888</v>
      </c>
      <c r="F37" s="530"/>
      <c r="G37" s="531"/>
      <c r="H37" s="532"/>
      <c r="I37" s="532"/>
      <c r="J37" s="720" t="s">
        <v>820</v>
      </c>
    </row>
    <row r="38" spans="1:10" ht="20.25" customHeight="1">
      <c r="A38" s="718"/>
      <c r="B38" s="23" t="s">
        <v>1889</v>
      </c>
      <c r="C38" s="617" t="s">
        <v>1890</v>
      </c>
      <c r="D38" s="779" t="s">
        <v>1891</v>
      </c>
      <c r="E38" s="530" t="s">
        <v>1892</v>
      </c>
      <c r="F38" s="530"/>
      <c r="G38" s="531"/>
      <c r="H38" s="532"/>
      <c r="I38" s="532"/>
      <c r="J38" s="657" t="s">
        <v>814</v>
      </c>
    </row>
    <row r="39" spans="1:10" ht="20.25" customHeight="1">
      <c r="A39" s="718"/>
      <c r="B39" s="23" t="s">
        <v>1893</v>
      </c>
      <c r="C39" s="617"/>
      <c r="D39" s="756"/>
      <c r="E39" s="530" t="s">
        <v>1894</v>
      </c>
      <c r="F39" s="530"/>
      <c r="G39" s="531"/>
      <c r="H39" s="532"/>
      <c r="I39" s="532"/>
      <c r="J39" s="720" t="s">
        <v>820</v>
      </c>
    </row>
    <row r="40" spans="1:10" ht="20.25" customHeight="1">
      <c r="A40" s="718"/>
      <c r="B40" s="23" t="s">
        <v>1895</v>
      </c>
      <c r="C40" s="617" t="s">
        <v>1896</v>
      </c>
      <c r="D40" s="779" t="s">
        <v>1897</v>
      </c>
      <c r="E40" s="530" t="s">
        <v>1898</v>
      </c>
      <c r="F40" s="530"/>
      <c r="G40" s="531"/>
      <c r="H40" s="532"/>
      <c r="I40" s="532"/>
      <c r="J40" s="657" t="s">
        <v>814</v>
      </c>
    </row>
    <row r="41" spans="1:10" ht="20.25" customHeight="1">
      <c r="A41" s="718"/>
      <c r="B41" s="23" t="s">
        <v>1899</v>
      </c>
      <c r="C41" s="617"/>
      <c r="D41" s="756"/>
      <c r="E41" s="530" t="s">
        <v>1900</v>
      </c>
      <c r="F41" s="530"/>
      <c r="G41" s="531"/>
      <c r="H41" s="532"/>
      <c r="I41" s="532"/>
      <c r="J41" s="720" t="s">
        <v>820</v>
      </c>
    </row>
    <row r="42" spans="1:10" s="22" customFormat="1" ht="20.25" customHeight="1">
      <c r="A42" s="718"/>
      <c r="B42" s="23" t="s">
        <v>1901</v>
      </c>
      <c r="C42" s="613" t="s">
        <v>1902</v>
      </c>
      <c r="D42" s="616" t="s">
        <v>1903</v>
      </c>
      <c r="E42" s="530" t="s">
        <v>1904</v>
      </c>
      <c r="F42" s="530"/>
      <c r="G42" s="531"/>
      <c r="H42" s="532" t="s">
        <v>1905</v>
      </c>
      <c r="I42" s="532"/>
      <c r="J42" s="660" t="s">
        <v>814</v>
      </c>
    </row>
    <row r="43" spans="1:10" ht="20.25" customHeight="1">
      <c r="A43" s="718"/>
      <c r="B43" s="23" t="s">
        <v>1906</v>
      </c>
      <c r="C43" s="617" t="s">
        <v>1907</v>
      </c>
      <c r="D43" s="250" t="s">
        <v>1908</v>
      </c>
      <c r="E43" s="530" t="s">
        <v>1905</v>
      </c>
      <c r="F43" s="530"/>
      <c r="G43" s="531"/>
      <c r="H43" s="532" t="s">
        <v>1909</v>
      </c>
      <c r="I43" s="532"/>
      <c r="J43" s="657" t="s">
        <v>814</v>
      </c>
    </row>
    <row r="44" spans="1:10" ht="20.25" customHeight="1">
      <c r="A44" s="718"/>
      <c r="B44" s="23" t="s">
        <v>1910</v>
      </c>
      <c r="C44" s="617" t="s">
        <v>1911</v>
      </c>
      <c r="D44" s="404" t="s">
        <v>383</v>
      </c>
      <c r="E44" s="530" t="s">
        <v>1912</v>
      </c>
      <c r="F44" s="530"/>
      <c r="G44" s="531"/>
      <c r="H44" s="532"/>
      <c r="I44" s="532"/>
      <c r="J44" s="657" t="s">
        <v>814</v>
      </c>
    </row>
    <row r="45" spans="1:10" ht="20.25" customHeight="1">
      <c r="A45" s="718"/>
      <c r="B45" s="23" t="s">
        <v>1913</v>
      </c>
      <c r="C45" s="617" t="s">
        <v>1914</v>
      </c>
      <c r="D45" s="404" t="s">
        <v>385</v>
      </c>
      <c r="E45" s="530" t="s">
        <v>1915</v>
      </c>
      <c r="F45" s="530"/>
      <c r="G45" s="531"/>
      <c r="H45" s="532"/>
      <c r="I45" s="532"/>
      <c r="J45" s="657" t="s">
        <v>814</v>
      </c>
    </row>
    <row r="46" spans="1:10" ht="20.25" customHeight="1">
      <c r="A46" s="718"/>
      <c r="B46" s="23" t="s">
        <v>1916</v>
      </c>
      <c r="C46" s="617" t="s">
        <v>1917</v>
      </c>
      <c r="D46" s="404" t="s">
        <v>391</v>
      </c>
      <c r="E46" s="530" t="s">
        <v>1918</v>
      </c>
      <c r="F46" s="530"/>
      <c r="G46" s="531"/>
      <c r="H46" s="532"/>
      <c r="I46" s="532"/>
      <c r="J46" s="657" t="s">
        <v>814</v>
      </c>
    </row>
    <row r="47" spans="1:10" ht="20.25" customHeight="1">
      <c r="A47" s="718"/>
      <c r="B47" s="23" t="s">
        <v>1919</v>
      </c>
      <c r="C47" s="617" t="s">
        <v>1920</v>
      </c>
      <c r="D47" s="404" t="s">
        <v>1921</v>
      </c>
      <c r="E47" s="530" t="s">
        <v>1922</v>
      </c>
      <c r="F47" s="530"/>
      <c r="G47" s="531"/>
      <c r="H47" s="532"/>
      <c r="I47" s="532"/>
      <c r="J47" s="657" t="s">
        <v>814</v>
      </c>
    </row>
    <row r="48" spans="1:10" ht="20.25" customHeight="1">
      <c r="A48" s="718"/>
      <c r="B48" s="23"/>
      <c r="C48" s="617" t="s">
        <v>1923</v>
      </c>
      <c r="D48" s="404" t="s">
        <v>393</v>
      </c>
      <c r="E48" s="530" t="s">
        <v>1924</v>
      </c>
      <c r="F48" s="530"/>
      <c r="G48" s="531"/>
      <c r="H48" s="532"/>
      <c r="I48" s="532"/>
      <c r="J48" s="657" t="s">
        <v>814</v>
      </c>
    </row>
    <row r="49" spans="1:10" ht="20.25" customHeight="1">
      <c r="A49" s="718"/>
      <c r="B49" s="23" t="s">
        <v>1925</v>
      </c>
      <c r="C49" s="617"/>
      <c r="D49" s="124" t="s">
        <v>804</v>
      </c>
      <c r="E49" s="530"/>
      <c r="F49" s="530"/>
      <c r="G49" s="531"/>
      <c r="H49" s="532"/>
      <c r="I49" s="532"/>
      <c r="J49" s="657"/>
    </row>
    <row r="50" spans="1:10" ht="20.25" customHeight="1">
      <c r="A50" s="718"/>
      <c r="B50" s="23" t="s">
        <v>1926</v>
      </c>
      <c r="C50" s="617"/>
      <c r="D50" s="641" t="s">
        <v>1927</v>
      </c>
      <c r="E50" s="530" t="s">
        <v>1928</v>
      </c>
      <c r="F50" s="530"/>
      <c r="G50" s="531"/>
      <c r="H50" s="532" t="s">
        <v>1929</v>
      </c>
      <c r="I50" s="532"/>
      <c r="J50" s="657" t="s">
        <v>814</v>
      </c>
    </row>
    <row r="51" spans="1:10" ht="20.25" customHeight="1">
      <c r="A51" s="718"/>
      <c r="B51" s="23" t="s">
        <v>1930</v>
      </c>
      <c r="C51" s="617"/>
      <c r="D51" s="641" t="s">
        <v>1931</v>
      </c>
      <c r="E51" s="530" t="s">
        <v>1932</v>
      </c>
      <c r="F51" s="530"/>
      <c r="G51" s="531"/>
      <c r="H51" s="532"/>
      <c r="I51" s="532"/>
      <c r="J51" s="657" t="s">
        <v>814</v>
      </c>
    </row>
    <row r="52" spans="1:10" ht="20.25" customHeight="1">
      <c r="A52" s="718"/>
      <c r="B52" s="23" t="s">
        <v>1933</v>
      </c>
      <c r="C52" s="617"/>
      <c r="D52" s="641" t="s">
        <v>1934</v>
      </c>
      <c r="E52" s="530" t="s">
        <v>1935</v>
      </c>
      <c r="F52" s="530"/>
      <c r="G52" s="531"/>
      <c r="H52" s="532"/>
      <c r="I52" s="532"/>
      <c r="J52" s="657" t="s">
        <v>814</v>
      </c>
    </row>
    <row r="53" spans="1:10" s="22" customFormat="1" ht="20.25" customHeight="1">
      <c r="A53" s="718"/>
      <c r="B53" s="23" t="s">
        <v>1936</v>
      </c>
      <c r="C53" s="613" t="s">
        <v>1937</v>
      </c>
      <c r="D53" s="72" t="s">
        <v>1938</v>
      </c>
      <c r="E53" s="530" t="s">
        <v>1939</v>
      </c>
      <c r="F53" s="530"/>
      <c r="G53" s="531"/>
      <c r="H53" s="532" t="s">
        <v>1940</v>
      </c>
      <c r="I53" s="532"/>
      <c r="J53" s="660" t="s">
        <v>814</v>
      </c>
    </row>
    <row r="54" spans="1:10" ht="20.25" customHeight="1">
      <c r="A54" s="718"/>
      <c r="B54" s="23" t="s">
        <v>1941</v>
      </c>
      <c r="C54" s="617" t="s">
        <v>1942</v>
      </c>
      <c r="D54" s="250" t="s">
        <v>1943</v>
      </c>
      <c r="E54" s="530" t="s">
        <v>1940</v>
      </c>
      <c r="F54" s="530"/>
      <c r="G54" s="531"/>
      <c r="H54" s="532"/>
      <c r="I54" s="532"/>
      <c r="J54" s="657" t="s">
        <v>814</v>
      </c>
    </row>
    <row r="55" spans="1:10" ht="20.25" customHeight="1">
      <c r="A55" s="718"/>
      <c r="B55" s="23" t="s">
        <v>1944</v>
      </c>
      <c r="C55" s="31"/>
      <c r="D55" s="405" t="s">
        <v>1945</v>
      </c>
      <c r="E55" s="530" t="s">
        <v>1946</v>
      </c>
      <c r="F55" s="530"/>
      <c r="G55" s="531"/>
      <c r="H55" s="532"/>
      <c r="I55" s="532"/>
      <c r="J55" s="657" t="s">
        <v>814</v>
      </c>
    </row>
    <row r="56" spans="1:10" s="30" customFormat="1" ht="20.25" customHeight="1">
      <c r="A56" s="718"/>
      <c r="B56" s="23" t="s">
        <v>1947</v>
      </c>
      <c r="C56" s="31"/>
      <c r="D56" s="34" t="s">
        <v>804</v>
      </c>
      <c r="E56" s="530"/>
      <c r="F56" s="530"/>
      <c r="G56" s="531"/>
      <c r="H56" s="532"/>
      <c r="I56" s="532"/>
      <c r="J56" s="32"/>
    </row>
    <row r="57" spans="1:10" s="30" customFormat="1" ht="20.25" customHeight="1">
      <c r="A57" s="718"/>
      <c r="B57" s="23" t="s">
        <v>1948</v>
      </c>
      <c r="C57" s="31"/>
      <c r="D57" s="35" t="s">
        <v>1949</v>
      </c>
      <c r="E57" s="530" t="s">
        <v>1950</v>
      </c>
      <c r="F57" s="530"/>
      <c r="G57" s="531"/>
      <c r="H57" s="532"/>
      <c r="I57" s="532"/>
      <c r="J57" s="32" t="s">
        <v>814</v>
      </c>
    </row>
    <row r="58" spans="1:10" s="30" customFormat="1" ht="20.25" customHeight="1">
      <c r="A58" s="718"/>
      <c r="B58" s="23" t="s">
        <v>1951</v>
      </c>
      <c r="C58" s="406"/>
      <c r="D58" s="35" t="s">
        <v>1952</v>
      </c>
      <c r="E58" s="530" t="s">
        <v>1953</v>
      </c>
      <c r="F58" s="530"/>
      <c r="G58" s="531"/>
      <c r="H58" s="532"/>
      <c r="I58" s="532"/>
      <c r="J58" s="32" t="s">
        <v>814</v>
      </c>
    </row>
    <row r="59" spans="1:10" s="30" customFormat="1" ht="20.25" customHeight="1">
      <c r="A59" s="718"/>
      <c r="B59" s="23" t="s">
        <v>1954</v>
      </c>
      <c r="C59" s="406"/>
      <c r="D59" s="36" t="s">
        <v>1945</v>
      </c>
      <c r="E59" s="530" t="s">
        <v>1955</v>
      </c>
      <c r="F59" s="530"/>
      <c r="G59" s="531"/>
      <c r="H59" s="532"/>
      <c r="I59" s="532"/>
      <c r="J59" s="32" t="s">
        <v>814</v>
      </c>
    </row>
    <row r="60" spans="1:10" s="30" customFormat="1" ht="20.25" customHeight="1">
      <c r="A60" s="718"/>
      <c r="B60" s="23" t="s">
        <v>1956</v>
      </c>
      <c r="C60" s="31"/>
      <c r="D60" s="35" t="s">
        <v>1957</v>
      </c>
      <c r="E60" s="530" t="s">
        <v>1958</v>
      </c>
      <c r="F60" s="530"/>
      <c r="G60" s="531"/>
      <c r="H60" s="532"/>
      <c r="I60" s="532"/>
      <c r="J60" s="32" t="s">
        <v>814</v>
      </c>
    </row>
    <row r="61" spans="1:10" s="30" customFormat="1" ht="20.25" customHeight="1">
      <c r="A61" s="718"/>
      <c r="B61" s="23" t="s">
        <v>1959</v>
      </c>
      <c r="C61" s="31"/>
      <c r="D61" s="36" t="s">
        <v>1945</v>
      </c>
      <c r="E61" s="530" t="s">
        <v>1960</v>
      </c>
      <c r="F61" s="530"/>
      <c r="G61" s="531"/>
      <c r="H61" s="532"/>
      <c r="I61" s="532"/>
      <c r="J61" s="32" t="s">
        <v>814</v>
      </c>
    </row>
    <row r="62" spans="1:10" s="22" customFormat="1" ht="20.25" customHeight="1">
      <c r="A62" s="718"/>
      <c r="B62" s="23" t="s">
        <v>1961</v>
      </c>
      <c r="C62" s="613" t="s">
        <v>1962</v>
      </c>
      <c r="D62" s="616" t="s">
        <v>1963</v>
      </c>
      <c r="E62" s="530" t="s">
        <v>1964</v>
      </c>
      <c r="F62" s="530"/>
      <c r="G62" s="531"/>
      <c r="H62" s="532"/>
      <c r="I62" s="532"/>
      <c r="J62" s="660" t="s">
        <v>814</v>
      </c>
    </row>
    <row r="63" spans="1:10" s="22" customFormat="1" ht="20.25" customHeight="1">
      <c r="A63" s="718"/>
      <c r="B63" s="23" t="s">
        <v>1965</v>
      </c>
      <c r="C63" s="613" t="s">
        <v>1966</v>
      </c>
      <c r="D63" s="72" t="s">
        <v>1706</v>
      </c>
      <c r="E63" s="530" t="s">
        <v>1967</v>
      </c>
      <c r="F63" s="530"/>
      <c r="G63" s="531"/>
      <c r="H63" s="532" t="s">
        <v>1968</v>
      </c>
      <c r="I63" s="532"/>
      <c r="J63" s="660" t="s">
        <v>814</v>
      </c>
    </row>
    <row r="64" spans="1:10" ht="20.25" customHeight="1">
      <c r="A64" s="718"/>
      <c r="B64" s="23" t="s">
        <v>1969</v>
      </c>
      <c r="C64" s="617" t="s">
        <v>1970</v>
      </c>
      <c r="D64" s="35" t="s">
        <v>1971</v>
      </c>
      <c r="E64" s="530" t="s">
        <v>1968</v>
      </c>
      <c r="F64" s="530"/>
      <c r="G64" s="531"/>
      <c r="H64" s="532"/>
      <c r="I64" s="532"/>
      <c r="J64" s="657" t="s">
        <v>814</v>
      </c>
    </row>
    <row r="65" spans="1:10" ht="20.25" customHeight="1">
      <c r="A65" s="718"/>
      <c r="B65" s="23" t="s">
        <v>1972</v>
      </c>
      <c r="C65" s="617"/>
      <c r="D65" s="34" t="s">
        <v>804</v>
      </c>
      <c r="E65" s="530"/>
      <c r="F65" s="530"/>
      <c r="G65" s="531"/>
      <c r="H65" s="532"/>
      <c r="I65" s="532"/>
      <c r="J65" s="657"/>
    </row>
    <row r="66" spans="1:10" ht="20.25" customHeight="1">
      <c r="A66" s="718"/>
      <c r="B66" s="23" t="s">
        <v>1973</v>
      </c>
      <c r="C66" s="31"/>
      <c r="D66" s="35" t="s">
        <v>1974</v>
      </c>
      <c r="E66" s="530" t="s">
        <v>1975</v>
      </c>
      <c r="F66" s="530"/>
      <c r="G66" s="531"/>
      <c r="H66" s="532"/>
      <c r="I66" s="532"/>
      <c r="J66" s="657" t="s">
        <v>814</v>
      </c>
    </row>
    <row r="67" spans="1:10" ht="20.25" customHeight="1">
      <c r="A67" s="718"/>
      <c r="B67" s="23" t="s">
        <v>1976</v>
      </c>
      <c r="C67" s="31"/>
      <c r="D67" s="35" t="s">
        <v>1541</v>
      </c>
      <c r="E67" s="530" t="s">
        <v>1977</v>
      </c>
      <c r="F67" s="530"/>
      <c r="G67" s="531"/>
      <c r="H67" s="532"/>
      <c r="I67" s="532"/>
      <c r="J67" s="657" t="s">
        <v>814</v>
      </c>
    </row>
    <row r="68" spans="1:10" ht="20.25" customHeight="1">
      <c r="A68" s="718"/>
      <c r="B68" s="23" t="s">
        <v>1978</v>
      </c>
      <c r="C68" s="31"/>
      <c r="D68" s="35" t="s">
        <v>1979</v>
      </c>
      <c r="E68" s="530" t="s">
        <v>1980</v>
      </c>
      <c r="F68" s="530"/>
      <c r="G68" s="531"/>
      <c r="H68" s="532"/>
      <c r="I68" s="532"/>
      <c r="J68" s="657" t="s">
        <v>814</v>
      </c>
    </row>
    <row r="69" spans="1:10" s="22" customFormat="1" ht="20.25" customHeight="1">
      <c r="A69" s="718"/>
      <c r="B69" s="23" t="s">
        <v>1981</v>
      </c>
      <c r="C69" s="613" t="s">
        <v>1982</v>
      </c>
      <c r="D69" s="72" t="s">
        <v>1983</v>
      </c>
      <c r="E69" s="530" t="s">
        <v>1984</v>
      </c>
      <c r="F69" s="530"/>
      <c r="G69" s="531"/>
      <c r="H69" s="532" t="s">
        <v>1985</v>
      </c>
      <c r="I69" s="532"/>
      <c r="J69" s="660" t="s">
        <v>814</v>
      </c>
    </row>
    <row r="70" spans="1:10" s="22" customFormat="1" ht="20.25" customHeight="1">
      <c r="A70" s="718"/>
      <c r="B70" s="23" t="s">
        <v>1986</v>
      </c>
      <c r="C70" s="613"/>
      <c r="D70" s="70" t="s">
        <v>615</v>
      </c>
      <c r="E70" s="530" t="s">
        <v>1987</v>
      </c>
      <c r="F70" s="530"/>
      <c r="G70" s="531"/>
      <c r="H70" s="532"/>
      <c r="I70" s="532"/>
      <c r="J70" s="660" t="s">
        <v>814</v>
      </c>
    </row>
    <row r="71" spans="1:10" ht="20.25" customHeight="1">
      <c r="A71" s="718"/>
      <c r="B71" s="23" t="s">
        <v>1988</v>
      </c>
      <c r="C71" s="617" t="s">
        <v>1989</v>
      </c>
      <c r="D71" s="70" t="s">
        <v>617</v>
      </c>
      <c r="E71" s="530" t="s">
        <v>1990</v>
      </c>
      <c r="F71" s="530"/>
      <c r="G71" s="531"/>
      <c r="H71" s="532"/>
      <c r="I71" s="532"/>
      <c r="J71" s="657" t="s">
        <v>814</v>
      </c>
    </row>
    <row r="72" spans="1:10" ht="20.25" customHeight="1">
      <c r="A72" s="718"/>
      <c r="B72" s="23" t="s">
        <v>1991</v>
      </c>
      <c r="C72" s="617" t="s">
        <v>1992</v>
      </c>
      <c r="D72" s="70" t="s">
        <v>626</v>
      </c>
      <c r="E72" s="530" t="s">
        <v>1993</v>
      </c>
      <c r="F72" s="530"/>
      <c r="G72" s="531"/>
      <c r="H72" s="532"/>
      <c r="I72" s="532"/>
      <c r="J72" s="657" t="s">
        <v>814</v>
      </c>
    </row>
    <row r="73" spans="1:10" s="22" customFormat="1" ht="20.25" customHeight="1">
      <c r="A73" s="718"/>
      <c r="B73" s="23" t="s">
        <v>1994</v>
      </c>
      <c r="C73" s="613" t="s">
        <v>1995</v>
      </c>
      <c r="D73" s="72" t="s">
        <v>1996</v>
      </c>
      <c r="E73" s="530" t="s">
        <v>1997</v>
      </c>
      <c r="F73" s="530"/>
      <c r="G73" s="531"/>
      <c r="H73" s="532"/>
      <c r="I73" s="532"/>
      <c r="J73" s="660" t="s">
        <v>814</v>
      </c>
    </row>
    <row r="74" spans="1:10" s="22" customFormat="1" ht="20.25" customHeight="1">
      <c r="A74" s="718"/>
      <c r="B74" s="23" t="s">
        <v>1998</v>
      </c>
      <c r="C74" s="613" t="s">
        <v>1999</v>
      </c>
      <c r="D74" s="72" t="s">
        <v>2000</v>
      </c>
      <c r="E74" s="530" t="s">
        <v>2001</v>
      </c>
      <c r="F74" s="530"/>
      <c r="G74" s="531"/>
      <c r="H74" s="532"/>
      <c r="I74" s="532"/>
      <c r="J74" s="660" t="s">
        <v>814</v>
      </c>
    </row>
    <row r="75" spans="1:10" s="22" customFormat="1" ht="20.25" customHeight="1">
      <c r="A75" s="718"/>
      <c r="B75" s="23" t="s">
        <v>2002</v>
      </c>
      <c r="C75" s="613" t="s">
        <v>2003</v>
      </c>
      <c r="D75" s="72" t="s">
        <v>2004</v>
      </c>
      <c r="E75" s="530" t="s">
        <v>2005</v>
      </c>
      <c r="F75" s="530"/>
      <c r="G75" s="531"/>
      <c r="H75" s="532"/>
      <c r="I75" s="532"/>
      <c r="J75" s="660" t="s">
        <v>814</v>
      </c>
    </row>
    <row r="76" spans="1:10" s="22" customFormat="1" ht="20.25" customHeight="1">
      <c r="A76" s="718"/>
      <c r="B76" s="23" t="s">
        <v>2006</v>
      </c>
      <c r="C76" s="613" t="s">
        <v>2007</v>
      </c>
      <c r="D76" s="72" t="s">
        <v>2008</v>
      </c>
      <c r="E76" s="530" t="s">
        <v>2009</v>
      </c>
      <c r="F76" s="530"/>
      <c r="G76" s="531"/>
      <c r="H76" s="532"/>
      <c r="I76" s="532"/>
      <c r="J76" s="660" t="s">
        <v>814</v>
      </c>
    </row>
    <row r="77" spans="1:10" s="22" customFormat="1" ht="20.25" customHeight="1">
      <c r="A77" s="718"/>
      <c r="B77" s="23" t="s">
        <v>2010</v>
      </c>
      <c r="C77" s="613" t="s">
        <v>2011</v>
      </c>
      <c r="D77" s="72" t="s">
        <v>2012</v>
      </c>
      <c r="E77" s="530" t="s">
        <v>2013</v>
      </c>
      <c r="F77" s="530"/>
      <c r="G77" s="531"/>
      <c r="H77" s="532"/>
      <c r="I77" s="532"/>
      <c r="J77" s="660" t="s">
        <v>814</v>
      </c>
    </row>
    <row r="78" spans="1:10" s="22" customFormat="1" ht="20.25" customHeight="1">
      <c r="A78" s="718"/>
      <c r="B78" s="23" t="s">
        <v>2014</v>
      </c>
      <c r="C78" s="785" t="s">
        <v>2015</v>
      </c>
      <c r="D78" s="780" t="s">
        <v>2016</v>
      </c>
      <c r="E78" s="530" t="s">
        <v>2017</v>
      </c>
      <c r="F78" s="530"/>
      <c r="G78" s="531"/>
      <c r="H78" s="532"/>
      <c r="I78" s="532"/>
      <c r="J78" s="660" t="s">
        <v>814</v>
      </c>
    </row>
    <row r="79" spans="1:10" s="22" customFormat="1" ht="20.25" customHeight="1">
      <c r="A79" s="718"/>
      <c r="B79" s="23" t="s">
        <v>2018</v>
      </c>
      <c r="C79" s="756"/>
      <c r="D79" s="756"/>
      <c r="E79" s="530" t="s">
        <v>2019</v>
      </c>
      <c r="F79" s="530"/>
      <c r="G79" s="531"/>
      <c r="H79" s="532"/>
      <c r="I79" s="532"/>
      <c r="J79" s="719" t="s">
        <v>820</v>
      </c>
    </row>
    <row r="80" spans="1:10" s="22" customFormat="1" ht="20.25" customHeight="1" outlineLevel="1">
      <c r="A80" s="718"/>
      <c r="B80" s="23" t="s">
        <v>2020</v>
      </c>
      <c r="C80" s="613" t="s">
        <v>2021</v>
      </c>
      <c r="D80" s="407" t="s">
        <v>2022</v>
      </c>
      <c r="E80" s="530" t="s">
        <v>2023</v>
      </c>
      <c r="F80" s="530"/>
      <c r="G80" s="531"/>
      <c r="H80" s="532"/>
      <c r="I80" s="532"/>
      <c r="J80" s="29" t="s">
        <v>814</v>
      </c>
    </row>
    <row r="81" spans="1:10" s="22" customFormat="1" ht="20.25" customHeight="1" outlineLevel="1">
      <c r="A81" s="718"/>
      <c r="B81" s="23" t="s">
        <v>2024</v>
      </c>
      <c r="C81" s="613"/>
      <c r="D81" s="407" t="s">
        <v>2025</v>
      </c>
      <c r="E81" s="530" t="s">
        <v>2026</v>
      </c>
      <c r="F81" s="530"/>
      <c r="G81" s="531"/>
      <c r="H81" s="532"/>
      <c r="I81" s="532"/>
      <c r="J81" s="29" t="s">
        <v>814</v>
      </c>
    </row>
    <row r="82" spans="1:10" ht="20.25" customHeight="1" outlineLevel="1">
      <c r="A82" s="718"/>
      <c r="B82" s="23" t="s">
        <v>2027</v>
      </c>
      <c r="C82" s="613" t="s">
        <v>2028</v>
      </c>
      <c r="D82" s="37" t="s">
        <v>2029</v>
      </c>
      <c r="E82" s="530"/>
      <c r="F82" s="530"/>
      <c r="G82" s="531"/>
      <c r="H82" s="532"/>
      <c r="I82" s="532"/>
      <c r="J82" s="660"/>
    </row>
    <row r="83" spans="1:10" ht="20.25" customHeight="1" outlineLevel="1">
      <c r="A83" s="718"/>
      <c r="B83" s="23" t="s">
        <v>2030</v>
      </c>
      <c r="C83" s="613"/>
      <c r="D83" s="34" t="s">
        <v>2031</v>
      </c>
      <c r="E83" s="530" t="s">
        <v>2032</v>
      </c>
      <c r="F83" s="530"/>
      <c r="G83" s="531"/>
      <c r="H83" s="532" t="s">
        <v>2033</v>
      </c>
      <c r="I83" s="532"/>
      <c r="J83" s="660" t="s">
        <v>814</v>
      </c>
    </row>
    <row r="84" spans="1:10" ht="20.25" customHeight="1" outlineLevel="1">
      <c r="A84" s="718"/>
      <c r="B84" s="23" t="s">
        <v>2034</v>
      </c>
      <c r="C84" s="402"/>
      <c r="D84" s="34" t="s">
        <v>2035</v>
      </c>
      <c r="E84" s="530" t="s">
        <v>2036</v>
      </c>
      <c r="F84" s="530"/>
      <c r="G84" s="531"/>
      <c r="H84" s="532" t="s">
        <v>2037</v>
      </c>
      <c r="I84" s="532"/>
      <c r="J84" s="660" t="s">
        <v>814</v>
      </c>
    </row>
    <row r="85" spans="1:10" ht="48" customHeight="1" outlineLevel="1">
      <c r="B85" s="139"/>
      <c r="C85" s="396">
        <v>7</v>
      </c>
      <c r="D85" s="547" t="s">
        <v>2038</v>
      </c>
      <c r="E85" s="530"/>
      <c r="F85" s="530" t="s">
        <v>2039</v>
      </c>
      <c r="G85" s="531"/>
      <c r="H85" s="532" t="s">
        <v>2040</v>
      </c>
      <c r="I85" s="532"/>
      <c r="J85" s="660" t="s">
        <v>814</v>
      </c>
    </row>
    <row r="86" spans="1:10" outlineLevel="1">
      <c r="B86" s="139"/>
      <c r="C86" s="397">
        <v>8</v>
      </c>
      <c r="D86" s="398" t="s">
        <v>2041</v>
      </c>
      <c r="E86" s="530"/>
      <c r="F86" s="530"/>
      <c r="G86" s="531"/>
      <c r="H86" s="532"/>
      <c r="I86" s="532"/>
      <c r="J86" s="397"/>
    </row>
    <row r="87" spans="1:10" ht="19.5" customHeight="1" outlineLevel="1">
      <c r="B87" s="139"/>
      <c r="C87" s="642"/>
      <c r="D87" s="781" t="s">
        <v>2042</v>
      </c>
      <c r="E87" s="530"/>
      <c r="F87" s="530"/>
      <c r="G87" s="531"/>
      <c r="H87" s="532"/>
      <c r="I87" s="532"/>
      <c r="J87" s="642" t="s">
        <v>814</v>
      </c>
    </row>
    <row r="88" spans="1:10" ht="19.5" customHeight="1" outlineLevel="1">
      <c r="B88" s="139"/>
      <c r="C88" s="642"/>
      <c r="D88" s="756"/>
      <c r="E88" s="530"/>
      <c r="F88" s="530"/>
      <c r="G88" s="531"/>
      <c r="H88" s="532"/>
      <c r="I88" s="532"/>
      <c r="J88" s="642" t="s">
        <v>820</v>
      </c>
    </row>
    <row r="89" spans="1:10" ht="19.5" customHeight="1" outlineLevel="1">
      <c r="B89" s="139"/>
      <c r="C89" s="642"/>
      <c r="D89" s="609" t="s">
        <v>2043</v>
      </c>
      <c r="E89" s="530"/>
      <c r="F89" s="530"/>
      <c r="G89" s="531"/>
      <c r="H89" s="532"/>
      <c r="I89" s="532"/>
      <c r="J89" s="642" t="s">
        <v>814</v>
      </c>
    </row>
    <row r="90" spans="1:10" ht="19.5" customHeight="1" outlineLevel="1">
      <c r="C90" s="642">
        <v>9</v>
      </c>
      <c r="D90" s="399" t="s">
        <v>2044</v>
      </c>
      <c r="E90" s="530"/>
      <c r="F90" s="530"/>
      <c r="G90" s="531"/>
      <c r="H90" s="532"/>
      <c r="I90" s="532"/>
      <c r="J90" s="642"/>
    </row>
    <row r="91" spans="1:10" ht="19.5" customHeight="1" outlineLevel="1">
      <c r="C91" s="642"/>
      <c r="D91" s="781" t="s">
        <v>2042</v>
      </c>
      <c r="E91" s="530"/>
      <c r="F91" s="530" t="s">
        <v>2045</v>
      </c>
      <c r="G91" s="531"/>
      <c r="H91" s="532" t="s">
        <v>2046</v>
      </c>
      <c r="I91" s="532"/>
      <c r="J91" s="642" t="s">
        <v>814</v>
      </c>
    </row>
    <row r="92" spans="1:10" ht="19.5" customHeight="1" outlineLevel="1">
      <c r="C92" s="642"/>
      <c r="D92" s="756"/>
      <c r="E92" s="530"/>
      <c r="F92" s="530" t="s">
        <v>2045</v>
      </c>
      <c r="G92" s="531"/>
      <c r="H92" s="532" t="s">
        <v>2047</v>
      </c>
      <c r="I92" s="532"/>
      <c r="J92" s="642" t="s">
        <v>820</v>
      </c>
    </row>
    <row r="93" spans="1:10" ht="19.5" customHeight="1" outlineLevel="1">
      <c r="C93" s="400"/>
      <c r="D93" s="401" t="s">
        <v>2043</v>
      </c>
      <c r="E93" s="530"/>
      <c r="F93" s="530" t="s">
        <v>2045</v>
      </c>
      <c r="G93" s="531"/>
      <c r="H93" s="532" t="s">
        <v>2048</v>
      </c>
      <c r="I93" s="532"/>
      <c r="J93" s="643" t="s">
        <v>814</v>
      </c>
    </row>
    <row r="95" spans="1:10">
      <c r="D95" s="22" t="s">
        <v>2049</v>
      </c>
    </row>
    <row r="96" spans="1:10" ht="75" customHeight="1">
      <c r="D96" s="41" t="s">
        <v>2050</v>
      </c>
    </row>
  </sheetData>
  <mergeCells count="27">
    <mergeCell ref="B6:B8"/>
    <mergeCell ref="C3:J3"/>
    <mergeCell ref="D91:D92"/>
    <mergeCell ref="C11:C12"/>
    <mergeCell ref="H7:H8"/>
    <mergeCell ref="C6:C8"/>
    <mergeCell ref="C34:C35"/>
    <mergeCell ref="C21:C22"/>
    <mergeCell ref="C36:C37"/>
    <mergeCell ref="C78:C79"/>
    <mergeCell ref="E7:E8"/>
    <mergeCell ref="I7:I8"/>
    <mergeCell ref="D6:D8"/>
    <mergeCell ref="E6:I6"/>
    <mergeCell ref="C17:C18"/>
    <mergeCell ref="J6:J8"/>
    <mergeCell ref="F7:F8"/>
    <mergeCell ref="D40:D41"/>
    <mergeCell ref="D17:D18"/>
    <mergeCell ref="G7:G8"/>
    <mergeCell ref="D11:D12"/>
    <mergeCell ref="D21:D22"/>
    <mergeCell ref="D36:D37"/>
    <mergeCell ref="D78:D79"/>
    <mergeCell ref="D87:D88"/>
    <mergeCell ref="D38:D39"/>
    <mergeCell ref="D34:D35"/>
  </mergeCells>
  <conditionalFormatting sqref="O10:O93 P10:P93 U10:U93 V10:V93 AA10:AA93 AB10:AB93 AG10:AG93 AH10:AH93 AM10:AM93 AN10:AN93 AS10:AS93 AT10:AT93 AY10:AY93 AZ10:AZ93 BE10:BE93 BF10:BF93 BK10:BK93 BL10:BL93 BQ10:BQ93 BR10:BR93 BW10:BW93 BX10:BX93 CC10:CC93 CD10:CD93 CI10:CI93 CJ10:CJ93 CO10:CO93 CP10:CP93 CU10:CU93 CV10:CV93 DA10:DA93 DB10:DB93 DG10:DG93 DH10:DH93">
    <cfRule type="cellIs" dxfId="75" priority="3" operator="greaterThan">
      <formula>0</formula>
    </cfRule>
    <cfRule type="cellIs" dxfId="74" priority="2" operator="lessThan">
      <formula>0</formula>
    </cfRule>
    <cfRule type="cellIs" dxfId="73" priority="1" operator="equal">
      <formula>0</formula>
    </cfRule>
  </conditionalFormatting>
  <conditionalFormatting sqref="L10:L93 N10:N93 R10:R93 T10:T93 X10:X93 Z10:Z93 AD10:AD93 AF10:AF93 AJ10:AJ93 AL10:AL93 AP10:AP93 AR10:AR93 AV10:AV93 AX10:AX93 BB10:BB93 BD10:BD93 BH10:BH93 BJ10:BJ93 BN10:BN93 BP10:BP93 BT10:BT93 BV10:BV93 BZ10:BZ93 CB10:CB93 CF10:CF93 CH10:CH93 CL10:CL93 CN10:CN93 CR10:CR93 CT10:CT93 CX10:CX93 CZ10:CZ93 DD10:DD93 DF10:DF93">
    <cfRule type="cellIs" dxfId="72" priority="4" operator="equal">
      <formula>0</formula>
    </cfRule>
  </conditionalFormatting>
  <pageMargins left="0.25" right="0.25" top="0.75" bottom="0.75" header="0.3" footer="0.3"/>
  <pageSetup paperSize="9" scale="77" fitToHeight="0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>
    <tabColor theme="8" tint="0.59999389629810485"/>
    <pageSetUpPr fitToPage="1"/>
  </sheetPr>
  <dimension ref="A1:J355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8.42578125" defaultRowHeight="15.75" outlineLevelRow="1" outlineLevelCol="1"/>
  <cols>
    <col min="1" max="1" width="15.85546875" style="621" hidden="1" customWidth="1" outlineLevel="1"/>
    <col min="2" max="2" width="15.85546875" style="44" hidden="1" customWidth="1" outlineLevel="1"/>
    <col min="3" max="3" width="8.5703125" style="45" customWidth="1" collapsed="1"/>
    <col min="4" max="4" width="60.7109375" style="45" customWidth="1"/>
    <col min="5" max="9" width="23.5703125" style="45" customWidth="1" outlineLevel="1"/>
    <col min="10" max="10" width="14.28515625" style="45" bestFit="1" customWidth="1"/>
    <col min="11" max="112" width="8.42578125" style="621" customWidth="1"/>
    <col min="113" max="16384" width="8.42578125" style="621"/>
  </cols>
  <sheetData>
    <row r="1" spans="1:10" ht="15" customHeight="1" outlineLevel="1"/>
    <row r="2" spans="1:10" ht="15" customHeight="1" outlineLevel="1"/>
    <row r="3" spans="1:10" ht="20.25" customHeight="1" outlineLevel="1">
      <c r="C3" s="789" t="s">
        <v>2051</v>
      </c>
      <c r="D3" s="796"/>
      <c r="E3" s="796"/>
      <c r="F3" s="796"/>
      <c r="G3" s="796"/>
      <c r="H3" s="796"/>
      <c r="I3" s="796"/>
      <c r="J3" s="796"/>
    </row>
    <row r="4" spans="1:10" ht="15" customHeight="1" outlineLevel="1"/>
    <row r="5" spans="1:10" ht="18.75" customHeight="1">
      <c r="B5" s="47"/>
      <c r="C5" s="48" t="s">
        <v>2052</v>
      </c>
      <c r="D5" s="48"/>
      <c r="E5" s="48"/>
      <c r="F5" s="48"/>
      <c r="G5" s="48"/>
      <c r="H5" s="48"/>
      <c r="I5" s="48"/>
      <c r="J5" s="385"/>
    </row>
    <row r="6" spans="1:10" s="45" customFormat="1" ht="20.100000000000001" customHeight="1">
      <c r="B6" s="818"/>
      <c r="C6" s="809" t="s">
        <v>1364</v>
      </c>
      <c r="D6" s="809" t="s">
        <v>16</v>
      </c>
      <c r="E6" s="761" t="s">
        <v>17</v>
      </c>
      <c r="F6" s="762"/>
      <c r="G6" s="762"/>
      <c r="H6" s="762"/>
      <c r="I6" s="763"/>
      <c r="J6" s="812" t="s">
        <v>2053</v>
      </c>
    </row>
    <row r="7" spans="1:10" s="45" customFormat="1" ht="39.950000000000003" customHeight="1">
      <c r="B7" s="796"/>
      <c r="C7" s="756"/>
      <c r="D7" s="756"/>
      <c r="E7" s="741" t="s">
        <v>19</v>
      </c>
      <c r="F7" s="741" t="s">
        <v>20</v>
      </c>
      <c r="G7" s="741" t="s">
        <v>21</v>
      </c>
      <c r="H7" s="741" t="s">
        <v>22</v>
      </c>
      <c r="I7" s="741" t="s">
        <v>23</v>
      </c>
      <c r="J7" s="756"/>
    </row>
    <row r="8" spans="1:10" s="45" customFormat="1" ht="20.100000000000001" customHeight="1">
      <c r="B8" s="796"/>
      <c r="C8" s="757"/>
      <c r="D8" s="757"/>
      <c r="E8" s="742"/>
      <c r="F8" s="742"/>
      <c r="G8" s="742"/>
      <c r="H8" s="742"/>
      <c r="I8" s="742"/>
      <c r="J8" s="757"/>
    </row>
    <row r="9" spans="1:10" s="45" customFormat="1" ht="20.100000000000001" hidden="1" customHeight="1">
      <c r="B9" s="618"/>
      <c r="C9" s="383"/>
      <c r="D9" s="384"/>
      <c r="E9" s="385"/>
      <c r="F9" s="385"/>
      <c r="G9" s="385"/>
      <c r="H9" s="385"/>
      <c r="I9" s="385"/>
      <c r="J9" s="386"/>
    </row>
    <row r="10" spans="1:10" s="45" customFormat="1" ht="24" customHeight="1">
      <c r="A10" t="s">
        <v>2054</v>
      </c>
      <c r="B10" s="49"/>
      <c r="C10" s="537" t="s">
        <v>26</v>
      </c>
      <c r="D10" s="50" t="s">
        <v>2054</v>
      </c>
      <c r="E10" s="530" t="s">
        <v>1802</v>
      </c>
      <c r="F10" s="530"/>
      <c r="G10" s="531"/>
      <c r="H10" s="532" t="s">
        <v>2055</v>
      </c>
      <c r="I10" s="532"/>
      <c r="J10" s="51" t="s">
        <v>117</v>
      </c>
    </row>
    <row r="11" spans="1:10" s="45" customFormat="1" ht="24" customHeight="1">
      <c r="A11" t="s">
        <v>2056</v>
      </c>
      <c r="B11" s="49"/>
      <c r="C11" s="629"/>
      <c r="D11" s="631" t="s">
        <v>2056</v>
      </c>
      <c r="E11" s="530" t="s">
        <v>2057</v>
      </c>
      <c r="F11" s="530"/>
      <c r="G11" s="531"/>
      <c r="H11" s="532" t="s">
        <v>2058</v>
      </c>
      <c r="I11" s="532"/>
      <c r="J11" s="528" t="s">
        <v>2059</v>
      </c>
    </row>
    <row r="12" spans="1:10" s="45" customFormat="1" ht="24" customHeight="1">
      <c r="A12" t="s">
        <v>1223</v>
      </c>
      <c r="B12" s="49"/>
      <c r="C12" s="620"/>
      <c r="D12" s="631" t="s">
        <v>1223</v>
      </c>
      <c r="E12" s="530" t="s">
        <v>2060</v>
      </c>
      <c r="F12" s="530"/>
      <c r="G12" s="531"/>
      <c r="H12" s="532" t="s">
        <v>2061</v>
      </c>
      <c r="I12" s="532"/>
      <c r="J12" s="528" t="s">
        <v>2059</v>
      </c>
    </row>
    <row r="13" spans="1:10" s="45" customFormat="1" ht="24" customHeight="1">
      <c r="A13" t="s">
        <v>1553</v>
      </c>
      <c r="B13" s="49"/>
      <c r="C13" s="620"/>
      <c r="D13" s="631" t="s">
        <v>1553</v>
      </c>
      <c r="E13" s="530" t="s">
        <v>2062</v>
      </c>
      <c r="F13" s="530"/>
      <c r="G13" s="531"/>
      <c r="H13" s="532" t="s">
        <v>2063</v>
      </c>
      <c r="I13" s="532"/>
      <c r="J13" s="528" t="s">
        <v>2059</v>
      </c>
    </row>
    <row r="14" spans="1:10" s="45" customFormat="1" ht="18.75" customHeight="1">
      <c r="A14" t="s">
        <v>2064</v>
      </c>
      <c r="B14" s="49"/>
      <c r="C14" s="620"/>
      <c r="D14" s="631" t="s">
        <v>2064</v>
      </c>
      <c r="E14" s="530" t="s">
        <v>2065</v>
      </c>
      <c r="F14" s="530"/>
      <c r="G14" s="531"/>
      <c r="H14" s="532" t="s">
        <v>2066</v>
      </c>
      <c r="I14" s="532"/>
      <c r="J14" s="528" t="s">
        <v>2059</v>
      </c>
    </row>
    <row r="15" spans="1:10" s="45" customFormat="1" ht="18.75" customHeight="1">
      <c r="A15" t="s">
        <v>2067</v>
      </c>
      <c r="B15" s="49"/>
      <c r="C15" s="620"/>
      <c r="D15" s="631" t="s">
        <v>2067</v>
      </c>
      <c r="E15" s="530" t="s">
        <v>2068</v>
      </c>
      <c r="F15" s="530"/>
      <c r="G15" s="531"/>
      <c r="H15" s="532" t="s">
        <v>2069</v>
      </c>
      <c r="I15" s="532"/>
      <c r="J15" s="528" t="s">
        <v>2059</v>
      </c>
    </row>
    <row r="16" spans="1:10" s="45" customFormat="1" ht="18.75" customHeight="1">
      <c r="A16" t="s">
        <v>2070</v>
      </c>
      <c r="B16" s="49"/>
      <c r="C16" s="799" t="s">
        <v>308</v>
      </c>
      <c r="D16" s="802" t="s">
        <v>2070</v>
      </c>
      <c r="E16" s="530" t="s">
        <v>2071</v>
      </c>
      <c r="F16" s="530"/>
      <c r="G16" s="531"/>
      <c r="H16" s="532" t="s">
        <v>2072</v>
      </c>
      <c r="I16" s="532"/>
      <c r="J16" s="528" t="s">
        <v>117</v>
      </c>
    </row>
    <row r="17" spans="1:10" s="45" customFormat="1" ht="18.75" customHeight="1">
      <c r="B17" s="49"/>
      <c r="C17" s="752"/>
      <c r="D17" s="756"/>
      <c r="E17" s="530" t="s">
        <v>2073</v>
      </c>
      <c r="F17" s="530"/>
      <c r="G17" s="531"/>
      <c r="H17" s="532" t="s">
        <v>2074</v>
      </c>
      <c r="I17" s="532"/>
      <c r="J17" s="721" t="s">
        <v>820</v>
      </c>
    </row>
    <row r="18" spans="1:10" s="45" customFormat="1" ht="36" customHeight="1">
      <c r="A18" t="s">
        <v>2075</v>
      </c>
      <c r="B18" s="49"/>
      <c r="C18" s="805" t="s">
        <v>2076</v>
      </c>
      <c r="D18" s="794" t="s">
        <v>2075</v>
      </c>
      <c r="E18" s="530" t="s">
        <v>2077</v>
      </c>
      <c r="F18" s="530"/>
      <c r="G18" s="531"/>
      <c r="H18" s="532" t="s">
        <v>2078</v>
      </c>
      <c r="I18" s="532"/>
      <c r="J18" s="528" t="s">
        <v>117</v>
      </c>
    </row>
    <row r="19" spans="1:10" s="45" customFormat="1" ht="36" customHeight="1">
      <c r="B19" s="49"/>
      <c r="C19" s="796"/>
      <c r="D19" s="756"/>
      <c r="E19" s="530" t="s">
        <v>2079</v>
      </c>
      <c r="F19" s="530"/>
      <c r="G19" s="531"/>
      <c r="H19" s="532" t="s">
        <v>2080</v>
      </c>
      <c r="I19" s="532"/>
      <c r="J19" s="721" t="s">
        <v>820</v>
      </c>
    </row>
    <row r="20" spans="1:10" s="45" customFormat="1" ht="18.75" customHeight="1">
      <c r="A20" t="s">
        <v>2081</v>
      </c>
      <c r="B20" s="49"/>
      <c r="C20" s="805"/>
      <c r="D20" s="794" t="s">
        <v>2082</v>
      </c>
      <c r="E20" s="530" t="s">
        <v>2083</v>
      </c>
      <c r="F20" s="530"/>
      <c r="G20" s="531"/>
      <c r="H20" s="532"/>
      <c r="I20" s="532"/>
      <c r="J20" s="528" t="s">
        <v>117</v>
      </c>
    </row>
    <row r="21" spans="1:10" s="45" customFormat="1" ht="18.75" customHeight="1">
      <c r="B21" s="49"/>
      <c r="C21" s="796"/>
      <c r="D21" s="756"/>
      <c r="E21" s="530" t="s">
        <v>2084</v>
      </c>
      <c r="F21" s="530"/>
      <c r="G21" s="531"/>
      <c r="H21" s="532"/>
      <c r="I21" s="532"/>
      <c r="J21" s="721" t="s">
        <v>820</v>
      </c>
    </row>
    <row r="22" spans="1:10" s="45" customFormat="1" ht="18.75" customHeight="1">
      <c r="A22" t="s">
        <v>2085</v>
      </c>
      <c r="B22" s="49"/>
      <c r="C22" s="620"/>
      <c r="D22" s="820" t="s">
        <v>2085</v>
      </c>
      <c r="E22" s="530" t="s">
        <v>2086</v>
      </c>
      <c r="F22" s="530"/>
      <c r="G22" s="531"/>
      <c r="H22" s="532"/>
      <c r="I22" s="532"/>
      <c r="J22" s="528" t="s">
        <v>117</v>
      </c>
    </row>
    <row r="23" spans="1:10" s="45" customFormat="1" ht="18.75" customHeight="1">
      <c r="B23" s="49"/>
      <c r="C23" s="620"/>
      <c r="D23" s="756"/>
      <c r="E23" s="530" t="s">
        <v>2087</v>
      </c>
      <c r="F23" s="530"/>
      <c r="G23" s="531"/>
      <c r="H23" s="532"/>
      <c r="I23" s="532"/>
      <c r="J23" s="721" t="s">
        <v>820</v>
      </c>
    </row>
    <row r="24" spans="1:10" s="45" customFormat="1" ht="18.75" customHeight="1">
      <c r="A24" t="s">
        <v>2088</v>
      </c>
      <c r="B24" s="49"/>
      <c r="C24" s="805"/>
      <c r="D24" s="794" t="s">
        <v>2089</v>
      </c>
      <c r="E24" s="530" t="s">
        <v>2090</v>
      </c>
      <c r="F24" s="530"/>
      <c r="G24" s="531"/>
      <c r="H24" s="532"/>
      <c r="I24" s="532"/>
      <c r="J24" s="528" t="s">
        <v>117</v>
      </c>
    </row>
    <row r="25" spans="1:10" s="45" customFormat="1" ht="18.75" customHeight="1">
      <c r="B25" s="49"/>
      <c r="C25" s="796"/>
      <c r="D25" s="756"/>
      <c r="E25" s="530" t="s">
        <v>2091</v>
      </c>
      <c r="F25" s="530"/>
      <c r="G25" s="531"/>
      <c r="H25" s="532"/>
      <c r="I25" s="532"/>
      <c r="J25" s="721" t="s">
        <v>820</v>
      </c>
    </row>
    <row r="26" spans="1:10" s="45" customFormat="1" ht="18.75" customHeight="1">
      <c r="A26" t="s">
        <v>2092</v>
      </c>
      <c r="B26" s="49"/>
      <c r="C26" s="805"/>
      <c r="D26" s="794" t="s">
        <v>2093</v>
      </c>
      <c r="E26" s="530" t="s">
        <v>2094</v>
      </c>
      <c r="F26" s="530"/>
      <c r="G26" s="531"/>
      <c r="H26" s="532"/>
      <c r="I26" s="532"/>
      <c r="J26" s="528" t="s">
        <v>117</v>
      </c>
    </row>
    <row r="27" spans="1:10" s="45" customFormat="1" ht="18.75" customHeight="1">
      <c r="B27" s="49"/>
      <c r="C27" s="796"/>
      <c r="D27" s="756"/>
      <c r="E27" s="530" t="s">
        <v>2095</v>
      </c>
      <c r="F27" s="530"/>
      <c r="G27" s="531"/>
      <c r="H27" s="532"/>
      <c r="I27" s="532"/>
      <c r="J27" s="721" t="s">
        <v>820</v>
      </c>
    </row>
    <row r="28" spans="1:10" s="45" customFormat="1" ht="18.75" customHeight="1">
      <c r="A28" t="s">
        <v>2096</v>
      </c>
      <c r="B28" s="49"/>
      <c r="C28" s="805"/>
      <c r="D28" s="794" t="s">
        <v>2097</v>
      </c>
      <c r="E28" s="530" t="s">
        <v>2098</v>
      </c>
      <c r="F28" s="530"/>
      <c r="G28" s="531"/>
      <c r="H28" s="532"/>
      <c r="I28" s="532"/>
      <c r="J28" s="528" t="s">
        <v>117</v>
      </c>
    </row>
    <row r="29" spans="1:10" s="45" customFormat="1" ht="18.75" customHeight="1">
      <c r="B29" s="49"/>
      <c r="C29" s="796"/>
      <c r="D29" s="756"/>
      <c r="E29" s="530" t="s">
        <v>2099</v>
      </c>
      <c r="F29" s="530"/>
      <c r="G29" s="531"/>
      <c r="H29" s="532"/>
      <c r="I29" s="532"/>
      <c r="J29" s="721" t="s">
        <v>820</v>
      </c>
    </row>
    <row r="30" spans="1:10" s="45" customFormat="1" ht="18.75" customHeight="1">
      <c r="A30" t="s">
        <v>2100</v>
      </c>
      <c r="B30" s="49"/>
      <c r="C30" s="793"/>
      <c r="D30" s="794" t="s">
        <v>2101</v>
      </c>
      <c r="E30" s="530" t="s">
        <v>2102</v>
      </c>
      <c r="F30" s="530"/>
      <c r="G30" s="531"/>
      <c r="H30" s="532"/>
      <c r="I30" s="532"/>
      <c r="J30" s="528" t="s">
        <v>117</v>
      </c>
    </row>
    <row r="31" spans="1:10" s="45" customFormat="1" ht="18.75" customHeight="1">
      <c r="B31" s="49"/>
      <c r="C31" s="752"/>
      <c r="D31" s="756"/>
      <c r="E31" s="530" t="s">
        <v>2103</v>
      </c>
      <c r="F31" s="530"/>
      <c r="G31" s="531"/>
      <c r="H31" s="532"/>
      <c r="I31" s="532"/>
      <c r="J31" s="721" t="s">
        <v>820</v>
      </c>
    </row>
    <row r="32" spans="1:10" s="45" customFormat="1" ht="18.75" customHeight="1">
      <c r="A32" t="s">
        <v>2104</v>
      </c>
      <c r="B32" s="49"/>
      <c r="C32" s="620"/>
      <c r="D32" s="794" t="s">
        <v>2105</v>
      </c>
      <c r="E32" s="530" t="s">
        <v>2106</v>
      </c>
      <c r="F32" s="530"/>
      <c r="G32" s="531"/>
      <c r="H32" s="532"/>
      <c r="I32" s="532"/>
      <c r="J32" s="528" t="s">
        <v>117</v>
      </c>
    </row>
    <row r="33" spans="1:10" s="45" customFormat="1" ht="18.75" customHeight="1">
      <c r="B33" s="49"/>
      <c r="C33" s="620"/>
      <c r="D33" s="756"/>
      <c r="E33" s="530" t="s">
        <v>2107</v>
      </c>
      <c r="F33" s="530"/>
      <c r="G33" s="531"/>
      <c r="H33" s="532"/>
      <c r="I33" s="532"/>
      <c r="J33" s="721" t="s">
        <v>820</v>
      </c>
    </row>
    <row r="34" spans="1:10" s="45" customFormat="1" ht="18.75" customHeight="1">
      <c r="A34" t="s">
        <v>2108</v>
      </c>
      <c r="B34" s="49"/>
      <c r="C34" s="620"/>
      <c r="D34" s="794" t="s">
        <v>2109</v>
      </c>
      <c r="E34" s="530" t="s">
        <v>2110</v>
      </c>
      <c r="F34" s="530"/>
      <c r="G34" s="531"/>
      <c r="H34" s="532"/>
      <c r="I34" s="532"/>
      <c r="J34" s="528" t="s">
        <v>117</v>
      </c>
    </row>
    <row r="35" spans="1:10" s="45" customFormat="1" ht="18.75" customHeight="1">
      <c r="B35" s="49"/>
      <c r="C35" s="620"/>
      <c r="D35" s="756"/>
      <c r="E35" s="530" t="s">
        <v>2111</v>
      </c>
      <c r="F35" s="530"/>
      <c r="G35" s="531"/>
      <c r="H35" s="532"/>
      <c r="I35" s="532"/>
      <c r="J35" s="721" t="s">
        <v>820</v>
      </c>
    </row>
    <row r="36" spans="1:10" s="45" customFormat="1" ht="18.75" customHeight="1">
      <c r="A36" t="s">
        <v>2112</v>
      </c>
      <c r="B36" s="49"/>
      <c r="C36" s="805" t="s">
        <v>2113</v>
      </c>
      <c r="D36" s="794" t="s">
        <v>2112</v>
      </c>
      <c r="E36" s="530" t="s">
        <v>2069</v>
      </c>
      <c r="F36" s="530"/>
      <c r="G36" s="531"/>
      <c r="H36" s="532"/>
      <c r="I36" s="532"/>
      <c r="J36" s="528" t="s">
        <v>117</v>
      </c>
    </row>
    <row r="37" spans="1:10" s="45" customFormat="1" ht="18.75" customHeight="1">
      <c r="B37" s="49"/>
      <c r="C37" s="796"/>
      <c r="D37" s="756"/>
      <c r="E37" s="530" t="s">
        <v>2114</v>
      </c>
      <c r="F37" s="530"/>
      <c r="G37" s="531"/>
      <c r="H37" s="532"/>
      <c r="I37" s="532"/>
      <c r="J37" s="721" t="s">
        <v>820</v>
      </c>
    </row>
    <row r="38" spans="1:10" s="45" customFormat="1" ht="18.75" customHeight="1">
      <c r="A38" t="s">
        <v>2115</v>
      </c>
      <c r="B38" s="49"/>
      <c r="C38" s="805"/>
      <c r="D38" s="794" t="s">
        <v>2115</v>
      </c>
      <c r="E38" s="530" t="s">
        <v>2116</v>
      </c>
      <c r="F38" s="530"/>
      <c r="G38" s="531"/>
      <c r="H38" s="532"/>
      <c r="I38" s="532"/>
      <c r="J38" s="528" t="s">
        <v>117</v>
      </c>
    </row>
    <row r="39" spans="1:10" s="45" customFormat="1" ht="18.75" customHeight="1">
      <c r="B39" s="49"/>
      <c r="C39" s="796"/>
      <c r="D39" s="756"/>
      <c r="E39" s="530" t="s">
        <v>2117</v>
      </c>
      <c r="F39" s="530"/>
      <c r="G39" s="531"/>
      <c r="H39" s="532"/>
      <c r="I39" s="532"/>
      <c r="J39" s="721" t="s">
        <v>820</v>
      </c>
    </row>
    <row r="40" spans="1:10" s="45" customFormat="1" ht="18.75" customHeight="1">
      <c r="A40" t="s">
        <v>804</v>
      </c>
      <c r="B40" s="49"/>
      <c r="C40" s="620"/>
      <c r="D40" s="52" t="s">
        <v>804</v>
      </c>
      <c r="E40" s="530"/>
      <c r="F40" s="530"/>
      <c r="G40" s="531"/>
      <c r="H40" s="532"/>
      <c r="I40" s="532"/>
      <c r="J40" s="528"/>
    </row>
    <row r="41" spans="1:10" s="45" customFormat="1" ht="24" customHeight="1">
      <c r="A41" t="s">
        <v>2118</v>
      </c>
      <c r="B41" s="49"/>
      <c r="C41" s="795"/>
      <c r="D41" s="810" t="s">
        <v>2119</v>
      </c>
      <c r="E41" s="530" t="s">
        <v>2120</v>
      </c>
      <c r="F41" s="530"/>
      <c r="G41" s="531"/>
      <c r="H41" s="532" t="s">
        <v>2121</v>
      </c>
      <c r="I41" s="532"/>
      <c r="J41" s="53" t="s">
        <v>117</v>
      </c>
    </row>
    <row r="42" spans="1:10" s="45" customFormat="1" ht="24" customHeight="1">
      <c r="B42" s="49"/>
      <c r="C42" s="796"/>
      <c r="D42" s="756"/>
      <c r="E42" s="530" t="s">
        <v>2122</v>
      </c>
      <c r="F42" s="530"/>
      <c r="G42" s="531"/>
      <c r="H42" s="532" t="s">
        <v>2123</v>
      </c>
      <c r="I42" s="532"/>
      <c r="J42" s="722" t="s">
        <v>820</v>
      </c>
    </row>
    <row r="43" spans="1:10" s="45" customFormat="1" ht="24" customHeight="1">
      <c r="A43" t="s">
        <v>2124</v>
      </c>
      <c r="B43" s="49"/>
      <c r="C43" s="623"/>
      <c r="D43" s="798" t="s">
        <v>2124</v>
      </c>
      <c r="E43" s="530" t="s">
        <v>2125</v>
      </c>
      <c r="F43" s="530"/>
      <c r="G43" s="531"/>
      <c r="H43" s="532" t="s">
        <v>2126</v>
      </c>
      <c r="I43" s="532"/>
      <c r="J43" s="53" t="s">
        <v>117</v>
      </c>
    </row>
    <row r="44" spans="1:10" s="45" customFormat="1" ht="24" customHeight="1">
      <c r="B44" s="49"/>
      <c r="C44" s="623"/>
      <c r="D44" s="756"/>
      <c r="E44" s="530" t="s">
        <v>2127</v>
      </c>
      <c r="F44" s="530"/>
      <c r="G44" s="531"/>
      <c r="H44" s="532" t="s">
        <v>2128</v>
      </c>
      <c r="I44" s="532"/>
      <c r="J44" s="722" t="s">
        <v>820</v>
      </c>
    </row>
    <row r="45" spans="1:10" s="45" customFormat="1" ht="18.75" customHeight="1">
      <c r="A45" t="s">
        <v>2129</v>
      </c>
      <c r="B45" s="49"/>
      <c r="C45" s="795"/>
      <c r="D45" s="800" t="s">
        <v>2129</v>
      </c>
      <c r="E45" s="530" t="s">
        <v>2130</v>
      </c>
      <c r="F45" s="530"/>
      <c r="G45" s="531"/>
      <c r="H45" s="532"/>
      <c r="I45" s="532"/>
      <c r="J45" s="53" t="s">
        <v>117</v>
      </c>
    </row>
    <row r="46" spans="1:10" s="45" customFormat="1" ht="18.75" customHeight="1">
      <c r="B46" s="49"/>
      <c r="C46" s="796"/>
      <c r="D46" s="756"/>
      <c r="E46" s="530" t="s">
        <v>2131</v>
      </c>
      <c r="F46" s="530"/>
      <c r="G46" s="531"/>
      <c r="H46" s="532"/>
      <c r="I46" s="532"/>
      <c r="J46" s="722" t="s">
        <v>820</v>
      </c>
    </row>
    <row r="47" spans="1:10" s="45" customFormat="1" ht="18.75" customHeight="1">
      <c r="A47" t="s">
        <v>2132</v>
      </c>
      <c r="B47" s="49"/>
      <c r="C47" s="795"/>
      <c r="D47" s="800" t="s">
        <v>2133</v>
      </c>
      <c r="E47" s="530" t="s">
        <v>2134</v>
      </c>
      <c r="F47" s="530"/>
      <c r="G47" s="531"/>
      <c r="H47" s="532"/>
      <c r="I47" s="532"/>
      <c r="J47" s="53" t="s">
        <v>117</v>
      </c>
    </row>
    <row r="48" spans="1:10" s="45" customFormat="1" ht="18.75" customHeight="1">
      <c r="B48" s="49"/>
      <c r="C48" s="796"/>
      <c r="D48" s="756"/>
      <c r="E48" s="530" t="s">
        <v>2135</v>
      </c>
      <c r="F48" s="530"/>
      <c r="G48" s="531"/>
      <c r="H48" s="532"/>
      <c r="I48" s="532"/>
      <c r="J48" s="722" t="s">
        <v>820</v>
      </c>
    </row>
    <row r="49" spans="1:10" s="45" customFormat="1" ht="18.75" customHeight="1">
      <c r="A49" t="e">
        <f>- из газа Прочих поставщиков</f>
        <v>#NAME?</v>
      </c>
      <c r="B49" s="49"/>
      <c r="C49" s="623"/>
      <c r="D49" s="798" t="s">
        <v>2136</v>
      </c>
      <c r="E49" s="530" t="s">
        <v>2137</v>
      </c>
      <c r="F49" s="530"/>
      <c r="G49" s="531"/>
      <c r="H49" s="532"/>
      <c r="I49" s="532"/>
      <c r="J49" s="528" t="s">
        <v>117</v>
      </c>
    </row>
    <row r="50" spans="1:10" s="45" customFormat="1" ht="18.75" customHeight="1">
      <c r="B50" s="49"/>
      <c r="C50" s="623"/>
      <c r="D50" s="756"/>
      <c r="E50" s="530" t="s">
        <v>2138</v>
      </c>
      <c r="F50" s="530"/>
      <c r="G50" s="531"/>
      <c r="H50" s="532"/>
      <c r="I50" s="532"/>
      <c r="J50" s="721" t="s">
        <v>820</v>
      </c>
    </row>
    <row r="51" spans="1:10" s="45" customFormat="1" ht="18.75" customHeight="1">
      <c r="A51" t="s">
        <v>2067</v>
      </c>
      <c r="B51" s="49"/>
      <c r="C51" s="795"/>
      <c r="D51" s="798" t="s">
        <v>2067</v>
      </c>
      <c r="E51" s="530" t="s">
        <v>2139</v>
      </c>
      <c r="F51" s="530"/>
      <c r="G51" s="531"/>
      <c r="H51" s="532"/>
      <c r="I51" s="532"/>
      <c r="J51" s="53" t="s">
        <v>117</v>
      </c>
    </row>
    <row r="52" spans="1:10" s="45" customFormat="1" ht="18.75" customHeight="1">
      <c r="B52" s="49"/>
      <c r="C52" s="796"/>
      <c r="D52" s="756"/>
      <c r="E52" s="530" t="s">
        <v>2140</v>
      </c>
      <c r="F52" s="530"/>
      <c r="G52" s="531"/>
      <c r="H52" s="532"/>
      <c r="I52" s="532"/>
      <c r="J52" s="722" t="s">
        <v>820</v>
      </c>
    </row>
    <row r="53" spans="1:10" s="45" customFormat="1" ht="31.5" customHeight="1">
      <c r="A53" t="s">
        <v>2141</v>
      </c>
      <c r="B53" s="49"/>
      <c r="C53" s="629" t="s">
        <v>344</v>
      </c>
      <c r="D53" s="633" t="s">
        <v>2141</v>
      </c>
      <c r="E53" s="530" t="s">
        <v>2142</v>
      </c>
      <c r="F53" s="530"/>
      <c r="G53" s="531"/>
      <c r="H53" s="532" t="s">
        <v>2143</v>
      </c>
      <c r="I53" s="532"/>
      <c r="J53" s="528" t="s">
        <v>117</v>
      </c>
    </row>
    <row r="54" spans="1:10" s="45" customFormat="1" ht="31.5" customHeight="1">
      <c r="A54" t="s">
        <v>2144</v>
      </c>
      <c r="B54" s="49"/>
      <c r="C54" s="385" t="s">
        <v>2145</v>
      </c>
      <c r="D54" s="631" t="s">
        <v>2144</v>
      </c>
      <c r="E54" s="530" t="s">
        <v>2146</v>
      </c>
      <c r="F54" s="530"/>
      <c r="G54" s="531"/>
      <c r="H54" s="532"/>
      <c r="I54" s="532"/>
      <c r="J54" s="528" t="s">
        <v>117</v>
      </c>
    </row>
    <row r="55" spans="1:10" s="45" customFormat="1" ht="31.5" customHeight="1">
      <c r="A55" t="s">
        <v>2147</v>
      </c>
      <c r="B55" s="49"/>
      <c r="C55" s="385"/>
      <c r="D55" s="631" t="s">
        <v>2148</v>
      </c>
      <c r="E55" s="530" t="s">
        <v>2149</v>
      </c>
      <c r="F55" s="530"/>
      <c r="G55" s="531"/>
      <c r="H55" s="532"/>
      <c r="I55" s="532"/>
      <c r="J55" s="528" t="s">
        <v>117</v>
      </c>
    </row>
    <row r="56" spans="1:10" s="45" customFormat="1" ht="18.75" customHeight="1">
      <c r="A56" t="s">
        <v>2150</v>
      </c>
      <c r="B56" s="49"/>
      <c r="C56" s="385" t="s">
        <v>2151</v>
      </c>
      <c r="D56" s="631" t="s">
        <v>2150</v>
      </c>
      <c r="E56" s="530" t="s">
        <v>2152</v>
      </c>
      <c r="F56" s="530"/>
      <c r="G56" s="531"/>
      <c r="H56" s="532"/>
      <c r="I56" s="532"/>
      <c r="J56" s="528" t="s">
        <v>117</v>
      </c>
    </row>
    <row r="57" spans="1:10" s="45" customFormat="1" ht="31.5" customHeight="1">
      <c r="A57" t="s">
        <v>2153</v>
      </c>
      <c r="B57" s="49"/>
      <c r="C57" s="385"/>
      <c r="D57" s="631" t="s">
        <v>2154</v>
      </c>
      <c r="E57" s="530" t="s">
        <v>2155</v>
      </c>
      <c r="F57" s="530"/>
      <c r="G57" s="531"/>
      <c r="H57" s="532"/>
      <c r="I57" s="532"/>
      <c r="J57" s="528" t="s">
        <v>117</v>
      </c>
    </row>
    <row r="58" spans="1:10" s="45" customFormat="1" ht="31.5" customHeight="1">
      <c r="A58" t="s">
        <v>2156</v>
      </c>
      <c r="B58" s="49"/>
      <c r="C58" s="629" t="s">
        <v>2157</v>
      </c>
      <c r="D58" s="633" t="s">
        <v>2156</v>
      </c>
      <c r="E58" s="530" t="s">
        <v>2158</v>
      </c>
      <c r="F58" s="530"/>
      <c r="G58" s="531"/>
      <c r="H58" s="532" t="s">
        <v>2159</v>
      </c>
      <c r="I58" s="532"/>
      <c r="J58" s="528" t="s">
        <v>117</v>
      </c>
    </row>
    <row r="59" spans="1:10" s="45" customFormat="1" ht="18.75" customHeight="1">
      <c r="A59" t="s">
        <v>2160</v>
      </c>
      <c r="B59" s="49"/>
      <c r="C59" s="385" t="s">
        <v>2161</v>
      </c>
      <c r="D59" s="631" t="s">
        <v>2160</v>
      </c>
      <c r="E59" s="530" t="s">
        <v>2162</v>
      </c>
      <c r="F59" s="530"/>
      <c r="G59" s="531"/>
      <c r="H59" s="532" t="s">
        <v>2163</v>
      </c>
      <c r="I59" s="532"/>
      <c r="J59" s="528" t="s">
        <v>117</v>
      </c>
    </row>
    <row r="60" spans="1:10" s="45" customFormat="1" ht="18.75" customHeight="1">
      <c r="A60" t="s">
        <v>2164</v>
      </c>
      <c r="B60" s="49"/>
      <c r="C60" s="385"/>
      <c r="D60" s="631" t="s">
        <v>2165</v>
      </c>
      <c r="E60" s="530" t="s">
        <v>2166</v>
      </c>
      <c r="F60" s="530"/>
      <c r="G60" s="531"/>
      <c r="H60" s="532"/>
      <c r="I60" s="532"/>
      <c r="J60" s="528" t="s">
        <v>117</v>
      </c>
    </row>
    <row r="61" spans="1:10" s="45" customFormat="1" ht="31.5" customHeight="1">
      <c r="A61" t="s">
        <v>2147</v>
      </c>
      <c r="B61" s="49"/>
      <c r="C61" s="385"/>
      <c r="D61" s="631" t="s">
        <v>2148</v>
      </c>
      <c r="E61" s="530" t="s">
        <v>2167</v>
      </c>
      <c r="F61" s="530"/>
      <c r="G61" s="531"/>
      <c r="H61" s="532"/>
      <c r="I61" s="532"/>
      <c r="J61" s="528" t="s">
        <v>117</v>
      </c>
    </row>
    <row r="62" spans="1:10" s="45" customFormat="1" ht="18.75" customHeight="1">
      <c r="A62" t="s">
        <v>2088</v>
      </c>
      <c r="B62" s="49"/>
      <c r="C62" s="385"/>
      <c r="D62" s="631" t="s">
        <v>2089</v>
      </c>
      <c r="E62" s="530" t="s">
        <v>2168</v>
      </c>
      <c r="F62" s="530"/>
      <c r="G62" s="531"/>
      <c r="H62" s="532"/>
      <c r="I62" s="532"/>
      <c r="J62" s="528" t="s">
        <v>117</v>
      </c>
    </row>
    <row r="63" spans="1:10" s="45" customFormat="1" ht="18.75" customHeight="1">
      <c r="A63" t="s">
        <v>2150</v>
      </c>
      <c r="B63" s="49"/>
      <c r="C63" s="385" t="s">
        <v>2169</v>
      </c>
      <c r="D63" s="631" t="s">
        <v>2150</v>
      </c>
      <c r="E63" s="530" t="s">
        <v>2170</v>
      </c>
      <c r="F63" s="530"/>
      <c r="G63" s="531"/>
      <c r="H63" s="532"/>
      <c r="I63" s="532"/>
      <c r="J63" s="528" t="s">
        <v>117</v>
      </c>
    </row>
    <row r="64" spans="1:10" s="45" customFormat="1" ht="31.5" customHeight="1">
      <c r="A64" t="s">
        <v>2171</v>
      </c>
      <c r="B64" s="49"/>
      <c r="C64" s="385" t="s">
        <v>2172</v>
      </c>
      <c r="D64" s="631" t="s">
        <v>2154</v>
      </c>
      <c r="E64" s="530" t="s">
        <v>2173</v>
      </c>
      <c r="F64" s="530"/>
      <c r="G64" s="531"/>
      <c r="H64" s="532"/>
      <c r="I64" s="532"/>
      <c r="J64" s="528" t="s">
        <v>117</v>
      </c>
    </row>
    <row r="65" spans="1:10" s="45" customFormat="1" ht="18.75" customHeight="1">
      <c r="A65" t="s">
        <v>2064</v>
      </c>
      <c r="B65" s="49"/>
      <c r="C65" s="385" t="s">
        <v>2174</v>
      </c>
      <c r="D65" s="631" t="s">
        <v>2064</v>
      </c>
      <c r="E65" s="530" t="s">
        <v>2066</v>
      </c>
      <c r="F65" s="530"/>
      <c r="G65" s="531"/>
      <c r="H65" s="532"/>
      <c r="I65" s="532"/>
      <c r="J65" s="528" t="s">
        <v>117</v>
      </c>
    </row>
    <row r="66" spans="1:10" s="45" customFormat="1" ht="18.75" customHeight="1">
      <c r="A66" t="s">
        <v>804</v>
      </c>
      <c r="B66" s="49"/>
      <c r="C66" s="618"/>
      <c r="D66" s="54" t="s">
        <v>804</v>
      </c>
      <c r="E66" s="530"/>
      <c r="F66" s="530"/>
      <c r="G66" s="531"/>
      <c r="H66" s="532"/>
      <c r="I66" s="532"/>
      <c r="J66" s="528"/>
    </row>
    <row r="67" spans="1:10" s="45" customFormat="1" ht="18.75" customHeight="1">
      <c r="A67" t="s">
        <v>1533</v>
      </c>
      <c r="B67" s="49"/>
      <c r="C67" s="538" t="s">
        <v>364</v>
      </c>
      <c r="D67" s="632" t="s">
        <v>1533</v>
      </c>
      <c r="E67" s="530" t="s">
        <v>2175</v>
      </c>
      <c r="F67" s="530"/>
      <c r="G67" s="531"/>
      <c r="H67" s="532" t="s">
        <v>2176</v>
      </c>
      <c r="I67" s="532"/>
      <c r="J67" s="53" t="s">
        <v>117</v>
      </c>
    </row>
    <row r="68" spans="1:10" s="45" customFormat="1" ht="24" customHeight="1">
      <c r="A68" t="s">
        <v>2056</v>
      </c>
      <c r="B68" s="49"/>
      <c r="C68" s="538"/>
      <c r="D68" s="631" t="s">
        <v>2056</v>
      </c>
      <c r="E68" s="530" t="s">
        <v>2177</v>
      </c>
      <c r="F68" s="530"/>
      <c r="G68" s="531"/>
      <c r="H68" s="532" t="s">
        <v>2178</v>
      </c>
      <c r="I68" s="532"/>
      <c r="J68" s="53" t="s">
        <v>117</v>
      </c>
    </row>
    <row r="69" spans="1:10" s="45" customFormat="1" ht="18.75" customHeight="1">
      <c r="A69" t="s">
        <v>1223</v>
      </c>
      <c r="B69" s="49"/>
      <c r="C69" s="618"/>
      <c r="D69" s="628" t="s">
        <v>1223</v>
      </c>
      <c r="E69" s="530" t="s">
        <v>2179</v>
      </c>
      <c r="F69" s="530"/>
      <c r="G69" s="531"/>
      <c r="H69" s="532" t="s">
        <v>2180</v>
      </c>
      <c r="I69" s="532"/>
      <c r="J69" s="53" t="s">
        <v>2059</v>
      </c>
    </row>
    <row r="70" spans="1:10" s="45" customFormat="1" ht="18.75" customHeight="1">
      <c r="A70" t="s">
        <v>1553</v>
      </c>
      <c r="B70" s="49"/>
      <c r="C70" s="618"/>
      <c r="D70" s="628" t="s">
        <v>1553</v>
      </c>
      <c r="E70" s="530" t="s">
        <v>2181</v>
      </c>
      <c r="F70" s="530"/>
      <c r="G70" s="531"/>
      <c r="H70" s="532" t="s">
        <v>2182</v>
      </c>
      <c r="I70" s="532"/>
      <c r="J70" s="53" t="s">
        <v>2059</v>
      </c>
    </row>
    <row r="71" spans="1:10" s="45" customFormat="1" ht="18.75" customHeight="1">
      <c r="A71" t="s">
        <v>2064</v>
      </c>
      <c r="B71" s="49"/>
      <c r="C71" s="618"/>
      <c r="D71" s="628" t="s">
        <v>2064</v>
      </c>
      <c r="E71" s="530" t="s">
        <v>2183</v>
      </c>
      <c r="F71" s="530"/>
      <c r="G71" s="531"/>
      <c r="H71" s="532" t="s">
        <v>2184</v>
      </c>
      <c r="I71" s="532"/>
      <c r="J71" s="53" t="s">
        <v>2059</v>
      </c>
    </row>
    <row r="72" spans="1:10" s="45" customFormat="1" ht="18.75" customHeight="1">
      <c r="A72" t="s">
        <v>2067</v>
      </c>
      <c r="B72" s="49"/>
      <c r="C72" s="618"/>
      <c r="D72" s="628" t="s">
        <v>2067</v>
      </c>
      <c r="E72" s="530" t="s">
        <v>2185</v>
      </c>
      <c r="F72" s="530"/>
      <c r="G72" s="531"/>
      <c r="H72" s="532" t="s">
        <v>2186</v>
      </c>
      <c r="I72" s="532"/>
      <c r="J72" s="53" t="s">
        <v>2059</v>
      </c>
    </row>
    <row r="73" spans="1:10" s="45" customFormat="1" ht="18.75" customHeight="1">
      <c r="A73" t="s">
        <v>2187</v>
      </c>
      <c r="B73" s="49"/>
      <c r="C73" s="814" t="s">
        <v>2188</v>
      </c>
      <c r="D73" s="804" t="s">
        <v>2187</v>
      </c>
      <c r="E73" s="530" t="s">
        <v>2189</v>
      </c>
      <c r="F73" s="530"/>
      <c r="G73" s="531"/>
      <c r="H73" s="532" t="s">
        <v>2190</v>
      </c>
      <c r="I73" s="532"/>
      <c r="J73" s="53" t="s">
        <v>117</v>
      </c>
    </row>
    <row r="74" spans="1:10" s="45" customFormat="1" ht="18.75" customHeight="1">
      <c r="B74" s="49"/>
      <c r="C74" s="796"/>
      <c r="D74" s="756"/>
      <c r="E74" s="530" t="s">
        <v>2191</v>
      </c>
      <c r="F74" s="530"/>
      <c r="G74" s="531"/>
      <c r="H74" s="532" t="s">
        <v>2192</v>
      </c>
      <c r="I74" s="532"/>
      <c r="J74" s="722" t="s">
        <v>820</v>
      </c>
    </row>
    <row r="75" spans="1:10" s="45" customFormat="1" ht="24" customHeight="1">
      <c r="A75" t="s">
        <v>2075</v>
      </c>
      <c r="B75" s="49"/>
      <c r="C75" s="795" t="s">
        <v>2193</v>
      </c>
      <c r="D75" s="798" t="s">
        <v>2075</v>
      </c>
      <c r="E75" s="530" t="s">
        <v>2194</v>
      </c>
      <c r="F75" s="530"/>
      <c r="G75" s="531"/>
      <c r="H75" s="532" t="s">
        <v>2195</v>
      </c>
      <c r="I75" s="532"/>
      <c r="J75" s="53" t="s">
        <v>117</v>
      </c>
    </row>
    <row r="76" spans="1:10" s="45" customFormat="1" ht="24" customHeight="1">
      <c r="B76" s="49"/>
      <c r="C76" s="796"/>
      <c r="D76" s="756"/>
      <c r="E76" s="530" t="s">
        <v>2196</v>
      </c>
      <c r="F76" s="530"/>
      <c r="G76" s="531"/>
      <c r="H76" s="532" t="s">
        <v>2197</v>
      </c>
      <c r="I76" s="532"/>
      <c r="J76" s="722" t="s">
        <v>820</v>
      </c>
    </row>
    <row r="77" spans="1:10" s="45" customFormat="1" ht="18.75" customHeight="1">
      <c r="A77" t="s">
        <v>2164</v>
      </c>
      <c r="B77" s="49"/>
      <c r="C77" s="795"/>
      <c r="D77" s="798" t="s">
        <v>2165</v>
      </c>
      <c r="E77" s="530" t="s">
        <v>2198</v>
      </c>
      <c r="F77" s="530"/>
      <c r="G77" s="531"/>
      <c r="H77" s="532"/>
      <c r="I77" s="532"/>
      <c r="J77" s="53" t="s">
        <v>117</v>
      </c>
    </row>
    <row r="78" spans="1:10" s="45" customFormat="1" ht="18.75" customHeight="1">
      <c r="B78" s="49"/>
      <c r="C78" s="796"/>
      <c r="D78" s="756"/>
      <c r="E78" s="530" t="s">
        <v>2199</v>
      </c>
      <c r="F78" s="530"/>
      <c r="G78" s="531"/>
      <c r="H78" s="532"/>
      <c r="I78" s="532"/>
      <c r="J78" s="722" t="s">
        <v>820</v>
      </c>
    </row>
    <row r="79" spans="1:10" s="45" customFormat="1" ht="18.75" customHeight="1">
      <c r="A79" t="s">
        <v>2088</v>
      </c>
      <c r="B79" s="49"/>
      <c r="C79" s="795"/>
      <c r="D79" s="801" t="s">
        <v>2089</v>
      </c>
      <c r="E79" s="530" t="s">
        <v>2200</v>
      </c>
      <c r="F79" s="530"/>
      <c r="G79" s="531"/>
      <c r="H79" s="532"/>
      <c r="I79" s="532"/>
      <c r="J79" s="53" t="s">
        <v>117</v>
      </c>
    </row>
    <row r="80" spans="1:10" s="45" customFormat="1" ht="18.75" customHeight="1">
      <c r="B80" s="49"/>
      <c r="C80" s="796"/>
      <c r="D80" s="756"/>
      <c r="E80" s="530" t="s">
        <v>2201</v>
      </c>
      <c r="F80" s="530"/>
      <c r="G80" s="531"/>
      <c r="H80" s="532"/>
      <c r="I80" s="532"/>
      <c r="J80" s="722" t="s">
        <v>820</v>
      </c>
    </row>
    <row r="81" spans="1:10" s="45" customFormat="1" ht="18.75" customHeight="1">
      <c r="A81" t="e">
        <f>- из сырья Прочих поставщиков</f>
        <v>#NAME?</v>
      </c>
      <c r="B81" s="49"/>
      <c r="C81" s="623"/>
      <c r="D81" s="798" t="s">
        <v>2202</v>
      </c>
      <c r="E81" s="530" t="s">
        <v>2203</v>
      </c>
      <c r="F81" s="530"/>
      <c r="G81" s="531"/>
      <c r="H81" s="532"/>
      <c r="I81" s="532"/>
      <c r="J81" s="53" t="s">
        <v>117</v>
      </c>
    </row>
    <row r="82" spans="1:10" s="45" customFormat="1" ht="18.75" customHeight="1">
      <c r="B82" s="49"/>
      <c r="C82" s="623"/>
      <c r="D82" s="756"/>
      <c r="E82" s="530" t="s">
        <v>2204</v>
      </c>
      <c r="F82" s="530"/>
      <c r="G82" s="531"/>
      <c r="H82" s="532"/>
      <c r="I82" s="532"/>
      <c r="J82" s="722" t="s">
        <v>820</v>
      </c>
    </row>
    <row r="83" spans="1:10" s="45" customFormat="1" ht="18.75" customHeight="1">
      <c r="A83" t="s">
        <v>2067</v>
      </c>
      <c r="B83" s="49"/>
      <c r="C83" s="795" t="s">
        <v>2205</v>
      </c>
      <c r="D83" s="798" t="s">
        <v>2067</v>
      </c>
      <c r="E83" s="530" t="s">
        <v>2186</v>
      </c>
      <c r="F83" s="530"/>
      <c r="G83" s="531"/>
      <c r="H83" s="532"/>
      <c r="I83" s="532"/>
      <c r="J83" s="53" t="s">
        <v>117</v>
      </c>
    </row>
    <row r="84" spans="1:10" s="45" customFormat="1" ht="18.75" customHeight="1">
      <c r="B84" s="49"/>
      <c r="C84" s="796"/>
      <c r="D84" s="756"/>
      <c r="E84" s="530" t="s">
        <v>2206</v>
      </c>
      <c r="F84" s="530"/>
      <c r="G84" s="531"/>
      <c r="H84" s="532"/>
      <c r="I84" s="532"/>
      <c r="J84" s="722" t="s">
        <v>820</v>
      </c>
    </row>
    <row r="85" spans="1:10" s="45" customFormat="1" ht="31.5" customHeight="1">
      <c r="A85" t="s">
        <v>2207</v>
      </c>
      <c r="B85" s="49"/>
      <c r="C85" s="538" t="s">
        <v>369</v>
      </c>
      <c r="D85" s="627" t="s">
        <v>2207</v>
      </c>
      <c r="E85" s="530" t="s">
        <v>2208</v>
      </c>
      <c r="F85" s="530"/>
      <c r="G85" s="531"/>
      <c r="H85" s="532" t="s">
        <v>2209</v>
      </c>
      <c r="I85" s="532"/>
      <c r="J85" s="53" t="s">
        <v>117</v>
      </c>
    </row>
    <row r="86" spans="1:10" s="45" customFormat="1" ht="18.75" customHeight="1">
      <c r="A86" t="s">
        <v>2160</v>
      </c>
      <c r="B86" s="49"/>
      <c r="C86" s="618" t="s">
        <v>2210</v>
      </c>
      <c r="D86" s="628" t="s">
        <v>2160</v>
      </c>
      <c r="E86" s="530" t="s">
        <v>2180</v>
      </c>
      <c r="F86" s="530"/>
      <c r="G86" s="531"/>
      <c r="H86" s="532" t="s">
        <v>2211</v>
      </c>
      <c r="I86" s="532"/>
      <c r="J86" s="53" t="s">
        <v>117</v>
      </c>
    </row>
    <row r="87" spans="1:10" s="45" customFormat="1" ht="18.75" customHeight="1">
      <c r="A87" t="s">
        <v>2164</v>
      </c>
      <c r="B87" s="49"/>
      <c r="C87" s="618"/>
      <c r="D87" s="628" t="s">
        <v>2165</v>
      </c>
      <c r="E87" s="530" t="s">
        <v>2212</v>
      </c>
      <c r="F87" s="530"/>
      <c r="G87" s="531"/>
      <c r="H87" s="532"/>
      <c r="I87" s="532"/>
      <c r="J87" s="53" t="s">
        <v>117</v>
      </c>
    </row>
    <row r="88" spans="1:10" s="45" customFormat="1" ht="18.75" customHeight="1">
      <c r="A88" t="s">
        <v>2088</v>
      </c>
      <c r="B88" s="49"/>
      <c r="C88" s="618"/>
      <c r="D88" s="628" t="s">
        <v>2089</v>
      </c>
      <c r="E88" s="530" t="s">
        <v>2213</v>
      </c>
      <c r="F88" s="530"/>
      <c r="G88" s="531"/>
      <c r="H88" s="532"/>
      <c r="I88" s="532"/>
      <c r="J88" s="53" t="s">
        <v>117</v>
      </c>
    </row>
    <row r="89" spans="1:10" s="45" customFormat="1" ht="18.75" customHeight="1">
      <c r="A89" t="s">
        <v>2075</v>
      </c>
      <c r="B89" s="49"/>
      <c r="C89" s="618" t="s">
        <v>2214</v>
      </c>
      <c r="D89" s="628" t="s">
        <v>2075</v>
      </c>
      <c r="E89" s="530" t="s">
        <v>2215</v>
      </c>
      <c r="F89" s="530"/>
      <c r="G89" s="531"/>
      <c r="H89" s="532" t="s">
        <v>2216</v>
      </c>
      <c r="I89" s="532"/>
      <c r="J89" s="53" t="s">
        <v>117</v>
      </c>
    </row>
    <row r="90" spans="1:10" s="45" customFormat="1" ht="18.75" customHeight="1">
      <c r="A90" t="s">
        <v>2092</v>
      </c>
      <c r="B90" s="49"/>
      <c r="C90" s="618"/>
      <c r="D90" s="628" t="s">
        <v>2093</v>
      </c>
      <c r="E90" s="530" t="s">
        <v>2217</v>
      </c>
      <c r="F90" s="530"/>
      <c r="G90" s="531"/>
      <c r="H90" s="532"/>
      <c r="I90" s="532"/>
      <c r="J90" s="53" t="s">
        <v>117</v>
      </c>
    </row>
    <row r="91" spans="1:10" s="45" customFormat="1" ht="18.75" customHeight="1">
      <c r="A91" t="s">
        <v>2104</v>
      </c>
      <c r="B91" s="49"/>
      <c r="C91" s="618"/>
      <c r="D91" s="628" t="s">
        <v>2105</v>
      </c>
      <c r="E91" s="530" t="s">
        <v>2218</v>
      </c>
      <c r="F91" s="530"/>
      <c r="G91" s="531"/>
      <c r="H91" s="532"/>
      <c r="I91" s="532"/>
      <c r="J91" s="53" t="s">
        <v>117</v>
      </c>
    </row>
    <row r="92" spans="1:10" s="45" customFormat="1" ht="18.75" customHeight="1">
      <c r="A92" t="s">
        <v>2064</v>
      </c>
      <c r="B92" s="49"/>
      <c r="C92" s="618" t="s">
        <v>2219</v>
      </c>
      <c r="D92" s="628" t="s">
        <v>2064</v>
      </c>
      <c r="E92" s="530" t="s">
        <v>2184</v>
      </c>
      <c r="F92" s="530"/>
      <c r="G92" s="531"/>
      <c r="H92" s="532"/>
      <c r="I92" s="532"/>
      <c r="J92" s="53" t="s">
        <v>117</v>
      </c>
    </row>
    <row r="93" spans="1:10" s="45" customFormat="1" ht="24" customHeight="1">
      <c r="A93" t="s">
        <v>2220</v>
      </c>
      <c r="B93" s="49"/>
      <c r="C93" s="539" t="s">
        <v>86</v>
      </c>
      <c r="D93" s="630" t="s">
        <v>2220</v>
      </c>
      <c r="E93" s="530" t="s">
        <v>1873</v>
      </c>
      <c r="F93" s="530"/>
      <c r="G93" s="531"/>
      <c r="H93" s="532" t="s">
        <v>2221</v>
      </c>
      <c r="I93" s="532"/>
      <c r="J93" s="528" t="s">
        <v>100</v>
      </c>
    </row>
    <row r="94" spans="1:10" s="45" customFormat="1" ht="24" customHeight="1">
      <c r="A94" t="s">
        <v>2056</v>
      </c>
      <c r="B94" s="49"/>
      <c r="C94" s="539"/>
      <c r="D94" s="631" t="s">
        <v>2056</v>
      </c>
      <c r="E94" s="530" t="s">
        <v>2222</v>
      </c>
      <c r="F94" s="530"/>
      <c r="G94" s="531"/>
      <c r="H94" s="532" t="s">
        <v>2223</v>
      </c>
      <c r="I94" s="532"/>
      <c r="J94" s="528" t="s">
        <v>100</v>
      </c>
    </row>
    <row r="95" spans="1:10" s="45" customFormat="1" ht="36" customHeight="1">
      <c r="A95" t="s">
        <v>1223</v>
      </c>
      <c r="B95" s="49"/>
      <c r="C95" s="385"/>
      <c r="D95" s="631" t="s">
        <v>1223</v>
      </c>
      <c r="E95" s="530" t="s">
        <v>2224</v>
      </c>
      <c r="F95" s="530"/>
      <c r="G95" s="531"/>
      <c r="H95" s="532" t="s">
        <v>2225</v>
      </c>
      <c r="I95" s="532"/>
      <c r="J95" s="528" t="s">
        <v>117</v>
      </c>
    </row>
    <row r="96" spans="1:10" s="45" customFormat="1" ht="48" customHeight="1">
      <c r="A96" t="s">
        <v>1553</v>
      </c>
      <c r="B96" s="49"/>
      <c r="C96" s="385"/>
      <c r="D96" s="631" t="s">
        <v>1553</v>
      </c>
      <c r="E96" s="530" t="s">
        <v>2226</v>
      </c>
      <c r="F96" s="530"/>
      <c r="G96" s="531"/>
      <c r="H96" s="532" t="s">
        <v>2227</v>
      </c>
      <c r="I96" s="532"/>
      <c r="J96" s="528" t="s">
        <v>117</v>
      </c>
    </row>
    <row r="97" spans="1:10" s="45" customFormat="1" ht="24" customHeight="1">
      <c r="A97" t="s">
        <v>2064</v>
      </c>
      <c r="B97" s="49"/>
      <c r="C97" s="385"/>
      <c r="D97" s="631" t="s">
        <v>2228</v>
      </c>
      <c r="E97" s="530" t="s">
        <v>2229</v>
      </c>
      <c r="F97" s="530"/>
      <c r="G97" s="531"/>
      <c r="H97" s="532" t="s">
        <v>2230</v>
      </c>
      <c r="I97" s="532"/>
      <c r="J97" s="528" t="s">
        <v>117</v>
      </c>
    </row>
    <row r="98" spans="1:10" s="45" customFormat="1" ht="36" customHeight="1">
      <c r="A98" t="s">
        <v>2067</v>
      </c>
      <c r="B98" s="49"/>
      <c r="C98" s="385"/>
      <c r="D98" s="631" t="s">
        <v>2067</v>
      </c>
      <c r="E98" s="530" t="s">
        <v>2231</v>
      </c>
      <c r="F98" s="530"/>
      <c r="G98" s="531"/>
      <c r="H98" s="532" t="s">
        <v>2232</v>
      </c>
      <c r="I98" s="532"/>
      <c r="J98" s="528" t="s">
        <v>117</v>
      </c>
    </row>
    <row r="99" spans="1:10" s="45" customFormat="1" ht="24" customHeight="1">
      <c r="A99" t="s">
        <v>1877</v>
      </c>
      <c r="B99" s="49"/>
      <c r="C99" s="819" t="s">
        <v>372</v>
      </c>
      <c r="D99" s="797" t="s">
        <v>1877</v>
      </c>
      <c r="E99" s="530" t="s">
        <v>1878</v>
      </c>
      <c r="F99" s="530"/>
      <c r="G99" s="531"/>
      <c r="H99" s="532" t="s">
        <v>2233</v>
      </c>
      <c r="I99" s="532"/>
      <c r="J99" s="528" t="s">
        <v>117</v>
      </c>
    </row>
    <row r="100" spans="1:10" s="45" customFormat="1" ht="24" customHeight="1">
      <c r="B100" s="49"/>
      <c r="C100" s="796"/>
      <c r="D100" s="756"/>
      <c r="E100" s="530" t="s">
        <v>1881</v>
      </c>
      <c r="F100" s="530"/>
      <c r="G100" s="531"/>
      <c r="H100" s="532" t="s">
        <v>2234</v>
      </c>
      <c r="I100" s="532"/>
      <c r="J100" s="721" t="s">
        <v>820</v>
      </c>
    </row>
    <row r="101" spans="1:10" s="45" customFormat="1" ht="24" customHeight="1">
      <c r="A101" t="s">
        <v>2075</v>
      </c>
      <c r="B101" s="49"/>
      <c r="C101" s="805" t="s">
        <v>2235</v>
      </c>
      <c r="D101" s="794" t="s">
        <v>2075</v>
      </c>
      <c r="E101" s="530" t="s">
        <v>2236</v>
      </c>
      <c r="F101" s="530"/>
      <c r="G101" s="531"/>
      <c r="H101" s="532" t="s">
        <v>2237</v>
      </c>
      <c r="I101" s="532"/>
      <c r="J101" s="528" t="s">
        <v>117</v>
      </c>
    </row>
    <row r="102" spans="1:10" s="45" customFormat="1" ht="24" customHeight="1">
      <c r="B102" s="49"/>
      <c r="C102" s="796"/>
      <c r="D102" s="756"/>
      <c r="E102" s="530" t="s">
        <v>2238</v>
      </c>
      <c r="F102" s="530"/>
      <c r="G102" s="531"/>
      <c r="H102" s="532" t="s">
        <v>2239</v>
      </c>
      <c r="I102" s="532"/>
      <c r="J102" s="721" t="s">
        <v>820</v>
      </c>
    </row>
    <row r="103" spans="1:10" s="45" customFormat="1" ht="18.75" customHeight="1">
      <c r="A103" t="s">
        <v>2164</v>
      </c>
      <c r="B103" s="49"/>
      <c r="C103" s="805"/>
      <c r="D103" s="794" t="s">
        <v>2165</v>
      </c>
      <c r="E103" s="530" t="s">
        <v>2240</v>
      </c>
      <c r="F103" s="530"/>
      <c r="G103" s="531"/>
      <c r="H103" s="532" t="s">
        <v>2241</v>
      </c>
      <c r="I103" s="532"/>
      <c r="J103" s="528" t="s">
        <v>117</v>
      </c>
    </row>
    <row r="104" spans="1:10" s="45" customFormat="1" ht="18.75" customHeight="1">
      <c r="B104" s="49"/>
      <c r="C104" s="796"/>
      <c r="D104" s="756"/>
      <c r="E104" s="530" t="s">
        <v>2242</v>
      </c>
      <c r="F104" s="530"/>
      <c r="G104" s="531"/>
      <c r="H104" s="532" t="s">
        <v>2243</v>
      </c>
      <c r="I104" s="532"/>
      <c r="J104" s="721" t="s">
        <v>820</v>
      </c>
    </row>
    <row r="105" spans="1:10" s="45" customFormat="1" ht="18.75" customHeight="1">
      <c r="A105" t="s">
        <v>2244</v>
      </c>
      <c r="B105" s="49"/>
      <c r="C105" s="540"/>
      <c r="D105" s="815" t="s">
        <v>2245</v>
      </c>
      <c r="E105" s="530" t="s">
        <v>2246</v>
      </c>
      <c r="F105" s="530"/>
      <c r="G105" s="531"/>
      <c r="H105" s="532" t="s">
        <v>2247</v>
      </c>
      <c r="I105" s="532"/>
      <c r="J105" s="528" t="s">
        <v>117</v>
      </c>
    </row>
    <row r="106" spans="1:10" s="45" customFormat="1" ht="18.75" customHeight="1">
      <c r="B106" s="49"/>
      <c r="C106" s="540"/>
      <c r="D106" s="756"/>
      <c r="E106" s="530" t="s">
        <v>2248</v>
      </c>
      <c r="F106" s="530"/>
      <c r="G106" s="531"/>
      <c r="H106" s="532" t="s">
        <v>2249</v>
      </c>
      <c r="I106" s="532"/>
      <c r="J106" s="721" t="s">
        <v>820</v>
      </c>
    </row>
    <row r="107" spans="1:10" s="45" customFormat="1" ht="18.75" customHeight="1">
      <c r="A107" t="e">
        <f>- из сырья Прочих поставщиков</f>
        <v>#NAME?</v>
      </c>
      <c r="B107" s="49"/>
      <c r="C107" s="620"/>
      <c r="D107" s="798" t="s">
        <v>2202</v>
      </c>
      <c r="E107" s="530" t="s">
        <v>2250</v>
      </c>
      <c r="F107" s="530"/>
      <c r="G107" s="531"/>
      <c r="H107" s="532" t="s">
        <v>2251</v>
      </c>
      <c r="I107" s="532"/>
      <c r="J107" s="528" t="s">
        <v>117</v>
      </c>
    </row>
    <row r="108" spans="1:10" s="45" customFormat="1" ht="18.75" customHeight="1">
      <c r="B108" s="49"/>
      <c r="C108" s="620"/>
      <c r="D108" s="756"/>
      <c r="E108" s="530" t="s">
        <v>2252</v>
      </c>
      <c r="F108" s="530"/>
      <c r="G108" s="531"/>
      <c r="H108" s="532" t="s">
        <v>2253</v>
      </c>
      <c r="I108" s="532"/>
      <c r="J108" s="721" t="s">
        <v>820</v>
      </c>
    </row>
    <row r="109" spans="1:10" s="45" customFormat="1" ht="18.75" customHeight="1">
      <c r="A109" t="s">
        <v>2254</v>
      </c>
      <c r="B109" s="49"/>
      <c r="C109" s="805" t="s">
        <v>2255</v>
      </c>
      <c r="D109" s="798" t="s">
        <v>2228</v>
      </c>
      <c r="E109" s="530" t="s">
        <v>2256</v>
      </c>
      <c r="F109" s="530"/>
      <c r="G109" s="531"/>
      <c r="H109" s="532" t="s">
        <v>2257</v>
      </c>
      <c r="I109" s="532"/>
      <c r="J109" s="646" t="s">
        <v>117</v>
      </c>
    </row>
    <row r="110" spans="1:10" s="45" customFormat="1" ht="18.75" customHeight="1">
      <c r="B110" s="49"/>
      <c r="C110" s="796"/>
      <c r="D110" s="756"/>
      <c r="E110" s="530" t="s">
        <v>2258</v>
      </c>
      <c r="F110" s="530"/>
      <c r="G110" s="531"/>
      <c r="H110" s="532" t="s">
        <v>2259</v>
      </c>
      <c r="I110" s="532"/>
      <c r="J110" s="723" t="s">
        <v>820</v>
      </c>
    </row>
    <row r="111" spans="1:10" s="45" customFormat="1" ht="18.75" customHeight="1">
      <c r="A111" t="s">
        <v>2112</v>
      </c>
      <c r="B111" s="49"/>
      <c r="C111" s="805" t="s">
        <v>2260</v>
      </c>
      <c r="D111" s="794" t="s">
        <v>2112</v>
      </c>
      <c r="E111" s="530" t="s">
        <v>2261</v>
      </c>
      <c r="F111" s="530"/>
      <c r="G111" s="531"/>
      <c r="H111" s="532" t="s">
        <v>2262</v>
      </c>
      <c r="I111" s="532"/>
      <c r="J111" s="528" t="s">
        <v>117</v>
      </c>
    </row>
    <row r="112" spans="1:10" s="45" customFormat="1" ht="18.75" customHeight="1">
      <c r="B112" s="49"/>
      <c r="C112" s="796"/>
      <c r="D112" s="756"/>
      <c r="E112" s="530" t="s">
        <v>2263</v>
      </c>
      <c r="F112" s="530"/>
      <c r="G112" s="531"/>
      <c r="H112" s="532" t="s">
        <v>2264</v>
      </c>
      <c r="I112" s="532"/>
      <c r="J112" s="721" t="s">
        <v>820</v>
      </c>
    </row>
    <row r="113" spans="1:10" s="45" customFormat="1" ht="18.75" customHeight="1">
      <c r="A113" t="e">
        <f>- из газа КНГКМ</f>
        <v>#NAME?</v>
      </c>
      <c r="B113" s="49"/>
      <c r="C113" s="805"/>
      <c r="D113" s="815" t="s">
        <v>2265</v>
      </c>
      <c r="E113" s="530" t="s">
        <v>2266</v>
      </c>
      <c r="F113" s="530"/>
      <c r="G113" s="531"/>
      <c r="H113" s="532" t="s">
        <v>2267</v>
      </c>
      <c r="I113" s="532"/>
      <c r="J113" s="528" t="s">
        <v>117</v>
      </c>
    </row>
    <row r="114" spans="1:10" s="45" customFormat="1" ht="18.75" customHeight="1">
      <c r="B114" s="49"/>
      <c r="C114" s="796"/>
      <c r="D114" s="756"/>
      <c r="E114" s="530" t="s">
        <v>2268</v>
      </c>
      <c r="F114" s="530"/>
      <c r="G114" s="531"/>
      <c r="H114" s="532" t="s">
        <v>2269</v>
      </c>
      <c r="I114" s="532"/>
      <c r="J114" s="721" t="s">
        <v>820</v>
      </c>
    </row>
    <row r="115" spans="1:10" s="45" customFormat="1" ht="18.75" customHeight="1">
      <c r="A115" t="s">
        <v>2270</v>
      </c>
      <c r="B115" s="49"/>
      <c r="C115" s="805"/>
      <c r="D115" s="815" t="s">
        <v>2271</v>
      </c>
      <c r="E115" s="530" t="s">
        <v>2272</v>
      </c>
      <c r="F115" s="530"/>
      <c r="G115" s="531"/>
      <c r="H115" s="532" t="s">
        <v>2273</v>
      </c>
      <c r="I115" s="532"/>
      <c r="J115" s="528" t="s">
        <v>117</v>
      </c>
    </row>
    <row r="116" spans="1:10" s="45" customFormat="1" ht="18.75" customHeight="1">
      <c r="B116" s="49"/>
      <c r="C116" s="796"/>
      <c r="D116" s="756"/>
      <c r="E116" s="530" t="s">
        <v>2274</v>
      </c>
      <c r="F116" s="530"/>
      <c r="G116" s="531"/>
      <c r="H116" s="532" t="s">
        <v>2275</v>
      </c>
      <c r="I116" s="532"/>
      <c r="J116" s="721" t="s">
        <v>820</v>
      </c>
    </row>
    <row r="117" spans="1:10" s="45" customFormat="1" ht="18.75" customHeight="1">
      <c r="A117" t="s">
        <v>804</v>
      </c>
      <c r="B117" s="49"/>
      <c r="C117" s="620"/>
      <c r="D117" s="54" t="s">
        <v>804</v>
      </c>
      <c r="E117" s="530"/>
      <c r="F117" s="530"/>
      <c r="G117" s="531"/>
      <c r="H117" s="532"/>
      <c r="I117" s="532"/>
      <c r="J117" s="528"/>
    </row>
    <row r="118" spans="1:10" s="45" customFormat="1" ht="24" customHeight="1">
      <c r="A118" t="s">
        <v>2276</v>
      </c>
      <c r="B118" s="49"/>
      <c r="C118" s="814"/>
      <c r="D118" s="810" t="s">
        <v>2276</v>
      </c>
      <c r="E118" s="530" t="s">
        <v>2277</v>
      </c>
      <c r="F118" s="530"/>
      <c r="G118" s="531"/>
      <c r="H118" s="532" t="s">
        <v>2278</v>
      </c>
      <c r="I118" s="532"/>
      <c r="J118" s="55" t="s">
        <v>117</v>
      </c>
    </row>
    <row r="119" spans="1:10" s="45" customFormat="1" ht="24" customHeight="1">
      <c r="B119" s="49"/>
      <c r="C119" s="796"/>
      <c r="D119" s="756"/>
      <c r="E119" s="530" t="s">
        <v>2279</v>
      </c>
      <c r="F119" s="530"/>
      <c r="G119" s="531"/>
      <c r="H119" s="532" t="s">
        <v>2280</v>
      </c>
      <c r="I119" s="532"/>
      <c r="J119" s="724" t="s">
        <v>820</v>
      </c>
    </row>
    <row r="120" spans="1:10" s="45" customFormat="1" ht="24" customHeight="1">
      <c r="A120" t="s">
        <v>2075</v>
      </c>
      <c r="B120" s="49"/>
      <c r="C120" s="795"/>
      <c r="D120" s="798" t="s">
        <v>2075</v>
      </c>
      <c r="E120" s="530" t="s">
        <v>2281</v>
      </c>
      <c r="F120" s="530"/>
      <c r="G120" s="531"/>
      <c r="H120" s="532" t="s">
        <v>2282</v>
      </c>
      <c r="I120" s="532"/>
      <c r="J120" s="53" t="s">
        <v>117</v>
      </c>
    </row>
    <row r="121" spans="1:10" s="45" customFormat="1" ht="24" customHeight="1">
      <c r="B121" s="49"/>
      <c r="C121" s="796"/>
      <c r="D121" s="756"/>
      <c r="E121" s="530" t="s">
        <v>2283</v>
      </c>
      <c r="F121" s="530"/>
      <c r="G121" s="531"/>
      <c r="H121" s="532" t="s">
        <v>2284</v>
      </c>
      <c r="I121" s="532"/>
      <c r="J121" s="722" t="s">
        <v>820</v>
      </c>
    </row>
    <row r="122" spans="1:10" s="45" customFormat="1" ht="18.75" customHeight="1">
      <c r="A122" t="s">
        <v>2164</v>
      </c>
      <c r="B122" s="49"/>
      <c r="C122" s="795"/>
      <c r="D122" s="798" t="s">
        <v>2165</v>
      </c>
      <c r="E122" s="530" t="s">
        <v>2285</v>
      </c>
      <c r="F122" s="530"/>
      <c r="G122" s="531"/>
      <c r="H122" s="532"/>
      <c r="I122" s="532"/>
      <c r="J122" s="53" t="s">
        <v>117</v>
      </c>
    </row>
    <row r="123" spans="1:10" s="45" customFormat="1" ht="18.75" customHeight="1">
      <c r="B123" s="49"/>
      <c r="C123" s="796"/>
      <c r="D123" s="756"/>
      <c r="E123" s="530" t="s">
        <v>2286</v>
      </c>
      <c r="F123" s="530"/>
      <c r="G123" s="531"/>
      <c r="H123" s="532"/>
      <c r="I123" s="532"/>
      <c r="J123" s="722" t="s">
        <v>820</v>
      </c>
    </row>
    <row r="124" spans="1:10" s="45" customFormat="1" ht="18.75" customHeight="1">
      <c r="A124" t="s">
        <v>2088</v>
      </c>
      <c r="B124" s="49"/>
      <c r="C124" s="795"/>
      <c r="D124" s="798" t="s">
        <v>2089</v>
      </c>
      <c r="E124" s="530" t="s">
        <v>2287</v>
      </c>
      <c r="F124" s="530"/>
      <c r="G124" s="531"/>
      <c r="H124" s="532"/>
      <c r="I124" s="532"/>
      <c r="J124" s="53" t="s">
        <v>117</v>
      </c>
    </row>
    <row r="125" spans="1:10" s="45" customFormat="1" ht="18.75" customHeight="1">
      <c r="B125" s="49"/>
      <c r="C125" s="796"/>
      <c r="D125" s="756"/>
      <c r="E125" s="530" t="s">
        <v>2288</v>
      </c>
      <c r="F125" s="530"/>
      <c r="G125" s="531"/>
      <c r="H125" s="532"/>
      <c r="I125" s="532"/>
      <c r="J125" s="722" t="s">
        <v>820</v>
      </c>
    </row>
    <row r="126" spans="1:10" s="45" customFormat="1" ht="18.75" customHeight="1">
      <c r="A126" t="e">
        <f>- из сырья Прочих поставщиков</f>
        <v>#NAME?</v>
      </c>
      <c r="B126" s="49"/>
      <c r="C126" s="795"/>
      <c r="D126" s="798" t="s">
        <v>2289</v>
      </c>
      <c r="E126" s="530" t="s">
        <v>2290</v>
      </c>
      <c r="F126" s="530"/>
      <c r="G126" s="531"/>
      <c r="H126" s="532"/>
      <c r="I126" s="532"/>
      <c r="J126" s="53" t="s">
        <v>117</v>
      </c>
    </row>
    <row r="127" spans="1:10" s="45" customFormat="1" ht="18.75" customHeight="1">
      <c r="B127" s="49"/>
      <c r="C127" s="796"/>
      <c r="D127" s="756"/>
      <c r="E127" s="530" t="s">
        <v>2291</v>
      </c>
      <c r="F127" s="530"/>
      <c r="G127" s="531"/>
      <c r="H127" s="532"/>
      <c r="I127" s="532"/>
      <c r="J127" s="722" t="s">
        <v>820</v>
      </c>
    </row>
    <row r="128" spans="1:10" s="45" customFormat="1" ht="18.75" customHeight="1">
      <c r="A128" t="s">
        <v>2292</v>
      </c>
      <c r="B128" s="49"/>
      <c r="C128" s="623"/>
      <c r="D128" s="817" t="s">
        <v>2293</v>
      </c>
      <c r="E128" s="530" t="s">
        <v>2294</v>
      </c>
      <c r="F128" s="530"/>
      <c r="G128" s="531"/>
      <c r="H128" s="532"/>
      <c r="I128" s="532"/>
      <c r="J128" s="53" t="s">
        <v>117</v>
      </c>
    </row>
    <row r="129" spans="1:10" s="45" customFormat="1" ht="18.75" customHeight="1">
      <c r="B129" s="49"/>
      <c r="C129" s="623"/>
      <c r="D129" s="756"/>
      <c r="E129" s="530" t="s">
        <v>2295</v>
      </c>
      <c r="F129" s="530"/>
      <c r="G129" s="531"/>
      <c r="H129" s="532"/>
      <c r="I129" s="532"/>
      <c r="J129" s="722" t="s">
        <v>820</v>
      </c>
    </row>
    <row r="130" spans="1:10" s="45" customFormat="1" ht="18.75" customHeight="1">
      <c r="A130" t="s">
        <v>2254</v>
      </c>
      <c r="B130" s="49"/>
      <c r="C130" s="623"/>
      <c r="D130" s="798" t="s">
        <v>2228</v>
      </c>
      <c r="E130" s="530" t="s">
        <v>2257</v>
      </c>
      <c r="F130" s="530"/>
      <c r="G130" s="531"/>
      <c r="H130" s="532"/>
      <c r="I130" s="532"/>
      <c r="J130" s="53" t="s">
        <v>117</v>
      </c>
    </row>
    <row r="131" spans="1:10" s="45" customFormat="1" ht="18.75" customHeight="1">
      <c r="B131" s="49"/>
      <c r="C131" s="623"/>
      <c r="D131" s="756"/>
      <c r="E131" s="530" t="s">
        <v>2259</v>
      </c>
      <c r="F131" s="530"/>
      <c r="G131" s="531"/>
      <c r="H131" s="532"/>
      <c r="I131" s="532"/>
      <c r="J131" s="722" t="s">
        <v>820</v>
      </c>
    </row>
    <row r="132" spans="1:10" s="45" customFormat="1" ht="18.75" customHeight="1">
      <c r="A132" t="s">
        <v>2296</v>
      </c>
      <c r="B132" s="49"/>
      <c r="C132" s="623"/>
      <c r="D132" s="798" t="s">
        <v>2296</v>
      </c>
      <c r="E132" s="530" t="s">
        <v>2297</v>
      </c>
      <c r="F132" s="530"/>
      <c r="G132" s="531"/>
      <c r="H132" s="532" t="s">
        <v>2298</v>
      </c>
      <c r="I132" s="532"/>
      <c r="J132" s="53" t="s">
        <v>117</v>
      </c>
    </row>
    <row r="133" spans="1:10" s="45" customFormat="1" ht="18.75" customHeight="1">
      <c r="B133" s="49"/>
      <c r="C133" s="623"/>
      <c r="D133" s="756"/>
      <c r="E133" s="530" t="s">
        <v>2299</v>
      </c>
      <c r="F133" s="530"/>
      <c r="G133" s="531"/>
      <c r="H133" s="532" t="s">
        <v>2300</v>
      </c>
      <c r="I133" s="532"/>
      <c r="J133" s="722" t="s">
        <v>820</v>
      </c>
    </row>
    <row r="134" spans="1:10" s="45" customFormat="1" ht="18.75" customHeight="1">
      <c r="A134" t="e">
        <f>- из сырья КНГКМ</f>
        <v>#NAME?</v>
      </c>
      <c r="B134" s="49"/>
      <c r="C134" s="623"/>
      <c r="D134" s="801" t="s">
        <v>2301</v>
      </c>
      <c r="E134" s="530" t="s">
        <v>2302</v>
      </c>
      <c r="F134" s="530"/>
      <c r="G134" s="531"/>
      <c r="H134" s="532"/>
      <c r="I134" s="532"/>
      <c r="J134" s="53" t="s">
        <v>117</v>
      </c>
    </row>
    <row r="135" spans="1:10" s="45" customFormat="1" ht="18.75" customHeight="1">
      <c r="B135" s="49"/>
      <c r="C135" s="623"/>
      <c r="D135" s="756"/>
      <c r="E135" s="530" t="s">
        <v>2303</v>
      </c>
      <c r="F135" s="530"/>
      <c r="G135" s="531"/>
      <c r="H135" s="532"/>
      <c r="I135" s="532"/>
      <c r="J135" s="722" t="s">
        <v>820</v>
      </c>
    </row>
    <row r="136" spans="1:10" s="45" customFormat="1" ht="18.75" customHeight="1">
      <c r="A136" t="s">
        <v>2270</v>
      </c>
      <c r="B136" s="49"/>
      <c r="C136" s="623"/>
      <c r="D136" s="801" t="s">
        <v>2271</v>
      </c>
      <c r="E136" s="530" t="s">
        <v>2273</v>
      </c>
      <c r="F136" s="530"/>
      <c r="G136" s="531"/>
      <c r="H136" s="532"/>
      <c r="I136" s="532"/>
      <c r="J136" s="53" t="s">
        <v>117</v>
      </c>
    </row>
    <row r="137" spans="1:10" s="45" customFormat="1" ht="18.75" customHeight="1">
      <c r="B137" s="49"/>
      <c r="C137" s="623"/>
      <c r="D137" s="756"/>
      <c r="E137" s="530" t="s">
        <v>2275</v>
      </c>
      <c r="F137" s="530"/>
      <c r="G137" s="531"/>
      <c r="H137" s="532"/>
      <c r="I137" s="532"/>
      <c r="J137" s="722" t="s">
        <v>820</v>
      </c>
    </row>
    <row r="138" spans="1:10" s="45" customFormat="1" ht="18.75" customHeight="1">
      <c r="A138" t="s">
        <v>2304</v>
      </c>
      <c r="B138" s="49"/>
      <c r="C138" s="626"/>
      <c r="D138" s="810" t="s">
        <v>2304</v>
      </c>
      <c r="E138" s="530" t="s">
        <v>2305</v>
      </c>
      <c r="F138" s="530"/>
      <c r="G138" s="531"/>
      <c r="H138" s="532" t="s">
        <v>2306</v>
      </c>
      <c r="I138" s="532"/>
      <c r="J138" s="55" t="s">
        <v>117</v>
      </c>
    </row>
    <row r="139" spans="1:10" s="45" customFormat="1" ht="18.75" customHeight="1">
      <c r="B139" s="49"/>
      <c r="C139" s="626"/>
      <c r="D139" s="756"/>
      <c r="E139" s="530" t="s">
        <v>2307</v>
      </c>
      <c r="F139" s="530"/>
      <c r="G139" s="531"/>
      <c r="H139" s="532" t="s">
        <v>2308</v>
      </c>
      <c r="I139" s="532"/>
      <c r="J139" s="724" t="s">
        <v>820</v>
      </c>
    </row>
    <row r="140" spans="1:10" s="45" customFormat="1" ht="24" customHeight="1">
      <c r="A140" t="s">
        <v>2075</v>
      </c>
      <c r="B140" s="49"/>
      <c r="C140" s="623"/>
      <c r="D140" s="798" t="s">
        <v>2075</v>
      </c>
      <c r="E140" s="530" t="s">
        <v>2309</v>
      </c>
      <c r="F140" s="530"/>
      <c r="G140" s="531"/>
      <c r="H140" s="532" t="s">
        <v>2310</v>
      </c>
      <c r="I140" s="532"/>
      <c r="J140" s="53" t="s">
        <v>117</v>
      </c>
    </row>
    <row r="141" spans="1:10" s="45" customFormat="1" ht="24" customHeight="1">
      <c r="B141" s="49"/>
      <c r="C141" s="623"/>
      <c r="D141" s="756"/>
      <c r="E141" s="530" t="s">
        <v>2311</v>
      </c>
      <c r="F141" s="530"/>
      <c r="G141" s="531"/>
      <c r="H141" s="532" t="s">
        <v>2312</v>
      </c>
      <c r="I141" s="532"/>
      <c r="J141" s="722" t="s">
        <v>820</v>
      </c>
    </row>
    <row r="142" spans="1:10" s="45" customFormat="1" ht="18.75" customHeight="1">
      <c r="A142" t="s">
        <v>2313</v>
      </c>
      <c r="B142" s="49"/>
      <c r="C142" s="623"/>
      <c r="D142" s="811" t="s">
        <v>2313</v>
      </c>
      <c r="E142" s="530" t="s">
        <v>2314</v>
      </c>
      <c r="F142" s="530"/>
      <c r="G142" s="531"/>
      <c r="H142" s="532"/>
      <c r="I142" s="532"/>
      <c r="J142" s="53" t="s">
        <v>117</v>
      </c>
    </row>
    <row r="143" spans="1:10" s="45" customFormat="1" ht="18.75" customHeight="1">
      <c r="B143" s="49"/>
      <c r="C143" s="623"/>
      <c r="D143" s="756"/>
      <c r="E143" s="530" t="s">
        <v>2315</v>
      </c>
      <c r="F143" s="530"/>
      <c r="G143" s="531"/>
      <c r="H143" s="532"/>
      <c r="I143" s="532"/>
      <c r="J143" s="722" t="s">
        <v>820</v>
      </c>
    </row>
    <row r="144" spans="1:10" s="45" customFormat="1" ht="18.75" customHeight="1">
      <c r="A144" t="s">
        <v>2164</v>
      </c>
      <c r="B144" s="49"/>
      <c r="C144" s="623"/>
      <c r="D144" s="798" t="s">
        <v>2165</v>
      </c>
      <c r="E144" s="530" t="s">
        <v>2316</v>
      </c>
      <c r="F144" s="530"/>
      <c r="G144" s="531"/>
      <c r="H144" s="532"/>
      <c r="I144" s="532"/>
      <c r="J144" s="53" t="s">
        <v>117</v>
      </c>
    </row>
    <row r="145" spans="1:10" s="45" customFormat="1" ht="18.75" customHeight="1">
      <c r="B145" s="49"/>
      <c r="C145" s="623"/>
      <c r="D145" s="756"/>
      <c r="E145" s="530" t="s">
        <v>2317</v>
      </c>
      <c r="F145" s="530"/>
      <c r="G145" s="531"/>
      <c r="H145" s="532"/>
      <c r="I145" s="532"/>
      <c r="J145" s="722" t="s">
        <v>820</v>
      </c>
    </row>
    <row r="146" spans="1:10" s="45" customFormat="1" ht="18.75" customHeight="1">
      <c r="A146" t="s">
        <v>2088</v>
      </c>
      <c r="B146" s="49"/>
      <c r="C146" s="623"/>
      <c r="D146" s="798" t="s">
        <v>2089</v>
      </c>
      <c r="E146" s="530" t="s">
        <v>2318</v>
      </c>
      <c r="F146" s="530"/>
      <c r="G146" s="531"/>
      <c r="H146" s="532"/>
      <c r="I146" s="532"/>
      <c r="J146" s="53" t="s">
        <v>117</v>
      </c>
    </row>
    <row r="147" spans="1:10" s="45" customFormat="1" ht="18.75" customHeight="1">
      <c r="B147" s="49"/>
      <c r="C147" s="623"/>
      <c r="D147" s="756"/>
      <c r="E147" s="530" t="s">
        <v>2319</v>
      </c>
      <c r="F147" s="530"/>
      <c r="G147" s="531"/>
      <c r="H147" s="532"/>
      <c r="I147" s="532"/>
      <c r="J147" s="722" t="s">
        <v>820</v>
      </c>
    </row>
    <row r="148" spans="1:10" s="45" customFormat="1" ht="18.75" customHeight="1">
      <c r="A148" t="e">
        <f>- из газа Прочих поставщиков</f>
        <v>#NAME?</v>
      </c>
      <c r="B148" s="49"/>
      <c r="C148" s="623"/>
      <c r="D148" s="798" t="s">
        <v>2320</v>
      </c>
      <c r="E148" s="530" t="s">
        <v>2321</v>
      </c>
      <c r="F148" s="530"/>
      <c r="G148" s="531"/>
      <c r="H148" s="532"/>
      <c r="I148" s="532"/>
      <c r="J148" s="528" t="s">
        <v>117</v>
      </c>
    </row>
    <row r="149" spans="1:10" s="45" customFormat="1" ht="18.75" customHeight="1">
      <c r="B149" s="49"/>
      <c r="C149" s="623"/>
      <c r="D149" s="756"/>
      <c r="E149" s="530" t="s">
        <v>2322</v>
      </c>
      <c r="F149" s="530"/>
      <c r="G149" s="531"/>
      <c r="H149" s="532"/>
      <c r="I149" s="532"/>
      <c r="J149" s="721" t="s">
        <v>820</v>
      </c>
    </row>
    <row r="150" spans="1:10" s="45" customFormat="1" ht="18.75" customHeight="1">
      <c r="A150" t="s">
        <v>2067</v>
      </c>
      <c r="B150" s="49"/>
      <c r="C150" s="795"/>
      <c r="D150" s="798" t="s">
        <v>2067</v>
      </c>
      <c r="E150" s="530" t="s">
        <v>2323</v>
      </c>
      <c r="F150" s="530"/>
      <c r="G150" s="531"/>
      <c r="H150" s="532"/>
      <c r="I150" s="532"/>
      <c r="J150" s="53" t="s">
        <v>117</v>
      </c>
    </row>
    <row r="151" spans="1:10" s="45" customFormat="1" ht="18.75" customHeight="1">
      <c r="B151" s="49"/>
      <c r="C151" s="796"/>
      <c r="D151" s="756"/>
      <c r="E151" s="530" t="s">
        <v>2324</v>
      </c>
      <c r="F151" s="530"/>
      <c r="G151" s="531"/>
      <c r="H151" s="532"/>
      <c r="I151" s="532"/>
      <c r="J151" s="722" t="s">
        <v>820</v>
      </c>
    </row>
    <row r="152" spans="1:10" s="45" customFormat="1" ht="18.75" customHeight="1">
      <c r="A152" t="s">
        <v>2325</v>
      </c>
      <c r="B152" s="49"/>
      <c r="C152" s="623"/>
      <c r="D152" s="624" t="s">
        <v>2325</v>
      </c>
      <c r="E152" s="530"/>
      <c r="F152" s="530"/>
      <c r="G152" s="531"/>
      <c r="H152" s="532"/>
      <c r="I152" s="532"/>
      <c r="J152" s="722"/>
    </row>
    <row r="153" spans="1:10" s="45" customFormat="1" ht="15.75" customHeight="1">
      <c r="A153" t="s">
        <v>1877</v>
      </c>
      <c r="B153" s="49"/>
      <c r="C153" s="623"/>
      <c r="D153" s="807" t="s">
        <v>1877</v>
      </c>
      <c r="E153" s="530" t="s">
        <v>2326</v>
      </c>
      <c r="F153" s="530"/>
      <c r="G153" s="531"/>
      <c r="H153" s="532" t="s">
        <v>2327</v>
      </c>
      <c r="I153" s="532"/>
      <c r="J153" s="53" t="s">
        <v>117</v>
      </c>
    </row>
    <row r="154" spans="1:10" s="45" customFormat="1" ht="36" customHeight="1">
      <c r="B154" s="49"/>
      <c r="C154" s="623"/>
      <c r="D154" s="756"/>
      <c r="E154" s="530" t="s">
        <v>2328</v>
      </c>
      <c r="F154" s="530"/>
      <c r="G154" s="531"/>
      <c r="H154" s="532" t="s">
        <v>2329</v>
      </c>
      <c r="I154" s="532"/>
      <c r="J154" s="722" t="s">
        <v>820</v>
      </c>
    </row>
    <row r="155" spans="1:10" s="45" customFormat="1" ht="18.75" customHeight="1">
      <c r="A155" t="s">
        <v>2330</v>
      </c>
      <c r="B155" s="49"/>
      <c r="C155" s="623"/>
      <c r="D155" s="798" t="s">
        <v>2330</v>
      </c>
      <c r="E155" s="530" t="s">
        <v>2331</v>
      </c>
      <c r="F155" s="530"/>
      <c r="G155" s="531"/>
      <c r="H155" s="532"/>
      <c r="I155" s="532"/>
      <c r="J155" s="53" t="s">
        <v>117</v>
      </c>
    </row>
    <row r="156" spans="1:10" s="45" customFormat="1" ht="18.75" customHeight="1">
      <c r="B156" s="49"/>
      <c r="C156" s="623"/>
      <c r="D156" s="756"/>
      <c r="E156" s="530" t="s">
        <v>2332</v>
      </c>
      <c r="F156" s="530"/>
      <c r="G156" s="531"/>
      <c r="H156" s="532"/>
      <c r="I156" s="532"/>
      <c r="J156" s="722" t="s">
        <v>820</v>
      </c>
    </row>
    <row r="157" spans="1:10" s="45" customFormat="1" ht="18.75" customHeight="1">
      <c r="A157" t="s">
        <v>2333</v>
      </c>
      <c r="B157" s="49"/>
      <c r="C157" s="623"/>
      <c r="D157" s="798" t="s">
        <v>2333</v>
      </c>
      <c r="E157" s="530" t="s">
        <v>2334</v>
      </c>
      <c r="F157" s="530"/>
      <c r="G157" s="531"/>
      <c r="H157" s="532"/>
      <c r="I157" s="532"/>
      <c r="J157" s="53" t="s">
        <v>117</v>
      </c>
    </row>
    <row r="158" spans="1:10" s="45" customFormat="1" ht="18.75" customHeight="1">
      <c r="B158" s="49"/>
      <c r="C158" s="623"/>
      <c r="D158" s="756"/>
      <c r="E158" s="530" t="s">
        <v>2335</v>
      </c>
      <c r="F158" s="530"/>
      <c r="G158" s="531"/>
      <c r="H158" s="532"/>
      <c r="I158" s="532"/>
      <c r="J158" s="722" t="s">
        <v>820</v>
      </c>
    </row>
    <row r="159" spans="1:10" s="45" customFormat="1" ht="18.75" customHeight="1">
      <c r="A159" t="s">
        <v>2336</v>
      </c>
      <c r="B159" s="49"/>
      <c r="C159" s="623"/>
      <c r="D159" s="798" t="s">
        <v>2336</v>
      </c>
      <c r="E159" s="530" t="s">
        <v>2337</v>
      </c>
      <c r="F159" s="530"/>
      <c r="G159" s="531"/>
      <c r="H159" s="532"/>
      <c r="I159" s="532"/>
      <c r="J159" s="53" t="s">
        <v>117</v>
      </c>
    </row>
    <row r="160" spans="1:10" s="45" customFormat="1" ht="18.75" customHeight="1">
      <c r="B160" s="49"/>
      <c r="C160" s="623"/>
      <c r="D160" s="756"/>
      <c r="E160" s="530" t="s">
        <v>2338</v>
      </c>
      <c r="F160" s="530"/>
      <c r="G160" s="531"/>
      <c r="H160" s="532"/>
      <c r="I160" s="532"/>
      <c r="J160" s="722" t="s">
        <v>820</v>
      </c>
    </row>
    <row r="161" spans="1:10" s="45" customFormat="1" ht="18.75" customHeight="1">
      <c r="A161" t="s">
        <v>2339</v>
      </c>
      <c r="B161" s="49"/>
      <c r="C161" s="623"/>
      <c r="D161" s="798" t="s">
        <v>2339</v>
      </c>
      <c r="E161" s="530" t="s">
        <v>2340</v>
      </c>
      <c r="F161" s="530"/>
      <c r="G161" s="531"/>
      <c r="H161" s="532"/>
      <c r="I161" s="532"/>
      <c r="J161" s="53" t="s">
        <v>117</v>
      </c>
    </row>
    <row r="162" spans="1:10" s="45" customFormat="1" ht="18.75" customHeight="1">
      <c r="B162" s="49"/>
      <c r="C162" s="623"/>
      <c r="D162" s="756"/>
      <c r="E162" s="530" t="s">
        <v>2341</v>
      </c>
      <c r="F162" s="530"/>
      <c r="G162" s="531"/>
      <c r="H162" s="532"/>
      <c r="I162" s="532"/>
      <c r="J162" s="722" t="s">
        <v>820</v>
      </c>
    </row>
    <row r="163" spans="1:10" s="45" customFormat="1" ht="18.75" customHeight="1">
      <c r="A163" t="s">
        <v>2342</v>
      </c>
      <c r="B163" s="49"/>
      <c r="C163" s="623"/>
      <c r="D163" s="798" t="s">
        <v>2342</v>
      </c>
      <c r="E163" s="530" t="s">
        <v>2343</v>
      </c>
      <c r="F163" s="530"/>
      <c r="G163" s="531"/>
      <c r="H163" s="532"/>
      <c r="I163" s="532"/>
      <c r="J163" s="53" t="s">
        <v>117</v>
      </c>
    </row>
    <row r="164" spans="1:10" s="45" customFormat="1" ht="18.75" customHeight="1">
      <c r="B164" s="49"/>
      <c r="C164" s="623"/>
      <c r="D164" s="756"/>
      <c r="E164" s="530" t="s">
        <v>2344</v>
      </c>
      <c r="F164" s="530"/>
      <c r="G164" s="531"/>
      <c r="H164" s="532"/>
      <c r="I164" s="532"/>
      <c r="J164" s="722" t="s">
        <v>820</v>
      </c>
    </row>
    <row r="165" spans="1:10" s="45" customFormat="1" ht="18.75" customHeight="1">
      <c r="A165" t="s">
        <v>2345</v>
      </c>
      <c r="B165" s="49"/>
      <c r="C165" s="623"/>
      <c r="D165" s="798" t="s">
        <v>2345</v>
      </c>
      <c r="E165" s="530" t="s">
        <v>2346</v>
      </c>
      <c r="F165" s="530"/>
      <c r="G165" s="531"/>
      <c r="H165" s="532"/>
      <c r="I165" s="532"/>
      <c r="J165" s="53" t="s">
        <v>117</v>
      </c>
    </row>
    <row r="166" spans="1:10" s="45" customFormat="1" ht="18.75" customHeight="1">
      <c r="B166" s="49"/>
      <c r="C166" s="623"/>
      <c r="D166" s="756"/>
      <c r="E166" s="530" t="s">
        <v>2347</v>
      </c>
      <c r="F166" s="530"/>
      <c r="G166" s="531"/>
      <c r="H166" s="532"/>
      <c r="I166" s="532"/>
      <c r="J166" s="722" t="s">
        <v>820</v>
      </c>
    </row>
    <row r="167" spans="1:10" s="45" customFormat="1" ht="18.75" customHeight="1">
      <c r="A167" t="s">
        <v>2348</v>
      </c>
      <c r="B167" s="49"/>
      <c r="C167" s="623"/>
      <c r="D167" s="798" t="s">
        <v>2348</v>
      </c>
      <c r="E167" s="530" t="s">
        <v>2349</v>
      </c>
      <c r="F167" s="530"/>
      <c r="G167" s="531"/>
      <c r="H167" s="532"/>
      <c r="I167" s="532"/>
      <c r="J167" s="53" t="s">
        <v>117</v>
      </c>
    </row>
    <row r="168" spans="1:10" s="45" customFormat="1" ht="18.75" customHeight="1">
      <c r="B168" s="49"/>
      <c r="C168" s="623"/>
      <c r="D168" s="756"/>
      <c r="E168" s="530" t="s">
        <v>2350</v>
      </c>
      <c r="F168" s="530"/>
      <c r="G168" s="531"/>
      <c r="H168" s="532"/>
      <c r="I168" s="532"/>
      <c r="J168" s="722" t="s">
        <v>820</v>
      </c>
    </row>
    <row r="169" spans="1:10" s="45" customFormat="1" ht="18.75" customHeight="1">
      <c r="A169" t="s">
        <v>2351</v>
      </c>
      <c r="B169" s="49"/>
      <c r="C169" s="623"/>
      <c r="D169" s="798" t="s">
        <v>2352</v>
      </c>
      <c r="E169" s="530" t="s">
        <v>2353</v>
      </c>
      <c r="F169" s="530"/>
      <c r="G169" s="531"/>
      <c r="H169" s="532"/>
      <c r="I169" s="532"/>
      <c r="J169" s="722" t="s">
        <v>117</v>
      </c>
    </row>
    <row r="170" spans="1:10" s="45" customFormat="1" ht="18.75" customHeight="1">
      <c r="B170" s="49"/>
      <c r="C170" s="623"/>
      <c r="D170" s="756"/>
      <c r="E170" s="530" t="s">
        <v>2354</v>
      </c>
      <c r="F170" s="530"/>
      <c r="G170" s="531"/>
      <c r="H170" s="532"/>
      <c r="I170" s="532"/>
      <c r="J170" s="722" t="s">
        <v>820</v>
      </c>
    </row>
    <row r="171" spans="1:10" s="45" customFormat="1" ht="24" customHeight="1">
      <c r="A171" t="s">
        <v>2355</v>
      </c>
      <c r="B171" s="49"/>
      <c r="C171" s="623"/>
      <c r="D171" s="807" t="s">
        <v>2355</v>
      </c>
      <c r="E171" s="530" t="s">
        <v>2356</v>
      </c>
      <c r="F171" s="530"/>
      <c r="G171" s="531"/>
      <c r="H171" s="532" t="s">
        <v>2357</v>
      </c>
      <c r="I171" s="532"/>
      <c r="J171" s="53" t="s">
        <v>117</v>
      </c>
    </row>
    <row r="172" spans="1:10" s="45" customFormat="1" ht="24" customHeight="1">
      <c r="B172" s="49"/>
      <c r="C172" s="623"/>
      <c r="D172" s="756"/>
      <c r="E172" s="530" t="s">
        <v>2358</v>
      </c>
      <c r="F172" s="530"/>
      <c r="G172" s="531"/>
      <c r="H172" s="532" t="s">
        <v>2359</v>
      </c>
      <c r="I172" s="532"/>
      <c r="J172" s="722" t="s">
        <v>820</v>
      </c>
    </row>
    <row r="173" spans="1:10" s="45" customFormat="1" ht="18.75" customHeight="1">
      <c r="A173" t="s">
        <v>2330</v>
      </c>
      <c r="B173" s="49"/>
      <c r="C173" s="623"/>
      <c r="D173" s="798" t="s">
        <v>2330</v>
      </c>
      <c r="E173" s="530" t="s">
        <v>2360</v>
      </c>
      <c r="F173" s="530"/>
      <c r="G173" s="531"/>
      <c r="H173" s="532"/>
      <c r="I173" s="532"/>
      <c r="J173" s="53" t="s">
        <v>117</v>
      </c>
    </row>
    <row r="174" spans="1:10" s="45" customFormat="1" ht="18.75" customHeight="1">
      <c r="B174" s="49"/>
      <c r="C174" s="623"/>
      <c r="D174" s="756"/>
      <c r="E174" s="530" t="s">
        <v>2361</v>
      </c>
      <c r="F174" s="530"/>
      <c r="G174" s="531"/>
      <c r="H174" s="532"/>
      <c r="I174" s="532"/>
      <c r="J174" s="722" t="s">
        <v>820</v>
      </c>
    </row>
    <row r="175" spans="1:10" s="45" customFormat="1" ht="18.75" customHeight="1">
      <c r="A175" t="s">
        <v>2333</v>
      </c>
      <c r="B175" s="49"/>
      <c r="C175" s="623"/>
      <c r="D175" s="798" t="s">
        <v>2333</v>
      </c>
      <c r="E175" s="530" t="s">
        <v>2362</v>
      </c>
      <c r="F175" s="530"/>
      <c r="G175" s="531"/>
      <c r="H175" s="532"/>
      <c r="I175" s="532"/>
      <c r="J175" s="53" t="s">
        <v>117</v>
      </c>
    </row>
    <row r="176" spans="1:10" s="45" customFormat="1" ht="18.75" customHeight="1">
      <c r="B176" s="49"/>
      <c r="C176" s="623"/>
      <c r="D176" s="756"/>
      <c r="E176" s="530" t="s">
        <v>2363</v>
      </c>
      <c r="F176" s="530"/>
      <c r="G176" s="531"/>
      <c r="H176" s="532"/>
      <c r="I176" s="532"/>
      <c r="J176" s="722" t="s">
        <v>820</v>
      </c>
    </row>
    <row r="177" spans="1:10" s="45" customFormat="1" ht="18.75" customHeight="1">
      <c r="A177" t="s">
        <v>2364</v>
      </c>
      <c r="B177" s="49"/>
      <c r="C177" s="623"/>
      <c r="D177" s="798" t="s">
        <v>2364</v>
      </c>
      <c r="E177" s="530" t="s">
        <v>2365</v>
      </c>
      <c r="F177" s="530"/>
      <c r="G177" s="531"/>
      <c r="H177" s="532"/>
      <c r="I177" s="532"/>
      <c r="J177" s="53" t="s">
        <v>117</v>
      </c>
    </row>
    <row r="178" spans="1:10" s="45" customFormat="1" ht="18.75" customHeight="1">
      <c r="B178" s="49"/>
      <c r="C178" s="623"/>
      <c r="D178" s="756"/>
      <c r="E178" s="530" t="s">
        <v>2366</v>
      </c>
      <c r="F178" s="530"/>
      <c r="G178" s="531"/>
      <c r="H178" s="532"/>
      <c r="I178" s="532"/>
      <c r="J178" s="722" t="s">
        <v>820</v>
      </c>
    </row>
    <row r="179" spans="1:10" s="45" customFormat="1" ht="18.75" customHeight="1">
      <c r="A179" t="s">
        <v>2367</v>
      </c>
      <c r="B179" s="49"/>
      <c r="C179" s="623"/>
      <c r="D179" s="798" t="s">
        <v>2367</v>
      </c>
      <c r="E179" s="530" t="s">
        <v>2368</v>
      </c>
      <c r="F179" s="530"/>
      <c r="G179" s="531"/>
      <c r="H179" s="532"/>
      <c r="I179" s="532"/>
      <c r="J179" s="53" t="s">
        <v>117</v>
      </c>
    </row>
    <row r="180" spans="1:10" s="45" customFormat="1" ht="18.75" customHeight="1">
      <c r="B180" s="49"/>
      <c r="C180" s="623"/>
      <c r="D180" s="756"/>
      <c r="E180" s="530" t="s">
        <v>2369</v>
      </c>
      <c r="F180" s="530"/>
      <c r="G180" s="531"/>
      <c r="H180" s="532"/>
      <c r="I180" s="532"/>
      <c r="J180" s="722" t="s">
        <v>820</v>
      </c>
    </row>
    <row r="181" spans="1:10" s="45" customFormat="1" ht="24" customHeight="1">
      <c r="A181" t="s">
        <v>2370</v>
      </c>
      <c r="B181" s="49"/>
      <c r="C181" s="806" t="s">
        <v>373</v>
      </c>
      <c r="D181" s="816" t="s">
        <v>2370</v>
      </c>
      <c r="E181" s="530" t="s">
        <v>2371</v>
      </c>
      <c r="F181" s="530"/>
      <c r="G181" s="531"/>
      <c r="H181" s="532" t="s">
        <v>2372</v>
      </c>
      <c r="I181" s="532"/>
      <c r="J181" s="528" t="s">
        <v>117</v>
      </c>
    </row>
    <row r="182" spans="1:10" s="45" customFormat="1" ht="24" customHeight="1">
      <c r="B182" s="49"/>
      <c r="C182" s="752"/>
      <c r="D182" s="756"/>
      <c r="E182" s="530" t="s">
        <v>2373</v>
      </c>
      <c r="F182" s="530"/>
      <c r="G182" s="531"/>
      <c r="H182" s="532" t="s">
        <v>2374</v>
      </c>
      <c r="I182" s="532"/>
      <c r="J182" s="721" t="s">
        <v>820</v>
      </c>
    </row>
    <row r="183" spans="1:10" s="45" customFormat="1" ht="18.75" customHeight="1">
      <c r="A183" t="s">
        <v>2056</v>
      </c>
      <c r="B183" s="49"/>
      <c r="C183" s="634"/>
      <c r="D183" s="794" t="s">
        <v>2056</v>
      </c>
      <c r="E183" s="530" t="s">
        <v>2375</v>
      </c>
      <c r="F183" s="530"/>
      <c r="G183" s="531"/>
      <c r="H183" s="532" t="s">
        <v>2376</v>
      </c>
      <c r="I183" s="532"/>
      <c r="J183" s="528" t="s">
        <v>117</v>
      </c>
    </row>
    <row r="184" spans="1:10" s="45" customFormat="1" ht="18.75" customHeight="1">
      <c r="B184" s="49"/>
      <c r="C184" s="634"/>
      <c r="D184" s="756"/>
      <c r="E184" s="530" t="s">
        <v>2377</v>
      </c>
      <c r="F184" s="530"/>
      <c r="G184" s="531"/>
      <c r="H184" s="532" t="s">
        <v>2378</v>
      </c>
      <c r="I184" s="532"/>
      <c r="J184" s="721" t="s">
        <v>820</v>
      </c>
    </row>
    <row r="185" spans="1:10" s="45" customFormat="1" ht="18.75" customHeight="1">
      <c r="A185" t="s">
        <v>2160</v>
      </c>
      <c r="B185" s="49"/>
      <c r="C185" s="806" t="s">
        <v>2379</v>
      </c>
      <c r="D185" s="813" t="s">
        <v>2160</v>
      </c>
      <c r="E185" s="530" t="s">
        <v>2380</v>
      </c>
      <c r="F185" s="530"/>
      <c r="G185" s="531"/>
      <c r="H185" s="532" t="s">
        <v>2381</v>
      </c>
      <c r="I185" s="532"/>
      <c r="J185" s="528" t="s">
        <v>117</v>
      </c>
    </row>
    <row r="186" spans="1:10" s="45" customFormat="1" ht="18.75" customHeight="1">
      <c r="B186" s="49"/>
      <c r="C186" s="752"/>
      <c r="D186" s="756"/>
      <c r="E186" s="530" t="s">
        <v>2382</v>
      </c>
      <c r="F186" s="530"/>
      <c r="G186" s="531"/>
      <c r="H186" s="532" t="s">
        <v>2383</v>
      </c>
      <c r="I186" s="532"/>
      <c r="J186" s="721" t="s">
        <v>820</v>
      </c>
    </row>
    <row r="187" spans="1:10" s="45" customFormat="1" ht="18.75" customHeight="1">
      <c r="A187" t="s">
        <v>2164</v>
      </c>
      <c r="B187" s="49"/>
      <c r="C187" s="385"/>
      <c r="D187" s="794" t="s">
        <v>2165</v>
      </c>
      <c r="E187" s="530" t="s">
        <v>2384</v>
      </c>
      <c r="F187" s="530"/>
      <c r="G187" s="531"/>
      <c r="H187" s="532"/>
      <c r="I187" s="532"/>
      <c r="J187" s="528" t="s">
        <v>117</v>
      </c>
    </row>
    <row r="188" spans="1:10" s="45" customFormat="1" ht="18.75" customHeight="1">
      <c r="B188" s="49"/>
      <c r="C188" s="385"/>
      <c r="D188" s="756"/>
      <c r="E188" s="530" t="s">
        <v>2385</v>
      </c>
      <c r="F188" s="530"/>
      <c r="G188" s="531"/>
      <c r="H188" s="532"/>
      <c r="I188" s="532"/>
      <c r="J188" s="721" t="s">
        <v>820</v>
      </c>
    </row>
    <row r="189" spans="1:10" s="45" customFormat="1" ht="18.75" customHeight="1">
      <c r="A189" t="s">
        <v>2088</v>
      </c>
      <c r="B189" s="49"/>
      <c r="C189" s="385"/>
      <c r="D189" s="794" t="s">
        <v>2089</v>
      </c>
      <c r="E189" s="530" t="s">
        <v>2386</v>
      </c>
      <c r="F189" s="530"/>
      <c r="G189" s="531"/>
      <c r="H189" s="532"/>
      <c r="I189" s="532"/>
      <c r="J189" s="528" t="s">
        <v>117</v>
      </c>
    </row>
    <row r="190" spans="1:10" s="45" customFormat="1" ht="18.75" customHeight="1">
      <c r="B190" s="49"/>
      <c r="C190" s="385"/>
      <c r="D190" s="756"/>
      <c r="E190" s="530" t="s">
        <v>2387</v>
      </c>
      <c r="F190" s="530"/>
      <c r="G190" s="531"/>
      <c r="H190" s="532"/>
      <c r="I190" s="532"/>
      <c r="J190" s="721" t="s">
        <v>820</v>
      </c>
    </row>
    <row r="191" spans="1:10" s="45" customFormat="1" ht="24" customHeight="1">
      <c r="A191" t="s">
        <v>2075</v>
      </c>
      <c r="B191" s="49"/>
      <c r="C191" s="806" t="s">
        <v>2388</v>
      </c>
      <c r="D191" s="813" t="s">
        <v>2075</v>
      </c>
      <c r="E191" s="530" t="s">
        <v>2389</v>
      </c>
      <c r="F191" s="530"/>
      <c r="G191" s="531"/>
      <c r="H191" s="532" t="s">
        <v>2390</v>
      </c>
      <c r="I191" s="532"/>
      <c r="J191" s="528" t="s">
        <v>117</v>
      </c>
    </row>
    <row r="192" spans="1:10" s="45" customFormat="1" ht="24" customHeight="1">
      <c r="B192" s="49"/>
      <c r="C192" s="752"/>
      <c r="D192" s="756"/>
      <c r="E192" s="530" t="s">
        <v>2391</v>
      </c>
      <c r="F192" s="530"/>
      <c r="G192" s="531"/>
      <c r="H192" s="532" t="s">
        <v>2392</v>
      </c>
      <c r="I192" s="532"/>
      <c r="J192" s="721" t="s">
        <v>820</v>
      </c>
    </row>
    <row r="193" spans="1:10" s="45" customFormat="1" ht="18.75" customHeight="1">
      <c r="A193" t="s">
        <v>2164</v>
      </c>
      <c r="B193" s="49"/>
      <c r="C193" s="385"/>
      <c r="D193" s="794" t="s">
        <v>2165</v>
      </c>
      <c r="E193" s="530" t="s">
        <v>2393</v>
      </c>
      <c r="F193" s="530"/>
      <c r="G193" s="531"/>
      <c r="H193" s="532"/>
      <c r="I193" s="532"/>
      <c r="J193" s="528" t="s">
        <v>117</v>
      </c>
    </row>
    <row r="194" spans="1:10" s="45" customFormat="1" ht="18.75" customHeight="1">
      <c r="B194" s="49"/>
      <c r="C194" s="385"/>
      <c r="D194" s="756"/>
      <c r="E194" s="530" t="s">
        <v>2394</v>
      </c>
      <c r="F194" s="530"/>
      <c r="G194" s="531"/>
      <c r="H194" s="532"/>
      <c r="I194" s="532"/>
      <c r="J194" s="721" t="s">
        <v>820</v>
      </c>
    </row>
    <row r="195" spans="1:10" s="45" customFormat="1" ht="18.75" customHeight="1">
      <c r="A195" t="s">
        <v>2088</v>
      </c>
      <c r="B195" s="49"/>
      <c r="C195" s="385"/>
      <c r="D195" s="794" t="s">
        <v>2089</v>
      </c>
      <c r="E195" s="530" t="s">
        <v>2395</v>
      </c>
      <c r="F195" s="530"/>
      <c r="G195" s="531"/>
      <c r="H195" s="532"/>
      <c r="I195" s="532"/>
      <c r="J195" s="528" t="s">
        <v>117</v>
      </c>
    </row>
    <row r="196" spans="1:10" s="45" customFormat="1" ht="18.75" customHeight="1">
      <c r="B196" s="49"/>
      <c r="C196" s="385"/>
      <c r="D196" s="756"/>
      <c r="E196" s="530" t="s">
        <v>2396</v>
      </c>
      <c r="F196" s="530"/>
      <c r="G196" s="531"/>
      <c r="H196" s="532"/>
      <c r="I196" s="532"/>
      <c r="J196" s="721" t="s">
        <v>820</v>
      </c>
    </row>
    <row r="197" spans="1:10" s="45" customFormat="1" ht="18.75" customHeight="1">
      <c r="A197" t="e">
        <f>- из сырья Прочих поставщиков</f>
        <v>#NAME?</v>
      </c>
      <c r="B197" s="49"/>
      <c r="C197" s="385"/>
      <c r="D197" s="794" t="s">
        <v>2397</v>
      </c>
      <c r="E197" s="530" t="s">
        <v>2398</v>
      </c>
      <c r="F197" s="530"/>
      <c r="G197" s="531"/>
      <c r="H197" s="532"/>
      <c r="I197" s="532"/>
      <c r="J197" s="528" t="s">
        <v>117</v>
      </c>
    </row>
    <row r="198" spans="1:10" s="45" customFormat="1" ht="18.75" customHeight="1">
      <c r="B198" s="49"/>
      <c r="C198" s="385"/>
      <c r="D198" s="756"/>
      <c r="E198" s="530" t="s">
        <v>2399</v>
      </c>
      <c r="F198" s="530"/>
      <c r="G198" s="531"/>
      <c r="H198" s="532"/>
      <c r="I198" s="532"/>
      <c r="J198" s="721" t="s">
        <v>820</v>
      </c>
    </row>
    <row r="199" spans="1:10" s="45" customFormat="1" ht="15.75" customHeight="1">
      <c r="A199" t="s">
        <v>2400</v>
      </c>
      <c r="B199" s="49"/>
      <c r="C199" s="385"/>
      <c r="D199" s="817" t="s">
        <v>2293</v>
      </c>
      <c r="E199" s="530" t="s">
        <v>2401</v>
      </c>
      <c r="F199" s="530"/>
      <c r="G199" s="531"/>
      <c r="H199" s="532"/>
      <c r="I199" s="532"/>
      <c r="J199" s="528" t="s">
        <v>117</v>
      </c>
    </row>
    <row r="200" spans="1:10" s="45" customFormat="1" ht="18.75" customHeight="1">
      <c r="B200" s="49"/>
      <c r="C200" s="385"/>
      <c r="D200" s="756"/>
      <c r="E200" s="530" t="s">
        <v>2402</v>
      </c>
      <c r="F200" s="530"/>
      <c r="G200" s="531"/>
      <c r="H200" s="532"/>
      <c r="I200" s="532"/>
      <c r="J200" s="721" t="s">
        <v>820</v>
      </c>
    </row>
    <row r="201" spans="1:10" s="45" customFormat="1" ht="18.75" customHeight="1">
      <c r="A201" t="s">
        <v>2067</v>
      </c>
      <c r="B201" s="49"/>
      <c r="C201" s="808" t="s">
        <v>2403</v>
      </c>
      <c r="D201" s="794" t="s">
        <v>2067</v>
      </c>
      <c r="E201" s="530" t="s">
        <v>2404</v>
      </c>
      <c r="F201" s="530"/>
      <c r="G201" s="531"/>
      <c r="H201" s="532"/>
      <c r="I201" s="532"/>
      <c r="J201" s="528" t="s">
        <v>117</v>
      </c>
    </row>
    <row r="202" spans="1:10" s="45" customFormat="1" ht="18.75" customHeight="1">
      <c r="B202" s="49"/>
      <c r="C202" s="752"/>
      <c r="D202" s="756"/>
      <c r="E202" s="530" t="s">
        <v>2405</v>
      </c>
      <c r="F202" s="530"/>
      <c r="G202" s="531"/>
      <c r="H202" s="532"/>
      <c r="I202" s="532"/>
      <c r="J202" s="721" t="s">
        <v>820</v>
      </c>
    </row>
    <row r="203" spans="1:10" s="45" customFormat="1" ht="18.75" customHeight="1">
      <c r="A203" t="s">
        <v>2406</v>
      </c>
      <c r="B203" s="49"/>
      <c r="C203" s="629" t="s">
        <v>2407</v>
      </c>
      <c r="D203" s="630" t="s">
        <v>2406</v>
      </c>
      <c r="E203" s="530" t="s">
        <v>2408</v>
      </c>
      <c r="F203" s="530"/>
      <c r="G203" s="531"/>
      <c r="H203" s="532" t="s">
        <v>2409</v>
      </c>
      <c r="I203" s="532"/>
      <c r="J203" s="528" t="s">
        <v>117</v>
      </c>
    </row>
    <row r="204" spans="1:10" s="45" customFormat="1" ht="24" customHeight="1">
      <c r="A204" t="s">
        <v>2410</v>
      </c>
      <c r="B204" s="49"/>
      <c r="C204" s="620"/>
      <c r="D204" s="631" t="s">
        <v>2410</v>
      </c>
      <c r="E204" s="530" t="s">
        <v>2411</v>
      </c>
      <c r="F204" s="530"/>
      <c r="G204" s="531"/>
      <c r="H204" s="532" t="s">
        <v>2412</v>
      </c>
      <c r="I204" s="532"/>
      <c r="J204" s="528" t="s">
        <v>117</v>
      </c>
    </row>
    <row r="205" spans="1:10" s="45" customFormat="1" ht="18.75" customHeight="1">
      <c r="A205" t="s">
        <v>2413</v>
      </c>
      <c r="B205" s="49"/>
      <c r="C205" s="620" t="s">
        <v>2414</v>
      </c>
      <c r="D205" s="631" t="s">
        <v>2413</v>
      </c>
      <c r="E205" s="530" t="s">
        <v>2415</v>
      </c>
      <c r="F205" s="530"/>
      <c r="G205" s="531"/>
      <c r="H205" s="532" t="s">
        <v>2416</v>
      </c>
      <c r="I205" s="532"/>
      <c r="J205" s="528" t="s">
        <v>117</v>
      </c>
    </row>
    <row r="206" spans="1:10" s="45" customFormat="1" ht="31.5" customHeight="1">
      <c r="A206" t="s">
        <v>2417</v>
      </c>
      <c r="B206" s="49"/>
      <c r="C206" s="620"/>
      <c r="D206" s="631" t="s">
        <v>2418</v>
      </c>
      <c r="E206" s="530" t="s">
        <v>2419</v>
      </c>
      <c r="F206" s="530"/>
      <c r="G206" s="531"/>
      <c r="H206" s="532"/>
      <c r="I206" s="532"/>
      <c r="J206" s="528" t="s">
        <v>117</v>
      </c>
    </row>
    <row r="207" spans="1:10" s="45" customFormat="1" ht="18.75" customHeight="1">
      <c r="A207" t="s">
        <v>2420</v>
      </c>
      <c r="B207" s="49"/>
      <c r="C207" s="620"/>
      <c r="D207" s="631" t="s">
        <v>2421</v>
      </c>
      <c r="E207" s="530" t="s">
        <v>2422</v>
      </c>
      <c r="F207" s="530"/>
      <c r="G207" s="531"/>
      <c r="H207" s="532"/>
      <c r="I207" s="532"/>
      <c r="J207" s="528" t="s">
        <v>117</v>
      </c>
    </row>
    <row r="208" spans="1:10" s="45" customFormat="1" ht="24" customHeight="1">
      <c r="A208" t="s">
        <v>2075</v>
      </c>
      <c r="B208" s="49"/>
      <c r="C208" s="620" t="s">
        <v>2423</v>
      </c>
      <c r="D208" s="631" t="s">
        <v>2075</v>
      </c>
      <c r="E208" s="530" t="s">
        <v>2424</v>
      </c>
      <c r="F208" s="530"/>
      <c r="G208" s="531"/>
      <c r="H208" s="532" t="s">
        <v>2425</v>
      </c>
      <c r="I208" s="532"/>
      <c r="J208" s="528" t="s">
        <v>117</v>
      </c>
    </row>
    <row r="209" spans="1:10" s="45" customFormat="1" ht="18.75" customHeight="1">
      <c r="A209" t="s">
        <v>2426</v>
      </c>
      <c r="B209" s="49"/>
      <c r="C209" s="385"/>
      <c r="D209" s="631" t="s">
        <v>2427</v>
      </c>
      <c r="E209" s="530" t="s">
        <v>2428</v>
      </c>
      <c r="F209" s="530"/>
      <c r="G209" s="531"/>
      <c r="H209" s="532"/>
      <c r="I209" s="532"/>
      <c r="J209" s="528" t="s">
        <v>117</v>
      </c>
    </row>
    <row r="210" spans="1:10" s="45" customFormat="1" ht="18.75" customHeight="1">
      <c r="A210" t="s">
        <v>2429</v>
      </c>
      <c r="B210" s="49"/>
      <c r="C210" s="385"/>
      <c r="D210" s="56" t="s">
        <v>2429</v>
      </c>
      <c r="E210" s="530" t="s">
        <v>2430</v>
      </c>
      <c r="F210" s="530"/>
      <c r="G210" s="531"/>
      <c r="H210" s="532"/>
      <c r="I210" s="532"/>
      <c r="J210" s="528" t="s">
        <v>117</v>
      </c>
    </row>
    <row r="211" spans="1:10" s="45" customFormat="1" ht="18.75" customHeight="1">
      <c r="A211" t="s">
        <v>2132</v>
      </c>
      <c r="B211" s="49"/>
      <c r="C211" s="385"/>
      <c r="D211" s="631" t="s">
        <v>2133</v>
      </c>
      <c r="E211" s="530" t="s">
        <v>2431</v>
      </c>
      <c r="F211" s="530"/>
      <c r="G211" s="531"/>
      <c r="H211" s="532"/>
      <c r="I211" s="532"/>
      <c r="J211" s="528" t="s">
        <v>117</v>
      </c>
    </row>
    <row r="212" spans="1:10" s="45" customFormat="1" ht="18.75" customHeight="1">
      <c r="A212" t="e">
        <f>- из сырья Прочих поставщиков</f>
        <v>#NAME?</v>
      </c>
      <c r="B212" s="49"/>
      <c r="C212" s="385"/>
      <c r="D212" s="631" t="s">
        <v>2202</v>
      </c>
      <c r="E212" s="530" t="s">
        <v>2432</v>
      </c>
      <c r="F212" s="530"/>
      <c r="G212" s="531"/>
      <c r="H212" s="532"/>
      <c r="I212" s="532"/>
      <c r="J212" s="528" t="s">
        <v>117</v>
      </c>
    </row>
    <row r="213" spans="1:10" s="45" customFormat="1" ht="18.75" customHeight="1">
      <c r="A213" t="s">
        <v>2293</v>
      </c>
      <c r="B213" s="49"/>
      <c r="C213" s="385"/>
      <c r="D213" s="56" t="s">
        <v>2433</v>
      </c>
      <c r="E213" s="530" t="s">
        <v>2434</v>
      </c>
      <c r="F213" s="530"/>
      <c r="G213" s="531"/>
      <c r="H213" s="532"/>
      <c r="I213" s="532"/>
      <c r="J213" s="528" t="s">
        <v>117</v>
      </c>
    </row>
    <row r="214" spans="1:10" s="45" customFormat="1" ht="18.75" customHeight="1">
      <c r="A214" t="s">
        <v>2254</v>
      </c>
      <c r="B214" s="49"/>
      <c r="C214" s="620" t="s">
        <v>2435</v>
      </c>
      <c r="D214" s="631" t="s">
        <v>2254</v>
      </c>
      <c r="E214" s="530" t="s">
        <v>2436</v>
      </c>
      <c r="F214" s="530"/>
      <c r="G214" s="531"/>
      <c r="H214" s="532"/>
      <c r="I214" s="532"/>
      <c r="J214" s="528" t="s">
        <v>117</v>
      </c>
    </row>
    <row r="215" spans="1:10" s="45" customFormat="1" ht="18.75" customHeight="1">
      <c r="A215" t="s">
        <v>2067</v>
      </c>
      <c r="B215" s="49"/>
      <c r="C215" s="620" t="s">
        <v>2437</v>
      </c>
      <c r="D215" s="631" t="s">
        <v>2067</v>
      </c>
      <c r="E215" s="530" t="s">
        <v>2438</v>
      </c>
      <c r="F215" s="530"/>
      <c r="G215" s="531"/>
      <c r="H215" s="532"/>
      <c r="I215" s="532"/>
      <c r="J215" s="528" t="s">
        <v>117</v>
      </c>
    </row>
    <row r="216" spans="1:10" s="45" customFormat="1" ht="18.75" customHeight="1">
      <c r="A216" t="s">
        <v>2439</v>
      </c>
      <c r="B216" s="49"/>
      <c r="C216" s="539" t="s">
        <v>2440</v>
      </c>
      <c r="D216" s="633" t="s">
        <v>2439</v>
      </c>
      <c r="E216" s="530" t="s">
        <v>2441</v>
      </c>
      <c r="F216" s="530"/>
      <c r="G216" s="531"/>
      <c r="H216" s="532" t="s">
        <v>2442</v>
      </c>
      <c r="I216" s="532"/>
      <c r="J216" s="528" t="s">
        <v>117</v>
      </c>
    </row>
    <row r="217" spans="1:10" s="45" customFormat="1" ht="24" customHeight="1">
      <c r="A217" t="s">
        <v>2413</v>
      </c>
      <c r="B217" s="49"/>
      <c r="C217" s="620" t="s">
        <v>2443</v>
      </c>
      <c r="D217" s="631" t="s">
        <v>2160</v>
      </c>
      <c r="E217" s="530" t="s">
        <v>2442</v>
      </c>
      <c r="F217" s="530"/>
      <c r="G217" s="531"/>
      <c r="H217" s="532" t="s">
        <v>2444</v>
      </c>
      <c r="I217" s="532"/>
      <c r="J217" s="528" t="s">
        <v>117</v>
      </c>
    </row>
    <row r="218" spans="1:10" s="45" customFormat="1" ht="18.75" customHeight="1">
      <c r="A218" t="s">
        <v>2164</v>
      </c>
      <c r="B218" s="49"/>
      <c r="C218" s="385"/>
      <c r="D218" s="631" t="s">
        <v>2165</v>
      </c>
      <c r="E218" s="530" t="s">
        <v>2445</v>
      </c>
      <c r="F218" s="530"/>
      <c r="G218" s="531"/>
      <c r="H218" s="532" t="s">
        <v>2446</v>
      </c>
      <c r="I218" s="532"/>
      <c r="J218" s="528" t="s">
        <v>117</v>
      </c>
    </row>
    <row r="219" spans="1:10" s="45" customFormat="1" ht="18.75" customHeight="1">
      <c r="A219" t="s">
        <v>2088</v>
      </c>
      <c r="B219" s="49"/>
      <c r="C219" s="385"/>
      <c r="D219" s="631" t="s">
        <v>2089</v>
      </c>
      <c r="E219" s="530" t="s">
        <v>2447</v>
      </c>
      <c r="F219" s="530"/>
      <c r="G219" s="531"/>
      <c r="H219" s="532" t="s">
        <v>2448</v>
      </c>
      <c r="I219" s="532"/>
      <c r="J219" s="528" t="s">
        <v>117</v>
      </c>
    </row>
    <row r="220" spans="1:10" s="45" customFormat="1" ht="18.75" customHeight="1">
      <c r="A220" t="e">
        <f>- из сырья Прочих поставщиков</f>
        <v>#NAME?</v>
      </c>
      <c r="B220" s="49"/>
      <c r="C220" s="385"/>
      <c r="D220" s="622" t="s">
        <v>2449</v>
      </c>
      <c r="E220" s="530" t="s">
        <v>2450</v>
      </c>
      <c r="F220" s="530"/>
      <c r="G220" s="531"/>
      <c r="H220" s="532" t="s">
        <v>2451</v>
      </c>
      <c r="I220" s="532"/>
      <c r="J220" s="528" t="s">
        <v>117</v>
      </c>
    </row>
    <row r="221" spans="1:10" s="45" customFormat="1" ht="18.75" customHeight="1">
      <c r="A221" t="s">
        <v>2112</v>
      </c>
      <c r="B221" s="49"/>
      <c r="C221" s="385"/>
      <c r="D221" s="622" t="s">
        <v>2296</v>
      </c>
      <c r="E221" s="530" t="s">
        <v>2452</v>
      </c>
      <c r="F221" s="530"/>
      <c r="G221" s="531"/>
      <c r="H221" s="532"/>
      <c r="I221" s="532"/>
      <c r="J221" s="528" t="s">
        <v>117</v>
      </c>
    </row>
    <row r="222" spans="1:10" s="45" customFormat="1" ht="18.75" customHeight="1">
      <c r="A222" t="s">
        <v>804</v>
      </c>
      <c r="B222" s="49"/>
      <c r="C222" s="385"/>
      <c r="D222" s="52" t="s">
        <v>804</v>
      </c>
      <c r="E222" s="530"/>
      <c r="F222" s="530"/>
      <c r="G222" s="531"/>
      <c r="H222" s="532"/>
      <c r="I222" s="532"/>
      <c r="J222" s="528"/>
    </row>
    <row r="223" spans="1:10" s="45" customFormat="1" ht="18.75" customHeight="1">
      <c r="A223" t="s">
        <v>2453</v>
      </c>
      <c r="B223" s="49"/>
      <c r="C223" s="538"/>
      <c r="D223" s="52" t="s">
        <v>2454</v>
      </c>
      <c r="E223" s="530" t="s">
        <v>2455</v>
      </c>
      <c r="F223" s="530"/>
      <c r="G223" s="531"/>
      <c r="H223" s="532" t="s">
        <v>2456</v>
      </c>
      <c r="I223" s="532"/>
      <c r="J223" s="55" t="s">
        <v>117</v>
      </c>
    </row>
    <row r="224" spans="1:10" s="45" customFormat="1" ht="24" customHeight="1">
      <c r="A224" t="s">
        <v>2075</v>
      </c>
      <c r="B224" s="49"/>
      <c r="C224" s="618"/>
      <c r="D224" s="628" t="s">
        <v>2075</v>
      </c>
      <c r="E224" s="530" t="s">
        <v>2456</v>
      </c>
      <c r="F224" s="530"/>
      <c r="G224" s="531"/>
      <c r="H224" s="532" t="s">
        <v>2457</v>
      </c>
      <c r="I224" s="532"/>
      <c r="J224" s="53" t="s">
        <v>117</v>
      </c>
    </row>
    <row r="225" spans="1:10" s="45" customFormat="1" ht="18.75" customHeight="1">
      <c r="A225" t="s">
        <v>2164</v>
      </c>
      <c r="B225" s="49"/>
      <c r="C225" s="618"/>
      <c r="D225" s="628" t="s">
        <v>2165</v>
      </c>
      <c r="E225" s="530" t="s">
        <v>2458</v>
      </c>
      <c r="F225" s="530"/>
      <c r="G225" s="531"/>
      <c r="H225" s="532"/>
      <c r="I225" s="532"/>
      <c r="J225" s="53" t="s">
        <v>117</v>
      </c>
    </row>
    <row r="226" spans="1:10" s="45" customFormat="1" ht="18.75" customHeight="1">
      <c r="A226" t="s">
        <v>2088</v>
      </c>
      <c r="B226" s="49"/>
      <c r="C226" s="618"/>
      <c r="D226" s="628" t="s">
        <v>2089</v>
      </c>
      <c r="E226" s="530" t="s">
        <v>2459</v>
      </c>
      <c r="F226" s="530"/>
      <c r="G226" s="531"/>
      <c r="H226" s="532"/>
      <c r="I226" s="532"/>
      <c r="J226" s="53" t="s">
        <v>117</v>
      </c>
    </row>
    <row r="227" spans="1:10" s="45" customFormat="1" ht="18.75" customHeight="1">
      <c r="A227" t="e">
        <f>- из сырья Прочих поставщиков</f>
        <v>#NAME?</v>
      </c>
      <c r="B227" s="49"/>
      <c r="C227" s="618"/>
      <c r="D227" s="625" t="s">
        <v>2460</v>
      </c>
      <c r="E227" s="530" t="s">
        <v>2461</v>
      </c>
      <c r="F227" s="530"/>
      <c r="G227" s="531"/>
      <c r="H227" s="532"/>
      <c r="I227" s="532"/>
      <c r="J227" s="53" t="s">
        <v>117</v>
      </c>
    </row>
    <row r="228" spans="1:10" s="45" customFormat="1" ht="18.75" customHeight="1">
      <c r="A228" t="s">
        <v>2462</v>
      </c>
      <c r="B228" s="49"/>
      <c r="C228" s="538"/>
      <c r="D228" s="632" t="s">
        <v>2463</v>
      </c>
      <c r="E228" s="530" t="s">
        <v>2464</v>
      </c>
      <c r="F228" s="530"/>
      <c r="G228" s="531"/>
      <c r="H228" s="532" t="s">
        <v>2465</v>
      </c>
      <c r="I228" s="532"/>
      <c r="J228" s="55" t="s">
        <v>117</v>
      </c>
    </row>
    <row r="229" spans="1:10" s="45" customFormat="1" ht="24" customHeight="1">
      <c r="A229" t="s">
        <v>2160</v>
      </c>
      <c r="B229" s="49"/>
      <c r="C229" s="618"/>
      <c r="D229" s="628" t="s">
        <v>2160</v>
      </c>
      <c r="E229" s="530" t="s">
        <v>2465</v>
      </c>
      <c r="F229" s="530"/>
      <c r="G229" s="531"/>
      <c r="H229" s="532" t="s">
        <v>2466</v>
      </c>
      <c r="I229" s="532"/>
      <c r="J229" s="53" t="s">
        <v>117</v>
      </c>
    </row>
    <row r="230" spans="1:10" s="45" customFormat="1" ht="18.75" customHeight="1">
      <c r="A230" t="s">
        <v>2081</v>
      </c>
      <c r="B230" s="49"/>
      <c r="C230" s="618"/>
      <c r="D230" s="628" t="s">
        <v>2082</v>
      </c>
      <c r="E230" s="530" t="s">
        <v>2467</v>
      </c>
      <c r="F230" s="530"/>
      <c r="G230" s="531"/>
      <c r="H230" s="532"/>
      <c r="I230" s="532"/>
      <c r="J230" s="53" t="s">
        <v>117</v>
      </c>
    </row>
    <row r="231" spans="1:10" s="45" customFormat="1" ht="18.75" customHeight="1">
      <c r="A231" t="s">
        <v>2088</v>
      </c>
      <c r="B231" s="49"/>
      <c r="C231" s="618"/>
      <c r="D231" s="628" t="s">
        <v>2089</v>
      </c>
      <c r="E231" s="530" t="s">
        <v>2468</v>
      </c>
      <c r="F231" s="530"/>
      <c r="G231" s="531"/>
      <c r="H231" s="532"/>
      <c r="I231" s="532"/>
      <c r="J231" s="53" t="s">
        <v>117</v>
      </c>
    </row>
    <row r="232" spans="1:10" s="45" customFormat="1" ht="18.75" customHeight="1">
      <c r="A232" t="e">
        <f>- из сырья Прочих поставщиков</f>
        <v>#NAME?</v>
      </c>
      <c r="B232" s="49"/>
      <c r="C232" s="618"/>
      <c r="D232" s="625" t="s">
        <v>2449</v>
      </c>
      <c r="E232" s="530" t="s">
        <v>2469</v>
      </c>
      <c r="F232" s="530"/>
      <c r="G232" s="531"/>
      <c r="H232" s="532"/>
      <c r="I232" s="532"/>
      <c r="J232" s="53" t="s">
        <v>117</v>
      </c>
    </row>
    <row r="233" spans="1:10" s="45" customFormat="1" ht="24" customHeight="1">
      <c r="A233" t="s">
        <v>2470</v>
      </c>
      <c r="B233" s="49"/>
      <c r="C233" s="539" t="s">
        <v>2471</v>
      </c>
      <c r="D233" s="630" t="s">
        <v>2470</v>
      </c>
      <c r="E233" s="530" t="s">
        <v>2472</v>
      </c>
      <c r="F233" s="530"/>
      <c r="G233" s="531"/>
      <c r="H233" s="532" t="s">
        <v>2473</v>
      </c>
      <c r="I233" s="532"/>
      <c r="J233" s="528" t="s">
        <v>117</v>
      </c>
    </row>
    <row r="234" spans="1:10" s="45" customFormat="1" ht="24" customHeight="1">
      <c r="A234" t="s">
        <v>2056</v>
      </c>
      <c r="B234" s="49"/>
      <c r="C234" s="385"/>
      <c r="D234" s="631" t="s">
        <v>2056</v>
      </c>
      <c r="E234" s="530" t="s">
        <v>2474</v>
      </c>
      <c r="F234" s="530"/>
      <c r="G234" s="531"/>
      <c r="H234" s="532" t="s">
        <v>2475</v>
      </c>
      <c r="I234" s="532"/>
      <c r="J234" s="528" t="s">
        <v>117</v>
      </c>
    </row>
    <row r="235" spans="1:10" s="45" customFormat="1" ht="24" customHeight="1">
      <c r="A235" t="s">
        <v>2160</v>
      </c>
      <c r="B235" s="49"/>
      <c r="C235" s="385" t="s">
        <v>2476</v>
      </c>
      <c r="D235" s="631" t="s">
        <v>2413</v>
      </c>
      <c r="E235" s="530" t="s">
        <v>2477</v>
      </c>
      <c r="F235" s="530"/>
      <c r="G235" s="531"/>
      <c r="H235" s="532" t="s">
        <v>2478</v>
      </c>
      <c r="I235" s="532"/>
      <c r="J235" s="528" t="s">
        <v>117</v>
      </c>
    </row>
    <row r="236" spans="1:10" s="45" customFormat="1" ht="31.5" customHeight="1">
      <c r="A236" t="s">
        <v>2479</v>
      </c>
      <c r="B236" s="49"/>
      <c r="C236" s="385"/>
      <c r="D236" s="631" t="s">
        <v>2480</v>
      </c>
      <c r="E236" s="530" t="s">
        <v>2481</v>
      </c>
      <c r="F236" s="530"/>
      <c r="G236" s="531"/>
      <c r="H236" s="532" t="s">
        <v>2482</v>
      </c>
      <c r="I236" s="532"/>
      <c r="J236" s="528" t="s">
        <v>117</v>
      </c>
    </row>
    <row r="237" spans="1:10" s="45" customFormat="1" ht="18.75" customHeight="1">
      <c r="A237" t="s">
        <v>2483</v>
      </c>
      <c r="B237" s="49"/>
      <c r="C237" s="385"/>
      <c r="D237" s="628" t="s">
        <v>2483</v>
      </c>
      <c r="E237" s="530" t="s">
        <v>2484</v>
      </c>
      <c r="F237" s="530"/>
      <c r="G237" s="531"/>
      <c r="H237" s="532"/>
      <c r="I237" s="532"/>
      <c r="J237" s="528" t="s">
        <v>117</v>
      </c>
    </row>
    <row r="238" spans="1:10" s="45" customFormat="1" ht="18.75" customHeight="1">
      <c r="A238" t="s">
        <v>2485</v>
      </c>
      <c r="B238" s="49"/>
      <c r="C238" s="385"/>
      <c r="D238" s="628" t="s">
        <v>2485</v>
      </c>
      <c r="E238" s="530" t="s">
        <v>2486</v>
      </c>
      <c r="F238" s="530"/>
      <c r="G238" s="531"/>
      <c r="H238" s="532"/>
      <c r="I238" s="532"/>
      <c r="J238" s="528" t="s">
        <v>117</v>
      </c>
    </row>
    <row r="239" spans="1:10" s="45" customFormat="1" ht="18.75" customHeight="1">
      <c r="A239" t="s">
        <v>2487</v>
      </c>
      <c r="B239" s="49"/>
      <c r="C239" s="385"/>
      <c r="D239" s="631" t="s">
        <v>2488</v>
      </c>
      <c r="E239" s="530" t="s">
        <v>2489</v>
      </c>
      <c r="F239" s="530"/>
      <c r="G239" s="531"/>
      <c r="H239" s="532" t="s">
        <v>2490</v>
      </c>
      <c r="I239" s="532"/>
      <c r="J239" s="528" t="s">
        <v>117</v>
      </c>
    </row>
    <row r="240" spans="1:10" s="45" customFormat="1" ht="18.75" customHeight="1">
      <c r="A240" t="s">
        <v>2483</v>
      </c>
      <c r="B240" s="49"/>
      <c r="C240" s="385"/>
      <c r="D240" s="628" t="s">
        <v>2483</v>
      </c>
      <c r="E240" s="530" t="s">
        <v>2491</v>
      </c>
      <c r="F240" s="530"/>
      <c r="G240" s="531"/>
      <c r="H240" s="532"/>
      <c r="I240" s="532"/>
      <c r="J240" s="528" t="s">
        <v>117</v>
      </c>
    </row>
    <row r="241" spans="1:10" s="45" customFormat="1" ht="18.75" customHeight="1">
      <c r="A241" t="s">
        <v>2485</v>
      </c>
      <c r="B241" s="49"/>
      <c r="C241" s="385"/>
      <c r="D241" s="628" t="s">
        <v>2485</v>
      </c>
      <c r="E241" s="530" t="s">
        <v>2492</v>
      </c>
      <c r="F241" s="530"/>
      <c r="G241" s="531"/>
      <c r="H241" s="532"/>
      <c r="I241" s="532"/>
      <c r="J241" s="528" t="s">
        <v>117</v>
      </c>
    </row>
    <row r="242" spans="1:10" s="45" customFormat="1" ht="18.75" customHeight="1">
      <c r="A242" t="s">
        <v>2493</v>
      </c>
      <c r="B242" s="49"/>
      <c r="C242" s="385"/>
      <c r="D242" s="631" t="s">
        <v>2494</v>
      </c>
      <c r="E242" s="530" t="s">
        <v>2495</v>
      </c>
      <c r="F242" s="530"/>
      <c r="G242" s="531"/>
      <c r="H242" s="532" t="s">
        <v>2496</v>
      </c>
      <c r="I242" s="532"/>
      <c r="J242" s="528" t="s">
        <v>117</v>
      </c>
    </row>
    <row r="243" spans="1:10" s="45" customFormat="1" ht="18.75" customHeight="1">
      <c r="A243" t="s">
        <v>2483</v>
      </c>
      <c r="B243" s="49"/>
      <c r="C243" s="385"/>
      <c r="D243" s="628" t="s">
        <v>2483</v>
      </c>
      <c r="E243" s="530" t="s">
        <v>2497</v>
      </c>
      <c r="F243" s="530"/>
      <c r="G243" s="531"/>
      <c r="H243" s="532"/>
      <c r="I243" s="532"/>
      <c r="J243" s="528" t="s">
        <v>117</v>
      </c>
    </row>
    <row r="244" spans="1:10" s="45" customFormat="1" ht="18.75" customHeight="1">
      <c r="A244" t="s">
        <v>2485</v>
      </c>
      <c r="B244" s="49"/>
      <c r="C244" s="385"/>
      <c r="D244" s="628" t="s">
        <v>2485</v>
      </c>
      <c r="E244" s="530" t="s">
        <v>2498</v>
      </c>
      <c r="F244" s="530"/>
      <c r="G244" s="531"/>
      <c r="H244" s="532"/>
      <c r="I244" s="532"/>
      <c r="J244" s="528" t="s">
        <v>117</v>
      </c>
    </row>
    <row r="245" spans="1:10" s="45" customFormat="1" ht="31.5" customHeight="1">
      <c r="A245" t="s">
        <v>2499</v>
      </c>
      <c r="B245" s="49"/>
      <c r="C245" s="385"/>
      <c r="D245" s="631" t="s">
        <v>2500</v>
      </c>
      <c r="E245" s="530" t="s">
        <v>2501</v>
      </c>
      <c r="F245" s="530"/>
      <c r="G245" s="531"/>
      <c r="H245" s="532"/>
      <c r="I245" s="532"/>
      <c r="J245" s="528" t="s">
        <v>117</v>
      </c>
    </row>
    <row r="246" spans="1:10" s="45" customFormat="1" ht="31.5" customHeight="1">
      <c r="A246" t="s">
        <v>2502</v>
      </c>
      <c r="B246" s="49"/>
      <c r="C246" s="385" t="s">
        <v>2503</v>
      </c>
      <c r="D246" s="631" t="s">
        <v>2502</v>
      </c>
      <c r="E246" s="530" t="s">
        <v>2504</v>
      </c>
      <c r="F246" s="530"/>
      <c r="G246" s="531"/>
      <c r="H246" s="532" t="s">
        <v>2505</v>
      </c>
      <c r="I246" s="532"/>
      <c r="J246" s="528" t="s">
        <v>117</v>
      </c>
    </row>
    <row r="247" spans="1:10" s="45" customFormat="1" ht="18.75" customHeight="1">
      <c r="A247" t="s">
        <v>2426</v>
      </c>
      <c r="B247" s="49"/>
      <c r="C247" s="385"/>
      <c r="D247" s="631" t="s">
        <v>2427</v>
      </c>
      <c r="E247" s="530" t="s">
        <v>2506</v>
      </c>
      <c r="F247" s="530"/>
      <c r="G247" s="531"/>
      <c r="H247" s="532"/>
      <c r="I247" s="532"/>
      <c r="J247" s="528" t="s">
        <v>117</v>
      </c>
    </row>
    <row r="248" spans="1:10" s="45" customFormat="1" ht="31.5" customHeight="1">
      <c r="A248" t="s">
        <v>2507</v>
      </c>
      <c r="B248" s="49"/>
      <c r="C248" s="385"/>
      <c r="D248" s="57" t="s">
        <v>2507</v>
      </c>
      <c r="E248" s="530" t="s">
        <v>2508</v>
      </c>
      <c r="F248" s="530"/>
      <c r="G248" s="531"/>
      <c r="H248" s="532"/>
      <c r="I248" s="532"/>
      <c r="J248" s="528" t="s">
        <v>117</v>
      </c>
    </row>
    <row r="249" spans="1:10" s="45" customFormat="1" ht="18.75" customHeight="1">
      <c r="A249" t="s">
        <v>2132</v>
      </c>
      <c r="B249" s="49"/>
      <c r="C249" s="385"/>
      <c r="D249" s="631" t="s">
        <v>2509</v>
      </c>
      <c r="E249" s="530" t="s">
        <v>2510</v>
      </c>
      <c r="F249" s="530"/>
      <c r="G249" s="531"/>
      <c r="H249" s="532"/>
      <c r="I249" s="532"/>
      <c r="J249" s="528" t="s">
        <v>117</v>
      </c>
    </row>
    <row r="250" spans="1:10" s="45" customFormat="1" ht="18.75" customHeight="1">
      <c r="A250" t="e">
        <f>- из сырья Прочих поставщиков</f>
        <v>#NAME?</v>
      </c>
      <c r="B250" s="49"/>
      <c r="C250" s="385"/>
      <c r="D250" s="631" t="s">
        <v>2511</v>
      </c>
      <c r="E250" s="530" t="s">
        <v>2512</v>
      </c>
      <c r="F250" s="530"/>
      <c r="G250" s="531"/>
      <c r="H250" s="532"/>
      <c r="I250" s="532"/>
      <c r="J250" s="528" t="s">
        <v>117</v>
      </c>
    </row>
    <row r="251" spans="1:10" s="45" customFormat="1" ht="18.75" customHeight="1">
      <c r="A251" t="s">
        <v>2400</v>
      </c>
      <c r="B251" s="49"/>
      <c r="C251" s="385"/>
      <c r="D251" s="56" t="s">
        <v>2513</v>
      </c>
      <c r="E251" s="530" t="s">
        <v>2514</v>
      </c>
      <c r="F251" s="530"/>
      <c r="G251" s="531"/>
      <c r="H251" s="532"/>
      <c r="I251" s="532"/>
      <c r="J251" s="528" t="s">
        <v>117</v>
      </c>
    </row>
    <row r="252" spans="1:10" s="45" customFormat="1" ht="31.5" customHeight="1">
      <c r="A252" t="s">
        <v>2515</v>
      </c>
      <c r="B252" s="49"/>
      <c r="C252" s="385" t="s">
        <v>2516</v>
      </c>
      <c r="D252" s="631" t="s">
        <v>2515</v>
      </c>
      <c r="E252" s="530" t="s">
        <v>2517</v>
      </c>
      <c r="F252" s="530"/>
      <c r="G252" s="531"/>
      <c r="H252" s="532"/>
      <c r="I252" s="532"/>
      <c r="J252" s="528" t="s">
        <v>117</v>
      </c>
    </row>
    <row r="253" spans="1:10" s="45" customFormat="1" ht="18.75" customHeight="1">
      <c r="A253" t="s">
        <v>2518</v>
      </c>
      <c r="B253" s="49"/>
      <c r="C253" s="385" t="s">
        <v>2519</v>
      </c>
      <c r="D253" s="631" t="s">
        <v>2518</v>
      </c>
      <c r="E253" s="530" t="s">
        <v>2520</v>
      </c>
      <c r="F253" s="530"/>
      <c r="G253" s="531"/>
      <c r="H253" s="532" t="s">
        <v>2521</v>
      </c>
      <c r="I253" s="532"/>
      <c r="J253" s="528" t="s">
        <v>117</v>
      </c>
    </row>
    <row r="254" spans="1:10" s="45" customFormat="1" ht="18.75" customHeight="1">
      <c r="A254" t="s">
        <v>2483</v>
      </c>
      <c r="B254" s="49"/>
      <c r="C254" s="385"/>
      <c r="D254" s="628" t="s">
        <v>2483</v>
      </c>
      <c r="E254" s="530" t="s">
        <v>2522</v>
      </c>
      <c r="F254" s="530"/>
      <c r="G254" s="531"/>
      <c r="H254" s="532"/>
      <c r="I254" s="532"/>
      <c r="J254" s="528" t="s">
        <v>117</v>
      </c>
    </row>
    <row r="255" spans="1:10" s="45" customFormat="1" ht="18.75" customHeight="1">
      <c r="A255" t="s">
        <v>2485</v>
      </c>
      <c r="B255" s="49"/>
      <c r="C255" s="385"/>
      <c r="D255" s="628" t="s">
        <v>2485</v>
      </c>
      <c r="E255" s="530" t="s">
        <v>2523</v>
      </c>
      <c r="F255" s="530"/>
      <c r="G255" s="531"/>
      <c r="H255" s="532"/>
      <c r="I255" s="532"/>
      <c r="J255" s="528" t="s">
        <v>117</v>
      </c>
    </row>
    <row r="256" spans="1:10" s="45" customFormat="1" ht="31.5" customHeight="1">
      <c r="A256" t="s">
        <v>2524</v>
      </c>
      <c r="B256" s="49"/>
      <c r="C256" s="539" t="s">
        <v>2525</v>
      </c>
      <c r="D256" s="58" t="s">
        <v>2524</v>
      </c>
      <c r="E256" s="530" t="s">
        <v>2526</v>
      </c>
      <c r="F256" s="530"/>
      <c r="G256" s="531"/>
      <c r="H256" s="532" t="s">
        <v>2527</v>
      </c>
      <c r="I256" s="532"/>
      <c r="J256" s="528" t="s">
        <v>117</v>
      </c>
    </row>
    <row r="257" spans="1:10" s="45" customFormat="1" ht="24" customHeight="1">
      <c r="A257" t="s">
        <v>2160</v>
      </c>
      <c r="B257" s="49"/>
      <c r="C257" s="385" t="s">
        <v>2528</v>
      </c>
      <c r="D257" s="631" t="s">
        <v>2160</v>
      </c>
      <c r="E257" s="530" t="s">
        <v>2529</v>
      </c>
      <c r="F257" s="530"/>
      <c r="G257" s="531"/>
      <c r="H257" s="532" t="s">
        <v>2530</v>
      </c>
      <c r="I257" s="532"/>
      <c r="J257" s="528" t="s">
        <v>117</v>
      </c>
    </row>
    <row r="258" spans="1:10" s="45" customFormat="1" ht="18.75" customHeight="1">
      <c r="A258" t="s">
        <v>2426</v>
      </c>
      <c r="B258" s="49"/>
      <c r="C258" s="385"/>
      <c r="D258" s="631" t="s">
        <v>2427</v>
      </c>
      <c r="E258" s="530" t="s">
        <v>2531</v>
      </c>
      <c r="F258" s="530"/>
      <c r="G258" s="531"/>
      <c r="H258" s="532"/>
      <c r="I258" s="532"/>
      <c r="J258" s="528" t="s">
        <v>117</v>
      </c>
    </row>
    <row r="259" spans="1:10" s="45" customFormat="1" ht="18.75" customHeight="1">
      <c r="A259" t="s">
        <v>2132</v>
      </c>
      <c r="B259" s="49"/>
      <c r="C259" s="385"/>
      <c r="D259" s="631" t="s">
        <v>2133</v>
      </c>
      <c r="E259" s="530" t="s">
        <v>2532</v>
      </c>
      <c r="F259" s="530"/>
      <c r="G259" s="531"/>
      <c r="H259" s="532"/>
      <c r="I259" s="532"/>
      <c r="J259" s="528" t="s">
        <v>117</v>
      </c>
    </row>
    <row r="260" spans="1:10" s="45" customFormat="1" ht="18.75" customHeight="1">
      <c r="A260" t="e">
        <f>- из газа Прочих поставщиков</f>
        <v>#NAME?</v>
      </c>
      <c r="B260" s="49"/>
      <c r="C260" s="385"/>
      <c r="D260" s="622" t="s">
        <v>2533</v>
      </c>
      <c r="E260" s="530" t="s">
        <v>2534</v>
      </c>
      <c r="F260" s="530"/>
      <c r="G260" s="531"/>
      <c r="H260" s="532"/>
      <c r="I260" s="532"/>
      <c r="J260" s="528" t="s">
        <v>117</v>
      </c>
    </row>
    <row r="261" spans="1:10" s="45" customFormat="1" ht="18.75" customHeight="1">
      <c r="A261" t="s">
        <v>2067</v>
      </c>
      <c r="B261" s="49"/>
      <c r="C261" s="385" t="s">
        <v>2535</v>
      </c>
      <c r="D261" s="631" t="s">
        <v>2067</v>
      </c>
      <c r="E261" s="530" t="s">
        <v>2536</v>
      </c>
      <c r="F261" s="530"/>
      <c r="G261" s="531"/>
      <c r="H261" s="532"/>
      <c r="I261" s="532"/>
      <c r="J261" s="528" t="s">
        <v>117</v>
      </c>
    </row>
    <row r="262" spans="1:10" s="45" customFormat="1" ht="18.75" customHeight="1">
      <c r="A262" t="s">
        <v>2537</v>
      </c>
      <c r="B262" s="49"/>
      <c r="C262" s="539" t="s">
        <v>2538</v>
      </c>
      <c r="D262" s="630" t="s">
        <v>2537</v>
      </c>
      <c r="E262" s="530" t="s">
        <v>2539</v>
      </c>
      <c r="F262" s="530"/>
      <c r="G262" s="531"/>
      <c r="H262" s="532" t="s">
        <v>2540</v>
      </c>
      <c r="I262" s="532"/>
      <c r="J262" s="528" t="s">
        <v>117</v>
      </c>
    </row>
    <row r="263" spans="1:10" s="45" customFormat="1" ht="18.75" customHeight="1">
      <c r="A263" t="s">
        <v>2075</v>
      </c>
      <c r="B263" s="49"/>
      <c r="C263" s="385"/>
      <c r="D263" s="59" t="s">
        <v>2541</v>
      </c>
      <c r="E263" s="530" t="s">
        <v>2542</v>
      </c>
      <c r="F263" s="530"/>
      <c r="G263" s="531"/>
      <c r="H263" s="532" t="s">
        <v>2543</v>
      </c>
      <c r="I263" s="532"/>
      <c r="J263" s="528" t="s">
        <v>693</v>
      </c>
    </row>
    <row r="264" spans="1:10" s="45" customFormat="1" ht="18.75" customHeight="1">
      <c r="A264" t="s">
        <v>2164</v>
      </c>
      <c r="B264" s="49"/>
      <c r="C264" s="385"/>
      <c r="D264" s="631" t="s">
        <v>2165</v>
      </c>
      <c r="E264" s="530" t="s">
        <v>2543</v>
      </c>
      <c r="F264" s="530"/>
      <c r="G264" s="531"/>
      <c r="H264" s="532"/>
      <c r="I264" s="532"/>
      <c r="J264" s="528" t="s">
        <v>693</v>
      </c>
    </row>
    <row r="265" spans="1:10" s="45" customFormat="1" ht="18.75" customHeight="1">
      <c r="A265" t="s">
        <v>2544</v>
      </c>
      <c r="B265" s="49"/>
      <c r="C265" s="539" t="s">
        <v>2545</v>
      </c>
      <c r="D265" s="60" t="s">
        <v>2546</v>
      </c>
      <c r="E265" s="530" t="s">
        <v>2547</v>
      </c>
      <c r="F265" s="530"/>
      <c r="G265" s="531"/>
      <c r="H265" s="532" t="s">
        <v>2548</v>
      </c>
      <c r="I265" s="532"/>
      <c r="J265" s="528" t="s">
        <v>117</v>
      </c>
    </row>
    <row r="266" spans="1:10" s="45" customFormat="1" ht="24" customHeight="1">
      <c r="A266" t="s">
        <v>2075</v>
      </c>
      <c r="B266" s="49"/>
      <c r="C266" s="385" t="s">
        <v>2549</v>
      </c>
      <c r="D266" s="631" t="s">
        <v>2075</v>
      </c>
      <c r="E266" s="530" t="s">
        <v>2550</v>
      </c>
      <c r="F266" s="530"/>
      <c r="G266" s="531"/>
      <c r="H266" s="532" t="s">
        <v>2551</v>
      </c>
      <c r="I266" s="532"/>
      <c r="J266" s="528" t="s">
        <v>117</v>
      </c>
    </row>
    <row r="267" spans="1:10" s="45" customFormat="1" ht="18.75" customHeight="1">
      <c r="A267" t="s">
        <v>2426</v>
      </c>
      <c r="B267" s="49"/>
      <c r="C267" s="385"/>
      <c r="D267" s="631" t="s">
        <v>2427</v>
      </c>
      <c r="E267" s="530" t="s">
        <v>2552</v>
      </c>
      <c r="F267" s="530"/>
      <c r="G267" s="531"/>
      <c r="H267" s="532"/>
      <c r="I267" s="532"/>
      <c r="J267" s="528" t="s">
        <v>117</v>
      </c>
    </row>
    <row r="268" spans="1:10" s="45" customFormat="1" ht="18.75" customHeight="1">
      <c r="A268" t="s">
        <v>2132</v>
      </c>
      <c r="B268" s="49"/>
      <c r="C268" s="385"/>
      <c r="D268" s="631" t="s">
        <v>2133</v>
      </c>
      <c r="E268" s="530" t="s">
        <v>2553</v>
      </c>
      <c r="F268" s="530"/>
      <c r="G268" s="531"/>
      <c r="H268" s="532"/>
      <c r="I268" s="532"/>
      <c r="J268" s="528" t="s">
        <v>117</v>
      </c>
    </row>
    <row r="269" spans="1:10" s="45" customFormat="1" ht="18.75" customHeight="1">
      <c r="A269" t="e">
        <f>- из газа Прочих поставщиков</f>
        <v>#NAME?</v>
      </c>
      <c r="B269" s="49"/>
      <c r="C269" s="385"/>
      <c r="D269" s="622" t="s">
        <v>2533</v>
      </c>
      <c r="E269" s="530" t="s">
        <v>2554</v>
      </c>
      <c r="F269" s="530"/>
      <c r="G269" s="531"/>
      <c r="H269" s="532"/>
      <c r="I269" s="532"/>
      <c r="J269" s="528" t="s">
        <v>117</v>
      </c>
    </row>
    <row r="270" spans="1:10" s="45" customFormat="1" ht="18.75" customHeight="1">
      <c r="A270" t="s">
        <v>2067</v>
      </c>
      <c r="B270" s="49"/>
      <c r="C270" s="385" t="s">
        <v>2555</v>
      </c>
      <c r="D270" s="631" t="s">
        <v>2067</v>
      </c>
      <c r="E270" s="530" t="s">
        <v>2556</v>
      </c>
      <c r="F270" s="530"/>
      <c r="G270" s="531"/>
      <c r="H270" s="532"/>
      <c r="I270" s="532"/>
      <c r="J270" s="528" t="s">
        <v>117</v>
      </c>
    </row>
    <row r="271" spans="1:10" s="45" customFormat="1" ht="18.75" customHeight="1">
      <c r="A271" t="s">
        <v>2557</v>
      </c>
      <c r="B271" s="49"/>
      <c r="C271" s="539" t="s">
        <v>2558</v>
      </c>
      <c r="D271" s="797" t="s">
        <v>2557</v>
      </c>
      <c r="E271" s="530" t="s">
        <v>2559</v>
      </c>
      <c r="F271" s="530"/>
      <c r="G271" s="531"/>
      <c r="H271" s="532" t="s">
        <v>2560</v>
      </c>
      <c r="I271" s="532"/>
      <c r="J271" s="721" t="s">
        <v>2561</v>
      </c>
    </row>
    <row r="272" spans="1:10" s="45" customFormat="1" ht="18.75" customHeight="1">
      <c r="B272" s="49"/>
      <c r="C272" s="539"/>
      <c r="D272" s="756"/>
      <c r="E272" s="530" t="s">
        <v>2562</v>
      </c>
      <c r="F272" s="530"/>
      <c r="G272" s="531"/>
      <c r="H272" s="532" t="s">
        <v>2563</v>
      </c>
      <c r="I272" s="532"/>
      <c r="J272" s="528" t="s">
        <v>693</v>
      </c>
    </row>
    <row r="273" spans="1:10" s="45" customFormat="1" ht="18.75" customHeight="1">
      <c r="A273" t="s">
        <v>2075</v>
      </c>
      <c r="B273" s="49"/>
      <c r="C273" s="385"/>
      <c r="D273" s="631" t="s">
        <v>2075</v>
      </c>
      <c r="E273" s="530" t="s">
        <v>2564</v>
      </c>
      <c r="F273" s="530"/>
      <c r="G273" s="531"/>
      <c r="H273" s="532"/>
      <c r="I273" s="532"/>
      <c r="J273" s="528" t="s">
        <v>693</v>
      </c>
    </row>
    <row r="274" spans="1:10" s="45" customFormat="1" ht="18.75" customHeight="1">
      <c r="A274" t="s">
        <v>2164</v>
      </c>
      <c r="B274" s="49"/>
      <c r="C274" s="385"/>
      <c r="D274" s="631" t="s">
        <v>2165</v>
      </c>
      <c r="E274" s="530" t="s">
        <v>2565</v>
      </c>
      <c r="F274" s="530"/>
      <c r="G274" s="531"/>
      <c r="H274" s="532" t="s">
        <v>2560</v>
      </c>
      <c r="I274" s="532"/>
      <c r="J274" s="528" t="s">
        <v>2561</v>
      </c>
    </row>
    <row r="275" spans="1:10" s="45" customFormat="1" ht="18.75" customHeight="1">
      <c r="A275" t="s">
        <v>2566</v>
      </c>
      <c r="B275" s="49"/>
      <c r="C275" s="385"/>
      <c r="D275" s="631" t="s">
        <v>2566</v>
      </c>
      <c r="E275" s="530"/>
      <c r="F275" s="530"/>
      <c r="G275" s="531"/>
      <c r="H275" s="532"/>
      <c r="I275" s="532"/>
      <c r="J275" s="528"/>
    </row>
    <row r="276" spans="1:10" s="45" customFormat="1" ht="18.75" customHeight="1">
      <c r="A276" t="s">
        <v>2567</v>
      </c>
      <c r="B276" s="49"/>
      <c r="C276" s="385"/>
      <c r="D276" s="529" t="s">
        <v>2567</v>
      </c>
      <c r="E276" s="530" t="s">
        <v>2568</v>
      </c>
      <c r="F276" s="530"/>
      <c r="G276" s="531"/>
      <c r="H276" s="532"/>
      <c r="I276" s="532"/>
      <c r="J276" s="721" t="s">
        <v>2561</v>
      </c>
    </row>
    <row r="277" spans="1:10" s="45" customFormat="1" ht="18.75" customHeight="1">
      <c r="B277" s="49"/>
      <c r="C277" s="385"/>
      <c r="D277" s="529" t="s">
        <v>2567</v>
      </c>
      <c r="E277" s="530" t="s">
        <v>2569</v>
      </c>
      <c r="F277" s="530"/>
      <c r="G277" s="531"/>
      <c r="H277" s="532"/>
      <c r="I277" s="532"/>
      <c r="J277" s="528" t="s">
        <v>693</v>
      </c>
    </row>
    <row r="278" spans="1:10" s="45" customFormat="1" ht="31.5" customHeight="1">
      <c r="A278" t="s">
        <v>2507</v>
      </c>
      <c r="B278" s="49"/>
      <c r="C278" s="385"/>
      <c r="D278" s="61" t="s">
        <v>2507</v>
      </c>
      <c r="E278" s="530" t="s">
        <v>2570</v>
      </c>
      <c r="F278" s="530"/>
      <c r="G278" s="531"/>
      <c r="H278" s="532"/>
      <c r="I278" s="532"/>
      <c r="J278" s="721" t="s">
        <v>2561</v>
      </c>
    </row>
    <row r="279" spans="1:10" s="45" customFormat="1" ht="18.75" customHeight="1">
      <c r="A279" t="s">
        <v>2571</v>
      </c>
      <c r="B279" s="49"/>
      <c r="C279" s="385"/>
      <c r="D279" s="803" t="s">
        <v>2571</v>
      </c>
      <c r="E279" s="530" t="s">
        <v>2572</v>
      </c>
      <c r="F279" s="530"/>
      <c r="G279" s="531"/>
      <c r="H279" s="532"/>
      <c r="I279" s="532"/>
      <c r="J279" s="721" t="s">
        <v>2561</v>
      </c>
    </row>
    <row r="280" spans="1:10" s="45" customFormat="1" ht="18.75" customHeight="1">
      <c r="B280" s="49"/>
      <c r="C280" s="385"/>
      <c r="D280" s="756"/>
      <c r="E280" s="530" t="s">
        <v>2573</v>
      </c>
      <c r="F280" s="530"/>
      <c r="G280" s="531"/>
      <c r="H280" s="532"/>
      <c r="I280" s="532"/>
      <c r="J280" s="528" t="s">
        <v>693</v>
      </c>
    </row>
    <row r="281" spans="1:10" s="45" customFormat="1" ht="31.5" customHeight="1">
      <c r="A281" t="s">
        <v>2574</v>
      </c>
      <c r="B281" s="49"/>
      <c r="C281" s="539" t="s">
        <v>2575</v>
      </c>
      <c r="D281" s="633" t="s">
        <v>2574</v>
      </c>
      <c r="E281" s="530" t="s">
        <v>2576</v>
      </c>
      <c r="F281" s="530"/>
      <c r="G281" s="531"/>
      <c r="H281" s="532" t="s">
        <v>2577</v>
      </c>
      <c r="I281" s="532"/>
      <c r="J281" s="528" t="s">
        <v>117</v>
      </c>
    </row>
    <row r="282" spans="1:10" s="45" customFormat="1" ht="18.75" customHeight="1">
      <c r="A282" t="s">
        <v>2056</v>
      </c>
      <c r="B282" s="49"/>
      <c r="C282" s="385"/>
      <c r="D282" s="631" t="s">
        <v>2056</v>
      </c>
      <c r="E282" s="530" t="s">
        <v>2578</v>
      </c>
      <c r="F282" s="530"/>
      <c r="G282" s="531"/>
      <c r="H282" s="532" t="s">
        <v>2579</v>
      </c>
      <c r="I282" s="532"/>
      <c r="J282" s="528" t="s">
        <v>117</v>
      </c>
    </row>
    <row r="283" spans="1:10" s="45" customFormat="1" ht="24" customHeight="1">
      <c r="A283" t="s">
        <v>2160</v>
      </c>
      <c r="B283" s="49"/>
      <c r="C283" s="385" t="s">
        <v>2580</v>
      </c>
      <c r="D283" s="631" t="s">
        <v>2160</v>
      </c>
      <c r="E283" s="530" t="s">
        <v>2581</v>
      </c>
      <c r="F283" s="530"/>
      <c r="G283" s="531"/>
      <c r="H283" s="532" t="s">
        <v>2582</v>
      </c>
      <c r="I283" s="532"/>
      <c r="J283" s="528" t="s">
        <v>117</v>
      </c>
    </row>
    <row r="284" spans="1:10" s="45" customFormat="1" ht="18.75" customHeight="1">
      <c r="A284" t="s">
        <v>2164</v>
      </c>
      <c r="B284" s="49"/>
      <c r="C284" s="385"/>
      <c r="D284" s="631" t="s">
        <v>2165</v>
      </c>
      <c r="E284" s="530" t="s">
        <v>2583</v>
      </c>
      <c r="F284" s="530"/>
      <c r="G284" s="531"/>
      <c r="H284" s="532" t="s">
        <v>2584</v>
      </c>
      <c r="I284" s="532"/>
      <c r="J284" s="528" t="s">
        <v>117</v>
      </c>
    </row>
    <row r="285" spans="1:10" s="45" customFormat="1" ht="18.75" customHeight="1">
      <c r="A285" t="s">
        <v>2088</v>
      </c>
      <c r="B285" s="49"/>
      <c r="C285" s="385"/>
      <c r="D285" s="631" t="s">
        <v>2089</v>
      </c>
      <c r="E285" s="530" t="s">
        <v>2585</v>
      </c>
      <c r="F285" s="530"/>
      <c r="G285" s="531"/>
      <c r="H285" s="532" t="s">
        <v>2586</v>
      </c>
      <c r="I285" s="532"/>
      <c r="J285" s="528" t="s">
        <v>117</v>
      </c>
    </row>
    <row r="286" spans="1:10" s="45" customFormat="1" ht="18.75" customHeight="1">
      <c r="A286" t="e">
        <f>- из сырья Прочих поставщиков</f>
        <v>#NAME?</v>
      </c>
      <c r="B286" s="49"/>
      <c r="C286" s="385"/>
      <c r="D286" s="622" t="s">
        <v>2587</v>
      </c>
      <c r="E286" s="530" t="s">
        <v>2588</v>
      </c>
      <c r="F286" s="530"/>
      <c r="G286" s="531"/>
      <c r="H286" s="532" t="s">
        <v>2589</v>
      </c>
      <c r="I286" s="532"/>
      <c r="J286" s="528" t="s">
        <v>117</v>
      </c>
    </row>
    <row r="287" spans="1:10" s="45" customFormat="1" ht="18.75" customHeight="1">
      <c r="A287" t="s">
        <v>2254</v>
      </c>
      <c r="B287" s="49"/>
      <c r="C287" s="385" t="s">
        <v>2590</v>
      </c>
      <c r="D287" s="631" t="s">
        <v>2254</v>
      </c>
      <c r="E287" s="530" t="s">
        <v>2591</v>
      </c>
      <c r="F287" s="530"/>
      <c r="G287" s="531"/>
      <c r="H287" s="532" t="s">
        <v>2592</v>
      </c>
      <c r="I287" s="532"/>
      <c r="J287" s="528" t="s">
        <v>117</v>
      </c>
    </row>
    <row r="288" spans="1:10" s="45" customFormat="1" ht="18.75" customHeight="1">
      <c r="A288" t="s">
        <v>2067</v>
      </c>
      <c r="B288" s="49"/>
      <c r="C288" s="385" t="s">
        <v>2593</v>
      </c>
      <c r="D288" s="631" t="s">
        <v>2067</v>
      </c>
      <c r="E288" s="530" t="s">
        <v>2594</v>
      </c>
      <c r="F288" s="530"/>
      <c r="G288" s="531"/>
      <c r="H288" s="532" t="s">
        <v>2595</v>
      </c>
      <c r="I288" s="532"/>
      <c r="J288" s="528" t="s">
        <v>117</v>
      </c>
    </row>
    <row r="289" spans="1:10" s="45" customFormat="1" ht="18.75" customHeight="1">
      <c r="A289" t="s">
        <v>804</v>
      </c>
      <c r="B289" s="49"/>
      <c r="C289" s="618"/>
      <c r="D289" s="632" t="s">
        <v>804</v>
      </c>
      <c r="E289" s="530"/>
      <c r="F289" s="530"/>
      <c r="G289" s="531"/>
      <c r="H289" s="532"/>
      <c r="I289" s="532"/>
      <c r="J289" s="53"/>
    </row>
    <row r="290" spans="1:10" s="45" customFormat="1" ht="18.75" customHeight="1">
      <c r="A290" t="s">
        <v>2596</v>
      </c>
      <c r="B290" s="49"/>
      <c r="C290" s="538"/>
      <c r="D290" s="627" t="s">
        <v>2596</v>
      </c>
      <c r="E290" s="530" t="s">
        <v>2597</v>
      </c>
      <c r="F290" s="530"/>
      <c r="G290" s="531"/>
      <c r="H290" s="532" t="s">
        <v>2598</v>
      </c>
      <c r="I290" s="532"/>
      <c r="J290" s="55" t="s">
        <v>117</v>
      </c>
    </row>
    <row r="291" spans="1:10" s="45" customFormat="1" ht="24" customHeight="1">
      <c r="A291" t="s">
        <v>2056</v>
      </c>
      <c r="B291" s="49"/>
      <c r="C291" s="618"/>
      <c r="D291" s="628" t="s">
        <v>2056</v>
      </c>
      <c r="E291" s="530" t="s">
        <v>2599</v>
      </c>
      <c r="F291" s="530"/>
      <c r="G291" s="531"/>
      <c r="H291" s="532" t="s">
        <v>2600</v>
      </c>
      <c r="I291" s="532"/>
      <c r="J291" s="53" t="s">
        <v>117</v>
      </c>
    </row>
    <row r="292" spans="1:10" s="45" customFormat="1" ht="24" customHeight="1">
      <c r="A292" t="s">
        <v>2160</v>
      </c>
      <c r="B292" s="49"/>
      <c r="C292" s="618"/>
      <c r="D292" s="628" t="s">
        <v>2160</v>
      </c>
      <c r="E292" s="530" t="s">
        <v>2601</v>
      </c>
      <c r="F292" s="530"/>
      <c r="G292" s="531"/>
      <c r="H292" s="532" t="s">
        <v>2602</v>
      </c>
      <c r="I292" s="532"/>
      <c r="J292" s="53" t="s">
        <v>117</v>
      </c>
    </row>
    <row r="293" spans="1:10" s="45" customFormat="1" ht="18.75" customHeight="1">
      <c r="A293" t="s">
        <v>2164</v>
      </c>
      <c r="B293" s="49"/>
      <c r="C293" s="618"/>
      <c r="D293" s="628" t="s">
        <v>2165</v>
      </c>
      <c r="E293" s="530" t="s">
        <v>2603</v>
      </c>
      <c r="F293" s="530"/>
      <c r="G293" s="531"/>
      <c r="H293" s="532"/>
      <c r="I293" s="532"/>
      <c r="J293" s="53" t="s">
        <v>117</v>
      </c>
    </row>
    <row r="294" spans="1:10" s="45" customFormat="1" ht="18.75" customHeight="1">
      <c r="A294" t="s">
        <v>2088</v>
      </c>
      <c r="B294" s="49"/>
      <c r="C294" s="618"/>
      <c r="D294" s="628" t="s">
        <v>2089</v>
      </c>
      <c r="E294" s="530" t="s">
        <v>2604</v>
      </c>
      <c r="F294" s="530"/>
      <c r="G294" s="531"/>
      <c r="H294" s="532"/>
      <c r="I294" s="532"/>
      <c r="J294" s="53" t="s">
        <v>117</v>
      </c>
    </row>
    <row r="295" spans="1:10" s="45" customFormat="1" ht="18.75" customHeight="1">
      <c r="A295" t="e">
        <f>- из сырья Прочих поставщиков</f>
        <v>#NAME?</v>
      </c>
      <c r="B295" s="49"/>
      <c r="C295" s="618"/>
      <c r="D295" s="624" t="s">
        <v>2605</v>
      </c>
      <c r="E295" s="530" t="s">
        <v>2606</v>
      </c>
      <c r="F295" s="530"/>
      <c r="G295" s="531"/>
      <c r="H295" s="532"/>
      <c r="I295" s="532"/>
      <c r="J295" s="53" t="s">
        <v>117</v>
      </c>
    </row>
    <row r="296" spans="1:10" s="45" customFormat="1" ht="24" customHeight="1">
      <c r="A296" t="s">
        <v>2075</v>
      </c>
      <c r="B296" s="49"/>
      <c r="C296" s="618"/>
      <c r="D296" s="628" t="s">
        <v>2075</v>
      </c>
      <c r="E296" s="530" t="s">
        <v>2607</v>
      </c>
      <c r="F296" s="530"/>
      <c r="G296" s="531"/>
      <c r="H296" s="532" t="s">
        <v>2608</v>
      </c>
      <c r="I296" s="532"/>
      <c r="J296" s="53" t="s">
        <v>117</v>
      </c>
    </row>
    <row r="297" spans="1:10" s="45" customFormat="1" ht="18.75" customHeight="1">
      <c r="A297" t="s">
        <v>2426</v>
      </c>
      <c r="B297" s="49"/>
      <c r="C297" s="618"/>
      <c r="D297" s="628" t="s">
        <v>2427</v>
      </c>
      <c r="E297" s="530" t="s">
        <v>2609</v>
      </c>
      <c r="F297" s="530"/>
      <c r="G297" s="531"/>
      <c r="H297" s="532"/>
      <c r="I297" s="532"/>
      <c r="J297" s="53" t="s">
        <v>117</v>
      </c>
    </row>
    <row r="298" spans="1:10" s="45" customFormat="1" ht="31.5" customHeight="1">
      <c r="A298" t="s">
        <v>2610</v>
      </c>
      <c r="B298" s="49"/>
      <c r="C298" s="618"/>
      <c r="D298" s="61" t="s">
        <v>2610</v>
      </c>
      <c r="E298" s="530" t="s">
        <v>2611</v>
      </c>
      <c r="F298" s="530"/>
      <c r="G298" s="531"/>
      <c r="H298" s="532"/>
      <c r="I298" s="532"/>
      <c r="J298" s="53" t="s">
        <v>117</v>
      </c>
    </row>
    <row r="299" spans="1:10" s="45" customFormat="1" ht="31.5" customHeight="1">
      <c r="A299" t="s">
        <v>2612</v>
      </c>
      <c r="B299" s="49"/>
      <c r="C299" s="618"/>
      <c r="D299" s="61" t="s">
        <v>2612</v>
      </c>
      <c r="E299" s="530" t="s">
        <v>2613</v>
      </c>
      <c r="F299" s="530"/>
      <c r="G299" s="531"/>
      <c r="H299" s="532"/>
      <c r="I299" s="532"/>
      <c r="J299" s="53" t="s">
        <v>117</v>
      </c>
    </row>
    <row r="300" spans="1:10" s="45" customFormat="1" ht="18.75" customHeight="1">
      <c r="A300" t="s">
        <v>2132</v>
      </c>
      <c r="B300" s="49"/>
      <c r="C300" s="618"/>
      <c r="D300" s="628" t="s">
        <v>2133</v>
      </c>
      <c r="E300" s="530" t="s">
        <v>2614</v>
      </c>
      <c r="F300" s="530"/>
      <c r="G300" s="531"/>
      <c r="H300" s="532"/>
      <c r="I300" s="532"/>
      <c r="J300" s="53" t="s">
        <v>117</v>
      </c>
    </row>
    <row r="301" spans="1:10" s="45" customFormat="1" ht="18.75" customHeight="1">
      <c r="A301" t="e">
        <f>- из сырья Прочих поставщиков</f>
        <v>#NAME?</v>
      </c>
      <c r="B301" s="49"/>
      <c r="C301" s="618"/>
      <c r="D301" s="628" t="s">
        <v>2397</v>
      </c>
      <c r="E301" s="530" t="s">
        <v>2615</v>
      </c>
      <c r="F301" s="530"/>
      <c r="G301" s="531"/>
      <c r="H301" s="532"/>
      <c r="I301" s="532"/>
      <c r="J301" s="53" t="s">
        <v>117</v>
      </c>
    </row>
    <row r="302" spans="1:10" s="45" customFormat="1" ht="31.5" customHeight="1">
      <c r="A302" t="s">
        <v>2616</v>
      </c>
      <c r="B302" s="49"/>
      <c r="C302" s="618"/>
      <c r="D302" s="61" t="s">
        <v>2617</v>
      </c>
      <c r="E302" s="530" t="s">
        <v>2618</v>
      </c>
      <c r="F302" s="530"/>
      <c r="G302" s="531"/>
      <c r="H302" s="532"/>
      <c r="I302" s="532"/>
      <c r="J302" s="53" t="s">
        <v>117</v>
      </c>
    </row>
    <row r="303" spans="1:10" s="45" customFormat="1" ht="18.75" customHeight="1">
      <c r="A303" t="s">
        <v>2254</v>
      </c>
      <c r="B303" s="49"/>
      <c r="C303" s="618"/>
      <c r="D303" s="628" t="s">
        <v>2254</v>
      </c>
      <c r="E303" s="530" t="s">
        <v>2592</v>
      </c>
      <c r="F303" s="530"/>
      <c r="G303" s="531"/>
      <c r="H303" s="532"/>
      <c r="I303" s="532"/>
      <c r="J303" s="53" t="s">
        <v>117</v>
      </c>
    </row>
    <row r="304" spans="1:10" s="45" customFormat="1" ht="18.75" customHeight="1">
      <c r="A304" t="s">
        <v>2067</v>
      </c>
      <c r="B304" s="49"/>
      <c r="C304" s="541"/>
      <c r="D304" s="542" t="s">
        <v>2067</v>
      </c>
      <c r="E304" s="530" t="s">
        <v>2595</v>
      </c>
      <c r="F304" s="530"/>
      <c r="G304" s="531"/>
      <c r="H304" s="532"/>
      <c r="I304" s="532"/>
      <c r="J304" s="555" t="s">
        <v>117</v>
      </c>
    </row>
    <row r="305" spans="1:10" s="45" customFormat="1" ht="32.25" customHeight="1">
      <c r="A305" t="s">
        <v>2022</v>
      </c>
      <c r="B305" s="49"/>
      <c r="C305" s="543"/>
      <c r="D305" s="544" t="s">
        <v>2022</v>
      </c>
      <c r="E305" s="530" t="s">
        <v>2023</v>
      </c>
      <c r="F305" s="530"/>
      <c r="G305" s="531"/>
      <c r="H305" s="532" t="s">
        <v>2619</v>
      </c>
      <c r="I305" s="532"/>
      <c r="J305" s="556" t="s">
        <v>117</v>
      </c>
    </row>
    <row r="306" spans="1:10" s="45" customFormat="1" ht="18.75" customHeight="1">
      <c r="A306" t="s">
        <v>1223</v>
      </c>
      <c r="B306" s="49"/>
      <c r="C306" s="545"/>
      <c r="D306" s="631" t="s">
        <v>1223</v>
      </c>
      <c r="E306" s="530" t="s">
        <v>2620</v>
      </c>
      <c r="F306" s="530"/>
      <c r="G306" s="531"/>
      <c r="H306" s="532"/>
      <c r="I306" s="532"/>
      <c r="J306" s="528" t="s">
        <v>117</v>
      </c>
    </row>
    <row r="307" spans="1:10" s="45" customFormat="1" ht="18.75" customHeight="1">
      <c r="A307" t="s">
        <v>1553</v>
      </c>
      <c r="B307" s="49"/>
      <c r="C307" s="545"/>
      <c r="D307" s="631" t="s">
        <v>1553</v>
      </c>
      <c r="E307" s="530" t="s">
        <v>2621</v>
      </c>
      <c r="F307" s="530"/>
      <c r="G307" s="531"/>
      <c r="H307" s="532"/>
      <c r="I307" s="532"/>
      <c r="J307" s="528" t="s">
        <v>117</v>
      </c>
    </row>
    <row r="308" spans="1:10" s="45" customFormat="1" ht="18.75" customHeight="1">
      <c r="A308" t="s">
        <v>2622</v>
      </c>
      <c r="B308" s="49"/>
      <c r="C308" s="546" t="s">
        <v>97</v>
      </c>
      <c r="D308" s="619" t="s">
        <v>2623</v>
      </c>
      <c r="E308" s="530"/>
      <c r="F308" s="530"/>
      <c r="G308" s="531"/>
      <c r="H308" s="532"/>
      <c r="I308" s="532"/>
      <c r="J308" s="62" t="s">
        <v>2059</v>
      </c>
    </row>
    <row r="309" spans="1:10" s="45" customFormat="1" ht="24" customHeight="1">
      <c r="A309" t="s">
        <v>1223</v>
      </c>
      <c r="B309" s="49"/>
      <c r="C309" s="540"/>
      <c r="D309" s="631" t="s">
        <v>1223</v>
      </c>
      <c r="E309" s="530" t="s">
        <v>2624</v>
      </c>
      <c r="F309" s="530"/>
      <c r="G309" s="531"/>
      <c r="H309" s="532" t="s">
        <v>2625</v>
      </c>
      <c r="I309" s="532"/>
      <c r="J309" s="528" t="s">
        <v>2059</v>
      </c>
    </row>
    <row r="310" spans="1:10" s="45" customFormat="1" ht="24" customHeight="1">
      <c r="A310" t="s">
        <v>1553</v>
      </c>
      <c r="B310" s="49"/>
      <c r="C310" s="540"/>
      <c r="D310" s="631" t="s">
        <v>1553</v>
      </c>
      <c r="E310" s="530" t="s">
        <v>2626</v>
      </c>
      <c r="F310" s="530"/>
      <c r="G310" s="531"/>
      <c r="H310" s="532" t="s">
        <v>2627</v>
      </c>
      <c r="I310" s="532"/>
      <c r="J310" s="528" t="s">
        <v>2059</v>
      </c>
    </row>
    <row r="311" spans="1:10" s="45" customFormat="1" ht="24" customHeight="1">
      <c r="A311" t="s">
        <v>2064</v>
      </c>
      <c r="B311" s="49"/>
      <c r="C311" s="540"/>
      <c r="D311" s="631" t="s">
        <v>2064</v>
      </c>
      <c r="E311" s="530" t="s">
        <v>2628</v>
      </c>
      <c r="F311" s="530"/>
      <c r="G311" s="531"/>
      <c r="H311" s="532" t="s">
        <v>2629</v>
      </c>
      <c r="I311" s="532"/>
      <c r="J311" s="528" t="s">
        <v>2059</v>
      </c>
    </row>
    <row r="312" spans="1:10" s="45" customFormat="1" ht="24" customHeight="1">
      <c r="A312" t="s">
        <v>2067</v>
      </c>
      <c r="B312" s="49"/>
      <c r="C312" s="540"/>
      <c r="D312" s="631" t="s">
        <v>2067</v>
      </c>
      <c r="E312" s="530" t="s">
        <v>2630</v>
      </c>
      <c r="F312" s="530"/>
      <c r="G312" s="531"/>
      <c r="H312" s="532" t="s">
        <v>2631</v>
      </c>
      <c r="I312" s="532"/>
      <c r="J312" s="528" t="s">
        <v>2059</v>
      </c>
    </row>
    <row r="313" spans="1:10" ht="37.5" customHeight="1">
      <c r="A313" s="323"/>
      <c r="B313" s="63"/>
      <c r="C313" s="569">
        <v>5</v>
      </c>
      <c r="D313" s="547" t="s">
        <v>2038</v>
      </c>
      <c r="E313" s="530"/>
      <c r="F313" s="530"/>
      <c r="G313" s="531"/>
      <c r="H313" s="532"/>
      <c r="I313" s="532"/>
      <c r="J313" s="657" t="s">
        <v>100</v>
      </c>
    </row>
    <row r="314" spans="1:10" ht="19.5" customHeight="1">
      <c r="B314" s="63"/>
      <c r="C314" s="551">
        <v>6</v>
      </c>
      <c r="D314" s="548" t="s">
        <v>2041</v>
      </c>
      <c r="E314" s="530"/>
      <c r="F314" s="530"/>
      <c r="G314" s="531"/>
      <c r="H314" s="532"/>
      <c r="I314" s="532"/>
      <c r="J314" s="672"/>
    </row>
    <row r="315" spans="1:10" ht="19.5" customHeight="1">
      <c r="B315" s="63"/>
      <c r="C315" s="569"/>
      <c r="D315" s="549" t="s">
        <v>2632</v>
      </c>
      <c r="E315" s="530"/>
      <c r="F315" s="530"/>
      <c r="G315" s="531"/>
      <c r="H315" s="532"/>
      <c r="I315" s="532"/>
      <c r="J315" s="672"/>
    </row>
    <row r="316" spans="1:10" ht="37.5" customHeight="1">
      <c r="B316" s="63"/>
      <c r="C316" s="569"/>
      <c r="D316" s="550" t="s">
        <v>2633</v>
      </c>
      <c r="E316" s="530"/>
      <c r="F316" s="530"/>
      <c r="G316" s="531"/>
      <c r="H316" s="532"/>
      <c r="I316" s="532"/>
      <c r="J316" s="557" t="s">
        <v>820</v>
      </c>
    </row>
    <row r="317" spans="1:10" s="42" customFormat="1" ht="18.75" customHeight="1">
      <c r="A317" s="64"/>
      <c r="B317" s="64"/>
      <c r="C317" s="569"/>
      <c r="D317" s="550" t="s">
        <v>2634</v>
      </c>
      <c r="E317" s="530"/>
      <c r="F317" s="530"/>
      <c r="G317" s="531"/>
      <c r="H317" s="532"/>
      <c r="I317" s="532"/>
      <c r="J317" s="557" t="s">
        <v>820</v>
      </c>
    </row>
    <row r="318" spans="1:10" ht="18.75" customHeight="1">
      <c r="C318" s="569"/>
      <c r="D318" s="550" t="s">
        <v>2635</v>
      </c>
      <c r="E318" s="530"/>
      <c r="F318" s="530"/>
      <c r="G318" s="531"/>
      <c r="H318" s="532"/>
      <c r="I318" s="532"/>
      <c r="J318" s="557" t="s">
        <v>820</v>
      </c>
    </row>
    <row r="319" spans="1:10" ht="18.75" customHeight="1">
      <c r="C319" s="569"/>
      <c r="D319" s="550" t="s">
        <v>2636</v>
      </c>
      <c r="E319" s="530"/>
      <c r="F319" s="530"/>
      <c r="G319" s="531"/>
      <c r="H319" s="532"/>
      <c r="I319" s="532"/>
      <c r="J319" s="557" t="s">
        <v>820</v>
      </c>
    </row>
    <row r="320" spans="1:10" ht="18.75" customHeight="1">
      <c r="B320" s="47"/>
      <c r="C320" s="569"/>
      <c r="D320" s="550" t="s">
        <v>2064</v>
      </c>
      <c r="E320" s="530"/>
      <c r="F320" s="530"/>
      <c r="G320" s="531"/>
      <c r="H320" s="532"/>
      <c r="I320" s="532"/>
      <c r="J320" s="557" t="s">
        <v>820</v>
      </c>
    </row>
    <row r="321" spans="3:10" ht="39" customHeight="1">
      <c r="C321" s="569"/>
      <c r="D321" s="549" t="s">
        <v>2637</v>
      </c>
      <c r="E321" s="530"/>
      <c r="F321" s="530"/>
      <c r="G321" s="531"/>
      <c r="H321" s="532"/>
      <c r="I321" s="532"/>
      <c r="J321" s="672"/>
    </row>
    <row r="322" spans="3:10" ht="37.5" customHeight="1">
      <c r="C322" s="569"/>
      <c r="D322" s="550" t="s">
        <v>2633</v>
      </c>
      <c r="E322" s="530"/>
      <c r="F322" s="530"/>
      <c r="G322" s="531"/>
      <c r="H322" s="532"/>
      <c r="I322" s="532"/>
      <c r="J322" s="557" t="s">
        <v>814</v>
      </c>
    </row>
    <row r="323" spans="3:10" ht="18.75" customHeight="1">
      <c r="C323" s="569"/>
      <c r="D323" s="550" t="s">
        <v>2634</v>
      </c>
      <c r="E323" s="530"/>
      <c r="F323" s="530"/>
      <c r="G323" s="531"/>
      <c r="H323" s="532"/>
      <c r="I323" s="532"/>
      <c r="J323" s="557" t="s">
        <v>814</v>
      </c>
    </row>
    <row r="324" spans="3:10" ht="18.75" customHeight="1">
      <c r="C324" s="569"/>
      <c r="D324" s="550" t="s">
        <v>2636</v>
      </c>
      <c r="E324" s="530"/>
      <c r="F324" s="530"/>
      <c r="G324" s="531"/>
      <c r="H324" s="532"/>
      <c r="I324" s="532"/>
      <c r="J324" s="557" t="s">
        <v>814</v>
      </c>
    </row>
    <row r="325" spans="3:10" ht="19.5" customHeight="1">
      <c r="C325" s="569"/>
      <c r="D325" s="549" t="s">
        <v>2638</v>
      </c>
      <c r="E325" s="530"/>
      <c r="F325" s="530"/>
      <c r="G325" s="531"/>
      <c r="H325" s="532"/>
      <c r="I325" s="532"/>
      <c r="J325" s="672"/>
    </row>
    <row r="326" spans="3:10" ht="37.5" customHeight="1">
      <c r="C326" s="569"/>
      <c r="D326" s="550" t="s">
        <v>2633</v>
      </c>
      <c r="E326" s="530"/>
      <c r="F326" s="530"/>
      <c r="G326" s="531"/>
      <c r="H326" s="532"/>
      <c r="I326" s="532"/>
      <c r="J326" s="557" t="s">
        <v>814</v>
      </c>
    </row>
    <row r="327" spans="3:10" ht="37.5" customHeight="1">
      <c r="C327" s="569"/>
      <c r="D327" s="550" t="s">
        <v>2639</v>
      </c>
      <c r="E327" s="530"/>
      <c r="F327" s="530"/>
      <c r="G327" s="531"/>
      <c r="H327" s="532"/>
      <c r="I327" s="532"/>
      <c r="J327" s="557" t="s">
        <v>814</v>
      </c>
    </row>
    <row r="328" spans="3:10" ht="18.75" customHeight="1">
      <c r="C328" s="569"/>
      <c r="D328" s="550" t="s">
        <v>2635</v>
      </c>
      <c r="E328" s="530"/>
      <c r="F328" s="530"/>
      <c r="G328" s="531"/>
      <c r="H328" s="532"/>
      <c r="I328" s="532"/>
      <c r="J328" s="557" t="s">
        <v>814</v>
      </c>
    </row>
    <row r="329" spans="3:10" ht="18.75" customHeight="1">
      <c r="C329" s="569"/>
      <c r="D329" s="550" t="s">
        <v>2636</v>
      </c>
      <c r="E329" s="530"/>
      <c r="F329" s="530"/>
      <c r="G329" s="531"/>
      <c r="H329" s="532"/>
      <c r="I329" s="532"/>
      <c r="J329" s="557" t="s">
        <v>814</v>
      </c>
    </row>
    <row r="330" spans="3:10" ht="37.5" customHeight="1">
      <c r="C330" s="569"/>
      <c r="D330" s="550" t="s">
        <v>2640</v>
      </c>
      <c r="E330" s="530"/>
      <c r="F330" s="530"/>
      <c r="G330" s="531"/>
      <c r="H330" s="532"/>
      <c r="I330" s="532"/>
      <c r="J330" s="557" t="s">
        <v>814</v>
      </c>
    </row>
    <row r="331" spans="3:10" ht="18.75" customHeight="1">
      <c r="C331" s="569"/>
      <c r="D331" s="550" t="s">
        <v>2064</v>
      </c>
      <c r="E331" s="530"/>
      <c r="F331" s="530"/>
      <c r="G331" s="531"/>
      <c r="H331" s="532"/>
      <c r="I331" s="532"/>
      <c r="J331" s="557" t="s">
        <v>814</v>
      </c>
    </row>
    <row r="332" spans="3:10" ht="37.5" customHeight="1">
      <c r="C332" s="551">
        <v>7</v>
      </c>
      <c r="D332" s="548" t="s">
        <v>2641</v>
      </c>
      <c r="E332" s="530"/>
      <c r="F332" s="530"/>
      <c r="G332" s="531"/>
      <c r="H332" s="532"/>
      <c r="I332" s="532"/>
      <c r="J332" s="672"/>
    </row>
    <row r="333" spans="3:10" ht="19.5" customHeight="1">
      <c r="C333" s="569"/>
      <c r="D333" s="549" t="s">
        <v>2632</v>
      </c>
      <c r="E333" s="530"/>
      <c r="F333" s="530"/>
      <c r="G333" s="531"/>
      <c r="H333" s="532"/>
      <c r="I333" s="532"/>
      <c r="J333" s="672"/>
    </row>
    <row r="334" spans="3:10" ht="37.5" customHeight="1">
      <c r="C334" s="569"/>
      <c r="D334" s="550" t="s">
        <v>2633</v>
      </c>
      <c r="E334" s="530"/>
      <c r="F334" s="530" t="s">
        <v>2045</v>
      </c>
      <c r="G334" s="531"/>
      <c r="H334" s="532" t="s">
        <v>2642</v>
      </c>
      <c r="I334" s="532"/>
      <c r="J334" s="557" t="s">
        <v>820</v>
      </c>
    </row>
    <row r="335" spans="3:10" ht="18.75" customHeight="1">
      <c r="C335" s="569"/>
      <c r="D335" s="550" t="s">
        <v>2634</v>
      </c>
      <c r="E335" s="530"/>
      <c r="F335" s="530" t="s">
        <v>2045</v>
      </c>
      <c r="G335" s="531"/>
      <c r="H335" s="532" t="s">
        <v>2643</v>
      </c>
      <c r="I335" s="532"/>
      <c r="J335" s="557" t="s">
        <v>820</v>
      </c>
    </row>
    <row r="336" spans="3:10" ht="18.75" customHeight="1">
      <c r="C336" s="569"/>
      <c r="D336" s="550" t="s">
        <v>2635</v>
      </c>
      <c r="E336" s="530"/>
      <c r="F336" s="530" t="s">
        <v>2045</v>
      </c>
      <c r="G336" s="531"/>
      <c r="H336" s="532" t="s">
        <v>2644</v>
      </c>
      <c r="I336" s="532"/>
      <c r="J336" s="557" t="s">
        <v>820</v>
      </c>
    </row>
    <row r="337" spans="3:10" ht="18.75" customHeight="1">
      <c r="C337" s="569"/>
      <c r="D337" s="550" t="s">
        <v>2636</v>
      </c>
      <c r="E337" s="530"/>
      <c r="F337" s="530" t="s">
        <v>2045</v>
      </c>
      <c r="G337" s="531"/>
      <c r="H337" s="532" t="s">
        <v>2645</v>
      </c>
      <c r="I337" s="532"/>
      <c r="J337" s="557" t="s">
        <v>820</v>
      </c>
    </row>
    <row r="338" spans="3:10" ht="18.75" customHeight="1">
      <c r="C338" s="569"/>
      <c r="D338" s="550" t="s">
        <v>2064</v>
      </c>
      <c r="E338" s="530"/>
      <c r="F338" s="530" t="s">
        <v>2045</v>
      </c>
      <c r="G338" s="531"/>
      <c r="H338" s="532" t="s">
        <v>2646</v>
      </c>
      <c r="I338" s="532"/>
      <c r="J338" s="557" t="s">
        <v>820</v>
      </c>
    </row>
    <row r="339" spans="3:10" ht="18.75" customHeight="1">
      <c r="C339" s="569"/>
      <c r="D339" s="550" t="s">
        <v>2647</v>
      </c>
      <c r="E339" s="530"/>
      <c r="F339" s="530" t="s">
        <v>2045</v>
      </c>
      <c r="G339" s="531"/>
      <c r="H339" s="532" t="s">
        <v>2648</v>
      </c>
      <c r="I339" s="532"/>
      <c r="J339" s="557" t="s">
        <v>820</v>
      </c>
    </row>
    <row r="340" spans="3:10" ht="39" customHeight="1">
      <c r="C340" s="569"/>
      <c r="D340" s="549" t="s">
        <v>2637</v>
      </c>
      <c r="E340" s="530"/>
      <c r="F340" s="530"/>
      <c r="G340" s="531"/>
      <c r="H340" s="532"/>
      <c r="I340" s="532"/>
      <c r="J340" s="672"/>
    </row>
    <row r="341" spans="3:10" ht="37.5" customHeight="1">
      <c r="C341" s="569"/>
      <c r="D341" s="550" t="s">
        <v>2633</v>
      </c>
      <c r="E341" s="530"/>
      <c r="F341" s="530" t="s">
        <v>2045</v>
      </c>
      <c r="G341" s="531"/>
      <c r="H341" s="532" t="s">
        <v>2649</v>
      </c>
      <c r="I341" s="532"/>
      <c r="J341" s="557" t="s">
        <v>814</v>
      </c>
    </row>
    <row r="342" spans="3:10" ht="18.75" customHeight="1">
      <c r="C342" s="569"/>
      <c r="D342" s="550" t="s">
        <v>2634</v>
      </c>
      <c r="E342" s="530"/>
      <c r="F342" s="530" t="s">
        <v>2045</v>
      </c>
      <c r="G342" s="531"/>
      <c r="H342" s="532" t="s">
        <v>2650</v>
      </c>
      <c r="I342" s="532"/>
      <c r="J342" s="557" t="s">
        <v>814</v>
      </c>
    </row>
    <row r="343" spans="3:10" ht="18.75" customHeight="1">
      <c r="C343" s="569"/>
      <c r="D343" s="550" t="s">
        <v>2636</v>
      </c>
      <c r="E343" s="530"/>
      <c r="F343" s="530" t="s">
        <v>2045</v>
      </c>
      <c r="G343" s="531"/>
      <c r="H343" s="532" t="s">
        <v>2651</v>
      </c>
      <c r="I343" s="532"/>
      <c r="J343" s="557" t="s">
        <v>814</v>
      </c>
    </row>
    <row r="344" spans="3:10" ht="19.5" customHeight="1">
      <c r="C344" s="569"/>
      <c r="D344" s="549" t="s">
        <v>2638</v>
      </c>
      <c r="E344" s="530"/>
      <c r="F344" s="530"/>
      <c r="G344" s="531"/>
      <c r="H344" s="532"/>
      <c r="I344" s="532"/>
      <c r="J344" s="672"/>
    </row>
    <row r="345" spans="3:10" ht="37.5" customHeight="1">
      <c r="C345" s="569"/>
      <c r="D345" s="550" t="s">
        <v>2633</v>
      </c>
      <c r="E345" s="530"/>
      <c r="F345" s="530" t="s">
        <v>2045</v>
      </c>
      <c r="G345" s="531"/>
      <c r="H345" s="532" t="s">
        <v>2652</v>
      </c>
      <c r="I345" s="532"/>
      <c r="J345" s="557" t="s">
        <v>814</v>
      </c>
    </row>
    <row r="346" spans="3:10" ht="37.5" customHeight="1">
      <c r="C346" s="569"/>
      <c r="D346" s="550" t="s">
        <v>2639</v>
      </c>
      <c r="E346" s="530"/>
      <c r="F346" s="530" t="s">
        <v>2045</v>
      </c>
      <c r="G346" s="531"/>
      <c r="H346" s="532" t="s">
        <v>2653</v>
      </c>
      <c r="I346" s="532"/>
      <c r="J346" s="557" t="s">
        <v>814</v>
      </c>
    </row>
    <row r="347" spans="3:10" ht="18.75" customHeight="1">
      <c r="C347" s="569"/>
      <c r="D347" s="550" t="s">
        <v>2635</v>
      </c>
      <c r="E347" s="530"/>
      <c r="F347" s="530" t="s">
        <v>2045</v>
      </c>
      <c r="G347" s="531"/>
      <c r="H347" s="532" t="s">
        <v>2654</v>
      </c>
      <c r="I347" s="532"/>
      <c r="J347" s="557" t="s">
        <v>814</v>
      </c>
    </row>
    <row r="348" spans="3:10" ht="18.75" customHeight="1">
      <c r="C348" s="569"/>
      <c r="D348" s="550" t="s">
        <v>2636</v>
      </c>
      <c r="E348" s="530"/>
      <c r="F348" s="530" t="s">
        <v>2045</v>
      </c>
      <c r="G348" s="531"/>
      <c r="H348" s="532" t="s">
        <v>2655</v>
      </c>
      <c r="I348" s="532"/>
      <c r="J348" s="557" t="s">
        <v>814</v>
      </c>
    </row>
    <row r="349" spans="3:10" ht="37.5" customHeight="1">
      <c r="C349" s="569"/>
      <c r="D349" s="550" t="s">
        <v>2640</v>
      </c>
      <c r="E349" s="530"/>
      <c r="F349" s="530" t="s">
        <v>2045</v>
      </c>
      <c r="G349" s="531"/>
      <c r="H349" s="532" t="s">
        <v>2656</v>
      </c>
      <c r="I349" s="532"/>
      <c r="J349" s="557" t="s">
        <v>814</v>
      </c>
    </row>
    <row r="350" spans="3:10" ht="18.75" customHeight="1">
      <c r="C350" s="569"/>
      <c r="D350" s="550" t="s">
        <v>2064</v>
      </c>
      <c r="E350" s="530"/>
      <c r="F350" s="530" t="s">
        <v>2045</v>
      </c>
      <c r="G350" s="531"/>
      <c r="H350" s="532" t="s">
        <v>2657</v>
      </c>
      <c r="I350" s="532"/>
      <c r="J350" s="557" t="s">
        <v>814</v>
      </c>
    </row>
    <row r="351" spans="3:10" ht="18.75" customHeight="1">
      <c r="C351" s="551">
        <v>8</v>
      </c>
      <c r="D351" s="548" t="s">
        <v>804</v>
      </c>
      <c r="E351" s="530"/>
      <c r="F351" s="530"/>
      <c r="G351" s="531"/>
      <c r="H351" s="532"/>
      <c r="I351" s="532"/>
      <c r="J351" s="657"/>
    </row>
    <row r="352" spans="3:10" ht="18.75" customHeight="1">
      <c r="C352" s="551"/>
      <c r="D352" s="550" t="s">
        <v>2658</v>
      </c>
      <c r="E352" s="530"/>
      <c r="F352" s="530" t="s">
        <v>2045</v>
      </c>
      <c r="G352" s="531"/>
      <c r="H352" s="532" t="s">
        <v>2659</v>
      </c>
      <c r="I352" s="532"/>
      <c r="J352" s="557" t="s">
        <v>814</v>
      </c>
    </row>
    <row r="353" spans="3:10" ht="18.75" customHeight="1">
      <c r="C353" s="551"/>
      <c r="D353" s="550"/>
      <c r="E353" s="530"/>
      <c r="F353" s="530" t="s">
        <v>2045</v>
      </c>
      <c r="G353" s="531"/>
      <c r="H353" s="532" t="s">
        <v>2660</v>
      </c>
      <c r="I353" s="532"/>
      <c r="J353" s="557" t="s">
        <v>820</v>
      </c>
    </row>
    <row r="354" spans="3:10" ht="19.5" customHeight="1">
      <c r="C354" s="552"/>
      <c r="D354" s="550" t="s">
        <v>2661</v>
      </c>
      <c r="E354" s="530"/>
      <c r="F354" s="530" t="s">
        <v>2045</v>
      </c>
      <c r="G354" s="531"/>
      <c r="H354" s="532" t="s">
        <v>2662</v>
      </c>
      <c r="I354" s="532"/>
      <c r="J354" s="557" t="s">
        <v>814</v>
      </c>
    </row>
    <row r="355" spans="3:10" ht="19.5" customHeight="1">
      <c r="C355" s="553"/>
      <c r="D355" s="554" t="s">
        <v>2663</v>
      </c>
      <c r="E355" s="530"/>
      <c r="F355" s="530" t="s">
        <v>2045</v>
      </c>
      <c r="G355" s="531"/>
      <c r="H355" s="532" t="s">
        <v>2664</v>
      </c>
      <c r="I355" s="532"/>
      <c r="J355" s="558" t="s">
        <v>814</v>
      </c>
    </row>
  </sheetData>
  <mergeCells count="123">
    <mergeCell ref="B6:B8"/>
    <mergeCell ref="D199:D200"/>
    <mergeCell ref="C3:J3"/>
    <mergeCell ref="D109:D110"/>
    <mergeCell ref="D183:D184"/>
    <mergeCell ref="D111:D112"/>
    <mergeCell ref="C26:C27"/>
    <mergeCell ref="D120:D121"/>
    <mergeCell ref="D185:D186"/>
    <mergeCell ref="C124:C125"/>
    <mergeCell ref="C118:C119"/>
    <mergeCell ref="C75:C76"/>
    <mergeCell ref="D175:D176"/>
    <mergeCell ref="D122:D123"/>
    <mergeCell ref="C99:C100"/>
    <mergeCell ref="H7:H8"/>
    <mergeCell ref="C6:C8"/>
    <mergeCell ref="D24:D25"/>
    <mergeCell ref="D146:D147"/>
    <mergeCell ref="C150:C151"/>
    <mergeCell ref="D161:D162"/>
    <mergeCell ref="D148:D149"/>
    <mergeCell ref="D138:D139"/>
    <mergeCell ref="D132:D133"/>
    <mergeCell ref="J6:J8"/>
    <mergeCell ref="C181:C182"/>
    <mergeCell ref="D191:D192"/>
    <mergeCell ref="D30:D31"/>
    <mergeCell ref="D79:D80"/>
    <mergeCell ref="D144:D145"/>
    <mergeCell ref="D159:D160"/>
    <mergeCell ref="D26:D27"/>
    <mergeCell ref="C126:C127"/>
    <mergeCell ref="C83:C84"/>
    <mergeCell ref="C18:C19"/>
    <mergeCell ref="D81:D82"/>
    <mergeCell ref="C101:C102"/>
    <mergeCell ref="C103:C104"/>
    <mergeCell ref="D136:D137"/>
    <mergeCell ref="C73:C74"/>
    <mergeCell ref="C113:C114"/>
    <mergeCell ref="C20:C21"/>
    <mergeCell ref="C115:C116"/>
    <mergeCell ref="D105:D106"/>
    <mergeCell ref="D115:D116"/>
    <mergeCell ref="D41:D42"/>
    <mergeCell ref="D107:D108"/>
    <mergeCell ref="D181:D182"/>
    <mergeCell ref="I7:I8"/>
    <mergeCell ref="D126:D127"/>
    <mergeCell ref="C109:C110"/>
    <mergeCell ref="D197:D198"/>
    <mergeCell ref="D75:D76"/>
    <mergeCell ref="C47:C48"/>
    <mergeCell ref="C201:C202"/>
    <mergeCell ref="D6:D8"/>
    <mergeCell ref="C120:C121"/>
    <mergeCell ref="D118:D119"/>
    <mergeCell ref="C51:C52"/>
    <mergeCell ref="E6:I6"/>
    <mergeCell ref="D142:D143"/>
    <mergeCell ref="C36:C37"/>
    <mergeCell ref="D130:D131"/>
    <mergeCell ref="D28:D29"/>
    <mergeCell ref="D43:D44"/>
    <mergeCell ref="D171:D172"/>
    <mergeCell ref="D165:D166"/>
    <mergeCell ref="D83:D84"/>
    <mergeCell ref="C122:C123"/>
    <mergeCell ref="E7:E8"/>
    <mergeCell ref="D20:D21"/>
    <mergeCell ref="D173:D174"/>
    <mergeCell ref="F7:F8"/>
    <mergeCell ref="C111:C112"/>
    <mergeCell ref="C185:C186"/>
    <mergeCell ref="C191:C192"/>
    <mergeCell ref="D153:D154"/>
    <mergeCell ref="D49:D50"/>
    <mergeCell ref="D140:D141"/>
    <mergeCell ref="D155:D156"/>
    <mergeCell ref="G7:G8"/>
    <mergeCell ref="D77:D78"/>
    <mergeCell ref="C45:C46"/>
    <mergeCell ref="D124:D125"/>
    <mergeCell ref="D157:D158"/>
    <mergeCell ref="C38:C39"/>
    <mergeCell ref="C77:C78"/>
    <mergeCell ref="D128:D129"/>
    <mergeCell ref="D51:D52"/>
    <mergeCell ref="D113:D114"/>
    <mergeCell ref="C28:C29"/>
    <mergeCell ref="D187:D188"/>
    <mergeCell ref="C24:C25"/>
    <mergeCell ref="D22:D23"/>
    <mergeCell ref="D193:D194"/>
    <mergeCell ref="D18:D19"/>
    <mergeCell ref="D103:D104"/>
    <mergeCell ref="D279:D280"/>
    <mergeCell ref="D177:D178"/>
    <mergeCell ref="D73:D74"/>
    <mergeCell ref="D167:D168"/>
    <mergeCell ref="D38:D39"/>
    <mergeCell ref="D169:D170"/>
    <mergeCell ref="D34:D35"/>
    <mergeCell ref="D195:D196"/>
    <mergeCell ref="D201:D202"/>
    <mergeCell ref="D271:D272"/>
    <mergeCell ref="C30:C31"/>
    <mergeCell ref="D189:D190"/>
    <mergeCell ref="C79:C80"/>
    <mergeCell ref="D99:D100"/>
    <mergeCell ref="D179:D180"/>
    <mergeCell ref="C16:C17"/>
    <mergeCell ref="D36:D37"/>
    <mergeCell ref="D163:D164"/>
    <mergeCell ref="D45:D46"/>
    <mergeCell ref="D101:D102"/>
    <mergeCell ref="D150:D151"/>
    <mergeCell ref="D32:D33"/>
    <mergeCell ref="C41:C42"/>
    <mergeCell ref="D47:D48"/>
    <mergeCell ref="D134:D135"/>
    <mergeCell ref="D16:D17"/>
  </mergeCells>
  <conditionalFormatting sqref="B5:B1048576">
    <cfRule type="cellIs" dxfId="71" priority="1" operator="equal">
      <formula>FALSE</formula>
    </cfRule>
  </conditionalFormatting>
  <conditionalFormatting sqref="O10:O355 P10:P355 U10:U355 V10:V355 AA10:AA355 AB10:AB355 AG10:AG355 AH10:AH355 AM10:AM355 AN10:AN355 AS10:AS355 AT10:AT355 AY10:AY355 AZ10:AZ355 BE10:BE355 BF10:BF355 BK10:BK355 BL10:BL355 BQ10:BQ355 BR10:BR355 BW10:BW355 BX10:BX355 CC10:CC355 CD10:CD355 CI10:CI355 CJ10:CJ355 CO10:CO355 CP10:CP355 CU10:CU355 CV10:CV355 DA10:DA355 DB10:DB355 DG10:DG355 DH10:DH355">
    <cfRule type="cellIs" dxfId="70" priority="3" operator="greaterThan">
      <formula>0</formula>
    </cfRule>
    <cfRule type="cellIs" dxfId="69" priority="2" operator="lessThan">
      <formula>0</formula>
    </cfRule>
    <cfRule type="cellIs" dxfId="68" priority="2" operator="equal">
      <formula>0</formula>
    </cfRule>
  </conditionalFormatting>
  <conditionalFormatting sqref="L10:L355 N10:N355 R10:R355 T10:T355 X10:X355 Z10:Z355 AD10:AD355 AF10:AF355 AJ10:AJ355 AL10:AL355 AP10:AP355 AR10:AR355 AV10:AV355 AX10:AX355 BB10:BB355 BD10:BD355 BH10:BH355 BJ10:BJ355 BN10:BN355 BP10:BP355 BT10:BT355 BV10:BV355 BZ10:BZ355 CB10:CB355 CF10:CF355 CH10:CH355 CL10:CL355 CN10:CN355 CR10:CR355 CT10:CT355 CX10:CX355 CZ10:CZ355 DD10:DD355 DF10:DF355">
    <cfRule type="cellIs" dxfId="67" priority="4" operator="equal">
      <formula>0</formula>
    </cfRule>
  </conditionalFormatting>
  <pageMargins left="0.25" right="0.25" top="0.75" bottom="0.75" header="0.3" footer="0.3"/>
  <pageSetup paperSize="8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7">
    <tabColor theme="8" tint="0.59999389629810485"/>
    <pageSetUpPr fitToPage="1"/>
  </sheetPr>
  <dimension ref="B1:DH133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8.42578125" defaultRowHeight="18.75" outlineLevelRow="1" outlineLevelCol="1"/>
  <cols>
    <col min="1" max="1" width="9.140625" style="323" customWidth="1"/>
    <col min="2" max="2" width="10.140625" style="323" customWidth="1"/>
    <col min="3" max="3" width="16.140625" style="22" customWidth="1"/>
    <col min="4" max="4" width="72" style="138" customWidth="1"/>
    <col min="5" max="9" width="18.42578125" style="138" customWidth="1" outlineLevel="1"/>
    <col min="10" max="10" width="14" style="16" bestFit="1" customWidth="1"/>
    <col min="11" max="11" width="8.42578125" style="323" customWidth="1"/>
    <col min="12" max="112" width="8.42578125" style="621" customWidth="1"/>
    <col min="113" max="16384" width="8.42578125" style="323"/>
  </cols>
  <sheetData>
    <row r="1" spans="2:10" ht="15" customHeight="1"/>
    <row r="2" spans="2:10" ht="15" customHeight="1"/>
    <row r="3" spans="2:10" ht="18.75" customHeight="1">
      <c r="C3" s="826" t="s">
        <v>2051</v>
      </c>
      <c r="D3" s="823"/>
      <c r="E3" s="823"/>
      <c r="F3" s="823"/>
      <c r="G3" s="823"/>
      <c r="H3" s="823"/>
      <c r="I3" s="823"/>
      <c r="J3" s="827"/>
    </row>
    <row r="4" spans="2:10" ht="19.5" customHeight="1"/>
    <row r="5" spans="2:10" ht="19.5" customHeight="1">
      <c r="C5" s="822" t="s">
        <v>2665</v>
      </c>
      <c r="D5" s="823"/>
      <c r="E5" s="635"/>
      <c r="F5" s="635"/>
      <c r="G5" s="635"/>
      <c r="H5" s="635"/>
      <c r="I5" s="635"/>
      <c r="J5" s="19"/>
    </row>
    <row r="6" spans="2:10" ht="20.100000000000001" customHeight="1">
      <c r="B6" s="787" t="s">
        <v>1799</v>
      </c>
      <c r="C6" s="828" t="s">
        <v>2666</v>
      </c>
      <c r="D6" s="783" t="s">
        <v>16</v>
      </c>
      <c r="E6" s="761" t="s">
        <v>17</v>
      </c>
      <c r="F6" s="762"/>
      <c r="G6" s="762"/>
      <c r="H6" s="762"/>
      <c r="I6" s="763"/>
      <c r="J6" s="783" t="s">
        <v>1365</v>
      </c>
    </row>
    <row r="7" spans="2:10" ht="39.950000000000003" customHeight="1">
      <c r="B7" s="790"/>
      <c r="C7" s="756"/>
      <c r="D7" s="756"/>
      <c r="E7" s="741" t="s">
        <v>19</v>
      </c>
      <c r="F7" s="741" t="s">
        <v>20</v>
      </c>
      <c r="G7" s="741" t="s">
        <v>21</v>
      </c>
      <c r="H7" s="741" t="s">
        <v>22</v>
      </c>
      <c r="I7" s="741" t="s">
        <v>23</v>
      </c>
      <c r="J7" s="756"/>
    </row>
    <row r="8" spans="2:10" ht="20.100000000000001" customHeight="1">
      <c r="B8" s="790"/>
      <c r="C8" s="757"/>
      <c r="D8" s="757"/>
      <c r="E8" s="742"/>
      <c r="F8" s="742"/>
      <c r="G8" s="742"/>
      <c r="H8" s="742"/>
      <c r="I8" s="742"/>
      <c r="J8" s="757"/>
    </row>
    <row r="9" spans="2:10" ht="20.100000000000001" hidden="1" customHeight="1">
      <c r="B9" s="610"/>
      <c r="C9" s="648"/>
      <c r="D9" s="647"/>
      <c r="E9" s="391"/>
      <c r="F9" s="391"/>
      <c r="G9" s="391"/>
      <c r="H9" s="391"/>
      <c r="I9" s="391"/>
      <c r="J9" s="382"/>
    </row>
    <row r="10" spans="2:10" s="22" customFormat="1" ht="36" customHeight="1">
      <c r="B10" s="65" t="s">
        <v>90</v>
      </c>
      <c r="C10" s="66" t="s">
        <v>1370</v>
      </c>
      <c r="D10" s="67" t="s">
        <v>2667</v>
      </c>
      <c r="E10" s="530" t="s">
        <v>1802</v>
      </c>
      <c r="F10" s="530"/>
      <c r="G10" s="531"/>
      <c r="H10" s="532" t="s">
        <v>2055</v>
      </c>
      <c r="I10" s="532"/>
      <c r="J10" s="68" t="s">
        <v>814</v>
      </c>
    </row>
    <row r="11" spans="2:10" ht="20.100000000000001" customHeight="1">
      <c r="B11" s="65" t="s">
        <v>91</v>
      </c>
      <c r="C11" s="69"/>
      <c r="D11" s="70" t="s">
        <v>2668</v>
      </c>
      <c r="E11" s="530">
        <v>100330002</v>
      </c>
      <c r="F11" s="530"/>
      <c r="G11" s="531"/>
      <c r="H11" s="532" t="s">
        <v>2669</v>
      </c>
      <c r="I11" s="532"/>
      <c r="J11" s="666" t="s">
        <v>814</v>
      </c>
    </row>
    <row r="12" spans="2:10" ht="38.25" customHeight="1">
      <c r="B12" s="65" t="s">
        <v>1092</v>
      </c>
      <c r="C12" s="69"/>
      <c r="D12" s="70" t="s">
        <v>2670</v>
      </c>
      <c r="E12" s="530">
        <v>100330550</v>
      </c>
      <c r="F12" s="530"/>
      <c r="G12" s="531"/>
      <c r="H12" s="532" t="s">
        <v>2671</v>
      </c>
      <c r="I12" s="532"/>
      <c r="J12" s="666" t="s">
        <v>814</v>
      </c>
    </row>
    <row r="13" spans="2:10" s="22" customFormat="1" ht="20.100000000000001" customHeight="1">
      <c r="B13" s="65" t="s">
        <v>1099</v>
      </c>
      <c r="C13" s="824" t="s">
        <v>43</v>
      </c>
      <c r="D13" s="778" t="s">
        <v>2070</v>
      </c>
      <c r="E13" s="530">
        <v>100332033</v>
      </c>
      <c r="F13" s="530"/>
      <c r="G13" s="531"/>
      <c r="H13" s="532" t="s">
        <v>2672</v>
      </c>
      <c r="I13" s="532"/>
      <c r="J13" s="145" t="s">
        <v>814</v>
      </c>
    </row>
    <row r="14" spans="2:10" s="22" customFormat="1" ht="20.100000000000001" customHeight="1">
      <c r="B14" s="65" t="s">
        <v>1102</v>
      </c>
      <c r="C14" s="756"/>
      <c r="D14" s="756"/>
      <c r="E14" s="530">
        <v>100332034</v>
      </c>
      <c r="F14" s="530"/>
      <c r="G14" s="531"/>
      <c r="H14" s="532" t="s">
        <v>2673</v>
      </c>
      <c r="I14" s="532"/>
      <c r="J14" s="725" t="s">
        <v>820</v>
      </c>
    </row>
    <row r="15" spans="2:10" s="30" customFormat="1" ht="19.5" customHeight="1">
      <c r="B15" s="65" t="s">
        <v>1109</v>
      </c>
      <c r="C15" s="784" t="s">
        <v>1373</v>
      </c>
      <c r="D15" s="779" t="s">
        <v>2674</v>
      </c>
      <c r="E15" s="530">
        <v>100330007</v>
      </c>
      <c r="F15" s="530"/>
      <c r="G15" s="531"/>
      <c r="H15" s="532"/>
      <c r="I15" s="532"/>
      <c r="J15" s="71" t="s">
        <v>814</v>
      </c>
    </row>
    <row r="16" spans="2:10" s="30" customFormat="1" ht="19.5" customHeight="1">
      <c r="B16" s="65" t="s">
        <v>1112</v>
      </c>
      <c r="C16" s="756"/>
      <c r="D16" s="756"/>
      <c r="E16" s="530">
        <v>100330008</v>
      </c>
      <c r="F16" s="530"/>
      <c r="G16" s="531"/>
      <c r="H16" s="532"/>
      <c r="I16" s="532"/>
      <c r="J16" s="723" t="s">
        <v>820</v>
      </c>
    </row>
    <row r="17" spans="2:10" s="30" customFormat="1" ht="20.100000000000001" customHeight="1">
      <c r="B17" s="65" t="s">
        <v>1121</v>
      </c>
      <c r="C17" s="784" t="s">
        <v>1435</v>
      </c>
      <c r="D17" s="779" t="s">
        <v>2675</v>
      </c>
      <c r="E17" s="530">
        <v>100330551</v>
      </c>
      <c r="F17" s="530"/>
      <c r="G17" s="531"/>
      <c r="H17" s="532"/>
      <c r="I17" s="532"/>
      <c r="J17" s="71" t="s">
        <v>814</v>
      </c>
    </row>
    <row r="18" spans="2:10" s="30" customFormat="1" ht="20.100000000000001" customHeight="1">
      <c r="B18" s="65" t="s">
        <v>1126</v>
      </c>
      <c r="C18" s="756"/>
      <c r="D18" s="756"/>
      <c r="E18" s="530">
        <v>100330552</v>
      </c>
      <c r="F18" s="530"/>
      <c r="G18" s="531"/>
      <c r="H18" s="532"/>
      <c r="I18" s="532"/>
      <c r="J18" s="723" t="s">
        <v>820</v>
      </c>
    </row>
    <row r="19" spans="2:10" s="30" customFormat="1" ht="20.100000000000001" customHeight="1">
      <c r="B19" s="65" t="s">
        <v>1132</v>
      </c>
      <c r="C19" s="653"/>
      <c r="D19" s="636" t="s">
        <v>804</v>
      </c>
      <c r="E19" s="530"/>
      <c r="F19" s="530"/>
      <c r="G19" s="531"/>
      <c r="H19" s="532"/>
      <c r="I19" s="532"/>
      <c r="J19" s="723"/>
    </row>
    <row r="20" spans="2:10" s="30" customFormat="1" ht="20.100000000000001" customHeight="1">
      <c r="B20" s="65" t="s">
        <v>1135</v>
      </c>
      <c r="C20" s="653"/>
      <c r="D20" s="825" t="s">
        <v>2676</v>
      </c>
      <c r="E20" s="530">
        <v>100330571</v>
      </c>
      <c r="F20" s="530"/>
      <c r="G20" s="531"/>
      <c r="H20" s="532"/>
      <c r="I20" s="532"/>
      <c r="J20" s="71" t="s">
        <v>814</v>
      </c>
    </row>
    <row r="21" spans="2:10" s="30" customFormat="1" ht="20.100000000000001" customHeight="1">
      <c r="B21" s="65" t="s">
        <v>1138</v>
      </c>
      <c r="C21" s="653"/>
      <c r="D21" s="756"/>
      <c r="E21" s="530">
        <v>100330572</v>
      </c>
      <c r="F21" s="530"/>
      <c r="G21" s="531"/>
      <c r="H21" s="532"/>
      <c r="I21" s="532"/>
      <c r="J21" s="723" t="s">
        <v>820</v>
      </c>
    </row>
    <row r="22" spans="2:10" s="28" customFormat="1" ht="43.5" customHeight="1">
      <c r="B22" s="65" t="s">
        <v>1141</v>
      </c>
      <c r="C22" s="655" t="s">
        <v>53</v>
      </c>
      <c r="D22" s="72" t="s">
        <v>2677</v>
      </c>
      <c r="E22" s="530">
        <v>100332283</v>
      </c>
      <c r="F22" s="530"/>
      <c r="G22" s="531"/>
      <c r="H22" s="532" t="s">
        <v>2678</v>
      </c>
      <c r="I22" s="532"/>
      <c r="J22" s="73" t="s">
        <v>814</v>
      </c>
    </row>
    <row r="23" spans="2:10" s="30" customFormat="1" ht="38.25" customHeight="1">
      <c r="B23" s="65" t="s">
        <v>1148</v>
      </c>
      <c r="C23" s="653" t="s">
        <v>1471</v>
      </c>
      <c r="D23" s="615" t="s">
        <v>2679</v>
      </c>
      <c r="E23" s="530">
        <v>100330017</v>
      </c>
      <c r="F23" s="530"/>
      <c r="G23" s="531"/>
      <c r="H23" s="532"/>
      <c r="I23" s="532"/>
      <c r="J23" s="666" t="s">
        <v>814</v>
      </c>
    </row>
    <row r="24" spans="2:10" s="30" customFormat="1" ht="20.100000000000001" customHeight="1">
      <c r="B24" s="65" t="s">
        <v>1152</v>
      </c>
      <c r="C24" s="653" t="s">
        <v>1496</v>
      </c>
      <c r="D24" s="70" t="s">
        <v>2680</v>
      </c>
      <c r="E24" s="530">
        <v>100330196</v>
      </c>
      <c r="F24" s="530"/>
      <c r="G24" s="531"/>
      <c r="H24" s="532"/>
      <c r="I24" s="532"/>
      <c r="J24" s="666" t="s">
        <v>814</v>
      </c>
    </row>
    <row r="25" spans="2:10" s="22" customFormat="1" ht="20.100000000000001" customHeight="1">
      <c r="B25" s="65" t="s">
        <v>1156</v>
      </c>
      <c r="C25" s="655" t="s">
        <v>836</v>
      </c>
      <c r="D25" s="74" t="s">
        <v>1619</v>
      </c>
      <c r="E25" s="530">
        <v>100331986</v>
      </c>
      <c r="F25" s="530"/>
      <c r="G25" s="531"/>
      <c r="H25" s="532" t="s">
        <v>2681</v>
      </c>
      <c r="I25" s="532"/>
      <c r="J25" s="145" t="s">
        <v>814</v>
      </c>
    </row>
    <row r="26" spans="2:10" s="30" customFormat="1" ht="20.100000000000001" customHeight="1">
      <c r="B26" s="65" t="s">
        <v>1164</v>
      </c>
      <c r="C26" s="69" t="s">
        <v>1537</v>
      </c>
      <c r="D26" s="70" t="s">
        <v>2682</v>
      </c>
      <c r="E26" s="530">
        <v>100332284</v>
      </c>
      <c r="F26" s="530"/>
      <c r="G26" s="531"/>
      <c r="H26" s="532"/>
      <c r="I26" s="532"/>
      <c r="J26" s="666" t="s">
        <v>814</v>
      </c>
    </row>
    <row r="27" spans="2:10" s="30" customFormat="1" ht="20.100000000000001" customHeight="1">
      <c r="B27" s="65" t="s">
        <v>1170</v>
      </c>
      <c r="C27" s="75"/>
      <c r="D27" s="34" t="s">
        <v>804</v>
      </c>
      <c r="E27" s="530"/>
      <c r="F27" s="530"/>
      <c r="G27" s="531"/>
      <c r="H27" s="532"/>
      <c r="I27" s="532"/>
      <c r="J27" s="76"/>
    </row>
    <row r="28" spans="2:10" s="77" customFormat="1" ht="19.5" customHeight="1" outlineLevel="1">
      <c r="B28" s="65" t="s">
        <v>1175</v>
      </c>
      <c r="C28" s="670" t="s">
        <v>850</v>
      </c>
      <c r="D28" s="658" t="s">
        <v>2683</v>
      </c>
      <c r="E28" s="530">
        <v>100332285</v>
      </c>
      <c r="F28" s="530"/>
      <c r="G28" s="531"/>
      <c r="H28" s="532" t="s">
        <v>2684</v>
      </c>
      <c r="I28" s="532"/>
      <c r="J28" s="153" t="s">
        <v>814</v>
      </c>
    </row>
    <row r="29" spans="2:10" s="30" customFormat="1" outlineLevel="1">
      <c r="B29" s="65" t="s">
        <v>1179</v>
      </c>
      <c r="C29" s="365" t="s">
        <v>82</v>
      </c>
      <c r="D29" s="35" t="s">
        <v>2685</v>
      </c>
      <c r="E29" s="530">
        <v>100330554</v>
      </c>
      <c r="F29" s="530"/>
      <c r="G29" s="531"/>
      <c r="H29" s="532"/>
      <c r="I29" s="532"/>
      <c r="J29" s="78" t="s">
        <v>814</v>
      </c>
    </row>
    <row r="30" spans="2:10" s="30" customFormat="1" outlineLevel="1">
      <c r="B30" s="65" t="s">
        <v>1182</v>
      </c>
      <c r="C30" s="365" t="s">
        <v>84</v>
      </c>
      <c r="D30" s="35" t="s">
        <v>2686</v>
      </c>
      <c r="E30" s="530">
        <v>100330553</v>
      </c>
      <c r="F30" s="530"/>
      <c r="G30" s="531"/>
      <c r="H30" s="532"/>
      <c r="I30" s="532"/>
      <c r="J30" s="78" t="s">
        <v>814</v>
      </c>
    </row>
    <row r="31" spans="2:10" s="22" customFormat="1" ht="27" customHeight="1">
      <c r="B31" s="65" t="s">
        <v>2687</v>
      </c>
      <c r="C31" s="655" t="s">
        <v>2688</v>
      </c>
      <c r="D31" s="614" t="s">
        <v>2220</v>
      </c>
      <c r="E31" s="530">
        <v>100331853</v>
      </c>
      <c r="F31" s="530"/>
      <c r="G31" s="531"/>
      <c r="H31" s="532" t="s">
        <v>2689</v>
      </c>
      <c r="I31" s="532"/>
      <c r="J31" s="145" t="s">
        <v>814</v>
      </c>
    </row>
    <row r="32" spans="2:10" ht="20.100000000000001" customHeight="1">
      <c r="B32" s="65" t="s">
        <v>2690</v>
      </c>
      <c r="C32" s="653"/>
      <c r="D32" s="70" t="s">
        <v>2691</v>
      </c>
      <c r="E32" s="530">
        <v>100330237</v>
      </c>
      <c r="F32" s="530"/>
      <c r="G32" s="531"/>
      <c r="H32" s="532" t="s">
        <v>2692</v>
      </c>
      <c r="I32" s="532"/>
      <c r="J32" s="71" t="s">
        <v>814</v>
      </c>
    </row>
    <row r="33" spans="2:10" ht="37.5" customHeight="1">
      <c r="B33" s="65" t="s">
        <v>2693</v>
      </c>
      <c r="C33" s="653"/>
      <c r="D33" s="70" t="s">
        <v>2694</v>
      </c>
      <c r="E33" s="530">
        <v>100330560</v>
      </c>
      <c r="F33" s="530"/>
      <c r="G33" s="531"/>
      <c r="H33" s="532" t="s">
        <v>2695</v>
      </c>
      <c r="I33" s="532"/>
      <c r="J33" s="71" t="s">
        <v>814</v>
      </c>
    </row>
    <row r="34" spans="2:10" s="22" customFormat="1" ht="20.100000000000001" customHeight="1">
      <c r="B34" s="65" t="s">
        <v>2696</v>
      </c>
      <c r="C34" s="824" t="s">
        <v>90</v>
      </c>
      <c r="D34" s="778" t="s">
        <v>2697</v>
      </c>
      <c r="E34" s="530">
        <v>100330561</v>
      </c>
      <c r="F34" s="530"/>
      <c r="G34" s="531"/>
      <c r="H34" s="532" t="s">
        <v>2698</v>
      </c>
      <c r="I34" s="532"/>
      <c r="J34" s="73" t="s">
        <v>814</v>
      </c>
    </row>
    <row r="35" spans="2:10" s="22" customFormat="1" ht="20.100000000000001" customHeight="1">
      <c r="B35" s="65" t="s">
        <v>2699</v>
      </c>
      <c r="C35" s="756"/>
      <c r="D35" s="756"/>
      <c r="E35" s="530">
        <v>100330562</v>
      </c>
      <c r="F35" s="530"/>
      <c r="G35" s="531"/>
      <c r="H35" s="532" t="s">
        <v>2700</v>
      </c>
      <c r="I35" s="532"/>
      <c r="J35" s="725" t="s">
        <v>820</v>
      </c>
    </row>
    <row r="36" spans="2:10" ht="20.100000000000001" customHeight="1">
      <c r="B36" s="65" t="s">
        <v>2701</v>
      </c>
      <c r="C36" s="784" t="s">
        <v>2702</v>
      </c>
      <c r="D36" s="779" t="s">
        <v>2703</v>
      </c>
      <c r="E36" s="530">
        <v>100330563</v>
      </c>
      <c r="F36" s="530"/>
      <c r="G36" s="531"/>
      <c r="H36" s="532" t="s">
        <v>2704</v>
      </c>
      <c r="I36" s="532"/>
      <c r="J36" s="71" t="s">
        <v>814</v>
      </c>
    </row>
    <row r="37" spans="2:10" ht="19.5" customHeight="1">
      <c r="B37" s="65" t="s">
        <v>2705</v>
      </c>
      <c r="C37" s="756"/>
      <c r="D37" s="756"/>
      <c r="E37" s="530">
        <v>100330564</v>
      </c>
      <c r="F37" s="530"/>
      <c r="G37" s="531"/>
      <c r="H37" s="532" t="s">
        <v>2706</v>
      </c>
      <c r="I37" s="532"/>
      <c r="J37" s="723" t="s">
        <v>820</v>
      </c>
    </row>
    <row r="38" spans="2:10" ht="20.100000000000001" customHeight="1">
      <c r="B38" s="65" t="s">
        <v>2707</v>
      </c>
      <c r="C38" s="784" t="s">
        <v>2708</v>
      </c>
      <c r="D38" s="779" t="s">
        <v>2709</v>
      </c>
      <c r="E38" s="530">
        <v>100330573</v>
      </c>
      <c r="F38" s="530"/>
      <c r="G38" s="531"/>
      <c r="H38" s="532"/>
      <c r="I38" s="532"/>
      <c r="J38" s="71" t="s">
        <v>814</v>
      </c>
    </row>
    <row r="39" spans="2:10" ht="20.100000000000001" customHeight="1">
      <c r="B39" s="65" t="s">
        <v>2710</v>
      </c>
      <c r="C39" s="756"/>
      <c r="D39" s="756"/>
      <c r="E39" s="530">
        <v>100330574</v>
      </c>
      <c r="F39" s="530"/>
      <c r="G39" s="531"/>
      <c r="H39" s="532"/>
      <c r="I39" s="532"/>
      <c r="J39" s="723" t="s">
        <v>820</v>
      </c>
    </row>
    <row r="40" spans="2:10" s="30" customFormat="1" ht="20.100000000000001" customHeight="1">
      <c r="B40" s="65" t="s">
        <v>2711</v>
      </c>
      <c r="C40" s="784" t="s">
        <v>2712</v>
      </c>
      <c r="D40" s="637" t="s">
        <v>804</v>
      </c>
      <c r="E40" s="530"/>
      <c r="F40" s="530"/>
      <c r="G40" s="531"/>
      <c r="H40" s="532"/>
      <c r="I40" s="532"/>
      <c r="J40" s="71"/>
    </row>
    <row r="41" spans="2:10" s="30" customFormat="1" ht="20.100000000000001" customHeight="1">
      <c r="B41" s="65" t="s">
        <v>2713</v>
      </c>
      <c r="C41" s="756"/>
      <c r="D41" s="821" t="s">
        <v>2714</v>
      </c>
      <c r="E41" s="530">
        <v>100330565</v>
      </c>
      <c r="F41" s="530"/>
      <c r="G41" s="531"/>
      <c r="H41" s="532"/>
      <c r="I41" s="532"/>
      <c r="J41" s="71" t="s">
        <v>814</v>
      </c>
    </row>
    <row r="42" spans="2:10" s="30" customFormat="1" ht="20.100000000000001" customHeight="1">
      <c r="B42" s="65" t="s">
        <v>2715</v>
      </c>
      <c r="C42" s="784" t="s">
        <v>2716</v>
      </c>
      <c r="D42" s="756"/>
      <c r="E42" s="530">
        <v>100330566</v>
      </c>
      <c r="F42" s="530"/>
      <c r="G42" s="531"/>
      <c r="H42" s="532"/>
      <c r="I42" s="532"/>
      <c r="J42" s="723" t="s">
        <v>820</v>
      </c>
    </row>
    <row r="43" spans="2:10" s="30" customFormat="1" ht="20.100000000000001" customHeight="1">
      <c r="B43" s="65" t="s">
        <v>2717</v>
      </c>
      <c r="C43" s="756"/>
      <c r="D43" s="821" t="s">
        <v>2718</v>
      </c>
      <c r="E43" s="530">
        <v>100330567</v>
      </c>
      <c r="F43" s="530"/>
      <c r="G43" s="531"/>
      <c r="H43" s="532"/>
      <c r="I43" s="532"/>
      <c r="J43" s="71" t="s">
        <v>814</v>
      </c>
    </row>
    <row r="44" spans="2:10" s="30" customFormat="1" ht="19.5" customHeight="1">
      <c r="B44" s="65" t="s">
        <v>2719</v>
      </c>
      <c r="C44" s="784" t="s">
        <v>2720</v>
      </c>
      <c r="D44" s="756"/>
      <c r="E44" s="530">
        <v>100330568</v>
      </c>
      <c r="F44" s="530"/>
      <c r="G44" s="531"/>
      <c r="H44" s="532"/>
      <c r="I44" s="532"/>
      <c r="J44" s="723" t="s">
        <v>820</v>
      </c>
    </row>
    <row r="45" spans="2:10" s="30" customFormat="1" ht="20.100000000000001" customHeight="1">
      <c r="B45" s="65" t="s">
        <v>2721</v>
      </c>
      <c r="C45" s="756"/>
      <c r="D45" s="821" t="s">
        <v>2722</v>
      </c>
      <c r="E45" s="530">
        <v>100330569</v>
      </c>
      <c r="F45" s="530"/>
      <c r="G45" s="531"/>
      <c r="H45" s="532"/>
      <c r="I45" s="532"/>
      <c r="J45" s="71" t="s">
        <v>814</v>
      </c>
    </row>
    <row r="46" spans="2:10" s="30" customFormat="1" ht="20.100000000000001" customHeight="1">
      <c r="B46" s="65" t="s">
        <v>2723</v>
      </c>
      <c r="C46" s="653" t="s">
        <v>2724</v>
      </c>
      <c r="D46" s="756"/>
      <c r="E46" s="530">
        <v>100330570</v>
      </c>
      <c r="F46" s="530"/>
      <c r="G46" s="531"/>
      <c r="H46" s="532"/>
      <c r="I46" s="532"/>
      <c r="J46" s="723" t="s">
        <v>820</v>
      </c>
    </row>
    <row r="47" spans="2:10" s="343" customFormat="1" ht="20.100000000000001" customHeight="1">
      <c r="B47" s="65" t="s">
        <v>2725</v>
      </c>
      <c r="C47" s="655" t="s">
        <v>91</v>
      </c>
      <c r="D47" s="614" t="s">
        <v>2726</v>
      </c>
      <c r="E47" s="530">
        <v>100332286</v>
      </c>
      <c r="F47" s="530"/>
      <c r="G47" s="531"/>
      <c r="H47" s="532" t="s">
        <v>2727</v>
      </c>
      <c r="I47" s="532"/>
      <c r="J47" s="73" t="s">
        <v>814</v>
      </c>
    </row>
    <row r="48" spans="2:10" s="325" customFormat="1" ht="19.5" customHeight="1">
      <c r="B48" s="65" t="s">
        <v>2728</v>
      </c>
      <c r="C48" s="653" t="s">
        <v>2379</v>
      </c>
      <c r="D48" s="615" t="s">
        <v>2729</v>
      </c>
      <c r="E48" s="530">
        <v>100332287</v>
      </c>
      <c r="F48" s="530"/>
      <c r="G48" s="531"/>
      <c r="H48" s="532"/>
      <c r="I48" s="532"/>
      <c r="J48" s="71" t="s">
        <v>814</v>
      </c>
    </row>
    <row r="49" spans="2:10" s="325" customFormat="1" ht="20.100000000000001" customHeight="1">
      <c r="B49" s="65" t="s">
        <v>2730</v>
      </c>
      <c r="C49" s="653" t="s">
        <v>2388</v>
      </c>
      <c r="D49" s="615" t="s">
        <v>2731</v>
      </c>
      <c r="E49" s="530">
        <v>100332288</v>
      </c>
      <c r="F49" s="530"/>
      <c r="G49" s="531"/>
      <c r="H49" s="532"/>
      <c r="I49" s="532"/>
      <c r="J49" s="71" t="s">
        <v>814</v>
      </c>
    </row>
    <row r="50" spans="2:10" s="22" customFormat="1" ht="20.100000000000001" customHeight="1">
      <c r="B50" s="65" t="s">
        <v>2732</v>
      </c>
      <c r="C50" s="655" t="s">
        <v>1092</v>
      </c>
      <c r="D50" s="614" t="s">
        <v>2733</v>
      </c>
      <c r="E50" s="530">
        <v>100330579</v>
      </c>
      <c r="F50" s="530"/>
      <c r="G50" s="531"/>
      <c r="H50" s="532" t="s">
        <v>2734</v>
      </c>
      <c r="I50" s="532"/>
      <c r="J50" s="73" t="s">
        <v>814</v>
      </c>
    </row>
    <row r="51" spans="2:10" ht="20.100000000000001" customHeight="1">
      <c r="B51" s="65" t="s">
        <v>2735</v>
      </c>
      <c r="C51" s="653" t="s">
        <v>2736</v>
      </c>
      <c r="D51" s="615" t="s">
        <v>2737</v>
      </c>
      <c r="E51" s="530">
        <v>100330580</v>
      </c>
      <c r="F51" s="530"/>
      <c r="G51" s="531"/>
      <c r="H51" s="532"/>
      <c r="I51" s="532"/>
      <c r="J51" s="71" t="s">
        <v>693</v>
      </c>
    </row>
    <row r="52" spans="2:10" ht="20.100000000000001" customHeight="1">
      <c r="B52" s="65" t="s">
        <v>2738</v>
      </c>
      <c r="C52" s="653" t="s">
        <v>2739</v>
      </c>
      <c r="D52" s="615" t="s">
        <v>2740</v>
      </c>
      <c r="E52" s="530">
        <v>100330581</v>
      </c>
      <c r="F52" s="530"/>
      <c r="G52" s="531"/>
      <c r="H52" s="532"/>
      <c r="I52" s="532"/>
      <c r="J52" s="71" t="s">
        <v>693</v>
      </c>
    </row>
    <row r="53" spans="2:10" s="22" customFormat="1" ht="20.100000000000001" customHeight="1">
      <c r="B53" s="65" t="s">
        <v>2741</v>
      </c>
      <c r="C53" s="655" t="s">
        <v>1099</v>
      </c>
      <c r="D53" s="614" t="s">
        <v>2742</v>
      </c>
      <c r="E53" s="530">
        <v>100332289</v>
      </c>
      <c r="F53" s="530"/>
      <c r="G53" s="531"/>
      <c r="H53" s="532" t="s">
        <v>2743</v>
      </c>
      <c r="I53" s="532"/>
      <c r="J53" s="73" t="s">
        <v>814</v>
      </c>
    </row>
    <row r="54" spans="2:10" ht="20.100000000000001" customHeight="1">
      <c r="B54" s="65" t="s">
        <v>2744</v>
      </c>
      <c r="C54" s="653" t="s">
        <v>2745</v>
      </c>
      <c r="D54" s="615" t="s">
        <v>2746</v>
      </c>
      <c r="E54" s="530">
        <v>100330098</v>
      </c>
      <c r="F54" s="530"/>
      <c r="G54" s="531"/>
      <c r="H54" s="532"/>
      <c r="I54" s="532"/>
      <c r="J54" s="71" t="s">
        <v>814</v>
      </c>
    </row>
    <row r="55" spans="2:10" ht="20.100000000000001" customHeight="1">
      <c r="B55" s="65" t="s">
        <v>2747</v>
      </c>
      <c r="C55" s="653" t="s">
        <v>2748</v>
      </c>
      <c r="D55" s="615" t="s">
        <v>2749</v>
      </c>
      <c r="E55" s="530">
        <v>100330582</v>
      </c>
      <c r="F55" s="530"/>
      <c r="G55" s="531"/>
      <c r="H55" s="532"/>
      <c r="I55" s="532"/>
      <c r="J55" s="71" t="s">
        <v>814</v>
      </c>
    </row>
    <row r="56" spans="2:10" s="22" customFormat="1">
      <c r="B56" s="65" t="s">
        <v>2750</v>
      </c>
      <c r="C56" s="655" t="s">
        <v>1102</v>
      </c>
      <c r="D56" s="79" t="s">
        <v>2751</v>
      </c>
      <c r="E56" s="530">
        <v>100335432</v>
      </c>
      <c r="F56" s="530"/>
      <c r="G56" s="531"/>
      <c r="H56" s="532"/>
      <c r="I56" s="532"/>
      <c r="J56" s="73" t="s">
        <v>693</v>
      </c>
    </row>
    <row r="57" spans="2:10" ht="39" customHeight="1" outlineLevel="1">
      <c r="B57" s="65" t="s">
        <v>2752</v>
      </c>
      <c r="C57" s="655" t="s">
        <v>2753</v>
      </c>
      <c r="D57" s="658" t="s">
        <v>2623</v>
      </c>
      <c r="E57" s="530"/>
      <c r="F57" s="530"/>
      <c r="G57" s="531"/>
      <c r="H57" s="532"/>
      <c r="I57" s="532"/>
      <c r="J57" s="71" t="s">
        <v>814</v>
      </c>
    </row>
    <row r="58" spans="2:10" ht="18.75" customHeight="1" outlineLevel="1">
      <c r="B58" s="65" t="s">
        <v>2754</v>
      </c>
      <c r="C58" s="653" t="s">
        <v>1876</v>
      </c>
      <c r="D58" s="637" t="s">
        <v>2755</v>
      </c>
      <c r="E58" s="530">
        <v>100330425</v>
      </c>
      <c r="F58" s="530"/>
      <c r="G58" s="531"/>
      <c r="H58" s="532" t="s">
        <v>2756</v>
      </c>
      <c r="I58" s="532"/>
      <c r="J58" s="71" t="s">
        <v>814</v>
      </c>
    </row>
    <row r="59" spans="2:10" ht="37.5" customHeight="1" outlineLevel="1">
      <c r="B59" s="65" t="s">
        <v>2757</v>
      </c>
      <c r="C59" s="80" t="s">
        <v>1902</v>
      </c>
      <c r="D59" s="81" t="s">
        <v>2758</v>
      </c>
      <c r="E59" s="530">
        <v>100330585</v>
      </c>
      <c r="F59" s="530"/>
      <c r="G59" s="531"/>
      <c r="H59" s="532" t="s">
        <v>2759</v>
      </c>
      <c r="I59" s="532"/>
      <c r="J59" s="82" t="s">
        <v>814</v>
      </c>
    </row>
    <row r="60" spans="2:10">
      <c r="B60" s="83"/>
      <c r="C60" s="40"/>
      <c r="J60" s="324"/>
    </row>
    <row r="61" spans="2:10">
      <c r="C61" s="84"/>
      <c r="J61" s="138"/>
    </row>
    <row r="62" spans="2:10">
      <c r="B62" s="83"/>
      <c r="C62" s="39"/>
      <c r="D62" s="138" t="s">
        <v>2760</v>
      </c>
      <c r="J62" s="138"/>
    </row>
    <row r="63" spans="2:10">
      <c r="B63" s="83"/>
      <c r="C63" s="40"/>
      <c r="J63" s="46"/>
    </row>
    <row r="64" spans="2:10" s="84" customFormat="1">
      <c r="B64" s="323"/>
      <c r="C64" s="22"/>
      <c r="D64" s="43" t="s">
        <v>2761</v>
      </c>
      <c r="E64" s="43"/>
      <c r="F64" s="533"/>
      <c r="G64" s="533"/>
      <c r="H64" s="392"/>
      <c r="I64" s="533"/>
      <c r="J64" s="85"/>
    </row>
    <row r="65" spans="2:10" s="84" customFormat="1">
      <c r="B65" s="323"/>
      <c r="C65" s="22"/>
      <c r="D65" s="138"/>
      <c r="E65" s="138"/>
      <c r="F65" s="138"/>
      <c r="G65" s="138"/>
      <c r="H65" s="138"/>
      <c r="I65" s="138"/>
      <c r="J65" s="16"/>
    </row>
    <row r="66" spans="2:10" s="84" customFormat="1">
      <c r="B66" s="323"/>
      <c r="C66" s="22"/>
      <c r="D66" s="138"/>
      <c r="E66" s="138"/>
      <c r="F66" s="138"/>
      <c r="G66" s="138"/>
      <c r="H66" s="138"/>
      <c r="I66" s="138"/>
      <c r="J66" s="16"/>
    </row>
    <row r="67" spans="2:10" s="84" customFormat="1">
      <c r="B67" s="323"/>
      <c r="C67" s="22"/>
      <c r="D67" s="138"/>
      <c r="E67" s="138"/>
      <c r="F67" s="138"/>
      <c r="G67" s="138"/>
      <c r="H67" s="138"/>
      <c r="I67" s="138"/>
      <c r="J67" s="16"/>
    </row>
    <row r="68" spans="2:10" s="84" customFormat="1">
      <c r="B68" s="323"/>
      <c r="C68" s="22"/>
      <c r="D68" s="138"/>
      <c r="E68" s="138"/>
      <c r="F68" s="138"/>
      <c r="G68" s="138"/>
      <c r="H68" s="138"/>
      <c r="I68" s="138"/>
      <c r="J68" s="16"/>
    </row>
    <row r="69" spans="2:10" s="84" customFormat="1">
      <c r="B69" s="323"/>
      <c r="C69" s="22"/>
      <c r="D69" s="138"/>
      <c r="E69" s="138"/>
      <c r="F69" s="138"/>
      <c r="G69" s="138"/>
      <c r="H69" s="138"/>
      <c r="I69" s="138"/>
      <c r="J69" s="16"/>
    </row>
    <row r="70" spans="2:10" s="84" customFormat="1">
      <c r="B70" s="323"/>
      <c r="C70" s="22"/>
      <c r="D70" s="138"/>
      <c r="E70" s="138"/>
      <c r="F70" s="138"/>
      <c r="G70" s="138"/>
      <c r="H70" s="138"/>
      <c r="I70" s="138"/>
      <c r="J70" s="16"/>
    </row>
    <row r="71" spans="2:10" s="84" customFormat="1">
      <c r="B71" s="323"/>
      <c r="C71" s="22"/>
      <c r="D71" s="138"/>
      <c r="E71" s="138"/>
      <c r="F71" s="138"/>
      <c r="G71" s="138"/>
      <c r="H71" s="138"/>
      <c r="I71" s="138"/>
      <c r="J71" s="16"/>
    </row>
    <row r="72" spans="2:10" s="84" customFormat="1">
      <c r="B72" s="323"/>
      <c r="C72" s="22"/>
      <c r="D72" s="138"/>
      <c r="E72" s="138"/>
      <c r="F72" s="138"/>
      <c r="G72" s="138"/>
      <c r="H72" s="138"/>
      <c r="I72" s="138"/>
      <c r="J72" s="16"/>
    </row>
    <row r="73" spans="2:10" s="84" customFormat="1">
      <c r="B73" s="323"/>
      <c r="C73" s="22"/>
      <c r="D73" s="138"/>
      <c r="E73" s="138"/>
      <c r="F73" s="138"/>
      <c r="G73" s="138"/>
      <c r="H73" s="138"/>
      <c r="I73" s="138"/>
      <c r="J73" s="16"/>
    </row>
    <row r="74" spans="2:10" s="84" customFormat="1">
      <c r="B74" s="323"/>
      <c r="C74" s="22"/>
      <c r="D74" s="138"/>
      <c r="E74" s="138"/>
      <c r="F74" s="138"/>
      <c r="G74" s="138"/>
      <c r="H74" s="138"/>
      <c r="I74" s="138"/>
      <c r="J74" s="16"/>
    </row>
    <row r="75" spans="2:10" s="84" customFormat="1">
      <c r="B75" s="323"/>
      <c r="C75" s="22"/>
      <c r="D75" s="138"/>
      <c r="E75" s="138"/>
      <c r="F75" s="138"/>
      <c r="G75" s="138"/>
      <c r="H75" s="138"/>
      <c r="I75" s="138"/>
      <c r="J75" s="16"/>
    </row>
    <row r="76" spans="2:10" s="84" customFormat="1">
      <c r="B76" s="323"/>
      <c r="C76" s="22"/>
      <c r="D76" s="138"/>
      <c r="E76" s="138"/>
      <c r="F76" s="138"/>
      <c r="G76" s="138"/>
      <c r="H76" s="138"/>
      <c r="I76" s="138"/>
      <c r="J76" s="16"/>
    </row>
    <row r="77" spans="2:10" s="84" customFormat="1">
      <c r="B77" s="323"/>
      <c r="C77" s="22"/>
      <c r="D77" s="138"/>
      <c r="E77" s="138"/>
      <c r="F77" s="138"/>
      <c r="G77" s="138"/>
      <c r="H77" s="138"/>
      <c r="I77" s="138"/>
      <c r="J77" s="16"/>
    </row>
    <row r="78" spans="2:10" s="84" customFormat="1">
      <c r="B78" s="323"/>
      <c r="C78" s="22"/>
      <c r="D78" s="138"/>
      <c r="E78" s="138"/>
      <c r="F78" s="138"/>
      <c r="G78" s="138"/>
      <c r="H78" s="138"/>
      <c r="I78" s="138"/>
      <c r="J78" s="16"/>
    </row>
    <row r="79" spans="2:10" s="84" customFormat="1">
      <c r="B79" s="323"/>
      <c r="C79" s="22"/>
      <c r="D79" s="138"/>
      <c r="E79" s="138"/>
      <c r="F79" s="138"/>
      <c r="G79" s="138"/>
      <c r="H79" s="138"/>
      <c r="I79" s="138"/>
      <c r="J79" s="16"/>
    </row>
    <row r="80" spans="2:10" s="84" customFormat="1">
      <c r="B80" s="323"/>
      <c r="C80" s="22"/>
      <c r="D80" s="138"/>
      <c r="E80" s="138"/>
      <c r="F80" s="138"/>
      <c r="G80" s="138"/>
      <c r="H80" s="138"/>
      <c r="I80" s="138"/>
      <c r="J80" s="16"/>
    </row>
    <row r="81" spans="2:10" s="84" customFormat="1">
      <c r="B81" s="323"/>
      <c r="C81" s="22"/>
      <c r="D81" s="138"/>
      <c r="E81" s="138"/>
      <c r="F81" s="138"/>
      <c r="G81" s="138"/>
      <c r="H81" s="138"/>
      <c r="I81" s="138"/>
      <c r="J81" s="16"/>
    </row>
    <row r="82" spans="2:10" s="84" customFormat="1">
      <c r="B82" s="323"/>
      <c r="C82" s="22"/>
      <c r="D82" s="138"/>
      <c r="E82" s="138"/>
      <c r="F82" s="138"/>
      <c r="G82" s="138"/>
      <c r="H82" s="138"/>
      <c r="I82" s="138"/>
      <c r="J82" s="16"/>
    </row>
    <row r="83" spans="2:10" s="84" customFormat="1">
      <c r="B83" s="323"/>
      <c r="C83" s="22"/>
      <c r="D83" s="138"/>
      <c r="E83" s="138"/>
      <c r="F83" s="138"/>
      <c r="G83" s="138"/>
      <c r="H83" s="138"/>
      <c r="I83" s="138"/>
      <c r="J83" s="16"/>
    </row>
    <row r="84" spans="2:10" s="84" customFormat="1">
      <c r="B84" s="323"/>
      <c r="C84" s="22"/>
      <c r="D84" s="138"/>
      <c r="E84" s="138"/>
      <c r="F84" s="138"/>
      <c r="G84" s="138"/>
      <c r="H84" s="138"/>
      <c r="I84" s="138"/>
      <c r="J84" s="16"/>
    </row>
    <row r="85" spans="2:10" s="84" customFormat="1">
      <c r="B85" s="323"/>
      <c r="C85" s="22"/>
      <c r="D85" s="138"/>
      <c r="E85" s="138"/>
      <c r="F85" s="138"/>
      <c r="G85" s="138"/>
      <c r="H85" s="138"/>
      <c r="I85" s="138"/>
      <c r="J85" s="16"/>
    </row>
    <row r="86" spans="2:10" s="84" customFormat="1">
      <c r="B86" s="323"/>
      <c r="C86" s="22"/>
      <c r="D86" s="138"/>
      <c r="E86" s="138"/>
      <c r="F86" s="138"/>
      <c r="G86" s="138"/>
      <c r="H86" s="138"/>
      <c r="I86" s="138"/>
      <c r="J86" s="16"/>
    </row>
    <row r="87" spans="2:10" s="84" customFormat="1">
      <c r="B87" s="323"/>
      <c r="C87" s="22"/>
      <c r="D87" s="138"/>
      <c r="E87" s="138"/>
      <c r="F87" s="138"/>
      <c r="G87" s="138"/>
      <c r="H87" s="138"/>
      <c r="I87" s="138"/>
      <c r="J87" s="16"/>
    </row>
    <row r="88" spans="2:10" s="84" customFormat="1">
      <c r="B88" s="323"/>
      <c r="C88" s="22"/>
      <c r="D88" s="138"/>
      <c r="E88" s="138"/>
      <c r="F88" s="138"/>
      <c r="G88" s="138"/>
      <c r="H88" s="138"/>
      <c r="I88" s="138"/>
      <c r="J88" s="16"/>
    </row>
    <row r="89" spans="2:10" s="84" customFormat="1">
      <c r="B89" s="323"/>
      <c r="C89" s="22"/>
      <c r="D89" s="138"/>
      <c r="E89" s="138"/>
      <c r="F89" s="138"/>
      <c r="G89" s="138"/>
      <c r="H89" s="138"/>
      <c r="I89" s="138"/>
      <c r="J89" s="16"/>
    </row>
    <row r="90" spans="2:10" s="84" customFormat="1">
      <c r="B90" s="323"/>
      <c r="C90" s="22"/>
      <c r="D90" s="138"/>
      <c r="E90" s="138"/>
      <c r="F90" s="138"/>
      <c r="G90" s="138"/>
      <c r="H90" s="138"/>
      <c r="I90" s="138"/>
      <c r="J90" s="16"/>
    </row>
    <row r="91" spans="2:10" s="84" customFormat="1">
      <c r="B91" s="323"/>
      <c r="C91" s="22"/>
      <c r="D91" s="138"/>
      <c r="E91" s="138"/>
      <c r="F91" s="138"/>
      <c r="G91" s="138"/>
      <c r="H91" s="138"/>
      <c r="I91" s="138"/>
      <c r="J91" s="16"/>
    </row>
    <row r="92" spans="2:10" s="84" customFormat="1">
      <c r="B92" s="323"/>
      <c r="C92" s="22"/>
      <c r="D92" s="138"/>
      <c r="E92" s="138"/>
      <c r="F92" s="138"/>
      <c r="G92" s="138"/>
      <c r="H92" s="138"/>
      <c r="I92" s="138"/>
      <c r="J92" s="16"/>
    </row>
    <row r="93" spans="2:10" s="84" customFormat="1">
      <c r="B93" s="323"/>
      <c r="C93" s="22"/>
      <c r="D93" s="138"/>
      <c r="E93" s="138"/>
      <c r="F93" s="138"/>
      <c r="G93" s="138"/>
      <c r="H93" s="138"/>
      <c r="I93" s="138"/>
      <c r="J93" s="16"/>
    </row>
    <row r="94" spans="2:10" s="84" customFormat="1">
      <c r="B94" s="323"/>
      <c r="C94" s="22"/>
      <c r="D94" s="138"/>
      <c r="E94" s="138"/>
      <c r="F94" s="138"/>
      <c r="G94" s="138"/>
      <c r="H94" s="138"/>
      <c r="I94" s="138"/>
      <c r="J94" s="16"/>
    </row>
    <row r="95" spans="2:10" s="84" customFormat="1">
      <c r="B95" s="323"/>
      <c r="C95" s="22"/>
      <c r="D95" s="138"/>
      <c r="E95" s="138"/>
      <c r="F95" s="138"/>
      <c r="G95" s="138"/>
      <c r="H95" s="138"/>
      <c r="I95" s="138"/>
      <c r="J95" s="16"/>
    </row>
    <row r="96" spans="2:10" s="84" customFormat="1">
      <c r="B96" s="323"/>
      <c r="C96" s="22"/>
      <c r="D96" s="138"/>
      <c r="E96" s="138"/>
      <c r="F96" s="138"/>
      <c r="G96" s="138"/>
      <c r="H96" s="138"/>
      <c r="I96" s="138"/>
      <c r="J96" s="16"/>
    </row>
    <row r="97" spans="2:10" s="84" customFormat="1">
      <c r="B97" s="323"/>
      <c r="C97" s="22"/>
      <c r="D97" s="138"/>
      <c r="E97" s="138"/>
      <c r="F97" s="138"/>
      <c r="G97" s="138"/>
      <c r="H97" s="138"/>
      <c r="I97" s="138"/>
      <c r="J97" s="16"/>
    </row>
    <row r="98" spans="2:10" s="84" customFormat="1">
      <c r="B98" s="323"/>
      <c r="C98" s="22"/>
      <c r="D98" s="138"/>
      <c r="E98" s="138"/>
      <c r="F98" s="138"/>
      <c r="G98" s="138"/>
      <c r="H98" s="138"/>
      <c r="I98" s="138"/>
      <c r="J98" s="16"/>
    </row>
    <row r="99" spans="2:10" s="84" customFormat="1">
      <c r="B99" s="323"/>
      <c r="C99" s="22"/>
      <c r="D99" s="138"/>
      <c r="E99" s="138"/>
      <c r="F99" s="138"/>
      <c r="G99" s="138"/>
      <c r="H99" s="138"/>
      <c r="I99" s="138"/>
      <c r="J99" s="16"/>
    </row>
    <row r="100" spans="2:10" s="84" customFormat="1">
      <c r="B100" s="323"/>
      <c r="C100" s="22"/>
      <c r="D100" s="138"/>
      <c r="E100" s="138"/>
      <c r="F100" s="138"/>
      <c r="G100" s="138"/>
      <c r="H100" s="138"/>
      <c r="I100" s="138"/>
      <c r="J100" s="16"/>
    </row>
    <row r="101" spans="2:10" s="84" customFormat="1">
      <c r="B101" s="323"/>
      <c r="C101" s="22"/>
      <c r="D101" s="138"/>
      <c r="E101" s="138"/>
      <c r="F101" s="138"/>
      <c r="G101" s="138"/>
      <c r="H101" s="138"/>
      <c r="I101" s="138"/>
      <c r="J101" s="16"/>
    </row>
    <row r="102" spans="2:10" s="84" customFormat="1">
      <c r="B102" s="323"/>
      <c r="C102" s="22"/>
      <c r="D102" s="138"/>
      <c r="E102" s="138"/>
      <c r="F102" s="138"/>
      <c r="G102" s="138"/>
      <c r="H102" s="138"/>
      <c r="I102" s="138"/>
      <c r="J102" s="16"/>
    </row>
    <row r="103" spans="2:10" s="84" customFormat="1">
      <c r="B103" s="323"/>
      <c r="C103" s="22"/>
      <c r="D103" s="138"/>
      <c r="E103" s="138"/>
      <c r="F103" s="138"/>
      <c r="G103" s="138"/>
      <c r="H103" s="138"/>
      <c r="I103" s="138"/>
      <c r="J103" s="16"/>
    </row>
    <row r="104" spans="2:10" s="84" customFormat="1">
      <c r="B104" s="323"/>
      <c r="C104" s="22"/>
      <c r="D104" s="138"/>
      <c r="E104" s="138"/>
      <c r="F104" s="138"/>
      <c r="G104" s="138"/>
      <c r="H104" s="138"/>
      <c r="I104" s="138"/>
      <c r="J104" s="16"/>
    </row>
    <row r="105" spans="2:10" s="84" customFormat="1">
      <c r="B105" s="323"/>
      <c r="C105" s="22"/>
      <c r="D105" s="138"/>
      <c r="E105" s="138"/>
      <c r="F105" s="138"/>
      <c r="G105" s="138"/>
      <c r="H105" s="138"/>
      <c r="I105" s="138"/>
      <c r="J105" s="16"/>
    </row>
    <row r="106" spans="2:10" s="84" customFormat="1">
      <c r="B106" s="323"/>
      <c r="C106" s="22"/>
      <c r="D106" s="138"/>
      <c r="E106" s="138"/>
      <c r="F106" s="138"/>
      <c r="G106" s="138"/>
      <c r="H106" s="138"/>
      <c r="I106" s="138"/>
      <c r="J106" s="16"/>
    </row>
    <row r="107" spans="2:10" s="84" customFormat="1">
      <c r="B107" s="323"/>
      <c r="C107" s="22"/>
      <c r="D107" s="138"/>
      <c r="E107" s="138"/>
      <c r="F107" s="138"/>
      <c r="G107" s="138"/>
      <c r="H107" s="138"/>
      <c r="I107" s="138"/>
      <c r="J107" s="16"/>
    </row>
    <row r="108" spans="2:10" s="84" customFormat="1">
      <c r="B108" s="323"/>
      <c r="C108" s="22"/>
      <c r="D108" s="138"/>
      <c r="E108" s="138"/>
      <c r="F108" s="138"/>
      <c r="G108" s="138"/>
      <c r="H108" s="138"/>
      <c r="I108" s="138"/>
      <c r="J108" s="16"/>
    </row>
    <row r="109" spans="2:10" s="84" customFormat="1">
      <c r="B109" s="323"/>
      <c r="C109" s="22"/>
      <c r="D109" s="138"/>
      <c r="E109" s="138"/>
      <c r="F109" s="138"/>
      <c r="G109" s="138"/>
      <c r="H109" s="138"/>
      <c r="I109" s="138"/>
      <c r="J109" s="16"/>
    </row>
    <row r="110" spans="2:10" s="84" customFormat="1">
      <c r="B110" s="323"/>
      <c r="C110" s="22"/>
      <c r="D110" s="138"/>
      <c r="E110" s="138"/>
      <c r="F110" s="138"/>
      <c r="G110" s="138"/>
      <c r="H110" s="138"/>
      <c r="I110" s="138"/>
      <c r="J110" s="16"/>
    </row>
    <row r="111" spans="2:10" s="84" customFormat="1">
      <c r="B111" s="323"/>
      <c r="C111" s="22"/>
      <c r="D111" s="138"/>
      <c r="E111" s="138"/>
      <c r="F111" s="138"/>
      <c r="G111" s="138"/>
      <c r="H111" s="138"/>
      <c r="I111" s="138"/>
      <c r="J111" s="16"/>
    </row>
    <row r="112" spans="2:10" s="84" customFormat="1">
      <c r="B112" s="323"/>
      <c r="C112" s="22"/>
      <c r="D112" s="138"/>
      <c r="E112" s="138"/>
      <c r="F112" s="138"/>
      <c r="G112" s="138"/>
      <c r="H112" s="138"/>
      <c r="I112" s="138"/>
      <c r="J112" s="16"/>
    </row>
    <row r="113" spans="2:10" s="84" customFormat="1">
      <c r="B113" s="323"/>
      <c r="C113" s="22"/>
      <c r="D113" s="138"/>
      <c r="E113" s="138"/>
      <c r="F113" s="138"/>
      <c r="G113" s="138"/>
      <c r="H113" s="138"/>
      <c r="I113" s="138"/>
      <c r="J113" s="16"/>
    </row>
    <row r="114" spans="2:10" s="84" customFormat="1">
      <c r="B114" s="323"/>
      <c r="C114" s="22"/>
      <c r="D114" s="138"/>
      <c r="E114" s="138"/>
      <c r="F114" s="138"/>
      <c r="G114" s="138"/>
      <c r="H114" s="138"/>
      <c r="I114" s="138"/>
      <c r="J114" s="16"/>
    </row>
    <row r="115" spans="2:10" s="84" customFormat="1">
      <c r="B115" s="323"/>
      <c r="C115" s="22"/>
      <c r="D115" s="138"/>
      <c r="E115" s="138"/>
      <c r="F115" s="138"/>
      <c r="G115" s="138"/>
      <c r="H115" s="138"/>
      <c r="I115" s="138"/>
      <c r="J115" s="16"/>
    </row>
    <row r="116" spans="2:10" s="84" customFormat="1">
      <c r="B116" s="323"/>
      <c r="C116" s="22"/>
      <c r="D116" s="138"/>
      <c r="E116" s="138"/>
      <c r="F116" s="138"/>
      <c r="G116" s="138"/>
      <c r="H116" s="138"/>
      <c r="I116" s="138"/>
      <c r="J116" s="16"/>
    </row>
    <row r="117" spans="2:10" s="84" customFormat="1">
      <c r="B117" s="323"/>
      <c r="C117" s="22"/>
      <c r="D117" s="138"/>
      <c r="E117" s="138"/>
      <c r="F117" s="138"/>
      <c r="G117" s="138"/>
      <c r="H117" s="138"/>
      <c r="I117" s="138"/>
      <c r="J117" s="16"/>
    </row>
    <row r="118" spans="2:10" s="84" customFormat="1">
      <c r="B118" s="323"/>
      <c r="C118" s="22"/>
      <c r="D118" s="138"/>
      <c r="E118" s="138"/>
      <c r="F118" s="138"/>
      <c r="G118" s="138"/>
      <c r="H118" s="138"/>
      <c r="I118" s="138"/>
      <c r="J118" s="16"/>
    </row>
    <row r="119" spans="2:10" s="84" customFormat="1">
      <c r="B119" s="323"/>
      <c r="C119" s="22"/>
      <c r="D119" s="138"/>
      <c r="E119" s="138"/>
      <c r="F119" s="138"/>
      <c r="G119" s="138"/>
      <c r="H119" s="138"/>
      <c r="I119" s="138"/>
      <c r="J119" s="16"/>
    </row>
    <row r="120" spans="2:10" s="84" customFormat="1">
      <c r="B120" s="323"/>
      <c r="C120" s="22"/>
      <c r="D120" s="138"/>
      <c r="E120" s="138"/>
      <c r="F120" s="138"/>
      <c r="G120" s="138"/>
      <c r="H120" s="138"/>
      <c r="I120" s="138"/>
      <c r="J120" s="16"/>
    </row>
    <row r="121" spans="2:10" s="84" customFormat="1">
      <c r="B121" s="323"/>
      <c r="C121" s="22"/>
      <c r="D121" s="138"/>
      <c r="E121" s="138"/>
      <c r="F121" s="138"/>
      <c r="G121" s="138"/>
      <c r="H121" s="138"/>
      <c r="I121" s="138"/>
      <c r="J121" s="16"/>
    </row>
    <row r="122" spans="2:10" s="84" customFormat="1">
      <c r="B122" s="323"/>
      <c r="C122" s="22"/>
      <c r="D122" s="138"/>
      <c r="E122" s="138"/>
      <c r="F122" s="138"/>
      <c r="G122" s="138"/>
      <c r="H122" s="138"/>
      <c r="I122" s="138"/>
      <c r="J122" s="16"/>
    </row>
    <row r="123" spans="2:10" s="84" customFormat="1">
      <c r="B123" s="323"/>
      <c r="C123" s="22"/>
      <c r="D123" s="138"/>
      <c r="E123" s="138"/>
      <c r="F123" s="138"/>
      <c r="G123" s="138"/>
      <c r="H123" s="138"/>
      <c r="I123" s="138"/>
      <c r="J123" s="16"/>
    </row>
    <row r="124" spans="2:10" s="84" customFormat="1">
      <c r="B124" s="323"/>
      <c r="C124" s="22"/>
      <c r="D124" s="138"/>
      <c r="E124" s="138"/>
      <c r="F124" s="138"/>
      <c r="G124" s="138"/>
      <c r="H124" s="138"/>
      <c r="I124" s="138"/>
      <c r="J124" s="16"/>
    </row>
    <row r="125" spans="2:10" s="84" customFormat="1">
      <c r="B125" s="323"/>
      <c r="C125" s="22"/>
      <c r="D125" s="138"/>
      <c r="E125" s="138"/>
      <c r="F125" s="138"/>
      <c r="G125" s="138"/>
      <c r="H125" s="138"/>
      <c r="I125" s="138"/>
      <c r="J125" s="16"/>
    </row>
    <row r="126" spans="2:10" s="84" customFormat="1">
      <c r="B126" s="323"/>
      <c r="C126" s="22"/>
      <c r="D126" s="138"/>
      <c r="E126" s="138"/>
      <c r="F126" s="138"/>
      <c r="G126" s="138"/>
      <c r="H126" s="138"/>
      <c r="I126" s="138"/>
      <c r="J126" s="16"/>
    </row>
    <row r="127" spans="2:10" s="84" customFormat="1">
      <c r="B127" s="323"/>
      <c r="C127" s="22"/>
      <c r="D127" s="138"/>
      <c r="E127" s="138"/>
      <c r="F127" s="138"/>
      <c r="G127" s="138"/>
      <c r="H127" s="138"/>
      <c r="I127" s="138"/>
      <c r="J127" s="16"/>
    </row>
    <row r="128" spans="2:10" s="84" customFormat="1">
      <c r="B128" s="323"/>
      <c r="C128" s="22"/>
      <c r="D128" s="138"/>
      <c r="E128" s="138"/>
      <c r="F128" s="138"/>
      <c r="G128" s="138"/>
      <c r="H128" s="138"/>
      <c r="I128" s="138"/>
      <c r="J128" s="16"/>
    </row>
    <row r="129" spans="2:10" s="84" customFormat="1">
      <c r="B129" s="323"/>
      <c r="C129" s="22"/>
      <c r="D129" s="138"/>
      <c r="E129" s="138"/>
      <c r="F129" s="138"/>
      <c r="G129" s="138"/>
      <c r="H129" s="138"/>
      <c r="I129" s="138"/>
      <c r="J129" s="16"/>
    </row>
    <row r="130" spans="2:10" s="84" customFormat="1">
      <c r="B130" s="323"/>
      <c r="C130" s="22"/>
      <c r="D130" s="138"/>
      <c r="E130" s="138"/>
      <c r="F130" s="138"/>
      <c r="G130" s="138"/>
      <c r="H130" s="138"/>
      <c r="I130" s="138"/>
      <c r="J130" s="16"/>
    </row>
    <row r="131" spans="2:10" s="84" customFormat="1">
      <c r="B131" s="323"/>
      <c r="C131" s="22"/>
      <c r="D131" s="138"/>
      <c r="E131" s="138"/>
      <c r="F131" s="138"/>
      <c r="G131" s="138"/>
      <c r="H131" s="138"/>
      <c r="I131" s="138"/>
      <c r="J131" s="16"/>
    </row>
    <row r="132" spans="2:10" s="84" customFormat="1">
      <c r="B132" s="323"/>
      <c r="C132" s="22"/>
      <c r="D132" s="138"/>
      <c r="E132" s="138"/>
      <c r="F132" s="138"/>
      <c r="G132" s="138"/>
      <c r="H132" s="138"/>
      <c r="I132" s="138"/>
      <c r="J132" s="16"/>
    </row>
    <row r="133" spans="2:10" s="84" customFormat="1">
      <c r="B133" s="323"/>
      <c r="C133" s="22"/>
      <c r="D133" s="138"/>
      <c r="E133" s="138"/>
      <c r="F133" s="138"/>
      <c r="G133" s="138"/>
      <c r="H133" s="138"/>
      <c r="I133" s="138"/>
      <c r="J133" s="16"/>
    </row>
  </sheetData>
  <mergeCells count="31">
    <mergeCell ref="B6:B8"/>
    <mergeCell ref="C3:J3"/>
    <mergeCell ref="H7:H8"/>
    <mergeCell ref="C6:C8"/>
    <mergeCell ref="C13:C14"/>
    <mergeCell ref="C42:C43"/>
    <mergeCell ref="C44:C45"/>
    <mergeCell ref="D41:D42"/>
    <mergeCell ref="C36:C37"/>
    <mergeCell ref="D43:D44"/>
    <mergeCell ref="C38:C39"/>
    <mergeCell ref="C40:C41"/>
    <mergeCell ref="D6:D8"/>
    <mergeCell ref="E6:I6"/>
    <mergeCell ref="C17:C18"/>
    <mergeCell ref="J6:J8"/>
    <mergeCell ref="C34:C35"/>
    <mergeCell ref="E7:E8"/>
    <mergeCell ref="D20:D21"/>
    <mergeCell ref="C15:C16"/>
    <mergeCell ref="F7:F8"/>
    <mergeCell ref="C5:D5"/>
    <mergeCell ref="G7:G8"/>
    <mergeCell ref="D17:D18"/>
    <mergeCell ref="I7:I8"/>
    <mergeCell ref="D36:D37"/>
    <mergeCell ref="D45:D46"/>
    <mergeCell ref="D13:D14"/>
    <mergeCell ref="D15:D16"/>
    <mergeCell ref="D38:D39"/>
    <mergeCell ref="D34:D35"/>
  </mergeCells>
  <conditionalFormatting sqref="O10:O59 P10:P59 U10:U59 V10:V59 AA10:AA59 AB10:AB59 AG10:AG59 AH10:AH59 AM10:AM59 AN10:AN59 AS10:AS59 AT10:AT59 AY10:AY59 AZ10:AZ59 BE10:BE59 BF10:BF59 BK10:BK59 BL10:BL59 BQ10:BQ59 BR10:BR59 BW10:BW59 BX10:BX59 CC10:CC59 CD10:CD59 CI10:CI59 CJ10:CJ59 CO10:CO59 CP10:CP59 CU10:CU59 CV10:CV59 DA10:DA59 DB10:DB59 DG10:DG59 DH10:DH59">
    <cfRule type="cellIs" dxfId="66" priority="3" operator="greaterThan">
      <formula>0</formula>
    </cfRule>
    <cfRule type="cellIs" dxfId="65" priority="2" operator="lessThan">
      <formula>0</formula>
    </cfRule>
    <cfRule type="cellIs" dxfId="64" priority="1" operator="equal">
      <formula>0</formula>
    </cfRule>
  </conditionalFormatting>
  <conditionalFormatting sqref="L10:L59 N10:N59 R10:R59 T10:T59 X10:X59 Z10:Z59 AD10:AD59 AF10:AF59 AJ10:AJ59 AL10:AL59 AP10:AP59 AR10:AR59 AV10:AV59 AX10:AX59 BB10:BB59 BD10:BD59 BH10:BH59 BJ10:BJ59 BN10:BN59 BP10:BP59 BT10:BT59 BV10:BV59 BZ10:BZ59 CB10:CB59 CF10:CF59 CH10:CH59 CL10:CL59 CN10:CN59 CR10:CR59 CT10:CT59 CX10:CX59 CZ10:CZ59 DD10:DD59 DF10:DF59">
    <cfRule type="cellIs" dxfId="63" priority="4" operator="equal">
      <formula>0</formula>
    </cfRule>
  </conditionalFormatting>
  <pageMargins left="0.25" right="0.25" top="0.75" bottom="0.75" header="0.3" footer="0.3"/>
  <pageSetup paperSize="9" scale="82" fitToHeight="0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8">
    <tabColor theme="8" tint="0.59999389629810485"/>
    <pageSetUpPr fitToPage="1"/>
  </sheetPr>
  <dimension ref="A1:DH269"/>
  <sheetViews>
    <sheetView topLeftCell="C1" zoomScale="60" zoomScaleNormal="60" zoomScaleSheetLayoutView="55" workbookViewId="0">
      <pane xSplit="8" ySplit="10" topLeftCell="K11" activePane="bottomRight" state="frozen"/>
      <selection activeCell="C1" sqref="C1"/>
      <selection pane="topRight" activeCell="K1" sqref="K1"/>
      <selection pane="bottomLeft" activeCell="C11" sqref="C11"/>
      <selection pane="bottomRight" activeCell="E1" sqref="E1:I1048576"/>
    </sheetView>
  </sheetViews>
  <sheetFormatPr defaultColWidth="8.42578125" defaultRowHeight="19.5" outlineLevelRow="1" outlineLevelCol="1"/>
  <cols>
    <col min="1" max="1" width="11.85546875" style="86" hidden="1" customWidth="1"/>
    <col min="2" max="2" width="22.5703125" style="30" hidden="1" customWidth="1"/>
    <col min="3" max="3" width="12.28515625" style="323" customWidth="1"/>
    <col min="4" max="4" width="72.7109375" style="323" customWidth="1"/>
    <col min="5" max="9" width="24.42578125" style="323" customWidth="1" outlineLevel="1"/>
    <col min="10" max="10" width="14" style="323" customWidth="1"/>
    <col min="11" max="11" width="8.42578125" style="323" customWidth="1"/>
    <col min="12" max="112" width="8.42578125" style="621" customWidth="1"/>
    <col min="113" max="16384" width="8.42578125" style="323"/>
  </cols>
  <sheetData>
    <row r="1" spans="2:10" ht="18.75" customHeight="1"/>
    <row r="2" spans="2:10" ht="21" customHeight="1"/>
    <row r="3" spans="2:10" ht="21" customHeight="1">
      <c r="C3" s="789" t="s">
        <v>2051</v>
      </c>
      <c r="D3" s="790"/>
      <c r="E3" s="790"/>
      <c r="F3" s="790"/>
      <c r="G3" s="790"/>
      <c r="H3" s="790"/>
      <c r="I3" s="790"/>
      <c r="J3" s="790"/>
    </row>
    <row r="4" spans="2:10" ht="33" customHeight="1"/>
    <row r="5" spans="2:10" ht="33" customHeight="1"/>
    <row r="6" spans="2:10" ht="19.5" customHeight="1">
      <c r="C6" s="363" t="s">
        <v>2762</v>
      </c>
    </row>
    <row r="7" spans="2:10" ht="20.100000000000001" customHeight="1">
      <c r="B7" s="787" t="s">
        <v>1799</v>
      </c>
      <c r="C7" s="792" t="s">
        <v>2666</v>
      </c>
      <c r="D7" s="783" t="s">
        <v>16</v>
      </c>
      <c r="E7" s="761" t="s">
        <v>17</v>
      </c>
      <c r="F7" s="762"/>
      <c r="G7" s="762"/>
      <c r="H7" s="762"/>
      <c r="I7" s="763"/>
      <c r="J7" s="783" t="s">
        <v>1365</v>
      </c>
    </row>
    <row r="8" spans="2:10" ht="39.950000000000003" customHeight="1">
      <c r="B8" s="831"/>
      <c r="C8" s="756"/>
      <c r="D8" s="756"/>
      <c r="E8" s="741" t="s">
        <v>19</v>
      </c>
      <c r="F8" s="741" t="s">
        <v>20</v>
      </c>
      <c r="G8" s="741" t="s">
        <v>21</v>
      </c>
      <c r="H8" s="741" t="s">
        <v>22</v>
      </c>
      <c r="I8" s="741" t="s">
        <v>23</v>
      </c>
      <c r="J8" s="756"/>
    </row>
    <row r="9" spans="2:10" ht="20.100000000000001" customHeight="1">
      <c r="B9" s="831"/>
      <c r="C9" s="757"/>
      <c r="D9" s="757"/>
      <c r="E9" s="742"/>
      <c r="F9" s="742"/>
      <c r="G9" s="742"/>
      <c r="H9" s="742"/>
      <c r="I9" s="742"/>
      <c r="J9" s="757"/>
    </row>
    <row r="10" spans="2:10" ht="20.100000000000001" hidden="1" customHeight="1">
      <c r="B10" s="610"/>
      <c r="C10" s="646"/>
      <c r="D10" s="657"/>
      <c r="E10" s="391"/>
      <c r="F10" s="391"/>
      <c r="G10" s="391"/>
      <c r="H10" s="391"/>
      <c r="I10" s="391"/>
      <c r="J10" s="657"/>
    </row>
    <row r="11" spans="2:10" ht="65.25" customHeight="1">
      <c r="B11" s="610"/>
      <c r="C11" s="87">
        <v>1</v>
      </c>
      <c r="D11" s="616" t="s">
        <v>1556</v>
      </c>
      <c r="E11" s="530" t="s">
        <v>2763</v>
      </c>
      <c r="F11" s="530"/>
      <c r="G11" s="531"/>
      <c r="H11" s="532" t="s">
        <v>2764</v>
      </c>
      <c r="I11" s="532"/>
      <c r="J11" s="657" t="s">
        <v>814</v>
      </c>
    </row>
    <row r="12" spans="2:10" ht="37.5" customHeight="1">
      <c r="B12" s="88" t="s">
        <v>1876</v>
      </c>
      <c r="C12" s="337" t="s">
        <v>43</v>
      </c>
      <c r="D12" s="604" t="s">
        <v>1558</v>
      </c>
      <c r="E12" s="530" t="s">
        <v>2765</v>
      </c>
      <c r="F12" s="530"/>
      <c r="G12" s="531"/>
      <c r="H12" s="532" t="s">
        <v>2766</v>
      </c>
      <c r="I12" s="532"/>
      <c r="J12" s="650" t="s">
        <v>814</v>
      </c>
    </row>
    <row r="13" spans="2:10" ht="37.5" customHeight="1">
      <c r="B13" s="88"/>
      <c r="C13" s="640" t="s">
        <v>1373</v>
      </c>
      <c r="D13" s="90" t="s">
        <v>1561</v>
      </c>
      <c r="E13" s="530" t="s">
        <v>2767</v>
      </c>
      <c r="F13" s="530"/>
      <c r="G13" s="531"/>
      <c r="H13" s="532" t="s">
        <v>2768</v>
      </c>
      <c r="I13" s="532"/>
      <c r="J13" s="647" t="s">
        <v>814</v>
      </c>
    </row>
    <row r="14" spans="2:10">
      <c r="B14" s="88" t="s">
        <v>1902</v>
      </c>
      <c r="C14" s="613" t="s">
        <v>1376</v>
      </c>
      <c r="D14" s="92" t="s">
        <v>1436</v>
      </c>
      <c r="E14" s="530" t="s">
        <v>2769</v>
      </c>
      <c r="F14" s="530"/>
      <c r="G14" s="531"/>
      <c r="H14" s="532" t="s">
        <v>2770</v>
      </c>
      <c r="I14" s="532"/>
      <c r="J14" s="650" t="s">
        <v>814</v>
      </c>
    </row>
    <row r="15" spans="2:10">
      <c r="B15" s="88" t="s">
        <v>1937</v>
      </c>
      <c r="C15" s="617"/>
      <c r="D15" s="93" t="s">
        <v>1609</v>
      </c>
      <c r="E15" s="530" t="s">
        <v>2771</v>
      </c>
      <c r="F15" s="530"/>
      <c r="G15" s="531"/>
      <c r="H15" s="532"/>
      <c r="I15" s="532"/>
      <c r="J15" s="657" t="s">
        <v>814</v>
      </c>
    </row>
    <row r="16" spans="2:10">
      <c r="B16" s="88" t="s">
        <v>1962</v>
      </c>
      <c r="C16" s="617"/>
      <c r="D16" s="93" t="s">
        <v>205</v>
      </c>
      <c r="E16" s="530" t="s">
        <v>2772</v>
      </c>
      <c r="F16" s="530"/>
      <c r="G16" s="531"/>
      <c r="H16" s="532"/>
      <c r="I16" s="532"/>
      <c r="J16" s="657" t="s">
        <v>814</v>
      </c>
    </row>
    <row r="17" spans="2:10">
      <c r="B17" s="88" t="s">
        <v>1966</v>
      </c>
      <c r="C17" s="617"/>
      <c r="D17" s="514" t="s">
        <v>1567</v>
      </c>
      <c r="E17" s="530" t="s">
        <v>2773</v>
      </c>
      <c r="F17" s="530"/>
      <c r="G17" s="531"/>
      <c r="H17" s="532"/>
      <c r="I17" s="532"/>
      <c r="J17" s="657" t="s">
        <v>814</v>
      </c>
    </row>
    <row r="18" spans="2:10" ht="48" customHeight="1">
      <c r="B18" s="88" t="s">
        <v>1982</v>
      </c>
      <c r="C18" s="613" t="s">
        <v>1382</v>
      </c>
      <c r="D18" s="92" t="s">
        <v>1374</v>
      </c>
      <c r="E18" s="530" t="s">
        <v>2774</v>
      </c>
      <c r="F18" s="530"/>
      <c r="G18" s="531"/>
      <c r="H18" s="532" t="s">
        <v>2775</v>
      </c>
      <c r="I18" s="532"/>
      <c r="J18" s="91" t="s">
        <v>814</v>
      </c>
    </row>
    <row r="19" spans="2:10">
      <c r="B19" s="88" t="s">
        <v>1995</v>
      </c>
      <c r="C19" s="617"/>
      <c r="D19" s="93" t="s">
        <v>1377</v>
      </c>
      <c r="E19" s="530" t="s">
        <v>2776</v>
      </c>
      <c r="F19" s="530"/>
      <c r="G19" s="531"/>
      <c r="H19" s="532"/>
      <c r="I19" s="532"/>
      <c r="J19" s="91" t="s">
        <v>814</v>
      </c>
    </row>
    <row r="20" spans="2:10">
      <c r="B20" s="88" t="s">
        <v>1999</v>
      </c>
      <c r="C20" s="617"/>
      <c r="D20" s="514" t="s">
        <v>1443</v>
      </c>
      <c r="E20" s="530" t="s">
        <v>2777</v>
      </c>
      <c r="F20" s="530"/>
      <c r="G20" s="531"/>
      <c r="H20" s="532"/>
      <c r="I20" s="532"/>
      <c r="J20" s="91" t="s">
        <v>814</v>
      </c>
    </row>
    <row r="21" spans="2:10">
      <c r="B21" s="88"/>
      <c r="C21" s="617"/>
      <c r="D21" s="371" t="s">
        <v>1572</v>
      </c>
      <c r="E21" s="530" t="s">
        <v>2778</v>
      </c>
      <c r="F21" s="530"/>
      <c r="G21" s="531"/>
      <c r="H21" s="532"/>
      <c r="I21" s="532"/>
      <c r="J21" s="372" t="s">
        <v>814</v>
      </c>
    </row>
    <row r="22" spans="2:10">
      <c r="B22" s="88"/>
      <c r="C22" s="617"/>
      <c r="D22" s="94" t="s">
        <v>1383</v>
      </c>
      <c r="E22" s="530" t="s">
        <v>2779</v>
      </c>
      <c r="F22" s="530"/>
      <c r="G22" s="531"/>
      <c r="H22" s="532"/>
      <c r="I22" s="532"/>
      <c r="J22" s="91" t="s">
        <v>814</v>
      </c>
    </row>
    <row r="23" spans="2:10">
      <c r="B23" s="88" t="s">
        <v>2003</v>
      </c>
      <c r="C23" s="617"/>
      <c r="D23" s="94" t="s">
        <v>211</v>
      </c>
      <c r="E23" s="530" t="s">
        <v>2780</v>
      </c>
      <c r="F23" s="530"/>
      <c r="G23" s="531"/>
      <c r="H23" s="532"/>
      <c r="I23" s="532"/>
      <c r="J23" s="91" t="s">
        <v>814</v>
      </c>
    </row>
    <row r="24" spans="2:10">
      <c r="B24" s="88" t="s">
        <v>2007</v>
      </c>
      <c r="C24" s="617"/>
      <c r="D24" s="514" t="s">
        <v>1567</v>
      </c>
      <c r="E24" s="530" t="s">
        <v>2781</v>
      </c>
      <c r="F24" s="530"/>
      <c r="G24" s="531"/>
      <c r="H24" s="532"/>
      <c r="I24" s="532"/>
      <c r="J24" s="91" t="s">
        <v>814</v>
      </c>
    </row>
    <row r="25" spans="2:10">
      <c r="B25" s="88"/>
      <c r="C25" s="617"/>
      <c r="D25" s="94" t="s">
        <v>1400</v>
      </c>
      <c r="E25" s="530" t="s">
        <v>2782</v>
      </c>
      <c r="F25" s="530"/>
      <c r="G25" s="531"/>
      <c r="H25" s="532"/>
      <c r="I25" s="532"/>
      <c r="J25" s="91"/>
    </row>
    <row r="26" spans="2:10">
      <c r="B26" s="88" t="s">
        <v>2011</v>
      </c>
      <c r="C26" s="617"/>
      <c r="D26" s="94" t="s">
        <v>1574</v>
      </c>
      <c r="E26" s="530" t="s">
        <v>2783</v>
      </c>
      <c r="F26" s="530"/>
      <c r="G26" s="531"/>
      <c r="H26" s="532"/>
      <c r="I26" s="532"/>
      <c r="J26" s="657" t="s">
        <v>814</v>
      </c>
    </row>
    <row r="27" spans="2:10">
      <c r="B27" s="88" t="s">
        <v>2015</v>
      </c>
      <c r="C27" s="617"/>
      <c r="D27" s="94" t="s">
        <v>1575</v>
      </c>
      <c r="E27" s="530" t="s">
        <v>2784</v>
      </c>
      <c r="F27" s="530"/>
      <c r="G27" s="531"/>
      <c r="H27" s="532"/>
      <c r="I27" s="532"/>
      <c r="J27" s="657" t="s">
        <v>814</v>
      </c>
    </row>
    <row r="28" spans="2:10">
      <c r="B28" s="88"/>
      <c r="C28" s="617"/>
      <c r="D28" s="94" t="s">
        <v>1576</v>
      </c>
      <c r="E28" s="530" t="s">
        <v>2785</v>
      </c>
      <c r="F28" s="530"/>
      <c r="G28" s="531"/>
      <c r="H28" s="532"/>
      <c r="I28" s="532"/>
      <c r="J28" s="657" t="s">
        <v>814</v>
      </c>
    </row>
    <row r="29" spans="2:10">
      <c r="B29" s="88"/>
      <c r="C29" s="617"/>
      <c r="D29" s="514" t="s">
        <v>1443</v>
      </c>
      <c r="E29" s="530" t="s">
        <v>2786</v>
      </c>
      <c r="F29" s="530"/>
      <c r="G29" s="531"/>
      <c r="H29" s="532" t="s">
        <v>2787</v>
      </c>
      <c r="I29" s="532"/>
      <c r="J29" s="657" t="s">
        <v>814</v>
      </c>
    </row>
    <row r="30" spans="2:10">
      <c r="B30" s="88"/>
      <c r="C30" s="617"/>
      <c r="D30" s="94" t="s">
        <v>1424</v>
      </c>
      <c r="E30" s="530" t="s">
        <v>2788</v>
      </c>
      <c r="F30" s="530"/>
      <c r="G30" s="531"/>
      <c r="H30" s="532"/>
      <c r="I30" s="532"/>
      <c r="J30" s="657" t="s">
        <v>814</v>
      </c>
    </row>
    <row r="31" spans="2:10">
      <c r="B31" s="88"/>
      <c r="C31" s="617"/>
      <c r="D31" s="94" t="s">
        <v>1434</v>
      </c>
      <c r="E31" s="530" t="s">
        <v>2789</v>
      </c>
      <c r="F31" s="530"/>
      <c r="G31" s="531"/>
      <c r="H31" s="532"/>
      <c r="I31" s="532"/>
      <c r="J31" s="657" t="s">
        <v>814</v>
      </c>
    </row>
    <row r="32" spans="2:10">
      <c r="B32" s="88" t="s">
        <v>2790</v>
      </c>
      <c r="C32" s="613" t="s">
        <v>1397</v>
      </c>
      <c r="D32" s="92" t="s">
        <v>1579</v>
      </c>
      <c r="E32" s="530" t="s">
        <v>2791</v>
      </c>
      <c r="F32" s="530"/>
      <c r="G32" s="531"/>
      <c r="H32" s="532" t="s">
        <v>2792</v>
      </c>
      <c r="I32" s="532"/>
      <c r="J32" s="91" t="s">
        <v>814</v>
      </c>
    </row>
    <row r="33" spans="2:10">
      <c r="B33" s="88" t="s">
        <v>2793</v>
      </c>
      <c r="C33" s="617"/>
      <c r="D33" s="93" t="s">
        <v>1581</v>
      </c>
      <c r="E33" s="530" t="s">
        <v>2794</v>
      </c>
      <c r="F33" s="530"/>
      <c r="G33" s="531"/>
      <c r="H33" s="532"/>
      <c r="I33" s="532"/>
      <c r="J33" s="91" t="s">
        <v>814</v>
      </c>
    </row>
    <row r="34" spans="2:10">
      <c r="B34" s="88" t="s">
        <v>2795</v>
      </c>
      <c r="C34" s="617"/>
      <c r="D34" s="93" t="s">
        <v>1582</v>
      </c>
      <c r="E34" s="530" t="s">
        <v>2796</v>
      </c>
      <c r="F34" s="530"/>
      <c r="G34" s="531"/>
      <c r="H34" s="532"/>
      <c r="I34" s="532"/>
      <c r="J34" s="91" t="s">
        <v>814</v>
      </c>
    </row>
    <row r="35" spans="2:10">
      <c r="B35" s="95" t="s">
        <v>2797</v>
      </c>
      <c r="C35" s="613" t="s">
        <v>1399</v>
      </c>
      <c r="D35" s="92" t="s">
        <v>1465</v>
      </c>
      <c r="E35" s="530" t="s">
        <v>2798</v>
      </c>
      <c r="F35" s="530"/>
      <c r="G35" s="531"/>
      <c r="H35" s="532" t="s">
        <v>2799</v>
      </c>
      <c r="I35" s="532"/>
      <c r="J35" s="91" t="s">
        <v>814</v>
      </c>
    </row>
    <row r="36" spans="2:10" ht="26.25" customHeight="1">
      <c r="B36" s="88"/>
      <c r="C36" s="617"/>
      <c r="D36" s="93" t="s">
        <v>1467</v>
      </c>
      <c r="E36" s="530" t="s">
        <v>2799</v>
      </c>
      <c r="F36" s="530"/>
      <c r="G36" s="531"/>
      <c r="H36" s="532"/>
      <c r="I36" s="532"/>
      <c r="J36" s="91" t="s">
        <v>814</v>
      </c>
    </row>
    <row r="37" spans="2:10">
      <c r="B37" s="88" t="s">
        <v>2800</v>
      </c>
      <c r="C37" s="613" t="s">
        <v>1404</v>
      </c>
      <c r="D37" s="92" t="s">
        <v>1441</v>
      </c>
      <c r="E37" s="530" t="s">
        <v>2801</v>
      </c>
      <c r="F37" s="530"/>
      <c r="G37" s="531"/>
      <c r="H37" s="532" t="s">
        <v>2802</v>
      </c>
      <c r="I37" s="532"/>
      <c r="J37" s="91" t="s">
        <v>814</v>
      </c>
    </row>
    <row r="38" spans="2:10">
      <c r="B38" s="88"/>
      <c r="C38" s="617"/>
      <c r="D38" s="93" t="s">
        <v>216</v>
      </c>
      <c r="E38" s="530" t="s">
        <v>2802</v>
      </c>
      <c r="F38" s="530"/>
      <c r="G38" s="531"/>
      <c r="H38" s="532"/>
      <c r="I38" s="532"/>
      <c r="J38" s="91" t="s">
        <v>814</v>
      </c>
    </row>
    <row r="39" spans="2:10">
      <c r="B39" s="88"/>
      <c r="C39" s="617"/>
      <c r="D39" s="514" t="s">
        <v>1443</v>
      </c>
      <c r="E39" s="530" t="s">
        <v>2803</v>
      </c>
      <c r="F39" s="530"/>
      <c r="G39" s="531"/>
      <c r="H39" s="532" t="s">
        <v>2802</v>
      </c>
      <c r="I39" s="532"/>
      <c r="J39" s="91" t="s">
        <v>814</v>
      </c>
    </row>
    <row r="40" spans="2:10">
      <c r="B40" s="65" t="s">
        <v>2804</v>
      </c>
      <c r="C40" s="617" t="s">
        <v>1435</v>
      </c>
      <c r="D40" s="90" t="s">
        <v>1586</v>
      </c>
      <c r="E40" s="530" t="s">
        <v>2805</v>
      </c>
      <c r="F40" s="530"/>
      <c r="G40" s="531"/>
      <c r="H40" s="532"/>
      <c r="I40" s="532"/>
      <c r="J40" s="91" t="s">
        <v>814</v>
      </c>
    </row>
    <row r="41" spans="2:10" ht="24" customHeight="1">
      <c r="B41" s="88" t="s">
        <v>2806</v>
      </c>
      <c r="C41" s="337" t="s">
        <v>53</v>
      </c>
      <c r="D41" s="638" t="s">
        <v>1587</v>
      </c>
      <c r="E41" s="530" t="s">
        <v>2807</v>
      </c>
      <c r="F41" s="530"/>
      <c r="G41" s="531"/>
      <c r="H41" s="532" t="s">
        <v>2808</v>
      </c>
      <c r="I41" s="532"/>
      <c r="J41" s="91" t="s">
        <v>814</v>
      </c>
    </row>
    <row r="42" spans="2:10">
      <c r="B42" s="88"/>
      <c r="C42" s="617" t="s">
        <v>1471</v>
      </c>
      <c r="D42" s="90" t="s">
        <v>1561</v>
      </c>
      <c r="E42" s="530" t="s">
        <v>2809</v>
      </c>
      <c r="F42" s="530"/>
      <c r="G42" s="531"/>
      <c r="H42" s="532" t="s">
        <v>2810</v>
      </c>
      <c r="I42" s="532"/>
      <c r="J42" s="91" t="s">
        <v>814</v>
      </c>
    </row>
    <row r="43" spans="2:10">
      <c r="B43" s="88"/>
      <c r="C43" s="337"/>
      <c r="D43" s="96" t="s">
        <v>1374</v>
      </c>
      <c r="E43" s="530" t="s">
        <v>2810</v>
      </c>
      <c r="F43" s="530"/>
      <c r="G43" s="531"/>
      <c r="H43" s="532" t="s">
        <v>2811</v>
      </c>
      <c r="I43" s="532"/>
      <c r="J43" s="91" t="s">
        <v>814</v>
      </c>
    </row>
    <row r="44" spans="2:10">
      <c r="B44" s="88" t="s">
        <v>2812</v>
      </c>
      <c r="C44" s="640"/>
      <c r="D44" s="97" t="s">
        <v>1377</v>
      </c>
      <c r="E44" s="530" t="s">
        <v>2811</v>
      </c>
      <c r="F44" s="530"/>
      <c r="G44" s="531"/>
      <c r="H44" s="532" t="s">
        <v>2813</v>
      </c>
      <c r="I44" s="532"/>
      <c r="J44" s="91" t="s">
        <v>814</v>
      </c>
    </row>
    <row r="45" spans="2:10">
      <c r="B45" s="88" t="s">
        <v>2814</v>
      </c>
      <c r="C45" s="640"/>
      <c r="D45" s="514" t="s">
        <v>1443</v>
      </c>
      <c r="E45" s="530" t="s">
        <v>2815</v>
      </c>
      <c r="F45" s="530"/>
      <c r="G45" s="531"/>
      <c r="H45" s="532"/>
      <c r="I45" s="532"/>
      <c r="J45" s="91" t="s">
        <v>814</v>
      </c>
    </row>
    <row r="46" spans="2:10">
      <c r="B46" s="88" t="s">
        <v>2816</v>
      </c>
      <c r="C46" s="640"/>
      <c r="D46" s="514" t="s">
        <v>1592</v>
      </c>
      <c r="E46" s="530" t="s">
        <v>2817</v>
      </c>
      <c r="F46" s="530"/>
      <c r="G46" s="531"/>
      <c r="H46" s="532"/>
      <c r="I46" s="532"/>
      <c r="J46" s="91" t="s">
        <v>814</v>
      </c>
    </row>
    <row r="47" spans="2:10">
      <c r="B47" s="88" t="s">
        <v>2818</v>
      </c>
      <c r="C47" s="617" t="s">
        <v>1496</v>
      </c>
      <c r="D47" s="90" t="s">
        <v>1586</v>
      </c>
      <c r="E47" s="530" t="s">
        <v>2819</v>
      </c>
      <c r="F47" s="530"/>
      <c r="G47" s="531"/>
      <c r="H47" s="532"/>
      <c r="I47" s="532"/>
      <c r="J47" s="91" t="s">
        <v>814</v>
      </c>
    </row>
    <row r="48" spans="2:10">
      <c r="B48" s="88" t="s">
        <v>2820</v>
      </c>
      <c r="C48" s="617" t="s">
        <v>1502</v>
      </c>
      <c r="D48" s="90" t="s">
        <v>1596</v>
      </c>
      <c r="E48" s="530" t="s">
        <v>2821</v>
      </c>
      <c r="F48" s="530"/>
      <c r="G48" s="531"/>
      <c r="H48" s="532"/>
      <c r="I48" s="532"/>
      <c r="J48" s="91" t="s">
        <v>814</v>
      </c>
    </row>
    <row r="49" spans="1:10">
      <c r="B49" s="65" t="s">
        <v>2822</v>
      </c>
      <c r="C49" s="617"/>
      <c r="D49" s="98" t="s">
        <v>804</v>
      </c>
      <c r="E49" s="530"/>
      <c r="F49" s="530"/>
      <c r="G49" s="531"/>
      <c r="H49" s="532"/>
      <c r="I49" s="532"/>
      <c r="J49" s="91"/>
    </row>
    <row r="50" spans="1:10" ht="24" customHeight="1">
      <c r="B50" s="65" t="s">
        <v>2823</v>
      </c>
      <c r="C50" s="617"/>
      <c r="D50" s="99" t="s">
        <v>2824</v>
      </c>
      <c r="E50" s="530" t="s">
        <v>2825</v>
      </c>
      <c r="F50" s="530"/>
      <c r="G50" s="531"/>
      <c r="H50" s="532" t="s">
        <v>2826</v>
      </c>
      <c r="I50" s="532"/>
      <c r="J50" s="91" t="s">
        <v>814</v>
      </c>
    </row>
    <row r="51" spans="1:10">
      <c r="B51" s="65" t="s">
        <v>2827</v>
      </c>
      <c r="C51" s="617"/>
      <c r="D51" s="100" t="s">
        <v>2828</v>
      </c>
      <c r="E51" s="530" t="s">
        <v>2829</v>
      </c>
      <c r="F51" s="530"/>
      <c r="G51" s="531"/>
      <c r="H51" s="532"/>
      <c r="I51" s="532"/>
      <c r="J51" s="91" t="s">
        <v>814</v>
      </c>
    </row>
    <row r="52" spans="1:10" s="84" customFormat="1" ht="37.5" customHeight="1">
      <c r="A52" s="726"/>
      <c r="B52" s="101" t="s">
        <v>2830</v>
      </c>
      <c r="C52" s="655">
        <v>2</v>
      </c>
      <c r="D52" s="638" t="s">
        <v>2831</v>
      </c>
      <c r="E52" s="530" t="s">
        <v>2832</v>
      </c>
      <c r="F52" s="530"/>
      <c r="G52" s="531"/>
      <c r="H52" s="532" t="s">
        <v>2833</v>
      </c>
      <c r="I52" s="532"/>
      <c r="J52" s="102" t="s">
        <v>814</v>
      </c>
    </row>
    <row r="53" spans="1:10" s="103" customFormat="1" ht="37.5" customHeight="1">
      <c r="A53" s="104"/>
      <c r="B53" s="88" t="s">
        <v>2834</v>
      </c>
      <c r="C53" s="613" t="s">
        <v>82</v>
      </c>
      <c r="D53" s="616" t="s">
        <v>2835</v>
      </c>
      <c r="E53" s="530" t="s">
        <v>2836</v>
      </c>
      <c r="F53" s="530"/>
      <c r="G53" s="531"/>
      <c r="H53" s="532" t="s">
        <v>2837</v>
      </c>
      <c r="I53" s="532"/>
      <c r="J53" s="91" t="s">
        <v>814</v>
      </c>
    </row>
    <row r="54" spans="1:10">
      <c r="B54" s="88" t="s">
        <v>2838</v>
      </c>
      <c r="C54" s="613"/>
      <c r="D54" s="105" t="s">
        <v>1436</v>
      </c>
      <c r="E54" s="530" t="s">
        <v>2839</v>
      </c>
      <c r="F54" s="530"/>
      <c r="G54" s="531"/>
      <c r="H54" s="532" t="s">
        <v>2840</v>
      </c>
      <c r="I54" s="532"/>
      <c r="J54" s="106" t="s">
        <v>814</v>
      </c>
    </row>
    <row r="55" spans="1:10">
      <c r="B55" s="88" t="s">
        <v>2841</v>
      </c>
      <c r="C55" s="617"/>
      <c r="D55" s="107" t="s">
        <v>1609</v>
      </c>
      <c r="E55" s="530" t="s">
        <v>2842</v>
      </c>
      <c r="F55" s="530"/>
      <c r="G55" s="531"/>
      <c r="H55" s="532" t="s">
        <v>2771</v>
      </c>
      <c r="I55" s="532"/>
      <c r="J55" s="91" t="s">
        <v>814</v>
      </c>
    </row>
    <row r="56" spans="1:10">
      <c r="B56" s="88" t="s">
        <v>2843</v>
      </c>
      <c r="C56" s="617"/>
      <c r="D56" s="107" t="s">
        <v>205</v>
      </c>
      <c r="E56" s="530" t="s">
        <v>2844</v>
      </c>
      <c r="F56" s="530"/>
      <c r="G56" s="531"/>
      <c r="H56" s="532" t="s">
        <v>2772</v>
      </c>
      <c r="I56" s="532"/>
      <c r="J56" s="91" t="s">
        <v>814</v>
      </c>
    </row>
    <row r="57" spans="1:10" ht="48" customHeight="1">
      <c r="B57" s="88" t="s">
        <v>2845</v>
      </c>
      <c r="C57" s="613"/>
      <c r="D57" s="105" t="s">
        <v>1374</v>
      </c>
      <c r="E57" s="530" t="s">
        <v>2846</v>
      </c>
      <c r="F57" s="530"/>
      <c r="G57" s="531"/>
      <c r="H57" s="532" t="s">
        <v>2847</v>
      </c>
      <c r="I57" s="532"/>
      <c r="J57" s="91" t="s">
        <v>814</v>
      </c>
    </row>
    <row r="58" spans="1:10">
      <c r="B58" s="88" t="s">
        <v>2848</v>
      </c>
      <c r="C58" s="617"/>
      <c r="D58" s="107" t="s">
        <v>1377</v>
      </c>
      <c r="E58" s="530" t="s">
        <v>2849</v>
      </c>
      <c r="F58" s="530"/>
      <c r="G58" s="531"/>
      <c r="H58" s="532" t="s">
        <v>2776</v>
      </c>
      <c r="I58" s="532"/>
      <c r="J58" s="91" t="s">
        <v>814</v>
      </c>
    </row>
    <row r="59" spans="1:10">
      <c r="B59" s="88"/>
      <c r="C59" s="617"/>
      <c r="D59" s="373" t="s">
        <v>1572</v>
      </c>
      <c r="E59" s="530" t="s">
        <v>2850</v>
      </c>
      <c r="F59" s="530"/>
      <c r="G59" s="531"/>
      <c r="H59" s="532" t="s">
        <v>2778</v>
      </c>
      <c r="I59" s="532"/>
      <c r="J59" s="372" t="s">
        <v>814</v>
      </c>
    </row>
    <row r="60" spans="1:10">
      <c r="B60" s="88"/>
      <c r="C60" s="617"/>
      <c r="D60" s="108" t="s">
        <v>1383</v>
      </c>
      <c r="E60" s="530" t="s">
        <v>2851</v>
      </c>
      <c r="F60" s="530"/>
      <c r="G60" s="531"/>
      <c r="H60" s="532" t="s">
        <v>2779</v>
      </c>
      <c r="I60" s="532"/>
      <c r="J60" s="91" t="s">
        <v>814</v>
      </c>
    </row>
    <row r="61" spans="1:10">
      <c r="B61" s="88" t="s">
        <v>2852</v>
      </c>
      <c r="C61" s="617"/>
      <c r="D61" s="108" t="s">
        <v>211</v>
      </c>
      <c r="E61" s="530" t="s">
        <v>2853</v>
      </c>
      <c r="F61" s="530"/>
      <c r="G61" s="531"/>
      <c r="H61" s="532" t="s">
        <v>2780</v>
      </c>
      <c r="I61" s="532"/>
      <c r="J61" s="91" t="s">
        <v>814</v>
      </c>
    </row>
    <row r="62" spans="1:10">
      <c r="B62" s="88"/>
      <c r="C62" s="617"/>
      <c r="D62" s="108" t="s">
        <v>1400</v>
      </c>
      <c r="E62" s="530" t="s">
        <v>2854</v>
      </c>
      <c r="F62" s="530"/>
      <c r="G62" s="531"/>
      <c r="H62" s="532" t="s">
        <v>2782</v>
      </c>
      <c r="I62" s="532"/>
      <c r="J62" s="91" t="s">
        <v>814</v>
      </c>
    </row>
    <row r="63" spans="1:10">
      <c r="B63" s="88" t="s">
        <v>2855</v>
      </c>
      <c r="C63" s="617"/>
      <c r="D63" s="108" t="s">
        <v>1574</v>
      </c>
      <c r="E63" s="530" t="s">
        <v>2856</v>
      </c>
      <c r="F63" s="530"/>
      <c r="G63" s="531"/>
      <c r="H63" s="532" t="s">
        <v>2783</v>
      </c>
      <c r="I63" s="532"/>
      <c r="J63" s="91" t="s">
        <v>814</v>
      </c>
    </row>
    <row r="64" spans="1:10">
      <c r="B64" s="88"/>
      <c r="C64" s="617"/>
      <c r="D64" s="108" t="s">
        <v>1575</v>
      </c>
      <c r="E64" s="530" t="s">
        <v>2857</v>
      </c>
      <c r="F64" s="530"/>
      <c r="G64" s="531"/>
      <c r="H64" s="532" t="s">
        <v>2784</v>
      </c>
      <c r="I64" s="532"/>
      <c r="J64" s="91" t="s">
        <v>814</v>
      </c>
    </row>
    <row r="65" spans="2:10">
      <c r="B65" s="88"/>
      <c r="C65" s="617"/>
      <c r="D65" s="108" t="s">
        <v>1576</v>
      </c>
      <c r="E65" s="530" t="s">
        <v>2858</v>
      </c>
      <c r="F65" s="530"/>
      <c r="G65" s="531"/>
      <c r="H65" s="532" t="s">
        <v>2785</v>
      </c>
      <c r="I65" s="532"/>
      <c r="J65" s="91" t="s">
        <v>814</v>
      </c>
    </row>
    <row r="66" spans="2:10">
      <c r="B66" s="88"/>
      <c r="C66" s="617"/>
      <c r="D66" s="108" t="s">
        <v>1424</v>
      </c>
      <c r="E66" s="530" t="s">
        <v>2859</v>
      </c>
      <c r="F66" s="530"/>
      <c r="G66" s="531"/>
      <c r="H66" s="532" t="s">
        <v>2788</v>
      </c>
      <c r="I66" s="532"/>
      <c r="J66" s="91" t="s">
        <v>814</v>
      </c>
    </row>
    <row r="67" spans="2:10">
      <c r="B67" s="88"/>
      <c r="C67" s="617"/>
      <c r="D67" s="108" t="s">
        <v>1434</v>
      </c>
      <c r="E67" s="530" t="s">
        <v>2860</v>
      </c>
      <c r="F67" s="530"/>
      <c r="G67" s="531"/>
      <c r="H67" s="532" t="s">
        <v>2789</v>
      </c>
      <c r="I67" s="532"/>
      <c r="J67" s="91" t="s">
        <v>814</v>
      </c>
    </row>
    <row r="68" spans="2:10">
      <c r="B68" s="88" t="s">
        <v>2861</v>
      </c>
      <c r="C68" s="613"/>
      <c r="D68" s="105" t="s">
        <v>1579</v>
      </c>
      <c r="E68" s="530" t="s">
        <v>2862</v>
      </c>
      <c r="F68" s="530"/>
      <c r="G68" s="531"/>
      <c r="H68" s="532" t="s">
        <v>2863</v>
      </c>
      <c r="I68" s="532"/>
      <c r="J68" s="91" t="s">
        <v>814</v>
      </c>
    </row>
    <row r="69" spans="2:10">
      <c r="B69" s="88" t="s">
        <v>2864</v>
      </c>
      <c r="C69" s="617"/>
      <c r="D69" s="107" t="s">
        <v>1581</v>
      </c>
      <c r="E69" s="530" t="s">
        <v>2865</v>
      </c>
      <c r="F69" s="530"/>
      <c r="G69" s="531"/>
      <c r="H69" s="532" t="s">
        <v>2794</v>
      </c>
      <c r="I69" s="532"/>
      <c r="J69" s="91" t="s">
        <v>814</v>
      </c>
    </row>
    <row r="70" spans="2:10">
      <c r="B70" s="88"/>
      <c r="C70" s="617"/>
      <c r="D70" s="107" t="s">
        <v>1582</v>
      </c>
      <c r="E70" s="530" t="s">
        <v>2866</v>
      </c>
      <c r="F70" s="530"/>
      <c r="G70" s="531"/>
      <c r="H70" s="532" t="s">
        <v>2796</v>
      </c>
      <c r="I70" s="532"/>
      <c r="J70" s="91" t="s">
        <v>814</v>
      </c>
    </row>
    <row r="71" spans="2:10">
      <c r="B71" s="88" t="s">
        <v>2867</v>
      </c>
      <c r="C71" s="613"/>
      <c r="D71" s="105" t="s">
        <v>1465</v>
      </c>
      <c r="E71" s="530" t="s">
        <v>2868</v>
      </c>
      <c r="F71" s="530"/>
      <c r="G71" s="531"/>
      <c r="H71" s="532" t="s">
        <v>2869</v>
      </c>
      <c r="I71" s="532"/>
      <c r="J71" s="91" t="s">
        <v>814</v>
      </c>
    </row>
    <row r="72" spans="2:10">
      <c r="B72" s="88"/>
      <c r="C72" s="617"/>
      <c r="D72" s="107" t="s">
        <v>1467</v>
      </c>
      <c r="E72" s="530" t="s">
        <v>2869</v>
      </c>
      <c r="F72" s="530"/>
      <c r="G72" s="531"/>
      <c r="H72" s="532" t="s">
        <v>2799</v>
      </c>
      <c r="I72" s="532"/>
      <c r="J72" s="91" t="s">
        <v>814</v>
      </c>
    </row>
    <row r="73" spans="2:10">
      <c r="B73" s="88" t="s">
        <v>2870</v>
      </c>
      <c r="C73" s="613"/>
      <c r="D73" s="105" t="s">
        <v>1441</v>
      </c>
      <c r="E73" s="530" t="s">
        <v>2871</v>
      </c>
      <c r="F73" s="530"/>
      <c r="G73" s="531"/>
      <c r="H73" s="532" t="s">
        <v>2872</v>
      </c>
      <c r="I73" s="532"/>
      <c r="J73" s="91" t="s">
        <v>814</v>
      </c>
    </row>
    <row r="74" spans="2:10">
      <c r="B74" s="88"/>
      <c r="C74" s="617"/>
      <c r="D74" s="107" t="s">
        <v>216</v>
      </c>
      <c r="E74" s="530" t="s">
        <v>2872</v>
      </c>
      <c r="F74" s="530"/>
      <c r="G74" s="531"/>
      <c r="H74" s="532" t="s">
        <v>2802</v>
      </c>
      <c r="I74" s="532"/>
      <c r="J74" s="91" t="s">
        <v>814</v>
      </c>
    </row>
    <row r="75" spans="2:10">
      <c r="B75" s="88" t="s">
        <v>2873</v>
      </c>
      <c r="C75" s="337" t="s">
        <v>84</v>
      </c>
      <c r="D75" s="638" t="s">
        <v>1618</v>
      </c>
      <c r="E75" s="530" t="s">
        <v>2874</v>
      </c>
      <c r="F75" s="530"/>
      <c r="G75" s="531"/>
      <c r="H75" s="532" t="s">
        <v>2813</v>
      </c>
      <c r="I75" s="532"/>
      <c r="J75" s="91" t="s">
        <v>814</v>
      </c>
    </row>
    <row r="76" spans="2:10">
      <c r="B76" s="88" t="s">
        <v>2875</v>
      </c>
      <c r="C76" s="655" t="s">
        <v>2688</v>
      </c>
      <c r="D76" s="109" t="s">
        <v>1619</v>
      </c>
      <c r="E76" s="530" t="s">
        <v>2876</v>
      </c>
      <c r="F76" s="530"/>
      <c r="G76" s="531"/>
      <c r="H76" s="532" t="s">
        <v>2877</v>
      </c>
      <c r="I76" s="532"/>
      <c r="J76" s="91" t="s">
        <v>814</v>
      </c>
    </row>
    <row r="77" spans="2:10">
      <c r="B77" s="88" t="s">
        <v>2878</v>
      </c>
      <c r="C77" s="653"/>
      <c r="D77" s="110" t="s">
        <v>1621</v>
      </c>
      <c r="E77" s="530" t="s">
        <v>2879</v>
      </c>
      <c r="F77" s="530"/>
      <c r="G77" s="531"/>
      <c r="H77" s="532"/>
      <c r="I77" s="532"/>
      <c r="J77" s="91" t="s">
        <v>814</v>
      </c>
    </row>
    <row r="78" spans="2:10">
      <c r="B78" s="88" t="s">
        <v>2880</v>
      </c>
      <c r="C78" s="653"/>
      <c r="D78" s="110" t="s">
        <v>1623</v>
      </c>
      <c r="E78" s="530" t="s">
        <v>2881</v>
      </c>
      <c r="F78" s="530"/>
      <c r="G78" s="531"/>
      <c r="H78" s="532"/>
      <c r="I78" s="532"/>
      <c r="J78" s="106" t="s">
        <v>814</v>
      </c>
    </row>
    <row r="79" spans="2:10">
      <c r="B79" s="88" t="s">
        <v>2882</v>
      </c>
      <c r="C79" s="653"/>
      <c r="D79" s="111" t="s">
        <v>1625</v>
      </c>
      <c r="E79" s="530" t="s">
        <v>2883</v>
      </c>
      <c r="F79" s="530"/>
      <c r="G79" s="531"/>
      <c r="H79" s="532"/>
      <c r="I79" s="532"/>
      <c r="J79" s="106" t="s">
        <v>814</v>
      </c>
    </row>
    <row r="80" spans="2:10">
      <c r="B80" s="88" t="s">
        <v>2884</v>
      </c>
      <c r="C80" s="653"/>
      <c r="D80" s="98" t="s">
        <v>804</v>
      </c>
      <c r="E80" s="530"/>
      <c r="F80" s="530"/>
      <c r="G80" s="531"/>
      <c r="H80" s="532"/>
      <c r="I80" s="532"/>
      <c r="J80" s="106"/>
    </row>
    <row r="81" spans="2:10" ht="19.5" customHeight="1">
      <c r="B81" s="88" t="s">
        <v>2885</v>
      </c>
      <c r="C81" s="655" t="s">
        <v>2753</v>
      </c>
      <c r="D81" s="638" t="s">
        <v>1533</v>
      </c>
      <c r="E81" s="530"/>
      <c r="F81" s="530"/>
      <c r="G81" s="531"/>
      <c r="H81" s="532" t="s">
        <v>2886</v>
      </c>
      <c r="I81" s="532"/>
      <c r="J81" s="91" t="s">
        <v>814</v>
      </c>
    </row>
    <row r="82" spans="2:10">
      <c r="B82" s="88" t="s">
        <v>2887</v>
      </c>
      <c r="C82" s="640"/>
      <c r="D82" s="90" t="s">
        <v>1621</v>
      </c>
      <c r="E82" s="530" t="s">
        <v>2888</v>
      </c>
      <c r="F82" s="530"/>
      <c r="G82" s="531"/>
      <c r="H82" s="532"/>
      <c r="I82" s="532"/>
      <c r="J82" s="91" t="s">
        <v>814</v>
      </c>
    </row>
    <row r="83" spans="2:10" ht="19.5" customHeight="1">
      <c r="B83" s="88" t="s">
        <v>2889</v>
      </c>
      <c r="C83" s="640"/>
      <c r="D83" s="90" t="s">
        <v>1623</v>
      </c>
      <c r="E83" s="530" t="s">
        <v>2890</v>
      </c>
      <c r="F83" s="530"/>
      <c r="G83" s="531"/>
      <c r="H83" s="532"/>
      <c r="I83" s="532"/>
      <c r="J83" s="91" t="s">
        <v>814</v>
      </c>
    </row>
    <row r="84" spans="2:10">
      <c r="B84" s="88" t="s">
        <v>2891</v>
      </c>
      <c r="C84" s="640"/>
      <c r="D84" s="90" t="s">
        <v>1630</v>
      </c>
      <c r="E84" s="530" t="s">
        <v>2892</v>
      </c>
      <c r="F84" s="530"/>
      <c r="G84" s="531"/>
      <c r="H84" s="532"/>
      <c r="I84" s="532"/>
      <c r="J84" s="91" t="s">
        <v>814</v>
      </c>
    </row>
    <row r="85" spans="2:10" ht="19.5" customHeight="1">
      <c r="B85" s="88" t="s">
        <v>2893</v>
      </c>
      <c r="C85" s="640"/>
      <c r="D85" s="90" t="s">
        <v>1632</v>
      </c>
      <c r="E85" s="530" t="s">
        <v>2894</v>
      </c>
      <c r="F85" s="530"/>
      <c r="G85" s="531"/>
      <c r="H85" s="532"/>
      <c r="I85" s="532"/>
      <c r="J85" s="91" t="s">
        <v>814</v>
      </c>
    </row>
    <row r="86" spans="2:10" ht="37.5" customHeight="1">
      <c r="B86" s="88" t="s">
        <v>2895</v>
      </c>
      <c r="C86" s="655" t="s">
        <v>2021</v>
      </c>
      <c r="D86" s="638" t="s">
        <v>1634</v>
      </c>
      <c r="E86" s="530" t="s">
        <v>1802</v>
      </c>
      <c r="F86" s="530"/>
      <c r="G86" s="531"/>
      <c r="H86" s="532" t="s">
        <v>2055</v>
      </c>
      <c r="I86" s="532"/>
      <c r="J86" s="91" t="s">
        <v>814</v>
      </c>
    </row>
    <row r="87" spans="2:10" ht="72" customHeight="1">
      <c r="B87" s="88" t="s">
        <v>2896</v>
      </c>
      <c r="C87" s="653"/>
      <c r="D87" s="90" t="s">
        <v>1621</v>
      </c>
      <c r="E87" s="530" t="s">
        <v>2897</v>
      </c>
      <c r="F87" s="530"/>
      <c r="G87" s="531"/>
      <c r="H87" s="532" t="s">
        <v>2898</v>
      </c>
      <c r="I87" s="532"/>
      <c r="J87" s="91" t="s">
        <v>814</v>
      </c>
    </row>
    <row r="88" spans="2:10" ht="18.75" customHeight="1">
      <c r="B88" s="88" t="s">
        <v>2899</v>
      </c>
      <c r="C88" s="653"/>
      <c r="D88" s="90" t="s">
        <v>1623</v>
      </c>
      <c r="E88" s="530" t="s">
        <v>2900</v>
      </c>
      <c r="F88" s="530"/>
      <c r="G88" s="531"/>
      <c r="H88" s="532" t="s">
        <v>2901</v>
      </c>
      <c r="I88" s="532"/>
      <c r="J88" s="91" t="s">
        <v>814</v>
      </c>
    </row>
    <row r="89" spans="2:10" ht="18.75" customHeight="1">
      <c r="B89" s="88" t="s">
        <v>2902</v>
      </c>
      <c r="C89" s="653"/>
      <c r="D89" s="90" t="s">
        <v>1630</v>
      </c>
      <c r="E89" s="530" t="s">
        <v>2903</v>
      </c>
      <c r="F89" s="530"/>
      <c r="G89" s="531"/>
      <c r="H89" s="532" t="s">
        <v>2904</v>
      </c>
      <c r="I89" s="532"/>
      <c r="J89" s="91" t="s">
        <v>814</v>
      </c>
    </row>
    <row r="90" spans="2:10" ht="18.75" customHeight="1">
      <c r="B90" s="88" t="s">
        <v>2905</v>
      </c>
      <c r="C90" s="653"/>
      <c r="D90" s="90" t="s">
        <v>1632</v>
      </c>
      <c r="E90" s="530" t="s">
        <v>2906</v>
      </c>
      <c r="F90" s="530"/>
      <c r="G90" s="531"/>
      <c r="H90" s="532" t="s">
        <v>2907</v>
      </c>
      <c r="I90" s="532"/>
      <c r="J90" s="91" t="s">
        <v>814</v>
      </c>
    </row>
    <row r="91" spans="2:10" ht="18.75" customHeight="1">
      <c r="B91" s="88"/>
      <c r="C91" s="824" t="s">
        <v>2908</v>
      </c>
      <c r="D91" s="833" t="s">
        <v>1641</v>
      </c>
      <c r="E91" s="530" t="s">
        <v>2909</v>
      </c>
      <c r="F91" s="530"/>
      <c r="G91" s="531"/>
      <c r="H91" s="532" t="s">
        <v>2910</v>
      </c>
      <c r="I91" s="532"/>
      <c r="J91" s="91" t="s">
        <v>814</v>
      </c>
    </row>
    <row r="92" spans="2:10" ht="18.75" customHeight="1">
      <c r="B92" s="88"/>
      <c r="C92" s="756"/>
      <c r="D92" s="752"/>
      <c r="E92" s="530" t="s">
        <v>2911</v>
      </c>
      <c r="F92" s="530"/>
      <c r="G92" s="531"/>
      <c r="H92" s="532" t="s">
        <v>2912</v>
      </c>
      <c r="I92" s="532"/>
      <c r="J92" s="727" t="s">
        <v>820</v>
      </c>
    </row>
    <row r="93" spans="2:10" ht="18.75" customHeight="1">
      <c r="B93" s="88" t="s">
        <v>2913</v>
      </c>
      <c r="C93" s="824"/>
      <c r="D93" s="832" t="s">
        <v>1644</v>
      </c>
      <c r="E93" s="530" t="s">
        <v>2914</v>
      </c>
      <c r="F93" s="530"/>
      <c r="G93" s="531"/>
      <c r="H93" s="532"/>
      <c r="I93" s="532"/>
      <c r="J93" s="91" t="s">
        <v>814</v>
      </c>
    </row>
    <row r="94" spans="2:10" ht="18.75" customHeight="1">
      <c r="B94" s="88" t="s">
        <v>2915</v>
      </c>
      <c r="C94" s="756"/>
      <c r="D94" s="756"/>
      <c r="E94" s="530" t="s">
        <v>2916</v>
      </c>
      <c r="F94" s="530"/>
      <c r="G94" s="531"/>
      <c r="H94" s="532"/>
      <c r="I94" s="532"/>
      <c r="J94" s="727" t="s">
        <v>820</v>
      </c>
    </row>
    <row r="95" spans="2:10" ht="18.75" customHeight="1">
      <c r="B95" s="88" t="s">
        <v>2917</v>
      </c>
      <c r="C95" s="824"/>
      <c r="D95" s="832" t="s">
        <v>1645</v>
      </c>
      <c r="E95" s="530" t="s">
        <v>2918</v>
      </c>
      <c r="F95" s="530"/>
      <c r="G95" s="531"/>
      <c r="H95" s="532"/>
      <c r="I95" s="532"/>
      <c r="J95" s="91" t="s">
        <v>814</v>
      </c>
    </row>
    <row r="96" spans="2:10">
      <c r="B96" s="88" t="s">
        <v>2919</v>
      </c>
      <c r="C96" s="756"/>
      <c r="D96" s="756"/>
      <c r="E96" s="530" t="s">
        <v>2920</v>
      </c>
      <c r="F96" s="530"/>
      <c r="G96" s="531"/>
      <c r="H96" s="532"/>
      <c r="I96" s="532"/>
      <c r="J96" s="727" t="s">
        <v>820</v>
      </c>
    </row>
    <row r="97" spans="2:10" ht="18" customHeight="1">
      <c r="B97" s="112" t="s">
        <v>2921</v>
      </c>
      <c r="C97" s="824"/>
      <c r="D97" s="832" t="s">
        <v>1652</v>
      </c>
      <c r="E97" s="530" t="s">
        <v>2922</v>
      </c>
      <c r="F97" s="530"/>
      <c r="G97" s="531"/>
      <c r="H97" s="532"/>
      <c r="I97" s="532"/>
      <c r="J97" s="91" t="s">
        <v>814</v>
      </c>
    </row>
    <row r="98" spans="2:10" ht="18" customHeight="1">
      <c r="B98" s="112" t="s">
        <v>2923</v>
      </c>
      <c r="C98" s="756"/>
      <c r="D98" s="756"/>
      <c r="E98" s="530" t="s">
        <v>2924</v>
      </c>
      <c r="F98" s="530"/>
      <c r="G98" s="531"/>
      <c r="H98" s="532"/>
      <c r="I98" s="532"/>
      <c r="J98" s="727" t="s">
        <v>820</v>
      </c>
    </row>
    <row r="99" spans="2:10" ht="19.5" customHeight="1">
      <c r="B99" s="88" t="s">
        <v>2925</v>
      </c>
      <c r="C99" s="655"/>
      <c r="D99" s="98" t="s">
        <v>804</v>
      </c>
      <c r="E99" s="530"/>
      <c r="F99" s="530"/>
      <c r="G99" s="531"/>
      <c r="H99" s="532"/>
      <c r="I99" s="532"/>
      <c r="J99" s="91"/>
    </row>
    <row r="100" spans="2:10" ht="19.5" customHeight="1">
      <c r="B100" s="88"/>
      <c r="C100" s="655"/>
      <c r="D100" s="834" t="s">
        <v>2926</v>
      </c>
      <c r="E100" s="530" t="s">
        <v>2927</v>
      </c>
      <c r="F100" s="530"/>
      <c r="G100" s="531"/>
      <c r="H100" s="532" t="s">
        <v>2928</v>
      </c>
      <c r="I100" s="532"/>
      <c r="J100" s="91" t="s">
        <v>814</v>
      </c>
    </row>
    <row r="101" spans="2:10" ht="19.5" customHeight="1">
      <c r="B101" s="88"/>
      <c r="C101" s="655"/>
      <c r="D101" s="752"/>
      <c r="E101" s="530" t="s">
        <v>2929</v>
      </c>
      <c r="F101" s="530"/>
      <c r="G101" s="531"/>
      <c r="H101" s="532" t="s">
        <v>2930</v>
      </c>
      <c r="I101" s="532"/>
      <c r="J101" s="727" t="s">
        <v>820</v>
      </c>
    </row>
    <row r="102" spans="2:10" ht="18.75" customHeight="1">
      <c r="B102" s="88" t="s">
        <v>2931</v>
      </c>
      <c r="C102" s="655"/>
      <c r="D102" s="829" t="s">
        <v>1621</v>
      </c>
      <c r="E102" s="530" t="s">
        <v>2932</v>
      </c>
      <c r="F102" s="530"/>
      <c r="G102" s="531"/>
      <c r="H102" s="532"/>
      <c r="I102" s="532"/>
      <c r="J102" s="91" t="s">
        <v>814</v>
      </c>
    </row>
    <row r="103" spans="2:10" ht="18.75" customHeight="1">
      <c r="B103" s="88" t="s">
        <v>2933</v>
      </c>
      <c r="C103" s="655"/>
      <c r="D103" s="752"/>
      <c r="E103" s="530" t="s">
        <v>2934</v>
      </c>
      <c r="F103" s="530"/>
      <c r="G103" s="531"/>
      <c r="H103" s="532"/>
      <c r="I103" s="532"/>
      <c r="J103" s="727" t="s">
        <v>820</v>
      </c>
    </row>
    <row r="104" spans="2:10" ht="18.75" customHeight="1">
      <c r="B104" s="88"/>
      <c r="C104" s="655"/>
      <c r="D104" s="829" t="s">
        <v>1632</v>
      </c>
      <c r="E104" s="530" t="s">
        <v>2935</v>
      </c>
      <c r="F104" s="530"/>
      <c r="G104" s="531"/>
      <c r="H104" s="532" t="s">
        <v>2922</v>
      </c>
      <c r="I104" s="532"/>
      <c r="J104" s="91" t="s">
        <v>814</v>
      </c>
    </row>
    <row r="105" spans="2:10" ht="18.75" customHeight="1">
      <c r="B105" s="88"/>
      <c r="C105" s="655"/>
      <c r="D105" s="752"/>
      <c r="E105" s="530" t="s">
        <v>2936</v>
      </c>
      <c r="F105" s="530"/>
      <c r="G105" s="531"/>
      <c r="H105" s="532" t="s">
        <v>2924</v>
      </c>
      <c r="I105" s="532"/>
      <c r="J105" s="727" t="s">
        <v>820</v>
      </c>
    </row>
    <row r="106" spans="2:10" ht="18.75" customHeight="1">
      <c r="B106" s="88" t="s">
        <v>2937</v>
      </c>
      <c r="C106" s="655"/>
      <c r="D106" s="834" t="s">
        <v>1660</v>
      </c>
      <c r="E106" s="530" t="s">
        <v>2938</v>
      </c>
      <c r="F106" s="530"/>
      <c r="G106" s="531"/>
      <c r="H106" s="532" t="s">
        <v>2939</v>
      </c>
      <c r="I106" s="532"/>
      <c r="J106" s="91" t="s">
        <v>814</v>
      </c>
    </row>
    <row r="107" spans="2:10" ht="18.75" customHeight="1">
      <c r="B107" s="88" t="s">
        <v>2940</v>
      </c>
      <c r="C107" s="655"/>
      <c r="D107" s="752"/>
      <c r="E107" s="530" t="s">
        <v>2941</v>
      </c>
      <c r="F107" s="530"/>
      <c r="G107" s="531"/>
      <c r="H107" s="532" t="s">
        <v>2942</v>
      </c>
      <c r="I107" s="532"/>
      <c r="J107" s="727" t="s">
        <v>820</v>
      </c>
    </row>
    <row r="108" spans="2:10" ht="18.75" customHeight="1">
      <c r="B108" s="88"/>
      <c r="C108" s="824"/>
      <c r="D108" s="829" t="s">
        <v>1621</v>
      </c>
      <c r="E108" s="530" t="s">
        <v>2939</v>
      </c>
      <c r="F108" s="530"/>
      <c r="G108" s="531"/>
      <c r="H108" s="532"/>
      <c r="I108" s="532"/>
      <c r="J108" s="91" t="s">
        <v>814</v>
      </c>
    </row>
    <row r="109" spans="2:10" ht="18.75" customHeight="1">
      <c r="B109" s="88"/>
      <c r="C109" s="756"/>
      <c r="D109" s="752"/>
      <c r="E109" s="530" t="s">
        <v>2942</v>
      </c>
      <c r="F109" s="530"/>
      <c r="G109" s="531"/>
      <c r="H109" s="532"/>
      <c r="I109" s="532"/>
      <c r="J109" s="727" t="s">
        <v>820</v>
      </c>
    </row>
    <row r="110" spans="2:10" ht="18.75" customHeight="1">
      <c r="B110" s="88"/>
      <c r="C110" s="824" t="s">
        <v>2943</v>
      </c>
      <c r="D110" s="780" t="s">
        <v>1664</v>
      </c>
      <c r="E110" s="530" t="s">
        <v>2944</v>
      </c>
      <c r="F110" s="530"/>
      <c r="G110" s="531"/>
      <c r="H110" s="532" t="s">
        <v>2945</v>
      </c>
      <c r="I110" s="532"/>
      <c r="J110" s="91" t="s">
        <v>814</v>
      </c>
    </row>
    <row r="111" spans="2:10" ht="18.75" customHeight="1">
      <c r="B111" s="88"/>
      <c r="C111" s="756"/>
      <c r="D111" s="756"/>
      <c r="E111" s="530" t="s">
        <v>2946</v>
      </c>
      <c r="F111" s="530"/>
      <c r="G111" s="531"/>
      <c r="H111" s="532" t="s">
        <v>2947</v>
      </c>
      <c r="I111" s="532"/>
      <c r="J111" s="727" t="s">
        <v>820</v>
      </c>
    </row>
    <row r="112" spans="2:10" ht="18.75" customHeight="1">
      <c r="B112" s="112" t="s">
        <v>2948</v>
      </c>
      <c r="C112" s="824"/>
      <c r="D112" s="832" t="s">
        <v>2949</v>
      </c>
      <c r="E112" s="530" t="s">
        <v>2950</v>
      </c>
      <c r="F112" s="530"/>
      <c r="G112" s="531"/>
      <c r="H112" s="532"/>
      <c r="I112" s="532"/>
      <c r="J112" s="91" t="s">
        <v>814</v>
      </c>
    </row>
    <row r="113" spans="2:10" ht="18.75" customHeight="1">
      <c r="B113" s="112" t="s">
        <v>2951</v>
      </c>
      <c r="C113" s="756"/>
      <c r="D113" s="756"/>
      <c r="E113" s="530" t="s">
        <v>2952</v>
      </c>
      <c r="F113" s="530"/>
      <c r="G113" s="531"/>
      <c r="H113" s="532"/>
      <c r="I113" s="532"/>
      <c r="J113" s="727" t="s">
        <v>820</v>
      </c>
    </row>
    <row r="114" spans="2:10" ht="18.75" customHeight="1">
      <c r="B114" s="88" t="s">
        <v>2953</v>
      </c>
      <c r="C114" s="830"/>
      <c r="D114" s="832" t="s">
        <v>1630</v>
      </c>
      <c r="E114" s="530" t="s">
        <v>2954</v>
      </c>
      <c r="F114" s="530"/>
      <c r="G114" s="531"/>
      <c r="H114" s="532"/>
      <c r="I114" s="532"/>
      <c r="J114" s="91" t="s">
        <v>814</v>
      </c>
    </row>
    <row r="115" spans="2:10" ht="22.15" customHeight="1">
      <c r="B115" s="88" t="s">
        <v>2955</v>
      </c>
      <c r="C115" s="756"/>
      <c r="D115" s="756"/>
      <c r="E115" s="530" t="s">
        <v>2956</v>
      </c>
      <c r="F115" s="530"/>
      <c r="G115" s="531"/>
      <c r="H115" s="532"/>
      <c r="I115" s="532"/>
      <c r="J115" s="727" t="s">
        <v>820</v>
      </c>
    </row>
    <row r="116" spans="2:10" ht="20.45" customHeight="1">
      <c r="B116" s="88" t="s">
        <v>2957</v>
      </c>
      <c r="C116" s="824" t="s">
        <v>2958</v>
      </c>
      <c r="D116" s="780" t="s">
        <v>1668</v>
      </c>
      <c r="E116" s="530" t="s">
        <v>2959</v>
      </c>
      <c r="F116" s="530"/>
      <c r="G116" s="531"/>
      <c r="H116" s="532" t="s">
        <v>2960</v>
      </c>
      <c r="I116" s="532"/>
      <c r="J116" s="91" t="s">
        <v>814</v>
      </c>
    </row>
    <row r="117" spans="2:10" ht="18.75" customHeight="1">
      <c r="B117" s="88" t="s">
        <v>2961</v>
      </c>
      <c r="C117" s="756"/>
      <c r="D117" s="756"/>
      <c r="E117" s="530" t="s">
        <v>2962</v>
      </c>
      <c r="F117" s="530"/>
      <c r="G117" s="531"/>
      <c r="H117" s="532" t="s">
        <v>2963</v>
      </c>
      <c r="I117" s="532"/>
      <c r="J117" s="727" t="s">
        <v>820</v>
      </c>
    </row>
    <row r="118" spans="2:10">
      <c r="B118" s="88" t="s">
        <v>2964</v>
      </c>
      <c r="C118" s="824"/>
      <c r="D118" s="832" t="s">
        <v>1669</v>
      </c>
      <c r="E118" s="530" t="s">
        <v>2960</v>
      </c>
      <c r="F118" s="530"/>
      <c r="G118" s="531"/>
      <c r="H118" s="532"/>
      <c r="I118" s="532"/>
      <c r="J118" s="91" t="s">
        <v>814</v>
      </c>
    </row>
    <row r="119" spans="2:10" ht="18.75" customHeight="1">
      <c r="B119" s="88" t="s">
        <v>2965</v>
      </c>
      <c r="C119" s="756"/>
      <c r="D119" s="756"/>
      <c r="E119" s="530" t="s">
        <v>2963</v>
      </c>
      <c r="F119" s="530"/>
      <c r="G119" s="531"/>
      <c r="H119" s="532"/>
      <c r="I119" s="532"/>
      <c r="J119" s="727" t="s">
        <v>820</v>
      </c>
    </row>
    <row r="120" spans="2:10" ht="19.5" customHeight="1">
      <c r="B120" s="88" t="s">
        <v>2966</v>
      </c>
      <c r="C120" s="640"/>
      <c r="D120" s="98" t="s">
        <v>804</v>
      </c>
      <c r="E120" s="530"/>
      <c r="F120" s="530"/>
      <c r="G120" s="531"/>
      <c r="H120" s="532"/>
      <c r="I120" s="532"/>
      <c r="J120" s="91"/>
    </row>
    <row r="121" spans="2:10" ht="18.75" customHeight="1">
      <c r="B121" s="88" t="s">
        <v>2967</v>
      </c>
      <c r="C121" s="113"/>
      <c r="D121" s="835" t="s">
        <v>1670</v>
      </c>
      <c r="E121" s="530" t="s">
        <v>2968</v>
      </c>
      <c r="F121" s="530"/>
      <c r="G121" s="531"/>
      <c r="H121" s="532"/>
      <c r="I121" s="532"/>
      <c r="J121" s="102" t="s">
        <v>814</v>
      </c>
    </row>
    <row r="122" spans="2:10" ht="18.75" customHeight="1">
      <c r="B122" s="88" t="s">
        <v>2969</v>
      </c>
      <c r="C122" s="113"/>
      <c r="D122" s="756"/>
      <c r="E122" s="530" t="s">
        <v>2970</v>
      </c>
      <c r="F122" s="530"/>
      <c r="G122" s="531"/>
      <c r="H122" s="532"/>
      <c r="I122" s="532"/>
      <c r="J122" s="728" t="s">
        <v>820</v>
      </c>
    </row>
    <row r="123" spans="2:10" ht="18.75" customHeight="1">
      <c r="B123" s="88" t="s">
        <v>2971</v>
      </c>
      <c r="C123" s="640"/>
      <c r="D123" s="835" t="s">
        <v>1673</v>
      </c>
      <c r="E123" s="530" t="s">
        <v>2972</v>
      </c>
      <c r="F123" s="530"/>
      <c r="G123" s="531"/>
      <c r="H123" s="532"/>
      <c r="I123" s="532"/>
      <c r="J123" s="91" t="s">
        <v>814</v>
      </c>
    </row>
    <row r="124" spans="2:10">
      <c r="B124" s="88" t="s">
        <v>2973</v>
      </c>
      <c r="C124" s="640"/>
      <c r="D124" s="756"/>
      <c r="E124" s="530" t="s">
        <v>2974</v>
      </c>
      <c r="F124" s="530"/>
      <c r="G124" s="531"/>
      <c r="H124" s="532"/>
      <c r="I124" s="532"/>
      <c r="J124" s="727" t="s">
        <v>820</v>
      </c>
    </row>
    <row r="125" spans="2:10">
      <c r="B125" s="88" t="s">
        <v>2975</v>
      </c>
      <c r="C125" s="655" t="s">
        <v>2976</v>
      </c>
      <c r="D125" s="109" t="s">
        <v>1677</v>
      </c>
      <c r="E125" s="530" t="s">
        <v>2977</v>
      </c>
      <c r="F125" s="530"/>
      <c r="G125" s="531"/>
      <c r="H125" s="532" t="s">
        <v>2978</v>
      </c>
      <c r="I125" s="532"/>
      <c r="J125" s="91" t="s">
        <v>814</v>
      </c>
    </row>
    <row r="126" spans="2:10">
      <c r="B126" s="88" t="s">
        <v>2979</v>
      </c>
      <c r="C126" s="640"/>
      <c r="D126" s="90" t="s">
        <v>1621</v>
      </c>
      <c r="E126" s="530" t="s">
        <v>2980</v>
      </c>
      <c r="F126" s="530"/>
      <c r="G126" s="531"/>
      <c r="H126" s="532"/>
      <c r="I126" s="532"/>
      <c r="J126" s="91" t="s">
        <v>814</v>
      </c>
    </row>
    <row r="127" spans="2:10">
      <c r="B127" s="88" t="s">
        <v>2981</v>
      </c>
      <c r="C127" s="640"/>
      <c r="D127" s="90" t="s">
        <v>1623</v>
      </c>
      <c r="E127" s="530" t="s">
        <v>2982</v>
      </c>
      <c r="F127" s="530"/>
      <c r="G127" s="531"/>
      <c r="H127" s="532"/>
      <c r="I127" s="532"/>
      <c r="J127" s="91" t="s">
        <v>814</v>
      </c>
    </row>
    <row r="128" spans="2:10">
      <c r="B128" s="88" t="s">
        <v>2983</v>
      </c>
      <c r="C128" s="653"/>
      <c r="D128" s="114" t="s">
        <v>804</v>
      </c>
      <c r="E128" s="530"/>
      <c r="F128" s="530"/>
      <c r="G128" s="531"/>
      <c r="H128" s="532"/>
      <c r="I128" s="532"/>
      <c r="J128" s="91"/>
    </row>
    <row r="129" spans="2:10">
      <c r="B129" s="88" t="s">
        <v>2984</v>
      </c>
      <c r="C129" s="653"/>
      <c r="D129" s="115" t="s">
        <v>2453</v>
      </c>
      <c r="E129" s="530" t="s">
        <v>2985</v>
      </c>
      <c r="F129" s="530"/>
      <c r="G129" s="531"/>
      <c r="H129" s="532" t="s">
        <v>2986</v>
      </c>
      <c r="I129" s="532"/>
      <c r="J129" s="91" t="s">
        <v>814</v>
      </c>
    </row>
    <row r="130" spans="2:10">
      <c r="B130" s="88" t="s">
        <v>2987</v>
      </c>
      <c r="C130" s="653"/>
      <c r="D130" s="116" t="s">
        <v>1621</v>
      </c>
      <c r="E130" s="530" t="s">
        <v>2988</v>
      </c>
      <c r="F130" s="530"/>
      <c r="G130" s="531"/>
      <c r="H130" s="532"/>
      <c r="I130" s="532"/>
      <c r="J130" s="91" t="s">
        <v>814</v>
      </c>
    </row>
    <row r="131" spans="2:10">
      <c r="B131" s="88" t="s">
        <v>2989</v>
      </c>
      <c r="C131" s="653"/>
      <c r="D131" s="116" t="s">
        <v>1623</v>
      </c>
      <c r="E131" s="530" t="s">
        <v>2990</v>
      </c>
      <c r="F131" s="530"/>
      <c r="G131" s="531"/>
      <c r="H131" s="532"/>
      <c r="I131" s="532"/>
      <c r="J131" s="91" t="s">
        <v>814</v>
      </c>
    </row>
    <row r="132" spans="2:10">
      <c r="B132" s="88" t="s">
        <v>2991</v>
      </c>
      <c r="C132" s="653"/>
      <c r="D132" s="115" t="s">
        <v>1681</v>
      </c>
      <c r="E132" s="530" t="s">
        <v>2992</v>
      </c>
      <c r="F132" s="530"/>
      <c r="G132" s="531"/>
      <c r="H132" s="532" t="s">
        <v>2993</v>
      </c>
      <c r="I132" s="532"/>
      <c r="J132" s="91" t="s">
        <v>814</v>
      </c>
    </row>
    <row r="133" spans="2:10">
      <c r="B133" s="88" t="s">
        <v>2994</v>
      </c>
      <c r="C133" s="653"/>
      <c r="D133" s="117" t="s">
        <v>2995</v>
      </c>
      <c r="E133" s="530" t="s">
        <v>2996</v>
      </c>
      <c r="F133" s="530"/>
      <c r="G133" s="531"/>
      <c r="H133" s="532"/>
      <c r="I133" s="532"/>
      <c r="J133" s="91" t="s">
        <v>814</v>
      </c>
    </row>
    <row r="134" spans="2:10">
      <c r="B134" s="88"/>
      <c r="C134" s="653"/>
      <c r="D134" s="36" t="s">
        <v>1683</v>
      </c>
      <c r="E134" s="530" t="s">
        <v>2997</v>
      </c>
      <c r="F134" s="530"/>
      <c r="G134" s="531"/>
      <c r="H134" s="532"/>
      <c r="I134" s="532"/>
      <c r="J134" s="91" t="s">
        <v>814</v>
      </c>
    </row>
    <row r="135" spans="2:10">
      <c r="B135" s="88" t="s">
        <v>2998</v>
      </c>
      <c r="C135" s="653"/>
      <c r="D135" s="118" t="s">
        <v>1623</v>
      </c>
      <c r="E135" s="530" t="s">
        <v>2999</v>
      </c>
      <c r="F135" s="530"/>
      <c r="G135" s="531"/>
      <c r="H135" s="532"/>
      <c r="I135" s="532"/>
      <c r="J135" s="91" t="s">
        <v>814</v>
      </c>
    </row>
    <row r="136" spans="2:10">
      <c r="B136" s="88"/>
      <c r="C136" s="653"/>
      <c r="D136" s="36" t="s">
        <v>1683</v>
      </c>
      <c r="E136" s="530" t="s">
        <v>3000</v>
      </c>
      <c r="F136" s="530"/>
      <c r="G136" s="531"/>
      <c r="H136" s="532"/>
      <c r="I136" s="532"/>
      <c r="J136" s="91" t="s">
        <v>814</v>
      </c>
    </row>
    <row r="137" spans="2:10" ht="21.75" customHeight="1">
      <c r="B137" s="88" t="s">
        <v>3001</v>
      </c>
      <c r="C137" s="655" t="s">
        <v>3002</v>
      </c>
      <c r="D137" s="72" t="s">
        <v>1685</v>
      </c>
      <c r="E137" s="530" t="s">
        <v>3003</v>
      </c>
      <c r="F137" s="530"/>
      <c r="G137" s="531"/>
      <c r="H137" s="532" t="s">
        <v>3004</v>
      </c>
      <c r="I137" s="532"/>
      <c r="J137" s="91" t="s">
        <v>814</v>
      </c>
    </row>
    <row r="138" spans="2:10">
      <c r="B138" s="88" t="s">
        <v>3005</v>
      </c>
      <c r="C138" s="653"/>
      <c r="D138" s="644" t="s">
        <v>3006</v>
      </c>
      <c r="E138" s="530" t="s">
        <v>3007</v>
      </c>
      <c r="F138" s="530"/>
      <c r="G138" s="531"/>
      <c r="H138" s="532" t="s">
        <v>3008</v>
      </c>
      <c r="I138" s="532"/>
      <c r="J138" s="91" t="s">
        <v>814</v>
      </c>
    </row>
    <row r="139" spans="2:10">
      <c r="B139" s="88" t="s">
        <v>3009</v>
      </c>
      <c r="C139" s="653"/>
      <c r="D139" s="119" t="s">
        <v>1688</v>
      </c>
      <c r="E139" s="530" t="s">
        <v>3010</v>
      </c>
      <c r="F139" s="530"/>
      <c r="G139" s="531"/>
      <c r="H139" s="532"/>
      <c r="I139" s="532"/>
      <c r="J139" s="91" t="s">
        <v>814</v>
      </c>
    </row>
    <row r="140" spans="2:10">
      <c r="B140" s="88" t="s">
        <v>3011</v>
      </c>
      <c r="C140" s="653"/>
      <c r="D140" s="119" t="s">
        <v>447</v>
      </c>
      <c r="E140" s="530" t="s">
        <v>3012</v>
      </c>
      <c r="F140" s="530"/>
      <c r="G140" s="531"/>
      <c r="H140" s="532"/>
      <c r="I140" s="532"/>
      <c r="J140" s="91" t="s">
        <v>814</v>
      </c>
    </row>
    <row r="141" spans="2:10">
      <c r="B141" s="88" t="s">
        <v>3013</v>
      </c>
      <c r="C141" s="653"/>
      <c r="D141" s="26" t="s">
        <v>3014</v>
      </c>
      <c r="E141" s="530" t="s">
        <v>3015</v>
      </c>
      <c r="F141" s="530"/>
      <c r="G141" s="531"/>
      <c r="H141" s="532" t="s">
        <v>3016</v>
      </c>
      <c r="I141" s="532"/>
      <c r="J141" s="91" t="s">
        <v>814</v>
      </c>
    </row>
    <row r="142" spans="2:10">
      <c r="B142" s="88" t="s">
        <v>3017</v>
      </c>
      <c r="C142" s="653"/>
      <c r="D142" s="120" t="s">
        <v>1690</v>
      </c>
      <c r="E142" s="530" t="s">
        <v>3018</v>
      </c>
      <c r="F142" s="530"/>
      <c r="G142" s="531"/>
      <c r="H142" s="532"/>
      <c r="I142" s="532"/>
      <c r="J142" s="91" t="s">
        <v>814</v>
      </c>
    </row>
    <row r="143" spans="2:10">
      <c r="B143" s="88" t="s">
        <v>3019</v>
      </c>
      <c r="C143" s="653"/>
      <c r="D143" s="504" t="s">
        <v>451</v>
      </c>
      <c r="E143" s="530" t="s">
        <v>3020</v>
      </c>
      <c r="F143" s="530"/>
      <c r="G143" s="531"/>
      <c r="H143" s="532"/>
      <c r="I143" s="532"/>
      <c r="J143" s="91" t="s">
        <v>814</v>
      </c>
    </row>
    <row r="144" spans="2:10">
      <c r="B144" s="88" t="s">
        <v>3021</v>
      </c>
      <c r="C144" s="653"/>
      <c r="D144" s="504" t="s">
        <v>439</v>
      </c>
      <c r="E144" s="530" t="s">
        <v>3022</v>
      </c>
      <c r="F144" s="530"/>
      <c r="G144" s="531"/>
      <c r="H144" s="532"/>
      <c r="I144" s="532"/>
      <c r="J144" s="91" t="s">
        <v>814</v>
      </c>
    </row>
    <row r="145" spans="2:10">
      <c r="B145" s="88" t="s">
        <v>3023</v>
      </c>
      <c r="C145" s="655" t="s">
        <v>3024</v>
      </c>
      <c r="D145" s="500" t="s">
        <v>3025</v>
      </c>
      <c r="E145" s="530" t="s">
        <v>3026</v>
      </c>
      <c r="F145" s="530"/>
      <c r="G145" s="531"/>
      <c r="H145" s="532"/>
      <c r="I145" s="532"/>
      <c r="J145" s="91" t="s">
        <v>814</v>
      </c>
    </row>
    <row r="146" spans="2:10">
      <c r="B146" s="88" t="s">
        <v>3027</v>
      </c>
      <c r="C146" s="655" t="s">
        <v>3028</v>
      </c>
      <c r="D146" s="500" t="s">
        <v>3029</v>
      </c>
      <c r="E146" s="530" t="s">
        <v>3030</v>
      </c>
      <c r="F146" s="530"/>
      <c r="G146" s="531"/>
      <c r="H146" s="532" t="s">
        <v>3031</v>
      </c>
      <c r="I146" s="532"/>
      <c r="J146" s="91" t="s">
        <v>814</v>
      </c>
    </row>
    <row r="147" spans="2:10">
      <c r="B147" s="88" t="s">
        <v>3032</v>
      </c>
      <c r="C147" s="655"/>
      <c r="D147" s="608" t="s">
        <v>617</v>
      </c>
      <c r="E147" s="530" t="s">
        <v>3033</v>
      </c>
      <c r="F147" s="530"/>
      <c r="G147" s="531"/>
      <c r="H147" s="532"/>
      <c r="I147" s="532"/>
      <c r="J147" s="91" t="s">
        <v>814</v>
      </c>
    </row>
    <row r="148" spans="2:10">
      <c r="B148" s="88" t="s">
        <v>3034</v>
      </c>
      <c r="C148" s="653"/>
      <c r="D148" s="608" t="s">
        <v>626</v>
      </c>
      <c r="E148" s="530" t="s">
        <v>3035</v>
      </c>
      <c r="F148" s="530"/>
      <c r="G148" s="531"/>
      <c r="H148" s="532"/>
      <c r="I148" s="532"/>
      <c r="J148" s="91" t="s">
        <v>814</v>
      </c>
    </row>
    <row r="149" spans="2:10" ht="36.75" customHeight="1">
      <c r="B149" s="88" t="s">
        <v>3036</v>
      </c>
      <c r="C149" s="655" t="s">
        <v>3037</v>
      </c>
      <c r="D149" s="604" t="s">
        <v>1696</v>
      </c>
      <c r="E149" s="530" t="s">
        <v>3038</v>
      </c>
      <c r="F149" s="530"/>
      <c r="G149" s="531"/>
      <c r="H149" s="532" t="s">
        <v>3039</v>
      </c>
      <c r="I149" s="532"/>
      <c r="J149" s="91" t="s">
        <v>814</v>
      </c>
    </row>
    <row r="150" spans="2:10">
      <c r="B150" s="88" t="s">
        <v>3040</v>
      </c>
      <c r="C150" s="653"/>
      <c r="D150" s="608" t="s">
        <v>3006</v>
      </c>
      <c r="E150" s="530" t="s">
        <v>3041</v>
      </c>
      <c r="F150" s="530"/>
      <c r="G150" s="531"/>
      <c r="H150" s="532"/>
      <c r="I150" s="532"/>
      <c r="J150" s="91" t="s">
        <v>814</v>
      </c>
    </row>
    <row r="151" spans="2:10">
      <c r="B151" s="88" t="s">
        <v>3042</v>
      </c>
      <c r="C151" s="653"/>
      <c r="D151" s="608" t="s">
        <v>3014</v>
      </c>
      <c r="E151" s="530" t="s">
        <v>3043</v>
      </c>
      <c r="F151" s="530"/>
      <c r="G151" s="531"/>
      <c r="H151" s="532"/>
      <c r="I151" s="532"/>
      <c r="J151" s="91" t="s">
        <v>814</v>
      </c>
    </row>
    <row r="152" spans="2:10">
      <c r="B152" s="88" t="s">
        <v>3044</v>
      </c>
      <c r="C152" s="655" t="s">
        <v>3045</v>
      </c>
      <c r="D152" s="500" t="s">
        <v>1698</v>
      </c>
      <c r="E152" s="530" t="s">
        <v>3046</v>
      </c>
      <c r="F152" s="530"/>
      <c r="G152" s="531"/>
      <c r="H152" s="532" t="s">
        <v>3047</v>
      </c>
      <c r="I152" s="532"/>
      <c r="J152" s="91" t="s">
        <v>814</v>
      </c>
    </row>
    <row r="153" spans="2:10">
      <c r="B153" s="88" t="s">
        <v>3048</v>
      </c>
      <c r="C153" s="653"/>
      <c r="D153" s="608" t="s">
        <v>3006</v>
      </c>
      <c r="E153" s="530" t="s">
        <v>3049</v>
      </c>
      <c r="F153" s="530"/>
      <c r="G153" s="531"/>
      <c r="H153" s="532"/>
      <c r="I153" s="532"/>
      <c r="J153" s="91" t="s">
        <v>814</v>
      </c>
    </row>
    <row r="154" spans="2:10">
      <c r="B154" s="88" t="s">
        <v>3050</v>
      </c>
      <c r="C154" s="653"/>
      <c r="D154" s="608" t="s">
        <v>3014</v>
      </c>
      <c r="E154" s="530" t="s">
        <v>3051</v>
      </c>
      <c r="F154" s="530"/>
      <c r="G154" s="531"/>
      <c r="H154" s="532"/>
      <c r="I154" s="532"/>
      <c r="J154" s="91" t="s">
        <v>814</v>
      </c>
    </row>
    <row r="155" spans="2:10" ht="38.25" customHeight="1">
      <c r="B155" s="88" t="s">
        <v>3052</v>
      </c>
      <c r="C155" s="655" t="s">
        <v>3053</v>
      </c>
      <c r="D155" s="500" t="s">
        <v>1701</v>
      </c>
      <c r="E155" s="530" t="s">
        <v>3054</v>
      </c>
      <c r="F155" s="530"/>
      <c r="G155" s="531"/>
      <c r="H155" s="532" t="s">
        <v>3055</v>
      </c>
      <c r="I155" s="532"/>
      <c r="J155" s="91" t="s">
        <v>814</v>
      </c>
    </row>
    <row r="156" spans="2:10">
      <c r="B156" s="88" t="s">
        <v>3056</v>
      </c>
      <c r="C156" s="653"/>
      <c r="D156" s="608" t="s">
        <v>3006</v>
      </c>
      <c r="E156" s="530" t="s">
        <v>3057</v>
      </c>
      <c r="F156" s="530"/>
      <c r="G156" s="531"/>
      <c r="H156" s="532"/>
      <c r="I156" s="532"/>
      <c r="J156" s="91" t="s">
        <v>814</v>
      </c>
    </row>
    <row r="157" spans="2:10" ht="18.75" customHeight="1">
      <c r="B157" s="88" t="s">
        <v>3058</v>
      </c>
      <c r="C157" s="653"/>
      <c r="D157" s="27" t="s">
        <v>3059</v>
      </c>
      <c r="E157" s="530" t="s">
        <v>3060</v>
      </c>
      <c r="F157" s="530"/>
      <c r="G157" s="531"/>
      <c r="H157" s="532"/>
      <c r="I157" s="532"/>
      <c r="J157" s="91" t="s">
        <v>814</v>
      </c>
    </row>
    <row r="158" spans="2:10">
      <c r="B158" s="88" t="s">
        <v>3061</v>
      </c>
      <c r="C158" s="653"/>
      <c r="D158" s="608" t="s">
        <v>3014</v>
      </c>
      <c r="E158" s="530" t="s">
        <v>3062</v>
      </c>
      <c r="F158" s="530"/>
      <c r="G158" s="531"/>
      <c r="H158" s="532"/>
      <c r="I158" s="532"/>
      <c r="J158" s="91" t="s">
        <v>814</v>
      </c>
    </row>
    <row r="159" spans="2:10" ht="19.5" customHeight="1">
      <c r="B159" s="88" t="s">
        <v>3063</v>
      </c>
      <c r="C159" s="655" t="s">
        <v>3064</v>
      </c>
      <c r="D159" s="500" t="s">
        <v>1706</v>
      </c>
      <c r="E159" s="530" t="s">
        <v>3065</v>
      </c>
      <c r="F159" s="530"/>
      <c r="G159" s="531"/>
      <c r="H159" s="532" t="s">
        <v>3066</v>
      </c>
      <c r="I159" s="532"/>
      <c r="J159" s="91" t="s">
        <v>814</v>
      </c>
    </row>
    <row r="160" spans="2:10">
      <c r="B160" s="88" t="s">
        <v>3067</v>
      </c>
      <c r="C160" s="653"/>
      <c r="D160" s="608" t="s">
        <v>3006</v>
      </c>
      <c r="E160" s="530" t="s">
        <v>3068</v>
      </c>
      <c r="F160" s="530"/>
      <c r="G160" s="531"/>
      <c r="H160" s="532"/>
      <c r="I160" s="532"/>
      <c r="J160" s="91" t="s">
        <v>814</v>
      </c>
    </row>
    <row r="161" spans="2:10">
      <c r="B161" s="88" t="s">
        <v>3069</v>
      </c>
      <c r="C161" s="653"/>
      <c r="D161" s="608" t="s">
        <v>3014</v>
      </c>
      <c r="E161" s="530" t="s">
        <v>3070</v>
      </c>
      <c r="F161" s="530"/>
      <c r="G161" s="531"/>
      <c r="H161" s="532"/>
      <c r="I161" s="532"/>
      <c r="J161" s="91" t="s">
        <v>814</v>
      </c>
    </row>
    <row r="162" spans="2:10" ht="37.5" customHeight="1">
      <c r="B162" s="88" t="s">
        <v>3071</v>
      </c>
      <c r="C162" s="655" t="s">
        <v>3072</v>
      </c>
      <c r="D162" s="506" t="s">
        <v>3073</v>
      </c>
      <c r="E162" s="530" t="s">
        <v>3074</v>
      </c>
      <c r="F162" s="530"/>
      <c r="G162" s="531"/>
      <c r="H162" s="532" t="s">
        <v>3075</v>
      </c>
      <c r="I162" s="532"/>
      <c r="J162" s="91" t="s">
        <v>814</v>
      </c>
    </row>
    <row r="163" spans="2:10">
      <c r="B163" s="88" t="s">
        <v>3076</v>
      </c>
      <c r="C163" s="653"/>
      <c r="D163" s="608" t="s">
        <v>3006</v>
      </c>
      <c r="E163" s="530" t="s">
        <v>3077</v>
      </c>
      <c r="F163" s="530"/>
      <c r="G163" s="531"/>
      <c r="H163" s="532" t="s">
        <v>3078</v>
      </c>
      <c r="I163" s="532"/>
      <c r="J163" s="91" t="s">
        <v>814</v>
      </c>
    </row>
    <row r="164" spans="2:10">
      <c r="B164" s="88" t="s">
        <v>3079</v>
      </c>
      <c r="C164" s="653"/>
      <c r="D164" s="504" t="s">
        <v>3080</v>
      </c>
      <c r="E164" s="530" t="s">
        <v>3081</v>
      </c>
      <c r="F164" s="530"/>
      <c r="G164" s="531"/>
      <c r="H164" s="532"/>
      <c r="I164" s="532"/>
      <c r="J164" s="91" t="s">
        <v>814</v>
      </c>
    </row>
    <row r="165" spans="2:10">
      <c r="B165" s="88" t="s">
        <v>3082</v>
      </c>
      <c r="C165" s="653"/>
      <c r="D165" s="504" t="s">
        <v>3083</v>
      </c>
      <c r="E165" s="530" t="s">
        <v>3084</v>
      </c>
      <c r="F165" s="530"/>
      <c r="G165" s="531"/>
      <c r="H165" s="532"/>
      <c r="I165" s="532"/>
      <c r="J165" s="91" t="s">
        <v>814</v>
      </c>
    </row>
    <row r="166" spans="2:10">
      <c r="B166" s="88" t="s">
        <v>3085</v>
      </c>
      <c r="C166" s="653"/>
      <c r="D166" s="608" t="s">
        <v>3014</v>
      </c>
      <c r="E166" s="530" t="s">
        <v>3086</v>
      </c>
      <c r="F166" s="530"/>
      <c r="G166" s="531"/>
      <c r="H166" s="532"/>
      <c r="I166" s="532"/>
      <c r="J166" s="91" t="s">
        <v>814</v>
      </c>
    </row>
    <row r="167" spans="2:10">
      <c r="B167" s="88" t="s">
        <v>3087</v>
      </c>
      <c r="C167" s="653"/>
      <c r="D167" s="507" t="s">
        <v>804</v>
      </c>
      <c r="E167" s="530"/>
      <c r="F167" s="530"/>
      <c r="G167" s="531"/>
      <c r="H167" s="532"/>
      <c r="I167" s="532"/>
      <c r="J167" s="91" t="s">
        <v>814</v>
      </c>
    </row>
    <row r="168" spans="2:10">
      <c r="B168" s="88" t="s">
        <v>3088</v>
      </c>
      <c r="C168" s="653"/>
      <c r="D168" s="502" t="s">
        <v>3089</v>
      </c>
      <c r="E168" s="530" t="s">
        <v>3090</v>
      </c>
      <c r="F168" s="530"/>
      <c r="G168" s="531"/>
      <c r="H168" s="532" t="s">
        <v>3091</v>
      </c>
      <c r="I168" s="532"/>
      <c r="J168" s="91" t="s">
        <v>814</v>
      </c>
    </row>
    <row r="169" spans="2:10" ht="24" customHeight="1">
      <c r="B169" s="88" t="s">
        <v>3092</v>
      </c>
      <c r="C169" s="653"/>
      <c r="D169" s="659" t="s">
        <v>3006</v>
      </c>
      <c r="E169" s="530" t="s">
        <v>3093</v>
      </c>
      <c r="F169" s="530"/>
      <c r="G169" s="531"/>
      <c r="H169" s="532" t="s">
        <v>3094</v>
      </c>
      <c r="I169" s="532"/>
      <c r="J169" s="91" t="s">
        <v>814</v>
      </c>
    </row>
    <row r="170" spans="2:10">
      <c r="B170" s="88" t="s">
        <v>3095</v>
      </c>
      <c r="C170" s="653"/>
      <c r="D170" s="121" t="s">
        <v>3096</v>
      </c>
      <c r="E170" s="530" t="s">
        <v>3097</v>
      </c>
      <c r="F170" s="530"/>
      <c r="G170" s="531"/>
      <c r="H170" s="532"/>
      <c r="I170" s="532"/>
      <c r="J170" s="91" t="s">
        <v>814</v>
      </c>
    </row>
    <row r="171" spans="2:10">
      <c r="B171" s="88" t="s">
        <v>3098</v>
      </c>
      <c r="C171" s="653"/>
      <c r="D171" s="121" t="s">
        <v>3099</v>
      </c>
      <c r="E171" s="530" t="s">
        <v>3100</v>
      </c>
      <c r="F171" s="530"/>
      <c r="G171" s="531"/>
      <c r="H171" s="532"/>
      <c r="I171" s="532"/>
      <c r="J171" s="91" t="s">
        <v>814</v>
      </c>
    </row>
    <row r="172" spans="2:10">
      <c r="B172" s="88" t="s">
        <v>3101</v>
      </c>
      <c r="C172" s="653"/>
      <c r="D172" s="121" t="s">
        <v>3083</v>
      </c>
      <c r="E172" s="530" t="s">
        <v>3102</v>
      </c>
      <c r="F172" s="530"/>
      <c r="G172" s="531"/>
      <c r="H172" s="532"/>
      <c r="I172" s="532"/>
      <c r="J172" s="91" t="s">
        <v>814</v>
      </c>
    </row>
    <row r="173" spans="2:10">
      <c r="B173" s="88" t="s">
        <v>3103</v>
      </c>
      <c r="C173" s="653"/>
      <c r="D173" s="659" t="s">
        <v>3014</v>
      </c>
      <c r="E173" s="530" t="s">
        <v>3104</v>
      </c>
      <c r="F173" s="530"/>
      <c r="G173" s="531"/>
      <c r="H173" s="532"/>
      <c r="I173" s="532"/>
      <c r="J173" s="91" t="s">
        <v>814</v>
      </c>
    </row>
    <row r="174" spans="2:10" ht="39" customHeight="1">
      <c r="B174" s="88" t="s">
        <v>3105</v>
      </c>
      <c r="C174" s="653"/>
      <c r="D174" s="502" t="s">
        <v>1722</v>
      </c>
      <c r="E174" s="530" t="s">
        <v>3106</v>
      </c>
      <c r="F174" s="530"/>
      <c r="G174" s="531"/>
      <c r="H174" s="532" t="s">
        <v>3107</v>
      </c>
      <c r="I174" s="532"/>
      <c r="J174" s="91" t="s">
        <v>814</v>
      </c>
    </row>
    <row r="175" spans="2:10">
      <c r="B175" s="88" t="s">
        <v>3108</v>
      </c>
      <c r="C175" s="653"/>
      <c r="D175" s="659" t="s">
        <v>3006</v>
      </c>
      <c r="E175" s="530" t="s">
        <v>3109</v>
      </c>
      <c r="F175" s="530"/>
      <c r="G175" s="531"/>
      <c r="H175" s="532"/>
      <c r="I175" s="532"/>
      <c r="J175" s="91" t="s">
        <v>814</v>
      </c>
    </row>
    <row r="176" spans="2:10">
      <c r="B176" s="88" t="s">
        <v>3110</v>
      </c>
      <c r="C176" s="653"/>
      <c r="D176" s="659" t="s">
        <v>3014</v>
      </c>
      <c r="E176" s="530" t="s">
        <v>3111</v>
      </c>
      <c r="F176" s="530"/>
      <c r="G176" s="531"/>
      <c r="H176" s="532"/>
      <c r="I176" s="532"/>
      <c r="J176" s="91" t="s">
        <v>814</v>
      </c>
    </row>
    <row r="177" spans="2:10" ht="38.25" customHeight="1">
      <c r="B177" s="88" t="s">
        <v>3112</v>
      </c>
      <c r="C177" s="653"/>
      <c r="D177" s="509" t="s">
        <v>3113</v>
      </c>
      <c r="E177" s="530" t="s">
        <v>3114</v>
      </c>
      <c r="F177" s="530"/>
      <c r="G177" s="531"/>
      <c r="H177" s="532" t="s">
        <v>3115</v>
      </c>
      <c r="I177" s="532"/>
      <c r="J177" s="91" t="s">
        <v>814</v>
      </c>
    </row>
    <row r="178" spans="2:10">
      <c r="B178" s="88" t="s">
        <v>3116</v>
      </c>
      <c r="C178" s="653"/>
      <c r="D178" s="659" t="s">
        <v>3006</v>
      </c>
      <c r="E178" s="530" t="s">
        <v>3117</v>
      </c>
      <c r="F178" s="530"/>
      <c r="G178" s="531"/>
      <c r="H178" s="532"/>
      <c r="I178" s="532"/>
      <c r="J178" s="91" t="s">
        <v>814</v>
      </c>
    </row>
    <row r="179" spans="2:10">
      <c r="B179" s="88"/>
      <c r="C179" s="653"/>
      <c r="D179" s="122" t="s">
        <v>3118</v>
      </c>
      <c r="E179" s="530" t="s">
        <v>3119</v>
      </c>
      <c r="F179" s="530"/>
      <c r="G179" s="531"/>
      <c r="H179" s="532"/>
      <c r="I179" s="532"/>
      <c r="J179" s="91" t="s">
        <v>814</v>
      </c>
    </row>
    <row r="180" spans="2:10">
      <c r="B180" s="88" t="s">
        <v>3120</v>
      </c>
      <c r="C180" s="653"/>
      <c r="D180" s="659" t="s">
        <v>3014</v>
      </c>
      <c r="E180" s="530" t="s">
        <v>3121</v>
      </c>
      <c r="F180" s="530"/>
      <c r="G180" s="531"/>
      <c r="H180" s="532"/>
      <c r="I180" s="532"/>
      <c r="J180" s="91" t="s">
        <v>814</v>
      </c>
    </row>
    <row r="181" spans="2:10">
      <c r="B181" s="88"/>
      <c r="C181" s="653"/>
      <c r="D181" s="122" t="s">
        <v>3118</v>
      </c>
      <c r="E181" s="530" t="s">
        <v>3122</v>
      </c>
      <c r="F181" s="530"/>
      <c r="G181" s="531"/>
      <c r="H181" s="532"/>
      <c r="I181" s="532"/>
      <c r="J181" s="91" t="s">
        <v>814</v>
      </c>
    </row>
    <row r="182" spans="2:10">
      <c r="B182" s="88"/>
      <c r="C182" s="653"/>
      <c r="D182" s="509" t="s">
        <v>1725</v>
      </c>
      <c r="E182" s="530" t="s">
        <v>3123</v>
      </c>
      <c r="F182" s="530"/>
      <c r="G182" s="531"/>
      <c r="H182" s="532"/>
      <c r="I182" s="532"/>
      <c r="J182" s="91"/>
    </row>
    <row r="183" spans="2:10">
      <c r="B183" s="88"/>
      <c r="C183" s="653"/>
      <c r="D183" s="659" t="s">
        <v>3014</v>
      </c>
      <c r="E183" s="530" t="s">
        <v>3124</v>
      </c>
      <c r="F183" s="530"/>
      <c r="G183" s="531"/>
      <c r="H183" s="532"/>
      <c r="I183" s="532"/>
      <c r="J183" s="91"/>
    </row>
    <row r="184" spans="2:10">
      <c r="B184" s="88" t="s">
        <v>3125</v>
      </c>
      <c r="C184" s="655" t="s">
        <v>3126</v>
      </c>
      <c r="D184" s="604" t="s">
        <v>1727</v>
      </c>
      <c r="E184" s="530" t="s">
        <v>3127</v>
      </c>
      <c r="F184" s="530"/>
      <c r="G184" s="531"/>
      <c r="H184" s="532" t="s">
        <v>3128</v>
      </c>
      <c r="I184" s="532"/>
      <c r="J184" s="91" t="s">
        <v>693</v>
      </c>
    </row>
    <row r="185" spans="2:10">
      <c r="B185" s="88" t="s">
        <v>3129</v>
      </c>
      <c r="C185" s="653"/>
      <c r="D185" s="608" t="s">
        <v>3130</v>
      </c>
      <c r="E185" s="530" t="s">
        <v>3131</v>
      </c>
      <c r="F185" s="530"/>
      <c r="G185" s="531"/>
      <c r="H185" s="532"/>
      <c r="I185" s="532"/>
      <c r="J185" s="91" t="s">
        <v>693</v>
      </c>
    </row>
    <row r="186" spans="2:10">
      <c r="B186" s="88" t="s">
        <v>3132</v>
      </c>
      <c r="C186" s="653"/>
      <c r="D186" s="608" t="s">
        <v>3133</v>
      </c>
      <c r="E186" s="530" t="s">
        <v>3134</v>
      </c>
      <c r="F186" s="530"/>
      <c r="G186" s="531"/>
      <c r="H186" s="532"/>
      <c r="I186" s="532"/>
      <c r="J186" s="91" t="s">
        <v>693</v>
      </c>
    </row>
    <row r="187" spans="2:10">
      <c r="B187" s="88" t="s">
        <v>3135</v>
      </c>
      <c r="C187" s="655" t="s">
        <v>3136</v>
      </c>
      <c r="D187" s="604" t="s">
        <v>1733</v>
      </c>
      <c r="E187" s="530" t="s">
        <v>3137</v>
      </c>
      <c r="F187" s="530"/>
      <c r="G187" s="531"/>
      <c r="H187" s="532"/>
      <c r="I187" s="532"/>
      <c r="J187" s="91" t="s">
        <v>814</v>
      </c>
    </row>
    <row r="188" spans="2:10">
      <c r="B188" s="88" t="s">
        <v>3138</v>
      </c>
      <c r="C188" s="655" t="s">
        <v>3139</v>
      </c>
      <c r="D188" s="604" t="s">
        <v>3140</v>
      </c>
      <c r="E188" s="530" t="s">
        <v>3141</v>
      </c>
      <c r="F188" s="530"/>
      <c r="G188" s="531"/>
      <c r="H188" s="532"/>
      <c r="I188" s="532"/>
      <c r="J188" s="91" t="s">
        <v>814</v>
      </c>
    </row>
    <row r="189" spans="2:10">
      <c r="B189" s="88"/>
      <c r="C189" s="655"/>
      <c r="D189" s="122" t="s">
        <v>1683</v>
      </c>
      <c r="E189" s="530" t="s">
        <v>3142</v>
      </c>
      <c r="F189" s="530"/>
      <c r="G189" s="531"/>
      <c r="H189" s="532"/>
      <c r="I189" s="532"/>
      <c r="J189" s="91" t="s">
        <v>814</v>
      </c>
    </row>
    <row r="190" spans="2:10">
      <c r="B190" s="88" t="s">
        <v>3143</v>
      </c>
      <c r="C190" s="337"/>
      <c r="D190" s="507" t="s">
        <v>804</v>
      </c>
      <c r="E190" s="530"/>
      <c r="F190" s="530"/>
      <c r="G190" s="531"/>
      <c r="H190" s="532"/>
      <c r="I190" s="532"/>
      <c r="J190" s="91"/>
    </row>
    <row r="191" spans="2:10" ht="39" customHeight="1">
      <c r="B191" s="112" t="s">
        <v>3144</v>
      </c>
      <c r="C191" s="655" t="s">
        <v>2028</v>
      </c>
      <c r="D191" s="501" t="s">
        <v>1738</v>
      </c>
      <c r="E191" s="530" t="s">
        <v>3145</v>
      </c>
      <c r="F191" s="530"/>
      <c r="G191" s="531"/>
      <c r="H191" s="532" t="s">
        <v>3146</v>
      </c>
      <c r="I191" s="532"/>
      <c r="J191" s="91" t="s">
        <v>814</v>
      </c>
    </row>
    <row r="192" spans="2:10" ht="24" customHeight="1">
      <c r="B192" s="88"/>
      <c r="C192" s="655" t="s">
        <v>3147</v>
      </c>
      <c r="D192" s="501" t="s">
        <v>1740</v>
      </c>
      <c r="E192" s="530" t="s">
        <v>3148</v>
      </c>
      <c r="F192" s="530"/>
      <c r="G192" s="531"/>
      <c r="H192" s="532" t="s">
        <v>3149</v>
      </c>
      <c r="I192" s="532"/>
      <c r="J192" s="91" t="s">
        <v>814</v>
      </c>
    </row>
    <row r="193" spans="2:10" ht="24" customHeight="1">
      <c r="B193" s="88"/>
      <c r="C193" s="655"/>
      <c r="D193" s="511" t="s">
        <v>1621</v>
      </c>
      <c r="E193" s="530" t="s">
        <v>3150</v>
      </c>
      <c r="F193" s="530"/>
      <c r="G193" s="531"/>
      <c r="H193" s="532" t="s">
        <v>3151</v>
      </c>
      <c r="I193" s="532"/>
      <c r="J193" s="91" t="s">
        <v>814</v>
      </c>
    </row>
    <row r="194" spans="2:10">
      <c r="B194" s="112" t="s">
        <v>3152</v>
      </c>
      <c r="C194" s="123"/>
      <c r="D194" s="512" t="s">
        <v>1743</v>
      </c>
      <c r="E194" s="530" t="s">
        <v>3153</v>
      </c>
      <c r="F194" s="530"/>
      <c r="G194" s="531"/>
      <c r="H194" s="532"/>
      <c r="I194" s="532"/>
      <c r="J194" s="91" t="s">
        <v>814</v>
      </c>
    </row>
    <row r="195" spans="2:10">
      <c r="B195" s="112" t="s">
        <v>3154</v>
      </c>
      <c r="C195" s="655"/>
      <c r="D195" s="122" t="s">
        <v>138</v>
      </c>
      <c r="E195" s="530" t="s">
        <v>3155</v>
      </c>
      <c r="F195" s="530"/>
      <c r="G195" s="531"/>
      <c r="H195" s="532"/>
      <c r="I195" s="532"/>
      <c r="J195" s="91" t="s">
        <v>814</v>
      </c>
    </row>
    <row r="196" spans="2:10">
      <c r="B196" s="112" t="s">
        <v>3156</v>
      </c>
      <c r="C196" s="123"/>
      <c r="D196" s="512" t="s">
        <v>1746</v>
      </c>
      <c r="E196" s="530" t="s">
        <v>3157</v>
      </c>
      <c r="F196" s="530"/>
      <c r="G196" s="531"/>
      <c r="H196" s="532"/>
      <c r="I196" s="532"/>
      <c r="J196" s="91" t="s">
        <v>814</v>
      </c>
    </row>
    <row r="197" spans="2:10">
      <c r="B197" s="112" t="s">
        <v>3158</v>
      </c>
      <c r="C197" s="123"/>
      <c r="D197" s="511" t="s">
        <v>1630</v>
      </c>
      <c r="E197" s="530" t="s">
        <v>3159</v>
      </c>
      <c r="F197" s="530"/>
      <c r="G197" s="531"/>
      <c r="H197" s="532"/>
      <c r="I197" s="532"/>
      <c r="J197" s="91" t="s">
        <v>814</v>
      </c>
    </row>
    <row r="198" spans="2:10">
      <c r="B198" s="112" t="s">
        <v>3160</v>
      </c>
      <c r="C198" s="123"/>
      <c r="D198" s="511" t="s">
        <v>1632</v>
      </c>
      <c r="E198" s="530" t="s">
        <v>3161</v>
      </c>
      <c r="F198" s="530"/>
      <c r="G198" s="531"/>
      <c r="H198" s="532"/>
      <c r="I198" s="532"/>
      <c r="J198" s="91" t="s">
        <v>814</v>
      </c>
    </row>
    <row r="199" spans="2:10">
      <c r="B199" s="112" t="s">
        <v>3162</v>
      </c>
      <c r="C199" s="337" t="s">
        <v>3163</v>
      </c>
      <c r="D199" s="510" t="s">
        <v>1750</v>
      </c>
      <c r="E199" s="530" t="s">
        <v>3164</v>
      </c>
      <c r="F199" s="530"/>
      <c r="G199" s="531"/>
      <c r="H199" s="532"/>
      <c r="I199" s="532"/>
      <c r="J199" s="91" t="s">
        <v>814</v>
      </c>
    </row>
    <row r="200" spans="2:10" ht="24" customHeight="1">
      <c r="B200" s="112"/>
      <c r="C200" s="655" t="s">
        <v>3165</v>
      </c>
      <c r="D200" s="510" t="s">
        <v>1751</v>
      </c>
      <c r="E200" s="530" t="s">
        <v>3166</v>
      </c>
      <c r="F200" s="530"/>
      <c r="G200" s="531"/>
      <c r="H200" s="532" t="s">
        <v>3167</v>
      </c>
      <c r="I200" s="532"/>
      <c r="J200" s="91" t="s">
        <v>814</v>
      </c>
    </row>
    <row r="201" spans="2:10">
      <c r="B201" s="88" t="s">
        <v>3168</v>
      </c>
      <c r="C201" s="655"/>
      <c r="D201" s="511" t="s">
        <v>1621</v>
      </c>
      <c r="E201" s="530" t="s">
        <v>3169</v>
      </c>
      <c r="F201" s="530"/>
      <c r="G201" s="531"/>
      <c r="H201" s="532" t="s">
        <v>3170</v>
      </c>
      <c r="I201" s="532"/>
      <c r="J201" s="91" t="s">
        <v>814</v>
      </c>
    </row>
    <row r="202" spans="2:10">
      <c r="B202" s="88" t="s">
        <v>3171</v>
      </c>
      <c r="C202" s="653"/>
      <c r="D202" s="512" t="s">
        <v>3172</v>
      </c>
      <c r="E202" s="530" t="s">
        <v>3173</v>
      </c>
      <c r="F202" s="530"/>
      <c r="G202" s="531"/>
      <c r="H202" s="532"/>
      <c r="I202" s="532"/>
      <c r="J202" s="91" t="s">
        <v>814</v>
      </c>
    </row>
    <row r="203" spans="2:10">
      <c r="B203" s="88" t="s">
        <v>3174</v>
      </c>
      <c r="C203" s="653"/>
      <c r="D203" s="512" t="s">
        <v>3175</v>
      </c>
      <c r="E203" s="530" t="s">
        <v>3176</v>
      </c>
      <c r="F203" s="530"/>
      <c r="G203" s="531"/>
      <c r="H203" s="532"/>
      <c r="I203" s="532"/>
      <c r="J203" s="91" t="s">
        <v>814</v>
      </c>
    </row>
    <row r="204" spans="2:10">
      <c r="B204" s="88" t="s">
        <v>3177</v>
      </c>
      <c r="C204" s="653"/>
      <c r="D204" s="512" t="s">
        <v>3178</v>
      </c>
      <c r="E204" s="530" t="s">
        <v>3179</v>
      </c>
      <c r="F204" s="530"/>
      <c r="G204" s="531"/>
      <c r="H204" s="532"/>
      <c r="I204" s="532"/>
      <c r="J204" s="106" t="s">
        <v>814</v>
      </c>
    </row>
    <row r="205" spans="2:10">
      <c r="B205" s="112" t="s">
        <v>3180</v>
      </c>
      <c r="C205" s="653"/>
      <c r="D205" s="511" t="s">
        <v>1630</v>
      </c>
      <c r="E205" s="530" t="s">
        <v>3181</v>
      </c>
      <c r="F205" s="530"/>
      <c r="G205" s="531"/>
      <c r="H205" s="532"/>
      <c r="I205" s="532"/>
      <c r="J205" s="91" t="s">
        <v>814</v>
      </c>
    </row>
    <row r="206" spans="2:10">
      <c r="B206" s="112" t="s">
        <v>3182</v>
      </c>
      <c r="C206" s="653"/>
      <c r="D206" s="511" t="s">
        <v>1632</v>
      </c>
      <c r="E206" s="530" t="s">
        <v>3183</v>
      </c>
      <c r="F206" s="530"/>
      <c r="G206" s="531"/>
      <c r="H206" s="532"/>
      <c r="I206" s="532"/>
      <c r="J206" s="91" t="s">
        <v>814</v>
      </c>
    </row>
    <row r="207" spans="2:10" ht="24" customHeight="1">
      <c r="B207" s="88" t="s">
        <v>3184</v>
      </c>
      <c r="C207" s="337" t="s">
        <v>3185</v>
      </c>
      <c r="D207" s="501" t="s">
        <v>1760</v>
      </c>
      <c r="E207" s="530" t="s">
        <v>3186</v>
      </c>
      <c r="F207" s="530"/>
      <c r="G207" s="531"/>
      <c r="H207" s="532" t="s">
        <v>3187</v>
      </c>
      <c r="I207" s="532"/>
      <c r="J207" s="91" t="s">
        <v>814</v>
      </c>
    </row>
    <row r="208" spans="2:10" ht="24" customHeight="1">
      <c r="B208" s="88"/>
      <c r="C208" s="123"/>
      <c r="D208" s="659" t="s">
        <v>3188</v>
      </c>
      <c r="E208" s="530" t="s">
        <v>3189</v>
      </c>
      <c r="F208" s="530"/>
      <c r="G208" s="531"/>
      <c r="H208" s="532" t="s">
        <v>3190</v>
      </c>
      <c r="I208" s="532"/>
      <c r="J208" s="91" t="s">
        <v>814</v>
      </c>
    </row>
    <row r="209" spans="2:10">
      <c r="B209" s="112" t="s">
        <v>3191</v>
      </c>
      <c r="C209" s="123"/>
      <c r="D209" s="659" t="s">
        <v>805</v>
      </c>
      <c r="E209" s="530" t="s">
        <v>3192</v>
      </c>
      <c r="F209" s="530"/>
      <c r="G209" s="531"/>
      <c r="H209" s="532"/>
      <c r="I209" s="532"/>
      <c r="J209" s="91" t="s">
        <v>814</v>
      </c>
    </row>
    <row r="210" spans="2:10">
      <c r="B210" s="88"/>
      <c r="C210" s="123"/>
      <c r="D210" s="659" t="s">
        <v>1764</v>
      </c>
      <c r="E210" s="530" t="s">
        <v>3193</v>
      </c>
      <c r="F210" s="530"/>
      <c r="G210" s="531"/>
      <c r="H210" s="532" t="s">
        <v>3194</v>
      </c>
      <c r="I210" s="532"/>
      <c r="J210" s="91" t="s">
        <v>814</v>
      </c>
    </row>
    <row r="211" spans="2:10">
      <c r="B211" s="88" t="s">
        <v>3195</v>
      </c>
      <c r="C211" s="123"/>
      <c r="D211" s="514" t="s">
        <v>1441</v>
      </c>
      <c r="E211" s="530" t="s">
        <v>3196</v>
      </c>
      <c r="F211" s="530"/>
      <c r="G211" s="531"/>
      <c r="H211" s="532" t="s">
        <v>2871</v>
      </c>
      <c r="I211" s="532"/>
      <c r="J211" s="91" t="s">
        <v>814</v>
      </c>
    </row>
    <row r="212" spans="2:10">
      <c r="B212" s="88"/>
      <c r="C212" s="123"/>
      <c r="D212" s="514" t="s">
        <v>1374</v>
      </c>
      <c r="E212" s="530" t="s">
        <v>3197</v>
      </c>
      <c r="F212" s="530"/>
      <c r="G212" s="531"/>
      <c r="H212" s="532" t="s">
        <v>3198</v>
      </c>
      <c r="I212" s="532"/>
      <c r="J212" s="91" t="s">
        <v>814</v>
      </c>
    </row>
    <row r="213" spans="2:10" ht="29.25" customHeight="1">
      <c r="B213" s="112" t="s">
        <v>3199</v>
      </c>
      <c r="C213" s="123"/>
      <c r="D213" s="515" t="s">
        <v>1377</v>
      </c>
      <c r="E213" s="530" t="s">
        <v>3200</v>
      </c>
      <c r="F213" s="530"/>
      <c r="G213" s="531"/>
      <c r="H213" s="532"/>
      <c r="I213" s="532"/>
      <c r="J213" s="91" t="s">
        <v>814</v>
      </c>
    </row>
    <row r="214" spans="2:10">
      <c r="B214" s="112" t="s">
        <v>3201</v>
      </c>
      <c r="C214" s="123"/>
      <c r="D214" s="515" t="s">
        <v>1767</v>
      </c>
      <c r="E214" s="530" t="s">
        <v>2787</v>
      </c>
      <c r="F214" s="530"/>
      <c r="G214" s="531"/>
      <c r="H214" s="532"/>
      <c r="I214" s="532"/>
      <c r="J214" s="91" t="s">
        <v>814</v>
      </c>
    </row>
    <row r="215" spans="2:10" ht="18.75" customHeight="1">
      <c r="B215" s="112"/>
      <c r="C215" s="613" t="s">
        <v>3202</v>
      </c>
      <c r="D215" s="501" t="s">
        <v>3203</v>
      </c>
      <c r="E215" s="530" t="s">
        <v>3204</v>
      </c>
      <c r="F215" s="530"/>
      <c r="G215" s="531"/>
      <c r="H215" s="532" t="s">
        <v>3205</v>
      </c>
      <c r="I215" s="532"/>
      <c r="J215" s="657" t="s">
        <v>814</v>
      </c>
    </row>
    <row r="216" spans="2:10" ht="23.25" customHeight="1">
      <c r="B216" s="112"/>
      <c r="C216" s="123"/>
      <c r="D216" s="659" t="s">
        <v>2043</v>
      </c>
      <c r="E216" s="530" t="s">
        <v>3206</v>
      </c>
      <c r="F216" s="530"/>
      <c r="G216" s="531"/>
      <c r="H216" s="532"/>
      <c r="I216" s="532"/>
      <c r="J216" s="657" t="s">
        <v>814</v>
      </c>
    </row>
    <row r="217" spans="2:10" ht="18.75" customHeight="1">
      <c r="B217" s="112"/>
      <c r="C217" s="123"/>
      <c r="D217" s="641" t="s">
        <v>521</v>
      </c>
      <c r="E217" s="530" t="s">
        <v>3207</v>
      </c>
      <c r="F217" s="530"/>
      <c r="G217" s="531"/>
      <c r="H217" s="532"/>
      <c r="I217" s="532"/>
      <c r="J217" s="674" t="s">
        <v>814</v>
      </c>
    </row>
    <row r="218" spans="2:10" ht="19.5" customHeight="1" outlineLevel="1">
      <c r="B218" s="112" t="s">
        <v>3208</v>
      </c>
      <c r="C218" s="613" t="s">
        <v>3209</v>
      </c>
      <c r="D218" s="124" t="s">
        <v>3210</v>
      </c>
      <c r="E218" s="530" t="s">
        <v>3211</v>
      </c>
      <c r="F218" s="530"/>
      <c r="G218" s="531"/>
      <c r="H218" s="532" t="s">
        <v>3212</v>
      </c>
      <c r="I218" s="532"/>
      <c r="J218" s="102" t="s">
        <v>814</v>
      </c>
    </row>
    <row r="219" spans="2:10" ht="19.5" customHeight="1" outlineLevel="1">
      <c r="B219" s="112" t="s">
        <v>3213</v>
      </c>
      <c r="C219" s="613"/>
      <c r="D219" s="641" t="s">
        <v>3214</v>
      </c>
      <c r="E219" s="530" t="s">
        <v>3215</v>
      </c>
      <c r="F219" s="530"/>
      <c r="G219" s="531"/>
      <c r="H219" s="532"/>
      <c r="I219" s="532"/>
      <c r="J219" s="102" t="s">
        <v>814</v>
      </c>
    </row>
    <row r="220" spans="2:10" ht="19.5" customHeight="1" outlineLevel="1">
      <c r="B220" s="112" t="s">
        <v>3216</v>
      </c>
      <c r="C220" s="613"/>
      <c r="D220" s="641" t="s">
        <v>3217</v>
      </c>
      <c r="E220" s="530" t="s">
        <v>3218</v>
      </c>
      <c r="F220" s="530"/>
      <c r="G220" s="531"/>
      <c r="H220" s="532"/>
      <c r="I220" s="532"/>
      <c r="J220" s="102" t="s">
        <v>814</v>
      </c>
    </row>
    <row r="221" spans="2:10" ht="19.5" customHeight="1" outlineLevel="1">
      <c r="B221" s="112" t="s">
        <v>3219</v>
      </c>
      <c r="C221" s="613" t="s">
        <v>3220</v>
      </c>
      <c r="D221" s="124" t="s">
        <v>3221</v>
      </c>
      <c r="E221" s="530" t="s">
        <v>3222</v>
      </c>
      <c r="F221" s="530"/>
      <c r="G221" s="531"/>
      <c r="H221" s="532" t="s">
        <v>3223</v>
      </c>
      <c r="I221" s="532"/>
      <c r="J221" s="102" t="s">
        <v>814</v>
      </c>
    </row>
    <row r="222" spans="2:10" ht="19.5" customHeight="1" outlineLevel="1">
      <c r="B222" s="112" t="s">
        <v>3224</v>
      </c>
      <c r="C222" s="613"/>
      <c r="D222" s="641" t="s">
        <v>3214</v>
      </c>
      <c r="E222" s="530" t="s">
        <v>3225</v>
      </c>
      <c r="F222" s="530"/>
      <c r="G222" s="531"/>
      <c r="H222" s="532"/>
      <c r="I222" s="532"/>
      <c r="J222" s="102" t="s">
        <v>814</v>
      </c>
    </row>
    <row r="223" spans="2:10" ht="19.5" customHeight="1" outlineLevel="1">
      <c r="B223" s="112" t="s">
        <v>3226</v>
      </c>
      <c r="C223" s="613"/>
      <c r="D223" s="641" t="s">
        <v>3217</v>
      </c>
      <c r="E223" s="530" t="s">
        <v>3227</v>
      </c>
      <c r="F223" s="530"/>
      <c r="G223" s="531"/>
      <c r="H223" s="532"/>
      <c r="I223" s="532"/>
      <c r="J223" s="102" t="s">
        <v>814</v>
      </c>
    </row>
    <row r="224" spans="2:10" ht="19.5" customHeight="1" outlineLevel="1">
      <c r="B224" s="112"/>
      <c r="C224" s="337" t="s">
        <v>3228</v>
      </c>
      <c r="D224" s="125" t="s">
        <v>1768</v>
      </c>
      <c r="E224" s="530" t="s">
        <v>3229</v>
      </c>
      <c r="F224" s="530"/>
      <c r="G224" s="531"/>
      <c r="H224" s="532"/>
      <c r="I224" s="532"/>
      <c r="J224" s="674" t="s">
        <v>814</v>
      </c>
    </row>
    <row r="225" spans="2:10">
      <c r="B225" s="112" t="s">
        <v>3230</v>
      </c>
      <c r="C225" s="337"/>
      <c r="D225" s="126" t="s">
        <v>3231</v>
      </c>
      <c r="E225" s="530" t="s">
        <v>3232</v>
      </c>
      <c r="F225" s="530"/>
      <c r="G225" s="531"/>
      <c r="H225" s="532"/>
      <c r="I225" s="532"/>
      <c r="J225" s="102" t="s">
        <v>814</v>
      </c>
    </row>
    <row r="226" spans="2:10">
      <c r="B226" s="112" t="s">
        <v>3233</v>
      </c>
      <c r="C226" s="337"/>
      <c r="D226" s="126" t="s">
        <v>3234</v>
      </c>
      <c r="E226" s="530" t="s">
        <v>3235</v>
      </c>
      <c r="F226" s="530"/>
      <c r="G226" s="531"/>
      <c r="H226" s="532"/>
      <c r="I226" s="532"/>
      <c r="J226" s="102" t="s">
        <v>814</v>
      </c>
    </row>
    <row r="227" spans="2:10">
      <c r="B227" s="112" t="s">
        <v>3236</v>
      </c>
      <c r="C227" s="337"/>
      <c r="D227" s="126" t="s">
        <v>3237</v>
      </c>
      <c r="E227" s="530" t="s">
        <v>3238</v>
      </c>
      <c r="F227" s="530"/>
      <c r="G227" s="531"/>
      <c r="H227" s="532"/>
      <c r="I227" s="532"/>
      <c r="J227" s="102" t="s">
        <v>814</v>
      </c>
    </row>
    <row r="228" spans="2:10">
      <c r="B228" s="112" t="s">
        <v>3239</v>
      </c>
      <c r="C228" s="337"/>
      <c r="D228" s="126" t="s">
        <v>3240</v>
      </c>
      <c r="E228" s="530" t="s">
        <v>3241</v>
      </c>
      <c r="F228" s="530"/>
      <c r="G228" s="531"/>
      <c r="H228" s="532"/>
      <c r="I228" s="532"/>
      <c r="J228" s="102" t="s">
        <v>814</v>
      </c>
    </row>
    <row r="229" spans="2:10" ht="37.5" customHeight="1">
      <c r="B229" s="112" t="s">
        <v>3242</v>
      </c>
      <c r="C229" s="337"/>
      <c r="D229" s="126" t="s">
        <v>1777</v>
      </c>
      <c r="E229" s="530" t="s">
        <v>3243</v>
      </c>
      <c r="F229" s="530"/>
      <c r="G229" s="531"/>
      <c r="H229" s="532"/>
      <c r="I229" s="532"/>
      <c r="J229" s="102" t="s">
        <v>814</v>
      </c>
    </row>
    <row r="230" spans="2:10" ht="37.5" customHeight="1">
      <c r="B230" s="112" t="s">
        <v>3244</v>
      </c>
      <c r="C230" s="337"/>
      <c r="D230" s="127" t="s">
        <v>1779</v>
      </c>
      <c r="E230" s="530" t="s">
        <v>3245</v>
      </c>
      <c r="F230" s="530"/>
      <c r="G230" s="531"/>
      <c r="H230" s="532"/>
      <c r="I230" s="532"/>
      <c r="J230" s="102" t="s">
        <v>814</v>
      </c>
    </row>
    <row r="231" spans="2:10" ht="38.25" customHeight="1">
      <c r="B231" s="112"/>
      <c r="C231" s="655" t="s">
        <v>3246</v>
      </c>
      <c r="D231" s="72" t="s">
        <v>1781</v>
      </c>
      <c r="E231" s="530" t="s">
        <v>3247</v>
      </c>
      <c r="F231" s="530"/>
      <c r="G231" s="531"/>
      <c r="H231" s="532" t="s">
        <v>3248</v>
      </c>
      <c r="I231" s="532"/>
      <c r="J231" s="102" t="s">
        <v>814</v>
      </c>
    </row>
    <row r="232" spans="2:10">
      <c r="B232" s="112"/>
      <c r="C232" s="655"/>
      <c r="D232" s="500" t="s">
        <v>1784</v>
      </c>
      <c r="E232" s="530" t="s">
        <v>3249</v>
      </c>
      <c r="F232" s="530"/>
      <c r="G232" s="531"/>
      <c r="H232" s="532" t="s">
        <v>3250</v>
      </c>
      <c r="I232" s="532"/>
      <c r="J232" s="91" t="s">
        <v>814</v>
      </c>
    </row>
    <row r="233" spans="2:10">
      <c r="B233" s="112"/>
      <c r="C233" s="655"/>
      <c r="D233" s="41" t="s">
        <v>1786</v>
      </c>
      <c r="E233" s="530" t="s">
        <v>3251</v>
      </c>
      <c r="F233" s="530"/>
      <c r="G233" s="531"/>
      <c r="H233" s="532"/>
      <c r="I233" s="532"/>
      <c r="J233" s="91" t="s">
        <v>814</v>
      </c>
    </row>
    <row r="234" spans="2:10" ht="24" customHeight="1">
      <c r="B234" s="112"/>
      <c r="C234" s="655"/>
      <c r="D234" s="41" t="s">
        <v>1767</v>
      </c>
      <c r="E234" s="530" t="s">
        <v>3252</v>
      </c>
      <c r="F234" s="530"/>
      <c r="G234" s="531"/>
      <c r="H234" s="532" t="s">
        <v>3253</v>
      </c>
      <c r="I234" s="532"/>
      <c r="J234" s="91" t="s">
        <v>814</v>
      </c>
    </row>
    <row r="235" spans="2:10">
      <c r="B235" s="88" t="s">
        <v>3254</v>
      </c>
      <c r="C235" s="655"/>
      <c r="D235" s="94" t="s">
        <v>1789</v>
      </c>
      <c r="E235" s="530" t="s">
        <v>3255</v>
      </c>
      <c r="F235" s="530"/>
      <c r="G235" s="531"/>
      <c r="H235" s="532"/>
      <c r="I235" s="532"/>
      <c r="J235" s="91" t="s">
        <v>814</v>
      </c>
    </row>
    <row r="236" spans="2:10">
      <c r="B236" s="88" t="s">
        <v>3256</v>
      </c>
      <c r="C236" s="655"/>
      <c r="D236" s="94" t="s">
        <v>211</v>
      </c>
      <c r="E236" s="530" t="s">
        <v>3257</v>
      </c>
      <c r="F236" s="530"/>
      <c r="G236" s="531"/>
      <c r="H236" s="532"/>
      <c r="I236" s="532"/>
      <c r="J236" s="91" t="s">
        <v>814</v>
      </c>
    </row>
    <row r="237" spans="2:10">
      <c r="B237" s="88" t="s">
        <v>3258</v>
      </c>
      <c r="C237" s="655"/>
      <c r="D237" s="94" t="s">
        <v>213</v>
      </c>
      <c r="E237" s="530" t="s">
        <v>3259</v>
      </c>
      <c r="F237" s="530"/>
      <c r="G237" s="531"/>
      <c r="H237" s="532"/>
      <c r="I237" s="532"/>
      <c r="J237" s="91" t="s">
        <v>814</v>
      </c>
    </row>
    <row r="238" spans="2:10">
      <c r="B238" s="112"/>
      <c r="C238" s="655"/>
      <c r="D238" s="94" t="s">
        <v>1791</v>
      </c>
      <c r="E238" s="530" t="s">
        <v>3260</v>
      </c>
      <c r="F238" s="530"/>
      <c r="G238" s="531"/>
      <c r="H238" s="532"/>
      <c r="I238" s="532"/>
      <c r="J238" s="91" t="s">
        <v>814</v>
      </c>
    </row>
    <row r="239" spans="2:10">
      <c r="B239" s="112"/>
      <c r="C239" s="655"/>
      <c r="D239" s="500" t="s">
        <v>805</v>
      </c>
      <c r="E239" s="530" t="s">
        <v>3261</v>
      </c>
      <c r="F239" s="530"/>
      <c r="G239" s="531"/>
      <c r="H239" s="532" t="s">
        <v>3262</v>
      </c>
      <c r="I239" s="532"/>
      <c r="J239" s="91" t="s">
        <v>814</v>
      </c>
    </row>
    <row r="240" spans="2:10">
      <c r="B240" s="112"/>
      <c r="C240" s="655"/>
      <c r="D240" s="41" t="s">
        <v>1786</v>
      </c>
      <c r="E240" s="530" t="s">
        <v>3263</v>
      </c>
      <c r="F240" s="530"/>
      <c r="G240" s="531"/>
      <c r="H240" s="532"/>
      <c r="I240" s="532"/>
      <c r="J240" s="91" t="s">
        <v>814</v>
      </c>
    </row>
    <row r="241" spans="2:10" ht="24" customHeight="1">
      <c r="B241" s="112"/>
      <c r="C241" s="655"/>
      <c r="D241" s="41" t="s">
        <v>1767</v>
      </c>
      <c r="E241" s="530" t="s">
        <v>3264</v>
      </c>
      <c r="F241" s="530"/>
      <c r="G241" s="531"/>
      <c r="H241" s="532" t="s">
        <v>3265</v>
      </c>
      <c r="I241" s="532"/>
      <c r="J241" s="91" t="s">
        <v>814</v>
      </c>
    </row>
    <row r="242" spans="2:10">
      <c r="B242" s="112"/>
      <c r="C242" s="655"/>
      <c r="D242" s="94" t="s">
        <v>1795</v>
      </c>
      <c r="E242" s="530" t="s">
        <v>3266</v>
      </c>
      <c r="F242" s="530"/>
      <c r="G242" s="531"/>
      <c r="H242" s="532"/>
      <c r="I242" s="532"/>
      <c r="J242" s="91" t="s">
        <v>814</v>
      </c>
    </row>
    <row r="243" spans="2:10">
      <c r="B243" s="112"/>
      <c r="C243" s="655"/>
      <c r="D243" s="371" t="s">
        <v>1582</v>
      </c>
      <c r="E243" s="530" t="s">
        <v>3267</v>
      </c>
      <c r="F243" s="530"/>
      <c r="G243" s="531"/>
      <c r="H243" s="532"/>
      <c r="I243" s="532"/>
      <c r="J243" s="91"/>
    </row>
    <row r="244" spans="2:10">
      <c r="B244" s="112"/>
      <c r="C244" s="655"/>
      <c r="D244" s="93" t="s">
        <v>1796</v>
      </c>
      <c r="E244" s="530" t="s">
        <v>3268</v>
      </c>
      <c r="F244" s="530"/>
      <c r="G244" s="531"/>
      <c r="H244" s="532"/>
      <c r="I244" s="532"/>
      <c r="J244" s="91" t="s">
        <v>814</v>
      </c>
    </row>
    <row r="245" spans="2:10">
      <c r="B245" s="112"/>
      <c r="C245" s="655"/>
      <c r="D245" s="94" t="s">
        <v>1790</v>
      </c>
      <c r="E245" s="530" t="s">
        <v>3269</v>
      </c>
      <c r="F245" s="530"/>
      <c r="G245" s="531"/>
      <c r="H245" s="532"/>
      <c r="I245" s="532"/>
      <c r="J245" s="91" t="s">
        <v>814</v>
      </c>
    </row>
    <row r="246" spans="2:10">
      <c r="B246" s="112"/>
      <c r="C246" s="655"/>
      <c r="D246" s="94" t="s">
        <v>213</v>
      </c>
      <c r="E246" s="530" t="s">
        <v>3270</v>
      </c>
      <c r="F246" s="530"/>
      <c r="G246" s="531"/>
      <c r="H246" s="532"/>
      <c r="I246" s="532"/>
      <c r="J246" s="91" t="s">
        <v>814</v>
      </c>
    </row>
    <row r="247" spans="2:10" ht="39" customHeight="1" outlineLevel="1">
      <c r="B247" s="88" t="s">
        <v>3271</v>
      </c>
      <c r="C247" s="655" t="s">
        <v>3165</v>
      </c>
      <c r="D247" s="114" t="s">
        <v>3272</v>
      </c>
      <c r="E247" s="530"/>
      <c r="F247" s="530"/>
      <c r="G247" s="531"/>
      <c r="H247" s="532"/>
      <c r="I247" s="532"/>
      <c r="J247" s="91" t="s">
        <v>814</v>
      </c>
    </row>
    <row r="248" spans="2:10" ht="19.5" customHeight="1" outlineLevel="1">
      <c r="B248" s="88" t="s">
        <v>3273</v>
      </c>
      <c r="C248" s="653" t="s">
        <v>3274</v>
      </c>
      <c r="D248" s="116" t="s">
        <v>3275</v>
      </c>
      <c r="E248" s="530" t="s">
        <v>3276</v>
      </c>
      <c r="F248" s="530"/>
      <c r="G248" s="531"/>
      <c r="H248" s="532" t="s">
        <v>3277</v>
      </c>
      <c r="I248" s="532"/>
      <c r="J248" s="91" t="s">
        <v>814</v>
      </c>
    </row>
    <row r="249" spans="2:10" ht="19.5" customHeight="1" outlineLevel="1">
      <c r="B249" s="88" t="s">
        <v>3278</v>
      </c>
      <c r="C249" s="653" t="s">
        <v>3279</v>
      </c>
      <c r="D249" s="116" t="s">
        <v>3280</v>
      </c>
      <c r="E249" s="530" t="s">
        <v>3281</v>
      </c>
      <c r="F249" s="530"/>
      <c r="G249" s="531"/>
      <c r="H249" s="532" t="s">
        <v>3282</v>
      </c>
      <c r="I249" s="532"/>
      <c r="J249" s="91" t="s">
        <v>814</v>
      </c>
    </row>
    <row r="250" spans="2:10" ht="19.5" customHeight="1" outlineLevel="1">
      <c r="B250" s="88" t="s">
        <v>3283</v>
      </c>
      <c r="C250" s="653" t="s">
        <v>3284</v>
      </c>
      <c r="D250" s="116" t="s">
        <v>3285</v>
      </c>
      <c r="E250" s="530" t="s">
        <v>3286</v>
      </c>
      <c r="F250" s="530"/>
      <c r="G250" s="531"/>
      <c r="H250" s="532" t="s">
        <v>3287</v>
      </c>
      <c r="I250" s="532"/>
      <c r="J250" s="91" t="s">
        <v>814</v>
      </c>
    </row>
    <row r="251" spans="2:10" ht="19.5" customHeight="1" outlineLevel="1">
      <c r="B251" s="88" t="s">
        <v>3288</v>
      </c>
      <c r="C251" s="80" t="s">
        <v>3289</v>
      </c>
      <c r="D251" s="128" t="s">
        <v>3290</v>
      </c>
      <c r="E251" s="530" t="s">
        <v>3291</v>
      </c>
      <c r="F251" s="530"/>
      <c r="G251" s="531"/>
      <c r="H251" s="532" t="s">
        <v>3292</v>
      </c>
      <c r="I251" s="532"/>
      <c r="J251" s="129" t="s">
        <v>814</v>
      </c>
    </row>
    <row r="252" spans="2:10">
      <c r="B252" s="88"/>
      <c r="C252" s="130"/>
      <c r="D252" s="131" t="s">
        <v>3293</v>
      </c>
      <c r="E252" s="131"/>
      <c r="F252" s="131"/>
      <c r="G252" s="131"/>
      <c r="H252" s="131"/>
      <c r="I252" s="131"/>
      <c r="J252" s="46"/>
    </row>
    <row r="253" spans="2:10">
      <c r="B253" s="88"/>
      <c r="C253" s="130"/>
      <c r="D253" s="131" t="s">
        <v>3294</v>
      </c>
      <c r="E253" s="131"/>
      <c r="F253" s="131"/>
      <c r="G253" s="131"/>
      <c r="H253" s="131"/>
      <c r="I253" s="131"/>
      <c r="J253" s="46"/>
    </row>
    <row r="254" spans="2:10">
      <c r="B254" s="88"/>
      <c r="C254" s="130"/>
      <c r="D254" s="131" t="s">
        <v>3295</v>
      </c>
      <c r="E254" s="131"/>
      <c r="F254" s="131"/>
      <c r="G254" s="131"/>
      <c r="H254" s="131"/>
      <c r="I254" s="131"/>
      <c r="J254" s="46"/>
    </row>
    <row r="255" spans="2:10">
      <c r="B255" s="88"/>
      <c r="C255" s="130"/>
      <c r="D255" s="122"/>
      <c r="E255" s="122"/>
      <c r="F255" s="122"/>
      <c r="G255" s="122"/>
      <c r="H255" s="122"/>
      <c r="I255" s="122"/>
      <c r="J255" s="46"/>
    </row>
    <row r="256" spans="2:10">
      <c r="B256" s="88"/>
      <c r="C256" s="130"/>
      <c r="D256" s="122"/>
      <c r="E256" s="122"/>
      <c r="F256" s="122"/>
      <c r="G256" s="122"/>
      <c r="H256" s="122"/>
      <c r="I256" s="122"/>
      <c r="J256" s="46"/>
    </row>
    <row r="257" spans="1:10">
      <c r="B257" s="88"/>
      <c r="C257" s="130"/>
      <c r="D257" s="122"/>
      <c r="E257" s="122"/>
      <c r="F257" s="122"/>
      <c r="G257" s="122"/>
      <c r="H257" s="122"/>
      <c r="I257" s="122"/>
      <c r="J257" s="46"/>
    </row>
    <row r="258" spans="1:10" ht="18.75" customHeight="1">
      <c r="A258" s="132"/>
      <c r="B258" s="88"/>
      <c r="C258" s="130"/>
      <c r="D258" s="133" t="s">
        <v>3296</v>
      </c>
      <c r="E258" s="133"/>
      <c r="F258" s="534"/>
      <c r="G258" s="534"/>
      <c r="H258" s="377"/>
      <c r="I258" s="534"/>
      <c r="J258" s="134"/>
    </row>
    <row r="259" spans="1:10" ht="18.75" customHeight="1">
      <c r="A259" s="132"/>
      <c r="B259" s="88"/>
      <c r="C259" s="130"/>
      <c r="D259" s="133" t="s">
        <v>3297</v>
      </c>
      <c r="E259" s="133"/>
      <c r="F259" s="534"/>
      <c r="G259" s="534"/>
      <c r="H259" s="377"/>
      <c r="I259" s="534"/>
      <c r="J259" s="134"/>
    </row>
    <row r="260" spans="1:10">
      <c r="B260" s="88"/>
      <c r="C260" s="130"/>
      <c r="D260" s="122"/>
      <c r="E260" s="122"/>
      <c r="F260" s="122"/>
      <c r="G260" s="122"/>
      <c r="H260" s="122"/>
      <c r="I260" s="122"/>
      <c r="J260" s="46"/>
    </row>
    <row r="261" spans="1:10">
      <c r="B261" s="88"/>
      <c r="C261" s="39"/>
      <c r="D261" s="323" t="s">
        <v>2760</v>
      </c>
      <c r="J261" s="324"/>
    </row>
    <row r="262" spans="1:10">
      <c r="B262" s="88"/>
      <c r="C262" s="135"/>
    </row>
    <row r="269" spans="1:10" ht="54.75" customHeight="1"/>
  </sheetData>
  <mergeCells count="37">
    <mergeCell ref="D121:D122"/>
    <mergeCell ref="D123:D124"/>
    <mergeCell ref="D100:D101"/>
    <mergeCell ref="C108:C109"/>
    <mergeCell ref="C3:J3"/>
    <mergeCell ref="C118:C119"/>
    <mergeCell ref="D95:D96"/>
    <mergeCell ref="D104:D105"/>
    <mergeCell ref="D91:D92"/>
    <mergeCell ref="D97:D98"/>
    <mergeCell ref="D106:D107"/>
    <mergeCell ref="C110:C111"/>
    <mergeCell ref="J7:J9"/>
    <mergeCell ref="C97:C98"/>
    <mergeCell ref="C112:C113"/>
    <mergeCell ref="D116:D117"/>
    <mergeCell ref="D118:D119"/>
    <mergeCell ref="C95:C96"/>
    <mergeCell ref="D102:D103"/>
    <mergeCell ref="C116:C117"/>
    <mergeCell ref="F8:F9"/>
    <mergeCell ref="I8:I9"/>
    <mergeCell ref="C91:C92"/>
    <mergeCell ref="D93:D94"/>
    <mergeCell ref="D110:D111"/>
    <mergeCell ref="B7:B9"/>
    <mergeCell ref="D112:D113"/>
    <mergeCell ref="D114:D115"/>
    <mergeCell ref="E7:I7"/>
    <mergeCell ref="H8:H9"/>
    <mergeCell ref="D7:D9"/>
    <mergeCell ref="E8:E9"/>
    <mergeCell ref="G8:G9"/>
    <mergeCell ref="D108:D109"/>
    <mergeCell ref="C7:C9"/>
    <mergeCell ref="C114:C115"/>
    <mergeCell ref="C93:C94"/>
  </mergeCells>
  <conditionalFormatting sqref="O11:O251 P11:P251 U11:U251 V11:V251 AA11:AA251 AB11:AB251 AG11:AG251 AH11:AH251 AM11:AM251 AN11:AN251 AS11:AS251 AT11:AT251 AY11:AY251 AZ11:AZ251 BE11:BE251 BF11:BF251 BK11:BK251 BL11:BL251 BQ11:BQ251 BR11:BR251 BW11:BW251 BX11:BX251 CC11:CC251 CD11:CD251 CI11:CI251 CJ11:CJ251 CO11:CO251 CP11:CP251 CU11:CU251 CV11:CV251 DA11:DA251 DB11:DB251 DG11:DG251 DH11:DH251">
    <cfRule type="cellIs" dxfId="62" priority="3" operator="greaterThan">
      <formula>0</formula>
    </cfRule>
    <cfRule type="cellIs" dxfId="61" priority="2" operator="lessThan">
      <formula>0</formula>
    </cfRule>
    <cfRule type="cellIs" dxfId="60" priority="1" operator="equal">
      <formula>0</formula>
    </cfRule>
  </conditionalFormatting>
  <conditionalFormatting sqref="L11:L251 N11:N251 R11:R251 T11:T251 X11:X251 Z11:Z251 AD11:AD251 AF11:AF251 AJ11:AJ251 AL11:AL251 AP11:AP251 AR11:AR251 AV11:AV251 AX11:AX251 BB11:BB251 BD11:BD251 BH11:BH251 BJ11:BJ251 BN11:BN251 BP11:BP251 BT11:BT251 BV11:BV251 BZ11:BZ251 CB11:CB251 CF11:CF251 CH11:CH251 CL11:CL251 CN11:CN251 CR11:CR251 CT11:CT251 CX11:CX251 CZ11:CZ251 DD11:DD251 DF11:DF251">
    <cfRule type="cellIs" dxfId="59" priority="4" operator="equal">
      <formula>0</formula>
    </cfRule>
  </conditionalFormatting>
  <pageMargins left="0.23622047244094491" right="0.23622047244094491" top="0.74803149606299213" bottom="0.74803149606299213" header="0.31496062992125978" footer="0.31496062992125978"/>
  <pageSetup paperSize="9" scale="80" fitToHeight="0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theme="8" tint="0.59999389629810485"/>
    <pageSetUpPr fitToPage="1"/>
  </sheetPr>
  <dimension ref="A1:DH30"/>
  <sheetViews>
    <sheetView topLeftCell="C1" zoomScale="60" zoomScaleNormal="60" zoomScaleSheetLayoutView="55" workbookViewId="0">
      <selection activeCell="H30" sqref="H30"/>
    </sheetView>
  </sheetViews>
  <sheetFormatPr defaultColWidth="8.42578125" defaultRowHeight="18.75" outlineLevelRow="1" outlineLevelCol="1"/>
  <cols>
    <col min="1" max="1" width="13" style="323" hidden="1" customWidth="1" outlineLevel="1"/>
    <col min="2" max="2" width="12.42578125" style="323" hidden="1" customWidth="1" outlineLevel="1"/>
    <col min="3" max="3" width="12.140625" style="138" bestFit="1" customWidth="1" collapsed="1"/>
    <col min="4" max="4" width="90.28515625" style="323" customWidth="1"/>
    <col min="5" max="9" width="17.7109375" style="323" customWidth="1" outlineLevel="1"/>
    <col min="10" max="10" width="13" style="324" bestFit="1" customWidth="1"/>
    <col min="11" max="11" width="8.42578125" style="323" customWidth="1"/>
    <col min="12" max="112" width="8.42578125" style="621" customWidth="1"/>
    <col min="113" max="16384" width="8.42578125" style="323"/>
  </cols>
  <sheetData>
    <row r="1" spans="2:10" ht="27.75" customHeight="1"/>
    <row r="2" spans="2:10" ht="18.75" customHeight="1">
      <c r="C2" s="18"/>
      <c r="D2" s="18"/>
      <c r="E2" s="18"/>
      <c r="F2" s="18"/>
      <c r="G2" s="18"/>
      <c r="H2" s="18"/>
      <c r="I2" s="18"/>
      <c r="J2" s="18"/>
    </row>
    <row r="3" spans="2:10" ht="20.25" customHeight="1">
      <c r="C3" s="838" t="s">
        <v>3298</v>
      </c>
      <c r="D3" s="790"/>
      <c r="E3" s="790"/>
      <c r="F3" s="790"/>
      <c r="G3" s="790"/>
      <c r="H3" s="790"/>
      <c r="I3" s="790"/>
      <c r="J3" s="791"/>
    </row>
    <row r="4" spans="2:10" ht="19.5" customHeight="1">
      <c r="C4" s="326"/>
      <c r="D4" s="729"/>
      <c r="E4" s="729"/>
      <c r="F4" s="729"/>
      <c r="G4" s="729"/>
      <c r="H4" s="729"/>
      <c r="I4" s="729"/>
      <c r="J4" s="730"/>
    </row>
    <row r="5" spans="2:10" ht="19.5" customHeight="1">
      <c r="B5" s="325"/>
      <c r="C5" s="326" t="s">
        <v>3299</v>
      </c>
      <c r="J5" s="730"/>
    </row>
    <row r="6" spans="2:10" ht="20.100000000000001" customHeight="1">
      <c r="B6" s="787" t="s">
        <v>1799</v>
      </c>
      <c r="C6" s="792" t="s">
        <v>1364</v>
      </c>
      <c r="D6" s="783" t="s">
        <v>16</v>
      </c>
      <c r="E6" s="761" t="s">
        <v>17</v>
      </c>
      <c r="F6" s="762"/>
      <c r="G6" s="762"/>
      <c r="H6" s="762"/>
      <c r="I6" s="763"/>
      <c r="J6" s="783" t="s">
        <v>1800</v>
      </c>
    </row>
    <row r="7" spans="2:10" ht="39.950000000000003" customHeight="1">
      <c r="B7" s="790"/>
      <c r="C7" s="756"/>
      <c r="D7" s="756"/>
      <c r="E7" s="741" t="s">
        <v>19</v>
      </c>
      <c r="F7" s="741" t="s">
        <v>20</v>
      </c>
      <c r="G7" s="741" t="s">
        <v>21</v>
      </c>
      <c r="H7" s="741" t="s">
        <v>22</v>
      </c>
      <c r="I7" s="741" t="s">
        <v>23</v>
      </c>
      <c r="J7" s="756"/>
    </row>
    <row r="8" spans="2:10" ht="20.100000000000001" customHeight="1">
      <c r="B8" s="790"/>
      <c r="C8" s="757"/>
      <c r="D8" s="757"/>
      <c r="E8" s="742"/>
      <c r="F8" s="742"/>
      <c r="G8" s="742"/>
      <c r="H8" s="742"/>
      <c r="I8" s="742"/>
      <c r="J8" s="757"/>
    </row>
    <row r="9" spans="2:10" ht="20.100000000000001" hidden="1" customHeight="1">
      <c r="B9" s="610"/>
      <c r="C9" s="645"/>
      <c r="D9" s="387"/>
      <c r="E9" s="391"/>
      <c r="F9" s="391"/>
      <c r="G9" s="391"/>
      <c r="H9" s="391"/>
      <c r="I9" s="391"/>
      <c r="J9" s="647"/>
    </row>
    <row r="10" spans="2:10" ht="39" customHeight="1">
      <c r="B10" s="65" t="s">
        <v>2908</v>
      </c>
      <c r="C10" s="24">
        <v>1</v>
      </c>
      <c r="D10" s="200" t="s">
        <v>3300</v>
      </c>
      <c r="E10" s="530" t="s">
        <v>3301</v>
      </c>
      <c r="F10" s="530"/>
      <c r="G10" s="531"/>
      <c r="H10" s="532" t="s">
        <v>3302</v>
      </c>
      <c r="I10" s="532"/>
      <c r="J10" s="647" t="s">
        <v>814</v>
      </c>
    </row>
    <row r="11" spans="2:10" ht="20.100000000000001" customHeight="1">
      <c r="B11" s="65" t="s">
        <v>2943</v>
      </c>
      <c r="C11" s="786" t="s">
        <v>43</v>
      </c>
      <c r="D11" s="836" t="s">
        <v>3303</v>
      </c>
      <c r="E11" s="530" t="s">
        <v>3304</v>
      </c>
      <c r="F11" s="530"/>
      <c r="G11" s="531"/>
      <c r="H11" s="532"/>
      <c r="I11" s="532"/>
      <c r="J11" s="657" t="s">
        <v>814</v>
      </c>
    </row>
    <row r="12" spans="2:10" ht="20.100000000000001" customHeight="1">
      <c r="B12" s="65" t="s">
        <v>2958</v>
      </c>
      <c r="C12" s="756"/>
      <c r="D12" s="756"/>
      <c r="E12" s="530" t="s">
        <v>3305</v>
      </c>
      <c r="F12" s="530"/>
      <c r="G12" s="531"/>
      <c r="H12" s="532"/>
      <c r="I12" s="532"/>
      <c r="J12" s="720" t="s">
        <v>820</v>
      </c>
    </row>
    <row r="13" spans="2:10" ht="51" customHeight="1">
      <c r="B13" s="65" t="s">
        <v>2976</v>
      </c>
      <c r="C13" s="617" t="s">
        <v>53</v>
      </c>
      <c r="D13" s="644" t="s">
        <v>3306</v>
      </c>
      <c r="E13" s="530" t="s">
        <v>3307</v>
      </c>
      <c r="F13" s="530"/>
      <c r="G13" s="531"/>
      <c r="H13" s="532"/>
      <c r="I13" s="532"/>
      <c r="J13" s="657" t="s">
        <v>814</v>
      </c>
    </row>
    <row r="14" spans="2:10" ht="20.100000000000001" customHeight="1" outlineLevel="1">
      <c r="B14" s="65" t="s">
        <v>3028</v>
      </c>
      <c r="C14" s="617"/>
      <c r="D14" s="124" t="s">
        <v>3308</v>
      </c>
      <c r="E14" s="530"/>
      <c r="F14" s="530"/>
      <c r="G14" s="531"/>
      <c r="H14" s="532"/>
      <c r="I14" s="532"/>
      <c r="J14" s="657"/>
    </row>
    <row r="15" spans="2:10" ht="24" customHeight="1" outlineLevel="1">
      <c r="B15" s="65" t="s">
        <v>3037</v>
      </c>
      <c r="C15" s="396">
        <v>2</v>
      </c>
      <c r="D15" s="663" t="s">
        <v>3309</v>
      </c>
      <c r="E15" s="530" t="s">
        <v>3310</v>
      </c>
      <c r="F15" s="530"/>
      <c r="G15" s="531"/>
      <c r="H15" s="532" t="s">
        <v>3311</v>
      </c>
      <c r="I15" s="532"/>
      <c r="J15" s="657" t="s">
        <v>814</v>
      </c>
    </row>
    <row r="16" spans="2:10" ht="39" customHeight="1" outlineLevel="1">
      <c r="B16" s="65" t="s">
        <v>3045</v>
      </c>
      <c r="C16" s="617" t="s">
        <v>82</v>
      </c>
      <c r="D16" s="637" t="s">
        <v>3312</v>
      </c>
      <c r="E16" s="530" t="s">
        <v>3313</v>
      </c>
      <c r="F16" s="530"/>
      <c r="G16" s="531"/>
      <c r="H16" s="532"/>
      <c r="I16" s="532"/>
      <c r="J16" s="657" t="s">
        <v>814</v>
      </c>
    </row>
    <row r="17" spans="2:10" ht="39" customHeight="1" outlineLevel="1">
      <c r="B17" s="65" t="s">
        <v>3053</v>
      </c>
      <c r="C17" s="617" t="s">
        <v>84</v>
      </c>
      <c r="D17" s="637" t="s">
        <v>3306</v>
      </c>
      <c r="E17" s="530" t="s">
        <v>3314</v>
      </c>
      <c r="F17" s="530"/>
      <c r="G17" s="531"/>
      <c r="H17" s="532"/>
      <c r="I17" s="532"/>
      <c r="J17" s="657" t="s">
        <v>814</v>
      </c>
    </row>
    <row r="18" spans="2:10" ht="24" customHeight="1">
      <c r="B18" s="65" t="s">
        <v>3064</v>
      </c>
      <c r="C18" s="396">
        <v>3</v>
      </c>
      <c r="D18" s="616" t="s">
        <v>3315</v>
      </c>
      <c r="E18" s="530" t="s">
        <v>3316</v>
      </c>
      <c r="F18" s="530"/>
      <c r="G18" s="531"/>
      <c r="H18" s="532" t="s">
        <v>3317</v>
      </c>
      <c r="I18" s="532"/>
      <c r="J18" s="657" t="s">
        <v>814</v>
      </c>
    </row>
    <row r="19" spans="2:10" ht="19.5" customHeight="1">
      <c r="B19" s="65"/>
      <c r="C19" s="786" t="s">
        <v>90</v>
      </c>
      <c r="D19" s="836" t="s">
        <v>1823</v>
      </c>
      <c r="E19" s="530" t="s">
        <v>3318</v>
      </c>
      <c r="F19" s="530"/>
      <c r="G19" s="531"/>
      <c r="H19" s="532"/>
      <c r="I19" s="532"/>
      <c r="J19" s="657" t="s">
        <v>814</v>
      </c>
    </row>
    <row r="20" spans="2:10" ht="19.5" customHeight="1">
      <c r="B20" s="65"/>
      <c r="C20" s="756"/>
      <c r="D20" s="756"/>
      <c r="E20" s="530" t="s">
        <v>3319</v>
      </c>
      <c r="F20" s="530"/>
      <c r="G20" s="531"/>
      <c r="H20" s="532"/>
      <c r="I20" s="532"/>
      <c r="J20" s="720" t="s">
        <v>820</v>
      </c>
    </row>
    <row r="21" spans="2:10" ht="39" customHeight="1">
      <c r="B21" s="65"/>
      <c r="C21" s="617" t="s">
        <v>91</v>
      </c>
      <c r="D21" s="644" t="s">
        <v>1829</v>
      </c>
      <c r="E21" s="530" t="s">
        <v>3320</v>
      </c>
      <c r="F21" s="530"/>
      <c r="G21" s="531"/>
      <c r="H21" s="532"/>
      <c r="I21" s="532"/>
      <c r="J21" s="657" t="s">
        <v>814</v>
      </c>
    </row>
    <row r="22" spans="2:10" ht="24" customHeight="1" outlineLevel="1">
      <c r="B22" s="65" t="s">
        <v>3321</v>
      </c>
      <c r="C22" s="408" t="s">
        <v>2753</v>
      </c>
      <c r="D22" s="398" t="s">
        <v>2623</v>
      </c>
      <c r="E22" s="530" t="s">
        <v>3322</v>
      </c>
      <c r="F22" s="530"/>
      <c r="G22" s="531"/>
      <c r="H22" s="532" t="s">
        <v>3323</v>
      </c>
      <c r="I22" s="532"/>
      <c r="J22" s="397" t="s">
        <v>814</v>
      </c>
    </row>
    <row r="23" spans="2:10" outlineLevel="1">
      <c r="B23" s="83"/>
      <c r="C23" s="837">
        <v>5</v>
      </c>
      <c r="D23" s="398" t="s">
        <v>2041</v>
      </c>
      <c r="E23" s="530"/>
      <c r="F23" s="530"/>
      <c r="G23" s="531"/>
      <c r="H23" s="532"/>
      <c r="I23" s="532"/>
      <c r="J23" s="397"/>
    </row>
    <row r="24" spans="2:10" s="22" customFormat="1" ht="19.5" customHeight="1" outlineLevel="1">
      <c r="B24" s="23"/>
      <c r="C24" s="756"/>
      <c r="D24" s="781" t="s">
        <v>2042</v>
      </c>
      <c r="E24" s="530"/>
      <c r="F24" s="530"/>
      <c r="G24" s="531"/>
      <c r="H24" s="532"/>
      <c r="I24" s="532"/>
      <c r="J24" s="642" t="s">
        <v>814</v>
      </c>
    </row>
    <row r="25" spans="2:10" ht="19.5" customHeight="1" outlineLevel="1">
      <c r="C25" s="756"/>
      <c r="D25" s="756"/>
      <c r="E25" s="530"/>
      <c r="F25" s="530"/>
      <c r="G25" s="531"/>
      <c r="H25" s="532"/>
      <c r="I25" s="532"/>
      <c r="J25" s="642" t="s">
        <v>820</v>
      </c>
    </row>
    <row r="26" spans="2:10" ht="19.5" customHeight="1" outlineLevel="1">
      <c r="C26" s="756"/>
      <c r="D26" s="609" t="s">
        <v>2043</v>
      </c>
      <c r="E26" s="530"/>
      <c r="F26" s="530"/>
      <c r="G26" s="531"/>
      <c r="H26" s="532"/>
      <c r="I26" s="532"/>
      <c r="J26" s="642" t="s">
        <v>814</v>
      </c>
    </row>
    <row r="27" spans="2:10" ht="19.5" customHeight="1" outlineLevel="1">
      <c r="C27" s="839">
        <v>6</v>
      </c>
      <c r="D27" s="398" t="s">
        <v>2044</v>
      </c>
      <c r="E27" s="530"/>
      <c r="F27" s="530"/>
      <c r="G27" s="531"/>
      <c r="H27" s="532"/>
      <c r="I27" s="532"/>
      <c r="J27" s="642"/>
    </row>
    <row r="28" spans="2:10" ht="24" customHeight="1" outlineLevel="1">
      <c r="C28" s="756"/>
      <c r="D28" s="781" t="s">
        <v>2042</v>
      </c>
      <c r="E28" s="530"/>
      <c r="F28" s="530" t="s">
        <v>3324</v>
      </c>
      <c r="G28" s="531"/>
      <c r="H28" s="532" t="s">
        <v>3325</v>
      </c>
      <c r="I28" s="532"/>
      <c r="J28" s="642" t="s">
        <v>814</v>
      </c>
    </row>
    <row r="29" spans="2:10" ht="24" customHeight="1" outlineLevel="1">
      <c r="C29" s="756"/>
      <c r="D29" s="756"/>
      <c r="E29" s="530"/>
      <c r="F29" s="530" t="s">
        <v>3326</v>
      </c>
      <c r="G29" s="531"/>
      <c r="H29" s="532" t="s">
        <v>3327</v>
      </c>
      <c r="I29" s="532"/>
      <c r="J29" s="642" t="s">
        <v>820</v>
      </c>
    </row>
    <row r="30" spans="2:10" ht="24" customHeight="1" outlineLevel="1">
      <c r="C30" s="742"/>
      <c r="D30" s="401" t="s">
        <v>2043</v>
      </c>
      <c r="E30" s="530"/>
      <c r="F30" s="530" t="s">
        <v>3328</v>
      </c>
      <c r="G30" s="531"/>
      <c r="H30" s="532" t="s">
        <v>3329</v>
      </c>
      <c r="I30" s="532"/>
      <c r="J30" s="643" t="s">
        <v>814</v>
      </c>
    </row>
  </sheetData>
  <mergeCells count="19">
    <mergeCell ref="B6:B8"/>
    <mergeCell ref="C3:J3"/>
    <mergeCell ref="C11:C12"/>
    <mergeCell ref="H7:H8"/>
    <mergeCell ref="C6:C8"/>
    <mergeCell ref="J6:J8"/>
    <mergeCell ref="C19:C20"/>
    <mergeCell ref="D28:D29"/>
    <mergeCell ref="E7:E8"/>
    <mergeCell ref="C23:C26"/>
    <mergeCell ref="C27:C30"/>
    <mergeCell ref="D24:D25"/>
    <mergeCell ref="D19:D20"/>
    <mergeCell ref="F7:F8"/>
    <mergeCell ref="G7:G8"/>
    <mergeCell ref="D11:D12"/>
    <mergeCell ref="I7:I8"/>
    <mergeCell ref="D6:D8"/>
    <mergeCell ref="E6:I6"/>
  </mergeCells>
  <conditionalFormatting sqref="O10:O30 P10:P30 U10:U30 V10:V30 AA10:AA30 AB10:AB30 AG10:AG30 AH10:AH30 AM10:AM30 AN10:AN30 AS10:AS30 AT10:AT30 AY10:AY30 AZ10:AZ30 BE10:BE30 BF10:BF30 BK10:BK30 BL10:BL30 BQ10:BQ30 BR10:BR30 BW10:BW30 BX10:BX30 CC10:CC30 CD10:CD30 CI10:CI30 CJ10:CJ30 CO10:CO30 CP10:CP30 CU10:CU30 CV10:CV30 DA10:DA30 DB10:DB30 DG10:DG30 DH10:DH30">
    <cfRule type="cellIs" dxfId="58" priority="3" operator="greaterThan">
      <formula>0</formula>
    </cfRule>
    <cfRule type="cellIs" dxfId="57" priority="2" operator="lessThan">
      <formula>0</formula>
    </cfRule>
    <cfRule type="cellIs" dxfId="56" priority="1" operator="equal">
      <formula>0</formula>
    </cfRule>
  </conditionalFormatting>
  <conditionalFormatting sqref="L10:L30 N10:N30 R10:R30 T10:T30 X10:X30 Z10:Z30 AD10:AD30 AF10:AF30 AJ10:AJ30 AL10:AL30 AP10:AP30 AR10:AR30 AV10:AV30 AX10:AX30 BB10:BB30 BD10:BD30 BH10:BH30 BJ10:BJ30 BN10:BN30 BP10:BP30 BT10:BT30 BV10:BV30 BZ10:BZ30 CB10:CB30 CF10:CF30 CH10:CH30 CL10:CL30 CN10:CN30 CR10:CR30 CT10:CT30 CX10:CX30 CZ10:CZ30 DD10:DD30 DF10:DF30">
    <cfRule type="cellIs" dxfId="55" priority="4" operator="equal">
      <formula>0</formula>
    </cfRule>
  </conditionalFormatting>
  <pageMargins left="0.7" right="0.7" top="0.75" bottom="0.75" header="0.3" footer="0.3"/>
  <pageSetup paperSize="9" scale="67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0">
    <tabColor theme="8" tint="0.59999389629810485"/>
    <pageSetUpPr fitToPage="1"/>
  </sheetPr>
  <dimension ref="A1:DH82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8.42578125" defaultRowHeight="18.75" outlineLevelRow="1" outlineLevelCol="1"/>
  <cols>
    <col min="1" max="2" width="10.7109375" style="138" hidden="1" customWidth="1" outlineLevel="1"/>
    <col min="3" max="3" width="9.42578125" style="138" bestFit="1" customWidth="1" collapsed="1"/>
    <col min="4" max="4" width="72" style="138" customWidth="1"/>
    <col min="5" max="9" width="19.85546875" style="138" customWidth="1" outlineLevel="1"/>
    <col min="10" max="10" width="13.5703125" style="139" bestFit="1" customWidth="1"/>
    <col min="11" max="11" width="8.42578125" style="138" bestFit="1" customWidth="1"/>
    <col min="12" max="12" width="8.42578125" style="138" customWidth="1"/>
    <col min="13" max="112" width="8.42578125" style="621" customWidth="1"/>
    <col min="113" max="16384" width="8.42578125" style="138"/>
  </cols>
  <sheetData>
    <row r="1" spans="1:10" ht="15" customHeight="1"/>
    <row r="2" spans="1:10" ht="20.100000000000001" customHeight="1"/>
    <row r="3" spans="1:10" ht="20.100000000000001" customHeight="1">
      <c r="C3" s="840" t="s">
        <v>3330</v>
      </c>
      <c r="D3" s="823"/>
      <c r="E3" s="823"/>
      <c r="F3" s="823"/>
      <c r="G3" s="823"/>
      <c r="H3" s="823"/>
      <c r="I3" s="823"/>
      <c r="J3" s="841"/>
    </row>
    <row r="4" spans="1:10" ht="20.100000000000001" customHeight="1"/>
    <row r="5" spans="1:10">
      <c r="C5" s="326" t="s">
        <v>3331</v>
      </c>
      <c r="D5" s="326"/>
      <c r="E5" s="326"/>
      <c r="F5" s="326"/>
      <c r="G5" s="326"/>
      <c r="H5" s="326"/>
      <c r="I5" s="326"/>
      <c r="J5" s="730"/>
    </row>
    <row r="6" spans="1:10" ht="20.100000000000001" customHeight="1">
      <c r="B6" s="787" t="s">
        <v>1799</v>
      </c>
      <c r="C6" s="842" t="s">
        <v>1364</v>
      </c>
      <c r="D6" s="783" t="s">
        <v>16</v>
      </c>
      <c r="E6" s="761" t="s">
        <v>17</v>
      </c>
      <c r="F6" s="762"/>
      <c r="G6" s="762"/>
      <c r="H6" s="762"/>
      <c r="I6" s="763"/>
      <c r="J6" s="783" t="s">
        <v>1800</v>
      </c>
    </row>
    <row r="7" spans="1:10" ht="39.950000000000003" customHeight="1">
      <c r="B7" s="823"/>
      <c r="C7" s="756"/>
      <c r="D7" s="756"/>
      <c r="E7" s="741" t="s">
        <v>19</v>
      </c>
      <c r="F7" s="741" t="s">
        <v>20</v>
      </c>
      <c r="G7" s="741" t="s">
        <v>21</v>
      </c>
      <c r="H7" s="741" t="s">
        <v>22</v>
      </c>
      <c r="I7" s="741" t="s">
        <v>23</v>
      </c>
      <c r="J7" s="756"/>
    </row>
    <row r="8" spans="1:10" ht="20.100000000000001" customHeight="1">
      <c r="B8" s="823"/>
      <c r="C8" s="756"/>
      <c r="D8" s="757"/>
      <c r="E8" s="742"/>
      <c r="F8" s="742"/>
      <c r="G8" s="742"/>
      <c r="H8" s="742"/>
      <c r="I8" s="742"/>
      <c r="J8" s="757"/>
    </row>
    <row r="9" spans="1:10" ht="20.100000000000001" hidden="1" customHeight="1">
      <c r="B9" s="610"/>
      <c r="C9" s="388"/>
      <c r="D9" s="206"/>
      <c r="E9" s="391"/>
      <c r="F9" s="391"/>
      <c r="G9" s="391"/>
      <c r="H9" s="391"/>
      <c r="I9" s="391"/>
      <c r="J9" s="657"/>
    </row>
    <row r="10" spans="1:10" ht="37.5" customHeight="1">
      <c r="A10" s="49"/>
      <c r="B10" s="23" t="s">
        <v>3147</v>
      </c>
      <c r="C10" s="140" t="s">
        <v>26</v>
      </c>
      <c r="D10" s="141" t="s">
        <v>3332</v>
      </c>
      <c r="E10" s="530" t="s">
        <v>3301</v>
      </c>
      <c r="F10" s="530"/>
      <c r="G10" s="531"/>
      <c r="H10" s="532" t="s">
        <v>3302</v>
      </c>
      <c r="I10" s="532"/>
      <c r="J10" s="731" t="s">
        <v>820</v>
      </c>
    </row>
    <row r="11" spans="1:10" ht="24" customHeight="1">
      <c r="A11" s="142"/>
      <c r="B11" s="23" t="s">
        <v>3163</v>
      </c>
      <c r="C11" s="143" t="s">
        <v>3333</v>
      </c>
      <c r="D11" s="141" t="s">
        <v>3334</v>
      </c>
      <c r="E11" s="530" t="s">
        <v>3335</v>
      </c>
      <c r="F11" s="530"/>
      <c r="G11" s="531"/>
      <c r="H11" s="532" t="s">
        <v>3336</v>
      </c>
      <c r="I11" s="532"/>
      <c r="J11" s="720" t="s">
        <v>820</v>
      </c>
    </row>
    <row r="12" spans="1:10">
      <c r="A12" s="144"/>
      <c r="B12" s="23" t="s">
        <v>3337</v>
      </c>
      <c r="C12" s="145"/>
      <c r="D12" s="146" t="s">
        <v>3338</v>
      </c>
      <c r="E12" s="530" t="s">
        <v>3339</v>
      </c>
      <c r="F12" s="530"/>
      <c r="G12" s="531"/>
      <c r="H12" s="532"/>
      <c r="I12" s="532"/>
      <c r="J12" s="720" t="s">
        <v>820</v>
      </c>
    </row>
    <row r="13" spans="1:10">
      <c r="A13" s="144"/>
      <c r="B13" s="23" t="s">
        <v>3340</v>
      </c>
      <c r="C13" s="145"/>
      <c r="D13" s="147" t="s">
        <v>3341</v>
      </c>
      <c r="E13" s="530" t="s">
        <v>3342</v>
      </c>
      <c r="F13" s="530"/>
      <c r="G13" s="531"/>
      <c r="H13" s="532"/>
      <c r="I13" s="532"/>
      <c r="J13" s="720" t="s">
        <v>820</v>
      </c>
    </row>
    <row r="14" spans="1:10">
      <c r="A14" s="144"/>
      <c r="B14" s="23" t="s">
        <v>3343</v>
      </c>
      <c r="C14" s="145"/>
      <c r="D14" s="146" t="s">
        <v>3344</v>
      </c>
      <c r="E14" s="530" t="s">
        <v>3345</v>
      </c>
      <c r="F14" s="530"/>
      <c r="G14" s="531"/>
      <c r="H14" s="532"/>
      <c r="I14" s="532"/>
      <c r="J14" s="720" t="s">
        <v>820</v>
      </c>
    </row>
    <row r="15" spans="1:10">
      <c r="A15" s="144"/>
      <c r="B15" s="23" t="s">
        <v>3346</v>
      </c>
      <c r="C15" s="145"/>
      <c r="D15" s="146" t="s">
        <v>3347</v>
      </c>
      <c r="E15" s="530" t="s">
        <v>3348</v>
      </c>
      <c r="F15" s="530"/>
      <c r="G15" s="531"/>
      <c r="H15" s="532"/>
      <c r="I15" s="532"/>
      <c r="J15" s="720" t="s">
        <v>820</v>
      </c>
    </row>
    <row r="16" spans="1:10">
      <c r="A16" s="144"/>
      <c r="B16" s="23" t="s">
        <v>3349</v>
      </c>
      <c r="C16" s="145"/>
      <c r="D16" s="146" t="s">
        <v>3350</v>
      </c>
      <c r="E16" s="530" t="s">
        <v>3351</v>
      </c>
      <c r="F16" s="530"/>
      <c r="G16" s="531"/>
      <c r="H16" s="532"/>
      <c r="I16" s="532"/>
      <c r="J16" s="720" t="s">
        <v>820</v>
      </c>
    </row>
    <row r="17" spans="1:10" ht="18.75" customHeight="1">
      <c r="A17" s="144"/>
      <c r="B17" s="23" t="s">
        <v>3352</v>
      </c>
      <c r="C17" s="145"/>
      <c r="D17" s="146" t="s">
        <v>3353</v>
      </c>
      <c r="E17" s="530" t="s">
        <v>3354</v>
      </c>
      <c r="F17" s="530"/>
      <c r="G17" s="531"/>
      <c r="H17" s="532"/>
      <c r="I17" s="532"/>
      <c r="J17" s="720" t="s">
        <v>820</v>
      </c>
    </row>
    <row r="18" spans="1:10" ht="18.75" customHeight="1">
      <c r="A18" s="49"/>
      <c r="B18" s="23"/>
      <c r="C18" s="145"/>
      <c r="D18" s="146" t="s">
        <v>3355</v>
      </c>
      <c r="E18" s="530" t="s">
        <v>3356</v>
      </c>
      <c r="F18" s="530"/>
      <c r="G18" s="531"/>
      <c r="H18" s="532"/>
      <c r="I18" s="532"/>
      <c r="J18" s="720" t="s">
        <v>820</v>
      </c>
    </row>
    <row r="19" spans="1:10" ht="18.75" customHeight="1">
      <c r="A19" s="148"/>
      <c r="B19" s="23" t="s">
        <v>3357</v>
      </c>
      <c r="C19" s="145" t="s">
        <v>3358</v>
      </c>
      <c r="D19" s="141" t="s">
        <v>3359</v>
      </c>
      <c r="E19" s="530" t="s">
        <v>3360</v>
      </c>
      <c r="F19" s="530"/>
      <c r="G19" s="531"/>
      <c r="H19" s="532" t="s">
        <v>3361</v>
      </c>
      <c r="I19" s="532"/>
      <c r="J19" s="719"/>
    </row>
    <row r="20" spans="1:10">
      <c r="A20" s="144"/>
      <c r="B20" s="23" t="s">
        <v>3362</v>
      </c>
      <c r="C20" s="145"/>
      <c r="D20" s="149" t="s">
        <v>3363</v>
      </c>
      <c r="E20" s="530" t="s">
        <v>3361</v>
      </c>
      <c r="F20" s="530"/>
      <c r="G20" s="531"/>
      <c r="H20" s="532"/>
      <c r="I20" s="532"/>
      <c r="J20" s="720" t="s">
        <v>820</v>
      </c>
    </row>
    <row r="21" spans="1:10" s="179" customFormat="1" ht="37.5" customHeight="1">
      <c r="A21" s="144"/>
      <c r="B21" s="23" t="s">
        <v>3364</v>
      </c>
      <c r="C21" s="145" t="s">
        <v>364</v>
      </c>
      <c r="D21" s="141" t="s">
        <v>3365</v>
      </c>
      <c r="E21" s="530" t="s">
        <v>3366</v>
      </c>
      <c r="F21" s="530"/>
      <c r="G21" s="531"/>
      <c r="H21" s="532" t="s">
        <v>3367</v>
      </c>
      <c r="I21" s="532"/>
      <c r="J21" s="396" t="s">
        <v>814</v>
      </c>
    </row>
    <row r="22" spans="1:10" s="179" customFormat="1" ht="37.5" customHeight="1">
      <c r="A22" s="144"/>
      <c r="B22" s="23" t="s">
        <v>3368</v>
      </c>
      <c r="C22" s="150" t="s">
        <v>82</v>
      </c>
      <c r="D22" s="141" t="s">
        <v>3369</v>
      </c>
      <c r="E22" s="530" t="s">
        <v>3370</v>
      </c>
      <c r="F22" s="530"/>
      <c r="G22" s="531"/>
      <c r="H22" s="532"/>
      <c r="I22" s="532"/>
      <c r="J22" s="396" t="s">
        <v>814</v>
      </c>
    </row>
    <row r="23" spans="1:10" s="179" customFormat="1" ht="37.5" customHeight="1">
      <c r="A23" s="148"/>
      <c r="B23" s="23"/>
      <c r="C23" s="145"/>
      <c r="D23" s="147" t="s">
        <v>3371</v>
      </c>
      <c r="E23" s="530" t="s">
        <v>3372</v>
      </c>
      <c r="F23" s="530"/>
      <c r="G23" s="531"/>
      <c r="H23" s="532"/>
      <c r="I23" s="532"/>
      <c r="J23" s="650" t="s">
        <v>814</v>
      </c>
    </row>
    <row r="24" spans="1:10" s="179" customFormat="1" ht="18.75" customHeight="1">
      <c r="A24" s="144"/>
      <c r="B24" s="23" t="s">
        <v>3373</v>
      </c>
      <c r="C24" s="150" t="s">
        <v>84</v>
      </c>
      <c r="D24" s="141" t="s">
        <v>3374</v>
      </c>
      <c r="E24" s="530" t="s">
        <v>3375</v>
      </c>
      <c r="F24" s="530"/>
      <c r="G24" s="531"/>
      <c r="H24" s="532" t="s">
        <v>3376</v>
      </c>
      <c r="I24" s="532"/>
      <c r="J24" s="396" t="s">
        <v>814</v>
      </c>
    </row>
    <row r="25" spans="1:10" s="179" customFormat="1">
      <c r="A25" s="144"/>
      <c r="B25" s="23" t="s">
        <v>3377</v>
      </c>
      <c r="C25" s="145"/>
      <c r="D25" s="146" t="s">
        <v>3378</v>
      </c>
      <c r="E25" s="530" t="s">
        <v>3379</v>
      </c>
      <c r="F25" s="530"/>
      <c r="G25" s="531"/>
      <c r="H25" s="532"/>
      <c r="I25" s="532"/>
      <c r="J25" s="650" t="s">
        <v>814</v>
      </c>
    </row>
    <row r="26" spans="1:10" s="179" customFormat="1" ht="37.5" customHeight="1">
      <c r="A26" s="144"/>
      <c r="B26" s="23"/>
      <c r="C26" s="145"/>
      <c r="D26" s="147" t="s">
        <v>3371</v>
      </c>
      <c r="E26" s="530" t="s">
        <v>3380</v>
      </c>
      <c r="F26" s="530"/>
      <c r="G26" s="531"/>
      <c r="H26" s="532"/>
      <c r="I26" s="532"/>
      <c r="J26" s="650" t="s">
        <v>814</v>
      </c>
    </row>
    <row r="27" spans="1:10" s="179" customFormat="1">
      <c r="A27" s="144"/>
      <c r="B27" s="23" t="s">
        <v>3381</v>
      </c>
      <c r="C27" s="145"/>
      <c r="D27" s="146" t="s">
        <v>3382</v>
      </c>
      <c r="E27" s="530" t="s">
        <v>3383</v>
      </c>
      <c r="F27" s="530"/>
      <c r="G27" s="531"/>
      <c r="H27" s="532"/>
      <c r="I27" s="532"/>
      <c r="J27" s="650" t="s">
        <v>814</v>
      </c>
    </row>
    <row r="28" spans="1:10" s="179" customFormat="1" ht="37.5" customHeight="1">
      <c r="A28" s="144"/>
      <c r="B28" s="23" t="s">
        <v>3384</v>
      </c>
      <c r="C28" s="145" t="s">
        <v>86</v>
      </c>
      <c r="D28" s="141" t="s">
        <v>3385</v>
      </c>
      <c r="E28" s="530" t="s">
        <v>3386</v>
      </c>
      <c r="F28" s="530"/>
      <c r="G28" s="531"/>
      <c r="H28" s="532" t="s">
        <v>3387</v>
      </c>
      <c r="I28" s="532"/>
      <c r="J28" s="396" t="s">
        <v>814</v>
      </c>
    </row>
    <row r="29" spans="1:10" s="179" customFormat="1">
      <c r="A29" s="2"/>
      <c r="B29" s="23" t="s">
        <v>3388</v>
      </c>
      <c r="C29" s="145"/>
      <c r="D29" s="146" t="s">
        <v>3389</v>
      </c>
      <c r="E29" s="530" t="s">
        <v>3390</v>
      </c>
      <c r="F29" s="530"/>
      <c r="G29" s="531"/>
      <c r="H29" s="532"/>
      <c r="I29" s="532"/>
      <c r="J29" s="650" t="s">
        <v>814</v>
      </c>
    </row>
    <row r="30" spans="1:10" s="179" customFormat="1">
      <c r="A30" s="151"/>
      <c r="B30" s="23" t="s">
        <v>3391</v>
      </c>
      <c r="C30" s="145"/>
      <c r="D30" s="146" t="s">
        <v>3392</v>
      </c>
      <c r="E30" s="530" t="s">
        <v>3393</v>
      </c>
      <c r="F30" s="530"/>
      <c r="G30" s="531"/>
      <c r="H30" s="532"/>
      <c r="I30" s="532"/>
      <c r="J30" s="650" t="s">
        <v>814</v>
      </c>
    </row>
    <row r="31" spans="1:10" s="179" customFormat="1" ht="56.25" customHeight="1">
      <c r="B31" s="23" t="s">
        <v>3394</v>
      </c>
      <c r="C31" s="145" t="s">
        <v>97</v>
      </c>
      <c r="D31" s="141" t="s">
        <v>3395</v>
      </c>
      <c r="E31" s="530" t="s">
        <v>3396</v>
      </c>
      <c r="F31" s="530"/>
      <c r="G31" s="531"/>
      <c r="H31" s="532" t="s">
        <v>3397</v>
      </c>
      <c r="I31" s="532"/>
      <c r="J31" s="396" t="s">
        <v>814</v>
      </c>
    </row>
    <row r="32" spans="1:10" s="179" customFormat="1" ht="18.75" customHeight="1">
      <c r="B32" s="23" t="s">
        <v>3398</v>
      </c>
      <c r="C32" s="145"/>
      <c r="D32" s="146" t="s">
        <v>3399</v>
      </c>
      <c r="E32" s="530" t="s">
        <v>3397</v>
      </c>
      <c r="F32" s="530"/>
      <c r="G32" s="531"/>
      <c r="H32" s="532"/>
      <c r="I32" s="532"/>
      <c r="J32" s="650" t="s">
        <v>814</v>
      </c>
    </row>
    <row r="33" spans="2:10" s="179" customFormat="1" ht="37.5" customHeight="1">
      <c r="B33" s="23" t="s">
        <v>3400</v>
      </c>
      <c r="C33" s="145" t="s">
        <v>191</v>
      </c>
      <c r="D33" s="141" t="s">
        <v>3401</v>
      </c>
      <c r="E33" s="530" t="s">
        <v>3402</v>
      </c>
      <c r="F33" s="530"/>
      <c r="G33" s="531"/>
      <c r="H33" s="532" t="s">
        <v>3403</v>
      </c>
      <c r="I33" s="532"/>
      <c r="J33" s="396" t="s">
        <v>814</v>
      </c>
    </row>
    <row r="34" spans="2:10" s="179" customFormat="1">
      <c r="B34" s="23" t="s">
        <v>3404</v>
      </c>
      <c r="C34" s="559"/>
      <c r="D34" s="560" t="s">
        <v>3405</v>
      </c>
      <c r="E34" s="530" t="s">
        <v>3403</v>
      </c>
      <c r="F34" s="530"/>
      <c r="G34" s="531"/>
      <c r="H34" s="532"/>
      <c r="I34" s="532"/>
      <c r="J34" s="566" t="s">
        <v>814</v>
      </c>
    </row>
    <row r="35" spans="2:10" s="152" customFormat="1" ht="19.5" customHeight="1" outlineLevel="1">
      <c r="B35" s="23" t="s">
        <v>3406</v>
      </c>
      <c r="C35" s="153"/>
      <c r="D35" s="154" t="s">
        <v>804</v>
      </c>
      <c r="E35" s="530"/>
      <c r="F35" s="530"/>
      <c r="G35" s="531"/>
      <c r="H35" s="532"/>
      <c r="I35" s="532"/>
      <c r="J35" s="155"/>
    </row>
    <row r="36" spans="2:10" s="152" customFormat="1" ht="19.5" customHeight="1" outlineLevel="1">
      <c r="B36" s="23" t="s">
        <v>3407</v>
      </c>
      <c r="C36" s="153" t="s">
        <v>220</v>
      </c>
      <c r="D36" s="156" t="s">
        <v>3408</v>
      </c>
      <c r="E36" s="530" t="s">
        <v>3409</v>
      </c>
      <c r="F36" s="530"/>
      <c r="G36" s="531"/>
      <c r="H36" s="532"/>
      <c r="I36" s="532"/>
      <c r="J36" s="732" t="s">
        <v>820</v>
      </c>
    </row>
    <row r="37" spans="2:10" s="152" customFormat="1" ht="58.5" customHeight="1" outlineLevel="1">
      <c r="B37" s="23" t="s">
        <v>3410</v>
      </c>
      <c r="C37" s="153" t="s">
        <v>240</v>
      </c>
      <c r="D37" s="156" t="s">
        <v>3411</v>
      </c>
      <c r="E37" s="530" t="s">
        <v>3412</v>
      </c>
      <c r="F37" s="530"/>
      <c r="G37" s="531"/>
      <c r="H37" s="532"/>
      <c r="I37" s="532"/>
      <c r="J37" s="672" t="s">
        <v>814</v>
      </c>
    </row>
    <row r="38" spans="2:10" ht="19.5" customHeight="1" outlineLevel="1">
      <c r="C38" s="561">
        <v>8</v>
      </c>
      <c r="D38" s="562" t="s">
        <v>2041</v>
      </c>
      <c r="E38" s="530"/>
      <c r="F38" s="530"/>
      <c r="G38" s="531"/>
      <c r="H38" s="532"/>
      <c r="I38" s="532"/>
      <c r="J38" s="567"/>
    </row>
    <row r="39" spans="2:10" ht="19.5" customHeight="1" outlineLevel="1">
      <c r="C39" s="563"/>
      <c r="D39" s="549" t="s">
        <v>2632</v>
      </c>
      <c r="E39" s="530"/>
      <c r="F39" s="530"/>
      <c r="G39" s="531"/>
      <c r="H39" s="532"/>
      <c r="I39" s="532"/>
      <c r="J39" s="552"/>
    </row>
    <row r="40" spans="2:10" outlineLevel="1">
      <c r="C40" s="564"/>
      <c r="D40" s="550" t="s">
        <v>2633</v>
      </c>
      <c r="E40" s="530"/>
      <c r="F40" s="530"/>
      <c r="G40" s="531"/>
      <c r="H40" s="532"/>
      <c r="I40" s="532"/>
      <c r="J40" s="568" t="s">
        <v>820</v>
      </c>
    </row>
    <row r="41" spans="2:10" outlineLevel="1">
      <c r="C41" s="564"/>
      <c r="D41" s="550" t="s">
        <v>2634</v>
      </c>
      <c r="E41" s="530"/>
      <c r="F41" s="530"/>
      <c r="G41" s="531"/>
      <c r="H41" s="532"/>
      <c r="I41" s="532"/>
      <c r="J41" s="568" t="s">
        <v>820</v>
      </c>
    </row>
    <row r="42" spans="2:10" ht="19.5" customHeight="1" outlineLevel="1">
      <c r="C42" s="672"/>
      <c r="D42" s="550" t="s">
        <v>2635</v>
      </c>
      <c r="E42" s="530"/>
      <c r="F42" s="530"/>
      <c r="G42" s="531"/>
      <c r="H42" s="532"/>
      <c r="I42" s="532"/>
      <c r="J42" s="568" t="s">
        <v>820</v>
      </c>
    </row>
    <row r="43" spans="2:10" ht="19.5" customHeight="1" outlineLevel="1">
      <c r="C43" s="672"/>
      <c r="D43" s="550" t="s">
        <v>2636</v>
      </c>
      <c r="E43" s="530"/>
      <c r="F43" s="530"/>
      <c r="G43" s="531"/>
      <c r="H43" s="532"/>
      <c r="I43" s="532"/>
      <c r="J43" s="568" t="s">
        <v>820</v>
      </c>
    </row>
    <row r="44" spans="2:10" ht="19.5" customHeight="1" outlineLevel="1">
      <c r="C44" s="672"/>
      <c r="D44" s="550" t="s">
        <v>2064</v>
      </c>
      <c r="E44" s="530"/>
      <c r="F44" s="530"/>
      <c r="G44" s="531"/>
      <c r="H44" s="532"/>
      <c r="I44" s="532"/>
      <c r="J44" s="568" t="s">
        <v>820</v>
      </c>
    </row>
    <row r="45" spans="2:10" ht="19.5" customHeight="1" outlineLevel="1">
      <c r="C45" s="672"/>
      <c r="D45" s="549" t="s">
        <v>2637</v>
      </c>
      <c r="E45" s="530"/>
      <c r="F45" s="530"/>
      <c r="G45" s="531"/>
      <c r="H45" s="532"/>
      <c r="I45" s="532"/>
      <c r="J45" s="552"/>
    </row>
    <row r="46" spans="2:10" ht="19.5" customHeight="1" outlineLevel="1">
      <c r="C46" s="672"/>
      <c r="D46" s="550" t="s">
        <v>2633</v>
      </c>
      <c r="E46" s="530"/>
      <c r="F46" s="530"/>
      <c r="G46" s="531"/>
      <c r="H46" s="532"/>
      <c r="I46" s="532"/>
      <c r="J46" s="568" t="s">
        <v>814</v>
      </c>
    </row>
    <row r="47" spans="2:10" ht="19.5" customHeight="1" outlineLevel="1">
      <c r="C47" s="672"/>
      <c r="D47" s="550" t="s">
        <v>2634</v>
      </c>
      <c r="E47" s="530"/>
      <c r="F47" s="530"/>
      <c r="G47" s="531"/>
      <c r="H47" s="532"/>
      <c r="I47" s="532"/>
      <c r="J47" s="568" t="s">
        <v>814</v>
      </c>
    </row>
    <row r="48" spans="2:10" ht="19.5" customHeight="1" outlineLevel="1">
      <c r="C48" s="672"/>
      <c r="D48" s="550" t="s">
        <v>2636</v>
      </c>
      <c r="E48" s="530"/>
      <c r="F48" s="530"/>
      <c r="G48" s="531"/>
      <c r="H48" s="532"/>
      <c r="I48" s="532"/>
      <c r="J48" s="568" t="s">
        <v>814</v>
      </c>
    </row>
    <row r="49" spans="3:10" ht="19.5" customHeight="1" outlineLevel="1">
      <c r="C49" s="672"/>
      <c r="D49" s="549" t="s">
        <v>2638</v>
      </c>
      <c r="E49" s="530"/>
      <c r="F49" s="530"/>
      <c r="G49" s="531"/>
      <c r="H49" s="532"/>
      <c r="I49" s="532"/>
      <c r="J49" s="552"/>
    </row>
    <row r="50" spans="3:10" ht="19.5" customHeight="1" outlineLevel="1">
      <c r="C50" s="672"/>
      <c r="D50" s="550" t="s">
        <v>2633</v>
      </c>
      <c r="E50" s="530"/>
      <c r="F50" s="530"/>
      <c r="G50" s="531"/>
      <c r="H50" s="532"/>
      <c r="I50" s="532"/>
      <c r="J50" s="568" t="s">
        <v>814</v>
      </c>
    </row>
    <row r="51" spans="3:10" ht="19.5" customHeight="1" outlineLevel="1">
      <c r="C51" s="672"/>
      <c r="D51" s="550" t="s">
        <v>2639</v>
      </c>
      <c r="E51" s="530"/>
      <c r="F51" s="530"/>
      <c r="G51" s="531"/>
      <c r="H51" s="532"/>
      <c r="I51" s="532"/>
      <c r="J51" s="568" t="s">
        <v>814</v>
      </c>
    </row>
    <row r="52" spans="3:10" ht="19.5" customHeight="1" outlineLevel="1">
      <c r="C52" s="672"/>
      <c r="D52" s="550" t="s">
        <v>2635</v>
      </c>
      <c r="E52" s="530"/>
      <c r="F52" s="530"/>
      <c r="G52" s="531"/>
      <c r="H52" s="532"/>
      <c r="I52" s="532"/>
      <c r="J52" s="568" t="s">
        <v>814</v>
      </c>
    </row>
    <row r="53" spans="3:10" ht="19.5" customHeight="1" outlineLevel="1">
      <c r="C53" s="672"/>
      <c r="D53" s="550" t="s">
        <v>2636</v>
      </c>
      <c r="E53" s="530"/>
      <c r="F53" s="530"/>
      <c r="G53" s="531"/>
      <c r="H53" s="532"/>
      <c r="I53" s="532"/>
      <c r="J53" s="568" t="s">
        <v>814</v>
      </c>
    </row>
    <row r="54" spans="3:10" ht="19.5" customHeight="1" outlineLevel="1">
      <c r="C54" s="672"/>
      <c r="D54" s="550" t="s">
        <v>2640</v>
      </c>
      <c r="E54" s="530"/>
      <c r="F54" s="530"/>
      <c r="G54" s="531"/>
      <c r="H54" s="532"/>
      <c r="I54" s="532"/>
      <c r="J54" s="568" t="s">
        <v>814</v>
      </c>
    </row>
    <row r="55" spans="3:10" ht="19.5" customHeight="1" outlineLevel="1">
      <c r="C55" s="672"/>
      <c r="D55" s="550" t="s">
        <v>2064</v>
      </c>
      <c r="E55" s="530"/>
      <c r="F55" s="530"/>
      <c r="G55" s="531"/>
      <c r="H55" s="532"/>
      <c r="I55" s="532"/>
      <c r="J55" s="568" t="s">
        <v>814</v>
      </c>
    </row>
    <row r="56" spans="3:10" ht="19.5" customHeight="1" outlineLevel="1">
      <c r="C56" s="397">
        <v>9</v>
      </c>
      <c r="D56" s="548" t="s">
        <v>3413</v>
      </c>
      <c r="E56" s="530"/>
      <c r="F56" s="530"/>
      <c r="G56" s="531"/>
      <c r="H56" s="532"/>
      <c r="I56" s="532"/>
      <c r="J56" s="552"/>
    </row>
    <row r="57" spans="3:10" ht="19.5" customHeight="1" outlineLevel="1">
      <c r="C57" s="563"/>
      <c r="D57" s="549" t="s">
        <v>2632</v>
      </c>
      <c r="E57" s="530"/>
      <c r="F57" s="530"/>
      <c r="G57" s="531"/>
      <c r="H57" s="532"/>
      <c r="I57" s="532"/>
      <c r="J57" s="552"/>
    </row>
    <row r="58" spans="3:10" outlineLevel="1">
      <c r="C58" s="564"/>
      <c r="D58" s="550" t="s">
        <v>2633</v>
      </c>
      <c r="E58" s="530"/>
      <c r="F58" s="530"/>
      <c r="G58" s="531"/>
      <c r="H58" s="532"/>
      <c r="I58" s="532"/>
      <c r="J58" s="568" t="s">
        <v>820</v>
      </c>
    </row>
    <row r="59" spans="3:10" outlineLevel="1">
      <c r="C59" s="564"/>
      <c r="D59" s="550" t="s">
        <v>2634</v>
      </c>
      <c r="E59" s="530"/>
      <c r="F59" s="530"/>
      <c r="G59" s="531"/>
      <c r="H59" s="532"/>
      <c r="I59" s="532"/>
      <c r="J59" s="568" t="s">
        <v>820</v>
      </c>
    </row>
    <row r="60" spans="3:10" ht="19.5" customHeight="1" outlineLevel="1">
      <c r="C60" s="672"/>
      <c r="D60" s="550" t="s">
        <v>2635</v>
      </c>
      <c r="E60" s="530"/>
      <c r="F60" s="530"/>
      <c r="G60" s="531"/>
      <c r="H60" s="532"/>
      <c r="I60" s="532"/>
      <c r="J60" s="568" t="s">
        <v>820</v>
      </c>
    </row>
    <row r="61" spans="3:10" ht="19.5" customHeight="1" outlineLevel="1">
      <c r="C61" s="672"/>
      <c r="D61" s="550" t="s">
        <v>2636</v>
      </c>
      <c r="E61" s="530"/>
      <c r="F61" s="530"/>
      <c r="G61" s="531"/>
      <c r="H61" s="532"/>
      <c r="I61" s="532"/>
      <c r="J61" s="568" t="s">
        <v>820</v>
      </c>
    </row>
    <row r="62" spans="3:10" ht="19.5" customHeight="1" outlineLevel="1">
      <c r="C62" s="672"/>
      <c r="D62" s="550" t="s">
        <v>2064</v>
      </c>
      <c r="E62" s="530"/>
      <c r="F62" s="530"/>
      <c r="G62" s="531"/>
      <c r="H62" s="532"/>
      <c r="I62" s="532"/>
      <c r="J62" s="568" t="s">
        <v>820</v>
      </c>
    </row>
    <row r="63" spans="3:10" ht="19.5" customHeight="1" outlineLevel="1">
      <c r="C63" s="672"/>
      <c r="D63" s="550" t="s">
        <v>2647</v>
      </c>
      <c r="E63" s="530"/>
      <c r="F63" s="530"/>
      <c r="G63" s="531"/>
      <c r="H63" s="532"/>
      <c r="I63" s="532"/>
      <c r="J63" s="568" t="s">
        <v>820</v>
      </c>
    </row>
    <row r="64" spans="3:10" ht="19.5" customHeight="1" outlineLevel="1">
      <c r="C64" s="672"/>
      <c r="D64" s="549" t="s">
        <v>2637</v>
      </c>
      <c r="E64" s="530"/>
      <c r="F64" s="530"/>
      <c r="G64" s="531"/>
      <c r="H64" s="532"/>
      <c r="I64" s="532"/>
      <c r="J64" s="552"/>
    </row>
    <row r="65" spans="3:10" ht="19.5" customHeight="1" outlineLevel="1">
      <c r="C65" s="672"/>
      <c r="D65" s="550" t="s">
        <v>2633</v>
      </c>
      <c r="E65" s="530"/>
      <c r="F65" s="530"/>
      <c r="G65" s="531"/>
      <c r="H65" s="532"/>
      <c r="I65" s="532"/>
      <c r="J65" s="568" t="s">
        <v>814</v>
      </c>
    </row>
    <row r="66" spans="3:10" ht="19.5" customHeight="1" outlineLevel="1">
      <c r="C66" s="672"/>
      <c r="D66" s="550" t="s">
        <v>2634</v>
      </c>
      <c r="E66" s="530"/>
      <c r="F66" s="530"/>
      <c r="G66" s="531"/>
      <c r="H66" s="532"/>
      <c r="I66" s="532"/>
      <c r="J66" s="568" t="s">
        <v>814</v>
      </c>
    </row>
    <row r="67" spans="3:10" ht="19.5" customHeight="1" outlineLevel="1">
      <c r="C67" s="672"/>
      <c r="D67" s="550" t="s">
        <v>2636</v>
      </c>
      <c r="E67" s="530"/>
      <c r="F67" s="530"/>
      <c r="G67" s="531"/>
      <c r="H67" s="532"/>
      <c r="I67" s="532"/>
      <c r="J67" s="568" t="s">
        <v>814</v>
      </c>
    </row>
    <row r="68" spans="3:10" ht="19.5" customHeight="1" outlineLevel="1">
      <c r="C68" s="672"/>
      <c r="D68" s="549" t="s">
        <v>2638</v>
      </c>
      <c r="E68" s="530"/>
      <c r="F68" s="530"/>
      <c r="G68" s="531"/>
      <c r="H68" s="532"/>
      <c r="I68" s="532"/>
      <c r="J68" s="552"/>
    </row>
    <row r="69" spans="3:10" ht="19.5" customHeight="1" outlineLevel="1">
      <c r="C69" s="672"/>
      <c r="D69" s="550" t="s">
        <v>2633</v>
      </c>
      <c r="E69" s="530"/>
      <c r="F69" s="530"/>
      <c r="G69" s="531"/>
      <c r="H69" s="532"/>
      <c r="I69" s="532"/>
      <c r="J69" s="568" t="s">
        <v>814</v>
      </c>
    </row>
    <row r="70" spans="3:10" ht="19.5" customHeight="1" outlineLevel="1">
      <c r="C70" s="672"/>
      <c r="D70" s="550" t="s">
        <v>2639</v>
      </c>
      <c r="E70" s="530"/>
      <c r="F70" s="530"/>
      <c r="G70" s="531"/>
      <c r="H70" s="532"/>
      <c r="I70" s="532"/>
      <c r="J70" s="568" t="s">
        <v>814</v>
      </c>
    </row>
    <row r="71" spans="3:10" ht="19.5" customHeight="1" outlineLevel="1">
      <c r="C71" s="672"/>
      <c r="D71" s="550" t="s">
        <v>2635</v>
      </c>
      <c r="E71" s="530"/>
      <c r="F71" s="530"/>
      <c r="G71" s="531"/>
      <c r="H71" s="532"/>
      <c r="I71" s="532"/>
      <c r="J71" s="568" t="s">
        <v>814</v>
      </c>
    </row>
    <row r="72" spans="3:10" ht="19.5" customHeight="1" outlineLevel="1">
      <c r="C72" s="672"/>
      <c r="D72" s="550" t="s">
        <v>2636</v>
      </c>
      <c r="E72" s="530"/>
      <c r="F72" s="530"/>
      <c r="G72" s="531"/>
      <c r="H72" s="532"/>
      <c r="I72" s="532"/>
      <c r="J72" s="568" t="s">
        <v>814</v>
      </c>
    </row>
    <row r="73" spans="3:10" ht="19.5" customHeight="1" outlineLevel="1">
      <c r="C73" s="672"/>
      <c r="D73" s="550" t="s">
        <v>2640</v>
      </c>
      <c r="E73" s="530"/>
      <c r="F73" s="530"/>
      <c r="G73" s="531"/>
      <c r="H73" s="532"/>
      <c r="I73" s="532"/>
      <c r="J73" s="568" t="s">
        <v>814</v>
      </c>
    </row>
    <row r="74" spans="3:10" ht="19.5" customHeight="1" outlineLevel="1">
      <c r="C74" s="672"/>
      <c r="D74" s="550" t="s">
        <v>2064</v>
      </c>
      <c r="E74" s="530"/>
      <c r="F74" s="530"/>
      <c r="G74" s="531"/>
      <c r="H74" s="532"/>
      <c r="I74" s="532"/>
      <c r="J74" s="568" t="s">
        <v>814</v>
      </c>
    </row>
    <row r="75" spans="3:10" ht="19.5" customHeight="1" outlineLevel="1">
      <c r="C75" s="397">
        <v>10</v>
      </c>
      <c r="D75" s="548" t="s">
        <v>3414</v>
      </c>
      <c r="E75" s="530"/>
      <c r="F75" s="530"/>
      <c r="G75" s="531"/>
      <c r="H75" s="532"/>
      <c r="I75" s="532"/>
      <c r="J75" s="552"/>
    </row>
    <row r="76" spans="3:10" ht="19.5" customHeight="1" outlineLevel="1">
      <c r="C76" s="672"/>
      <c r="D76" s="550" t="s">
        <v>3415</v>
      </c>
      <c r="E76" s="530"/>
      <c r="F76" s="530"/>
      <c r="G76" s="531"/>
      <c r="H76" s="532"/>
      <c r="I76" s="532"/>
      <c r="J76" s="568" t="s">
        <v>814</v>
      </c>
    </row>
    <row r="77" spans="3:10" outlineLevel="1">
      <c r="C77" s="397">
        <v>11</v>
      </c>
      <c r="D77" s="548" t="s">
        <v>804</v>
      </c>
      <c r="E77" s="530"/>
      <c r="F77" s="530"/>
      <c r="G77" s="531"/>
      <c r="H77" s="532"/>
      <c r="I77" s="532"/>
      <c r="J77" s="569"/>
    </row>
    <row r="78" spans="3:10" outlineLevel="1">
      <c r="C78" s="397"/>
      <c r="D78" s="550" t="s">
        <v>2658</v>
      </c>
      <c r="E78" s="530"/>
      <c r="F78" s="530"/>
      <c r="G78" s="531"/>
      <c r="H78" s="532"/>
      <c r="I78" s="532"/>
      <c r="J78" s="568" t="s">
        <v>820</v>
      </c>
    </row>
    <row r="79" spans="3:10" ht="19.5" customHeight="1" outlineLevel="1">
      <c r="C79" s="672"/>
      <c r="D79" s="550" t="s">
        <v>2661</v>
      </c>
      <c r="E79" s="530"/>
      <c r="F79" s="530"/>
      <c r="G79" s="531"/>
      <c r="H79" s="532"/>
      <c r="I79" s="532"/>
      <c r="J79" s="568" t="s">
        <v>814</v>
      </c>
    </row>
    <row r="80" spans="3:10" ht="19.5" customHeight="1" outlineLevel="1">
      <c r="C80" s="565"/>
      <c r="D80" s="554" t="s">
        <v>2663</v>
      </c>
      <c r="E80" s="530"/>
      <c r="F80" s="530"/>
      <c r="G80" s="531"/>
      <c r="H80" s="532"/>
      <c r="I80" s="532"/>
      <c r="J80" s="570" t="s">
        <v>814</v>
      </c>
    </row>
    <row r="82" spans="4:4">
      <c r="D82" s="138" t="s">
        <v>3416</v>
      </c>
    </row>
  </sheetData>
  <mergeCells count="11">
    <mergeCell ref="J6:J8"/>
    <mergeCell ref="E7:E8"/>
    <mergeCell ref="B6:B8"/>
    <mergeCell ref="C3:J3"/>
    <mergeCell ref="H7:H8"/>
    <mergeCell ref="C6:C8"/>
    <mergeCell ref="F7:F8"/>
    <mergeCell ref="G7:G8"/>
    <mergeCell ref="I7:I8"/>
    <mergeCell ref="D6:D8"/>
    <mergeCell ref="E6:I6"/>
  </mergeCells>
  <conditionalFormatting sqref="O10:O37 P10:P37 U10:U37 V10:V37 AA10:AA37 AB10:AB37 AG10:AG37 AH10:AH37 AM10:AM37 AN10:AN37 AS10:AS37 AT10:AT37 AY10:AY37 AZ10:AZ37 BE10:BE37 BF10:BF37 BK10:BK37 BL10:BL37 BQ10:BQ37 BR10:BR37 BW10:BW37 BX10:BX37 CC10:CC37 CD10:CD37 CI10:CI37 CJ10:CJ37 CO10:CO37 CP10:CP37 CU10:CU37 CV10:CV37 DA10:DA37 DB10:DB37 DG10:DG37 DH10:DH37">
    <cfRule type="cellIs" dxfId="54" priority="3" operator="greaterThan">
      <formula>0</formula>
    </cfRule>
    <cfRule type="cellIs" dxfId="53" priority="2" operator="lessThan">
      <formula>0</formula>
    </cfRule>
    <cfRule type="cellIs" dxfId="52" priority="1" operator="equal">
      <formula>0</formula>
    </cfRule>
  </conditionalFormatting>
  <conditionalFormatting sqref="L10:L37 N10:N37 R10:R37 T10:T37 X10:X37 Z10:Z37 AD10:AD37 AF10:AF37 AJ10:AJ37 AL10:AL37 AP10:AP37 AR10:AR37 AV10:AV37 AX10:AX37 BB10:BB37 BD10:BD37 BH10:BH37 BJ10:BJ37 BN10:BN37 BP10:BP37 BT10:BT37 BV10:BV37 BZ10:BZ37 CB10:CB37 CF10:CF37 CH10:CH37 CL10:CL37 CN10:CN37 CR10:CR37 CT10:CT37 CX10:CX37 CZ10:CZ37 DD10:DD37 DF10:DF37">
    <cfRule type="cellIs" dxfId="51" priority="4" operator="equal">
      <formula>0</formula>
    </cfRule>
  </conditionalFormatting>
  <pageMargins left="0.39370078740157483" right="0.39370078740157483" top="0.39370078740157483" bottom="0.39370078740157483" header="0.51181102362204722" footer="0.51181102362204722"/>
  <pageSetup paperSize="9" scale="83" fitToHeight="0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1">
    <tabColor theme="8" tint="0.59999389629810485"/>
    <pageSetUpPr fitToPage="1"/>
  </sheetPr>
  <dimension ref="B1:DH85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8.42578125" defaultRowHeight="18.75" outlineLevelRow="1" outlineLevelCol="1"/>
  <cols>
    <col min="1" max="1" width="9.140625" style="323" customWidth="1"/>
    <col min="2" max="2" width="10" style="323" hidden="1" customWidth="1" outlineLevel="1"/>
    <col min="3" max="3" width="6.7109375" style="157" customWidth="1" collapsed="1"/>
    <col min="4" max="4" width="82.85546875" style="138" customWidth="1"/>
    <col min="5" max="9" width="20" style="138" customWidth="1" outlineLevel="1"/>
    <col min="10" max="10" width="12.85546875" style="324" bestFit="1" customWidth="1"/>
    <col min="11" max="11" width="8.42578125" style="323" customWidth="1"/>
    <col min="12" max="112" width="8.42578125" style="621" customWidth="1"/>
    <col min="113" max="16384" width="8.42578125" style="323"/>
  </cols>
  <sheetData>
    <row r="1" spans="2:10" ht="15" customHeight="1"/>
    <row r="2" spans="2:10" ht="15" customHeight="1"/>
    <row r="3" spans="2:10" ht="24" customHeight="1">
      <c r="C3" s="846" t="s">
        <v>3417</v>
      </c>
      <c r="D3" s="823"/>
      <c r="E3" s="823"/>
      <c r="F3" s="823"/>
      <c r="G3" s="823"/>
      <c r="H3" s="823"/>
      <c r="I3" s="823"/>
      <c r="J3" s="791"/>
    </row>
    <row r="4" spans="2:10" ht="19.5" customHeight="1"/>
    <row r="5" spans="2:10" ht="22.5" customHeight="1">
      <c r="C5" s="363" t="s">
        <v>3418</v>
      </c>
    </row>
    <row r="6" spans="2:10" ht="20.100000000000001" customHeight="1">
      <c r="B6" s="787" t="s">
        <v>1799</v>
      </c>
      <c r="C6" s="828" t="s">
        <v>2666</v>
      </c>
      <c r="D6" s="845" t="s">
        <v>16</v>
      </c>
      <c r="E6" s="761" t="s">
        <v>17</v>
      </c>
      <c r="F6" s="762"/>
      <c r="G6" s="762"/>
      <c r="H6" s="762"/>
      <c r="I6" s="763"/>
      <c r="J6" s="783" t="s">
        <v>1365</v>
      </c>
    </row>
    <row r="7" spans="2:10" ht="39.950000000000003" customHeight="1">
      <c r="B7" s="790"/>
      <c r="C7" s="756"/>
      <c r="D7" s="756"/>
      <c r="E7" s="741" t="s">
        <v>19</v>
      </c>
      <c r="F7" s="741" t="s">
        <v>20</v>
      </c>
      <c r="G7" s="741" t="s">
        <v>21</v>
      </c>
      <c r="H7" s="741" t="s">
        <v>22</v>
      </c>
      <c r="I7" s="741" t="s">
        <v>23</v>
      </c>
      <c r="J7" s="756"/>
    </row>
    <row r="8" spans="2:10" ht="20.100000000000001" customHeight="1">
      <c r="B8" s="790"/>
      <c r="C8" s="757"/>
      <c r="D8" s="757"/>
      <c r="E8" s="742"/>
      <c r="F8" s="742"/>
      <c r="G8" s="742"/>
      <c r="H8" s="742"/>
      <c r="I8" s="742"/>
      <c r="J8" s="757"/>
    </row>
    <row r="9" spans="2:10" ht="20.100000000000001" hidden="1" customHeight="1">
      <c r="B9" s="610"/>
      <c r="C9" s="649"/>
      <c r="D9" s="650"/>
      <c r="E9" s="389"/>
      <c r="F9" s="389"/>
      <c r="G9" s="389"/>
      <c r="H9" s="389"/>
      <c r="I9" s="389"/>
      <c r="J9" s="657"/>
    </row>
    <row r="10" spans="2:10" ht="56.25" customHeight="1">
      <c r="B10" s="158" t="s">
        <v>3274</v>
      </c>
      <c r="C10" s="159" t="s">
        <v>1370</v>
      </c>
      <c r="D10" s="67" t="s">
        <v>3419</v>
      </c>
      <c r="E10" s="530" t="s">
        <v>3301</v>
      </c>
      <c r="F10" s="530"/>
      <c r="G10" s="531"/>
      <c r="H10" s="532" t="s">
        <v>3302</v>
      </c>
      <c r="I10" s="532"/>
      <c r="J10" s="89" t="s">
        <v>814</v>
      </c>
    </row>
    <row r="11" spans="2:10" ht="19.5" customHeight="1">
      <c r="B11" s="158" t="s">
        <v>3279</v>
      </c>
      <c r="C11" s="649"/>
      <c r="D11" s="615" t="s">
        <v>207</v>
      </c>
      <c r="E11" s="530">
        <v>100330587</v>
      </c>
      <c r="F11" s="530"/>
      <c r="G11" s="531"/>
      <c r="H11" s="532"/>
      <c r="I11" s="532"/>
      <c r="J11" s="91" t="s">
        <v>814</v>
      </c>
    </row>
    <row r="12" spans="2:10" ht="20.100000000000001" customHeight="1">
      <c r="B12" s="158" t="s">
        <v>3284</v>
      </c>
      <c r="C12" s="649"/>
      <c r="D12" s="615" t="s">
        <v>205</v>
      </c>
      <c r="E12" s="530">
        <v>100330588</v>
      </c>
      <c r="F12" s="530"/>
      <c r="G12" s="531"/>
      <c r="H12" s="532"/>
      <c r="I12" s="532"/>
      <c r="J12" s="91" t="s">
        <v>814</v>
      </c>
    </row>
    <row r="13" spans="2:10" ht="34.9" customHeight="1">
      <c r="B13" s="158" t="s">
        <v>3289</v>
      </c>
      <c r="C13" s="160">
        <v>2</v>
      </c>
      <c r="D13" s="614" t="s">
        <v>3420</v>
      </c>
      <c r="E13" s="530">
        <v>100333319</v>
      </c>
      <c r="F13" s="530"/>
      <c r="G13" s="531"/>
      <c r="H13" s="532" t="s">
        <v>3421</v>
      </c>
      <c r="I13" s="532"/>
      <c r="J13" s="91" t="s">
        <v>814</v>
      </c>
    </row>
    <row r="14" spans="2:10" ht="20.100000000000001" customHeight="1">
      <c r="B14" s="158" t="s">
        <v>3422</v>
      </c>
      <c r="C14" s="160"/>
      <c r="D14" s="615" t="s">
        <v>205</v>
      </c>
      <c r="E14" s="530">
        <v>100333320</v>
      </c>
      <c r="F14" s="530"/>
      <c r="G14" s="531"/>
      <c r="H14" s="532"/>
      <c r="I14" s="532"/>
      <c r="J14" s="91" t="s">
        <v>814</v>
      </c>
    </row>
    <row r="15" spans="2:10" ht="56.25" customHeight="1">
      <c r="B15" s="158"/>
      <c r="C15" s="160">
        <v>3</v>
      </c>
      <c r="D15" s="614" t="s">
        <v>3423</v>
      </c>
      <c r="E15" s="530">
        <v>100335967</v>
      </c>
      <c r="F15" s="530"/>
      <c r="G15" s="531"/>
      <c r="H15" s="532"/>
      <c r="I15" s="532"/>
      <c r="J15" s="91" t="s">
        <v>814</v>
      </c>
    </row>
    <row r="16" spans="2:10" ht="20.100000000000001" customHeight="1">
      <c r="B16" s="158"/>
      <c r="C16" s="160"/>
      <c r="D16" s="615" t="s">
        <v>3424</v>
      </c>
      <c r="E16" s="530">
        <v>100335968</v>
      </c>
      <c r="F16" s="530"/>
      <c r="G16" s="531"/>
      <c r="H16" s="532"/>
      <c r="I16" s="532"/>
      <c r="J16" s="91" t="s">
        <v>814</v>
      </c>
    </row>
    <row r="17" spans="2:10" ht="37.5" customHeight="1">
      <c r="B17" s="158"/>
      <c r="C17" s="160">
        <v>4</v>
      </c>
      <c r="D17" s="614" t="s">
        <v>3425</v>
      </c>
      <c r="E17" s="530">
        <v>100335969</v>
      </c>
      <c r="F17" s="530"/>
      <c r="G17" s="531"/>
      <c r="H17" s="532"/>
      <c r="I17" s="532"/>
      <c r="J17" s="91" t="s">
        <v>814</v>
      </c>
    </row>
    <row r="18" spans="2:10" ht="20.100000000000001" customHeight="1">
      <c r="B18" s="158"/>
      <c r="C18" s="160"/>
      <c r="D18" s="615" t="s">
        <v>3424</v>
      </c>
      <c r="E18" s="530">
        <v>100335970</v>
      </c>
      <c r="F18" s="530"/>
      <c r="G18" s="531"/>
      <c r="H18" s="532"/>
      <c r="I18" s="532"/>
      <c r="J18" s="91" t="s">
        <v>814</v>
      </c>
    </row>
    <row r="19" spans="2:10" ht="19.5" customHeight="1">
      <c r="B19" s="158" t="s">
        <v>3426</v>
      </c>
      <c r="C19" s="160">
        <v>5</v>
      </c>
      <c r="D19" s="614" t="s">
        <v>3427</v>
      </c>
      <c r="E19" s="530">
        <v>100330893</v>
      </c>
      <c r="F19" s="530"/>
      <c r="G19" s="531"/>
      <c r="H19" s="532" t="s">
        <v>3428</v>
      </c>
      <c r="I19" s="532"/>
      <c r="J19" s="91" t="s">
        <v>814</v>
      </c>
    </row>
    <row r="20" spans="2:10" ht="20.100000000000001" customHeight="1">
      <c r="B20" s="158" t="s">
        <v>3429</v>
      </c>
      <c r="C20" s="649"/>
      <c r="D20" s="161" t="s">
        <v>3430</v>
      </c>
      <c r="E20" s="530">
        <v>100330894</v>
      </c>
      <c r="F20" s="530"/>
      <c r="G20" s="531"/>
      <c r="H20" s="532"/>
      <c r="I20" s="532"/>
      <c r="J20" s="91" t="s">
        <v>814</v>
      </c>
    </row>
    <row r="21" spans="2:10" ht="20.100000000000001" customHeight="1">
      <c r="B21" s="158" t="s">
        <v>3431</v>
      </c>
      <c r="C21" s="649"/>
      <c r="D21" s="161" t="s">
        <v>3432</v>
      </c>
      <c r="E21" s="530">
        <v>100330895</v>
      </c>
      <c r="F21" s="530"/>
      <c r="G21" s="531"/>
      <c r="H21" s="532"/>
      <c r="I21" s="532"/>
      <c r="J21" s="91" t="s">
        <v>814</v>
      </c>
    </row>
    <row r="22" spans="2:10" ht="21.75" customHeight="1">
      <c r="B22" s="158" t="s">
        <v>3433</v>
      </c>
      <c r="C22" s="640" t="s">
        <v>2028</v>
      </c>
      <c r="D22" s="614" t="s">
        <v>3434</v>
      </c>
      <c r="E22" s="530">
        <v>100330589</v>
      </c>
      <c r="F22" s="530"/>
      <c r="G22" s="531"/>
      <c r="H22" s="532" t="s">
        <v>3435</v>
      </c>
      <c r="I22" s="532"/>
      <c r="J22" s="91" t="s">
        <v>814</v>
      </c>
    </row>
    <row r="23" spans="2:10" ht="20.100000000000001" customHeight="1">
      <c r="B23" s="158" t="s">
        <v>3436</v>
      </c>
      <c r="C23" s="640"/>
      <c r="D23" s="615" t="s">
        <v>3437</v>
      </c>
      <c r="E23" s="530">
        <v>100330590</v>
      </c>
      <c r="F23" s="530"/>
      <c r="G23" s="531"/>
      <c r="H23" s="532"/>
      <c r="I23" s="532"/>
      <c r="J23" s="91" t="s">
        <v>814</v>
      </c>
    </row>
    <row r="24" spans="2:10" ht="20.100000000000001" customHeight="1">
      <c r="B24" s="158" t="s">
        <v>3438</v>
      </c>
      <c r="C24" s="649"/>
      <c r="D24" s="615" t="s">
        <v>3439</v>
      </c>
      <c r="E24" s="530">
        <v>100330591</v>
      </c>
      <c r="F24" s="530"/>
      <c r="G24" s="531"/>
      <c r="H24" s="532"/>
      <c r="I24" s="532"/>
      <c r="J24" s="91" t="s">
        <v>814</v>
      </c>
    </row>
    <row r="25" spans="2:10" ht="20.100000000000001" customHeight="1">
      <c r="B25" s="158" t="s">
        <v>3440</v>
      </c>
      <c r="C25" s="649"/>
      <c r="D25" s="615" t="s">
        <v>3441</v>
      </c>
      <c r="E25" s="530">
        <v>100330592</v>
      </c>
      <c r="F25" s="530"/>
      <c r="G25" s="531"/>
      <c r="H25" s="532"/>
      <c r="I25" s="532"/>
      <c r="J25" s="91" t="s">
        <v>814</v>
      </c>
    </row>
    <row r="26" spans="2:10" ht="37.5" customHeight="1">
      <c r="B26" s="158" t="s">
        <v>3442</v>
      </c>
      <c r="C26" s="649"/>
      <c r="D26" s="615" t="s">
        <v>3443</v>
      </c>
      <c r="E26" s="530">
        <v>100330593</v>
      </c>
      <c r="F26" s="530"/>
      <c r="G26" s="531"/>
      <c r="H26" s="532"/>
      <c r="I26" s="532"/>
      <c r="J26" s="91" t="s">
        <v>814</v>
      </c>
    </row>
    <row r="27" spans="2:10" ht="37.5" customHeight="1">
      <c r="B27" s="158" t="s">
        <v>3444</v>
      </c>
      <c r="C27" s="657">
        <v>7</v>
      </c>
      <c r="D27" s="162" t="s">
        <v>3445</v>
      </c>
      <c r="E27" s="530">
        <v>100330594</v>
      </c>
      <c r="F27" s="530"/>
      <c r="G27" s="531"/>
      <c r="H27" s="532" t="s">
        <v>3446</v>
      </c>
      <c r="I27" s="532"/>
      <c r="J27" s="91" t="s">
        <v>814</v>
      </c>
    </row>
    <row r="28" spans="2:10" ht="20.100000000000001" customHeight="1">
      <c r="B28" s="158" t="s">
        <v>3447</v>
      </c>
      <c r="C28" s="657"/>
      <c r="D28" s="70" t="s">
        <v>3448</v>
      </c>
      <c r="E28" s="530">
        <v>100330595</v>
      </c>
      <c r="F28" s="530"/>
      <c r="G28" s="531"/>
      <c r="H28" s="532"/>
      <c r="I28" s="532"/>
      <c r="J28" s="91" t="s">
        <v>814</v>
      </c>
    </row>
    <row r="29" spans="2:10" ht="20.100000000000001" customHeight="1" outlineLevel="1">
      <c r="B29" s="158" t="s">
        <v>3449</v>
      </c>
      <c r="C29" s="657"/>
      <c r="D29" s="34" t="s">
        <v>804</v>
      </c>
      <c r="E29" s="530"/>
      <c r="F29" s="530"/>
      <c r="G29" s="531"/>
      <c r="H29" s="532"/>
      <c r="I29" s="532"/>
      <c r="J29" s="91"/>
    </row>
    <row r="30" spans="2:10" ht="34.15" customHeight="1" outlineLevel="1">
      <c r="B30" s="158" t="s">
        <v>3450</v>
      </c>
      <c r="C30" s="657">
        <v>8</v>
      </c>
      <c r="D30" s="637" t="s">
        <v>3451</v>
      </c>
      <c r="E30" s="530">
        <v>100330598</v>
      </c>
      <c r="F30" s="530"/>
      <c r="G30" s="531"/>
      <c r="H30" s="532"/>
      <c r="I30" s="532"/>
      <c r="J30" s="91" t="s">
        <v>814</v>
      </c>
    </row>
    <row r="31" spans="2:10" ht="34.15" customHeight="1" outlineLevel="1">
      <c r="B31" s="158"/>
      <c r="C31" s="657"/>
      <c r="D31" s="163" t="s">
        <v>3452</v>
      </c>
      <c r="E31" s="530">
        <v>100336115</v>
      </c>
      <c r="F31" s="530"/>
      <c r="G31" s="531"/>
      <c r="H31" s="532"/>
      <c r="I31" s="532"/>
      <c r="J31" s="91" t="s">
        <v>814</v>
      </c>
    </row>
    <row r="32" spans="2:10" ht="24" customHeight="1">
      <c r="B32" s="158" t="s">
        <v>3453</v>
      </c>
      <c r="C32" s="657">
        <v>9</v>
      </c>
      <c r="D32" s="162" t="s">
        <v>3315</v>
      </c>
      <c r="E32" s="530">
        <v>100330049</v>
      </c>
      <c r="F32" s="530"/>
      <c r="G32" s="531"/>
      <c r="H32" s="532" t="s">
        <v>3454</v>
      </c>
      <c r="I32" s="532"/>
      <c r="J32" s="91" t="s">
        <v>814</v>
      </c>
    </row>
    <row r="33" spans="2:10" ht="20.100000000000001" customHeight="1">
      <c r="B33" s="158" t="s">
        <v>3455</v>
      </c>
      <c r="C33" s="653" t="s">
        <v>3456</v>
      </c>
      <c r="D33" s="162" t="s">
        <v>3457</v>
      </c>
      <c r="E33" s="530">
        <v>100330601</v>
      </c>
      <c r="F33" s="530"/>
      <c r="G33" s="531"/>
      <c r="H33" s="532"/>
      <c r="I33" s="532"/>
      <c r="J33" s="91" t="s">
        <v>814</v>
      </c>
    </row>
    <row r="34" spans="2:10" ht="20.100000000000001" customHeight="1">
      <c r="B34" s="158" t="s">
        <v>3458</v>
      </c>
      <c r="C34" s="657"/>
      <c r="D34" s="164" t="s">
        <v>3459</v>
      </c>
      <c r="E34" s="530">
        <v>100330604</v>
      </c>
      <c r="F34" s="530"/>
      <c r="G34" s="531"/>
      <c r="H34" s="532"/>
      <c r="I34" s="532"/>
      <c r="J34" s="91" t="s">
        <v>814</v>
      </c>
    </row>
    <row r="35" spans="2:10" ht="20.100000000000001" customHeight="1">
      <c r="B35" s="158" t="s">
        <v>3460</v>
      </c>
      <c r="C35" s="653" t="s">
        <v>3461</v>
      </c>
      <c r="D35" s="162" t="s">
        <v>3462</v>
      </c>
      <c r="E35" s="530">
        <v>100330605</v>
      </c>
      <c r="F35" s="530"/>
      <c r="G35" s="531"/>
      <c r="H35" s="532"/>
      <c r="I35" s="532"/>
      <c r="J35" s="91" t="s">
        <v>814</v>
      </c>
    </row>
    <row r="36" spans="2:10" ht="20.100000000000001" customHeight="1">
      <c r="B36" s="158"/>
      <c r="C36" s="657"/>
      <c r="D36" s="34" t="s">
        <v>3463</v>
      </c>
      <c r="E36" s="530">
        <v>100336116</v>
      </c>
      <c r="F36" s="530"/>
      <c r="G36" s="531"/>
      <c r="H36" s="532"/>
      <c r="I36" s="532"/>
      <c r="J36" s="91" t="s">
        <v>814</v>
      </c>
    </row>
    <row r="37" spans="2:10" ht="20.100000000000001" customHeight="1">
      <c r="B37" s="158" t="s">
        <v>3464</v>
      </c>
      <c r="C37" s="653" t="s">
        <v>3465</v>
      </c>
      <c r="D37" s="162" t="s">
        <v>3466</v>
      </c>
      <c r="E37" s="530">
        <v>100330609</v>
      </c>
      <c r="F37" s="530"/>
      <c r="G37" s="531"/>
      <c r="H37" s="532"/>
      <c r="I37" s="532"/>
      <c r="J37" s="91" t="s">
        <v>814</v>
      </c>
    </row>
    <row r="38" spans="2:10" ht="20.100000000000001" customHeight="1">
      <c r="B38" s="158" t="s">
        <v>3467</v>
      </c>
      <c r="C38" s="784" t="s">
        <v>3468</v>
      </c>
      <c r="D38" s="778" t="s">
        <v>3469</v>
      </c>
      <c r="E38" s="530">
        <v>100330611</v>
      </c>
      <c r="F38" s="530"/>
      <c r="G38" s="531"/>
      <c r="H38" s="532"/>
      <c r="I38" s="532"/>
      <c r="J38" s="91" t="s">
        <v>814</v>
      </c>
    </row>
    <row r="39" spans="2:10" ht="20.100000000000001" customHeight="1">
      <c r="B39" s="158" t="s">
        <v>3470</v>
      </c>
      <c r="C39" s="756"/>
      <c r="D39" s="756"/>
      <c r="E39" s="530">
        <v>100330612</v>
      </c>
      <c r="F39" s="530"/>
      <c r="G39" s="531"/>
      <c r="H39" s="532"/>
      <c r="I39" s="532"/>
      <c r="J39" s="720" t="s">
        <v>820</v>
      </c>
    </row>
    <row r="40" spans="2:10" ht="20.100000000000001" customHeight="1">
      <c r="B40" s="158" t="s">
        <v>3471</v>
      </c>
      <c r="C40" s="784"/>
      <c r="D40" s="821" t="s">
        <v>3472</v>
      </c>
      <c r="E40" s="530">
        <v>100330617</v>
      </c>
      <c r="F40" s="530"/>
      <c r="G40" s="531"/>
      <c r="H40" s="532"/>
      <c r="I40" s="532"/>
      <c r="J40" s="91" t="s">
        <v>814</v>
      </c>
    </row>
    <row r="41" spans="2:10" ht="20.100000000000001" customHeight="1">
      <c r="B41" s="158" t="s">
        <v>3473</v>
      </c>
      <c r="C41" s="756"/>
      <c r="D41" s="756"/>
      <c r="E41" s="530">
        <v>100330618</v>
      </c>
      <c r="F41" s="530"/>
      <c r="G41" s="531"/>
      <c r="H41" s="532"/>
      <c r="I41" s="532"/>
      <c r="J41" s="720" t="s">
        <v>820</v>
      </c>
    </row>
    <row r="42" spans="2:10" ht="20.100000000000001" customHeight="1">
      <c r="B42" s="158" t="s">
        <v>3474</v>
      </c>
      <c r="C42" s="640" t="s">
        <v>3475</v>
      </c>
      <c r="D42" s="162" t="s">
        <v>3476</v>
      </c>
      <c r="E42" s="530">
        <v>100330623</v>
      </c>
      <c r="F42" s="530"/>
      <c r="G42" s="531"/>
      <c r="H42" s="532"/>
      <c r="I42" s="532"/>
      <c r="J42" s="91" t="s">
        <v>814</v>
      </c>
    </row>
    <row r="43" spans="2:10" ht="20.100000000000001" customHeight="1">
      <c r="B43" s="158" t="s">
        <v>3477</v>
      </c>
      <c r="C43" s="640"/>
      <c r="D43" s="165" t="s">
        <v>804</v>
      </c>
      <c r="E43" s="530"/>
      <c r="F43" s="530"/>
      <c r="G43" s="531"/>
      <c r="H43" s="532"/>
      <c r="I43" s="532"/>
      <c r="J43" s="91"/>
    </row>
    <row r="44" spans="2:10" ht="20.100000000000001" customHeight="1">
      <c r="B44" s="158" t="s">
        <v>3478</v>
      </c>
      <c r="C44" s="653"/>
      <c r="D44" s="35" t="s">
        <v>3479</v>
      </c>
      <c r="E44" s="530">
        <v>100330626</v>
      </c>
      <c r="F44" s="530"/>
      <c r="G44" s="531"/>
      <c r="H44" s="532"/>
      <c r="I44" s="532"/>
      <c r="J44" s="91" t="s">
        <v>814</v>
      </c>
    </row>
    <row r="45" spans="2:10" ht="19.5" customHeight="1">
      <c r="B45" s="158" t="s">
        <v>3480</v>
      </c>
      <c r="C45" s="653"/>
      <c r="D45" s="35" t="s">
        <v>3481</v>
      </c>
      <c r="E45" s="530">
        <v>100330629</v>
      </c>
      <c r="F45" s="530"/>
      <c r="G45" s="531"/>
      <c r="H45" s="532"/>
      <c r="I45" s="532"/>
      <c r="J45" s="91" t="s">
        <v>814</v>
      </c>
    </row>
    <row r="46" spans="2:10" ht="48.6" customHeight="1" outlineLevel="1">
      <c r="B46" s="158" t="s">
        <v>3482</v>
      </c>
      <c r="C46" s="655" t="s">
        <v>3209</v>
      </c>
      <c r="D46" s="34" t="s">
        <v>3483</v>
      </c>
      <c r="E46" s="530">
        <v>100332942</v>
      </c>
      <c r="F46" s="530"/>
      <c r="G46" s="531"/>
      <c r="H46" s="532"/>
      <c r="I46" s="532"/>
      <c r="J46" s="91" t="s">
        <v>814</v>
      </c>
    </row>
    <row r="47" spans="2:10" ht="24" customHeight="1" outlineLevel="1">
      <c r="B47" s="158" t="s">
        <v>3484</v>
      </c>
      <c r="C47" s="655" t="s">
        <v>3220</v>
      </c>
      <c r="D47" s="34" t="s">
        <v>3485</v>
      </c>
      <c r="E47" s="530">
        <v>100336118</v>
      </c>
      <c r="F47" s="530"/>
      <c r="G47" s="531"/>
      <c r="H47" s="532" t="s">
        <v>3486</v>
      </c>
      <c r="I47" s="532"/>
      <c r="J47" s="91" t="s">
        <v>814</v>
      </c>
    </row>
    <row r="48" spans="2:10" ht="48" customHeight="1">
      <c r="C48" s="166"/>
      <c r="D48" s="167" t="s">
        <v>3485</v>
      </c>
      <c r="E48" s="530">
        <v>100336117</v>
      </c>
      <c r="F48" s="530"/>
      <c r="G48" s="531"/>
      <c r="H48" s="532" t="s">
        <v>3487</v>
      </c>
      <c r="I48" s="532"/>
      <c r="J48" s="278" t="s">
        <v>814</v>
      </c>
    </row>
    <row r="53" spans="3:10">
      <c r="C53" s="84"/>
      <c r="D53" s="138" t="s">
        <v>3416</v>
      </c>
    </row>
    <row r="54" spans="3:10">
      <c r="C54" s="39"/>
    </row>
    <row r="55" spans="3:10" s="168" customFormat="1">
      <c r="C55" s="157"/>
      <c r="D55" s="138" t="s">
        <v>3488</v>
      </c>
      <c r="E55" s="138"/>
      <c r="F55" s="138"/>
      <c r="G55" s="138"/>
      <c r="H55" s="138"/>
      <c r="I55" s="138"/>
      <c r="J55" s="324"/>
    </row>
    <row r="56" spans="3:10" s="168" customFormat="1">
      <c r="C56" s="157"/>
      <c r="D56" s="138" t="s">
        <v>3489</v>
      </c>
      <c r="E56" s="138"/>
      <c r="F56" s="138"/>
      <c r="G56" s="138"/>
      <c r="H56" s="138"/>
      <c r="I56" s="138"/>
      <c r="J56" s="169"/>
    </row>
    <row r="57" spans="3:10" s="168" customFormat="1">
      <c r="C57" s="157"/>
      <c r="D57" s="138" t="s">
        <v>3490</v>
      </c>
      <c r="E57" s="138"/>
      <c r="F57" s="138"/>
      <c r="G57" s="138"/>
      <c r="H57" s="138"/>
      <c r="I57" s="138"/>
      <c r="J57" s="46"/>
    </row>
    <row r="58" spans="3:10">
      <c r="C58" s="730"/>
      <c r="D58" s="170" t="s">
        <v>3491</v>
      </c>
      <c r="E58" s="170"/>
      <c r="F58" s="170"/>
      <c r="G58" s="170"/>
      <c r="H58" s="170"/>
      <c r="I58" s="170"/>
      <c r="J58" s="19"/>
    </row>
    <row r="59" spans="3:10">
      <c r="C59" s="730"/>
      <c r="D59" s="847" t="s">
        <v>3492</v>
      </c>
      <c r="E59" s="823"/>
      <c r="F59" s="823"/>
      <c r="G59" s="823"/>
      <c r="H59" s="823"/>
      <c r="I59" s="823"/>
      <c r="J59" s="791"/>
    </row>
    <row r="60" spans="3:10">
      <c r="D60" s="138" t="s">
        <v>3493</v>
      </c>
    </row>
    <row r="64" spans="3:10">
      <c r="D64" s="171"/>
      <c r="E64" s="171"/>
      <c r="F64" s="171"/>
      <c r="G64" s="171"/>
      <c r="H64" s="171"/>
      <c r="I64" s="171"/>
    </row>
    <row r="65" spans="4:9">
      <c r="D65" s="172"/>
      <c r="E65" s="172"/>
      <c r="F65" s="172"/>
      <c r="G65" s="172"/>
      <c r="H65" s="172"/>
      <c r="I65" s="172"/>
    </row>
    <row r="66" spans="4:9" ht="19.5" customHeight="1">
      <c r="D66" s="173"/>
      <c r="E66" s="173"/>
      <c r="F66" s="173"/>
      <c r="G66" s="173"/>
      <c r="H66" s="173"/>
      <c r="I66" s="173"/>
    </row>
    <row r="67" spans="4:9">
      <c r="D67" s="652"/>
      <c r="E67" s="652"/>
      <c r="F67" s="652"/>
      <c r="G67" s="652"/>
      <c r="H67" s="652"/>
      <c r="I67" s="652"/>
    </row>
    <row r="68" spans="4:9">
      <c r="D68" s="174"/>
      <c r="E68" s="174"/>
      <c r="F68" s="174"/>
      <c r="G68" s="174"/>
      <c r="H68" s="174"/>
      <c r="I68" s="174"/>
    </row>
    <row r="69" spans="4:9">
      <c r="D69" s="171"/>
      <c r="E69" s="171"/>
      <c r="F69" s="171"/>
      <c r="G69" s="171"/>
      <c r="H69" s="171"/>
      <c r="I69" s="171"/>
    </row>
    <row r="70" spans="4:9">
      <c r="D70" s="171"/>
      <c r="E70" s="171"/>
      <c r="F70" s="171"/>
      <c r="G70" s="171"/>
      <c r="H70" s="171"/>
      <c r="I70" s="171"/>
    </row>
    <row r="71" spans="4:9">
      <c r="D71" s="175"/>
      <c r="E71" s="175"/>
      <c r="F71" s="175"/>
      <c r="G71" s="175"/>
      <c r="H71" s="175"/>
      <c r="I71" s="175"/>
    </row>
    <row r="72" spans="4:9">
      <c r="D72" s="171"/>
      <c r="E72" s="171"/>
      <c r="F72" s="171"/>
      <c r="G72" s="171"/>
      <c r="H72" s="171"/>
      <c r="I72" s="171"/>
    </row>
    <row r="73" spans="4:9" ht="19.5" customHeight="1">
      <c r="D73" s="173"/>
      <c r="E73" s="173"/>
      <c r="F73" s="173"/>
      <c r="G73" s="173"/>
      <c r="H73" s="173"/>
      <c r="I73" s="173"/>
    </row>
    <row r="74" spans="4:9">
      <c r="D74" s="171"/>
      <c r="E74" s="171"/>
      <c r="F74" s="171"/>
      <c r="G74" s="171"/>
      <c r="H74" s="171"/>
      <c r="I74" s="171"/>
    </row>
    <row r="75" spans="4:9">
      <c r="D75" s="844"/>
      <c r="E75" s="651"/>
      <c r="F75" s="651"/>
      <c r="G75" s="651"/>
      <c r="H75" s="651"/>
      <c r="I75" s="651"/>
    </row>
    <row r="76" spans="4:9">
      <c r="D76" s="823"/>
      <c r="E76" s="651"/>
      <c r="F76" s="651"/>
      <c r="G76" s="651"/>
      <c r="H76" s="651"/>
      <c r="I76" s="651"/>
    </row>
    <row r="77" spans="4:9">
      <c r="D77" s="843"/>
      <c r="E77" s="652"/>
      <c r="F77" s="652"/>
      <c r="G77" s="652"/>
      <c r="H77" s="652"/>
      <c r="I77" s="652"/>
    </row>
    <row r="78" spans="4:9">
      <c r="D78" s="823"/>
      <c r="E78" s="652"/>
      <c r="F78" s="652"/>
      <c r="G78" s="652"/>
      <c r="H78" s="652"/>
      <c r="I78" s="652"/>
    </row>
    <row r="79" spans="4:9">
      <c r="D79" s="171"/>
      <c r="E79" s="171"/>
      <c r="F79" s="171"/>
      <c r="G79" s="171"/>
      <c r="H79" s="171"/>
      <c r="I79" s="171"/>
    </row>
    <row r="80" spans="4:9">
      <c r="D80" s="176"/>
      <c r="E80" s="176"/>
      <c r="F80" s="176"/>
      <c r="G80" s="176"/>
      <c r="H80" s="176"/>
      <c r="I80" s="176"/>
    </row>
    <row r="81" spans="4:9">
      <c r="D81" s="177"/>
      <c r="E81" s="177"/>
      <c r="F81" s="177"/>
      <c r="G81" s="177"/>
      <c r="H81" s="177"/>
      <c r="I81" s="177"/>
    </row>
    <row r="82" spans="4:9">
      <c r="D82" s="177"/>
      <c r="E82" s="177"/>
      <c r="F82" s="177"/>
      <c r="G82" s="177"/>
      <c r="H82" s="177"/>
      <c r="I82" s="177"/>
    </row>
    <row r="83" spans="4:9" ht="19.5" customHeight="1">
      <c r="D83" s="173"/>
      <c r="E83" s="173"/>
      <c r="F83" s="173"/>
      <c r="G83" s="173"/>
      <c r="H83" s="173"/>
      <c r="I83" s="173"/>
    </row>
    <row r="84" spans="4:9" ht="19.5" customHeight="1">
      <c r="D84" s="173"/>
      <c r="E84" s="173"/>
      <c r="F84" s="173"/>
      <c r="G84" s="173"/>
      <c r="H84" s="173"/>
      <c r="I84" s="173"/>
    </row>
    <row r="85" spans="4:9" ht="19.5" customHeight="1">
      <c r="D85" s="173"/>
      <c r="E85" s="173"/>
      <c r="F85" s="173"/>
      <c r="G85" s="173"/>
      <c r="H85" s="173"/>
      <c r="I85" s="173"/>
    </row>
  </sheetData>
  <mergeCells count="18">
    <mergeCell ref="J6:J8"/>
    <mergeCell ref="E7:E8"/>
    <mergeCell ref="C38:C39"/>
    <mergeCell ref="B6:B8"/>
    <mergeCell ref="C3:J3"/>
    <mergeCell ref="H7:H8"/>
    <mergeCell ref="C6:C8"/>
    <mergeCell ref="I7:I8"/>
    <mergeCell ref="D75:D76"/>
    <mergeCell ref="C40:C41"/>
    <mergeCell ref="D6:D8"/>
    <mergeCell ref="E6:I6"/>
    <mergeCell ref="D59:J59"/>
    <mergeCell ref="D38:D39"/>
    <mergeCell ref="F7:F8"/>
    <mergeCell ref="D40:D41"/>
    <mergeCell ref="G7:G8"/>
    <mergeCell ref="D77:D78"/>
  </mergeCells>
  <conditionalFormatting sqref="O10:O48 P10:P48 U10:U48 V10:V48 AA10:AA48 AB10:AB48 AG10:AG48 AH10:AH48 AM10:AM48 AN10:AN48 AS10:AS48 AT10:AT48 AY10:AY48 AZ10:AZ48 BE10:BE48 BF10:BF48 BK10:BK48 BL10:BL48 BQ10:BQ48 BR10:BR48 BW10:BW48 BX10:BX48 CC10:CC48 CD10:CD48 CI10:CI48 CJ10:CJ48 CO10:CO48 CP10:CP48 CU10:CU48 CV10:CV48 DA10:DA48 DB10:DB48 DG10:DG48 DH10:DH48">
    <cfRule type="cellIs" dxfId="50" priority="3" operator="greaterThan">
      <formula>0</formula>
    </cfRule>
    <cfRule type="cellIs" dxfId="49" priority="2" operator="lessThan">
      <formula>0</formula>
    </cfRule>
    <cfRule type="cellIs" dxfId="48" priority="1" operator="equal">
      <formula>0</formula>
    </cfRule>
  </conditionalFormatting>
  <conditionalFormatting sqref="L10:L48 N10:N48 R10:R48 T10:T48 X10:X48 Z10:Z48 AD10:AD48 AF10:AF48 AJ10:AJ48 AL10:AL48 AP10:AP48 AR10:AR48 AV10:AV48 AX10:AX48 BB10:BB48 BD10:BD48 BH10:BH48 BJ10:BJ48 BN10:BN48 BP10:BP48 BT10:BT48 BV10:BV48 BZ10:BZ48 CB10:CB48 CF10:CF48 CH10:CH48 CL10:CL48 CN10:CN48 CR10:CR48 CT10:CT48 CX10:CX48 CZ10:CZ48 DD10:DD48 DF10:DF48">
    <cfRule type="cellIs" dxfId="47" priority="4" operator="equal">
      <formula>0</formula>
    </cfRule>
  </conditionalFormatting>
  <pageMargins left="0.7" right="0.7" top="0.75" bottom="0.75" header="0.3" footer="0.3"/>
  <pageSetup paperSize="9" scale="61" fitToWidth="0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2">
    <tabColor theme="8" tint="0.59999389629810485"/>
    <pageSetUpPr fitToPage="1"/>
  </sheetPr>
  <dimension ref="A3:DH89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9.140625" defaultRowHeight="19.5" outlineLevelRow="1" outlineLevelCol="1"/>
  <cols>
    <col min="1" max="1" width="7.42578125" style="178" customWidth="1"/>
    <col min="2" max="2" width="13.5703125" style="30" hidden="1" customWidth="1" outlineLevel="1"/>
    <col min="3" max="3" width="12.85546875" style="368" customWidth="1" collapsed="1"/>
    <col min="4" max="4" width="81.42578125" style="323" customWidth="1"/>
    <col min="5" max="9" width="22.140625" style="323" customWidth="1" outlineLevel="1"/>
    <col min="10" max="10" width="19.42578125" style="324" customWidth="1"/>
    <col min="11" max="112" width="8.42578125" style="621" customWidth="1"/>
  </cols>
  <sheetData>
    <row r="3" spans="1:10" ht="20.25" customHeight="1">
      <c r="C3" s="851" t="s">
        <v>3494</v>
      </c>
      <c r="D3" s="790"/>
      <c r="E3" s="790"/>
      <c r="F3" s="790"/>
      <c r="G3" s="790"/>
      <c r="H3" s="790"/>
      <c r="I3" s="790"/>
      <c r="J3" s="791"/>
    </row>
    <row r="4" spans="1:10" ht="19.5" customHeight="1"/>
    <row r="5" spans="1:10" ht="19.5" customHeight="1">
      <c r="B5" s="181"/>
      <c r="C5" s="363" t="s">
        <v>3495</v>
      </c>
      <c r="J5" s="730"/>
    </row>
    <row r="6" spans="1:10" ht="20.100000000000001" customHeight="1">
      <c r="B6" s="787" t="s">
        <v>1799</v>
      </c>
      <c r="C6" s="828" t="s">
        <v>2666</v>
      </c>
      <c r="D6" s="783" t="s">
        <v>16</v>
      </c>
      <c r="E6" s="761" t="s">
        <v>17</v>
      </c>
      <c r="F6" s="762"/>
      <c r="G6" s="762"/>
      <c r="H6" s="762"/>
      <c r="I6" s="763"/>
      <c r="J6" s="783" t="s">
        <v>1365</v>
      </c>
    </row>
    <row r="7" spans="1:10" ht="39.950000000000003" customHeight="1">
      <c r="B7" s="831"/>
      <c r="C7" s="756"/>
      <c r="D7" s="756"/>
      <c r="E7" s="741" t="s">
        <v>19</v>
      </c>
      <c r="F7" s="741" t="s">
        <v>20</v>
      </c>
      <c r="G7" s="741" t="s">
        <v>21</v>
      </c>
      <c r="H7" s="741" t="s">
        <v>22</v>
      </c>
      <c r="I7" s="741" t="s">
        <v>23</v>
      </c>
      <c r="J7" s="756"/>
    </row>
    <row r="8" spans="1:10" ht="20.100000000000001" customHeight="1">
      <c r="B8" s="831"/>
      <c r="C8" s="757"/>
      <c r="D8" s="757"/>
      <c r="E8" s="742"/>
      <c r="F8" s="742"/>
      <c r="G8" s="742"/>
      <c r="H8" s="742"/>
      <c r="I8" s="742"/>
      <c r="J8" s="757"/>
    </row>
    <row r="9" spans="1:10" ht="20.100000000000001" hidden="1" customHeight="1">
      <c r="B9" s="610"/>
      <c r="C9" s="648"/>
      <c r="D9" s="647"/>
      <c r="E9" s="391"/>
      <c r="F9" s="391"/>
      <c r="G9" s="391"/>
      <c r="H9" s="391"/>
      <c r="I9" s="391"/>
      <c r="J9" s="387"/>
    </row>
    <row r="10" spans="1:10" ht="38.25" customHeight="1">
      <c r="B10" s="610"/>
      <c r="C10" s="364">
        <v>1</v>
      </c>
      <c r="D10" s="182" t="s">
        <v>3496</v>
      </c>
      <c r="E10" s="530" t="s">
        <v>3301</v>
      </c>
      <c r="F10" s="530"/>
      <c r="G10" s="531"/>
      <c r="H10" s="532" t="s">
        <v>3302</v>
      </c>
      <c r="I10" s="532"/>
      <c r="J10" s="183" t="s">
        <v>814</v>
      </c>
    </row>
    <row r="11" spans="1:10" ht="38.25" customHeight="1">
      <c r="B11" s="112" t="s">
        <v>3497</v>
      </c>
      <c r="C11" s="655" t="s">
        <v>43</v>
      </c>
      <c r="D11" s="614" t="s">
        <v>3498</v>
      </c>
      <c r="E11" s="530" t="s">
        <v>3499</v>
      </c>
      <c r="F11" s="530"/>
      <c r="G11" s="531"/>
      <c r="H11" s="532"/>
      <c r="I11" s="532"/>
      <c r="J11" s="395" t="s">
        <v>814</v>
      </c>
    </row>
    <row r="12" spans="1:10" ht="38.25" customHeight="1">
      <c r="B12" s="112"/>
      <c r="C12" s="655" t="s">
        <v>53</v>
      </c>
      <c r="D12" s="614" t="s">
        <v>3500</v>
      </c>
      <c r="E12" s="530" t="s">
        <v>3501</v>
      </c>
      <c r="F12" s="530"/>
      <c r="G12" s="531"/>
      <c r="H12" s="532" t="s">
        <v>3502</v>
      </c>
      <c r="I12" s="532"/>
      <c r="J12" s="395" t="s">
        <v>814</v>
      </c>
    </row>
    <row r="13" spans="1:10" ht="38.25" customHeight="1">
      <c r="B13" s="184" t="s">
        <v>3503</v>
      </c>
      <c r="C13" s="655" t="s">
        <v>1471</v>
      </c>
      <c r="D13" s="162" t="s">
        <v>3504</v>
      </c>
      <c r="E13" s="530" t="s">
        <v>3505</v>
      </c>
      <c r="F13" s="530"/>
      <c r="G13" s="531"/>
      <c r="H13" s="532" t="s">
        <v>3506</v>
      </c>
      <c r="I13" s="532"/>
      <c r="J13" s="395" t="s">
        <v>814</v>
      </c>
    </row>
    <row r="14" spans="1:10" ht="17.25" customHeight="1">
      <c r="A14" s="185" t="s">
        <v>3507</v>
      </c>
      <c r="B14" s="186" t="s">
        <v>3508</v>
      </c>
      <c r="C14" s="653"/>
      <c r="D14" s="187" t="s">
        <v>1377</v>
      </c>
      <c r="E14" s="530" t="s">
        <v>3509</v>
      </c>
      <c r="F14" s="530"/>
      <c r="G14" s="531"/>
      <c r="H14" s="532"/>
      <c r="I14" s="532"/>
      <c r="J14" s="391" t="s">
        <v>814</v>
      </c>
    </row>
    <row r="15" spans="1:10" ht="17.25" customHeight="1">
      <c r="A15" s="185"/>
      <c r="B15" s="186"/>
      <c r="C15" s="653"/>
      <c r="D15" s="369" t="s">
        <v>3510</v>
      </c>
      <c r="E15" s="530" t="s">
        <v>3511</v>
      </c>
      <c r="F15" s="530"/>
      <c r="G15" s="531"/>
      <c r="H15" s="532"/>
      <c r="I15" s="532"/>
      <c r="J15" s="370" t="s">
        <v>814</v>
      </c>
    </row>
    <row r="16" spans="1:10" ht="17.25" customHeight="1">
      <c r="B16" s="112"/>
      <c r="C16" s="653"/>
      <c r="D16" s="187" t="s">
        <v>3512</v>
      </c>
      <c r="E16" s="530" t="s">
        <v>3513</v>
      </c>
      <c r="F16" s="530"/>
      <c r="G16" s="531"/>
      <c r="H16" s="532"/>
      <c r="I16" s="532"/>
      <c r="J16" s="391" t="s">
        <v>814</v>
      </c>
    </row>
    <row r="17" spans="1:10" ht="17.25" customHeight="1">
      <c r="B17" s="184" t="s">
        <v>3514</v>
      </c>
      <c r="C17" s="365"/>
      <c r="D17" s="187" t="s">
        <v>211</v>
      </c>
      <c r="E17" s="530" t="s">
        <v>3515</v>
      </c>
      <c r="F17" s="530"/>
      <c r="G17" s="531"/>
      <c r="H17" s="532"/>
      <c r="I17" s="532"/>
      <c r="J17" s="391" t="s">
        <v>814</v>
      </c>
    </row>
    <row r="18" spans="1:10" ht="17.25" customHeight="1">
      <c r="B18" s="184"/>
      <c r="C18" s="365"/>
      <c r="D18" s="612" t="s">
        <v>3516</v>
      </c>
      <c r="E18" s="530" t="s">
        <v>3517</v>
      </c>
      <c r="F18" s="530"/>
      <c r="G18" s="531"/>
      <c r="H18" s="532"/>
      <c r="I18" s="532"/>
      <c r="J18" s="391" t="s">
        <v>814</v>
      </c>
    </row>
    <row r="19" spans="1:10" ht="17.25" customHeight="1">
      <c r="B19" s="112" t="s">
        <v>3518</v>
      </c>
      <c r="C19" s="365"/>
      <c r="D19" s="187" t="s">
        <v>3519</v>
      </c>
      <c r="E19" s="530" t="s">
        <v>3520</v>
      </c>
      <c r="F19" s="530"/>
      <c r="G19" s="531"/>
      <c r="H19" s="532"/>
      <c r="I19" s="532"/>
      <c r="J19" s="391" t="s">
        <v>814</v>
      </c>
    </row>
    <row r="20" spans="1:10" ht="17.25" customHeight="1">
      <c r="B20" s="184" t="s">
        <v>3521</v>
      </c>
      <c r="C20" s="365"/>
      <c r="D20" s="188" t="s">
        <v>3522</v>
      </c>
      <c r="E20" s="530" t="s">
        <v>3523</v>
      </c>
      <c r="F20" s="530"/>
      <c r="G20" s="531"/>
      <c r="H20" s="532"/>
      <c r="I20" s="532"/>
      <c r="J20" s="324" t="s">
        <v>814</v>
      </c>
    </row>
    <row r="21" spans="1:10" ht="17.25" customHeight="1">
      <c r="B21" s="112" t="s">
        <v>3524</v>
      </c>
      <c r="C21" s="365"/>
      <c r="D21" s="187" t="s">
        <v>3525</v>
      </c>
      <c r="E21" s="530" t="s">
        <v>3526</v>
      </c>
      <c r="F21" s="530"/>
      <c r="G21" s="531"/>
      <c r="H21" s="532"/>
      <c r="I21" s="532"/>
      <c r="J21" s="324" t="s">
        <v>814</v>
      </c>
    </row>
    <row r="22" spans="1:10" ht="17.25" customHeight="1">
      <c r="A22" s="178" t="s">
        <v>3507</v>
      </c>
      <c r="B22" s="184" t="s">
        <v>3527</v>
      </c>
      <c r="C22" s="365"/>
      <c r="D22" s="612" t="s">
        <v>3528</v>
      </c>
      <c r="E22" s="530" t="s">
        <v>3529</v>
      </c>
      <c r="F22" s="530"/>
      <c r="G22" s="531"/>
      <c r="H22" s="532" t="s">
        <v>3530</v>
      </c>
      <c r="I22" s="532"/>
      <c r="J22" s="324" t="s">
        <v>814</v>
      </c>
    </row>
    <row r="23" spans="1:10" ht="17.25" customHeight="1">
      <c r="B23" s="184"/>
      <c r="C23" s="365"/>
      <c r="D23" s="189" t="s">
        <v>3531</v>
      </c>
      <c r="E23" s="530" t="s">
        <v>3530</v>
      </c>
      <c r="F23" s="530"/>
      <c r="G23" s="531"/>
      <c r="H23" s="532"/>
      <c r="I23" s="532"/>
      <c r="J23" s="324" t="s">
        <v>814</v>
      </c>
    </row>
    <row r="24" spans="1:10" ht="17.25" customHeight="1">
      <c r="B24" s="184"/>
      <c r="C24" s="365"/>
      <c r="D24" s="612" t="s">
        <v>3532</v>
      </c>
      <c r="E24" s="530" t="s">
        <v>3533</v>
      </c>
      <c r="F24" s="530"/>
      <c r="G24" s="531"/>
      <c r="H24" s="532"/>
      <c r="I24" s="532"/>
      <c r="J24" s="324" t="s">
        <v>814</v>
      </c>
    </row>
    <row r="25" spans="1:10" ht="17.25" customHeight="1">
      <c r="B25" s="184"/>
      <c r="C25" s="365"/>
      <c r="D25" s="612" t="s">
        <v>3534</v>
      </c>
      <c r="E25" s="530" t="s">
        <v>3535</v>
      </c>
      <c r="F25" s="530"/>
      <c r="G25" s="531"/>
      <c r="H25" s="532"/>
      <c r="I25" s="532"/>
      <c r="J25" s="324" t="s">
        <v>814</v>
      </c>
    </row>
    <row r="26" spans="1:10" ht="20.100000000000001" customHeight="1">
      <c r="B26" s="184"/>
      <c r="C26" s="655" t="s">
        <v>1496</v>
      </c>
      <c r="D26" s="616" t="s">
        <v>3536</v>
      </c>
      <c r="E26" s="530" t="s">
        <v>3537</v>
      </c>
      <c r="F26" s="530"/>
      <c r="G26" s="531"/>
      <c r="H26" s="532" t="s">
        <v>3538</v>
      </c>
      <c r="I26" s="532"/>
      <c r="J26" s="324" t="s">
        <v>814</v>
      </c>
    </row>
    <row r="27" spans="1:10" ht="19.5" customHeight="1">
      <c r="B27" s="184"/>
      <c r="C27" s="365"/>
      <c r="D27" s="190" t="s">
        <v>3539</v>
      </c>
      <c r="E27" s="530" t="s">
        <v>3538</v>
      </c>
      <c r="F27" s="530"/>
      <c r="G27" s="531"/>
      <c r="H27" s="532"/>
      <c r="I27" s="532"/>
      <c r="J27" s="324" t="s">
        <v>814</v>
      </c>
    </row>
    <row r="28" spans="1:10" ht="38.25" customHeight="1">
      <c r="B28" s="112" t="s">
        <v>3540</v>
      </c>
      <c r="C28" s="655" t="s">
        <v>836</v>
      </c>
      <c r="D28" s="616" t="s">
        <v>3541</v>
      </c>
      <c r="E28" s="530" t="s">
        <v>3542</v>
      </c>
      <c r="F28" s="530"/>
      <c r="G28" s="531"/>
      <c r="H28" s="532" t="s">
        <v>3543</v>
      </c>
      <c r="I28" s="532"/>
      <c r="J28" s="395" t="s">
        <v>814</v>
      </c>
    </row>
    <row r="29" spans="1:10" ht="20.100000000000001" customHeight="1">
      <c r="B29" s="184" t="s">
        <v>3544</v>
      </c>
      <c r="C29" s="365"/>
      <c r="D29" s="644" t="s">
        <v>3545</v>
      </c>
      <c r="E29" s="530" t="s">
        <v>3546</v>
      </c>
      <c r="F29" s="530"/>
      <c r="G29" s="531"/>
      <c r="H29" s="532"/>
      <c r="I29" s="532"/>
      <c r="J29" s="324" t="s">
        <v>814</v>
      </c>
    </row>
    <row r="30" spans="1:10" ht="20.100000000000001" customHeight="1">
      <c r="B30" s="112" t="s">
        <v>3547</v>
      </c>
      <c r="C30" s="365"/>
      <c r="D30" s="644" t="s">
        <v>3548</v>
      </c>
      <c r="E30" s="530" t="s">
        <v>3549</v>
      </c>
      <c r="F30" s="530"/>
      <c r="G30" s="531"/>
      <c r="H30" s="532"/>
      <c r="I30" s="532"/>
      <c r="J30" s="324" t="s">
        <v>814</v>
      </c>
    </row>
    <row r="31" spans="1:10" ht="39" customHeight="1">
      <c r="B31" s="184" t="s">
        <v>3550</v>
      </c>
      <c r="C31" s="655" t="s">
        <v>842</v>
      </c>
      <c r="D31" s="616" t="s">
        <v>3551</v>
      </c>
      <c r="E31" s="530" t="s">
        <v>3552</v>
      </c>
      <c r="F31" s="530"/>
      <c r="G31" s="531"/>
      <c r="H31" s="532" t="s">
        <v>3553</v>
      </c>
      <c r="I31" s="532"/>
      <c r="J31" s="395" t="s">
        <v>814</v>
      </c>
    </row>
    <row r="32" spans="1:10" ht="20.100000000000001" customHeight="1">
      <c r="B32" s="112" t="s">
        <v>3554</v>
      </c>
      <c r="C32" s="365"/>
      <c r="D32" s="612" t="s">
        <v>211</v>
      </c>
      <c r="E32" s="530" t="s">
        <v>3553</v>
      </c>
      <c r="F32" s="530"/>
      <c r="G32" s="531"/>
      <c r="H32" s="532"/>
      <c r="I32" s="532"/>
      <c r="J32" s="324" t="s">
        <v>814</v>
      </c>
    </row>
    <row r="33" spans="2:10" ht="55.5" customHeight="1">
      <c r="B33" s="184"/>
      <c r="C33" s="655" t="s">
        <v>1204</v>
      </c>
      <c r="D33" s="616" t="s">
        <v>3555</v>
      </c>
      <c r="E33" s="530" t="s">
        <v>3556</v>
      </c>
      <c r="F33" s="530"/>
      <c r="G33" s="531"/>
      <c r="H33" s="532" t="s">
        <v>3557</v>
      </c>
      <c r="I33" s="532"/>
      <c r="J33" s="21" t="s">
        <v>1369</v>
      </c>
    </row>
    <row r="34" spans="2:10" ht="20.100000000000001" customHeight="1">
      <c r="B34" s="184"/>
      <c r="C34" s="365"/>
      <c r="D34" s="673" t="s">
        <v>3558</v>
      </c>
      <c r="E34" s="530" t="s">
        <v>3559</v>
      </c>
      <c r="F34" s="530"/>
      <c r="G34" s="531"/>
      <c r="H34" s="532"/>
      <c r="I34" s="532"/>
      <c r="J34" s="389" t="s">
        <v>1369</v>
      </c>
    </row>
    <row r="35" spans="2:10" ht="20.100000000000001" customHeight="1">
      <c r="B35" s="184"/>
      <c r="C35" s="365"/>
      <c r="D35" s="673" t="s">
        <v>3560</v>
      </c>
      <c r="E35" s="530" t="s">
        <v>3561</v>
      </c>
      <c r="F35" s="530"/>
      <c r="G35" s="531"/>
      <c r="H35" s="532"/>
      <c r="I35" s="532"/>
      <c r="J35" s="389" t="s">
        <v>1369</v>
      </c>
    </row>
    <row r="36" spans="2:10" ht="20.100000000000001" customHeight="1">
      <c r="B36" s="184"/>
      <c r="C36" s="365"/>
      <c r="D36" s="673" t="s">
        <v>3562</v>
      </c>
      <c r="E36" s="530" t="s">
        <v>3563</v>
      </c>
      <c r="F36" s="530"/>
      <c r="G36" s="531"/>
      <c r="H36" s="532"/>
      <c r="I36" s="532"/>
      <c r="J36" s="389" t="s">
        <v>1369</v>
      </c>
    </row>
    <row r="37" spans="2:10" ht="20.100000000000001" customHeight="1">
      <c r="B37" s="184"/>
      <c r="C37" s="365"/>
      <c r="D37" s="673" t="s">
        <v>1791</v>
      </c>
      <c r="E37" s="530" t="s">
        <v>3564</v>
      </c>
      <c r="F37" s="530"/>
      <c r="G37" s="531"/>
      <c r="H37" s="532"/>
      <c r="I37" s="532"/>
      <c r="J37" s="389" t="s">
        <v>1369</v>
      </c>
    </row>
    <row r="38" spans="2:10" ht="20.100000000000001" customHeight="1" outlineLevel="1">
      <c r="B38" s="184" t="s">
        <v>3565</v>
      </c>
      <c r="C38" s="365"/>
      <c r="D38" s="124" t="s">
        <v>804</v>
      </c>
      <c r="E38" s="530"/>
      <c r="F38" s="530"/>
      <c r="G38" s="531"/>
      <c r="H38" s="532"/>
      <c r="I38" s="532"/>
      <c r="J38" s="389"/>
    </row>
    <row r="39" spans="2:10" ht="20.100000000000001" customHeight="1" outlineLevel="1">
      <c r="B39" s="112" t="s">
        <v>3566</v>
      </c>
      <c r="C39" s="365"/>
      <c r="D39" s="641" t="s">
        <v>3567</v>
      </c>
      <c r="E39" s="530" t="s">
        <v>3568</v>
      </c>
      <c r="F39" s="530"/>
      <c r="G39" s="531"/>
      <c r="H39" s="532"/>
      <c r="I39" s="532"/>
      <c r="J39" s="733"/>
    </row>
    <row r="40" spans="2:10" ht="20.100000000000001" customHeight="1" outlineLevel="1">
      <c r="B40" s="184" t="s">
        <v>3569</v>
      </c>
      <c r="C40" s="365"/>
      <c r="D40" s="191" t="s">
        <v>3570</v>
      </c>
      <c r="E40" s="530" t="s">
        <v>3571</v>
      </c>
      <c r="F40" s="530"/>
      <c r="G40" s="531"/>
      <c r="H40" s="532"/>
      <c r="I40" s="532"/>
      <c r="J40" s="733" t="s">
        <v>820</v>
      </c>
    </row>
    <row r="41" spans="2:10" ht="20.100000000000001" customHeight="1" outlineLevel="1">
      <c r="B41" s="184"/>
      <c r="C41" s="365"/>
      <c r="D41" s="641" t="s">
        <v>3572</v>
      </c>
      <c r="E41" s="530"/>
      <c r="F41" s="530"/>
      <c r="G41" s="531"/>
      <c r="H41" s="532"/>
      <c r="I41" s="532"/>
      <c r="J41" s="391" t="s">
        <v>814</v>
      </c>
    </row>
    <row r="42" spans="2:10" ht="19.5" customHeight="1" outlineLevel="1">
      <c r="B42" s="184"/>
      <c r="C42" s="365"/>
      <c r="D42" s="191" t="s">
        <v>3558</v>
      </c>
      <c r="E42" s="530" t="s">
        <v>3573</v>
      </c>
      <c r="F42" s="530"/>
      <c r="G42" s="531"/>
      <c r="H42" s="532"/>
      <c r="I42" s="532"/>
      <c r="J42" s="391" t="s">
        <v>814</v>
      </c>
    </row>
    <row r="43" spans="2:10" ht="19.5" customHeight="1" outlineLevel="1">
      <c r="B43" s="184"/>
      <c r="C43" s="365"/>
      <c r="D43" s="191" t="s">
        <v>3574</v>
      </c>
      <c r="E43" s="530" t="s">
        <v>3575</v>
      </c>
      <c r="F43" s="530"/>
      <c r="G43" s="531"/>
      <c r="H43" s="532"/>
      <c r="I43" s="532"/>
      <c r="J43" s="391" t="s">
        <v>814</v>
      </c>
    </row>
    <row r="44" spans="2:10" ht="19.5" customHeight="1" outlineLevel="1">
      <c r="B44" s="184"/>
      <c r="C44" s="365"/>
      <c r="D44" s="191" t="s">
        <v>3576</v>
      </c>
      <c r="E44" s="530" t="s">
        <v>3577</v>
      </c>
      <c r="F44" s="530"/>
      <c r="G44" s="531"/>
      <c r="H44" s="532"/>
      <c r="I44" s="532"/>
      <c r="J44" s="391" t="s">
        <v>814</v>
      </c>
    </row>
    <row r="45" spans="2:10" ht="19.5" customHeight="1" outlineLevel="1">
      <c r="B45" s="184"/>
      <c r="C45" s="365"/>
      <c r="D45" s="191" t="s">
        <v>3578</v>
      </c>
      <c r="E45" s="530" t="s">
        <v>3579</v>
      </c>
      <c r="F45" s="530"/>
      <c r="G45" s="531"/>
      <c r="H45" s="532"/>
      <c r="I45" s="532"/>
      <c r="J45" s="391" t="s">
        <v>814</v>
      </c>
    </row>
    <row r="46" spans="2:10" ht="20.100000000000001" customHeight="1" outlineLevel="1">
      <c r="B46" s="184"/>
      <c r="C46" s="365"/>
      <c r="D46" s="191" t="s">
        <v>3560</v>
      </c>
      <c r="E46" s="530" t="s">
        <v>3580</v>
      </c>
      <c r="F46" s="530"/>
      <c r="G46" s="531"/>
      <c r="H46" s="532"/>
      <c r="I46" s="532"/>
      <c r="J46" s="391" t="s">
        <v>814</v>
      </c>
    </row>
    <row r="47" spans="2:10" ht="20.100000000000001" customHeight="1" outlineLevel="1">
      <c r="B47" s="184"/>
      <c r="C47" s="365"/>
      <c r="D47" s="191" t="s">
        <v>3576</v>
      </c>
      <c r="E47" s="530" t="s">
        <v>3581</v>
      </c>
      <c r="F47" s="530"/>
      <c r="G47" s="531"/>
      <c r="H47" s="532"/>
      <c r="I47" s="532"/>
      <c r="J47" s="391" t="s">
        <v>814</v>
      </c>
    </row>
    <row r="48" spans="2:10" ht="20.100000000000001" customHeight="1" outlineLevel="1">
      <c r="B48" s="184"/>
      <c r="C48" s="365"/>
      <c r="D48" s="191" t="s">
        <v>3512</v>
      </c>
      <c r="E48" s="530" t="s">
        <v>3582</v>
      </c>
      <c r="F48" s="530"/>
      <c r="G48" s="531"/>
      <c r="H48" s="532"/>
      <c r="I48" s="532"/>
      <c r="J48" s="391" t="s">
        <v>814</v>
      </c>
    </row>
    <row r="49" spans="1:10" ht="25.5" customHeight="1">
      <c r="A49" s="192"/>
      <c r="B49" s="112" t="s">
        <v>3583</v>
      </c>
      <c r="C49" s="655" t="s">
        <v>850</v>
      </c>
      <c r="D49" s="616" t="s">
        <v>3434</v>
      </c>
      <c r="E49" s="530" t="s">
        <v>3584</v>
      </c>
      <c r="F49" s="530"/>
      <c r="G49" s="531"/>
      <c r="H49" s="532" t="s">
        <v>3585</v>
      </c>
      <c r="I49" s="532"/>
      <c r="J49" s="395" t="s">
        <v>814</v>
      </c>
    </row>
    <row r="50" spans="1:10" ht="39" customHeight="1">
      <c r="A50" s="193" t="s">
        <v>3507</v>
      </c>
      <c r="B50" s="184" t="s">
        <v>3586</v>
      </c>
      <c r="C50" s="655" t="s">
        <v>82</v>
      </c>
      <c r="D50" s="616" t="s">
        <v>3587</v>
      </c>
      <c r="E50" s="530" t="s">
        <v>3588</v>
      </c>
      <c r="F50" s="530"/>
      <c r="G50" s="531"/>
      <c r="H50" s="532" t="s">
        <v>3589</v>
      </c>
      <c r="I50" s="532"/>
      <c r="J50" s="40" t="s">
        <v>814</v>
      </c>
    </row>
    <row r="51" spans="1:10" ht="20.100000000000001" customHeight="1">
      <c r="A51" s="193"/>
      <c r="B51" s="112" t="s">
        <v>3590</v>
      </c>
      <c r="C51" s="365"/>
      <c r="D51" s="673" t="s">
        <v>1377</v>
      </c>
      <c r="E51" s="530" t="s">
        <v>3591</v>
      </c>
      <c r="F51" s="530"/>
      <c r="G51" s="531"/>
      <c r="H51" s="532"/>
      <c r="I51" s="532"/>
      <c r="J51" s="324" t="s">
        <v>814</v>
      </c>
    </row>
    <row r="52" spans="1:10" ht="20.100000000000001" customHeight="1">
      <c r="A52" s="193"/>
      <c r="B52" s="112"/>
      <c r="C52" s="365"/>
      <c r="D52" s="673" t="s">
        <v>3592</v>
      </c>
      <c r="E52" s="530" t="s">
        <v>3593</v>
      </c>
      <c r="F52" s="530"/>
      <c r="G52" s="531"/>
      <c r="H52" s="532"/>
      <c r="I52" s="532"/>
      <c r="J52" s="324" t="s">
        <v>814</v>
      </c>
    </row>
    <row r="53" spans="1:10" ht="24" customHeight="1">
      <c r="A53" s="193"/>
      <c r="B53" s="184" t="s">
        <v>3594</v>
      </c>
      <c r="C53" s="655" t="s">
        <v>84</v>
      </c>
      <c r="D53" s="616" t="s">
        <v>3595</v>
      </c>
      <c r="E53" s="530" t="s">
        <v>3596</v>
      </c>
      <c r="F53" s="530"/>
      <c r="G53" s="531"/>
      <c r="H53" s="532" t="s">
        <v>3597</v>
      </c>
      <c r="I53" s="532"/>
      <c r="J53" s="40" t="s">
        <v>814</v>
      </c>
    </row>
    <row r="54" spans="1:10" ht="35.25" customHeight="1">
      <c r="A54" s="193" t="s">
        <v>3507</v>
      </c>
      <c r="B54" s="112" t="s">
        <v>3598</v>
      </c>
      <c r="C54" s="653"/>
      <c r="D54" s="644" t="s">
        <v>3599</v>
      </c>
      <c r="E54" s="530" t="s">
        <v>3600</v>
      </c>
      <c r="F54" s="530"/>
      <c r="G54" s="531"/>
      <c r="H54" s="532"/>
      <c r="I54" s="532"/>
      <c r="J54" s="324" t="s">
        <v>814</v>
      </c>
    </row>
    <row r="55" spans="1:10" ht="38.450000000000003" customHeight="1">
      <c r="A55" s="193"/>
      <c r="B55" s="184" t="s">
        <v>3601</v>
      </c>
      <c r="C55" s="365"/>
      <c r="D55" s="644" t="s">
        <v>3602</v>
      </c>
      <c r="E55" s="530" t="s">
        <v>3603</v>
      </c>
      <c r="F55" s="530"/>
      <c r="G55" s="531"/>
      <c r="H55" s="532"/>
      <c r="I55" s="532"/>
      <c r="J55" s="324" t="s">
        <v>814</v>
      </c>
    </row>
    <row r="56" spans="1:10" ht="38.450000000000003" customHeight="1">
      <c r="A56" s="193"/>
      <c r="B56" s="184"/>
      <c r="C56" s="365"/>
      <c r="D56" s="644" t="s">
        <v>3604</v>
      </c>
      <c r="E56" s="530" t="s">
        <v>3605</v>
      </c>
      <c r="F56" s="530"/>
      <c r="G56" s="531"/>
      <c r="H56" s="532" t="s">
        <v>3606</v>
      </c>
      <c r="I56" s="532"/>
      <c r="J56" s="324" t="s">
        <v>814</v>
      </c>
    </row>
    <row r="57" spans="1:10">
      <c r="A57" s="193" t="s">
        <v>3507</v>
      </c>
      <c r="B57" s="184"/>
      <c r="C57" s="365"/>
      <c r="D57" s="195" t="s">
        <v>3607</v>
      </c>
      <c r="E57" s="530" t="s">
        <v>3608</v>
      </c>
      <c r="F57" s="530"/>
      <c r="G57" s="531"/>
      <c r="H57" s="532"/>
      <c r="I57" s="532"/>
      <c r="J57" s="324" t="s">
        <v>814</v>
      </c>
    </row>
    <row r="58" spans="1:10" ht="19.5" customHeight="1">
      <c r="B58" s="184" t="s">
        <v>3609</v>
      </c>
      <c r="C58" s="365"/>
      <c r="D58" s="195" t="s">
        <v>3610</v>
      </c>
      <c r="E58" s="530" t="s">
        <v>3611</v>
      </c>
      <c r="F58" s="530"/>
      <c r="G58" s="531"/>
      <c r="H58" s="532"/>
      <c r="I58" s="532"/>
      <c r="J58" s="324" t="s">
        <v>814</v>
      </c>
    </row>
    <row r="59" spans="1:10" ht="19.5" customHeight="1">
      <c r="B59" s="184"/>
      <c r="C59" s="365"/>
      <c r="D59" s="195" t="s">
        <v>3612</v>
      </c>
      <c r="E59" s="530" t="s">
        <v>3613</v>
      </c>
      <c r="F59" s="530"/>
      <c r="G59" s="531"/>
      <c r="H59" s="532"/>
      <c r="I59" s="532"/>
    </row>
    <row r="60" spans="1:10" ht="20.100000000000001" customHeight="1">
      <c r="B60" s="184"/>
      <c r="C60" s="365"/>
      <c r="D60" s="195" t="s">
        <v>3614</v>
      </c>
      <c r="E60" s="530" t="s">
        <v>3615</v>
      </c>
      <c r="F60" s="530"/>
      <c r="G60" s="531"/>
      <c r="H60" s="532"/>
      <c r="I60" s="532"/>
      <c r="J60" s="324" t="s">
        <v>814</v>
      </c>
    </row>
    <row r="61" spans="1:10" ht="39" customHeight="1">
      <c r="B61" s="112" t="s">
        <v>3616</v>
      </c>
      <c r="C61" s="365"/>
      <c r="D61" s="195" t="s">
        <v>3617</v>
      </c>
      <c r="E61" s="530" t="s">
        <v>3618</v>
      </c>
      <c r="F61" s="530"/>
      <c r="G61" s="531"/>
      <c r="H61" s="532"/>
      <c r="I61" s="532"/>
      <c r="J61" s="324" t="s">
        <v>814</v>
      </c>
    </row>
    <row r="62" spans="1:10" ht="19.5" customHeight="1">
      <c r="B62" s="101"/>
      <c r="C62" s="406"/>
      <c r="D62" s="195" t="s">
        <v>3619</v>
      </c>
      <c r="E62" s="530" t="s">
        <v>3620</v>
      </c>
      <c r="F62" s="530"/>
      <c r="G62" s="531"/>
      <c r="H62" s="532"/>
      <c r="I62" s="532"/>
      <c r="J62" s="389" t="s">
        <v>1369</v>
      </c>
    </row>
    <row r="63" spans="1:10" ht="42" customHeight="1">
      <c r="A63" s="178" t="s">
        <v>3507</v>
      </c>
      <c r="B63" s="184" t="s">
        <v>3621</v>
      </c>
      <c r="C63" s="365"/>
      <c r="D63" s="195" t="s">
        <v>3622</v>
      </c>
      <c r="E63" s="530" t="s">
        <v>3623</v>
      </c>
      <c r="F63" s="530"/>
      <c r="G63" s="531"/>
      <c r="H63" s="532"/>
      <c r="I63" s="532"/>
      <c r="J63" s="324" t="s">
        <v>814</v>
      </c>
    </row>
    <row r="64" spans="1:10" ht="20.100000000000001" customHeight="1">
      <c r="B64" s="112" t="s">
        <v>3624</v>
      </c>
      <c r="C64" s="365"/>
      <c r="D64" s="195" t="s">
        <v>3625</v>
      </c>
      <c r="E64" s="530" t="s">
        <v>3626</v>
      </c>
      <c r="F64" s="530"/>
      <c r="G64" s="531"/>
      <c r="H64" s="532"/>
      <c r="I64" s="532"/>
      <c r="J64" s="389" t="s">
        <v>1369</v>
      </c>
    </row>
    <row r="65" spans="1:10" ht="20.100000000000001" customHeight="1">
      <c r="B65" s="184" t="s">
        <v>3627</v>
      </c>
      <c r="C65" s="365"/>
      <c r="D65" s="195" t="s">
        <v>3628</v>
      </c>
      <c r="E65" s="530" t="s">
        <v>3629</v>
      </c>
      <c r="F65" s="530"/>
      <c r="G65" s="531"/>
      <c r="H65" s="532"/>
      <c r="I65" s="532"/>
      <c r="J65" s="389" t="s">
        <v>1369</v>
      </c>
    </row>
    <row r="66" spans="1:10" ht="37.5" customHeight="1">
      <c r="B66" s="184"/>
      <c r="C66" s="365"/>
      <c r="D66" s="673" t="s">
        <v>3630</v>
      </c>
      <c r="E66" s="530" t="s">
        <v>3631</v>
      </c>
      <c r="F66" s="530"/>
      <c r="G66" s="531"/>
      <c r="H66" s="532" t="s">
        <v>3632</v>
      </c>
      <c r="I66" s="532"/>
      <c r="J66" s="324" t="s">
        <v>814</v>
      </c>
    </row>
    <row r="67" spans="1:10">
      <c r="B67" s="184"/>
      <c r="C67" s="365"/>
      <c r="D67" s="190" t="s">
        <v>3633</v>
      </c>
      <c r="E67" s="530" t="s">
        <v>3634</v>
      </c>
      <c r="F67" s="530"/>
      <c r="G67" s="531"/>
      <c r="H67" s="532"/>
      <c r="I67" s="532"/>
      <c r="J67" s="324" t="s">
        <v>814</v>
      </c>
    </row>
    <row r="68" spans="1:10">
      <c r="B68" s="184"/>
      <c r="C68" s="365"/>
      <c r="D68" s="374" t="s">
        <v>3614</v>
      </c>
      <c r="E68" s="530" t="s">
        <v>3635</v>
      </c>
      <c r="F68" s="530"/>
      <c r="G68" s="531"/>
      <c r="H68" s="532"/>
      <c r="I68" s="532"/>
      <c r="J68" s="375" t="s">
        <v>814</v>
      </c>
    </row>
    <row r="69" spans="1:10">
      <c r="B69" s="184"/>
      <c r="C69" s="365"/>
      <c r="D69" s="190" t="s">
        <v>211</v>
      </c>
      <c r="E69" s="530" t="s">
        <v>3636</v>
      </c>
      <c r="F69" s="530"/>
      <c r="G69" s="531"/>
      <c r="H69" s="532"/>
      <c r="I69" s="532"/>
      <c r="J69" s="324" t="s">
        <v>814</v>
      </c>
    </row>
    <row r="70" spans="1:10">
      <c r="B70" s="184"/>
      <c r="C70" s="365"/>
      <c r="D70" s="190" t="s">
        <v>213</v>
      </c>
      <c r="E70" s="530" t="s">
        <v>3637</v>
      </c>
      <c r="F70" s="530"/>
      <c r="G70" s="531"/>
      <c r="H70" s="532"/>
      <c r="I70" s="532"/>
      <c r="J70" s="324" t="s">
        <v>814</v>
      </c>
    </row>
    <row r="71" spans="1:10" ht="18" customHeight="1">
      <c r="A71" s="178" t="s">
        <v>3507</v>
      </c>
      <c r="B71" s="184"/>
      <c r="C71" s="824" t="s">
        <v>86</v>
      </c>
      <c r="D71" s="848" t="s">
        <v>3638</v>
      </c>
      <c r="E71" s="530" t="s">
        <v>3639</v>
      </c>
      <c r="F71" s="530"/>
      <c r="G71" s="531"/>
      <c r="H71" s="532" t="s">
        <v>3640</v>
      </c>
      <c r="I71" s="532"/>
      <c r="J71" s="395" t="s">
        <v>1369</v>
      </c>
    </row>
    <row r="72" spans="1:10" ht="18" customHeight="1">
      <c r="B72" s="184"/>
      <c r="C72" s="756"/>
      <c r="D72" s="756"/>
      <c r="E72" s="530" t="s">
        <v>3641</v>
      </c>
      <c r="F72" s="530"/>
      <c r="G72" s="531"/>
      <c r="H72" s="532" t="s">
        <v>3642</v>
      </c>
      <c r="I72" s="532"/>
      <c r="J72" s="395" t="s">
        <v>820</v>
      </c>
    </row>
    <row r="73" spans="1:10" ht="16.149999999999999" customHeight="1">
      <c r="B73" s="184"/>
      <c r="C73" s="784" t="s">
        <v>90</v>
      </c>
      <c r="D73" s="832" t="s">
        <v>3558</v>
      </c>
      <c r="E73" s="530" t="s">
        <v>3643</v>
      </c>
      <c r="F73" s="530"/>
      <c r="G73" s="531"/>
      <c r="H73" s="532"/>
      <c r="I73" s="532"/>
      <c r="J73" s="391" t="s">
        <v>1369</v>
      </c>
    </row>
    <row r="74" spans="1:10" ht="16.149999999999999" customHeight="1">
      <c r="B74" s="184"/>
      <c r="C74" s="756"/>
      <c r="D74" s="756"/>
      <c r="E74" s="530" t="s">
        <v>3644</v>
      </c>
      <c r="F74" s="530"/>
      <c r="G74" s="531"/>
      <c r="H74" s="532"/>
      <c r="I74" s="532"/>
      <c r="J74" s="391" t="s">
        <v>820</v>
      </c>
    </row>
    <row r="75" spans="1:10" ht="16.149999999999999" customHeight="1">
      <c r="B75" s="184"/>
      <c r="C75" s="784" t="s">
        <v>91</v>
      </c>
      <c r="D75" s="832" t="s">
        <v>3645</v>
      </c>
      <c r="E75" s="530" t="s">
        <v>3646</v>
      </c>
      <c r="F75" s="530"/>
      <c r="G75" s="531"/>
      <c r="H75" s="532"/>
      <c r="I75" s="532"/>
      <c r="J75" s="391" t="s">
        <v>1369</v>
      </c>
    </row>
    <row r="76" spans="1:10" ht="16.149999999999999" customHeight="1">
      <c r="B76" s="184"/>
      <c r="C76" s="756"/>
      <c r="D76" s="756"/>
      <c r="E76" s="530" t="s">
        <v>3647</v>
      </c>
      <c r="F76" s="530"/>
      <c r="G76" s="531"/>
      <c r="H76" s="532"/>
      <c r="I76" s="532"/>
      <c r="J76" s="391" t="s">
        <v>820</v>
      </c>
    </row>
    <row r="77" spans="1:10" ht="16.149999999999999" customHeight="1">
      <c r="B77" s="184"/>
      <c r="C77" s="784" t="s">
        <v>1092</v>
      </c>
      <c r="D77" s="832" t="s">
        <v>3648</v>
      </c>
      <c r="E77" s="530" t="s">
        <v>3649</v>
      </c>
      <c r="F77" s="530"/>
      <c r="G77" s="531"/>
      <c r="H77" s="532"/>
      <c r="I77" s="532"/>
      <c r="J77" s="391" t="s">
        <v>1369</v>
      </c>
    </row>
    <row r="78" spans="1:10" ht="16.149999999999999" customHeight="1">
      <c r="B78" s="184"/>
      <c r="C78" s="756"/>
      <c r="D78" s="756"/>
      <c r="E78" s="530" t="s">
        <v>3650</v>
      </c>
      <c r="F78" s="530"/>
      <c r="G78" s="531"/>
      <c r="H78" s="532"/>
      <c r="I78" s="532"/>
      <c r="J78" s="391" t="s">
        <v>820</v>
      </c>
    </row>
    <row r="79" spans="1:10" ht="16.149999999999999" customHeight="1">
      <c r="B79" s="184"/>
      <c r="C79" s="784" t="s">
        <v>1099</v>
      </c>
      <c r="D79" s="832" t="s">
        <v>3651</v>
      </c>
      <c r="E79" s="530" t="s">
        <v>3652</v>
      </c>
      <c r="F79" s="530"/>
      <c r="G79" s="531"/>
      <c r="H79" s="532"/>
      <c r="I79" s="532"/>
      <c r="J79" s="391" t="s">
        <v>1369</v>
      </c>
    </row>
    <row r="80" spans="1:10" ht="15.75" customHeight="1">
      <c r="B80" s="184"/>
      <c r="C80" s="756"/>
      <c r="D80" s="756"/>
      <c r="E80" s="530" t="s">
        <v>3653</v>
      </c>
      <c r="F80" s="530"/>
      <c r="G80" s="531"/>
      <c r="H80" s="532"/>
      <c r="I80" s="532"/>
      <c r="J80" s="391" t="s">
        <v>820</v>
      </c>
    </row>
    <row r="81" spans="1:10" ht="20.100000000000001" customHeight="1">
      <c r="A81" s="192"/>
      <c r="B81" s="184" t="s">
        <v>3654</v>
      </c>
      <c r="C81" s="824" t="s">
        <v>2753</v>
      </c>
      <c r="D81" s="780" t="s">
        <v>3655</v>
      </c>
      <c r="E81" s="530" t="s">
        <v>3656</v>
      </c>
      <c r="F81" s="530"/>
      <c r="G81" s="531"/>
      <c r="H81" s="532" t="s">
        <v>3657</v>
      </c>
      <c r="I81" s="532"/>
      <c r="J81" s="21" t="s">
        <v>1369</v>
      </c>
    </row>
    <row r="82" spans="1:10" ht="20.100000000000001" customHeight="1">
      <c r="A82" s="192"/>
      <c r="B82" s="112" t="s">
        <v>3658</v>
      </c>
      <c r="C82" s="756"/>
      <c r="D82" s="756"/>
      <c r="E82" s="530" t="s">
        <v>3659</v>
      </c>
      <c r="F82" s="530"/>
      <c r="G82" s="531"/>
      <c r="H82" s="532" t="s">
        <v>3660</v>
      </c>
      <c r="I82" s="532"/>
      <c r="J82" s="734" t="s">
        <v>820</v>
      </c>
    </row>
    <row r="83" spans="1:10" ht="20.100000000000001" customHeight="1">
      <c r="A83" s="193"/>
      <c r="B83" s="184" t="s">
        <v>3661</v>
      </c>
      <c r="C83" s="784" t="s">
        <v>1876</v>
      </c>
      <c r="D83" s="836" t="s">
        <v>3662</v>
      </c>
      <c r="E83" s="530" t="s">
        <v>3657</v>
      </c>
      <c r="F83" s="530"/>
      <c r="G83" s="531"/>
      <c r="H83" s="532"/>
      <c r="I83" s="532"/>
      <c r="J83" s="389" t="s">
        <v>1369</v>
      </c>
    </row>
    <row r="84" spans="1:10" ht="20.100000000000001" customHeight="1">
      <c r="A84" s="193"/>
      <c r="B84" s="112" t="s">
        <v>3663</v>
      </c>
      <c r="C84" s="756"/>
      <c r="D84" s="756"/>
      <c r="E84" s="530" t="s">
        <v>3660</v>
      </c>
      <c r="F84" s="530"/>
      <c r="G84" s="531"/>
      <c r="H84" s="532"/>
      <c r="I84" s="532"/>
      <c r="J84" s="733" t="s">
        <v>820</v>
      </c>
    </row>
    <row r="85" spans="1:10" ht="20.100000000000001" customHeight="1">
      <c r="A85" s="193"/>
      <c r="B85" s="112"/>
      <c r="C85" s="849" t="s">
        <v>2021</v>
      </c>
      <c r="D85" s="850" t="s">
        <v>3664</v>
      </c>
      <c r="E85" s="530"/>
      <c r="F85" s="530"/>
      <c r="G85" s="531"/>
      <c r="H85" s="532"/>
      <c r="I85" s="532"/>
      <c r="J85" s="196" t="s">
        <v>814</v>
      </c>
    </row>
    <row r="86" spans="1:10" ht="20.100000000000001" customHeight="1">
      <c r="A86" s="193"/>
      <c r="B86" s="112"/>
      <c r="C86" s="757"/>
      <c r="D86" s="757"/>
      <c r="E86" s="530" t="s">
        <v>3665</v>
      </c>
      <c r="F86" s="530"/>
      <c r="G86" s="531"/>
      <c r="H86" s="532"/>
      <c r="I86" s="532"/>
      <c r="J86" s="735" t="s">
        <v>820</v>
      </c>
    </row>
    <row r="87" spans="1:10" ht="20.100000000000001" customHeight="1">
      <c r="B87" s="83"/>
      <c r="C87" s="366"/>
      <c r="D87" s="197"/>
      <c r="E87" s="530" t="s">
        <v>3666</v>
      </c>
      <c r="F87" s="530"/>
      <c r="G87" s="531"/>
      <c r="H87" s="532"/>
      <c r="I87" s="532"/>
      <c r="J87" s="723"/>
    </row>
    <row r="88" spans="1:10" ht="20.100000000000001" customHeight="1">
      <c r="B88" s="83"/>
      <c r="C88" s="366"/>
      <c r="E88" s="530" t="s">
        <v>3667</v>
      </c>
      <c r="F88" s="530"/>
      <c r="G88" s="531"/>
      <c r="H88" s="532"/>
      <c r="I88" s="532"/>
      <c r="J88" s="723"/>
    </row>
    <row r="89" spans="1:10">
      <c r="B89" s="198"/>
      <c r="C89" s="367"/>
      <c r="E89" s="530" t="s">
        <v>3668</v>
      </c>
      <c r="F89" s="530"/>
      <c r="G89" s="531"/>
      <c r="H89" s="532"/>
      <c r="I89" s="532"/>
      <c r="J89" s="46"/>
    </row>
  </sheetData>
  <mergeCells count="27">
    <mergeCell ref="B6:B8"/>
    <mergeCell ref="C3:J3"/>
    <mergeCell ref="C75:C76"/>
    <mergeCell ref="H7:H8"/>
    <mergeCell ref="C6:C8"/>
    <mergeCell ref="J6:J8"/>
    <mergeCell ref="D79:D80"/>
    <mergeCell ref="C83:C84"/>
    <mergeCell ref="D81:D82"/>
    <mergeCell ref="C73:C74"/>
    <mergeCell ref="D83:D84"/>
    <mergeCell ref="E7:E8"/>
    <mergeCell ref="C77:C78"/>
    <mergeCell ref="C81:C82"/>
    <mergeCell ref="G7:G8"/>
    <mergeCell ref="D77:D78"/>
    <mergeCell ref="I7:I8"/>
    <mergeCell ref="C85:C86"/>
    <mergeCell ref="D75:D76"/>
    <mergeCell ref="D6:D8"/>
    <mergeCell ref="E6:I6"/>
    <mergeCell ref="D85:D86"/>
    <mergeCell ref="C79:C80"/>
    <mergeCell ref="C71:C72"/>
    <mergeCell ref="D71:D72"/>
    <mergeCell ref="D73:D74"/>
    <mergeCell ref="F7:F8"/>
  </mergeCells>
  <conditionalFormatting sqref="O10:O89 P10:P89 U10:U89 V10:V89 AA10:AA89 AB10:AB89 AG10:AG89 AH10:AH89 AM10:AM89 AN10:AN89 AS10:AS89 AT10:AT89 AY10:AY89 AZ10:AZ89 BE10:BE89 BF10:BF89 BK10:BK89 BL10:BL89 BQ10:BQ89 BR10:BR89 BW10:BW89 BX10:BX89 CC10:CC89 CD10:CD89 CI10:CI89 CJ10:CJ89 CO10:CO89 CP10:CP89 CU10:CU89 CV10:CV89 DA10:DA89 DB10:DB89 DG10:DG89 DH10:DH89">
    <cfRule type="cellIs" dxfId="46" priority="3" operator="greaterThan">
      <formula>0</formula>
    </cfRule>
    <cfRule type="cellIs" dxfId="45" priority="2" operator="lessThan">
      <formula>0</formula>
    </cfRule>
    <cfRule type="cellIs" dxfId="44" priority="1" operator="equal">
      <formula>0</formula>
    </cfRule>
  </conditionalFormatting>
  <conditionalFormatting sqref="L10:L89 N10:N89 R10:R89 T10:T89 X10:X89 Z10:Z89 AD10:AD89 AF10:AF89 AJ10:AJ89 AL10:AL89 AP10:AP89 AR10:AR89 AV10:AV89 AX10:AX89 BB10:BB89 BD10:BD89 BH10:BH89 BJ10:BJ89 BN10:BN89 BP10:BP89 BT10:BT89 BV10:BV89 BZ10:BZ89 CB10:CB89 CF10:CF89 CH10:CH89 CL10:CL89 CN10:CN89 CR10:CR89 CT10:CT89 CX10:CX89 CZ10:CZ89 DD10:DD89 DF10:DF89">
    <cfRule type="cellIs" dxfId="43" priority="4" operator="equal">
      <formula>0</formula>
    </cfRule>
  </conditionalFormatting>
  <pageMargins left="0.25" right="0.25" top="0.75" bottom="0.75" header="0.3" footer="0.3"/>
  <pageSetup paperSize="9" scale="73" fitToHeight="0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3">
    <tabColor theme="8" tint="0.59999389629810485"/>
    <pageSetUpPr autoPageBreaks="0" fitToPage="1"/>
  </sheetPr>
  <dimension ref="A1:DH60"/>
  <sheetViews>
    <sheetView zoomScale="60" zoomScaleNormal="60" zoomScaleSheetLayoutView="50" workbookViewId="0">
      <pane xSplit="10" ySplit="9" topLeftCell="K10" activePane="bottomRight" state="frozen"/>
      <selection pane="topRight" activeCell="K1" sqref="K1"/>
      <selection pane="bottomLeft" activeCell="A10" sqref="A10"/>
      <selection pane="bottomRight" activeCell="E1" sqref="E1:I1048576"/>
    </sheetView>
  </sheetViews>
  <sheetFormatPr defaultColWidth="8.42578125" defaultRowHeight="18.75" outlineLevelRow="1" outlineLevelCol="1"/>
  <cols>
    <col min="1" max="1" width="9.140625" style="323" hidden="1" customWidth="1" outlineLevel="1"/>
    <col min="2" max="2" width="10.42578125" style="323" hidden="1" customWidth="1" outlineLevel="1"/>
    <col min="3" max="3" width="8.42578125" style="323" customWidth="1" collapsed="1"/>
    <col min="4" max="4" width="73.42578125" style="323" customWidth="1"/>
    <col min="5" max="9" width="32.7109375" style="323" customWidth="1" outlineLevel="1"/>
    <col min="10" max="10" width="12.85546875" style="324" bestFit="1" customWidth="1"/>
    <col min="11" max="11" width="8.42578125" style="323" customWidth="1"/>
    <col min="12" max="112" width="8.42578125" style="621" customWidth="1"/>
    <col min="113" max="16384" width="8.42578125" style="323"/>
  </cols>
  <sheetData>
    <row r="1" spans="2:10" ht="15" customHeight="1"/>
    <row r="2" spans="2:10" ht="15" customHeight="1"/>
    <row r="3" spans="2:10" ht="20.25" customHeight="1">
      <c r="C3" s="846" t="s">
        <v>3669</v>
      </c>
      <c r="D3" s="790"/>
      <c r="E3" s="790"/>
      <c r="F3" s="790"/>
      <c r="G3" s="790"/>
      <c r="H3" s="790"/>
      <c r="I3" s="790"/>
      <c r="J3" s="791"/>
    </row>
    <row r="4" spans="2:10" ht="19.5" customHeight="1"/>
    <row r="5" spans="2:10" ht="19.5" customHeight="1">
      <c r="C5" s="363" t="s">
        <v>3670</v>
      </c>
      <c r="J5" s="730"/>
    </row>
    <row r="6" spans="2:10" ht="20.100000000000001" customHeight="1">
      <c r="B6" s="787" t="s">
        <v>1799</v>
      </c>
      <c r="C6" s="854" t="s">
        <v>2666</v>
      </c>
      <c r="D6" s="853" t="s">
        <v>16</v>
      </c>
      <c r="E6" s="761" t="s">
        <v>17</v>
      </c>
      <c r="F6" s="762"/>
      <c r="G6" s="762"/>
      <c r="H6" s="762"/>
      <c r="I6" s="763"/>
      <c r="J6" s="783" t="s">
        <v>1365</v>
      </c>
    </row>
    <row r="7" spans="2:10" ht="39.950000000000003" customHeight="1">
      <c r="B7" s="790"/>
      <c r="C7" s="756"/>
      <c r="D7" s="756"/>
      <c r="E7" s="741" t="s">
        <v>19</v>
      </c>
      <c r="F7" s="741" t="s">
        <v>20</v>
      </c>
      <c r="G7" s="741" t="s">
        <v>21</v>
      </c>
      <c r="H7" s="741" t="s">
        <v>22</v>
      </c>
      <c r="I7" s="741" t="s">
        <v>23</v>
      </c>
      <c r="J7" s="756"/>
    </row>
    <row r="8" spans="2:10" ht="20.100000000000001" customHeight="1">
      <c r="B8" s="790"/>
      <c r="C8" s="756"/>
      <c r="D8" s="756"/>
      <c r="E8" s="742"/>
      <c r="F8" s="742"/>
      <c r="G8" s="742"/>
      <c r="H8" s="742"/>
      <c r="I8" s="742"/>
      <c r="J8" s="757"/>
    </row>
    <row r="9" spans="2:10" ht="20.100000000000001" hidden="1" customHeight="1">
      <c r="B9" s="610"/>
      <c r="C9" s="649"/>
      <c r="D9" s="657"/>
      <c r="E9" s="391"/>
      <c r="F9" s="391"/>
      <c r="G9" s="391"/>
      <c r="H9" s="391"/>
      <c r="I9" s="391"/>
      <c r="J9" s="657"/>
    </row>
    <row r="10" spans="2:10" s="325" customFormat="1" ht="30" customHeight="1">
      <c r="B10" s="184" t="s">
        <v>3456</v>
      </c>
      <c r="C10" s="25">
        <v>1</v>
      </c>
      <c r="D10" s="200" t="s">
        <v>3671</v>
      </c>
      <c r="E10" s="530" t="s">
        <v>3301</v>
      </c>
      <c r="F10" s="530"/>
      <c r="G10" s="531"/>
      <c r="H10" s="532" t="s">
        <v>3302</v>
      </c>
      <c r="I10" s="532"/>
      <c r="J10" s="647" t="s">
        <v>814</v>
      </c>
    </row>
    <row r="11" spans="2:10" ht="20.100000000000001" customHeight="1">
      <c r="B11" s="112" t="s">
        <v>3461</v>
      </c>
      <c r="C11" s="824" t="s">
        <v>43</v>
      </c>
      <c r="D11" s="780" t="s">
        <v>3672</v>
      </c>
      <c r="E11" s="530">
        <v>100330003</v>
      </c>
      <c r="F11" s="530"/>
      <c r="G11" s="531"/>
      <c r="H11" s="532" t="s">
        <v>3673</v>
      </c>
      <c r="I11" s="532"/>
      <c r="J11" s="657" t="s">
        <v>117</v>
      </c>
    </row>
    <row r="12" spans="2:10" ht="20.100000000000001" customHeight="1">
      <c r="B12" s="112" t="s">
        <v>3465</v>
      </c>
      <c r="C12" s="756"/>
      <c r="D12" s="756"/>
      <c r="E12" s="530">
        <v>100330004</v>
      </c>
      <c r="F12" s="530"/>
      <c r="G12" s="531"/>
      <c r="H12" s="532" t="s">
        <v>3674</v>
      </c>
      <c r="I12" s="532"/>
      <c r="J12" s="720" t="s">
        <v>820</v>
      </c>
    </row>
    <row r="13" spans="2:10" ht="20.100000000000001" customHeight="1">
      <c r="B13" s="184" t="s">
        <v>3468</v>
      </c>
      <c r="C13" s="784" t="s">
        <v>2076</v>
      </c>
      <c r="D13" s="779" t="s">
        <v>3675</v>
      </c>
      <c r="E13" s="530">
        <v>100330661</v>
      </c>
      <c r="F13" s="530"/>
      <c r="G13" s="531"/>
      <c r="H13" s="532"/>
      <c r="I13" s="532"/>
      <c r="J13" s="657" t="s">
        <v>117</v>
      </c>
    </row>
    <row r="14" spans="2:10" ht="40.5" customHeight="1">
      <c r="B14" s="184" t="s">
        <v>3475</v>
      </c>
      <c r="C14" s="756"/>
      <c r="D14" s="756"/>
      <c r="E14" s="530">
        <v>100330662</v>
      </c>
      <c r="F14" s="530"/>
      <c r="G14" s="531"/>
      <c r="H14" s="532"/>
      <c r="I14" s="532"/>
      <c r="J14" s="720" t="s">
        <v>820</v>
      </c>
    </row>
    <row r="15" spans="2:10" ht="20.100000000000001" customHeight="1">
      <c r="B15" s="112" t="s">
        <v>3676</v>
      </c>
      <c r="C15" s="653"/>
      <c r="D15" s="124" t="s">
        <v>804</v>
      </c>
      <c r="E15" s="530"/>
      <c r="F15" s="530"/>
      <c r="G15" s="531"/>
      <c r="H15" s="532"/>
      <c r="I15" s="532"/>
      <c r="J15" s="650"/>
    </row>
    <row r="16" spans="2:10" ht="20.100000000000001" customHeight="1">
      <c r="B16" s="112" t="s">
        <v>3677</v>
      </c>
      <c r="C16" s="784" t="s">
        <v>2113</v>
      </c>
      <c r="D16" s="835" t="s">
        <v>3678</v>
      </c>
      <c r="E16" s="530">
        <v>100330665</v>
      </c>
      <c r="F16" s="530"/>
      <c r="G16" s="531"/>
      <c r="H16" s="532"/>
      <c r="I16" s="532"/>
      <c r="J16" s="657" t="s">
        <v>117</v>
      </c>
    </row>
    <row r="17" spans="2:10" ht="20.100000000000001" customHeight="1">
      <c r="B17" s="184" t="s">
        <v>3679</v>
      </c>
      <c r="C17" s="756"/>
      <c r="D17" s="756"/>
      <c r="E17" s="530">
        <v>100330666</v>
      </c>
      <c r="F17" s="530"/>
      <c r="G17" s="531"/>
      <c r="H17" s="532"/>
      <c r="I17" s="532"/>
      <c r="J17" s="720" t="s">
        <v>820</v>
      </c>
    </row>
    <row r="18" spans="2:10" ht="20.100000000000001" customHeight="1">
      <c r="B18" s="184" t="s">
        <v>3680</v>
      </c>
      <c r="C18" s="784" t="s">
        <v>1440</v>
      </c>
      <c r="D18" s="835" t="s">
        <v>3681</v>
      </c>
      <c r="E18" s="530">
        <v>100330663</v>
      </c>
      <c r="F18" s="530"/>
      <c r="G18" s="531"/>
      <c r="H18" s="532"/>
      <c r="I18" s="532"/>
      <c r="J18" s="657" t="s">
        <v>117</v>
      </c>
    </row>
    <row r="19" spans="2:10" ht="20.100000000000001" customHeight="1">
      <c r="B19" s="112" t="s">
        <v>3682</v>
      </c>
      <c r="C19" s="756"/>
      <c r="D19" s="756"/>
      <c r="E19" s="530">
        <v>100330664</v>
      </c>
      <c r="F19" s="530"/>
      <c r="G19" s="531"/>
      <c r="H19" s="532"/>
      <c r="I19" s="532"/>
      <c r="J19" s="720" t="s">
        <v>820</v>
      </c>
    </row>
    <row r="20" spans="2:10" ht="20.100000000000001" customHeight="1">
      <c r="B20" s="112" t="s">
        <v>3683</v>
      </c>
      <c r="C20" s="784" t="s">
        <v>3684</v>
      </c>
      <c r="D20" s="835" t="s">
        <v>3685</v>
      </c>
      <c r="E20" s="530">
        <v>100330667</v>
      </c>
      <c r="F20" s="530"/>
      <c r="G20" s="531"/>
      <c r="H20" s="532"/>
      <c r="I20" s="532"/>
      <c r="J20" s="657" t="s">
        <v>117</v>
      </c>
    </row>
    <row r="21" spans="2:10" ht="20.100000000000001" customHeight="1">
      <c r="B21" s="184" t="s">
        <v>3686</v>
      </c>
      <c r="C21" s="756"/>
      <c r="D21" s="756"/>
      <c r="E21" s="530">
        <v>100330668</v>
      </c>
      <c r="F21" s="530"/>
      <c r="G21" s="531"/>
      <c r="H21" s="532"/>
      <c r="I21" s="532"/>
      <c r="J21" s="720" t="s">
        <v>820</v>
      </c>
    </row>
    <row r="22" spans="2:10" ht="19.5" customHeight="1">
      <c r="B22" s="184" t="s">
        <v>3687</v>
      </c>
      <c r="C22" s="784" t="s">
        <v>3688</v>
      </c>
      <c r="D22" s="769" t="s">
        <v>3689</v>
      </c>
      <c r="E22" s="530">
        <v>100330868</v>
      </c>
      <c r="F22" s="530"/>
      <c r="G22" s="531"/>
      <c r="H22" s="532" t="s">
        <v>3690</v>
      </c>
      <c r="I22" s="532"/>
      <c r="J22" s="650" t="s">
        <v>117</v>
      </c>
    </row>
    <row r="23" spans="2:10" ht="20.100000000000001" customHeight="1">
      <c r="B23" s="112" t="s">
        <v>3691</v>
      </c>
      <c r="C23" s="756"/>
      <c r="D23" s="790"/>
      <c r="E23" s="530">
        <v>100330869</v>
      </c>
      <c r="F23" s="530"/>
      <c r="G23" s="531"/>
      <c r="H23" s="532" t="s">
        <v>3692</v>
      </c>
      <c r="I23" s="532"/>
      <c r="J23" s="720" t="s">
        <v>820</v>
      </c>
    </row>
    <row r="24" spans="2:10" ht="20.100000000000001" customHeight="1">
      <c r="B24" s="112" t="s">
        <v>3693</v>
      </c>
      <c r="C24" s="655" t="s">
        <v>53</v>
      </c>
      <c r="D24" s="616" t="s">
        <v>3694</v>
      </c>
      <c r="E24" s="530">
        <v>100330669</v>
      </c>
      <c r="F24" s="530"/>
      <c r="G24" s="531"/>
      <c r="H24" s="532" t="s">
        <v>3695</v>
      </c>
      <c r="I24" s="532"/>
      <c r="J24" s="657" t="s">
        <v>814</v>
      </c>
    </row>
    <row r="25" spans="2:10" ht="37.5" customHeight="1">
      <c r="B25" s="184" t="s">
        <v>3696</v>
      </c>
      <c r="C25" s="653" t="s">
        <v>2145</v>
      </c>
      <c r="D25" s="639" t="s">
        <v>3697</v>
      </c>
      <c r="E25" s="530">
        <v>100330670</v>
      </c>
      <c r="F25" s="530"/>
      <c r="G25" s="531"/>
      <c r="H25" s="532" t="s">
        <v>3698</v>
      </c>
      <c r="I25" s="532"/>
      <c r="J25" s="657" t="s">
        <v>814</v>
      </c>
    </row>
    <row r="26" spans="2:10" ht="20.100000000000001" customHeight="1">
      <c r="B26" s="184" t="s">
        <v>3699</v>
      </c>
      <c r="C26" s="653"/>
      <c r="D26" s="644" t="s">
        <v>3700</v>
      </c>
      <c r="E26" s="530">
        <v>100330870</v>
      </c>
      <c r="F26" s="530"/>
      <c r="G26" s="531"/>
      <c r="H26" s="532"/>
      <c r="I26" s="532"/>
      <c r="J26" s="657" t="s">
        <v>814</v>
      </c>
    </row>
    <row r="27" spans="2:10" ht="20.100000000000001" customHeight="1">
      <c r="B27" s="112" t="s">
        <v>3701</v>
      </c>
      <c r="C27" s="653"/>
      <c r="D27" s="615" t="s">
        <v>3702</v>
      </c>
      <c r="E27" s="530">
        <v>100330871</v>
      </c>
      <c r="F27" s="530"/>
      <c r="G27" s="531"/>
      <c r="H27" s="532"/>
      <c r="I27" s="532"/>
      <c r="J27" s="657" t="s">
        <v>814</v>
      </c>
    </row>
    <row r="28" spans="2:10" ht="20.100000000000001" customHeight="1">
      <c r="B28" s="112" t="s">
        <v>3703</v>
      </c>
      <c r="C28" s="653" t="s">
        <v>2151</v>
      </c>
      <c r="D28" s="639" t="s">
        <v>3704</v>
      </c>
      <c r="E28" s="530">
        <v>100330673</v>
      </c>
      <c r="F28" s="530"/>
      <c r="G28" s="531"/>
      <c r="H28" s="532" t="s">
        <v>3705</v>
      </c>
      <c r="I28" s="532"/>
      <c r="J28" s="657" t="s">
        <v>814</v>
      </c>
    </row>
    <row r="29" spans="2:10" ht="20.100000000000001" customHeight="1">
      <c r="B29" s="184" t="s">
        <v>3706</v>
      </c>
      <c r="C29" s="653"/>
      <c r="D29" s="644" t="s">
        <v>3707</v>
      </c>
      <c r="E29" s="530">
        <v>100330671</v>
      </c>
      <c r="F29" s="530"/>
      <c r="G29" s="531"/>
      <c r="H29" s="532"/>
      <c r="I29" s="532"/>
      <c r="J29" s="657" t="s">
        <v>814</v>
      </c>
    </row>
    <row r="30" spans="2:10" ht="20.100000000000001" customHeight="1">
      <c r="B30" s="184" t="s">
        <v>3708</v>
      </c>
      <c r="C30" s="653"/>
      <c r="D30" s="615" t="s">
        <v>3709</v>
      </c>
      <c r="E30" s="530">
        <v>100330672</v>
      </c>
      <c r="F30" s="530"/>
      <c r="G30" s="531"/>
      <c r="H30" s="532"/>
      <c r="I30" s="532"/>
      <c r="J30" s="657" t="s">
        <v>814</v>
      </c>
    </row>
    <row r="31" spans="2:10" ht="20.100000000000001" customHeight="1">
      <c r="B31" s="112" t="s">
        <v>3710</v>
      </c>
      <c r="C31" s="653"/>
      <c r="D31" s="124" t="s">
        <v>804</v>
      </c>
      <c r="E31" s="530"/>
      <c r="F31" s="530"/>
      <c r="G31" s="531"/>
      <c r="H31" s="532"/>
      <c r="I31" s="532"/>
      <c r="J31" s="657"/>
    </row>
    <row r="32" spans="2:10" ht="29.25" customHeight="1" outlineLevel="1">
      <c r="B32" s="112" t="s">
        <v>3711</v>
      </c>
      <c r="C32" s="660">
        <v>2</v>
      </c>
      <c r="D32" s="124" t="s">
        <v>3712</v>
      </c>
      <c r="E32" s="530">
        <v>100330674</v>
      </c>
      <c r="F32" s="530"/>
      <c r="G32" s="531"/>
      <c r="H32" s="532" t="s">
        <v>3713</v>
      </c>
      <c r="I32" s="532"/>
      <c r="J32" s="657" t="s">
        <v>814</v>
      </c>
    </row>
    <row r="33" spans="1:10" ht="37.5" customHeight="1" outlineLevel="1">
      <c r="B33" s="184" t="s">
        <v>3714</v>
      </c>
      <c r="C33" s="657"/>
      <c r="D33" s="201" t="s">
        <v>3715</v>
      </c>
      <c r="E33" s="530">
        <v>100330675</v>
      </c>
      <c r="F33" s="530"/>
      <c r="G33" s="531"/>
      <c r="H33" s="532" t="s">
        <v>3716</v>
      </c>
      <c r="I33" s="532"/>
      <c r="J33" s="657" t="s">
        <v>814</v>
      </c>
    </row>
    <row r="34" spans="1:10" ht="20.100000000000001" customHeight="1" outlineLevel="1">
      <c r="B34" s="184" t="s">
        <v>3717</v>
      </c>
      <c r="C34" s="653"/>
      <c r="D34" s="641" t="s">
        <v>3718</v>
      </c>
      <c r="E34" s="530">
        <v>100330872</v>
      </c>
      <c r="F34" s="530"/>
      <c r="G34" s="531"/>
      <c r="H34" s="532"/>
      <c r="I34" s="532"/>
      <c r="J34" s="657" t="s">
        <v>814</v>
      </c>
    </row>
    <row r="35" spans="1:10" ht="20.100000000000001" customHeight="1" outlineLevel="1">
      <c r="B35" s="112" t="s">
        <v>3719</v>
      </c>
      <c r="C35" s="653"/>
      <c r="D35" s="637" t="s">
        <v>3720</v>
      </c>
      <c r="E35" s="530">
        <v>100330873</v>
      </c>
      <c r="F35" s="530"/>
      <c r="G35" s="531"/>
      <c r="H35" s="532"/>
      <c r="I35" s="532"/>
      <c r="J35" s="657" t="s">
        <v>814</v>
      </c>
    </row>
    <row r="36" spans="1:10" ht="37.5" customHeight="1" outlineLevel="1">
      <c r="B36" s="112" t="s">
        <v>3721</v>
      </c>
      <c r="C36" s="657"/>
      <c r="D36" s="201" t="s">
        <v>3722</v>
      </c>
      <c r="E36" s="530">
        <v>100330676</v>
      </c>
      <c r="F36" s="530"/>
      <c r="G36" s="531"/>
      <c r="H36" s="532"/>
      <c r="I36" s="532"/>
      <c r="J36" s="657" t="s">
        <v>814</v>
      </c>
    </row>
    <row r="37" spans="1:10" ht="22.5" customHeight="1">
      <c r="B37" s="184" t="s">
        <v>3723</v>
      </c>
      <c r="C37" s="660">
        <v>3</v>
      </c>
      <c r="D37" s="616" t="s">
        <v>3724</v>
      </c>
      <c r="E37" s="530">
        <v>100330049</v>
      </c>
      <c r="F37" s="530"/>
      <c r="G37" s="531"/>
      <c r="H37" s="532" t="s">
        <v>3725</v>
      </c>
      <c r="I37" s="532"/>
      <c r="J37" s="657" t="s">
        <v>814</v>
      </c>
    </row>
    <row r="38" spans="1:10" ht="39" customHeight="1">
      <c r="B38" s="184" t="s">
        <v>3726</v>
      </c>
      <c r="C38" s="655" t="s">
        <v>90</v>
      </c>
      <c r="D38" s="616" t="s">
        <v>3727</v>
      </c>
      <c r="E38" s="530">
        <v>100330874</v>
      </c>
      <c r="F38" s="530"/>
      <c r="G38" s="531"/>
      <c r="H38" s="532" t="s">
        <v>3728</v>
      </c>
      <c r="I38" s="532"/>
      <c r="J38" s="657" t="s">
        <v>814</v>
      </c>
    </row>
    <row r="39" spans="1:10" ht="20.100000000000001" customHeight="1">
      <c r="B39" s="112" t="s">
        <v>3729</v>
      </c>
      <c r="C39" s="653"/>
      <c r="D39" s="644" t="s">
        <v>3700</v>
      </c>
      <c r="E39" s="530">
        <v>100330875</v>
      </c>
      <c r="F39" s="530"/>
      <c r="G39" s="531"/>
      <c r="H39" s="532" t="s">
        <v>3730</v>
      </c>
      <c r="I39" s="532"/>
      <c r="J39" s="657" t="s">
        <v>814</v>
      </c>
    </row>
    <row r="40" spans="1:10" ht="20.100000000000001" customHeight="1">
      <c r="B40" s="112" t="s">
        <v>3731</v>
      </c>
      <c r="C40" s="653"/>
      <c r="D40" s="615" t="s">
        <v>3702</v>
      </c>
      <c r="E40" s="530">
        <v>100330876</v>
      </c>
      <c r="F40" s="530"/>
      <c r="G40" s="531"/>
      <c r="H40" s="532" t="s">
        <v>3732</v>
      </c>
      <c r="I40" s="532"/>
      <c r="J40" s="657" t="s">
        <v>814</v>
      </c>
    </row>
    <row r="41" spans="1:10" ht="39" customHeight="1">
      <c r="B41" s="184" t="s">
        <v>3733</v>
      </c>
      <c r="C41" s="655" t="s">
        <v>91</v>
      </c>
      <c r="D41" s="656" t="s">
        <v>3734</v>
      </c>
      <c r="E41" s="530">
        <v>100330677</v>
      </c>
      <c r="F41" s="530"/>
      <c r="G41" s="531"/>
      <c r="H41" s="532" t="s">
        <v>3735</v>
      </c>
      <c r="I41" s="532"/>
      <c r="J41" s="657" t="s">
        <v>814</v>
      </c>
    </row>
    <row r="42" spans="1:10" ht="19.5" customHeight="1">
      <c r="B42" s="184" t="s">
        <v>3736</v>
      </c>
      <c r="C42" s="655" t="s">
        <v>2379</v>
      </c>
      <c r="D42" s="616" t="s">
        <v>3737</v>
      </c>
      <c r="E42" s="530">
        <v>100335068</v>
      </c>
      <c r="F42" s="530"/>
      <c r="G42" s="531"/>
      <c r="H42" s="532"/>
      <c r="I42" s="532"/>
      <c r="J42" s="657" t="s">
        <v>814</v>
      </c>
    </row>
    <row r="43" spans="1:10" ht="20.100000000000001" customHeight="1">
      <c r="B43" s="112" t="s">
        <v>3738</v>
      </c>
      <c r="C43" s="653"/>
      <c r="D43" s="201" t="s">
        <v>804</v>
      </c>
      <c r="E43" s="530"/>
      <c r="F43" s="530"/>
      <c r="G43" s="531"/>
      <c r="H43" s="532"/>
      <c r="I43" s="532"/>
      <c r="J43" s="657"/>
    </row>
    <row r="44" spans="1:10" s="30" customFormat="1" ht="19.5" customHeight="1">
      <c r="A44" s="178" t="s">
        <v>3507</v>
      </c>
      <c r="B44" s="112" t="s">
        <v>3739</v>
      </c>
      <c r="C44" s="653"/>
      <c r="D44" s="641" t="s">
        <v>3740</v>
      </c>
      <c r="E44" s="530">
        <v>100330878</v>
      </c>
      <c r="F44" s="530"/>
      <c r="G44" s="531"/>
      <c r="H44" s="532"/>
      <c r="I44" s="532"/>
      <c r="J44" s="657" t="s">
        <v>814</v>
      </c>
    </row>
    <row r="45" spans="1:10" s="30" customFormat="1" ht="20.100000000000001" customHeight="1">
      <c r="B45" s="184" t="s">
        <v>3741</v>
      </c>
      <c r="C45" s="653"/>
      <c r="D45" s="33" t="s">
        <v>3742</v>
      </c>
      <c r="E45" s="530">
        <v>100330879</v>
      </c>
      <c r="F45" s="530"/>
      <c r="G45" s="531"/>
      <c r="H45" s="532"/>
      <c r="I45" s="532"/>
      <c r="J45" s="657" t="s">
        <v>814</v>
      </c>
    </row>
    <row r="46" spans="1:10" ht="19.5" customHeight="1">
      <c r="B46" s="184" t="s">
        <v>3743</v>
      </c>
      <c r="C46" s="655" t="s">
        <v>2388</v>
      </c>
      <c r="D46" s="604" t="s">
        <v>3744</v>
      </c>
      <c r="E46" s="530">
        <v>100330683</v>
      </c>
      <c r="F46" s="530"/>
      <c r="G46" s="531"/>
      <c r="H46" s="532"/>
      <c r="I46" s="532"/>
      <c r="J46" s="657" t="s">
        <v>814</v>
      </c>
    </row>
    <row r="47" spans="1:10" ht="20.100000000000001" customHeight="1">
      <c r="B47" s="112" t="s">
        <v>3745</v>
      </c>
      <c r="C47" s="653"/>
      <c r="D47" s="202" t="s">
        <v>804</v>
      </c>
      <c r="E47" s="530"/>
      <c r="F47" s="530"/>
      <c r="G47" s="531"/>
      <c r="H47" s="532"/>
      <c r="I47" s="532"/>
      <c r="J47" s="203"/>
    </row>
    <row r="48" spans="1:10" ht="20.100000000000001" customHeight="1">
      <c r="A48" s="192" t="s">
        <v>3507</v>
      </c>
      <c r="B48" s="112" t="s">
        <v>3746</v>
      </c>
      <c r="C48" s="653"/>
      <c r="D48" s="33" t="s">
        <v>3747</v>
      </c>
      <c r="E48" s="530">
        <v>100330684</v>
      </c>
      <c r="F48" s="530"/>
      <c r="G48" s="531"/>
      <c r="H48" s="532"/>
      <c r="I48" s="532"/>
      <c r="J48" s="657" t="s">
        <v>814</v>
      </c>
    </row>
    <row r="49" spans="2:10" ht="20.100000000000001" customHeight="1">
      <c r="B49" s="184" t="s">
        <v>3748</v>
      </c>
      <c r="C49" s="824" t="s">
        <v>2403</v>
      </c>
      <c r="D49" s="852" t="s">
        <v>3749</v>
      </c>
      <c r="E49" s="530">
        <v>100330679</v>
      </c>
      <c r="F49" s="530"/>
      <c r="G49" s="531"/>
      <c r="H49" s="532"/>
      <c r="I49" s="532"/>
      <c r="J49" s="657" t="s">
        <v>117</v>
      </c>
    </row>
    <row r="50" spans="2:10" ht="20.100000000000001" customHeight="1">
      <c r="B50" s="184" t="s">
        <v>3750</v>
      </c>
      <c r="C50" s="756"/>
      <c r="D50" s="756"/>
      <c r="E50" s="530">
        <v>100330680</v>
      </c>
      <c r="F50" s="530"/>
      <c r="G50" s="531"/>
      <c r="H50" s="532"/>
      <c r="I50" s="532"/>
      <c r="J50" s="720" t="s">
        <v>820</v>
      </c>
    </row>
    <row r="51" spans="2:10" ht="30" customHeight="1" outlineLevel="1">
      <c r="B51" s="112" t="s">
        <v>3751</v>
      </c>
      <c r="C51" s="654" t="s">
        <v>2753</v>
      </c>
      <c r="D51" s="204" t="s">
        <v>2623</v>
      </c>
      <c r="E51" s="530">
        <v>100330143</v>
      </c>
      <c r="F51" s="530"/>
      <c r="G51" s="531"/>
      <c r="H51" s="532" t="s">
        <v>3752</v>
      </c>
      <c r="I51" s="532"/>
      <c r="J51" s="668" t="s">
        <v>814</v>
      </c>
    </row>
    <row r="52" spans="2:10">
      <c r="C52" s="205"/>
    </row>
    <row r="53" spans="2:10">
      <c r="C53" s="84"/>
      <c r="D53" s="138" t="s">
        <v>3416</v>
      </c>
      <c r="E53" s="138"/>
      <c r="F53" s="138"/>
      <c r="G53" s="138"/>
      <c r="H53" s="138"/>
      <c r="I53" s="138"/>
    </row>
    <row r="54" spans="2:10">
      <c r="B54" s="83"/>
      <c r="C54" s="39"/>
      <c r="D54" s="138"/>
      <c r="E54" s="138"/>
      <c r="F54" s="138"/>
      <c r="G54" s="138"/>
      <c r="H54" s="138"/>
      <c r="I54" s="138"/>
    </row>
    <row r="55" spans="2:10" ht="18.75" customHeight="1"/>
    <row r="56" spans="2:10" ht="18.75" customHeight="1"/>
    <row r="57" spans="2:10">
      <c r="C57" s="205"/>
    </row>
    <row r="58" spans="2:10">
      <c r="C58" s="205"/>
    </row>
    <row r="60" spans="2:10">
      <c r="D60" s="133" t="s">
        <v>3753</v>
      </c>
      <c r="E60" s="377"/>
      <c r="F60" s="534"/>
      <c r="G60" s="534"/>
      <c r="H60" s="377"/>
      <c r="I60" s="534"/>
      <c r="J60" s="134"/>
    </row>
  </sheetData>
  <mergeCells count="25">
    <mergeCell ref="B6:B8"/>
    <mergeCell ref="C3:J3"/>
    <mergeCell ref="C11:C12"/>
    <mergeCell ref="H7:H8"/>
    <mergeCell ref="C6:C8"/>
    <mergeCell ref="J6:J8"/>
    <mergeCell ref="C18:C19"/>
    <mergeCell ref="C49:C50"/>
    <mergeCell ref="C20:C21"/>
    <mergeCell ref="C22:C23"/>
    <mergeCell ref="E7:E8"/>
    <mergeCell ref="D20:D21"/>
    <mergeCell ref="C13:C14"/>
    <mergeCell ref="D22:D23"/>
    <mergeCell ref="D49:D50"/>
    <mergeCell ref="G7:G8"/>
    <mergeCell ref="D11:D12"/>
    <mergeCell ref="I7:I8"/>
    <mergeCell ref="D6:D8"/>
    <mergeCell ref="E6:I6"/>
    <mergeCell ref="C16:C17"/>
    <mergeCell ref="D13:D14"/>
    <mergeCell ref="D16:D17"/>
    <mergeCell ref="D18:D19"/>
    <mergeCell ref="F7:F8"/>
  </mergeCells>
  <conditionalFormatting sqref="O10:O51 P10:P51 U10:U51 V10:V51 AA10:AA51 AB10:AB51 AG10:AG51 AH10:AH51 AM10:AM51 AN10:AN51 AS10:AS51 AT10:AT51 AY10:AY51 AZ10:AZ51 BE10:BE51 BF10:BF51 BK10:BK51 BL10:BL51 BQ10:BQ51 BR10:BR51 BW10:BW51 BX10:BX51 CC10:CC51 CD10:CD51 CI10:CI51 CJ10:CJ51 CO10:CO51 CP10:CP51 CU10:CU51 CV10:CV51 DA10:DA51 DB10:DB51 DG10:DG51 DH10:DH51">
    <cfRule type="cellIs" dxfId="42" priority="3" operator="greaterThan">
      <formula>0</formula>
    </cfRule>
    <cfRule type="cellIs" dxfId="41" priority="2" operator="lessThan">
      <formula>0</formula>
    </cfRule>
    <cfRule type="cellIs" dxfId="40" priority="1" operator="equal">
      <formula>0</formula>
    </cfRule>
  </conditionalFormatting>
  <conditionalFormatting sqref="L10:L51 N10:N51 R10:R51 T10:T51 X10:X51 Z10:Z51 AD10:AD51 AF10:AF51 AJ10:AJ51 AL10:AL51 AP10:AP51 AR10:AR51 AV10:AV51 AX10:AX51 BB10:BB51 BD10:BD51 BH10:BH51 BJ10:BJ51 BN10:BN51 BP10:BP51 BT10:BT51 BV10:BV51 BZ10:BZ51 CB10:CB51 CF10:CF51 CH10:CH51 CL10:CL51 CN10:CN51 CR10:CR51 CT10:CT51 CX10:CX51 CZ10:CZ51 DD10:DD51 DF10:DF51">
    <cfRule type="cellIs" dxfId="39" priority="4" operator="equal">
      <formula>0</formula>
    </cfRule>
  </conditionalFormatting>
  <pageMargins left="0.7" right="0.7" top="0.75" bottom="0.75" header="0.3" footer="0.3"/>
  <pageSetup paperSize="9" scale="69" fitToHeight="0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4">
    <tabColor theme="8" tint="0.59999389629810485"/>
    <pageSetUpPr fitToPage="1"/>
  </sheetPr>
  <dimension ref="A1:DH67"/>
  <sheetViews>
    <sheetView topLeftCell="C1" zoomScale="60" zoomScaleNormal="60" workbookViewId="0">
      <pane xSplit="8" ySplit="10" topLeftCell="K11" activePane="bottomRight" state="frozen"/>
      <selection activeCell="C1" sqref="C1"/>
      <selection pane="topRight" activeCell="K1" sqref="K1"/>
      <selection pane="bottomLeft" activeCell="C11" sqref="C11"/>
      <selection pane="bottomRight" activeCell="E1" sqref="E1:I1048576"/>
    </sheetView>
  </sheetViews>
  <sheetFormatPr defaultColWidth="8.42578125" defaultRowHeight="19.5" outlineLevelRow="1" outlineLevelCol="1"/>
  <cols>
    <col min="1" max="1" width="37.7109375" style="178" hidden="1" customWidth="1" outlineLevel="1"/>
    <col min="2" max="2" width="10.28515625" style="323" hidden="1" customWidth="1" outlineLevel="1"/>
    <col min="3" max="3" width="12.140625" style="84" bestFit="1" customWidth="1" collapsed="1"/>
    <col min="4" max="4" width="80.5703125" style="323" customWidth="1"/>
    <col min="5" max="9" width="21.85546875" style="323" customWidth="1" outlineLevel="1"/>
    <col min="10" max="10" width="12.85546875" style="324" bestFit="1" customWidth="1"/>
    <col min="11" max="11" width="8.42578125" style="323" customWidth="1"/>
    <col min="12" max="112" width="8.42578125" style="621" customWidth="1"/>
    <col min="113" max="16384" width="8.42578125" style="323"/>
  </cols>
  <sheetData>
    <row r="1" spans="1:10" ht="15" customHeight="1"/>
    <row r="2" spans="1:10" ht="15" customHeight="1"/>
    <row r="3" spans="1:10" ht="20.25" customHeight="1">
      <c r="C3" s="856" t="s">
        <v>3754</v>
      </c>
      <c r="D3" s="790"/>
      <c r="E3" s="790"/>
      <c r="F3" s="790"/>
      <c r="G3" s="790"/>
      <c r="H3" s="790"/>
      <c r="I3" s="790"/>
      <c r="J3" s="791"/>
    </row>
    <row r="4" spans="1:10" ht="50.25" customHeight="1"/>
    <row r="5" spans="1:10" ht="15" customHeight="1"/>
    <row r="6" spans="1:10" ht="19.5" customHeight="1">
      <c r="C6" s="363" t="s">
        <v>3755</v>
      </c>
    </row>
    <row r="7" spans="1:10" ht="20.100000000000001" customHeight="1">
      <c r="B7" s="787" t="s">
        <v>1799</v>
      </c>
      <c r="C7" s="854" t="s">
        <v>2666</v>
      </c>
      <c r="D7" s="853" t="s">
        <v>16</v>
      </c>
      <c r="E7" s="761" t="s">
        <v>17</v>
      </c>
      <c r="F7" s="762"/>
      <c r="G7" s="762"/>
      <c r="H7" s="762"/>
      <c r="I7" s="763"/>
      <c r="J7" s="783" t="s">
        <v>1365</v>
      </c>
    </row>
    <row r="8" spans="1:10" ht="39.950000000000003" customHeight="1">
      <c r="B8" s="790"/>
      <c r="C8" s="756"/>
      <c r="D8" s="756"/>
      <c r="E8" s="741" t="s">
        <v>19</v>
      </c>
      <c r="F8" s="741" t="s">
        <v>20</v>
      </c>
      <c r="G8" s="741" t="s">
        <v>21</v>
      </c>
      <c r="H8" s="741" t="s">
        <v>22</v>
      </c>
      <c r="I8" s="741" t="s">
        <v>23</v>
      </c>
      <c r="J8" s="756"/>
    </row>
    <row r="9" spans="1:10" ht="20.100000000000001" customHeight="1">
      <c r="B9" s="790"/>
      <c r="C9" s="756"/>
      <c r="D9" s="756"/>
      <c r="E9" s="742"/>
      <c r="F9" s="742"/>
      <c r="G9" s="742"/>
      <c r="H9" s="742"/>
      <c r="I9" s="742"/>
      <c r="J9" s="757"/>
    </row>
    <row r="10" spans="1:10" ht="20.100000000000001" hidden="1" customHeight="1">
      <c r="B10" s="610"/>
      <c r="C10" s="649"/>
      <c r="D10" s="657"/>
      <c r="E10" s="391"/>
      <c r="F10" s="391"/>
      <c r="G10" s="391"/>
      <c r="H10" s="391"/>
      <c r="I10" s="391"/>
      <c r="J10" s="206"/>
    </row>
    <row r="11" spans="1:10" ht="20.100000000000001" customHeight="1">
      <c r="A11" s="49" t="s">
        <v>3756</v>
      </c>
      <c r="B11" s="65" t="s">
        <v>3757</v>
      </c>
      <c r="C11" s="66" t="s">
        <v>1370</v>
      </c>
      <c r="D11" s="200" t="s">
        <v>3756</v>
      </c>
      <c r="E11" s="530" t="s">
        <v>3301</v>
      </c>
      <c r="F11" s="530"/>
      <c r="G11" s="531"/>
      <c r="H11" s="532" t="s">
        <v>3302</v>
      </c>
      <c r="I11" s="532"/>
      <c r="J11" s="382" t="s">
        <v>814</v>
      </c>
    </row>
    <row r="12" spans="1:10" ht="20.100000000000001" customHeight="1">
      <c r="A12" s="148" t="s">
        <v>3758</v>
      </c>
      <c r="B12" s="65" t="s">
        <v>3759</v>
      </c>
      <c r="C12" s="69"/>
      <c r="D12" s="644" t="s">
        <v>3758</v>
      </c>
      <c r="E12" s="530">
        <v>100330713</v>
      </c>
      <c r="F12" s="530"/>
      <c r="G12" s="531"/>
      <c r="H12" s="532" t="s">
        <v>3760</v>
      </c>
      <c r="I12" s="532"/>
      <c r="J12" s="206" t="s">
        <v>814</v>
      </c>
    </row>
    <row r="13" spans="1:10" ht="20.100000000000001" customHeight="1">
      <c r="A13" s="148" t="s">
        <v>3761</v>
      </c>
      <c r="B13" s="65" t="s">
        <v>3762</v>
      </c>
      <c r="C13" s="69"/>
      <c r="D13" s="644" t="s">
        <v>3761</v>
      </c>
      <c r="E13" s="530">
        <v>100330714</v>
      </c>
      <c r="F13" s="530"/>
      <c r="G13" s="531"/>
      <c r="H13" s="532" t="s">
        <v>3763</v>
      </c>
      <c r="I13" s="532"/>
      <c r="J13" s="206" t="s">
        <v>814</v>
      </c>
    </row>
    <row r="14" spans="1:10" ht="20.100000000000001" customHeight="1">
      <c r="A14" s="148" t="s">
        <v>3764</v>
      </c>
      <c r="B14" s="65" t="s">
        <v>3765</v>
      </c>
      <c r="C14" s="69" t="s">
        <v>43</v>
      </c>
      <c r="D14" s="616" t="s">
        <v>3766</v>
      </c>
      <c r="E14" s="530">
        <v>100330015</v>
      </c>
      <c r="F14" s="530"/>
      <c r="G14" s="531"/>
      <c r="H14" s="532" t="s">
        <v>3767</v>
      </c>
      <c r="I14" s="532"/>
      <c r="J14" s="206" t="s">
        <v>814</v>
      </c>
    </row>
    <row r="15" spans="1:10" ht="20.100000000000001" customHeight="1">
      <c r="A15" s="144" t="s">
        <v>3768</v>
      </c>
      <c r="B15" s="65" t="s">
        <v>3769</v>
      </c>
      <c r="C15" s="69"/>
      <c r="D15" s="644" t="s">
        <v>3770</v>
      </c>
      <c r="E15" s="530">
        <v>100330715</v>
      </c>
      <c r="F15" s="530"/>
      <c r="G15" s="531"/>
      <c r="H15" s="532" t="s">
        <v>3771</v>
      </c>
      <c r="I15" s="532"/>
      <c r="J15" s="206" t="s">
        <v>814</v>
      </c>
    </row>
    <row r="16" spans="1:10" ht="19.5" customHeight="1">
      <c r="A16" s="207" t="s">
        <v>3772</v>
      </c>
      <c r="B16" s="65" t="s">
        <v>3773</v>
      </c>
      <c r="C16" s="69"/>
      <c r="D16" s="612" t="s">
        <v>3772</v>
      </c>
      <c r="E16" s="530">
        <v>100330716</v>
      </c>
      <c r="F16" s="530"/>
      <c r="G16" s="531"/>
      <c r="H16" s="532"/>
      <c r="I16" s="532"/>
      <c r="J16" s="206" t="s">
        <v>814</v>
      </c>
    </row>
    <row r="17" spans="1:10" ht="19.5" customHeight="1">
      <c r="A17" s="144" t="s">
        <v>3774</v>
      </c>
      <c r="B17" s="65" t="s">
        <v>3775</v>
      </c>
      <c r="C17" s="69"/>
      <c r="D17" s="644" t="s">
        <v>3774</v>
      </c>
      <c r="E17" s="530">
        <v>100330717</v>
      </c>
      <c r="F17" s="530"/>
      <c r="G17" s="531"/>
      <c r="H17" s="532" t="s">
        <v>3776</v>
      </c>
      <c r="I17" s="532"/>
      <c r="J17" s="206" t="s">
        <v>814</v>
      </c>
    </row>
    <row r="18" spans="1:10" ht="19.5" customHeight="1">
      <c r="A18" s="207" t="s">
        <v>3777</v>
      </c>
      <c r="B18" s="65" t="s">
        <v>3778</v>
      </c>
      <c r="C18" s="69"/>
      <c r="D18" s="612" t="s">
        <v>3777</v>
      </c>
      <c r="E18" s="530">
        <v>100330718</v>
      </c>
      <c r="F18" s="530"/>
      <c r="G18" s="531"/>
      <c r="H18" s="532"/>
      <c r="I18" s="532"/>
      <c r="J18" s="206" t="s">
        <v>814</v>
      </c>
    </row>
    <row r="19" spans="1:10" ht="19.5" customHeight="1">
      <c r="A19" s="207" t="s">
        <v>216</v>
      </c>
      <c r="B19" s="65" t="s">
        <v>3779</v>
      </c>
      <c r="C19" s="69"/>
      <c r="D19" s="208" t="s">
        <v>216</v>
      </c>
      <c r="E19" s="530">
        <v>100330719</v>
      </c>
      <c r="F19" s="530"/>
      <c r="G19" s="531"/>
      <c r="H19" s="532"/>
      <c r="I19" s="532"/>
      <c r="J19" s="206" t="s">
        <v>100</v>
      </c>
    </row>
    <row r="20" spans="1:10" ht="20.100000000000001" customHeight="1">
      <c r="A20" s="207" t="s">
        <v>3780</v>
      </c>
      <c r="B20" s="65"/>
      <c r="C20" s="69"/>
      <c r="D20" s="612" t="s">
        <v>3781</v>
      </c>
      <c r="E20" s="530">
        <v>100336327</v>
      </c>
      <c r="F20" s="530"/>
      <c r="G20" s="531"/>
      <c r="H20" s="532"/>
      <c r="I20" s="532"/>
      <c r="J20" s="206" t="s">
        <v>100</v>
      </c>
    </row>
    <row r="21" spans="1:10" ht="20.100000000000001" customHeight="1">
      <c r="A21" s="148" t="s">
        <v>3782</v>
      </c>
      <c r="B21" s="65" t="s">
        <v>3783</v>
      </c>
      <c r="C21" s="640" t="s">
        <v>53</v>
      </c>
      <c r="D21" s="614" t="s">
        <v>3784</v>
      </c>
      <c r="E21" s="530">
        <v>100332332</v>
      </c>
      <c r="F21" s="530"/>
      <c r="G21" s="531"/>
      <c r="H21" s="532" t="s">
        <v>3785</v>
      </c>
      <c r="I21" s="532"/>
      <c r="J21" s="206" t="s">
        <v>100</v>
      </c>
    </row>
    <row r="22" spans="1:10" ht="20.100000000000001" customHeight="1">
      <c r="A22" s="144" t="s">
        <v>3786</v>
      </c>
      <c r="B22" s="65" t="s">
        <v>3787</v>
      </c>
      <c r="C22" s="640"/>
      <c r="D22" s="644" t="s">
        <v>2680</v>
      </c>
      <c r="E22" s="530">
        <v>100332333</v>
      </c>
      <c r="F22" s="530"/>
      <c r="G22" s="531"/>
      <c r="H22" s="532" t="s">
        <v>3788</v>
      </c>
      <c r="I22" s="532"/>
      <c r="J22" s="206" t="s">
        <v>814</v>
      </c>
    </row>
    <row r="23" spans="1:10" ht="20.100000000000001" customHeight="1">
      <c r="A23" s="207" t="s">
        <v>3772</v>
      </c>
      <c r="B23" s="65" t="s">
        <v>3789</v>
      </c>
      <c r="C23" s="69"/>
      <c r="D23" s="612" t="s">
        <v>3790</v>
      </c>
      <c r="E23" s="530">
        <v>100330720</v>
      </c>
      <c r="F23" s="530"/>
      <c r="G23" s="531"/>
      <c r="H23" s="532"/>
      <c r="I23" s="532"/>
      <c r="J23" s="206" t="s">
        <v>814</v>
      </c>
    </row>
    <row r="24" spans="1:10" ht="20.100000000000001" customHeight="1">
      <c r="A24" s="207" t="s">
        <v>3791</v>
      </c>
      <c r="B24" s="65"/>
      <c r="C24" s="69"/>
      <c r="D24" s="208" t="s">
        <v>3792</v>
      </c>
      <c r="E24" s="530">
        <v>100335709</v>
      </c>
      <c r="F24" s="530"/>
      <c r="G24" s="531"/>
      <c r="H24" s="532"/>
      <c r="I24" s="532"/>
      <c r="J24" s="206" t="s">
        <v>814</v>
      </c>
    </row>
    <row r="25" spans="1:10" ht="20.100000000000001" customHeight="1">
      <c r="A25" s="144" t="s">
        <v>3793</v>
      </c>
      <c r="B25" s="65" t="s">
        <v>3794</v>
      </c>
      <c r="C25" s="69"/>
      <c r="D25" s="644" t="s">
        <v>3795</v>
      </c>
      <c r="E25" s="530">
        <v>100330721</v>
      </c>
      <c r="F25" s="530"/>
      <c r="G25" s="531"/>
      <c r="H25" s="532" t="s">
        <v>3796</v>
      </c>
      <c r="I25" s="532"/>
      <c r="J25" s="206" t="s">
        <v>814</v>
      </c>
    </row>
    <row r="26" spans="1:10" ht="19.5" customHeight="1">
      <c r="A26" s="207" t="s">
        <v>3797</v>
      </c>
      <c r="B26" s="65" t="s">
        <v>3798</v>
      </c>
      <c r="C26" s="69"/>
      <c r="D26" s="612" t="s">
        <v>3797</v>
      </c>
      <c r="E26" s="530">
        <v>100330722</v>
      </c>
      <c r="F26" s="530"/>
      <c r="G26" s="531"/>
      <c r="H26" s="532"/>
      <c r="I26" s="532"/>
      <c r="J26" s="206" t="s">
        <v>814</v>
      </c>
    </row>
    <row r="27" spans="1:10" ht="19.5" customHeight="1">
      <c r="A27" s="207" t="s">
        <v>3799</v>
      </c>
      <c r="B27" s="65"/>
      <c r="C27" s="69"/>
      <c r="D27" s="612" t="s">
        <v>3800</v>
      </c>
      <c r="E27" s="530">
        <v>100336141</v>
      </c>
      <c r="F27" s="530"/>
      <c r="G27" s="531"/>
      <c r="H27" s="532"/>
      <c r="I27" s="532"/>
      <c r="J27" s="206" t="s">
        <v>814</v>
      </c>
    </row>
    <row r="28" spans="1:10" ht="21" customHeight="1">
      <c r="A28" s="148" t="s">
        <v>3801</v>
      </c>
      <c r="B28" s="65" t="s">
        <v>3802</v>
      </c>
      <c r="C28" s="858" t="s">
        <v>836</v>
      </c>
      <c r="D28" s="780" t="s">
        <v>3803</v>
      </c>
      <c r="E28" s="530">
        <v>100330858</v>
      </c>
      <c r="F28" s="530"/>
      <c r="G28" s="531"/>
      <c r="H28" s="532"/>
      <c r="I28" s="532"/>
      <c r="J28" s="206" t="s">
        <v>814</v>
      </c>
    </row>
    <row r="29" spans="1:10" ht="29.25" customHeight="1">
      <c r="A29" s="148"/>
      <c r="B29" s="65" t="s">
        <v>3804</v>
      </c>
      <c r="C29" s="756"/>
      <c r="D29" s="756"/>
      <c r="E29" s="530">
        <v>100330859</v>
      </c>
      <c r="F29" s="530"/>
      <c r="G29" s="531"/>
      <c r="H29" s="532"/>
      <c r="I29" s="532"/>
      <c r="J29" s="720" t="s">
        <v>820</v>
      </c>
    </row>
    <row r="30" spans="1:10" ht="19.5" customHeight="1" outlineLevel="1">
      <c r="A30" s="2" t="s">
        <v>3805</v>
      </c>
      <c r="B30" s="65" t="s">
        <v>3806</v>
      </c>
      <c r="C30" s="209" t="s">
        <v>850</v>
      </c>
      <c r="D30" s="124" t="s">
        <v>3805</v>
      </c>
      <c r="E30" s="530">
        <v>100332336</v>
      </c>
      <c r="F30" s="530"/>
      <c r="G30" s="531"/>
      <c r="H30" s="532" t="s">
        <v>3807</v>
      </c>
      <c r="I30" s="532"/>
      <c r="J30" s="206" t="s">
        <v>117</v>
      </c>
    </row>
    <row r="31" spans="1:10" ht="20.100000000000001" customHeight="1" outlineLevel="1">
      <c r="A31" s="210" t="s">
        <v>3808</v>
      </c>
      <c r="B31" s="65" t="s">
        <v>3809</v>
      </c>
      <c r="C31" s="69" t="s">
        <v>82</v>
      </c>
      <c r="D31" s="641" t="s">
        <v>3808</v>
      </c>
      <c r="E31" s="530">
        <v>100330730</v>
      </c>
      <c r="F31" s="530"/>
      <c r="G31" s="531"/>
      <c r="H31" s="532"/>
      <c r="I31" s="532"/>
      <c r="J31" s="206" t="s">
        <v>814</v>
      </c>
    </row>
    <row r="32" spans="1:10" ht="33.75" customHeight="1" outlineLevel="1">
      <c r="A32" s="210" t="s">
        <v>3810</v>
      </c>
      <c r="B32" s="65" t="s">
        <v>3811</v>
      </c>
      <c r="C32" s="69" t="s">
        <v>84</v>
      </c>
      <c r="D32" s="641" t="s">
        <v>3812</v>
      </c>
      <c r="E32" s="530">
        <v>100330731</v>
      </c>
      <c r="F32" s="530"/>
      <c r="G32" s="531"/>
      <c r="H32" s="532"/>
      <c r="I32" s="532"/>
      <c r="J32" s="206" t="s">
        <v>814</v>
      </c>
    </row>
    <row r="33" spans="1:10" ht="19.5" customHeight="1">
      <c r="A33" s="49" t="s">
        <v>3315</v>
      </c>
      <c r="B33" s="65" t="s">
        <v>3813</v>
      </c>
      <c r="C33" s="655" t="s">
        <v>2688</v>
      </c>
      <c r="D33" s="614" t="s">
        <v>3814</v>
      </c>
      <c r="E33" s="530">
        <v>100330049</v>
      </c>
      <c r="F33" s="530"/>
      <c r="G33" s="531"/>
      <c r="H33" s="532" t="s">
        <v>3815</v>
      </c>
      <c r="I33" s="532"/>
      <c r="J33" s="206" t="s">
        <v>814</v>
      </c>
    </row>
    <row r="34" spans="1:10" ht="19.5" customHeight="1">
      <c r="A34" s="49" t="s">
        <v>3816</v>
      </c>
      <c r="B34" s="65" t="s">
        <v>3817</v>
      </c>
      <c r="C34" s="655" t="s">
        <v>90</v>
      </c>
      <c r="D34" s="614" t="s">
        <v>3818</v>
      </c>
      <c r="E34" s="530">
        <v>100335045</v>
      </c>
      <c r="F34" s="530"/>
      <c r="G34" s="531"/>
      <c r="H34" s="532" t="s">
        <v>3819</v>
      </c>
      <c r="I34" s="532"/>
      <c r="J34" s="206" t="s">
        <v>814</v>
      </c>
    </row>
    <row r="35" spans="1:10" ht="20.100000000000001" customHeight="1">
      <c r="A35" s="148" t="s">
        <v>3820</v>
      </c>
      <c r="B35" s="65" t="s">
        <v>3821</v>
      </c>
      <c r="C35" s="69" t="s">
        <v>2702</v>
      </c>
      <c r="D35" s="187" t="s">
        <v>3820</v>
      </c>
      <c r="E35" s="530">
        <v>100335046</v>
      </c>
      <c r="F35" s="530"/>
      <c r="G35" s="531"/>
      <c r="H35" s="532"/>
      <c r="I35" s="532"/>
      <c r="J35" s="206" t="s">
        <v>814</v>
      </c>
    </row>
    <row r="36" spans="1:10" ht="18.75" customHeight="1">
      <c r="A36" s="148" t="s">
        <v>3822</v>
      </c>
      <c r="B36" s="65" t="s">
        <v>3823</v>
      </c>
      <c r="C36" s="69" t="s">
        <v>2724</v>
      </c>
      <c r="D36" s="211" t="s">
        <v>521</v>
      </c>
      <c r="E36" s="530">
        <v>100335047</v>
      </c>
      <c r="F36" s="530"/>
      <c r="G36" s="531"/>
      <c r="H36" s="532"/>
      <c r="I36" s="532"/>
      <c r="J36" s="206" t="s">
        <v>814</v>
      </c>
    </row>
    <row r="37" spans="1:10" ht="19.5" customHeight="1">
      <c r="A37" s="49" t="s">
        <v>254</v>
      </c>
      <c r="B37" s="65" t="s">
        <v>3824</v>
      </c>
      <c r="C37" s="655"/>
      <c r="D37" s="658" t="s">
        <v>804</v>
      </c>
      <c r="E37" s="530" t="s">
        <v>3825</v>
      </c>
      <c r="F37" s="530"/>
      <c r="G37" s="531"/>
      <c r="H37" s="532"/>
      <c r="I37" s="532"/>
      <c r="J37" s="206"/>
    </row>
    <row r="38" spans="1:10" ht="19.5" customHeight="1">
      <c r="A38" s="210" t="s">
        <v>3826</v>
      </c>
      <c r="B38" s="65" t="s">
        <v>3827</v>
      </c>
      <c r="C38" s="655"/>
      <c r="D38" s="212" t="s">
        <v>3826</v>
      </c>
      <c r="E38" s="530">
        <v>100335094</v>
      </c>
      <c r="F38" s="530"/>
      <c r="G38" s="531"/>
      <c r="H38" s="532"/>
      <c r="I38" s="532"/>
      <c r="J38" s="206" t="s">
        <v>814</v>
      </c>
    </row>
    <row r="39" spans="1:10" ht="19.5" customHeight="1">
      <c r="A39" s="210" t="s">
        <v>3828</v>
      </c>
      <c r="B39" s="65" t="s">
        <v>3829</v>
      </c>
      <c r="C39" s="655"/>
      <c r="D39" s="661" t="s">
        <v>3828</v>
      </c>
      <c r="E39" s="530">
        <v>100335048</v>
      </c>
      <c r="F39" s="530"/>
      <c r="G39" s="531"/>
      <c r="H39" s="532"/>
      <c r="I39" s="532"/>
      <c r="J39" s="206" t="s">
        <v>814</v>
      </c>
    </row>
    <row r="40" spans="1:10" ht="19.5" customHeight="1">
      <c r="A40" s="49" t="s">
        <v>3830</v>
      </c>
      <c r="B40" s="65" t="s">
        <v>3831</v>
      </c>
      <c r="C40" s="209" t="s">
        <v>91</v>
      </c>
      <c r="D40" s="616" t="s">
        <v>3830</v>
      </c>
      <c r="E40" s="530">
        <v>100330723</v>
      </c>
      <c r="F40" s="530"/>
      <c r="G40" s="531"/>
      <c r="H40" s="532" t="s">
        <v>3832</v>
      </c>
      <c r="I40" s="532"/>
      <c r="J40" s="206" t="s">
        <v>814</v>
      </c>
    </row>
    <row r="41" spans="1:10" ht="20.100000000000001" customHeight="1">
      <c r="A41" s="148" t="s">
        <v>3833</v>
      </c>
      <c r="B41" s="65" t="s">
        <v>3834</v>
      </c>
      <c r="C41" s="69" t="s">
        <v>2379</v>
      </c>
      <c r="D41" s="213" t="s">
        <v>3835</v>
      </c>
      <c r="E41" s="530">
        <v>100330725</v>
      </c>
      <c r="F41" s="530"/>
      <c r="G41" s="531"/>
      <c r="H41" s="532"/>
      <c r="I41" s="532"/>
      <c r="J41" s="206" t="s">
        <v>814</v>
      </c>
    </row>
    <row r="42" spans="1:10" ht="20.100000000000001" customHeight="1">
      <c r="A42" s="2" t="s">
        <v>3836</v>
      </c>
      <c r="B42" s="65" t="s">
        <v>3837</v>
      </c>
      <c r="C42" s="209" t="s">
        <v>1092</v>
      </c>
      <c r="D42" s="855" t="s">
        <v>3836</v>
      </c>
      <c r="E42" s="530">
        <v>100332334</v>
      </c>
      <c r="F42" s="530"/>
      <c r="G42" s="531"/>
      <c r="H42" s="532" t="s">
        <v>3838</v>
      </c>
      <c r="I42" s="532"/>
      <c r="J42" s="206" t="s">
        <v>117</v>
      </c>
    </row>
    <row r="43" spans="1:10" ht="19.899999999999999" customHeight="1">
      <c r="A43" s="2"/>
      <c r="B43" s="65" t="s">
        <v>3839</v>
      </c>
      <c r="C43" s="69"/>
      <c r="D43" s="756"/>
      <c r="E43" s="530">
        <v>100332335</v>
      </c>
      <c r="F43" s="530"/>
      <c r="G43" s="531"/>
      <c r="H43" s="532" t="s">
        <v>3840</v>
      </c>
      <c r="I43" s="532"/>
      <c r="J43" s="720" t="s">
        <v>820</v>
      </c>
    </row>
    <row r="44" spans="1:10" ht="20.100000000000001" customHeight="1">
      <c r="A44" s="210" t="s">
        <v>3841</v>
      </c>
      <c r="B44" s="65" t="s">
        <v>3842</v>
      </c>
      <c r="C44" s="69" t="s">
        <v>2736</v>
      </c>
      <c r="D44" s="857" t="s">
        <v>3841</v>
      </c>
      <c r="E44" s="530">
        <v>100330727</v>
      </c>
      <c r="F44" s="530"/>
      <c r="G44" s="531"/>
      <c r="H44" s="532"/>
      <c r="I44" s="532"/>
      <c r="J44" s="206" t="s">
        <v>117</v>
      </c>
    </row>
    <row r="45" spans="1:10" ht="20.100000000000001" customHeight="1">
      <c r="A45" s="210"/>
      <c r="B45" s="65" t="s">
        <v>3843</v>
      </c>
      <c r="C45" s="69"/>
      <c r="D45" s="756"/>
      <c r="E45" s="530">
        <v>100330726</v>
      </c>
      <c r="F45" s="530"/>
      <c r="G45" s="531"/>
      <c r="H45" s="532"/>
      <c r="I45" s="532"/>
      <c r="J45" s="720" t="s">
        <v>820</v>
      </c>
    </row>
    <row r="46" spans="1:10" ht="20.100000000000001" customHeight="1">
      <c r="A46" s="210" t="s">
        <v>3844</v>
      </c>
      <c r="B46" s="65" t="s">
        <v>3845</v>
      </c>
      <c r="C46" s="69" t="s">
        <v>2739</v>
      </c>
      <c r="D46" s="857" t="s">
        <v>3846</v>
      </c>
      <c r="E46" s="530">
        <v>100330729</v>
      </c>
      <c r="F46" s="530"/>
      <c r="G46" s="531"/>
      <c r="H46" s="532"/>
      <c r="I46" s="532"/>
      <c r="J46" s="206" t="s">
        <v>117</v>
      </c>
    </row>
    <row r="47" spans="1:10" ht="20.100000000000001" customHeight="1">
      <c r="A47" s="210"/>
      <c r="B47" s="65" t="s">
        <v>3847</v>
      </c>
      <c r="C47" s="69"/>
      <c r="D47" s="756"/>
      <c r="E47" s="530">
        <v>100330728</v>
      </c>
      <c r="F47" s="530"/>
      <c r="G47" s="531"/>
      <c r="H47" s="532"/>
      <c r="I47" s="532"/>
      <c r="J47" s="720" t="s">
        <v>820</v>
      </c>
    </row>
    <row r="48" spans="1:10" ht="20.100000000000001" customHeight="1">
      <c r="A48" s="142" t="s">
        <v>3848</v>
      </c>
      <c r="B48" s="65"/>
      <c r="C48" s="69"/>
      <c r="D48" s="857" t="s">
        <v>3848</v>
      </c>
      <c r="E48" s="530">
        <v>100336328</v>
      </c>
      <c r="F48" s="530"/>
      <c r="G48" s="531"/>
      <c r="H48" s="532"/>
      <c r="I48" s="532"/>
      <c r="J48" s="206" t="s">
        <v>117</v>
      </c>
    </row>
    <row r="49" spans="1:10" ht="20.100000000000001" customHeight="1">
      <c r="A49" s="148"/>
      <c r="B49" s="65"/>
      <c r="C49" s="69"/>
      <c r="D49" s="756"/>
      <c r="E49" s="530">
        <v>100336329</v>
      </c>
      <c r="F49" s="530"/>
      <c r="G49" s="531"/>
      <c r="H49" s="532"/>
      <c r="I49" s="532"/>
      <c r="J49" s="720" t="s">
        <v>820</v>
      </c>
    </row>
    <row r="50" spans="1:10" ht="20.100000000000001" customHeight="1">
      <c r="A50" s="49" t="s">
        <v>3849</v>
      </c>
      <c r="B50" s="65" t="s">
        <v>3850</v>
      </c>
      <c r="C50" s="209" t="s">
        <v>2753</v>
      </c>
      <c r="D50" s="616" t="s">
        <v>3849</v>
      </c>
      <c r="E50" s="530">
        <v>100330732</v>
      </c>
      <c r="F50" s="530"/>
      <c r="G50" s="531"/>
      <c r="H50" s="532" t="s">
        <v>3851</v>
      </c>
      <c r="I50" s="532"/>
      <c r="J50" s="206" t="s">
        <v>814</v>
      </c>
    </row>
    <row r="51" spans="1:10" ht="37.5" customHeight="1">
      <c r="A51" s="148" t="s">
        <v>3852</v>
      </c>
      <c r="B51" s="65" t="s">
        <v>3853</v>
      </c>
      <c r="C51" s="69"/>
      <c r="D51" s="214" t="s">
        <v>3852</v>
      </c>
      <c r="E51" s="530">
        <v>100330861</v>
      </c>
      <c r="F51" s="530"/>
      <c r="G51" s="531"/>
      <c r="H51" s="532"/>
      <c r="I51" s="532"/>
      <c r="J51" s="206" t="s">
        <v>814</v>
      </c>
    </row>
    <row r="52" spans="1:10" ht="19.5" customHeight="1">
      <c r="A52" s="49" t="s">
        <v>3854</v>
      </c>
      <c r="B52" s="65" t="s">
        <v>3855</v>
      </c>
      <c r="C52" s="209" t="s">
        <v>2021</v>
      </c>
      <c r="D52" s="215" t="s">
        <v>3854</v>
      </c>
      <c r="E52" s="530">
        <v>100330860</v>
      </c>
      <c r="F52" s="530"/>
      <c r="G52" s="531"/>
      <c r="H52" s="532" t="s">
        <v>3856</v>
      </c>
      <c r="I52" s="532"/>
      <c r="J52" s="206" t="s">
        <v>814</v>
      </c>
    </row>
    <row r="53" spans="1:10" ht="42.75" customHeight="1">
      <c r="A53" s="142" t="s">
        <v>3857</v>
      </c>
      <c r="B53" s="65" t="s">
        <v>3858</v>
      </c>
      <c r="C53" s="209"/>
      <c r="D53" s="216" t="s">
        <v>3859</v>
      </c>
      <c r="E53" s="530">
        <v>100330862</v>
      </c>
      <c r="F53" s="530"/>
      <c r="G53" s="531"/>
      <c r="H53" s="532"/>
      <c r="I53" s="532"/>
      <c r="J53" s="206" t="s">
        <v>117</v>
      </c>
    </row>
    <row r="54" spans="1:10" ht="42.75" customHeight="1">
      <c r="A54" s="142" t="s">
        <v>3860</v>
      </c>
      <c r="B54" s="65"/>
      <c r="C54" s="217" t="s">
        <v>3861</v>
      </c>
      <c r="D54" s="187" t="s">
        <v>3862</v>
      </c>
      <c r="E54" s="530">
        <v>100336142</v>
      </c>
      <c r="F54" s="530"/>
      <c r="G54" s="531"/>
      <c r="H54" s="532" t="s">
        <v>3863</v>
      </c>
      <c r="I54" s="532"/>
      <c r="J54" s="206" t="s">
        <v>117</v>
      </c>
    </row>
    <row r="55" spans="1:10" ht="42.75" customHeight="1">
      <c r="A55" s="49" t="s">
        <v>3864</v>
      </c>
      <c r="B55" s="65"/>
      <c r="C55" s="218" t="s">
        <v>2028</v>
      </c>
      <c r="D55" s="219" t="s">
        <v>3864</v>
      </c>
      <c r="E55" s="530">
        <v>100335836</v>
      </c>
      <c r="F55" s="530"/>
      <c r="G55" s="531"/>
      <c r="H55" s="532"/>
      <c r="I55" s="532"/>
      <c r="J55" s="668" t="s">
        <v>117</v>
      </c>
    </row>
    <row r="56" spans="1:10" ht="20.100000000000001" customHeight="1" outlineLevel="1">
      <c r="A56" s="49" t="s">
        <v>3865</v>
      </c>
      <c r="B56" s="65" t="s">
        <v>3866</v>
      </c>
      <c r="C56" s="655" t="s">
        <v>3165</v>
      </c>
      <c r="D56" s="124" t="s">
        <v>3865</v>
      </c>
      <c r="E56" s="530" t="s">
        <v>3867</v>
      </c>
      <c r="F56" s="530"/>
      <c r="G56" s="531"/>
      <c r="H56" s="532"/>
      <c r="I56" s="532"/>
      <c r="J56" s="206" t="s">
        <v>814</v>
      </c>
    </row>
    <row r="57" spans="1:10" ht="20.100000000000001" customHeight="1" outlineLevel="1">
      <c r="A57" s="210" t="s">
        <v>3868</v>
      </c>
      <c r="B57" s="65" t="s">
        <v>3869</v>
      </c>
      <c r="C57" s="75"/>
      <c r="D57" s="641" t="s">
        <v>3868</v>
      </c>
      <c r="E57" s="530">
        <v>100330733</v>
      </c>
      <c r="F57" s="530"/>
      <c r="G57" s="531"/>
      <c r="H57" s="532" t="s">
        <v>3870</v>
      </c>
      <c r="I57" s="532"/>
      <c r="J57" s="206" t="s">
        <v>814</v>
      </c>
    </row>
    <row r="58" spans="1:10" ht="20.100000000000001" customHeight="1" outlineLevel="1">
      <c r="A58" s="210" t="s">
        <v>3871</v>
      </c>
      <c r="B58" s="65" t="s">
        <v>3872</v>
      </c>
      <c r="C58" s="220"/>
      <c r="D58" s="221" t="s">
        <v>3873</v>
      </c>
      <c r="E58" s="530">
        <v>100330734</v>
      </c>
      <c r="F58" s="530"/>
      <c r="G58" s="531"/>
      <c r="H58" s="532" t="s">
        <v>3874</v>
      </c>
      <c r="I58" s="532"/>
      <c r="J58" s="206" t="s">
        <v>814</v>
      </c>
    </row>
    <row r="59" spans="1:10" ht="20.100000000000001" customHeight="1" outlineLevel="1">
      <c r="A59" s="222"/>
      <c r="B59" s="65"/>
      <c r="C59" s="223"/>
      <c r="D59" s="221" t="s">
        <v>3875</v>
      </c>
      <c r="E59" s="530"/>
      <c r="F59" s="530"/>
      <c r="G59" s="531"/>
      <c r="H59" s="532"/>
      <c r="I59" s="532"/>
      <c r="J59" s="611" t="s">
        <v>814</v>
      </c>
    </row>
    <row r="60" spans="1:10" s="224" customFormat="1" ht="20.100000000000001" customHeight="1" outlineLevel="1">
      <c r="A60" s="225"/>
      <c r="B60" s="226"/>
      <c r="C60" s="226"/>
      <c r="D60" s="227" t="s">
        <v>3876</v>
      </c>
      <c r="E60" s="227"/>
      <c r="F60" s="227"/>
      <c r="G60" s="227"/>
      <c r="H60" s="227"/>
      <c r="I60" s="227"/>
      <c r="J60" s="228"/>
    </row>
    <row r="61" spans="1:10" s="229" customFormat="1" ht="19.5" customHeight="1">
      <c r="A61" s="230"/>
      <c r="B61" s="231"/>
      <c r="C61" s="232"/>
      <c r="D61" s="233" t="s">
        <v>3877</v>
      </c>
      <c r="E61" s="233"/>
      <c r="F61" s="233"/>
      <c r="G61" s="233"/>
      <c r="H61" s="233"/>
      <c r="I61" s="233"/>
      <c r="J61" s="234"/>
    </row>
    <row r="62" spans="1:10" s="235" customFormat="1" ht="19.5" customHeight="1">
      <c r="A62" s="199"/>
      <c r="B62" s="236"/>
      <c r="C62" s="237"/>
      <c r="D62" s="238" t="s">
        <v>3878</v>
      </c>
      <c r="E62" s="238"/>
      <c r="F62" s="238"/>
      <c r="G62" s="238"/>
      <c r="H62" s="238"/>
      <c r="I62" s="238"/>
      <c r="J62" s="239"/>
    </row>
    <row r="63" spans="1:10" s="17" customFormat="1" ht="19.5" customHeight="1">
      <c r="A63" s="240"/>
      <c r="B63" s="241"/>
      <c r="C63" s="242"/>
      <c r="D63" s="243" t="s">
        <v>3879</v>
      </c>
      <c r="E63" s="243"/>
      <c r="F63" s="243"/>
      <c r="G63" s="243"/>
      <c r="H63" s="243"/>
      <c r="I63" s="243"/>
      <c r="J63" s="136"/>
    </row>
    <row r="64" spans="1:10">
      <c r="D64" s="244"/>
      <c r="E64" s="244"/>
      <c r="F64" s="244"/>
      <c r="G64" s="244"/>
      <c r="H64" s="244"/>
      <c r="I64" s="244"/>
    </row>
    <row r="65" spans="2:10">
      <c r="B65" s="83"/>
      <c r="C65" s="39"/>
      <c r="D65" s="245" t="s">
        <v>3880</v>
      </c>
      <c r="E65" s="378"/>
      <c r="F65" s="535"/>
      <c r="G65" s="535"/>
      <c r="H65" s="378"/>
      <c r="I65" s="535"/>
      <c r="J65" s="278" t="s">
        <v>117</v>
      </c>
    </row>
    <row r="66" spans="2:10">
      <c r="B66" s="83"/>
      <c r="C66" s="39"/>
      <c r="D66" s="246" t="s">
        <v>3881</v>
      </c>
      <c r="E66" s="379"/>
      <c r="F66" s="536"/>
      <c r="G66" s="536"/>
      <c r="H66" s="379"/>
      <c r="I66" s="536"/>
      <c r="J66" s="278" t="s">
        <v>117</v>
      </c>
    </row>
    <row r="67" spans="2:10">
      <c r="C67" s="247"/>
      <c r="D67" s="246" t="s">
        <v>3881</v>
      </c>
      <c r="E67" s="379"/>
      <c r="F67" s="536"/>
      <c r="G67" s="536"/>
      <c r="H67" s="379"/>
      <c r="I67" s="536"/>
      <c r="J67" s="38" t="s">
        <v>820</v>
      </c>
    </row>
  </sheetData>
  <mergeCells count="17">
    <mergeCell ref="C3:J3"/>
    <mergeCell ref="D46:D47"/>
    <mergeCell ref="D48:D49"/>
    <mergeCell ref="C28:C29"/>
    <mergeCell ref="D44:D45"/>
    <mergeCell ref="J7:J9"/>
    <mergeCell ref="F8:F9"/>
    <mergeCell ref="D28:D29"/>
    <mergeCell ref="I8:I9"/>
    <mergeCell ref="D42:D43"/>
    <mergeCell ref="E8:E9"/>
    <mergeCell ref="G8:G9"/>
    <mergeCell ref="C7:C9"/>
    <mergeCell ref="B7:B9"/>
    <mergeCell ref="E7:I7"/>
    <mergeCell ref="H8:H9"/>
    <mergeCell ref="D7:D9"/>
  </mergeCells>
  <conditionalFormatting sqref="O11:O58 P11:P58 U11:U58 V11:V58 AA11:AA58 AB11:AB58 AG11:AG58 AH11:AH58 AM11:AM58 AN11:AN58 AS11:AS58 AT11:AT58 AY11:AY58 AZ11:AZ58 BE11:BE58 BF11:BF58 BK11:BK58 BL11:BL58 BQ11:BQ58 BR11:BR58 BW11:BW58 BX11:BX58 CC11:CC58 CD11:CD58 CI11:CI58 CJ11:CJ58 CO11:CO58 CP11:CP58 CU11:CU58 CV11:CV58 DA11:DA58 DB11:DB58 DG11:DG58 DH11:DH58">
    <cfRule type="cellIs" dxfId="38" priority="3" operator="greaterThan">
      <formula>0</formula>
    </cfRule>
    <cfRule type="cellIs" dxfId="37" priority="2" operator="lessThan">
      <formula>0</formula>
    </cfRule>
    <cfRule type="cellIs" dxfId="36" priority="1" operator="equal">
      <formula>0</formula>
    </cfRule>
  </conditionalFormatting>
  <conditionalFormatting sqref="L11:L58 N11:N58 R11:R58 T11:T58 X11:X58 Z11:Z58 AD11:AD58 AF11:AF58 AJ11:AJ58 AL11:AL58 AP11:AP58 AR11:AR58 AV11:AV58 AX11:AX58 BB11:BB58 BD11:BD58 BH11:BH58 BJ11:BJ58 BN11:BN58 BP11:BP58 BT11:BT58 BV11:BV58 BZ11:BZ58 CB11:CB58 CF11:CF58 CH11:CH58 CL11:CL58 CN11:CN58 CR11:CR58 CT11:CT58 CX11:CX58 CZ11:CZ58 DD11:DD58 DF11:DF58">
    <cfRule type="cellIs" dxfId="35" priority="4" operator="equal">
      <formula>0</formula>
    </cfRule>
  </conditionalFormatting>
  <pageMargins left="0.7" right="0.17" top="0.28999999999999998" bottom="0.18" header="0.3" footer="0.3"/>
  <pageSetup paperSize="9" scale="24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5">
    <tabColor theme="8" tint="0.59999389629810485"/>
    <pageSetUpPr fitToPage="1"/>
  </sheetPr>
  <dimension ref="A1:DH60"/>
  <sheetViews>
    <sheetView topLeftCell="C1" zoomScale="60" zoomScaleNormal="60" zoomScaleSheetLayoutView="50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8.42578125" defaultRowHeight="19.5" outlineLevelRow="1" outlineLevelCol="1"/>
  <cols>
    <col min="1" max="1" width="6.28515625" style="178" hidden="1" customWidth="1" outlineLevel="1"/>
    <col min="2" max="2" width="8.28515625" style="323" hidden="1" customWidth="1" outlineLevel="1"/>
    <col min="3" max="3" width="12.140625" style="179" bestFit="1" customWidth="1" collapsed="1"/>
    <col min="4" max="4" width="67.28515625" style="323" customWidth="1"/>
    <col min="5" max="9" width="26.140625" style="323" customWidth="1" outlineLevel="1"/>
    <col min="10" max="10" width="12.85546875" style="391" bestFit="1" customWidth="1"/>
    <col min="11" max="11" width="8.42578125" style="323" customWidth="1"/>
    <col min="12" max="112" width="8.42578125" style="621" customWidth="1"/>
    <col min="113" max="16384" width="8.42578125" style="323"/>
  </cols>
  <sheetData>
    <row r="1" spans="1:10" ht="15" customHeight="1"/>
    <row r="2" spans="1:10" ht="15" customHeight="1"/>
    <row r="3" spans="1:10" ht="20.25" customHeight="1">
      <c r="C3" s="851" t="s">
        <v>3882</v>
      </c>
      <c r="D3" s="790"/>
      <c r="E3" s="790"/>
      <c r="F3" s="790"/>
      <c r="G3" s="790"/>
      <c r="H3" s="790"/>
      <c r="I3" s="790"/>
      <c r="J3" s="860"/>
    </row>
    <row r="4" spans="1:10" ht="15" customHeight="1"/>
    <row r="5" spans="1:10" ht="19.5" customHeight="1">
      <c r="B5" s="343"/>
      <c r="C5" s="326" t="s">
        <v>3883</v>
      </c>
      <c r="D5" s="343"/>
      <c r="E5" s="343"/>
      <c r="F5" s="343"/>
      <c r="G5" s="343"/>
      <c r="H5" s="343"/>
      <c r="I5" s="343"/>
      <c r="J5" s="730"/>
    </row>
    <row r="6" spans="1:10" ht="20.100000000000001" customHeight="1">
      <c r="B6" s="787" t="s">
        <v>1799</v>
      </c>
      <c r="C6" s="792" t="s">
        <v>2666</v>
      </c>
      <c r="D6" s="853" t="s">
        <v>16</v>
      </c>
      <c r="E6" s="761" t="s">
        <v>17</v>
      </c>
      <c r="F6" s="762"/>
      <c r="G6" s="762"/>
      <c r="H6" s="762"/>
      <c r="I6" s="763"/>
      <c r="J6" s="783" t="s">
        <v>1365</v>
      </c>
    </row>
    <row r="7" spans="1:10" ht="39.950000000000003" customHeight="1">
      <c r="B7" s="790"/>
      <c r="C7" s="756"/>
      <c r="D7" s="756"/>
      <c r="E7" s="741" t="s">
        <v>19</v>
      </c>
      <c r="F7" s="741" t="s">
        <v>20</v>
      </c>
      <c r="G7" s="741" t="s">
        <v>21</v>
      </c>
      <c r="H7" s="741" t="s">
        <v>22</v>
      </c>
      <c r="I7" s="741" t="s">
        <v>23</v>
      </c>
      <c r="J7" s="756"/>
    </row>
    <row r="8" spans="1:10" ht="20.100000000000001" customHeight="1">
      <c r="B8" s="790"/>
      <c r="C8" s="757"/>
      <c r="D8" s="756"/>
      <c r="E8" s="742"/>
      <c r="F8" s="742"/>
      <c r="G8" s="742"/>
      <c r="H8" s="742"/>
      <c r="I8" s="742"/>
      <c r="J8" s="757"/>
    </row>
    <row r="9" spans="1:10" ht="20.100000000000001" hidden="1" customHeight="1">
      <c r="B9" s="610"/>
      <c r="C9" s="646"/>
      <c r="D9" s="657"/>
      <c r="E9" s="391"/>
      <c r="F9" s="391"/>
      <c r="G9" s="391"/>
      <c r="H9" s="391"/>
      <c r="I9" s="391"/>
      <c r="J9" s="657"/>
    </row>
    <row r="10" spans="1:10" ht="37.5" customHeight="1">
      <c r="B10" s="65" t="s">
        <v>3884</v>
      </c>
      <c r="C10" s="248" t="s">
        <v>1370</v>
      </c>
      <c r="D10" s="200" t="s">
        <v>3885</v>
      </c>
      <c r="E10" s="530" t="s">
        <v>3301</v>
      </c>
      <c r="F10" s="530"/>
      <c r="G10" s="531"/>
      <c r="H10" s="532" t="s">
        <v>3302</v>
      </c>
      <c r="I10" s="532"/>
      <c r="J10" s="25" t="s">
        <v>814</v>
      </c>
    </row>
    <row r="11" spans="1:10" ht="18.95" customHeight="1">
      <c r="B11" s="65" t="s">
        <v>3886</v>
      </c>
      <c r="C11" s="87" t="s">
        <v>308</v>
      </c>
      <c r="D11" s="616" t="s">
        <v>3887</v>
      </c>
      <c r="E11" s="530">
        <v>100330015</v>
      </c>
      <c r="F11" s="530"/>
      <c r="G11" s="531"/>
      <c r="H11" s="532" t="s">
        <v>3888</v>
      </c>
      <c r="I11" s="532"/>
      <c r="J11" s="660" t="s">
        <v>814</v>
      </c>
    </row>
    <row r="12" spans="1:10" ht="18.95" customHeight="1">
      <c r="B12" s="65" t="s">
        <v>3889</v>
      </c>
      <c r="C12" s="249"/>
      <c r="D12" s="250" t="s">
        <v>3890</v>
      </c>
      <c r="E12" s="530">
        <v>100330686</v>
      </c>
      <c r="F12" s="530"/>
      <c r="G12" s="531"/>
      <c r="H12" s="532"/>
      <c r="I12" s="532"/>
      <c r="J12" s="657" t="s">
        <v>814</v>
      </c>
    </row>
    <row r="13" spans="1:10" ht="18.95" customHeight="1">
      <c r="B13" s="65" t="s">
        <v>3891</v>
      </c>
      <c r="C13" s="249"/>
      <c r="D13" s="250" t="s">
        <v>1451</v>
      </c>
      <c r="E13" s="530">
        <v>100330687</v>
      </c>
      <c r="F13" s="530"/>
      <c r="G13" s="531"/>
      <c r="H13" s="532"/>
      <c r="I13" s="532"/>
      <c r="J13" s="657" t="s">
        <v>814</v>
      </c>
    </row>
    <row r="14" spans="1:10" ht="18.95" customHeight="1">
      <c r="B14" s="65" t="s">
        <v>3892</v>
      </c>
      <c r="C14" s="249"/>
      <c r="D14" s="251" t="s">
        <v>3893</v>
      </c>
      <c r="E14" s="530">
        <v>100330688</v>
      </c>
      <c r="F14" s="530"/>
      <c r="G14" s="531"/>
      <c r="H14" s="532"/>
      <c r="I14" s="532"/>
      <c r="J14" s="657" t="s">
        <v>814</v>
      </c>
    </row>
    <row r="15" spans="1:10" ht="18.95" customHeight="1">
      <c r="B15" s="65" t="s">
        <v>3894</v>
      </c>
      <c r="C15" s="249"/>
      <c r="D15" s="250" t="s">
        <v>3895</v>
      </c>
      <c r="E15" s="530">
        <v>100333683</v>
      </c>
      <c r="F15" s="530"/>
      <c r="G15" s="531"/>
      <c r="H15" s="532"/>
      <c r="I15" s="532"/>
      <c r="J15" s="657" t="s">
        <v>814</v>
      </c>
    </row>
    <row r="16" spans="1:10" ht="45.75" customHeight="1">
      <c r="A16" s="178" t="s">
        <v>3507</v>
      </c>
      <c r="B16" s="65"/>
      <c r="C16" s="87" t="s">
        <v>364</v>
      </c>
      <c r="D16" s="72" t="s">
        <v>3896</v>
      </c>
      <c r="E16" s="530">
        <v>100335592</v>
      </c>
      <c r="F16" s="530"/>
      <c r="G16" s="531"/>
      <c r="H16" s="532" t="s">
        <v>3897</v>
      </c>
      <c r="I16" s="532"/>
      <c r="J16" s="660" t="s">
        <v>814</v>
      </c>
    </row>
    <row r="17" spans="1:10" ht="18.95" customHeight="1">
      <c r="A17" s="178" t="s">
        <v>3507</v>
      </c>
      <c r="B17" s="65"/>
      <c r="C17" s="249"/>
      <c r="D17" s="252" t="s">
        <v>236</v>
      </c>
      <c r="E17" s="530">
        <v>100335593</v>
      </c>
      <c r="F17" s="530"/>
      <c r="G17" s="531"/>
      <c r="H17" s="532"/>
      <c r="I17" s="532"/>
      <c r="J17" s="657" t="s">
        <v>814</v>
      </c>
    </row>
    <row r="18" spans="1:10" ht="18.95" customHeight="1">
      <c r="B18" s="65"/>
      <c r="C18" s="249"/>
      <c r="D18" s="253" t="s">
        <v>238</v>
      </c>
      <c r="E18" s="530">
        <v>100335658</v>
      </c>
      <c r="F18" s="530"/>
      <c r="G18" s="531"/>
      <c r="H18" s="532"/>
      <c r="I18" s="532"/>
      <c r="J18" s="657" t="s">
        <v>814</v>
      </c>
    </row>
    <row r="19" spans="1:10" ht="18.95" customHeight="1">
      <c r="B19" s="65" t="s">
        <v>3898</v>
      </c>
      <c r="C19" s="249"/>
      <c r="D19" s="37" t="s">
        <v>804</v>
      </c>
      <c r="E19" s="530"/>
      <c r="F19" s="530"/>
      <c r="G19" s="531"/>
      <c r="H19" s="532"/>
      <c r="I19" s="532"/>
      <c r="J19" s="657"/>
    </row>
    <row r="20" spans="1:10" ht="18.95" customHeight="1" outlineLevel="1">
      <c r="B20" s="65" t="s">
        <v>3899</v>
      </c>
      <c r="C20" s="613" t="s">
        <v>86</v>
      </c>
      <c r="D20" s="37" t="s">
        <v>3900</v>
      </c>
      <c r="E20" s="530">
        <v>100330037</v>
      </c>
      <c r="F20" s="530"/>
      <c r="G20" s="531"/>
      <c r="H20" s="532" t="s">
        <v>3901</v>
      </c>
      <c r="I20" s="532"/>
      <c r="J20" s="660" t="s">
        <v>814</v>
      </c>
    </row>
    <row r="21" spans="1:10" ht="18.95" customHeight="1" outlineLevel="1">
      <c r="B21" s="65" t="s">
        <v>3902</v>
      </c>
      <c r="C21" s="617"/>
      <c r="D21" s="117" t="s">
        <v>3890</v>
      </c>
      <c r="E21" s="530">
        <v>100330689</v>
      </c>
      <c r="F21" s="530"/>
      <c r="G21" s="531"/>
      <c r="H21" s="532"/>
      <c r="I21" s="532"/>
      <c r="J21" s="657" t="s">
        <v>814</v>
      </c>
    </row>
    <row r="22" spans="1:10" outlineLevel="1">
      <c r="B22" s="65" t="s">
        <v>3903</v>
      </c>
      <c r="C22" s="617"/>
      <c r="D22" s="117" t="s">
        <v>1451</v>
      </c>
      <c r="E22" s="530">
        <v>100330690</v>
      </c>
      <c r="F22" s="530"/>
      <c r="G22" s="531"/>
      <c r="H22" s="532"/>
      <c r="I22" s="532"/>
      <c r="J22" s="657" t="s">
        <v>814</v>
      </c>
    </row>
    <row r="23" spans="1:10" outlineLevel="1">
      <c r="B23" s="65" t="s">
        <v>3904</v>
      </c>
      <c r="C23" s="617"/>
      <c r="D23" s="117" t="s">
        <v>1453</v>
      </c>
      <c r="E23" s="530">
        <v>100330691</v>
      </c>
      <c r="F23" s="530"/>
      <c r="G23" s="531"/>
      <c r="H23" s="532"/>
      <c r="I23" s="532"/>
      <c r="J23" s="657" t="s">
        <v>814</v>
      </c>
    </row>
    <row r="24" spans="1:10" outlineLevel="1">
      <c r="B24" s="65" t="s">
        <v>3905</v>
      </c>
      <c r="C24" s="617"/>
      <c r="D24" s="117" t="s">
        <v>3895</v>
      </c>
      <c r="E24" s="530">
        <v>100333684</v>
      </c>
      <c r="F24" s="530"/>
      <c r="G24" s="531"/>
      <c r="H24" s="532"/>
      <c r="I24" s="532"/>
      <c r="J24" s="657" t="s">
        <v>814</v>
      </c>
    </row>
    <row r="25" spans="1:10" ht="57" customHeight="1">
      <c r="B25" s="65" t="s">
        <v>3906</v>
      </c>
      <c r="C25" s="613" t="s">
        <v>97</v>
      </c>
      <c r="D25" s="72" t="s">
        <v>3907</v>
      </c>
      <c r="E25" s="530">
        <v>100330692</v>
      </c>
      <c r="F25" s="530"/>
      <c r="G25" s="531"/>
      <c r="H25" s="532" t="s">
        <v>3908</v>
      </c>
      <c r="I25" s="532"/>
      <c r="J25" s="660" t="s">
        <v>814</v>
      </c>
    </row>
    <row r="26" spans="1:10" ht="24" customHeight="1">
      <c r="B26" s="65" t="s">
        <v>3909</v>
      </c>
      <c r="C26" s="613" t="s">
        <v>101</v>
      </c>
      <c r="D26" s="72" t="s">
        <v>3910</v>
      </c>
      <c r="E26" s="530">
        <v>100330954</v>
      </c>
      <c r="F26" s="530"/>
      <c r="G26" s="531"/>
      <c r="H26" s="532" t="s">
        <v>3911</v>
      </c>
      <c r="I26" s="532"/>
      <c r="J26" s="660" t="s">
        <v>814</v>
      </c>
    </row>
    <row r="27" spans="1:10">
      <c r="B27" s="65" t="s">
        <v>3912</v>
      </c>
      <c r="C27" s="617" t="s">
        <v>1884</v>
      </c>
      <c r="D27" s="250" t="s">
        <v>3913</v>
      </c>
      <c r="E27" s="530">
        <v>100330693</v>
      </c>
      <c r="F27" s="530"/>
      <c r="G27" s="531"/>
      <c r="H27" s="532" t="s">
        <v>3914</v>
      </c>
      <c r="I27" s="532"/>
      <c r="J27" s="657" t="s">
        <v>814</v>
      </c>
    </row>
    <row r="28" spans="1:10">
      <c r="B28" s="65" t="s">
        <v>3915</v>
      </c>
      <c r="C28" s="617" t="s">
        <v>1890</v>
      </c>
      <c r="D28" s="250" t="s">
        <v>3916</v>
      </c>
      <c r="E28" s="530">
        <v>100330694</v>
      </c>
      <c r="F28" s="530"/>
      <c r="G28" s="531"/>
      <c r="H28" s="532" t="s">
        <v>3917</v>
      </c>
      <c r="I28" s="532"/>
      <c r="J28" s="657" t="s">
        <v>814</v>
      </c>
    </row>
    <row r="29" spans="1:10">
      <c r="B29" s="65" t="s">
        <v>3918</v>
      </c>
      <c r="C29" s="617" t="s">
        <v>1896</v>
      </c>
      <c r="D29" s="250" t="s">
        <v>3919</v>
      </c>
      <c r="E29" s="530">
        <v>100330695</v>
      </c>
      <c r="F29" s="530"/>
      <c r="G29" s="531"/>
      <c r="H29" s="532" t="s">
        <v>3920</v>
      </c>
      <c r="I29" s="532"/>
      <c r="J29" s="657" t="s">
        <v>814</v>
      </c>
    </row>
    <row r="30" spans="1:10">
      <c r="B30" s="65" t="s">
        <v>3921</v>
      </c>
      <c r="C30" s="617" t="s">
        <v>3922</v>
      </c>
      <c r="D30" s="250" t="s">
        <v>3923</v>
      </c>
      <c r="E30" s="530">
        <v>100333685</v>
      </c>
      <c r="F30" s="530"/>
      <c r="G30" s="531"/>
      <c r="H30" s="532" t="s">
        <v>3924</v>
      </c>
      <c r="I30" s="532"/>
      <c r="J30" s="657" t="s">
        <v>814</v>
      </c>
    </row>
    <row r="31" spans="1:10">
      <c r="B31" s="65" t="s">
        <v>3925</v>
      </c>
      <c r="C31" s="617"/>
      <c r="D31" s="37" t="s">
        <v>804</v>
      </c>
      <c r="E31" s="530"/>
      <c r="F31" s="530"/>
      <c r="G31" s="531"/>
      <c r="H31" s="532"/>
      <c r="I31" s="532"/>
      <c r="J31" s="657"/>
    </row>
    <row r="32" spans="1:10" ht="24" customHeight="1">
      <c r="B32" s="65" t="s">
        <v>3926</v>
      </c>
      <c r="C32" s="785" t="s">
        <v>1902</v>
      </c>
      <c r="D32" s="859" t="s">
        <v>3836</v>
      </c>
      <c r="E32" s="530">
        <v>100332334</v>
      </c>
      <c r="F32" s="530"/>
      <c r="G32" s="531"/>
      <c r="H32" s="532" t="s">
        <v>3927</v>
      </c>
      <c r="I32" s="532"/>
      <c r="J32" s="660" t="s">
        <v>814</v>
      </c>
    </row>
    <row r="33" spans="1:10" ht="24" customHeight="1">
      <c r="B33" s="65" t="s">
        <v>3928</v>
      </c>
      <c r="C33" s="756"/>
      <c r="D33" s="756"/>
      <c r="E33" s="530">
        <v>100332335</v>
      </c>
      <c r="F33" s="530"/>
      <c r="G33" s="531"/>
      <c r="H33" s="532" t="s">
        <v>3929</v>
      </c>
      <c r="I33" s="532"/>
      <c r="J33" s="719" t="s">
        <v>820</v>
      </c>
    </row>
    <row r="34" spans="1:10">
      <c r="B34" s="65" t="s">
        <v>3930</v>
      </c>
      <c r="C34" s="786" t="s">
        <v>1907</v>
      </c>
      <c r="D34" s="857" t="s">
        <v>3931</v>
      </c>
      <c r="E34" s="530">
        <v>100330696</v>
      </c>
      <c r="F34" s="530"/>
      <c r="G34" s="531"/>
      <c r="H34" s="532"/>
      <c r="I34" s="532"/>
      <c r="J34" s="657" t="s">
        <v>814</v>
      </c>
    </row>
    <row r="35" spans="1:10">
      <c r="B35" s="65" t="s">
        <v>3932</v>
      </c>
      <c r="C35" s="756"/>
      <c r="D35" s="756"/>
      <c r="E35" s="530">
        <v>100330697</v>
      </c>
      <c r="F35" s="530"/>
      <c r="G35" s="531"/>
      <c r="H35" s="532"/>
      <c r="I35" s="532"/>
      <c r="J35" s="720" t="s">
        <v>820</v>
      </c>
    </row>
    <row r="36" spans="1:10">
      <c r="B36" s="65" t="s">
        <v>3933</v>
      </c>
      <c r="C36" s="786" t="s">
        <v>3934</v>
      </c>
      <c r="D36" s="857" t="s">
        <v>3935</v>
      </c>
      <c r="E36" s="530">
        <v>100330698</v>
      </c>
      <c r="F36" s="530"/>
      <c r="G36" s="531"/>
      <c r="H36" s="532"/>
      <c r="I36" s="532"/>
      <c r="J36" s="657" t="s">
        <v>814</v>
      </c>
    </row>
    <row r="37" spans="1:10">
      <c r="B37" s="65" t="s">
        <v>3936</v>
      </c>
      <c r="C37" s="756"/>
      <c r="D37" s="756"/>
      <c r="E37" s="530">
        <v>100330699</v>
      </c>
      <c r="F37" s="530"/>
      <c r="G37" s="531"/>
      <c r="H37" s="532"/>
      <c r="I37" s="532"/>
      <c r="J37" s="720" t="s">
        <v>820</v>
      </c>
    </row>
    <row r="38" spans="1:10" ht="18.75">
      <c r="A38"/>
      <c r="B38" s="65" t="s">
        <v>3937</v>
      </c>
      <c r="C38" s="786" t="s">
        <v>3938</v>
      </c>
      <c r="D38" s="857" t="s">
        <v>3939</v>
      </c>
      <c r="E38" s="530">
        <v>100330700</v>
      </c>
      <c r="F38" s="530"/>
      <c r="G38" s="531"/>
      <c r="H38" s="532"/>
      <c r="I38" s="532"/>
      <c r="J38" s="657" t="s">
        <v>814</v>
      </c>
    </row>
    <row r="39" spans="1:10">
      <c r="B39" s="65" t="s">
        <v>3940</v>
      </c>
      <c r="C39" s="756"/>
      <c r="D39" s="756"/>
      <c r="E39" s="530">
        <v>100330701</v>
      </c>
      <c r="F39" s="530"/>
      <c r="G39" s="531"/>
      <c r="H39" s="532"/>
      <c r="I39" s="532"/>
      <c r="J39" s="720" t="s">
        <v>820</v>
      </c>
    </row>
    <row r="40" spans="1:10">
      <c r="B40" s="65" t="s">
        <v>3941</v>
      </c>
      <c r="C40" s="786" t="s">
        <v>3942</v>
      </c>
      <c r="D40" s="857" t="s">
        <v>3943</v>
      </c>
      <c r="E40" s="530">
        <v>100333686</v>
      </c>
      <c r="F40" s="530"/>
      <c r="G40" s="531"/>
      <c r="H40" s="532"/>
      <c r="I40" s="532"/>
      <c r="J40" s="657" t="s">
        <v>814</v>
      </c>
    </row>
    <row r="41" spans="1:10">
      <c r="B41" s="65" t="s">
        <v>3944</v>
      </c>
      <c r="C41" s="756"/>
      <c r="D41" s="756"/>
      <c r="E41" s="530">
        <v>100333687</v>
      </c>
      <c r="F41" s="530"/>
      <c r="G41" s="531"/>
      <c r="H41" s="532"/>
      <c r="I41" s="532"/>
      <c r="J41" s="720" t="s">
        <v>820</v>
      </c>
    </row>
    <row r="42" spans="1:10" ht="24" customHeight="1">
      <c r="B42" s="65" t="s">
        <v>3945</v>
      </c>
      <c r="C42" s="617"/>
      <c r="D42" s="37" t="s">
        <v>3946</v>
      </c>
      <c r="E42" s="530">
        <v>100330100</v>
      </c>
      <c r="F42" s="530"/>
      <c r="G42" s="531"/>
      <c r="H42" s="532" t="s">
        <v>3947</v>
      </c>
      <c r="I42" s="532"/>
      <c r="J42" s="657" t="s">
        <v>814</v>
      </c>
    </row>
    <row r="43" spans="1:10" s="138" customFormat="1">
      <c r="A43" s="178"/>
      <c r="B43" s="254" t="s">
        <v>3948</v>
      </c>
      <c r="C43" s="617"/>
      <c r="D43" s="117" t="s">
        <v>3949</v>
      </c>
      <c r="E43" s="530">
        <v>100330702</v>
      </c>
      <c r="F43" s="530"/>
      <c r="G43" s="531"/>
      <c r="H43" s="532"/>
      <c r="I43" s="532"/>
      <c r="J43" s="650" t="s">
        <v>814</v>
      </c>
    </row>
    <row r="44" spans="1:10" s="138" customFormat="1">
      <c r="A44" s="178"/>
      <c r="B44" s="254" t="s">
        <v>3950</v>
      </c>
      <c r="C44" s="617"/>
      <c r="D44" s="117" t="s">
        <v>3951</v>
      </c>
      <c r="E44" s="530">
        <v>100330703</v>
      </c>
      <c r="F44" s="530"/>
      <c r="G44" s="531"/>
      <c r="H44" s="532"/>
      <c r="I44" s="532"/>
      <c r="J44" s="650" t="s">
        <v>814</v>
      </c>
    </row>
    <row r="45" spans="1:10" s="138" customFormat="1">
      <c r="A45" s="178"/>
      <c r="B45" s="254" t="s">
        <v>3952</v>
      </c>
      <c r="C45" s="617"/>
      <c r="D45" s="117" t="s">
        <v>3953</v>
      </c>
      <c r="E45" s="530">
        <v>100330704</v>
      </c>
      <c r="F45" s="530"/>
      <c r="G45" s="531"/>
      <c r="H45" s="532"/>
      <c r="I45" s="532"/>
      <c r="J45" s="650" t="s">
        <v>814</v>
      </c>
    </row>
    <row r="46" spans="1:10" s="138" customFormat="1">
      <c r="A46" s="178"/>
      <c r="B46" s="254" t="s">
        <v>3954</v>
      </c>
      <c r="C46" s="617"/>
      <c r="D46" s="117" t="s">
        <v>3955</v>
      </c>
      <c r="E46" s="530">
        <v>100333688</v>
      </c>
      <c r="F46" s="530"/>
      <c r="G46" s="531"/>
      <c r="H46" s="532"/>
      <c r="I46" s="532"/>
      <c r="J46" s="650" t="s">
        <v>814</v>
      </c>
    </row>
    <row r="47" spans="1:10" ht="39" customHeight="1">
      <c r="B47" s="65" t="s">
        <v>3956</v>
      </c>
      <c r="C47" s="617"/>
      <c r="D47" s="37" t="s">
        <v>3957</v>
      </c>
      <c r="E47" s="530">
        <v>100330705</v>
      </c>
      <c r="F47" s="530"/>
      <c r="G47" s="531"/>
      <c r="H47" s="532" t="s">
        <v>3958</v>
      </c>
      <c r="I47" s="532"/>
      <c r="J47" s="657" t="s">
        <v>814</v>
      </c>
    </row>
    <row r="48" spans="1:10" s="30" customFormat="1" ht="18.95" customHeight="1">
      <c r="A48" s="178"/>
      <c r="B48" s="65" t="s">
        <v>3959</v>
      </c>
      <c r="C48" s="617"/>
      <c r="D48" s="117" t="s">
        <v>3960</v>
      </c>
      <c r="E48" s="530">
        <v>100330706</v>
      </c>
      <c r="F48" s="530"/>
      <c r="G48" s="531"/>
      <c r="H48" s="532"/>
      <c r="I48" s="532"/>
      <c r="J48" s="657" t="s">
        <v>814</v>
      </c>
    </row>
    <row r="49" spans="1:10" s="30" customFormat="1" ht="18.95" customHeight="1">
      <c r="A49" s="178"/>
      <c r="B49" s="65" t="s">
        <v>3961</v>
      </c>
      <c r="C49" s="617"/>
      <c r="D49" s="117" t="s">
        <v>3962</v>
      </c>
      <c r="E49" s="530">
        <v>100330707</v>
      </c>
      <c r="F49" s="530"/>
      <c r="G49" s="531"/>
      <c r="H49" s="532"/>
      <c r="I49" s="532"/>
      <c r="J49" s="657" t="s">
        <v>814</v>
      </c>
    </row>
    <row r="50" spans="1:10" s="30" customFormat="1" ht="18.95" customHeight="1">
      <c r="A50" s="178"/>
      <c r="B50" s="65" t="s">
        <v>3963</v>
      </c>
      <c r="C50" s="617"/>
      <c r="D50" s="117" t="s">
        <v>3964</v>
      </c>
      <c r="E50" s="530">
        <v>100330708</v>
      </c>
      <c r="F50" s="530"/>
      <c r="G50" s="531"/>
      <c r="H50" s="532"/>
      <c r="I50" s="532"/>
      <c r="J50" s="657" t="s">
        <v>814</v>
      </c>
    </row>
    <row r="51" spans="1:10" s="30" customFormat="1" ht="18.95" customHeight="1">
      <c r="A51" s="178"/>
      <c r="B51" s="65" t="s">
        <v>3965</v>
      </c>
      <c r="C51" s="617"/>
      <c r="D51" s="117" t="s">
        <v>3966</v>
      </c>
      <c r="E51" s="530">
        <v>100333689</v>
      </c>
      <c r="F51" s="530"/>
      <c r="G51" s="531"/>
      <c r="H51" s="532"/>
      <c r="I51" s="532"/>
      <c r="J51" s="657" t="s">
        <v>814</v>
      </c>
    </row>
    <row r="52" spans="1:10" ht="38.25" customHeight="1" outlineLevel="1">
      <c r="B52" s="65" t="s">
        <v>3967</v>
      </c>
      <c r="C52" s="613" t="s">
        <v>191</v>
      </c>
      <c r="D52" s="37" t="s">
        <v>2623</v>
      </c>
      <c r="E52" s="530"/>
      <c r="F52" s="530"/>
      <c r="G52" s="531"/>
      <c r="H52" s="532"/>
      <c r="I52" s="532"/>
      <c r="J52" s="657" t="s">
        <v>814</v>
      </c>
    </row>
    <row r="53" spans="1:10" ht="18.95" customHeight="1" outlineLevel="1">
      <c r="B53" s="65" t="s">
        <v>3968</v>
      </c>
      <c r="C53" s="617"/>
      <c r="D53" s="117" t="s">
        <v>3969</v>
      </c>
      <c r="E53" s="530">
        <v>100330709</v>
      </c>
      <c r="F53" s="530"/>
      <c r="G53" s="531"/>
      <c r="H53" s="532" t="s">
        <v>3970</v>
      </c>
      <c r="I53" s="532"/>
      <c r="J53" s="657" t="s">
        <v>814</v>
      </c>
    </row>
    <row r="54" spans="1:10" ht="18.95" customHeight="1" outlineLevel="1">
      <c r="B54" s="65" t="s">
        <v>3971</v>
      </c>
      <c r="C54" s="617"/>
      <c r="D54" s="117" t="s">
        <v>3972</v>
      </c>
      <c r="E54" s="530">
        <v>100330710</v>
      </c>
      <c r="F54" s="530"/>
      <c r="G54" s="531"/>
      <c r="H54" s="532" t="s">
        <v>3973</v>
      </c>
      <c r="I54" s="532"/>
      <c r="J54" s="657" t="s">
        <v>814</v>
      </c>
    </row>
    <row r="55" spans="1:10" ht="18.95" customHeight="1" outlineLevel="1">
      <c r="B55" s="65" t="s">
        <v>3974</v>
      </c>
      <c r="C55" s="617"/>
      <c r="D55" s="117" t="s">
        <v>3975</v>
      </c>
      <c r="E55" s="530">
        <v>100330711</v>
      </c>
      <c r="F55" s="530"/>
      <c r="G55" s="531"/>
      <c r="H55" s="532" t="s">
        <v>3976</v>
      </c>
      <c r="I55" s="532"/>
      <c r="J55" s="657" t="s">
        <v>814</v>
      </c>
    </row>
    <row r="56" spans="1:10" ht="18.75" customHeight="1" outlineLevel="1">
      <c r="B56" s="65" t="s">
        <v>3977</v>
      </c>
      <c r="C56" s="255"/>
      <c r="D56" s="256" t="s">
        <v>3978</v>
      </c>
      <c r="E56" s="530">
        <v>100333690</v>
      </c>
      <c r="F56" s="530"/>
      <c r="G56" s="531"/>
      <c r="H56" s="532" t="s">
        <v>3979</v>
      </c>
      <c r="I56" s="532"/>
      <c r="J56" s="668" t="s">
        <v>814</v>
      </c>
    </row>
    <row r="57" spans="1:10" ht="18.95" customHeight="1">
      <c r="B57" s="65"/>
      <c r="C57" s="257"/>
      <c r="D57" s="380"/>
      <c r="E57" s="380"/>
      <c r="F57" s="380"/>
      <c r="G57" s="380"/>
      <c r="H57" s="380"/>
      <c r="I57" s="380"/>
    </row>
    <row r="58" spans="1:10" ht="18.95" customHeight="1">
      <c r="B58" s="65"/>
      <c r="C58" s="257"/>
      <c r="D58" s="380"/>
      <c r="E58" s="380"/>
      <c r="F58" s="380"/>
      <c r="G58" s="380"/>
      <c r="H58" s="380"/>
      <c r="I58" s="380"/>
    </row>
    <row r="59" spans="1:10">
      <c r="B59" s="83"/>
      <c r="C59" s="135"/>
    </row>
    <row r="60" spans="1:10">
      <c r="B60" s="83"/>
      <c r="C60" s="135"/>
    </row>
  </sheetData>
  <mergeCells count="21">
    <mergeCell ref="B6:B8"/>
    <mergeCell ref="C3:J3"/>
    <mergeCell ref="H7:H8"/>
    <mergeCell ref="C6:C8"/>
    <mergeCell ref="J6:J8"/>
    <mergeCell ref="C34:C35"/>
    <mergeCell ref="C36:C37"/>
    <mergeCell ref="E7:E8"/>
    <mergeCell ref="C38:C39"/>
    <mergeCell ref="D40:D41"/>
    <mergeCell ref="G7:G8"/>
    <mergeCell ref="I7:I8"/>
    <mergeCell ref="C40:C41"/>
    <mergeCell ref="D6:D8"/>
    <mergeCell ref="E6:I6"/>
    <mergeCell ref="C32:C33"/>
    <mergeCell ref="D36:D37"/>
    <mergeCell ref="D32:D33"/>
    <mergeCell ref="D38:D39"/>
    <mergeCell ref="D34:D35"/>
    <mergeCell ref="F7:F8"/>
  </mergeCells>
  <conditionalFormatting sqref="O10:O56 P10:P56 U10:U56 V10:V56 AA10:AA56 AB10:AB56 AG10:AG56 AH10:AH56 AM10:AM56 AN10:AN56 AS10:AS56 AT10:AT56 AY10:AY56 AZ10:AZ56 BE10:BE56 BF10:BF56 BK10:BK56 BL10:BL56 BQ10:BQ56 BR10:BR56 BW10:BW56 BX10:BX56 CC10:CC56 CD10:CD56 CI10:CI56 CJ10:CJ56 CO10:CO56 CP10:CP56 CU10:CU56 CV10:CV56 DA10:DA56 DB10:DB56 DG10:DG56 DH10:DH56">
    <cfRule type="cellIs" dxfId="34" priority="3" operator="greaterThan">
      <formula>0</formula>
    </cfRule>
    <cfRule type="cellIs" dxfId="33" priority="2" operator="lessThan">
      <formula>0</formula>
    </cfRule>
    <cfRule type="cellIs" dxfId="32" priority="1" operator="equal">
      <formula>0</formula>
    </cfRule>
  </conditionalFormatting>
  <conditionalFormatting sqref="L10:L56 N10:N56 R10:R56 T10:T56 X10:X56 Z10:Z56 AD10:AD56 AF10:AF56 AJ10:AJ56 AL10:AL56 AP10:AP56 AR10:AR56 AV10:AV56 AX10:AX56 BB10:BB56 BD10:BD56 BH10:BH56 BJ10:BJ56 BN10:BN56 BP10:BP56 BT10:BT56 BV10:BV56 BZ10:BZ56 CB10:CB56 CF10:CF56 CH10:CH56 CL10:CL56 CN10:CN56 CR10:CR56 CT10:CT56 CX10:CX56 CZ10:CZ56 DD10:DD56 DF10:DF56">
    <cfRule type="cellIs" dxfId="31" priority="4" operator="equal">
      <formula>0</formula>
    </cfRule>
  </conditionalFormatting>
  <pageMargins left="0.7" right="0.7" top="0.75" bottom="0.75" header="0.3" footer="0.3"/>
  <pageSetup paperSize="9" fitToHeight="0"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6">
    <tabColor theme="8" tint="0.59999389629810485"/>
    <pageSetUpPr fitToPage="1"/>
  </sheetPr>
  <dimension ref="A1:DH40"/>
  <sheetViews>
    <sheetView topLeftCell="C1" zoomScale="60" zoomScaleNormal="60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8.42578125" defaultRowHeight="18.75" outlineLevelRow="1" outlineLevelCol="1"/>
  <cols>
    <col min="1" max="1" width="16.7109375" style="323" hidden="1" customWidth="1" outlineLevel="1"/>
    <col min="2" max="2" width="46.42578125" style="323" hidden="1" customWidth="1" outlineLevel="1"/>
    <col min="3" max="3" width="12.140625" style="84" bestFit="1" customWidth="1" collapsed="1"/>
    <col min="4" max="4" width="59.140625" style="323" customWidth="1"/>
    <col min="5" max="9" width="24.42578125" style="323" customWidth="1" outlineLevel="1"/>
    <col min="10" max="10" width="12.85546875" style="391" bestFit="1" customWidth="1"/>
    <col min="11" max="11" width="8.42578125" style="323" customWidth="1"/>
    <col min="12" max="112" width="8.42578125" style="621" customWidth="1"/>
    <col min="113" max="16384" width="8.42578125" style="323"/>
  </cols>
  <sheetData>
    <row r="1" spans="1:10" ht="15" customHeight="1"/>
    <row r="2" spans="1:10" ht="15" customHeight="1"/>
    <row r="3" spans="1:10" ht="21.75" customHeight="1"/>
    <row r="4" spans="1:10" ht="17.25" customHeight="1"/>
    <row r="5" spans="1:10" s="325" customFormat="1" ht="21.75" customHeight="1">
      <c r="C5" s="258" t="s">
        <v>3980</v>
      </c>
      <c r="J5" s="259"/>
    </row>
    <row r="6" spans="1:10" ht="20.100000000000001" customHeight="1">
      <c r="B6" s="787" t="s">
        <v>1799</v>
      </c>
      <c r="C6" s="828" t="s">
        <v>2666</v>
      </c>
      <c r="D6" s="783" t="s">
        <v>16</v>
      </c>
      <c r="E6" s="761" t="s">
        <v>17</v>
      </c>
      <c r="F6" s="762"/>
      <c r="G6" s="762"/>
      <c r="H6" s="762"/>
      <c r="I6" s="763"/>
      <c r="J6" s="783" t="s">
        <v>1365</v>
      </c>
    </row>
    <row r="7" spans="1:10" ht="39.950000000000003" customHeight="1">
      <c r="B7" s="790"/>
      <c r="C7" s="756"/>
      <c r="D7" s="756"/>
      <c r="E7" s="741" t="s">
        <v>19</v>
      </c>
      <c r="F7" s="741" t="s">
        <v>20</v>
      </c>
      <c r="G7" s="741" t="s">
        <v>21</v>
      </c>
      <c r="H7" s="741" t="s">
        <v>22</v>
      </c>
      <c r="I7" s="741" t="s">
        <v>23</v>
      </c>
      <c r="J7" s="756"/>
    </row>
    <row r="8" spans="1:10" ht="20.100000000000001" customHeight="1">
      <c r="A8" s="323">
        <v>1</v>
      </c>
      <c r="B8" s="790"/>
      <c r="C8" s="757"/>
      <c r="D8" s="757"/>
      <c r="E8" s="742"/>
      <c r="F8" s="742"/>
      <c r="G8" s="742"/>
      <c r="H8" s="742"/>
      <c r="I8" s="742"/>
      <c r="J8" s="757"/>
    </row>
    <row r="9" spans="1:10" ht="20.100000000000001" hidden="1" customHeight="1">
      <c r="B9" s="610"/>
      <c r="C9" s="648"/>
      <c r="D9" s="647"/>
      <c r="E9" s="391"/>
      <c r="F9" s="391"/>
      <c r="G9" s="391"/>
      <c r="H9" s="391"/>
      <c r="I9" s="391"/>
      <c r="J9" s="381"/>
    </row>
    <row r="10" spans="1:10" s="325" customFormat="1">
      <c r="A10" s="325">
        <v>100330000</v>
      </c>
      <c r="B10" s="1" t="s">
        <v>3981</v>
      </c>
      <c r="C10" s="25">
        <v>1</v>
      </c>
      <c r="D10" s="200" t="s">
        <v>3982</v>
      </c>
      <c r="E10" s="530" t="s">
        <v>3301</v>
      </c>
      <c r="F10" s="530"/>
      <c r="G10" s="531"/>
      <c r="H10" s="532" t="s">
        <v>3302</v>
      </c>
      <c r="I10" s="532"/>
      <c r="J10" s="381" t="s">
        <v>814</v>
      </c>
    </row>
    <row r="11" spans="1:10" ht="57" customHeight="1">
      <c r="A11" s="323">
        <v>100330735</v>
      </c>
      <c r="B11" s="260" t="s">
        <v>3983</v>
      </c>
      <c r="C11" s="653" t="s">
        <v>43</v>
      </c>
      <c r="D11" s="615" t="s">
        <v>3984</v>
      </c>
      <c r="E11" s="530">
        <v>100330735</v>
      </c>
      <c r="F11" s="530"/>
      <c r="G11" s="531"/>
      <c r="H11" s="532"/>
      <c r="I11" s="532"/>
      <c r="J11" s="381" t="s">
        <v>814</v>
      </c>
    </row>
    <row r="12" spans="1:10" ht="20.100000000000001" customHeight="1" outlineLevel="1">
      <c r="A12" s="323">
        <v>100330736</v>
      </c>
      <c r="B12" s="261" t="s">
        <v>3985</v>
      </c>
      <c r="C12" s="209" t="s">
        <v>850</v>
      </c>
      <c r="D12" s="37" t="s">
        <v>3985</v>
      </c>
      <c r="E12" s="530">
        <v>100330736</v>
      </c>
      <c r="F12" s="530"/>
      <c r="G12" s="531"/>
      <c r="H12" s="532"/>
      <c r="I12" s="532"/>
      <c r="J12" s="381" t="s">
        <v>814</v>
      </c>
    </row>
    <row r="13" spans="1:10" s="325" customFormat="1" ht="20.100000000000001" customHeight="1">
      <c r="A13" s="325">
        <v>100330049</v>
      </c>
      <c r="B13" s="1" t="s">
        <v>3315</v>
      </c>
      <c r="C13" s="660">
        <v>3</v>
      </c>
      <c r="D13" s="616" t="s">
        <v>3315</v>
      </c>
      <c r="E13" s="530">
        <v>100330049</v>
      </c>
      <c r="F13" s="530"/>
      <c r="G13" s="531"/>
      <c r="H13" s="532" t="s">
        <v>3986</v>
      </c>
      <c r="I13" s="532"/>
      <c r="J13" s="381" t="s">
        <v>814</v>
      </c>
    </row>
    <row r="14" spans="1:10" ht="19.5" customHeight="1">
      <c r="A14" s="323">
        <v>100330679</v>
      </c>
      <c r="B14" s="262" t="s">
        <v>3749</v>
      </c>
      <c r="C14" s="784" t="s">
        <v>90</v>
      </c>
      <c r="D14" s="778" t="s">
        <v>3749</v>
      </c>
      <c r="E14" s="530">
        <v>100330679</v>
      </c>
      <c r="F14" s="530"/>
      <c r="G14" s="531"/>
      <c r="H14" s="532"/>
      <c r="I14" s="532"/>
      <c r="J14" s="381" t="s">
        <v>814</v>
      </c>
    </row>
    <row r="15" spans="1:10" ht="19.5" customHeight="1">
      <c r="A15" s="323">
        <v>100330680</v>
      </c>
      <c r="B15" s="262"/>
      <c r="C15" s="756"/>
      <c r="D15" s="756"/>
      <c r="E15" s="530">
        <v>100330680</v>
      </c>
      <c r="F15" s="530"/>
      <c r="G15" s="531"/>
      <c r="H15" s="532"/>
      <c r="I15" s="532"/>
      <c r="J15" s="733" t="s">
        <v>820</v>
      </c>
    </row>
    <row r="16" spans="1:10" ht="20.100000000000001" customHeight="1">
      <c r="A16" s="323">
        <v>100330866</v>
      </c>
      <c r="B16" s="260" t="s">
        <v>1197</v>
      </c>
      <c r="C16" s="69" t="s">
        <v>91</v>
      </c>
      <c r="D16" s="162" t="s">
        <v>3987</v>
      </c>
      <c r="E16" s="530">
        <v>100330866</v>
      </c>
      <c r="F16" s="530"/>
      <c r="G16" s="531"/>
      <c r="H16" s="532"/>
      <c r="I16" s="532"/>
      <c r="J16" s="381" t="s">
        <v>814</v>
      </c>
    </row>
    <row r="17" spans="1:10" ht="18" customHeight="1">
      <c r="A17" s="323">
        <v>100335331</v>
      </c>
      <c r="B17" s="262" t="s">
        <v>1541</v>
      </c>
      <c r="C17" s="69" t="s">
        <v>1092</v>
      </c>
      <c r="D17" s="72" t="s">
        <v>3988</v>
      </c>
      <c r="E17" s="530">
        <v>100335331</v>
      </c>
      <c r="F17" s="530"/>
      <c r="G17" s="531"/>
      <c r="H17" s="532"/>
      <c r="I17" s="532"/>
      <c r="J17" s="381" t="s">
        <v>814</v>
      </c>
    </row>
    <row r="18" spans="1:10" ht="37.5" customHeight="1">
      <c r="A18" s="323">
        <v>100330737</v>
      </c>
      <c r="B18" s="262" t="s">
        <v>3989</v>
      </c>
      <c r="C18" s="75"/>
      <c r="D18" s="263" t="s">
        <v>3990</v>
      </c>
      <c r="E18" s="530">
        <v>100330737</v>
      </c>
      <c r="F18" s="530"/>
      <c r="G18" s="531"/>
      <c r="H18" s="532"/>
      <c r="I18" s="532"/>
      <c r="J18" s="381" t="s">
        <v>814</v>
      </c>
    </row>
    <row r="19" spans="1:10" ht="20.100000000000001" customHeight="1">
      <c r="A19" s="323">
        <v>100330867</v>
      </c>
      <c r="B19" s="260" t="s">
        <v>3991</v>
      </c>
      <c r="C19" s="323"/>
      <c r="D19" s="72" t="s">
        <v>3992</v>
      </c>
      <c r="E19" s="530">
        <v>100330867</v>
      </c>
      <c r="F19" s="530"/>
      <c r="G19" s="531"/>
      <c r="H19" s="532"/>
      <c r="I19" s="532"/>
      <c r="J19" s="381" t="s">
        <v>814</v>
      </c>
    </row>
    <row r="20" spans="1:10" ht="20.100000000000001" customHeight="1">
      <c r="A20" s="323">
        <v>100336107</v>
      </c>
      <c r="B20" s="264" t="s">
        <v>3993</v>
      </c>
      <c r="C20" s="69"/>
      <c r="D20" s="265" t="s">
        <v>3993</v>
      </c>
      <c r="E20" s="530">
        <v>100336107</v>
      </c>
      <c r="F20" s="530"/>
      <c r="G20" s="531"/>
      <c r="H20" s="532"/>
      <c r="I20" s="532"/>
      <c r="J20" s="381" t="s">
        <v>814</v>
      </c>
    </row>
    <row r="21" spans="1:10" ht="37.5" customHeight="1">
      <c r="A21" s="323">
        <v>100336108</v>
      </c>
      <c r="B21" s="264" t="s">
        <v>3994</v>
      </c>
      <c r="C21" s="69"/>
      <c r="D21" s="265" t="s">
        <v>3994</v>
      </c>
      <c r="E21" s="530">
        <v>100336108</v>
      </c>
      <c r="F21" s="530"/>
      <c r="G21" s="531"/>
      <c r="H21" s="532"/>
      <c r="I21" s="532"/>
      <c r="J21" s="381" t="s">
        <v>814</v>
      </c>
    </row>
    <row r="22" spans="1:10" ht="20.100000000000001" customHeight="1">
      <c r="A22" s="323">
        <v>1</v>
      </c>
      <c r="B22" s="262" t="s">
        <v>804</v>
      </c>
      <c r="C22" s="69"/>
      <c r="D22" s="266" t="s">
        <v>804</v>
      </c>
      <c r="E22" s="530"/>
      <c r="F22" s="530"/>
      <c r="G22" s="531"/>
      <c r="H22" s="532"/>
      <c r="I22" s="532"/>
      <c r="J22" s="381"/>
    </row>
    <row r="23" spans="1:10" ht="20.100000000000001" customHeight="1">
      <c r="A23" s="323">
        <v>100336109</v>
      </c>
      <c r="B23" s="264" t="s">
        <v>3995</v>
      </c>
      <c r="C23" s="75"/>
      <c r="D23" s="267" t="s">
        <v>3995</v>
      </c>
      <c r="E23" s="530">
        <v>100336109</v>
      </c>
      <c r="F23" s="530"/>
      <c r="G23" s="531"/>
      <c r="H23" s="532" t="s">
        <v>3996</v>
      </c>
      <c r="I23" s="532"/>
      <c r="J23" s="381" t="s">
        <v>814</v>
      </c>
    </row>
    <row r="24" spans="1:10" ht="20.100000000000001" customHeight="1">
      <c r="A24" s="323">
        <v>100336110</v>
      </c>
      <c r="B24" s="268" t="s">
        <v>3997</v>
      </c>
      <c r="C24" s="75"/>
      <c r="D24" s="269" t="s">
        <v>3997</v>
      </c>
      <c r="E24" s="530">
        <v>100336110</v>
      </c>
      <c r="F24" s="530"/>
      <c r="G24" s="531"/>
      <c r="H24" s="532"/>
      <c r="I24" s="532"/>
      <c r="J24" s="381" t="s">
        <v>814</v>
      </c>
    </row>
    <row r="25" spans="1:10" ht="20.100000000000001" customHeight="1">
      <c r="A25" s="323">
        <v>100336164</v>
      </c>
      <c r="B25" s="268" t="s">
        <v>3998</v>
      </c>
      <c r="C25" s="75"/>
      <c r="D25" s="269" t="s">
        <v>3999</v>
      </c>
      <c r="E25" s="530">
        <v>100336164</v>
      </c>
      <c r="F25" s="530"/>
      <c r="G25" s="531"/>
      <c r="H25" s="532"/>
      <c r="I25" s="532"/>
      <c r="J25" s="381"/>
    </row>
    <row r="26" spans="1:10" ht="20.100000000000001" customHeight="1">
      <c r="A26" s="323">
        <v>100336111</v>
      </c>
      <c r="B26" s="261" t="s">
        <v>3865</v>
      </c>
      <c r="C26" s="75"/>
      <c r="D26" s="269" t="s">
        <v>3998</v>
      </c>
      <c r="E26" s="530">
        <v>100336111</v>
      </c>
      <c r="F26" s="530"/>
      <c r="G26" s="531"/>
      <c r="H26" s="532"/>
      <c r="I26" s="532"/>
      <c r="J26" s="381" t="s">
        <v>814</v>
      </c>
    </row>
    <row r="27" spans="1:10" s="327" customFormat="1" ht="41.25" customHeight="1" outlineLevel="1">
      <c r="A27" s="327">
        <v>100330863</v>
      </c>
      <c r="B27" s="261" t="s">
        <v>804</v>
      </c>
      <c r="C27" s="270" t="s">
        <v>2753</v>
      </c>
      <c r="D27" s="271" t="s">
        <v>3865</v>
      </c>
      <c r="E27" s="530">
        <v>100330863</v>
      </c>
      <c r="F27" s="530"/>
      <c r="G27" s="531"/>
      <c r="H27" s="532" t="s">
        <v>4000</v>
      </c>
      <c r="I27" s="532"/>
      <c r="J27" s="272" t="s">
        <v>814</v>
      </c>
    </row>
    <row r="28" spans="1:10" outlineLevel="1">
      <c r="A28" s="323">
        <v>2</v>
      </c>
      <c r="B28" s="273" t="s">
        <v>4001</v>
      </c>
      <c r="C28" s="209"/>
      <c r="D28" s="266" t="s">
        <v>804</v>
      </c>
      <c r="E28" s="530"/>
      <c r="F28" s="530"/>
      <c r="G28" s="531"/>
      <c r="H28" s="532"/>
      <c r="I28" s="532"/>
      <c r="J28" s="381"/>
    </row>
    <row r="29" spans="1:10" outlineLevel="1">
      <c r="A29" s="323">
        <v>100336112</v>
      </c>
      <c r="B29" s="264" t="s">
        <v>4002</v>
      </c>
      <c r="C29" s="209"/>
      <c r="D29" s="162" t="s">
        <v>4001</v>
      </c>
      <c r="E29" s="530">
        <v>100336112</v>
      </c>
      <c r="F29" s="530"/>
      <c r="G29" s="531"/>
      <c r="H29" s="532"/>
      <c r="I29" s="532"/>
      <c r="J29" s="381" t="s">
        <v>814</v>
      </c>
    </row>
    <row r="30" spans="1:10" ht="19.5" customHeight="1" outlineLevel="1">
      <c r="A30" s="323">
        <v>100336113</v>
      </c>
      <c r="B30" s="261" t="s">
        <v>804</v>
      </c>
      <c r="C30" s="209"/>
      <c r="D30" s="35" t="s">
        <v>4002</v>
      </c>
      <c r="E30" s="530">
        <v>100336113</v>
      </c>
      <c r="F30" s="530"/>
      <c r="G30" s="531"/>
      <c r="H30" s="532"/>
      <c r="I30" s="532"/>
      <c r="J30" s="381" t="s">
        <v>814</v>
      </c>
    </row>
    <row r="31" spans="1:10" outlineLevel="1">
      <c r="A31" s="323">
        <v>3</v>
      </c>
      <c r="B31" s="262" t="s">
        <v>4003</v>
      </c>
      <c r="C31" s="209"/>
      <c r="D31" s="266" t="s">
        <v>804</v>
      </c>
      <c r="E31" s="530"/>
      <c r="F31" s="530"/>
      <c r="G31" s="531"/>
      <c r="H31" s="532"/>
      <c r="I31" s="532"/>
      <c r="J31" s="381"/>
    </row>
    <row r="32" spans="1:10" ht="20.100000000000001" customHeight="1">
      <c r="A32" s="323">
        <v>100335698</v>
      </c>
      <c r="B32" s="262" t="s">
        <v>4004</v>
      </c>
      <c r="C32" s="75"/>
      <c r="D32" s="263" t="s">
        <v>4003</v>
      </c>
      <c r="E32" s="530">
        <v>100335698</v>
      </c>
      <c r="F32" s="530"/>
      <c r="G32" s="531"/>
      <c r="H32" s="532"/>
      <c r="I32" s="532"/>
      <c r="J32" s="381" t="s">
        <v>814</v>
      </c>
    </row>
    <row r="33" spans="1:10" ht="20.100000000000001" customHeight="1">
      <c r="A33" s="323">
        <v>100335699</v>
      </c>
      <c r="B33" s="23"/>
      <c r="C33" s="220"/>
      <c r="D33" s="274" t="s">
        <v>4004</v>
      </c>
      <c r="E33" s="530">
        <v>100335699</v>
      </c>
      <c r="F33" s="530"/>
      <c r="G33" s="531"/>
      <c r="H33" s="532"/>
      <c r="I33" s="532"/>
      <c r="J33" s="381" t="s">
        <v>814</v>
      </c>
    </row>
    <row r="34" spans="1:10">
      <c r="B34" s="83"/>
      <c r="C34" s="39"/>
      <c r="D34" s="327" t="s">
        <v>4005</v>
      </c>
      <c r="E34" s="327"/>
      <c r="F34" s="327"/>
      <c r="G34" s="327"/>
      <c r="H34" s="327"/>
      <c r="I34" s="327"/>
      <c r="J34" s="275"/>
    </row>
    <row r="35" spans="1:10">
      <c r="B35" s="83"/>
      <c r="C35" s="39"/>
      <c r="D35" s="327" t="s">
        <v>4006</v>
      </c>
      <c r="E35" s="327"/>
      <c r="F35" s="327"/>
      <c r="G35" s="327"/>
      <c r="H35" s="327"/>
      <c r="I35" s="327"/>
      <c r="J35" s="275"/>
    </row>
    <row r="36" spans="1:10">
      <c r="B36" s="83"/>
      <c r="C36" s="39"/>
      <c r="D36" s="327" t="s">
        <v>4007</v>
      </c>
      <c r="E36" s="327"/>
      <c r="F36" s="327"/>
      <c r="G36" s="327"/>
      <c r="H36" s="327"/>
      <c r="I36" s="327"/>
      <c r="J36" s="275"/>
    </row>
    <row r="37" spans="1:10">
      <c r="B37" s="83"/>
      <c r="C37" s="39"/>
      <c r="D37" s="138" t="s">
        <v>3416</v>
      </c>
      <c r="E37" s="138"/>
      <c r="F37" s="138"/>
      <c r="G37" s="138"/>
      <c r="H37" s="138"/>
      <c r="I37" s="138"/>
      <c r="J37" s="389"/>
    </row>
    <row r="38" spans="1:10">
      <c r="C38" s="247"/>
      <c r="J38" s="395"/>
    </row>
    <row r="39" spans="1:10" hidden="1">
      <c r="D39" s="276" t="s">
        <v>4008</v>
      </c>
      <c r="E39" s="276"/>
      <c r="F39" s="276"/>
      <c r="G39" s="276"/>
      <c r="H39" s="276"/>
      <c r="I39" s="276"/>
    </row>
    <row r="40" spans="1:10" ht="18.75" hidden="1" customHeight="1">
      <c r="D40" s="276" t="s">
        <v>4009</v>
      </c>
      <c r="E40" s="276"/>
      <c r="F40" s="276"/>
      <c r="G40" s="276"/>
      <c r="H40" s="276"/>
      <c r="I40" s="276"/>
      <c r="J40" s="19"/>
    </row>
  </sheetData>
  <mergeCells count="12">
    <mergeCell ref="J6:J8"/>
    <mergeCell ref="E7:E8"/>
    <mergeCell ref="D14:D15"/>
    <mergeCell ref="B6:B8"/>
    <mergeCell ref="H7:H8"/>
    <mergeCell ref="C6:C8"/>
    <mergeCell ref="F7:F8"/>
    <mergeCell ref="C14:C15"/>
    <mergeCell ref="G7:G8"/>
    <mergeCell ref="I7:I8"/>
    <mergeCell ref="D6:D8"/>
    <mergeCell ref="E6:I6"/>
  </mergeCells>
  <conditionalFormatting sqref="O10:O33 P10:P33 U10:U33 V10:V33 AA10:AA33 AB10:AB33 AG10:AG33 AH10:AH33 AM10:AM33 AN10:AN33 AS10:AS33 AT10:AT33 AY10:AY33 AZ10:AZ33 BE10:BE33 BF10:BF33 BK10:BK33 BL10:BL33 BQ10:BQ33 BR10:BR33 BW10:BW33 BX10:BX33 CC10:CC33 CD10:CD33 CI10:CI33 CJ10:CJ33 CO10:CO33 CP10:CP33 CU10:CU33 CV10:CV33 DA10:DA33 DB10:DB33 DG10:DG33 DH10:DH33">
    <cfRule type="cellIs" dxfId="30" priority="3" operator="greaterThan">
      <formula>0</formula>
    </cfRule>
    <cfRule type="cellIs" dxfId="29" priority="2" operator="lessThan">
      <formula>0</formula>
    </cfRule>
    <cfRule type="cellIs" dxfId="28" priority="1" operator="equal">
      <formula>0</formula>
    </cfRule>
  </conditionalFormatting>
  <conditionalFormatting sqref="L10:L33 N10:N33 R10:R33 T10:T33 X10:X33 Z10:Z33 AD10:AD33 AF10:AF33 AJ10:AJ33 AL10:AL33 AP10:AP33 AR10:AR33 AV10:AV33 AX10:AX33 BB10:BB33 BD10:BD33 BH10:BH33 BJ10:BJ33 BN10:BN33 BP10:BP33 BT10:BT33 BV10:BV33 BZ10:BZ33 CB10:CB33 CF10:CF33 CH10:CH33 CL10:CL33 CN10:CN33 CR10:CR33 CT10:CT33 CX10:CX33 CZ10:CZ33 DD10:DD33 DF10:DF33">
    <cfRule type="cellIs" dxfId="27" priority="4" operator="equal">
      <formula>0</formula>
    </cfRule>
  </conditionalFormatting>
  <pageMargins left="0.7" right="0.7" top="0.75" bottom="0.75" header="0.3" footer="0.3"/>
  <pageSetup paperSize="9" fitToHeight="0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tabColor theme="8" tint="0.59999389629810485"/>
    <pageSetUpPr fitToPage="1"/>
  </sheetPr>
  <dimension ref="A1:DH47"/>
  <sheetViews>
    <sheetView topLeftCell="C1" zoomScale="60" zoomScaleNormal="60" workbookViewId="0">
      <pane xSplit="8" ySplit="9" topLeftCell="K16" activePane="bottomRight" state="frozen"/>
      <selection activeCell="C1" sqref="C1"/>
      <selection pane="topRight" activeCell="K1" sqref="K1"/>
      <selection pane="bottomLeft" activeCell="C10" sqref="C10"/>
      <selection pane="bottomRight" activeCell="H31" sqref="H31"/>
    </sheetView>
  </sheetViews>
  <sheetFormatPr defaultColWidth="8.42578125" defaultRowHeight="18.75" outlineLevelRow="1" outlineLevelCol="1"/>
  <cols>
    <col min="1" max="1" width="13" style="323" hidden="1" customWidth="1" outlineLevel="1"/>
    <col min="2" max="2" width="10.5703125" style="323" hidden="1" customWidth="1" outlineLevel="1"/>
    <col min="3" max="3" width="12.140625" style="84" bestFit="1" customWidth="1" collapsed="1"/>
    <col min="4" max="4" width="72.7109375" style="323" customWidth="1"/>
    <col min="5" max="9" width="30.5703125" style="323" customWidth="1" outlineLevel="1"/>
    <col min="10" max="10" width="13" style="324" bestFit="1" customWidth="1"/>
    <col min="11" max="11" width="8.42578125" style="323" customWidth="1"/>
    <col min="12" max="112" width="8.42578125" style="621" customWidth="1"/>
    <col min="113" max="16384" width="8.42578125" style="323"/>
  </cols>
  <sheetData>
    <row r="1" spans="2:10" ht="15" customHeight="1"/>
    <row r="2" spans="2:10" ht="15" customHeight="1"/>
    <row r="3" spans="2:10" ht="20.25" customHeight="1">
      <c r="C3" s="864" t="s">
        <v>4010</v>
      </c>
      <c r="D3" s="790"/>
      <c r="E3" s="790"/>
      <c r="F3" s="790"/>
      <c r="G3" s="790"/>
      <c r="H3" s="790"/>
      <c r="I3" s="790"/>
      <c r="J3" s="791"/>
    </row>
    <row r="4" spans="2:10" ht="19.5" customHeight="1"/>
    <row r="5" spans="2:10" ht="18.75" customHeight="1">
      <c r="B5" s="325"/>
      <c r="C5" s="363" t="s">
        <v>4011</v>
      </c>
      <c r="J5" s="730"/>
    </row>
    <row r="6" spans="2:10" ht="20.100000000000001" customHeight="1">
      <c r="B6" s="787" t="s">
        <v>1799</v>
      </c>
      <c r="C6" s="828" t="s">
        <v>2666</v>
      </c>
      <c r="D6" s="863" t="s">
        <v>16</v>
      </c>
      <c r="E6" s="761" t="s">
        <v>17</v>
      </c>
      <c r="F6" s="762"/>
      <c r="G6" s="762"/>
      <c r="H6" s="762"/>
      <c r="I6" s="763"/>
      <c r="J6" s="783" t="s">
        <v>1365</v>
      </c>
    </row>
    <row r="7" spans="2:10" ht="39.950000000000003" customHeight="1">
      <c r="B7" s="790"/>
      <c r="C7" s="756"/>
      <c r="D7" s="756"/>
      <c r="E7" s="741" t="s">
        <v>19</v>
      </c>
      <c r="F7" s="741" t="s">
        <v>20</v>
      </c>
      <c r="G7" s="741" t="s">
        <v>21</v>
      </c>
      <c r="H7" s="741" t="s">
        <v>22</v>
      </c>
      <c r="I7" s="741" t="s">
        <v>23</v>
      </c>
      <c r="J7" s="756"/>
    </row>
    <row r="8" spans="2:10" ht="20.100000000000001" customHeight="1">
      <c r="B8" s="790"/>
      <c r="C8" s="757"/>
      <c r="D8" s="742"/>
      <c r="E8" s="742"/>
      <c r="F8" s="742"/>
      <c r="G8" s="742"/>
      <c r="H8" s="742"/>
      <c r="I8" s="742"/>
      <c r="J8" s="757"/>
    </row>
    <row r="9" spans="2:10" ht="20.100000000000001" hidden="1" customHeight="1">
      <c r="B9" s="610"/>
      <c r="C9" s="649"/>
      <c r="D9" s="391"/>
      <c r="E9" s="391"/>
      <c r="F9" s="391"/>
      <c r="G9" s="391"/>
      <c r="H9" s="391"/>
      <c r="I9" s="391"/>
      <c r="J9" s="657"/>
    </row>
    <row r="10" spans="2:10" ht="20.100000000000001" customHeight="1">
      <c r="B10" s="23" t="s">
        <v>4012</v>
      </c>
      <c r="C10" s="25">
        <v>1</v>
      </c>
      <c r="D10" s="200" t="s">
        <v>3982</v>
      </c>
      <c r="E10" s="530" t="s">
        <v>3301</v>
      </c>
      <c r="F10" s="530"/>
      <c r="G10" s="531"/>
      <c r="H10" s="532" t="s">
        <v>4013</v>
      </c>
      <c r="I10" s="532"/>
      <c r="J10" s="647" t="s">
        <v>814</v>
      </c>
    </row>
    <row r="11" spans="2:10" ht="51.6" customHeight="1">
      <c r="B11" s="23" t="s">
        <v>4014</v>
      </c>
      <c r="C11" s="653" t="s">
        <v>43</v>
      </c>
      <c r="D11" s="615" t="s">
        <v>4015</v>
      </c>
      <c r="E11" s="530">
        <v>100330738</v>
      </c>
      <c r="F11" s="530"/>
      <c r="G11" s="531"/>
      <c r="H11" s="532"/>
      <c r="I11" s="532"/>
      <c r="J11" s="657" t="s">
        <v>814</v>
      </c>
    </row>
    <row r="12" spans="2:10" ht="51.6" customHeight="1">
      <c r="B12" s="23"/>
      <c r="C12" s="653" t="s">
        <v>53</v>
      </c>
      <c r="D12" s="615" t="s">
        <v>4016</v>
      </c>
      <c r="E12" s="530">
        <v>100335768</v>
      </c>
      <c r="F12" s="530"/>
      <c r="G12" s="531"/>
      <c r="H12" s="532"/>
      <c r="I12" s="532"/>
      <c r="J12" s="657" t="s">
        <v>814</v>
      </c>
    </row>
    <row r="13" spans="2:10" ht="20.100000000000001" customHeight="1" outlineLevel="1">
      <c r="B13" s="23" t="s">
        <v>4017</v>
      </c>
      <c r="C13" s="209" t="s">
        <v>850</v>
      </c>
      <c r="D13" s="37" t="s">
        <v>3985</v>
      </c>
      <c r="E13" s="530">
        <v>100330736</v>
      </c>
      <c r="F13" s="530"/>
      <c r="G13" s="531"/>
      <c r="H13" s="532"/>
      <c r="I13" s="532"/>
      <c r="J13" s="91" t="s">
        <v>814</v>
      </c>
    </row>
    <row r="14" spans="2:10" ht="20.100000000000001" customHeight="1">
      <c r="B14" s="23" t="s">
        <v>4018</v>
      </c>
      <c r="C14" s="660">
        <v>3</v>
      </c>
      <c r="D14" s="616" t="s">
        <v>3315</v>
      </c>
      <c r="E14" s="530">
        <v>100330049</v>
      </c>
      <c r="F14" s="530"/>
      <c r="G14" s="531"/>
      <c r="H14" s="532" t="s">
        <v>4019</v>
      </c>
      <c r="I14" s="532"/>
      <c r="J14" s="657" t="s">
        <v>814</v>
      </c>
    </row>
    <row r="15" spans="2:10" ht="20.100000000000001" customHeight="1">
      <c r="B15" s="23" t="s">
        <v>4020</v>
      </c>
      <c r="C15" s="69" t="s">
        <v>90</v>
      </c>
      <c r="D15" s="250" t="s">
        <v>4021</v>
      </c>
      <c r="E15" s="530">
        <v>100330880</v>
      </c>
      <c r="F15" s="530"/>
      <c r="G15" s="531"/>
      <c r="H15" s="532"/>
      <c r="I15" s="532"/>
      <c r="J15" s="91" t="s">
        <v>814</v>
      </c>
    </row>
    <row r="16" spans="2:10" ht="20.100000000000001" customHeight="1">
      <c r="B16" s="23"/>
      <c r="C16" s="69"/>
      <c r="D16" s="404" t="s">
        <v>4022</v>
      </c>
      <c r="E16" s="530">
        <v>100335769</v>
      </c>
      <c r="F16" s="530"/>
      <c r="G16" s="531"/>
      <c r="H16" s="532"/>
      <c r="I16" s="532"/>
      <c r="J16" s="91" t="s">
        <v>814</v>
      </c>
    </row>
    <row r="17" spans="2:10" ht="20.100000000000001" customHeight="1">
      <c r="B17" s="23"/>
      <c r="C17" s="69"/>
      <c r="D17" s="404" t="s">
        <v>4023</v>
      </c>
      <c r="E17" s="530">
        <v>100335770</v>
      </c>
      <c r="F17" s="530"/>
      <c r="G17" s="531"/>
      <c r="H17" s="532"/>
      <c r="I17" s="532"/>
      <c r="J17" s="91" t="s">
        <v>814</v>
      </c>
    </row>
    <row r="18" spans="2:10" ht="20.100000000000001" customHeight="1">
      <c r="B18" s="23" t="s">
        <v>4024</v>
      </c>
      <c r="C18" s="69"/>
      <c r="D18" s="37" t="s">
        <v>804</v>
      </c>
      <c r="E18" s="530"/>
      <c r="F18" s="530"/>
      <c r="G18" s="531"/>
      <c r="H18" s="532"/>
      <c r="I18" s="532"/>
      <c r="J18" s="91"/>
    </row>
    <row r="19" spans="2:10" ht="20.100000000000001" customHeight="1">
      <c r="B19" s="23" t="s">
        <v>4025</v>
      </c>
      <c r="C19" s="69"/>
      <c r="D19" s="117" t="s">
        <v>3989</v>
      </c>
      <c r="E19" s="530">
        <v>100330737</v>
      </c>
      <c r="F19" s="530"/>
      <c r="G19" s="531"/>
      <c r="H19" s="532"/>
      <c r="I19" s="532"/>
      <c r="J19" s="91" t="s">
        <v>814</v>
      </c>
    </row>
    <row r="20" spans="2:10" ht="20.100000000000001" customHeight="1">
      <c r="B20" s="23" t="s">
        <v>4026</v>
      </c>
      <c r="C20" s="784" t="s">
        <v>91</v>
      </c>
      <c r="D20" s="836" t="s">
        <v>4027</v>
      </c>
      <c r="E20" s="530">
        <v>100335781</v>
      </c>
      <c r="F20" s="530"/>
      <c r="G20" s="531"/>
      <c r="H20" s="532" t="s">
        <v>4028</v>
      </c>
      <c r="I20" s="532"/>
      <c r="J20" s="91" t="s">
        <v>814</v>
      </c>
    </row>
    <row r="21" spans="2:10" ht="20.100000000000001" customHeight="1">
      <c r="B21" s="23" t="s">
        <v>4029</v>
      </c>
      <c r="C21" s="756"/>
      <c r="D21" s="756"/>
      <c r="E21" s="530">
        <v>100330680</v>
      </c>
      <c r="F21" s="530"/>
      <c r="G21" s="531"/>
      <c r="H21" s="532" t="s">
        <v>4030</v>
      </c>
      <c r="I21" s="532"/>
      <c r="J21" s="720" t="s">
        <v>820</v>
      </c>
    </row>
    <row r="22" spans="2:10" ht="20.100000000000001" customHeight="1">
      <c r="B22" s="23"/>
      <c r="C22" s="653"/>
      <c r="D22" s="836" t="s">
        <v>4022</v>
      </c>
      <c r="E22" s="530">
        <v>100335771</v>
      </c>
      <c r="F22" s="530"/>
      <c r="G22" s="531"/>
      <c r="H22" s="532"/>
      <c r="I22" s="532"/>
      <c r="J22" s="91" t="s">
        <v>814</v>
      </c>
    </row>
    <row r="23" spans="2:10" ht="20.100000000000001" customHeight="1">
      <c r="B23" s="23"/>
      <c r="C23" s="653"/>
      <c r="D23" s="756"/>
      <c r="E23" s="530">
        <v>100335772</v>
      </c>
      <c r="F23" s="530"/>
      <c r="G23" s="531"/>
      <c r="H23" s="532"/>
      <c r="I23" s="532"/>
      <c r="J23" s="720" t="s">
        <v>820</v>
      </c>
    </row>
    <row r="24" spans="2:10" ht="20.100000000000001" customHeight="1">
      <c r="B24" s="23"/>
      <c r="C24" s="653"/>
      <c r="D24" s="865" t="s">
        <v>4023</v>
      </c>
      <c r="E24" s="530">
        <v>100335773</v>
      </c>
      <c r="F24" s="530"/>
      <c r="G24" s="531"/>
      <c r="H24" s="532"/>
      <c r="I24" s="532"/>
      <c r="J24" s="91" t="s">
        <v>814</v>
      </c>
    </row>
    <row r="25" spans="2:10" ht="20.100000000000001" customHeight="1">
      <c r="B25" s="23"/>
      <c r="C25" s="593"/>
      <c r="D25" s="742"/>
      <c r="E25" s="530">
        <v>100335774</v>
      </c>
      <c r="F25" s="530"/>
      <c r="G25" s="531"/>
      <c r="H25" s="532"/>
      <c r="I25" s="532"/>
      <c r="J25" s="720" t="s">
        <v>820</v>
      </c>
    </row>
    <row r="26" spans="2:10" ht="18.75" customHeight="1" outlineLevel="1">
      <c r="B26" s="23" t="s">
        <v>4031</v>
      </c>
      <c r="C26" s="587" t="s">
        <v>2753</v>
      </c>
      <c r="D26" s="589" t="s">
        <v>3865</v>
      </c>
      <c r="E26" s="588">
        <v>100330863</v>
      </c>
      <c r="F26" s="530"/>
      <c r="G26" s="531"/>
      <c r="H26" s="532" t="s">
        <v>4032</v>
      </c>
      <c r="I26" s="532"/>
      <c r="J26" s="581" t="s">
        <v>814</v>
      </c>
    </row>
    <row r="27" spans="2:10" outlineLevel="1">
      <c r="B27" s="83"/>
      <c r="C27" s="577" t="s">
        <v>2021</v>
      </c>
      <c r="D27" s="590" t="s">
        <v>2038</v>
      </c>
      <c r="E27" s="588"/>
      <c r="F27" s="530"/>
      <c r="G27" s="531"/>
      <c r="H27" s="532">
        <v>100330880</v>
      </c>
      <c r="I27" s="532"/>
      <c r="J27" s="582" t="s">
        <v>814</v>
      </c>
    </row>
    <row r="28" spans="2:10" outlineLevel="1">
      <c r="B28" s="83"/>
      <c r="C28" s="578">
        <v>6</v>
      </c>
      <c r="D28" s="548" t="s">
        <v>2041</v>
      </c>
      <c r="E28" s="588"/>
      <c r="F28" s="530"/>
      <c r="G28" s="531"/>
      <c r="H28" s="532"/>
      <c r="I28" s="532"/>
      <c r="J28" s="583" t="s">
        <v>814</v>
      </c>
    </row>
    <row r="29" spans="2:10" outlineLevel="1">
      <c r="C29" s="564"/>
      <c r="D29" s="664" t="s">
        <v>4033</v>
      </c>
      <c r="E29" s="588"/>
      <c r="F29" s="530"/>
      <c r="G29" s="531"/>
      <c r="H29" s="532"/>
      <c r="I29" s="532"/>
      <c r="J29" s="584" t="s">
        <v>814</v>
      </c>
    </row>
    <row r="30" spans="2:10" outlineLevel="1">
      <c r="C30" s="564"/>
      <c r="D30" s="664" t="s">
        <v>4034</v>
      </c>
      <c r="E30" s="588"/>
      <c r="F30" s="530"/>
      <c r="G30" s="531"/>
      <c r="H30" s="532"/>
      <c r="I30" s="532"/>
      <c r="J30" s="584" t="s">
        <v>814</v>
      </c>
    </row>
    <row r="31" spans="2:10" outlineLevel="1">
      <c r="C31" s="579">
        <v>7</v>
      </c>
      <c r="D31" s="591" t="s">
        <v>4035</v>
      </c>
      <c r="E31" s="588"/>
      <c r="F31" s="530"/>
      <c r="G31" s="531"/>
      <c r="H31" s="532"/>
      <c r="I31" s="532"/>
      <c r="J31" s="585" t="s">
        <v>814</v>
      </c>
    </row>
    <row r="32" spans="2:10" ht="24" customHeight="1" outlineLevel="1">
      <c r="C32" s="580"/>
      <c r="D32" s="664" t="s">
        <v>4036</v>
      </c>
      <c r="E32" s="588" t="s">
        <v>4037</v>
      </c>
      <c r="F32" s="530" t="s">
        <v>4038</v>
      </c>
      <c r="G32" s="531"/>
      <c r="H32" s="532" t="s">
        <v>4039</v>
      </c>
      <c r="I32" s="532"/>
      <c r="J32" s="584" t="s">
        <v>814</v>
      </c>
    </row>
    <row r="33" spans="3:10" ht="24" customHeight="1" outlineLevel="1">
      <c r="C33" s="580"/>
      <c r="D33" s="664" t="s">
        <v>4040</v>
      </c>
      <c r="E33" s="588" t="s">
        <v>4041</v>
      </c>
      <c r="F33" s="530" t="s">
        <v>4038</v>
      </c>
      <c r="G33" s="531"/>
      <c r="H33" s="532" t="s">
        <v>4042</v>
      </c>
      <c r="I33" s="532"/>
      <c r="J33" s="584" t="s">
        <v>814</v>
      </c>
    </row>
    <row r="34" spans="3:10" ht="24" customHeight="1" outlineLevel="1">
      <c r="C34" s="580"/>
      <c r="D34" s="862" t="s">
        <v>4043</v>
      </c>
      <c r="E34" s="588" t="s">
        <v>4044</v>
      </c>
      <c r="F34" s="530" t="s">
        <v>4038</v>
      </c>
      <c r="G34" s="531"/>
      <c r="H34" s="532" t="s">
        <v>4045</v>
      </c>
      <c r="I34" s="532"/>
      <c r="J34" s="584" t="s">
        <v>814</v>
      </c>
    </row>
    <row r="35" spans="3:10" ht="24" customHeight="1" outlineLevel="1">
      <c r="C35" s="580"/>
      <c r="D35" s="756"/>
      <c r="E35" s="588" t="s">
        <v>4046</v>
      </c>
      <c r="F35" s="530" t="s">
        <v>4038</v>
      </c>
      <c r="G35" s="531"/>
      <c r="H35" s="532" t="s">
        <v>4047</v>
      </c>
      <c r="I35" s="532"/>
      <c r="J35" s="586" t="s">
        <v>820</v>
      </c>
    </row>
    <row r="36" spans="3:10" ht="24" customHeight="1" outlineLevel="1">
      <c r="C36" s="580"/>
      <c r="D36" s="861" t="s">
        <v>4048</v>
      </c>
      <c r="E36" s="588" t="s">
        <v>4049</v>
      </c>
      <c r="F36" s="530" t="s">
        <v>4038</v>
      </c>
      <c r="G36" s="531"/>
      <c r="H36" s="532" t="s">
        <v>4050</v>
      </c>
      <c r="I36" s="532"/>
      <c r="J36" s="584" t="s">
        <v>814</v>
      </c>
    </row>
    <row r="37" spans="3:10" ht="24" customHeight="1" outlineLevel="1">
      <c r="C37" s="400"/>
      <c r="D37" s="742"/>
      <c r="E37" s="588" t="s">
        <v>4051</v>
      </c>
      <c r="F37" s="530" t="s">
        <v>4038</v>
      </c>
      <c r="G37" s="531"/>
      <c r="H37" s="532" t="s">
        <v>4052</v>
      </c>
      <c r="I37" s="532"/>
      <c r="J37" s="586" t="s">
        <v>820</v>
      </c>
    </row>
    <row r="39" spans="3:10">
      <c r="D39" s="138" t="s">
        <v>3416</v>
      </c>
    </row>
    <row r="40" spans="3:10">
      <c r="D40" s="138"/>
    </row>
    <row r="41" spans="3:10">
      <c r="D41" s="22" t="s">
        <v>2049</v>
      </c>
    </row>
    <row r="42" spans="3:10">
      <c r="D42" s="323" t="s">
        <v>4053</v>
      </c>
    </row>
    <row r="43" spans="3:10">
      <c r="D43" s="323" t="s">
        <v>4054</v>
      </c>
    </row>
    <row r="44" spans="3:10">
      <c r="D44" s="323" t="s">
        <v>4055</v>
      </c>
    </row>
    <row r="45" spans="3:10">
      <c r="D45" s="323" t="s">
        <v>4056</v>
      </c>
    </row>
    <row r="46" spans="3:10">
      <c r="D46" s="323" t="s">
        <v>4057</v>
      </c>
    </row>
    <row r="47" spans="3:10" ht="131.25" customHeight="1">
      <c r="D47" s="592" t="s">
        <v>4058</v>
      </c>
    </row>
  </sheetData>
  <mergeCells count="17">
    <mergeCell ref="C3:J3"/>
    <mergeCell ref="H7:H8"/>
    <mergeCell ref="C6:C8"/>
    <mergeCell ref="D24:D25"/>
    <mergeCell ref="D22:D23"/>
    <mergeCell ref="J6:J8"/>
    <mergeCell ref="C20:C21"/>
    <mergeCell ref="E7:E8"/>
    <mergeCell ref="D20:D21"/>
    <mergeCell ref="B6:B8"/>
    <mergeCell ref="D36:D37"/>
    <mergeCell ref="D34:D35"/>
    <mergeCell ref="F7:F8"/>
    <mergeCell ref="G7:G8"/>
    <mergeCell ref="I7:I8"/>
    <mergeCell ref="D6:D8"/>
    <mergeCell ref="E6:I6"/>
  </mergeCells>
  <conditionalFormatting sqref="O10:O37 P10:P37 U10:U37 V10:V37 AA10:AA37 AB10:AB37 AG10:AG37 AH10:AH37 AM10:AM37 AN10:AN37 AS10:AS37 AT10:AT37 AY10:AY37 AZ10:AZ37 BE10:BE37 BF10:BF37 BK10:BK37 BL10:BL37 BQ10:BQ37 BR10:BR37 BW10:BW37 BX10:BX37 CC10:CC37 CD10:CD37 CI10:CI37 CJ10:CJ37 CO10:CO37 CP10:CP37 CU10:CU37 CV10:CV37 DA10:DA37 DB10:DB37 DG10:DG37 DH10:DH37">
    <cfRule type="cellIs" dxfId="26" priority="3" operator="greaterThan">
      <formula>0</formula>
    </cfRule>
    <cfRule type="cellIs" dxfId="25" priority="2" operator="lessThan">
      <formula>0</formula>
    </cfRule>
    <cfRule type="cellIs" dxfId="24" priority="1" operator="equal">
      <formula>0</formula>
    </cfRule>
  </conditionalFormatting>
  <conditionalFormatting sqref="L10:L37 N10:N37 R10:R37 T10:T37 X10:X37 Z10:Z37 AD10:AD37 AF10:AF37 AJ10:AJ37 AL10:AL37 AP10:AP37 AR10:AR37 AV10:AV37 AX10:AX37 BB10:BB37 BD10:BD37 BH10:BH37 BJ10:BJ37 BN10:BN37 BP10:BP37 BT10:BT37 BV10:BV37 BZ10:BZ37 CB10:CB37 CF10:CF37 CH10:CH37 CL10:CL37 CN10:CN37 CR10:CR37 CT10:CT37 CX10:CX37 CZ10:CZ37 DD10:DD37 DF10:DF37">
    <cfRule type="cellIs" dxfId="23" priority="4" operator="equal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8">
    <tabColor theme="8" tint="0.59999389629810485"/>
    <pageSetUpPr autoPageBreaks="0" fitToPage="1"/>
  </sheetPr>
  <dimension ref="A1:DH80"/>
  <sheetViews>
    <sheetView topLeftCell="C1" zoomScale="60" zoomScaleNormal="60" zoomScaleSheetLayoutView="55" workbookViewId="0">
      <selection activeCell="E1" sqref="E1:I1048576"/>
    </sheetView>
  </sheetViews>
  <sheetFormatPr defaultColWidth="9.140625" defaultRowHeight="18.75" outlineLevelRow="1" outlineLevelCol="1"/>
  <cols>
    <col min="1" max="1" width="9.140625" style="323" hidden="1" customWidth="1" outlineLevel="1"/>
    <col min="2" max="2" width="10.5703125" style="323" hidden="1" customWidth="1" outlineLevel="1"/>
    <col min="3" max="3" width="12.140625" style="84" customWidth="1" collapsed="1"/>
    <col min="4" max="4" width="80" style="323" customWidth="1"/>
    <col min="5" max="9" width="19" style="323" customWidth="1" outlineLevel="1"/>
    <col min="10" max="10" width="15.140625" style="324" bestFit="1" customWidth="1"/>
    <col min="11" max="112" width="8.42578125" style="621" customWidth="1"/>
  </cols>
  <sheetData>
    <row r="1" spans="2:10" ht="14.25" customHeight="1"/>
    <row r="2" spans="2:10" ht="15" customHeight="1"/>
    <row r="3" spans="2:10" ht="20.25" customHeight="1">
      <c r="C3" s="851" t="s">
        <v>4059</v>
      </c>
      <c r="D3" s="790"/>
      <c r="E3" s="790"/>
      <c r="F3" s="790"/>
      <c r="G3" s="790"/>
      <c r="H3" s="790"/>
      <c r="I3" s="790"/>
      <c r="J3" s="791"/>
    </row>
    <row r="4" spans="2:10" ht="20.25" customHeight="1"/>
    <row r="5" spans="2:10" ht="19.5" customHeight="1">
      <c r="C5" s="363" t="s">
        <v>4060</v>
      </c>
    </row>
    <row r="6" spans="2:10" ht="20.100000000000001" customHeight="1">
      <c r="B6" s="787" t="s">
        <v>1799</v>
      </c>
      <c r="C6" s="854" t="s">
        <v>2666</v>
      </c>
      <c r="D6" s="870" t="s">
        <v>16</v>
      </c>
      <c r="E6" s="761" t="s">
        <v>17</v>
      </c>
      <c r="F6" s="762"/>
      <c r="G6" s="762"/>
      <c r="H6" s="762"/>
      <c r="I6" s="763"/>
      <c r="J6" s="783" t="s">
        <v>1365</v>
      </c>
    </row>
    <row r="7" spans="2:10" ht="39.950000000000003" customHeight="1">
      <c r="B7" s="790"/>
      <c r="C7" s="756"/>
      <c r="D7" s="751"/>
      <c r="E7" s="741" t="s">
        <v>19</v>
      </c>
      <c r="F7" s="741" t="s">
        <v>20</v>
      </c>
      <c r="G7" s="741" t="s">
        <v>21</v>
      </c>
      <c r="H7" s="741" t="s">
        <v>22</v>
      </c>
      <c r="I7" s="741" t="s">
        <v>23</v>
      </c>
      <c r="J7" s="756"/>
    </row>
    <row r="8" spans="2:10" ht="20.100000000000001" customHeight="1">
      <c r="B8" s="790"/>
      <c r="C8" s="756"/>
      <c r="D8" s="753"/>
      <c r="E8" s="742"/>
      <c r="F8" s="742"/>
      <c r="G8" s="742"/>
      <c r="H8" s="742"/>
      <c r="I8" s="742"/>
      <c r="J8" s="757"/>
    </row>
    <row r="9" spans="2:10" ht="20.100000000000001" hidden="1" customHeight="1">
      <c r="B9" s="610"/>
      <c r="C9" s="649"/>
      <c r="D9" s="666"/>
      <c r="E9" s="389"/>
      <c r="F9" s="389"/>
      <c r="G9" s="389"/>
      <c r="H9" s="389"/>
      <c r="I9" s="389"/>
      <c r="J9" s="665"/>
    </row>
    <row r="10" spans="2:10" ht="24.75" customHeight="1">
      <c r="B10" s="277" t="s">
        <v>4061</v>
      </c>
      <c r="C10" s="649">
        <v>1</v>
      </c>
      <c r="D10" s="869" t="s">
        <v>4062</v>
      </c>
      <c r="E10" s="530" t="s">
        <v>3301</v>
      </c>
      <c r="F10" s="530"/>
      <c r="G10" s="531"/>
      <c r="H10" s="532" t="s">
        <v>3302</v>
      </c>
      <c r="I10" s="532"/>
      <c r="J10" s="278" t="s">
        <v>814</v>
      </c>
    </row>
    <row r="11" spans="2:10" ht="24.75" customHeight="1">
      <c r="B11" s="277" t="s">
        <v>4063</v>
      </c>
      <c r="C11" s="649"/>
      <c r="D11" s="751"/>
      <c r="E11" s="530" t="s">
        <v>4064</v>
      </c>
      <c r="F11" s="530"/>
      <c r="G11" s="531"/>
      <c r="H11" s="532" t="s">
        <v>4065</v>
      </c>
      <c r="I11" s="532"/>
      <c r="J11" s="736" t="s">
        <v>820</v>
      </c>
    </row>
    <row r="12" spans="2:10" ht="20.100000000000001" customHeight="1">
      <c r="B12" s="277" t="s">
        <v>4066</v>
      </c>
      <c r="C12" s="660"/>
      <c r="D12" s="279" t="s">
        <v>804</v>
      </c>
      <c r="E12" s="530" t="s">
        <v>4067</v>
      </c>
      <c r="F12" s="530"/>
      <c r="G12" s="531"/>
      <c r="H12" s="532"/>
      <c r="I12" s="532"/>
      <c r="J12" s="736"/>
    </row>
    <row r="13" spans="2:10" ht="20.100000000000001" customHeight="1">
      <c r="B13" s="277" t="s">
        <v>4068</v>
      </c>
      <c r="C13" s="660"/>
      <c r="D13" s="280" t="s">
        <v>4069</v>
      </c>
      <c r="E13" s="530" t="s">
        <v>4070</v>
      </c>
      <c r="F13" s="530"/>
      <c r="G13" s="531"/>
      <c r="H13" s="532"/>
      <c r="I13" s="532"/>
      <c r="J13" s="736" t="s">
        <v>820</v>
      </c>
    </row>
    <row r="14" spans="2:10" ht="37.5" customHeight="1">
      <c r="B14" s="277" t="s">
        <v>4071</v>
      </c>
      <c r="C14" s="660"/>
      <c r="D14" s="280" t="s">
        <v>4072</v>
      </c>
      <c r="E14" s="530" t="s">
        <v>4073</v>
      </c>
      <c r="F14" s="530"/>
      <c r="G14" s="531"/>
      <c r="H14" s="532" t="s">
        <v>4074</v>
      </c>
      <c r="I14" s="532"/>
      <c r="J14" s="736" t="s">
        <v>820</v>
      </c>
    </row>
    <row r="15" spans="2:10">
      <c r="B15" s="277"/>
      <c r="C15" s="660"/>
      <c r="D15" s="281" t="s">
        <v>4075</v>
      </c>
      <c r="E15" s="530" t="s">
        <v>4076</v>
      </c>
      <c r="F15" s="530"/>
      <c r="G15" s="531"/>
      <c r="H15" s="532"/>
      <c r="I15" s="532"/>
      <c r="J15" s="736" t="s">
        <v>820</v>
      </c>
    </row>
    <row r="16" spans="2:10">
      <c r="B16" s="277"/>
      <c r="C16" s="660"/>
      <c r="D16" s="282" t="s">
        <v>4077</v>
      </c>
      <c r="E16" s="530" t="s">
        <v>4078</v>
      </c>
      <c r="F16" s="530"/>
      <c r="G16" s="531"/>
      <c r="H16" s="532"/>
      <c r="I16" s="532"/>
      <c r="J16" s="736" t="s">
        <v>820</v>
      </c>
    </row>
    <row r="17" spans="2:10">
      <c r="B17" s="277"/>
      <c r="C17" s="660"/>
      <c r="D17" s="283" t="s">
        <v>4079</v>
      </c>
      <c r="E17" s="530" t="s">
        <v>4080</v>
      </c>
      <c r="F17" s="530"/>
      <c r="G17" s="531"/>
      <c r="H17" s="532"/>
      <c r="I17" s="532"/>
      <c r="J17" s="736" t="s">
        <v>820</v>
      </c>
    </row>
    <row r="18" spans="2:10">
      <c r="B18" s="277"/>
      <c r="C18" s="660"/>
      <c r="D18" s="283" t="s">
        <v>4081</v>
      </c>
      <c r="E18" s="530" t="s">
        <v>4082</v>
      </c>
      <c r="F18" s="530"/>
      <c r="G18" s="531"/>
      <c r="H18" s="532" t="s">
        <v>4083</v>
      </c>
      <c r="I18" s="532"/>
      <c r="J18" s="736" t="s">
        <v>820</v>
      </c>
    </row>
    <row r="19" spans="2:10" ht="37.5" customHeight="1">
      <c r="B19" s="277" t="s">
        <v>4084</v>
      </c>
      <c r="C19" s="660"/>
      <c r="D19" s="280" t="s">
        <v>4085</v>
      </c>
      <c r="E19" s="530" t="s">
        <v>4086</v>
      </c>
      <c r="F19" s="530"/>
      <c r="G19" s="531"/>
      <c r="H19" s="532"/>
      <c r="I19" s="532"/>
      <c r="J19" s="736" t="s">
        <v>820</v>
      </c>
    </row>
    <row r="20" spans="2:10">
      <c r="B20" s="277"/>
      <c r="C20" s="660"/>
      <c r="D20" s="282" t="s">
        <v>4077</v>
      </c>
      <c r="E20" s="530" t="s">
        <v>4087</v>
      </c>
      <c r="F20" s="530"/>
      <c r="G20" s="531"/>
      <c r="H20" s="532"/>
      <c r="I20" s="532"/>
      <c r="J20" s="736" t="s">
        <v>820</v>
      </c>
    </row>
    <row r="21" spans="2:10" ht="19.5" customHeight="1">
      <c r="B21" s="277" t="s">
        <v>4088</v>
      </c>
      <c r="C21" s="660"/>
      <c r="D21" s="280" t="s">
        <v>4089</v>
      </c>
      <c r="E21" s="530" t="s">
        <v>4090</v>
      </c>
      <c r="F21" s="530"/>
      <c r="G21" s="531"/>
      <c r="H21" s="532"/>
      <c r="I21" s="532"/>
      <c r="J21" s="736" t="s">
        <v>820</v>
      </c>
    </row>
    <row r="22" spans="2:10" ht="19.5" customHeight="1">
      <c r="B22" s="277"/>
      <c r="C22" s="660"/>
      <c r="D22" s="876" t="s">
        <v>4091</v>
      </c>
      <c r="E22" s="530" t="s">
        <v>4092</v>
      </c>
      <c r="F22" s="530"/>
      <c r="G22" s="531"/>
      <c r="H22" s="532" t="s">
        <v>4093</v>
      </c>
      <c r="I22" s="532"/>
      <c r="J22" s="278" t="s">
        <v>814</v>
      </c>
    </row>
    <row r="23" spans="2:10" ht="19.5" customHeight="1">
      <c r="B23" s="277"/>
      <c r="C23" s="660"/>
      <c r="D23" s="756"/>
      <c r="E23" s="530" t="s">
        <v>4094</v>
      </c>
      <c r="F23" s="530"/>
      <c r="G23" s="531"/>
      <c r="H23" s="532" t="s">
        <v>4095</v>
      </c>
      <c r="I23" s="532"/>
      <c r="J23" s="736" t="s">
        <v>820</v>
      </c>
    </row>
    <row r="24" spans="2:10" ht="20.100000000000001" customHeight="1">
      <c r="B24" s="277"/>
      <c r="C24" s="660"/>
      <c r="D24" s="868" t="s">
        <v>4096</v>
      </c>
      <c r="E24" s="530" t="s">
        <v>4097</v>
      </c>
      <c r="F24" s="530"/>
      <c r="G24" s="531"/>
      <c r="H24" s="532"/>
      <c r="I24" s="532"/>
      <c r="J24" s="278" t="s">
        <v>814</v>
      </c>
    </row>
    <row r="25" spans="2:10">
      <c r="B25" s="277"/>
      <c r="C25" s="284"/>
      <c r="D25" s="756"/>
      <c r="E25" s="530" t="s">
        <v>4098</v>
      </c>
      <c r="F25" s="530"/>
      <c r="G25" s="531"/>
      <c r="H25" s="532"/>
      <c r="I25" s="532"/>
      <c r="J25" s="736" t="s">
        <v>820</v>
      </c>
    </row>
    <row r="26" spans="2:10">
      <c r="B26" s="277"/>
      <c r="C26" s="284"/>
      <c r="D26" s="868" t="s">
        <v>4099</v>
      </c>
      <c r="E26" s="530" t="s">
        <v>4100</v>
      </c>
      <c r="F26" s="530"/>
      <c r="G26" s="531"/>
      <c r="H26" s="532"/>
      <c r="I26" s="532"/>
      <c r="J26" s="278" t="s">
        <v>814</v>
      </c>
    </row>
    <row r="27" spans="2:10">
      <c r="B27" s="277"/>
      <c r="C27" s="284"/>
      <c r="D27" s="756"/>
      <c r="E27" s="530" t="s">
        <v>4101</v>
      </c>
      <c r="F27" s="530"/>
      <c r="G27" s="531"/>
      <c r="H27" s="532"/>
      <c r="I27" s="532"/>
      <c r="J27" s="736" t="s">
        <v>820</v>
      </c>
    </row>
    <row r="28" spans="2:10" ht="20.100000000000001" customHeight="1">
      <c r="B28" s="277" t="s">
        <v>4102</v>
      </c>
      <c r="C28" s="875" t="s">
        <v>364</v>
      </c>
      <c r="D28" s="873" t="s">
        <v>4103</v>
      </c>
      <c r="E28" s="530" t="s">
        <v>4104</v>
      </c>
      <c r="F28" s="530"/>
      <c r="G28" s="531"/>
      <c r="H28" s="532" t="s">
        <v>4105</v>
      </c>
      <c r="I28" s="532"/>
      <c r="J28" s="278" t="s">
        <v>814</v>
      </c>
    </row>
    <row r="29" spans="2:10" ht="19.5" customHeight="1">
      <c r="B29" s="277" t="s">
        <v>4106</v>
      </c>
      <c r="C29" s="756"/>
      <c r="D29" s="756"/>
      <c r="E29" s="530" t="s">
        <v>4107</v>
      </c>
      <c r="F29" s="530"/>
      <c r="G29" s="531"/>
      <c r="H29" s="532" t="s">
        <v>4108</v>
      </c>
      <c r="I29" s="532"/>
      <c r="J29" s="736" t="s">
        <v>820</v>
      </c>
    </row>
    <row r="30" spans="2:10" ht="20.100000000000001" customHeight="1">
      <c r="B30" s="277" t="s">
        <v>4109</v>
      </c>
      <c r="C30" s="784" t="s">
        <v>82</v>
      </c>
      <c r="D30" s="868" t="s">
        <v>4110</v>
      </c>
      <c r="E30" s="530" t="s">
        <v>4111</v>
      </c>
      <c r="F30" s="530"/>
      <c r="G30" s="531"/>
      <c r="H30" s="532"/>
      <c r="I30" s="532"/>
      <c r="J30" s="278" t="s">
        <v>814</v>
      </c>
    </row>
    <row r="31" spans="2:10" ht="20.100000000000001" customHeight="1">
      <c r="B31" s="277" t="s">
        <v>4112</v>
      </c>
      <c r="C31" s="756"/>
      <c r="D31" s="756"/>
      <c r="E31" s="530" t="s">
        <v>4113</v>
      </c>
      <c r="F31" s="530"/>
      <c r="G31" s="531"/>
      <c r="H31" s="532"/>
      <c r="I31" s="532"/>
      <c r="J31" s="736" t="s">
        <v>820</v>
      </c>
    </row>
    <row r="32" spans="2:10" ht="20.100000000000001" customHeight="1">
      <c r="B32" s="277" t="s">
        <v>4114</v>
      </c>
      <c r="C32" s="784" t="s">
        <v>84</v>
      </c>
      <c r="D32" s="868" t="s">
        <v>4115</v>
      </c>
      <c r="E32" s="530" t="s">
        <v>4116</v>
      </c>
      <c r="F32" s="530"/>
      <c r="G32" s="531"/>
      <c r="H32" s="532"/>
      <c r="I32" s="532"/>
      <c r="J32" s="278" t="s">
        <v>814</v>
      </c>
    </row>
    <row r="33" spans="2:10" ht="20.100000000000001" customHeight="1">
      <c r="B33" s="277" t="s">
        <v>4117</v>
      </c>
      <c r="C33" s="756"/>
      <c r="D33" s="756"/>
      <c r="E33" s="530" t="s">
        <v>4083</v>
      </c>
      <c r="F33" s="530"/>
      <c r="G33" s="531"/>
      <c r="H33" s="532"/>
      <c r="I33" s="532"/>
      <c r="J33" s="736" t="s">
        <v>820</v>
      </c>
    </row>
    <row r="34" spans="2:10" ht="20.100000000000001" hidden="1" customHeight="1" outlineLevel="1">
      <c r="B34" s="277" t="s">
        <v>4118</v>
      </c>
      <c r="C34" s="871" t="s">
        <v>86</v>
      </c>
      <c r="D34" s="852" t="s">
        <v>3712</v>
      </c>
      <c r="E34" s="530" t="s">
        <v>4119</v>
      </c>
      <c r="F34" s="530"/>
      <c r="G34" s="531"/>
      <c r="H34" s="532" t="s">
        <v>4120</v>
      </c>
      <c r="I34" s="532"/>
      <c r="J34" s="285" t="s">
        <v>814</v>
      </c>
    </row>
    <row r="35" spans="2:10" ht="20.100000000000001" hidden="1" customHeight="1" outlineLevel="1">
      <c r="B35" s="277" t="s">
        <v>4121</v>
      </c>
      <c r="C35" s="756"/>
      <c r="D35" s="756"/>
      <c r="E35" s="530" t="s">
        <v>4122</v>
      </c>
      <c r="F35" s="530"/>
      <c r="G35" s="531"/>
      <c r="H35" s="532" t="s">
        <v>4123</v>
      </c>
      <c r="I35" s="532"/>
      <c r="J35" s="737" t="s">
        <v>820</v>
      </c>
    </row>
    <row r="36" spans="2:10" ht="20.100000000000001" hidden="1" customHeight="1" outlineLevel="1">
      <c r="B36" s="277" t="s">
        <v>4124</v>
      </c>
      <c r="C36" s="653"/>
      <c r="D36" s="867" t="s">
        <v>4125</v>
      </c>
      <c r="E36" s="530" t="s">
        <v>4126</v>
      </c>
      <c r="F36" s="530"/>
      <c r="G36" s="531"/>
      <c r="H36" s="532"/>
      <c r="I36" s="532"/>
      <c r="J36" s="278" t="s">
        <v>814</v>
      </c>
    </row>
    <row r="37" spans="2:10" ht="20.100000000000001" hidden="1" customHeight="1" outlineLevel="1">
      <c r="B37" s="277" t="s">
        <v>4127</v>
      </c>
      <c r="C37" s="653"/>
      <c r="D37" s="751"/>
      <c r="E37" s="530" t="s">
        <v>4128</v>
      </c>
      <c r="F37" s="530"/>
      <c r="G37" s="531"/>
      <c r="H37" s="532"/>
      <c r="I37" s="532"/>
      <c r="J37" s="736" t="s">
        <v>820</v>
      </c>
    </row>
    <row r="38" spans="2:10" ht="20.100000000000001" hidden="1" customHeight="1" outlineLevel="1">
      <c r="B38" s="277" t="s">
        <v>4129</v>
      </c>
      <c r="C38" s="653"/>
      <c r="D38" s="867" t="s">
        <v>4130</v>
      </c>
      <c r="E38" s="530" t="s">
        <v>4131</v>
      </c>
      <c r="F38" s="530"/>
      <c r="G38" s="531"/>
      <c r="H38" s="532"/>
      <c r="I38" s="532"/>
      <c r="J38" s="278" t="s">
        <v>814</v>
      </c>
    </row>
    <row r="39" spans="2:10" ht="20.100000000000001" hidden="1" customHeight="1" outlineLevel="1">
      <c r="B39" s="277" t="s">
        <v>4132</v>
      </c>
      <c r="C39" s="653"/>
      <c r="D39" s="751"/>
      <c r="E39" s="530" t="s">
        <v>4133</v>
      </c>
      <c r="F39" s="530"/>
      <c r="G39" s="531"/>
      <c r="H39" s="532"/>
      <c r="I39" s="532"/>
      <c r="J39" s="736" t="s">
        <v>820</v>
      </c>
    </row>
    <row r="40" spans="2:10" ht="34.9" customHeight="1" collapsed="1">
      <c r="B40" s="277" t="s">
        <v>4134</v>
      </c>
      <c r="C40" s="660" t="s">
        <v>97</v>
      </c>
      <c r="D40" s="669" t="s">
        <v>4135</v>
      </c>
      <c r="E40" s="530" t="s">
        <v>4136</v>
      </c>
      <c r="F40" s="530"/>
      <c r="G40" s="531"/>
      <c r="H40" s="532" t="s">
        <v>4137</v>
      </c>
      <c r="I40" s="532"/>
      <c r="J40" s="194" t="s">
        <v>814</v>
      </c>
    </row>
    <row r="41" spans="2:10" ht="19.5" customHeight="1">
      <c r="B41" s="277" t="s">
        <v>4138</v>
      </c>
      <c r="C41" s="784" t="s">
        <v>1902</v>
      </c>
      <c r="D41" s="866" t="s">
        <v>4139</v>
      </c>
      <c r="E41" s="530" t="s">
        <v>4140</v>
      </c>
      <c r="F41" s="530"/>
      <c r="G41" s="531"/>
      <c r="H41" s="532"/>
      <c r="I41" s="532"/>
      <c r="J41" s="278" t="s">
        <v>693</v>
      </c>
    </row>
    <row r="42" spans="2:10" ht="20.100000000000001" customHeight="1">
      <c r="B42" s="277" t="s">
        <v>4141</v>
      </c>
      <c r="C42" s="756"/>
      <c r="D42" s="751"/>
      <c r="E42" s="530" t="s">
        <v>4142</v>
      </c>
      <c r="F42" s="530"/>
      <c r="G42" s="531"/>
      <c r="H42" s="532"/>
      <c r="I42" s="532"/>
      <c r="J42" s="736" t="s">
        <v>4143</v>
      </c>
    </row>
    <row r="43" spans="2:10" ht="20.100000000000001" customHeight="1">
      <c r="B43" s="277" t="s">
        <v>4144</v>
      </c>
      <c r="C43" s="69" t="s">
        <v>1937</v>
      </c>
      <c r="D43" s="671" t="s">
        <v>4145</v>
      </c>
      <c r="E43" s="530" t="s">
        <v>4146</v>
      </c>
      <c r="F43" s="530"/>
      <c r="G43" s="531"/>
      <c r="H43" s="532"/>
      <c r="I43" s="532"/>
      <c r="J43" s="278" t="s">
        <v>814</v>
      </c>
    </row>
    <row r="44" spans="2:10" ht="20.100000000000001" customHeight="1">
      <c r="B44" s="277" t="s">
        <v>4147</v>
      </c>
      <c r="C44" s="69" t="s">
        <v>1962</v>
      </c>
      <c r="D44" s="671" t="s">
        <v>4148</v>
      </c>
      <c r="E44" s="530" t="s">
        <v>3003</v>
      </c>
      <c r="F44" s="530"/>
      <c r="G44" s="531"/>
      <c r="H44" s="532" t="s">
        <v>4149</v>
      </c>
      <c r="I44" s="532"/>
      <c r="J44" s="278" t="s">
        <v>814</v>
      </c>
    </row>
    <row r="45" spans="2:10" ht="20.100000000000001" customHeight="1">
      <c r="B45" s="277" t="s">
        <v>4150</v>
      </c>
      <c r="C45" s="209"/>
      <c r="D45" s="671" t="s">
        <v>4151</v>
      </c>
      <c r="E45" s="530" t="s">
        <v>4152</v>
      </c>
      <c r="F45" s="530"/>
      <c r="G45" s="531"/>
      <c r="H45" s="532"/>
      <c r="I45" s="532"/>
      <c r="J45" s="278" t="s">
        <v>814</v>
      </c>
    </row>
    <row r="46" spans="2:10" ht="18.75" customHeight="1">
      <c r="B46" s="277" t="s">
        <v>4153</v>
      </c>
      <c r="C46" s="209"/>
      <c r="D46" s="671" t="s">
        <v>4154</v>
      </c>
      <c r="E46" s="530" t="s">
        <v>4155</v>
      </c>
      <c r="F46" s="530"/>
      <c r="G46" s="531"/>
      <c r="H46" s="532"/>
      <c r="I46" s="532"/>
      <c r="J46" s="278" t="s">
        <v>814</v>
      </c>
    </row>
    <row r="47" spans="2:10">
      <c r="B47" s="277" t="s">
        <v>4156</v>
      </c>
      <c r="C47" s="284"/>
      <c r="D47" s="671" t="s">
        <v>4157</v>
      </c>
      <c r="E47" s="530" t="s">
        <v>4158</v>
      </c>
      <c r="F47" s="530"/>
      <c r="G47" s="531"/>
      <c r="H47" s="532"/>
      <c r="I47" s="532"/>
      <c r="J47" s="278" t="s">
        <v>814</v>
      </c>
    </row>
    <row r="48" spans="2:10">
      <c r="B48" s="277" t="s">
        <v>4159</v>
      </c>
      <c r="C48" s="69" t="s">
        <v>1966</v>
      </c>
      <c r="D48" s="671" t="s">
        <v>4160</v>
      </c>
      <c r="E48" s="530" t="s">
        <v>4161</v>
      </c>
      <c r="F48" s="530"/>
      <c r="G48" s="531"/>
      <c r="H48" s="532"/>
      <c r="I48" s="532"/>
      <c r="J48" s="278" t="s">
        <v>814</v>
      </c>
    </row>
    <row r="49" spans="2:10">
      <c r="B49" s="277" t="s">
        <v>4162</v>
      </c>
      <c r="C49" s="69" t="s">
        <v>1982</v>
      </c>
      <c r="D49" s="866" t="s">
        <v>1357</v>
      </c>
      <c r="E49" s="530" t="s">
        <v>4163</v>
      </c>
      <c r="F49" s="530"/>
      <c r="G49" s="531"/>
      <c r="H49" s="532"/>
      <c r="I49" s="532"/>
      <c r="J49" s="12" t="s">
        <v>814</v>
      </c>
    </row>
    <row r="50" spans="2:10">
      <c r="B50" s="277" t="s">
        <v>4164</v>
      </c>
      <c r="C50" s="284"/>
      <c r="D50" s="751"/>
      <c r="E50" s="530" t="s">
        <v>4165</v>
      </c>
      <c r="F50" s="530"/>
      <c r="G50" s="531"/>
      <c r="H50" s="532"/>
      <c r="I50" s="532"/>
      <c r="J50" s="736" t="s">
        <v>820</v>
      </c>
    </row>
    <row r="51" spans="2:10" ht="20.100000000000001" customHeight="1">
      <c r="B51" s="277" t="s">
        <v>4166</v>
      </c>
      <c r="C51" s="784" t="s">
        <v>1876</v>
      </c>
      <c r="D51" s="866" t="s">
        <v>4167</v>
      </c>
      <c r="E51" s="530" t="s">
        <v>4168</v>
      </c>
      <c r="F51" s="530"/>
      <c r="G51" s="531"/>
      <c r="H51" s="532"/>
      <c r="I51" s="532"/>
      <c r="J51" s="278" t="s">
        <v>814</v>
      </c>
    </row>
    <row r="52" spans="2:10" ht="20.100000000000001" customHeight="1">
      <c r="B52" s="277" t="s">
        <v>4169</v>
      </c>
      <c r="C52" s="756"/>
      <c r="D52" s="751"/>
      <c r="E52" s="530" t="s">
        <v>4170</v>
      </c>
      <c r="F52" s="530"/>
      <c r="G52" s="531"/>
      <c r="H52" s="532"/>
      <c r="I52" s="532"/>
      <c r="J52" s="736" t="s">
        <v>820</v>
      </c>
    </row>
    <row r="53" spans="2:10" ht="37.5" customHeight="1">
      <c r="B53" s="277" t="s">
        <v>4171</v>
      </c>
      <c r="C53" s="660">
        <v>5</v>
      </c>
      <c r="D53" s="669" t="s">
        <v>4172</v>
      </c>
      <c r="E53" s="530" t="s">
        <v>4173</v>
      </c>
      <c r="F53" s="530"/>
      <c r="G53" s="531"/>
      <c r="H53" s="532" t="s">
        <v>4174</v>
      </c>
      <c r="I53" s="532"/>
      <c r="J53" s="738" t="s">
        <v>117</v>
      </c>
    </row>
    <row r="54" spans="2:10">
      <c r="B54" s="277" t="s">
        <v>4175</v>
      </c>
      <c r="C54" s="784" t="s">
        <v>2908</v>
      </c>
      <c r="D54" s="671" t="s">
        <v>4176</v>
      </c>
      <c r="E54" s="530" t="s">
        <v>4177</v>
      </c>
      <c r="F54" s="530"/>
      <c r="G54" s="531"/>
      <c r="H54" s="532"/>
      <c r="I54" s="532"/>
      <c r="J54" s="736" t="s">
        <v>693</v>
      </c>
    </row>
    <row r="55" spans="2:10">
      <c r="B55" s="277" t="s">
        <v>4178</v>
      </c>
      <c r="C55" s="756"/>
      <c r="D55" s="671" t="s">
        <v>4176</v>
      </c>
      <c r="E55" s="530" t="s">
        <v>4179</v>
      </c>
      <c r="F55" s="530"/>
      <c r="G55" s="531"/>
      <c r="H55" s="532"/>
      <c r="I55" s="532"/>
      <c r="J55" s="736" t="s">
        <v>4180</v>
      </c>
    </row>
    <row r="56" spans="2:10" ht="24" customHeight="1">
      <c r="B56" s="277" t="s">
        <v>4181</v>
      </c>
      <c r="C56" s="69" t="s">
        <v>2943</v>
      </c>
      <c r="D56" s="671" t="s">
        <v>4182</v>
      </c>
      <c r="E56" s="530" t="s">
        <v>4183</v>
      </c>
      <c r="F56" s="530"/>
      <c r="G56" s="531"/>
      <c r="H56" s="532" t="s">
        <v>4184</v>
      </c>
      <c r="I56" s="532"/>
      <c r="J56" s="736" t="s">
        <v>117</v>
      </c>
    </row>
    <row r="57" spans="2:10">
      <c r="B57" s="277" t="s">
        <v>4185</v>
      </c>
      <c r="C57" s="69"/>
      <c r="D57" s="671" t="s">
        <v>4186</v>
      </c>
      <c r="E57" s="530" t="s">
        <v>4187</v>
      </c>
      <c r="F57" s="530"/>
      <c r="G57" s="531"/>
      <c r="H57" s="532"/>
      <c r="I57" s="532"/>
      <c r="J57" s="736" t="s">
        <v>117</v>
      </c>
    </row>
    <row r="58" spans="2:10">
      <c r="B58" s="277" t="s">
        <v>4188</v>
      </c>
      <c r="C58" s="69"/>
      <c r="D58" s="671" t="s">
        <v>4189</v>
      </c>
      <c r="E58" s="530" t="s">
        <v>4190</v>
      </c>
      <c r="F58" s="530"/>
      <c r="G58" s="531"/>
      <c r="H58" s="532"/>
      <c r="I58" s="532"/>
      <c r="J58" s="736" t="s">
        <v>117</v>
      </c>
    </row>
    <row r="59" spans="2:10">
      <c r="B59" s="277" t="s">
        <v>4191</v>
      </c>
      <c r="C59" s="69"/>
      <c r="D59" s="671" t="s">
        <v>4192</v>
      </c>
      <c r="E59" s="530" t="s">
        <v>4193</v>
      </c>
      <c r="F59" s="530"/>
      <c r="G59" s="531"/>
      <c r="H59" s="532"/>
      <c r="I59" s="532"/>
      <c r="J59" s="736" t="s">
        <v>117</v>
      </c>
    </row>
    <row r="60" spans="2:10">
      <c r="B60" s="277" t="s">
        <v>4194</v>
      </c>
      <c r="C60" s="286" t="s">
        <v>2958</v>
      </c>
      <c r="D60" s="287" t="s">
        <v>4160</v>
      </c>
      <c r="E60" s="530" t="s">
        <v>4195</v>
      </c>
      <c r="F60" s="530"/>
      <c r="G60" s="531"/>
      <c r="H60" s="532"/>
      <c r="I60" s="532"/>
      <c r="J60" s="736" t="s">
        <v>117</v>
      </c>
    </row>
    <row r="61" spans="2:10">
      <c r="B61" s="277"/>
      <c r="C61" s="786" t="s">
        <v>2976</v>
      </c>
      <c r="D61" s="866" t="s">
        <v>4196</v>
      </c>
      <c r="E61" s="530" t="s">
        <v>4197</v>
      </c>
      <c r="F61" s="530"/>
      <c r="G61" s="531"/>
      <c r="H61" s="532"/>
      <c r="I61" s="532"/>
      <c r="J61" s="278" t="s">
        <v>814</v>
      </c>
    </row>
    <row r="62" spans="2:10" ht="51.6" customHeight="1">
      <c r="B62" s="277"/>
      <c r="C62" s="756"/>
      <c r="D62" s="751"/>
      <c r="E62" s="530" t="s">
        <v>4198</v>
      </c>
      <c r="F62" s="530"/>
      <c r="G62" s="531"/>
      <c r="H62" s="532"/>
      <c r="I62" s="532"/>
      <c r="J62" s="736" t="s">
        <v>820</v>
      </c>
    </row>
    <row r="63" spans="2:10">
      <c r="B63" s="277"/>
      <c r="C63" s="786" t="s">
        <v>3002</v>
      </c>
      <c r="D63" s="866" t="s">
        <v>4167</v>
      </c>
      <c r="E63" s="530" t="s">
        <v>4199</v>
      </c>
      <c r="F63" s="530"/>
      <c r="G63" s="531"/>
      <c r="H63" s="532"/>
      <c r="I63" s="532"/>
      <c r="J63" s="278" t="s">
        <v>814</v>
      </c>
    </row>
    <row r="64" spans="2:10">
      <c r="B64" s="277"/>
      <c r="C64" s="756"/>
      <c r="D64" s="751"/>
      <c r="E64" s="530" t="s">
        <v>4200</v>
      </c>
      <c r="F64" s="530"/>
      <c r="G64" s="531"/>
      <c r="H64" s="532"/>
      <c r="I64" s="532"/>
      <c r="J64" s="736" t="s">
        <v>820</v>
      </c>
    </row>
    <row r="65" spans="1:10" ht="19.5" customHeight="1">
      <c r="B65" s="277" t="s">
        <v>4201</v>
      </c>
      <c r="C65" s="106"/>
      <c r="D65" s="279" t="s">
        <v>804</v>
      </c>
      <c r="E65" s="530" t="s">
        <v>4202</v>
      </c>
      <c r="F65" s="530"/>
      <c r="G65" s="531"/>
      <c r="H65" s="532"/>
      <c r="I65" s="532"/>
      <c r="J65" s="736"/>
    </row>
    <row r="66" spans="1:10" ht="24" customHeight="1">
      <c r="B66" s="277"/>
      <c r="C66" s="106"/>
      <c r="D66" s="872" t="s">
        <v>4203</v>
      </c>
      <c r="E66" s="530" t="s">
        <v>4204</v>
      </c>
      <c r="F66" s="530"/>
      <c r="G66" s="531"/>
      <c r="H66" s="532" t="s">
        <v>4205</v>
      </c>
      <c r="I66" s="532"/>
      <c r="J66" s="736" t="s">
        <v>814</v>
      </c>
    </row>
    <row r="67" spans="1:10" ht="24" customHeight="1">
      <c r="A67" s="180"/>
      <c r="B67" s="288"/>
      <c r="C67" s="289"/>
      <c r="D67" s="756"/>
      <c r="E67" s="530" t="s">
        <v>4206</v>
      </c>
      <c r="F67" s="530"/>
      <c r="G67" s="531"/>
      <c r="H67" s="532" t="s">
        <v>4207</v>
      </c>
      <c r="I67" s="532"/>
      <c r="J67" s="736" t="s">
        <v>820</v>
      </c>
    </row>
    <row r="68" spans="1:10" ht="20.25" customHeight="1">
      <c r="B68" s="277"/>
      <c r="C68" s="284"/>
      <c r="D68" s="290" t="s">
        <v>4208</v>
      </c>
      <c r="E68" s="530" t="s">
        <v>4209</v>
      </c>
      <c r="F68" s="530"/>
      <c r="G68" s="531"/>
      <c r="H68" s="532"/>
      <c r="I68" s="532"/>
      <c r="J68" s="736" t="s">
        <v>820</v>
      </c>
    </row>
    <row r="69" spans="1:10" ht="18.600000000000001" customHeight="1">
      <c r="B69" s="277"/>
      <c r="C69" s="284"/>
      <c r="D69" s="291" t="s">
        <v>4210</v>
      </c>
      <c r="E69" s="530" t="s">
        <v>4211</v>
      </c>
      <c r="F69" s="530"/>
      <c r="G69" s="531"/>
      <c r="H69" s="532"/>
      <c r="I69" s="532"/>
      <c r="J69" s="736" t="s">
        <v>820</v>
      </c>
    </row>
    <row r="70" spans="1:10">
      <c r="B70" s="277"/>
      <c r="C70" s="284"/>
      <c r="D70" s="290" t="s">
        <v>4212</v>
      </c>
      <c r="E70" s="530" t="s">
        <v>4213</v>
      </c>
      <c r="F70" s="530"/>
      <c r="G70" s="531"/>
      <c r="H70" s="532"/>
      <c r="I70" s="532"/>
      <c r="J70" s="736" t="s">
        <v>820</v>
      </c>
    </row>
    <row r="71" spans="1:10">
      <c r="B71" s="277"/>
      <c r="C71" s="284"/>
      <c r="D71" s="290" t="s">
        <v>4214</v>
      </c>
      <c r="E71" s="530" t="s">
        <v>4215</v>
      </c>
      <c r="F71" s="530"/>
      <c r="G71" s="531"/>
      <c r="H71" s="532"/>
      <c r="I71" s="532"/>
      <c r="J71" s="736" t="s">
        <v>820</v>
      </c>
    </row>
    <row r="72" spans="1:10" ht="36" customHeight="1">
      <c r="B72" s="277"/>
      <c r="C72" s="284"/>
      <c r="D72" s="290" t="s">
        <v>4216</v>
      </c>
      <c r="E72" s="530" t="s">
        <v>4217</v>
      </c>
      <c r="F72" s="530"/>
      <c r="G72" s="531"/>
      <c r="H72" s="532" t="s">
        <v>4218</v>
      </c>
      <c r="I72" s="532"/>
      <c r="J72" s="736" t="s">
        <v>820</v>
      </c>
    </row>
    <row r="73" spans="1:10">
      <c r="B73" s="277"/>
      <c r="C73" s="284"/>
      <c r="D73" s="290" t="s">
        <v>4219</v>
      </c>
      <c r="E73" s="530" t="s">
        <v>4220</v>
      </c>
      <c r="F73" s="530"/>
      <c r="G73" s="531"/>
      <c r="H73" s="532"/>
      <c r="I73" s="532"/>
      <c r="J73" s="736" t="s">
        <v>820</v>
      </c>
    </row>
    <row r="74" spans="1:10" ht="18.75" customHeight="1">
      <c r="B74" s="277"/>
      <c r="C74" s="284"/>
      <c r="D74" s="290" t="s">
        <v>4221</v>
      </c>
      <c r="E74" s="530" t="s">
        <v>4222</v>
      </c>
      <c r="F74" s="530"/>
      <c r="G74" s="531"/>
      <c r="H74" s="532" t="s">
        <v>4223</v>
      </c>
      <c r="I74" s="532"/>
      <c r="J74" s="736" t="s">
        <v>820</v>
      </c>
    </row>
    <row r="75" spans="1:10" ht="37.5" customHeight="1">
      <c r="B75" s="277"/>
      <c r="C75" s="284"/>
      <c r="D75" s="292" t="s">
        <v>4224</v>
      </c>
      <c r="E75" s="530" t="s">
        <v>4225</v>
      </c>
      <c r="F75" s="530"/>
      <c r="G75" s="531"/>
      <c r="H75" s="532"/>
      <c r="I75" s="532"/>
      <c r="J75" s="736" t="s">
        <v>820</v>
      </c>
    </row>
    <row r="76" spans="1:10" ht="38.25" customHeight="1">
      <c r="B76" s="277"/>
      <c r="C76" s="284"/>
      <c r="D76" s="293" t="s">
        <v>4226</v>
      </c>
      <c r="E76" s="530" t="s">
        <v>4227</v>
      </c>
      <c r="F76" s="530"/>
      <c r="G76" s="531"/>
      <c r="H76" s="532"/>
      <c r="I76" s="532"/>
      <c r="J76" s="736" t="s">
        <v>820</v>
      </c>
    </row>
    <row r="77" spans="1:10" ht="36.75" customHeight="1">
      <c r="B77" s="277"/>
      <c r="C77" s="284"/>
      <c r="D77" s="294" t="s">
        <v>4228</v>
      </c>
      <c r="E77" s="530" t="s">
        <v>4229</v>
      </c>
      <c r="F77" s="530"/>
      <c r="G77" s="531"/>
      <c r="H77" s="532"/>
      <c r="I77" s="532"/>
      <c r="J77" s="736" t="s">
        <v>820</v>
      </c>
    </row>
    <row r="78" spans="1:10" ht="19.5" customHeight="1">
      <c r="A78" s="325"/>
      <c r="B78" s="277" t="s">
        <v>4230</v>
      </c>
      <c r="C78" s="874" t="s">
        <v>220</v>
      </c>
      <c r="D78" s="295" t="s">
        <v>4231</v>
      </c>
      <c r="E78" s="530" t="s">
        <v>4232</v>
      </c>
      <c r="F78" s="530"/>
      <c r="G78" s="531"/>
      <c r="H78" s="532" t="s">
        <v>4233</v>
      </c>
      <c r="I78" s="532"/>
      <c r="J78" s="668" t="s">
        <v>814</v>
      </c>
    </row>
    <row r="79" spans="1:10" ht="19.5" customHeight="1">
      <c r="A79" s="325"/>
      <c r="B79" s="277" t="s">
        <v>4230</v>
      </c>
      <c r="C79" s="757"/>
      <c r="D79" s="296" t="s">
        <v>2029</v>
      </c>
      <c r="E79" s="530" t="s">
        <v>4234</v>
      </c>
      <c r="F79" s="530"/>
      <c r="G79" s="531"/>
      <c r="H79" s="532" t="s">
        <v>4235</v>
      </c>
      <c r="I79" s="532"/>
      <c r="J79" s="668" t="s">
        <v>814</v>
      </c>
    </row>
    <row r="80" spans="1:10">
      <c r="B80" s="83"/>
      <c r="C80" s="39"/>
    </row>
  </sheetData>
  <mergeCells count="37">
    <mergeCell ref="C78:C79"/>
    <mergeCell ref="E7:E8"/>
    <mergeCell ref="B6:B8"/>
    <mergeCell ref="C3:J3"/>
    <mergeCell ref="H7:H8"/>
    <mergeCell ref="C6:C8"/>
    <mergeCell ref="D24:D25"/>
    <mergeCell ref="C61:C62"/>
    <mergeCell ref="D51:D52"/>
    <mergeCell ref="C28:C29"/>
    <mergeCell ref="D22:D23"/>
    <mergeCell ref="J6:J8"/>
    <mergeCell ref="D30:D31"/>
    <mergeCell ref="C34:C35"/>
    <mergeCell ref="D26:D27"/>
    <mergeCell ref="D66:D67"/>
    <mergeCell ref="D41:D42"/>
    <mergeCell ref="D28:D29"/>
    <mergeCell ref="G7:G8"/>
    <mergeCell ref="I7:I8"/>
    <mergeCell ref="C54:C55"/>
    <mergeCell ref="D6:D8"/>
    <mergeCell ref="C51:C52"/>
    <mergeCell ref="E6:I6"/>
    <mergeCell ref="C32:C33"/>
    <mergeCell ref="D10:D11"/>
    <mergeCell ref="D38:D39"/>
    <mergeCell ref="D34:D35"/>
    <mergeCell ref="F7:F8"/>
    <mergeCell ref="D49:D50"/>
    <mergeCell ref="C30:C31"/>
    <mergeCell ref="D61:D62"/>
    <mergeCell ref="C63:C64"/>
    <mergeCell ref="D36:D37"/>
    <mergeCell ref="D32:D33"/>
    <mergeCell ref="C41:C42"/>
    <mergeCell ref="D63:D64"/>
  </mergeCells>
  <conditionalFormatting sqref="O10:O79 P10:P79 U10:U79 V10:V79 AA10:AA79 AB10:AB79 AG10:AG79 AH10:AH79 AM10:AM79 AN10:AN79 AS10:AS79 AT10:AT79 AY10:AY79 AZ10:AZ79 BE10:BE79 BF10:BF79 BK10:BK79 BL10:BL79 BQ10:BQ79 BR10:BR79 BW10:BW79 BX10:BX79 CC10:CC79 CD10:CD79 CI10:CI79 CJ10:CJ79 CO10:CO79 CP10:CP79 CU10:CU79 CV10:CV79 DA10:DA79 DB10:DB79 DG10:DG79 DH10:DH79">
    <cfRule type="cellIs" dxfId="22" priority="3" operator="greaterThan">
      <formula>0</formula>
    </cfRule>
    <cfRule type="cellIs" dxfId="21" priority="2" operator="lessThan">
      <formula>0</formula>
    </cfRule>
    <cfRule type="cellIs" dxfId="20" priority="1" operator="equal">
      <formula>0</formula>
    </cfRule>
  </conditionalFormatting>
  <conditionalFormatting sqref="L10:L79 N10:N79 R10:R79 T10:T79 X10:X79 Z10:Z79 AD10:AD79 AF10:AF79 AJ10:AJ79 AL10:AL79 AP10:AP79 AR10:AR79 AV10:AV79 AX10:AX79 BB10:BB79 BD10:BD79 BH10:BH79 BJ10:BJ79 BN10:BN79 BP10:BP79 BT10:BT79 BV10:BV79 BZ10:BZ79 CB10:CB79 CF10:CF79 CH10:CH79 CL10:CL79 CN10:CN79 CR10:CR79 CT10:CT79 CX10:CX79 CZ10:CZ79 DD10:DD79 DF10:DF79">
    <cfRule type="cellIs" dxfId="19" priority="4" operator="equal">
      <formula>0</formula>
    </cfRule>
  </conditionalFormatting>
  <pageMargins left="0.23622047244094491" right="0.23622047244094491" top="0.23622047244094491" bottom="0.23622047244094491" header="0" footer="0"/>
  <pageSetup paperSize="9" scale="86" fitToHeight="0" orientation="portrait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theme="8" tint="0.59999389629810485"/>
    <pageSetUpPr fitToPage="1"/>
  </sheetPr>
  <dimension ref="A1:DH73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8.42578125" defaultRowHeight="18.75" outlineLevelCol="1"/>
  <cols>
    <col min="1" max="1" width="61.42578125" style="323" hidden="1" customWidth="1" outlineLevel="1"/>
    <col min="2" max="2" width="10.140625" style="323" hidden="1" customWidth="1" outlineLevel="1"/>
    <col min="3" max="3" width="8.85546875" style="22" customWidth="1" collapsed="1"/>
    <col min="4" max="4" width="84" style="138" customWidth="1"/>
    <col min="5" max="9" width="28.7109375" style="138" customWidth="1" outlineLevel="1"/>
    <col min="10" max="10" width="12.85546875" style="16" bestFit="1" customWidth="1"/>
    <col min="11" max="11" width="8.42578125" style="323" customWidth="1"/>
    <col min="12" max="112" width="8.42578125" style="621" customWidth="1"/>
    <col min="113" max="16384" width="8.42578125" style="323"/>
  </cols>
  <sheetData>
    <row r="1" spans="1:10" ht="20.100000000000001" customHeight="1"/>
    <row r="2" spans="1:10" ht="15" customHeight="1"/>
    <row r="3" spans="1:10" ht="20.100000000000001" customHeight="1">
      <c r="C3" s="789" t="s">
        <v>4236</v>
      </c>
      <c r="D3" s="823"/>
      <c r="E3" s="823"/>
      <c r="F3" s="823"/>
      <c r="G3" s="823"/>
      <c r="H3" s="823"/>
      <c r="I3" s="823"/>
      <c r="J3" s="827"/>
    </row>
    <row r="4" spans="1:10" ht="19.5" customHeight="1"/>
    <row r="5" spans="1:10" ht="20.100000000000001" customHeight="1">
      <c r="C5" s="822" t="s">
        <v>4237</v>
      </c>
      <c r="D5" s="823"/>
      <c r="E5" s="635"/>
      <c r="F5" s="635"/>
      <c r="G5" s="635"/>
      <c r="H5" s="635"/>
      <c r="I5" s="635"/>
      <c r="J5" s="730"/>
    </row>
    <row r="6" spans="1:10" ht="20.100000000000001" customHeight="1">
      <c r="B6" s="877" t="s">
        <v>1799</v>
      </c>
      <c r="C6" s="828" t="s">
        <v>2666</v>
      </c>
      <c r="D6" s="783" t="s">
        <v>16</v>
      </c>
      <c r="E6" s="761" t="s">
        <v>17</v>
      </c>
      <c r="F6" s="762"/>
      <c r="G6" s="762"/>
      <c r="H6" s="762"/>
      <c r="I6" s="763"/>
      <c r="J6" s="783" t="s">
        <v>1365</v>
      </c>
    </row>
    <row r="7" spans="1:10" ht="39.950000000000003" customHeight="1">
      <c r="B7" s="752"/>
      <c r="C7" s="756"/>
      <c r="D7" s="756"/>
      <c r="E7" s="741" t="s">
        <v>19</v>
      </c>
      <c r="F7" s="741" t="s">
        <v>20</v>
      </c>
      <c r="G7" s="741" t="s">
        <v>21</v>
      </c>
      <c r="H7" s="741" t="s">
        <v>22</v>
      </c>
      <c r="I7" s="741" t="s">
        <v>23</v>
      </c>
      <c r="J7" s="756"/>
    </row>
    <row r="8" spans="1:10" ht="20.100000000000001" customHeight="1">
      <c r="B8" s="752"/>
      <c r="C8" s="757"/>
      <c r="D8" s="757"/>
      <c r="E8" s="742"/>
      <c r="F8" s="742"/>
      <c r="G8" s="742"/>
      <c r="H8" s="742"/>
      <c r="I8" s="742"/>
      <c r="J8" s="757"/>
    </row>
    <row r="9" spans="1:10" ht="20.100000000000001" hidden="1" customHeight="1">
      <c r="B9" s="610"/>
      <c r="C9" s="649"/>
      <c r="D9" s="206"/>
      <c r="E9" s="391"/>
      <c r="F9" s="391"/>
      <c r="G9" s="391"/>
      <c r="H9" s="391"/>
      <c r="I9" s="391"/>
      <c r="J9" s="657"/>
    </row>
    <row r="10" spans="1:10">
      <c r="A10" s="49" t="s">
        <v>4238</v>
      </c>
      <c r="B10" s="65" t="s">
        <v>4239</v>
      </c>
      <c r="C10" s="572" t="s">
        <v>26</v>
      </c>
      <c r="D10" s="200" t="s">
        <v>3315</v>
      </c>
      <c r="E10" s="530" t="s">
        <v>4136</v>
      </c>
      <c r="F10" s="530"/>
      <c r="G10" s="531"/>
      <c r="H10" s="532">
        <v>100330867</v>
      </c>
      <c r="I10" s="532"/>
      <c r="J10" s="297" t="s">
        <v>100</v>
      </c>
    </row>
    <row r="11" spans="1:10">
      <c r="A11" s="49"/>
      <c r="B11" s="65" t="s">
        <v>4240</v>
      </c>
      <c r="C11" s="573" t="s">
        <v>43</v>
      </c>
      <c r="D11" s="312" t="s">
        <v>3991</v>
      </c>
      <c r="E11" s="530" t="s">
        <v>4241</v>
      </c>
      <c r="F11" s="530"/>
      <c r="G11" s="531"/>
      <c r="H11" s="532"/>
      <c r="I11" s="532"/>
      <c r="J11" s="720" t="s">
        <v>820</v>
      </c>
    </row>
    <row r="12" spans="1:10">
      <c r="A12" s="49" t="s">
        <v>4242</v>
      </c>
      <c r="B12" s="65"/>
      <c r="C12" s="573"/>
      <c r="D12" s="574" t="s">
        <v>4243</v>
      </c>
      <c r="E12" s="530" t="s">
        <v>4244</v>
      </c>
      <c r="F12" s="530"/>
      <c r="G12" s="531"/>
      <c r="H12" s="532"/>
      <c r="I12" s="532"/>
      <c r="J12" s="297" t="s">
        <v>100</v>
      </c>
    </row>
    <row r="13" spans="1:10">
      <c r="A13" s="49"/>
      <c r="B13" s="65"/>
      <c r="C13" s="575" t="s">
        <v>364</v>
      </c>
      <c r="D13" s="576" t="s">
        <v>2038</v>
      </c>
      <c r="E13" s="530"/>
      <c r="F13" s="530"/>
      <c r="G13" s="531"/>
      <c r="H13" s="532">
        <v>100335852</v>
      </c>
      <c r="I13" s="532"/>
      <c r="J13" s="720" t="s">
        <v>820</v>
      </c>
    </row>
    <row r="14" spans="1:10" s="84" customFormat="1">
      <c r="A14" s="144" t="s">
        <v>3991</v>
      </c>
      <c r="B14" s="83"/>
      <c r="C14" s="40"/>
      <c r="D14" s="138"/>
      <c r="E14" s="138"/>
      <c r="F14" s="138"/>
      <c r="G14" s="138"/>
      <c r="H14" s="138"/>
      <c r="I14" s="138"/>
      <c r="J14" s="138"/>
    </row>
    <row r="15" spans="1:10" s="84" customFormat="1" ht="18" customHeight="1">
      <c r="B15" s="83"/>
      <c r="C15" s="138" t="s">
        <v>4245</v>
      </c>
      <c r="D15" s="138"/>
      <c r="E15" s="138"/>
      <c r="F15" s="138"/>
      <c r="G15" s="138"/>
      <c r="H15" s="138"/>
      <c r="I15" s="138"/>
      <c r="J15" s="138"/>
    </row>
    <row r="16" spans="1:10" s="84" customFormat="1">
      <c r="B16" s="83"/>
      <c r="C16" s="40"/>
      <c r="D16" s="138"/>
      <c r="E16" s="138"/>
      <c r="F16" s="138"/>
      <c r="G16" s="138"/>
      <c r="H16" s="138"/>
      <c r="I16" s="138"/>
      <c r="J16" s="138"/>
    </row>
    <row r="17" spans="2:10" s="84" customFormat="1">
      <c r="B17" s="83"/>
      <c r="C17" s="40"/>
      <c r="D17" s="138"/>
      <c r="E17" s="138"/>
      <c r="F17" s="138"/>
      <c r="G17" s="138"/>
      <c r="H17" s="138"/>
      <c r="I17" s="138"/>
      <c r="J17" s="138"/>
    </row>
    <row r="18" spans="2:10" s="84" customFormat="1">
      <c r="B18" s="83"/>
      <c r="C18" s="40"/>
      <c r="D18" s="138"/>
      <c r="E18" s="138"/>
      <c r="F18" s="138"/>
      <c r="G18" s="138"/>
      <c r="H18" s="138"/>
      <c r="I18" s="138"/>
      <c r="J18" s="298"/>
    </row>
    <row r="19" spans="2:10" s="84" customFormat="1">
      <c r="B19" s="83"/>
      <c r="C19" s="40"/>
      <c r="D19" s="138"/>
      <c r="E19" s="138"/>
      <c r="F19" s="138"/>
      <c r="G19" s="138"/>
      <c r="H19" s="138"/>
      <c r="I19" s="138"/>
      <c r="J19" s="298"/>
    </row>
    <row r="20" spans="2:10" s="84" customFormat="1">
      <c r="B20" s="83"/>
      <c r="C20" s="40"/>
      <c r="D20" s="138"/>
      <c r="E20" s="138"/>
      <c r="F20" s="138"/>
      <c r="G20" s="138"/>
      <c r="H20" s="138"/>
      <c r="I20" s="138"/>
      <c r="J20" s="138"/>
    </row>
    <row r="21" spans="2:10" s="84" customFormat="1">
      <c r="B21" s="83"/>
      <c r="C21" s="40"/>
      <c r="D21" s="138"/>
      <c r="E21" s="138"/>
      <c r="F21" s="138"/>
      <c r="G21" s="138"/>
      <c r="H21" s="138"/>
      <c r="I21" s="138"/>
      <c r="J21" s="138"/>
    </row>
    <row r="22" spans="2:10" s="84" customFormat="1">
      <c r="B22" s="83"/>
      <c r="C22" s="40"/>
      <c r="D22" s="138"/>
      <c r="E22" s="138"/>
      <c r="F22" s="138"/>
      <c r="G22" s="138"/>
      <c r="H22" s="138"/>
      <c r="I22" s="138"/>
      <c r="J22" s="138"/>
    </row>
    <row r="23" spans="2:10" s="84" customFormat="1">
      <c r="B23" s="83"/>
      <c r="C23" s="40"/>
      <c r="D23" s="138"/>
      <c r="E23" s="138"/>
      <c r="F23" s="138"/>
      <c r="G23" s="138"/>
      <c r="H23" s="138"/>
      <c r="I23" s="138"/>
      <c r="J23" s="138"/>
    </row>
    <row r="24" spans="2:10" s="84" customFormat="1">
      <c r="B24" s="323"/>
      <c r="C24" s="22"/>
      <c r="D24" s="138"/>
      <c r="E24" s="138"/>
      <c r="F24" s="138"/>
      <c r="G24" s="138"/>
      <c r="H24" s="138"/>
      <c r="I24" s="138"/>
      <c r="J24" s="16"/>
    </row>
    <row r="25" spans="2:10" s="84" customFormat="1">
      <c r="B25" s="323"/>
      <c r="C25" s="22"/>
      <c r="D25" s="138"/>
      <c r="E25" s="138"/>
      <c r="F25" s="138"/>
      <c r="G25" s="138"/>
      <c r="H25" s="138"/>
      <c r="I25" s="138"/>
      <c r="J25" s="16"/>
    </row>
    <row r="26" spans="2:10" s="84" customFormat="1">
      <c r="B26" s="323"/>
      <c r="C26" s="22"/>
      <c r="D26" s="138"/>
      <c r="E26" s="138"/>
      <c r="F26" s="138"/>
      <c r="G26" s="138"/>
      <c r="H26" s="138"/>
      <c r="I26" s="138"/>
      <c r="J26" s="16"/>
    </row>
    <row r="27" spans="2:10" s="84" customFormat="1">
      <c r="B27" s="323"/>
      <c r="C27" s="22"/>
      <c r="D27" s="138"/>
      <c r="E27" s="138"/>
      <c r="F27" s="138"/>
      <c r="G27" s="138"/>
      <c r="H27" s="138"/>
      <c r="I27" s="138"/>
      <c r="J27" s="16"/>
    </row>
    <row r="28" spans="2:10" s="84" customFormat="1">
      <c r="B28" s="323"/>
      <c r="C28" s="22"/>
      <c r="D28" s="138"/>
      <c r="E28" s="138"/>
      <c r="F28" s="138"/>
      <c r="G28" s="138"/>
      <c r="H28" s="138"/>
      <c r="I28" s="138"/>
      <c r="J28" s="16"/>
    </row>
    <row r="29" spans="2:10" s="84" customFormat="1">
      <c r="B29" s="323"/>
      <c r="C29" s="22"/>
      <c r="D29" s="138"/>
      <c r="E29" s="138"/>
      <c r="F29" s="138"/>
      <c r="G29" s="138"/>
      <c r="H29" s="138"/>
      <c r="I29" s="138"/>
      <c r="J29" s="16"/>
    </row>
    <row r="30" spans="2:10" s="84" customFormat="1">
      <c r="B30" s="323"/>
      <c r="C30" s="22"/>
      <c r="D30" s="138"/>
      <c r="E30" s="138"/>
      <c r="F30" s="138"/>
      <c r="G30" s="138"/>
      <c r="H30" s="138"/>
      <c r="I30" s="138"/>
      <c r="J30" s="16"/>
    </row>
    <row r="31" spans="2:10" s="84" customFormat="1">
      <c r="B31" s="323"/>
      <c r="C31" s="22"/>
      <c r="D31" s="138"/>
      <c r="E31" s="138"/>
      <c r="F31" s="138"/>
      <c r="G31" s="138"/>
      <c r="H31" s="138"/>
      <c r="I31" s="138"/>
      <c r="J31" s="16"/>
    </row>
    <row r="32" spans="2:10" s="84" customFormat="1">
      <c r="B32" s="323"/>
      <c r="C32" s="22"/>
      <c r="D32" s="138"/>
      <c r="E32" s="138"/>
      <c r="F32" s="138"/>
      <c r="G32" s="138"/>
      <c r="H32" s="138"/>
      <c r="I32" s="138"/>
      <c r="J32" s="16"/>
    </row>
    <row r="33" spans="2:10" s="84" customFormat="1">
      <c r="B33" s="323"/>
      <c r="C33" s="22"/>
      <c r="D33" s="138"/>
      <c r="E33" s="138"/>
      <c r="F33" s="138"/>
      <c r="G33" s="138"/>
      <c r="H33" s="138"/>
      <c r="I33" s="138"/>
      <c r="J33" s="16"/>
    </row>
    <row r="34" spans="2:10" s="84" customFormat="1">
      <c r="B34" s="323"/>
      <c r="C34" s="22"/>
      <c r="D34" s="138"/>
      <c r="E34" s="138"/>
      <c r="F34" s="138"/>
      <c r="G34" s="138"/>
      <c r="H34" s="138"/>
      <c r="I34" s="138"/>
      <c r="J34" s="16"/>
    </row>
    <row r="35" spans="2:10" s="84" customFormat="1">
      <c r="B35" s="323"/>
      <c r="C35" s="22"/>
      <c r="D35" s="138"/>
      <c r="E35" s="138"/>
      <c r="F35" s="138"/>
      <c r="G35" s="138"/>
      <c r="H35" s="138"/>
      <c r="I35" s="138"/>
      <c r="J35" s="16"/>
    </row>
    <row r="36" spans="2:10" s="84" customFormat="1">
      <c r="B36" s="323"/>
      <c r="C36" s="22"/>
      <c r="D36" s="138"/>
      <c r="E36" s="138"/>
      <c r="F36" s="138"/>
      <c r="G36" s="138"/>
      <c r="H36" s="138"/>
      <c r="I36" s="138"/>
      <c r="J36" s="16"/>
    </row>
    <row r="37" spans="2:10" s="84" customFormat="1">
      <c r="B37" s="323"/>
      <c r="C37" s="22"/>
      <c r="D37" s="138"/>
      <c r="E37" s="138"/>
      <c r="F37" s="138"/>
      <c r="G37" s="138"/>
      <c r="H37" s="138"/>
      <c r="I37" s="138"/>
      <c r="J37" s="16"/>
    </row>
    <row r="38" spans="2:10" s="84" customFormat="1">
      <c r="B38" s="323"/>
      <c r="C38" s="22"/>
      <c r="D38" s="138"/>
      <c r="E38" s="138"/>
      <c r="F38" s="138"/>
      <c r="G38" s="138"/>
      <c r="H38" s="138"/>
      <c r="I38" s="138"/>
      <c r="J38" s="16"/>
    </row>
    <row r="39" spans="2:10" s="84" customFormat="1">
      <c r="B39" s="323"/>
      <c r="C39" s="22"/>
      <c r="D39" s="138"/>
      <c r="E39" s="138"/>
      <c r="F39" s="138"/>
      <c r="G39" s="138"/>
      <c r="H39" s="138"/>
      <c r="I39" s="138"/>
      <c r="J39" s="16"/>
    </row>
    <row r="40" spans="2:10" s="84" customFormat="1">
      <c r="B40" s="323"/>
      <c r="C40" s="22"/>
      <c r="D40" s="138"/>
      <c r="E40" s="138"/>
      <c r="F40" s="138"/>
      <c r="G40" s="138"/>
      <c r="H40" s="138"/>
      <c r="I40" s="138"/>
      <c r="J40" s="16"/>
    </row>
    <row r="41" spans="2:10" s="84" customFormat="1">
      <c r="B41" s="323"/>
      <c r="C41" s="22"/>
      <c r="D41" s="138"/>
      <c r="E41" s="138"/>
      <c r="F41" s="138"/>
      <c r="G41" s="138"/>
      <c r="H41" s="138"/>
      <c r="I41" s="138"/>
      <c r="J41" s="16"/>
    </row>
    <row r="42" spans="2:10" s="84" customFormat="1">
      <c r="B42" s="323"/>
      <c r="C42" s="22"/>
      <c r="D42" s="138"/>
      <c r="E42" s="138"/>
      <c r="F42" s="138"/>
      <c r="G42" s="138"/>
      <c r="H42" s="138"/>
      <c r="I42" s="138"/>
      <c r="J42" s="16"/>
    </row>
    <row r="43" spans="2:10" s="84" customFormat="1">
      <c r="B43" s="323"/>
      <c r="C43" s="22"/>
      <c r="D43" s="138"/>
      <c r="E43" s="138"/>
      <c r="F43" s="138"/>
      <c r="G43" s="138"/>
      <c r="H43" s="138"/>
      <c r="I43" s="138"/>
      <c r="J43" s="16"/>
    </row>
    <row r="44" spans="2:10" s="84" customFormat="1">
      <c r="B44" s="323"/>
      <c r="C44" s="22"/>
      <c r="D44" s="138"/>
      <c r="E44" s="138"/>
      <c r="F44" s="138"/>
      <c r="G44" s="138"/>
      <c r="H44" s="138"/>
      <c r="I44" s="138"/>
      <c r="J44" s="16"/>
    </row>
    <row r="45" spans="2:10" s="84" customFormat="1">
      <c r="B45" s="323"/>
      <c r="C45" s="22"/>
      <c r="D45" s="138"/>
      <c r="E45" s="138"/>
      <c r="F45" s="138"/>
      <c r="G45" s="138"/>
      <c r="H45" s="138"/>
      <c r="I45" s="138"/>
      <c r="J45" s="16"/>
    </row>
    <row r="46" spans="2:10" s="84" customFormat="1">
      <c r="B46" s="323"/>
      <c r="C46" s="22"/>
      <c r="D46" s="138"/>
      <c r="E46" s="138"/>
      <c r="F46" s="138"/>
      <c r="G46" s="138"/>
      <c r="H46" s="138"/>
      <c r="I46" s="138"/>
      <c r="J46" s="16"/>
    </row>
    <row r="47" spans="2:10" s="84" customFormat="1">
      <c r="B47" s="323"/>
      <c r="C47" s="22"/>
      <c r="D47" s="138"/>
      <c r="E47" s="138"/>
      <c r="F47" s="138"/>
      <c r="G47" s="138"/>
      <c r="H47" s="138"/>
      <c r="I47" s="138"/>
      <c r="J47" s="16"/>
    </row>
    <row r="48" spans="2:10" s="84" customFormat="1">
      <c r="B48" s="323"/>
      <c r="C48" s="22"/>
      <c r="D48" s="138"/>
      <c r="E48" s="138"/>
      <c r="F48" s="138"/>
      <c r="G48" s="138"/>
      <c r="H48" s="138"/>
      <c r="I48" s="138"/>
      <c r="J48" s="16"/>
    </row>
    <row r="49" spans="2:10" s="84" customFormat="1">
      <c r="B49" s="323"/>
      <c r="C49" s="22"/>
      <c r="D49" s="138"/>
      <c r="E49" s="138"/>
      <c r="F49" s="138"/>
      <c r="G49" s="138"/>
      <c r="H49" s="138"/>
      <c r="I49" s="138"/>
      <c r="J49" s="16"/>
    </row>
    <row r="50" spans="2:10" s="84" customFormat="1">
      <c r="B50" s="323"/>
      <c r="C50" s="22"/>
      <c r="D50" s="138"/>
      <c r="E50" s="138"/>
      <c r="F50" s="138"/>
      <c r="G50" s="138"/>
      <c r="H50" s="138"/>
      <c r="I50" s="138"/>
      <c r="J50" s="16"/>
    </row>
    <row r="51" spans="2:10" s="84" customFormat="1">
      <c r="B51" s="323"/>
      <c r="C51" s="22"/>
      <c r="D51" s="138"/>
      <c r="E51" s="138"/>
      <c r="F51" s="138"/>
      <c r="G51" s="138"/>
      <c r="H51" s="138"/>
      <c r="I51" s="138"/>
      <c r="J51" s="16"/>
    </row>
    <row r="52" spans="2:10" s="84" customFormat="1">
      <c r="B52" s="323"/>
      <c r="C52" s="22"/>
      <c r="D52" s="138"/>
      <c r="E52" s="138"/>
      <c r="F52" s="138"/>
      <c r="G52" s="138"/>
      <c r="H52" s="138"/>
      <c r="I52" s="138"/>
      <c r="J52" s="16"/>
    </row>
    <row r="53" spans="2:10" s="84" customFormat="1">
      <c r="B53" s="323"/>
      <c r="C53" s="22"/>
      <c r="D53" s="138"/>
      <c r="E53" s="138"/>
      <c r="F53" s="138"/>
      <c r="G53" s="138"/>
      <c r="H53" s="138"/>
      <c r="I53" s="138"/>
      <c r="J53" s="16"/>
    </row>
    <row r="54" spans="2:10" s="84" customFormat="1">
      <c r="B54" s="323"/>
      <c r="C54" s="22"/>
      <c r="D54" s="138"/>
      <c r="E54" s="138"/>
      <c r="F54" s="138"/>
      <c r="G54" s="138"/>
      <c r="H54" s="138"/>
      <c r="I54" s="138"/>
      <c r="J54" s="16"/>
    </row>
    <row r="55" spans="2:10" s="84" customFormat="1">
      <c r="B55" s="323"/>
      <c r="C55" s="22"/>
      <c r="D55" s="138"/>
      <c r="E55" s="138"/>
      <c r="F55" s="138"/>
      <c r="G55" s="138"/>
      <c r="H55" s="138"/>
      <c r="I55" s="138"/>
      <c r="J55" s="16"/>
    </row>
    <row r="56" spans="2:10" s="84" customFormat="1">
      <c r="B56" s="323"/>
      <c r="C56" s="22"/>
      <c r="D56" s="138"/>
      <c r="E56" s="138"/>
      <c r="F56" s="138"/>
      <c r="G56" s="138"/>
      <c r="H56" s="138"/>
      <c r="I56" s="138"/>
      <c r="J56" s="16"/>
    </row>
    <row r="57" spans="2:10" s="84" customFormat="1">
      <c r="B57" s="323"/>
      <c r="C57" s="22"/>
      <c r="D57" s="138"/>
      <c r="E57" s="138"/>
      <c r="F57" s="138"/>
      <c r="G57" s="138"/>
      <c r="H57" s="138"/>
      <c r="I57" s="138"/>
      <c r="J57" s="16"/>
    </row>
    <row r="58" spans="2:10" s="84" customFormat="1">
      <c r="B58" s="323"/>
      <c r="C58" s="22"/>
      <c r="D58" s="138"/>
      <c r="E58" s="138"/>
      <c r="F58" s="138"/>
      <c r="G58" s="138"/>
      <c r="H58" s="138"/>
      <c r="I58" s="138"/>
      <c r="J58" s="16"/>
    </row>
    <row r="59" spans="2:10" s="84" customFormat="1">
      <c r="B59" s="323"/>
      <c r="C59" s="22"/>
      <c r="D59" s="138"/>
      <c r="E59" s="138"/>
      <c r="F59" s="138"/>
      <c r="G59" s="138"/>
      <c r="H59" s="138"/>
      <c r="I59" s="138"/>
      <c r="J59" s="16"/>
    </row>
    <row r="60" spans="2:10" s="84" customFormat="1">
      <c r="B60" s="323"/>
      <c r="C60" s="22"/>
      <c r="D60" s="138"/>
      <c r="E60" s="138"/>
      <c r="F60" s="138"/>
      <c r="G60" s="138"/>
      <c r="H60" s="138"/>
      <c r="I60" s="138"/>
      <c r="J60" s="16"/>
    </row>
    <row r="61" spans="2:10" s="84" customFormat="1">
      <c r="B61" s="323"/>
      <c r="C61" s="22"/>
      <c r="D61" s="138"/>
      <c r="E61" s="138"/>
      <c r="F61" s="138"/>
      <c r="G61" s="138"/>
      <c r="H61" s="138"/>
      <c r="I61" s="138"/>
      <c r="J61" s="16"/>
    </row>
    <row r="62" spans="2:10" s="84" customFormat="1">
      <c r="B62" s="323"/>
      <c r="C62" s="22"/>
      <c r="D62" s="138"/>
      <c r="E62" s="138"/>
      <c r="F62" s="138"/>
      <c r="G62" s="138"/>
      <c r="H62" s="138"/>
      <c r="I62" s="138"/>
      <c r="J62" s="16"/>
    </row>
    <row r="63" spans="2:10" s="84" customFormat="1">
      <c r="B63" s="323"/>
      <c r="C63" s="22"/>
      <c r="D63" s="138"/>
      <c r="E63" s="138"/>
      <c r="F63" s="138"/>
      <c r="G63" s="138"/>
      <c r="H63" s="138"/>
      <c r="I63" s="138"/>
      <c r="J63" s="16"/>
    </row>
    <row r="64" spans="2:10" s="84" customFormat="1">
      <c r="B64" s="323"/>
      <c r="C64" s="22"/>
      <c r="D64" s="138"/>
      <c r="E64" s="138"/>
      <c r="F64" s="138"/>
      <c r="G64" s="138"/>
      <c r="H64" s="138"/>
      <c r="I64" s="138"/>
      <c r="J64" s="16"/>
    </row>
    <row r="65" spans="2:10" s="84" customFormat="1">
      <c r="B65" s="323"/>
      <c r="C65" s="22"/>
      <c r="D65" s="138"/>
      <c r="E65" s="138"/>
      <c r="F65" s="138"/>
      <c r="G65" s="138"/>
      <c r="H65" s="138"/>
      <c r="I65" s="138"/>
      <c r="J65" s="16"/>
    </row>
    <row r="66" spans="2:10" s="84" customFormat="1">
      <c r="B66" s="323"/>
      <c r="C66" s="22"/>
      <c r="D66" s="138"/>
      <c r="E66" s="138"/>
      <c r="F66" s="138"/>
      <c r="G66" s="138"/>
      <c r="H66" s="138"/>
      <c r="I66" s="138"/>
      <c r="J66" s="16"/>
    </row>
    <row r="67" spans="2:10" s="84" customFormat="1">
      <c r="B67" s="323"/>
      <c r="C67" s="22"/>
      <c r="D67" s="138"/>
      <c r="E67" s="138"/>
      <c r="F67" s="138"/>
      <c r="G67" s="138"/>
      <c r="H67" s="138"/>
      <c r="I67" s="138"/>
      <c r="J67" s="16"/>
    </row>
    <row r="68" spans="2:10" s="84" customFormat="1">
      <c r="B68" s="323"/>
      <c r="C68" s="22"/>
      <c r="D68" s="138"/>
      <c r="E68" s="138"/>
      <c r="F68" s="138"/>
      <c r="G68" s="138"/>
      <c r="H68" s="138"/>
      <c r="I68" s="138"/>
      <c r="J68" s="16"/>
    </row>
    <row r="69" spans="2:10" s="84" customFormat="1">
      <c r="B69" s="323"/>
      <c r="C69" s="22"/>
      <c r="D69" s="138"/>
      <c r="E69" s="138"/>
      <c r="F69" s="138"/>
      <c r="G69" s="138"/>
      <c r="H69" s="138"/>
      <c r="I69" s="138"/>
      <c r="J69" s="16"/>
    </row>
    <row r="70" spans="2:10" s="84" customFormat="1">
      <c r="B70" s="323"/>
      <c r="C70" s="22"/>
      <c r="D70" s="138"/>
      <c r="E70" s="138"/>
      <c r="F70" s="138"/>
      <c r="G70" s="138"/>
      <c r="H70" s="138"/>
      <c r="I70" s="138"/>
      <c r="J70" s="16"/>
    </row>
    <row r="71" spans="2:10" s="84" customFormat="1">
      <c r="B71" s="323"/>
      <c r="C71" s="22"/>
      <c r="D71" s="138"/>
      <c r="E71" s="138"/>
      <c r="F71" s="138"/>
      <c r="G71" s="138"/>
      <c r="H71" s="138"/>
      <c r="I71" s="138"/>
      <c r="J71" s="16"/>
    </row>
    <row r="72" spans="2:10" s="84" customFormat="1">
      <c r="B72" s="323"/>
      <c r="C72" s="22"/>
      <c r="D72" s="138"/>
      <c r="E72" s="138"/>
      <c r="F72" s="138"/>
      <c r="G72" s="138"/>
      <c r="H72" s="138"/>
      <c r="I72" s="138"/>
      <c r="J72" s="16"/>
    </row>
    <row r="73" spans="2:10" s="84" customFormat="1">
      <c r="B73" s="323"/>
      <c r="C73" s="22"/>
      <c r="D73" s="138"/>
      <c r="E73" s="138"/>
      <c r="F73" s="138"/>
      <c r="G73" s="138"/>
      <c r="H73" s="138"/>
      <c r="I73" s="138"/>
      <c r="J73" s="16"/>
    </row>
  </sheetData>
  <mergeCells count="12">
    <mergeCell ref="J6:J8"/>
    <mergeCell ref="E7:E8"/>
    <mergeCell ref="B6:B8"/>
    <mergeCell ref="C3:J3"/>
    <mergeCell ref="H7:H8"/>
    <mergeCell ref="C6:C8"/>
    <mergeCell ref="F7:F8"/>
    <mergeCell ref="C5:D5"/>
    <mergeCell ref="G7:G8"/>
    <mergeCell ref="I7:I8"/>
    <mergeCell ref="D6:D8"/>
    <mergeCell ref="E6:I6"/>
  </mergeCells>
  <conditionalFormatting sqref="O10:O13 P10:P13 U10:U13 V10:V13 AA10:AA13 AB10:AB13 AG10:AG13 AH10:AH13 AM10:AM13 AN10:AN13 AS10:AS13 AT10:AT13 AY10:AY13 AZ10:AZ13 BE10:BE13 BF10:BF13 BK10:BK13 BL10:BL13 BQ10:BQ13 BR10:BR13 BW10:BW13 BX10:BX13 CC10:CC13 CD10:CD13 CI10:CI13 CJ10:CJ13 CO10:CO13 CP10:CP13 CU10:CU13 CV10:CV13 DA10:DA13 DB10:DB13 DG10:DG13 DH10:DH13">
    <cfRule type="cellIs" dxfId="18" priority="3" operator="greaterThan">
      <formula>0</formula>
    </cfRule>
    <cfRule type="cellIs" dxfId="17" priority="2" operator="lessThan">
      <formula>0</formula>
    </cfRule>
    <cfRule type="cellIs" dxfId="16" priority="1" operator="equal">
      <formula>0</formula>
    </cfRule>
  </conditionalFormatting>
  <conditionalFormatting sqref="L10:L13 N10:N13 R10:R13 T10:T13 X10:X13 Z10:Z13 AD10:AD13 AF10:AF13 AJ10:AJ13 AL10:AL13 AP10:AP13 AR10:AR13 AV10:AV13 AX10:AX13 BB10:BB13 BD10:BD13 BH10:BH13 BJ10:BJ13 BN10:BN13 BP10:BP13 BT10:BT13 BV10:BV13 BZ10:BZ13 CB10:CB13 CF10:CF13 CH10:CH13 CL10:CL13 CN10:CN13 CR10:CR13 CT10:CT13 CX10:CX13 CZ10:CZ13 DD10:DD13 DF10:DF13">
    <cfRule type="cellIs" dxfId="15" priority="4" operator="equal">
      <formula>0</formula>
    </cfRule>
  </conditionalFormatting>
  <pageMargins left="0.25" right="0.25" top="0.75" bottom="0.75" header="0.3" footer="0.3"/>
  <pageSetup paperSize="9" scale="74" fitToHeight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tabColor theme="8" tint="0.59999389629810485"/>
    <pageSetUpPr fitToPage="1"/>
  </sheetPr>
  <dimension ref="A1:DH101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8.42578125" defaultRowHeight="18.75" outlineLevelCol="1"/>
  <cols>
    <col min="1" max="1" width="89" style="323" hidden="1" customWidth="1" outlineLevel="1"/>
    <col min="2" max="2" width="16.7109375" style="323" hidden="1" customWidth="1" outlineLevel="1"/>
    <col min="3" max="3" width="18.140625" style="368" customWidth="1" collapsed="1"/>
    <col min="4" max="4" width="95.5703125" style="323" customWidth="1"/>
    <col min="5" max="9" width="26.42578125" style="323" customWidth="1" outlineLevel="1"/>
    <col min="10" max="10" width="14" style="391" bestFit="1" customWidth="1"/>
    <col min="11" max="11" width="8.42578125" style="323" customWidth="1"/>
    <col min="12" max="112" width="8.42578125" style="621" customWidth="1"/>
    <col min="113" max="16384" width="8.42578125" style="323"/>
  </cols>
  <sheetData>
    <row r="1" spans="1:10" ht="15" customHeight="1"/>
    <row r="2" spans="1:10" ht="15" customHeight="1"/>
    <row r="3" spans="1:10" ht="20.25" customHeight="1">
      <c r="C3" s="739" t="s">
        <v>4246</v>
      </c>
    </row>
    <row r="4" spans="1:10" ht="19.5" customHeight="1"/>
    <row r="5" spans="1:10" ht="19.5" customHeight="1">
      <c r="B5" s="343"/>
      <c r="C5" s="363" t="s">
        <v>4247</v>
      </c>
      <c r="J5" s="730"/>
    </row>
    <row r="6" spans="1:10" ht="20.100000000000001" customHeight="1">
      <c r="B6" s="675" t="s">
        <v>4248</v>
      </c>
      <c r="C6" s="828" t="s">
        <v>2666</v>
      </c>
      <c r="D6" s="783" t="s">
        <v>16</v>
      </c>
      <c r="E6" s="761" t="s">
        <v>17</v>
      </c>
      <c r="F6" s="762"/>
      <c r="G6" s="762"/>
      <c r="H6" s="762"/>
      <c r="I6" s="763"/>
      <c r="J6" s="761" t="s">
        <v>1365</v>
      </c>
    </row>
    <row r="7" spans="1:10" ht="39.950000000000003" customHeight="1">
      <c r="B7" s="675"/>
      <c r="C7" s="756"/>
      <c r="D7" s="756"/>
      <c r="E7" s="741" t="s">
        <v>19</v>
      </c>
      <c r="F7" s="741" t="s">
        <v>20</v>
      </c>
      <c r="G7" s="741" t="s">
        <v>21</v>
      </c>
      <c r="H7" s="741" t="s">
        <v>22</v>
      </c>
      <c r="I7" s="741" t="s">
        <v>23</v>
      </c>
      <c r="J7" s="756"/>
    </row>
    <row r="8" spans="1:10" ht="20.100000000000001" customHeight="1">
      <c r="A8" s="323">
        <v>1</v>
      </c>
      <c r="B8" s="675">
        <v>1</v>
      </c>
      <c r="C8" s="757"/>
      <c r="D8" s="757"/>
      <c r="E8" s="742"/>
      <c r="F8" s="742"/>
      <c r="G8" s="742"/>
      <c r="H8" s="742"/>
      <c r="I8" s="742"/>
      <c r="J8" s="757"/>
    </row>
    <row r="9" spans="1:10" ht="20.100000000000001" hidden="1" customHeight="1">
      <c r="B9" s="390"/>
      <c r="C9" s="649"/>
      <c r="D9" s="657"/>
      <c r="E9" s="391"/>
      <c r="F9" s="391"/>
      <c r="G9" s="391"/>
      <c r="H9" s="391"/>
      <c r="I9" s="391"/>
      <c r="J9" s="660"/>
    </row>
    <row r="10" spans="1:10" ht="18.75" customHeight="1">
      <c r="A10" s="299" t="s">
        <v>4249</v>
      </c>
      <c r="B10" s="390">
        <v>100336330</v>
      </c>
      <c r="C10" s="601" t="s">
        <v>26</v>
      </c>
      <c r="D10" s="300" t="s">
        <v>4249</v>
      </c>
      <c r="E10" s="530" t="s">
        <v>3301</v>
      </c>
      <c r="F10" s="530"/>
      <c r="G10" s="531"/>
      <c r="H10" s="532" t="s">
        <v>3302</v>
      </c>
      <c r="I10" s="532"/>
      <c r="J10" s="660" t="s">
        <v>814</v>
      </c>
    </row>
    <row r="11" spans="1:10" ht="18.75" customHeight="1">
      <c r="A11" s="301" t="s">
        <v>815</v>
      </c>
      <c r="B11" s="390">
        <v>100336331</v>
      </c>
      <c r="C11" s="613" t="s">
        <v>43</v>
      </c>
      <c r="D11" s="302" t="s">
        <v>815</v>
      </c>
      <c r="E11" s="530" t="s">
        <v>4250</v>
      </c>
      <c r="F11" s="530"/>
      <c r="G11" s="531"/>
      <c r="H11" s="532" t="s">
        <v>4251</v>
      </c>
      <c r="I11" s="532"/>
      <c r="J11" s="657" t="s">
        <v>814</v>
      </c>
    </row>
    <row r="12" spans="1:10" ht="18.75" customHeight="1">
      <c r="A12" s="303" t="s">
        <v>817</v>
      </c>
      <c r="B12" s="390">
        <v>100332340</v>
      </c>
      <c r="C12" s="786" t="s">
        <v>1373</v>
      </c>
      <c r="D12" s="782" t="s">
        <v>817</v>
      </c>
      <c r="E12" s="530" t="s">
        <v>4252</v>
      </c>
      <c r="F12" s="530"/>
      <c r="G12" s="531"/>
      <c r="H12" s="532" t="s">
        <v>4253</v>
      </c>
      <c r="I12" s="532"/>
      <c r="J12" s="657" t="s">
        <v>814</v>
      </c>
    </row>
    <row r="13" spans="1:10" ht="18.75" customHeight="1">
      <c r="A13" s="304"/>
      <c r="B13" s="390">
        <v>100330742</v>
      </c>
      <c r="C13" s="756"/>
      <c r="D13" s="756"/>
      <c r="E13" s="530" t="s">
        <v>4254</v>
      </c>
      <c r="F13" s="530"/>
      <c r="G13" s="531"/>
      <c r="H13" s="532" t="s">
        <v>4255</v>
      </c>
      <c r="I13" s="532"/>
      <c r="J13" s="720" t="s">
        <v>820</v>
      </c>
    </row>
    <row r="14" spans="1:10" ht="18.75" customHeight="1">
      <c r="A14" s="305" t="s">
        <v>821</v>
      </c>
      <c r="B14" s="390">
        <v>100330865</v>
      </c>
      <c r="C14" s="617" t="s">
        <v>1435</v>
      </c>
      <c r="D14" s="612" t="s">
        <v>821</v>
      </c>
      <c r="E14" s="530" t="s">
        <v>4256</v>
      </c>
      <c r="F14" s="530"/>
      <c r="G14" s="531"/>
      <c r="H14" s="532" t="s">
        <v>4257</v>
      </c>
      <c r="I14" s="532"/>
      <c r="J14" s="657" t="s">
        <v>814</v>
      </c>
    </row>
    <row r="15" spans="1:10" ht="18.75" customHeight="1">
      <c r="A15" s="306" t="s">
        <v>826</v>
      </c>
      <c r="B15" s="390">
        <v>100336333</v>
      </c>
      <c r="C15" s="617"/>
      <c r="D15" s="195" t="s">
        <v>823</v>
      </c>
      <c r="E15" s="530" t="s">
        <v>4258</v>
      </c>
      <c r="F15" s="530"/>
      <c r="G15" s="531"/>
      <c r="H15" s="532"/>
      <c r="I15" s="532"/>
      <c r="J15" s="657" t="s">
        <v>814</v>
      </c>
    </row>
    <row r="16" spans="1:10" ht="18.75" customHeight="1">
      <c r="A16" s="305" t="s">
        <v>805</v>
      </c>
      <c r="B16" s="390">
        <v>100336332</v>
      </c>
      <c r="C16" s="617" t="s">
        <v>1440</v>
      </c>
      <c r="D16" s="612" t="s">
        <v>805</v>
      </c>
      <c r="E16" s="530" t="s">
        <v>4259</v>
      </c>
      <c r="F16" s="530"/>
      <c r="G16" s="531"/>
      <c r="H16" s="532"/>
      <c r="I16" s="532"/>
      <c r="J16" s="657" t="s">
        <v>814</v>
      </c>
    </row>
    <row r="17" spans="1:10" ht="18.75" customHeight="1">
      <c r="A17" s="306" t="s">
        <v>826</v>
      </c>
      <c r="B17" s="390">
        <v>100336333</v>
      </c>
      <c r="C17" s="617"/>
      <c r="D17" s="195" t="s">
        <v>826</v>
      </c>
      <c r="E17" s="530" t="s">
        <v>4260</v>
      </c>
      <c r="F17" s="530"/>
      <c r="G17" s="531"/>
      <c r="H17" s="532"/>
      <c r="I17" s="532"/>
      <c r="J17" s="657" t="s">
        <v>814</v>
      </c>
    </row>
    <row r="18" spans="1:10" ht="18.75" customHeight="1">
      <c r="A18" s="307" t="s">
        <v>828</v>
      </c>
      <c r="B18" s="390">
        <v>100336369</v>
      </c>
      <c r="C18" s="617"/>
      <c r="D18" s="880" t="s">
        <v>828</v>
      </c>
      <c r="E18" s="530" t="s">
        <v>4261</v>
      </c>
      <c r="F18" s="530"/>
      <c r="G18" s="531"/>
      <c r="H18" s="532"/>
      <c r="I18" s="532"/>
      <c r="J18" s="32" t="s">
        <v>814</v>
      </c>
    </row>
    <row r="19" spans="1:10" ht="18.75" customHeight="1">
      <c r="A19" s="308"/>
      <c r="B19" s="390">
        <v>100336370</v>
      </c>
      <c r="C19" s="617"/>
      <c r="D19" s="756"/>
      <c r="E19" s="530" t="s">
        <v>4262</v>
      </c>
      <c r="F19" s="530"/>
      <c r="G19" s="531"/>
      <c r="H19" s="532"/>
      <c r="I19" s="532"/>
      <c r="J19" s="740" t="s">
        <v>820</v>
      </c>
    </row>
    <row r="20" spans="1:10" ht="18.75" customHeight="1">
      <c r="A20" s="309" t="s">
        <v>831</v>
      </c>
      <c r="B20" s="390">
        <v>100332993</v>
      </c>
      <c r="C20" s="785" t="s">
        <v>53</v>
      </c>
      <c r="D20" s="855" t="s">
        <v>831</v>
      </c>
      <c r="E20" s="530" t="s">
        <v>4263</v>
      </c>
      <c r="F20" s="530"/>
      <c r="G20" s="531"/>
      <c r="H20" s="532" t="s">
        <v>4264</v>
      </c>
      <c r="I20" s="532"/>
      <c r="J20" s="657" t="s">
        <v>814</v>
      </c>
    </row>
    <row r="21" spans="1:10" ht="18.75" customHeight="1">
      <c r="A21" s="310"/>
      <c r="B21" s="390">
        <v>100332994</v>
      </c>
      <c r="C21" s="756"/>
      <c r="D21" s="756"/>
      <c r="E21" s="530" t="s">
        <v>4265</v>
      </c>
      <c r="F21" s="530"/>
      <c r="G21" s="531"/>
      <c r="H21" s="532" t="s">
        <v>4266</v>
      </c>
      <c r="I21" s="532"/>
      <c r="J21" s="720" t="s">
        <v>820</v>
      </c>
    </row>
    <row r="22" spans="1:10" ht="18.75" customHeight="1">
      <c r="A22" s="303" t="s">
        <v>817</v>
      </c>
      <c r="B22" s="390">
        <v>100336365</v>
      </c>
      <c r="C22" s="786" t="s">
        <v>1471</v>
      </c>
      <c r="D22" s="782" t="s">
        <v>817</v>
      </c>
      <c r="E22" s="530" t="s">
        <v>4264</v>
      </c>
      <c r="F22" s="530"/>
      <c r="G22" s="531"/>
      <c r="H22" s="532" t="s">
        <v>4267</v>
      </c>
      <c r="I22" s="532"/>
      <c r="J22" s="657" t="s">
        <v>814</v>
      </c>
    </row>
    <row r="23" spans="1:10" ht="18.75" customHeight="1">
      <c r="A23" s="304"/>
      <c r="B23" s="390">
        <v>100336366</v>
      </c>
      <c r="C23" s="756"/>
      <c r="D23" s="756"/>
      <c r="E23" s="530" t="s">
        <v>4266</v>
      </c>
      <c r="F23" s="530"/>
      <c r="G23" s="531"/>
      <c r="H23" s="532"/>
      <c r="I23" s="532"/>
      <c r="J23" s="720" t="s">
        <v>820</v>
      </c>
    </row>
    <row r="24" spans="1:10" ht="18.75" customHeight="1">
      <c r="A24" s="309" t="s">
        <v>837</v>
      </c>
      <c r="B24" s="390">
        <v>100332341</v>
      </c>
      <c r="C24" s="785" t="s">
        <v>836</v>
      </c>
      <c r="D24" s="855" t="s">
        <v>837</v>
      </c>
      <c r="E24" s="530" t="s">
        <v>4268</v>
      </c>
      <c r="F24" s="530"/>
      <c r="G24" s="531"/>
      <c r="H24" s="532" t="s">
        <v>4269</v>
      </c>
      <c r="I24" s="532"/>
      <c r="J24" s="657" t="s">
        <v>814</v>
      </c>
    </row>
    <row r="25" spans="1:10" ht="18.75" customHeight="1">
      <c r="A25" s="310"/>
      <c r="B25" s="390">
        <v>100330743</v>
      </c>
      <c r="C25" s="756"/>
      <c r="D25" s="756"/>
      <c r="E25" s="530" t="s">
        <v>4270</v>
      </c>
      <c r="F25" s="530"/>
      <c r="G25" s="531"/>
      <c r="H25" s="532" t="s">
        <v>4271</v>
      </c>
      <c r="I25" s="532"/>
      <c r="J25" s="720" t="s">
        <v>820</v>
      </c>
    </row>
    <row r="26" spans="1:10" ht="18.75" customHeight="1">
      <c r="A26" s="303" t="s">
        <v>817</v>
      </c>
      <c r="B26" s="390">
        <v>100336367</v>
      </c>
      <c r="C26" s="786" t="s">
        <v>1537</v>
      </c>
      <c r="D26" s="782" t="s">
        <v>817</v>
      </c>
      <c r="E26" s="530" t="s">
        <v>4269</v>
      </c>
      <c r="F26" s="530"/>
      <c r="G26" s="531"/>
      <c r="H26" s="532" t="s">
        <v>4272</v>
      </c>
      <c r="I26" s="532"/>
      <c r="J26" s="657" t="s">
        <v>814</v>
      </c>
    </row>
    <row r="27" spans="1:10" ht="18.75" customHeight="1">
      <c r="A27" s="304"/>
      <c r="B27" s="390">
        <v>100336368</v>
      </c>
      <c r="C27" s="756"/>
      <c r="D27" s="756"/>
      <c r="E27" s="530" t="s">
        <v>4271</v>
      </c>
      <c r="F27" s="530"/>
      <c r="G27" s="531"/>
      <c r="H27" s="532"/>
      <c r="I27" s="532"/>
      <c r="J27" s="720" t="s">
        <v>820</v>
      </c>
    </row>
    <row r="28" spans="1:10" ht="18.75" customHeight="1">
      <c r="A28" s="299" t="s">
        <v>843</v>
      </c>
      <c r="B28" s="390">
        <v>100336334</v>
      </c>
      <c r="C28" s="613" t="s">
        <v>850</v>
      </c>
      <c r="D28" s="656" t="s">
        <v>843</v>
      </c>
      <c r="E28" s="530" t="s">
        <v>4273</v>
      </c>
      <c r="F28" s="530"/>
      <c r="G28" s="531"/>
      <c r="H28" s="532" t="s">
        <v>4274</v>
      </c>
      <c r="I28" s="532"/>
      <c r="J28" s="660" t="s">
        <v>814</v>
      </c>
    </row>
    <row r="29" spans="1:10" ht="18.75" customHeight="1">
      <c r="A29" s="305" t="s">
        <v>4275</v>
      </c>
      <c r="B29" s="390">
        <v>100336335</v>
      </c>
      <c r="C29" s="617" t="s">
        <v>82</v>
      </c>
      <c r="D29" s="673" t="s">
        <v>4275</v>
      </c>
      <c r="E29" s="530" t="s">
        <v>4276</v>
      </c>
      <c r="F29" s="530"/>
      <c r="G29" s="531"/>
      <c r="H29" s="532"/>
      <c r="I29" s="532"/>
      <c r="J29" s="657" t="s">
        <v>814</v>
      </c>
    </row>
    <row r="30" spans="1:10" ht="18.75" customHeight="1">
      <c r="A30" s="303" t="s">
        <v>847</v>
      </c>
      <c r="B30" s="390">
        <v>100336336</v>
      </c>
      <c r="C30" s="786" t="s">
        <v>84</v>
      </c>
      <c r="D30" s="878" t="s">
        <v>847</v>
      </c>
      <c r="E30" s="530" t="s">
        <v>4277</v>
      </c>
      <c r="F30" s="530"/>
      <c r="G30" s="531"/>
      <c r="H30" s="532"/>
      <c r="I30" s="532"/>
      <c r="J30" s="657" t="s">
        <v>814</v>
      </c>
    </row>
    <row r="31" spans="1:10" ht="18.75" customHeight="1">
      <c r="A31" s="304"/>
      <c r="B31" s="390">
        <v>100336337</v>
      </c>
      <c r="C31" s="756"/>
      <c r="D31" s="756"/>
      <c r="E31" s="530" t="s">
        <v>4278</v>
      </c>
      <c r="F31" s="530"/>
      <c r="G31" s="531"/>
      <c r="H31" s="532"/>
      <c r="I31" s="532"/>
      <c r="J31" s="720" t="s">
        <v>820</v>
      </c>
    </row>
    <row r="32" spans="1:10" ht="18.75" customHeight="1">
      <c r="A32" s="299" t="s">
        <v>3315</v>
      </c>
      <c r="B32" s="390">
        <v>100330049</v>
      </c>
      <c r="C32" s="396">
        <v>3</v>
      </c>
      <c r="D32" s="656" t="s">
        <v>3315</v>
      </c>
      <c r="E32" s="530" t="s">
        <v>3316</v>
      </c>
      <c r="F32" s="530"/>
      <c r="G32" s="531"/>
      <c r="H32" s="532" t="s">
        <v>4279</v>
      </c>
      <c r="I32" s="532"/>
      <c r="J32" s="660" t="s">
        <v>814</v>
      </c>
    </row>
    <row r="33" spans="1:10" ht="18.75" customHeight="1">
      <c r="A33" s="301" t="s">
        <v>853</v>
      </c>
      <c r="B33" s="390">
        <v>100330745</v>
      </c>
      <c r="C33" s="613" t="s">
        <v>90</v>
      </c>
      <c r="D33" s="662" t="s">
        <v>853</v>
      </c>
      <c r="E33" s="530" t="s">
        <v>4280</v>
      </c>
      <c r="F33" s="530"/>
      <c r="G33" s="531"/>
      <c r="H33" s="532" t="s">
        <v>4281</v>
      </c>
      <c r="I33" s="532"/>
      <c r="J33" s="660" t="s">
        <v>814</v>
      </c>
    </row>
    <row r="34" spans="1:10" ht="18.75" customHeight="1">
      <c r="A34" s="305" t="s">
        <v>4282</v>
      </c>
      <c r="B34" s="390">
        <v>100336338</v>
      </c>
      <c r="C34" s="617" t="s">
        <v>2702</v>
      </c>
      <c r="D34" s="612" t="s">
        <v>4283</v>
      </c>
      <c r="E34" s="530" t="s">
        <v>4284</v>
      </c>
      <c r="F34" s="530"/>
      <c r="G34" s="531"/>
      <c r="H34" s="532" t="s">
        <v>4285</v>
      </c>
      <c r="I34" s="532"/>
      <c r="J34" s="650" t="s">
        <v>814</v>
      </c>
    </row>
    <row r="35" spans="1:10" ht="18.75" customHeight="1">
      <c r="A35" s="305" t="s">
        <v>4286</v>
      </c>
      <c r="B35" s="390">
        <v>100330746</v>
      </c>
      <c r="C35" s="617" t="s">
        <v>2724</v>
      </c>
      <c r="D35" s="612" t="s">
        <v>4287</v>
      </c>
      <c r="E35" s="530" t="s">
        <v>4288</v>
      </c>
      <c r="F35" s="530"/>
      <c r="G35" s="531"/>
      <c r="H35" s="532" t="s">
        <v>4289</v>
      </c>
      <c r="I35" s="532"/>
      <c r="J35" s="650" t="s">
        <v>814</v>
      </c>
    </row>
    <row r="36" spans="1:10" ht="18.75" customHeight="1">
      <c r="A36" s="305" t="s">
        <v>4290</v>
      </c>
      <c r="B36" s="390">
        <v>100332899</v>
      </c>
      <c r="C36" s="617" t="s">
        <v>4291</v>
      </c>
      <c r="D36" s="612" t="s">
        <v>859</v>
      </c>
      <c r="E36" s="530" t="s">
        <v>4292</v>
      </c>
      <c r="F36" s="530"/>
      <c r="G36" s="531"/>
      <c r="H36" s="532" t="s">
        <v>4293</v>
      </c>
      <c r="I36" s="532"/>
      <c r="J36" s="650" t="s">
        <v>814</v>
      </c>
    </row>
    <row r="37" spans="1:10" ht="18.75" customHeight="1">
      <c r="A37" s="305" t="s">
        <v>4294</v>
      </c>
      <c r="B37" s="390">
        <v>100332995</v>
      </c>
      <c r="C37" s="617" t="s">
        <v>4295</v>
      </c>
      <c r="D37" s="612" t="s">
        <v>861</v>
      </c>
      <c r="E37" s="530" t="s">
        <v>4296</v>
      </c>
      <c r="F37" s="530"/>
      <c r="G37" s="531"/>
      <c r="H37" s="532" t="s">
        <v>4297</v>
      </c>
      <c r="I37" s="532"/>
      <c r="J37" s="650" t="s">
        <v>814</v>
      </c>
    </row>
    <row r="38" spans="1:10" ht="18.75" customHeight="1">
      <c r="A38" s="301" t="s">
        <v>4298</v>
      </c>
      <c r="B38" s="390">
        <v>100330747</v>
      </c>
      <c r="C38" s="613" t="s">
        <v>91</v>
      </c>
      <c r="D38" s="311" t="s">
        <v>4299</v>
      </c>
      <c r="E38" s="530" t="s">
        <v>4300</v>
      </c>
      <c r="F38" s="530"/>
      <c r="G38" s="531"/>
      <c r="H38" s="532" t="s">
        <v>4301</v>
      </c>
      <c r="I38" s="532"/>
      <c r="J38" s="650" t="s">
        <v>814</v>
      </c>
    </row>
    <row r="39" spans="1:10" ht="18.75" customHeight="1">
      <c r="A39" s="305" t="s">
        <v>4282</v>
      </c>
      <c r="B39" s="390">
        <v>100336339</v>
      </c>
      <c r="C39" s="617" t="s">
        <v>2379</v>
      </c>
      <c r="D39" s="615" t="s">
        <v>4282</v>
      </c>
      <c r="E39" s="530" t="s">
        <v>4285</v>
      </c>
      <c r="F39" s="530"/>
      <c r="G39" s="531"/>
      <c r="H39" s="532" t="s">
        <v>4259</v>
      </c>
      <c r="I39" s="532"/>
      <c r="J39" s="650" t="s">
        <v>814</v>
      </c>
    </row>
    <row r="40" spans="1:10" ht="18.75" customHeight="1">
      <c r="A40" s="305" t="s">
        <v>4302</v>
      </c>
      <c r="B40" s="390">
        <v>100336340</v>
      </c>
      <c r="C40" s="617" t="s">
        <v>2388</v>
      </c>
      <c r="D40" s="615" t="s">
        <v>4302</v>
      </c>
      <c r="E40" s="530" t="s">
        <v>4289</v>
      </c>
      <c r="F40" s="530"/>
      <c r="G40" s="531"/>
      <c r="H40" s="532"/>
      <c r="I40" s="532"/>
      <c r="J40" s="650" t="s">
        <v>814</v>
      </c>
    </row>
    <row r="41" spans="1:10" ht="18.75" customHeight="1">
      <c r="A41" s="305" t="s">
        <v>4290</v>
      </c>
      <c r="B41" s="390">
        <v>100332900</v>
      </c>
      <c r="C41" s="617" t="s">
        <v>2403</v>
      </c>
      <c r="D41" s="612" t="s">
        <v>859</v>
      </c>
      <c r="E41" s="530" t="s">
        <v>4293</v>
      </c>
      <c r="F41" s="530"/>
      <c r="G41" s="531"/>
      <c r="H41" s="532"/>
      <c r="I41" s="532"/>
      <c r="J41" s="650" t="s">
        <v>814</v>
      </c>
    </row>
    <row r="42" spans="1:10" ht="18.75" customHeight="1">
      <c r="A42" s="305" t="s">
        <v>4294</v>
      </c>
      <c r="B42" s="390">
        <v>100332996</v>
      </c>
      <c r="C42" s="617" t="s">
        <v>4303</v>
      </c>
      <c r="D42" s="612" t="s">
        <v>861</v>
      </c>
      <c r="E42" s="530" t="s">
        <v>4297</v>
      </c>
      <c r="F42" s="530"/>
      <c r="G42" s="531"/>
      <c r="H42" s="532"/>
      <c r="I42" s="532"/>
      <c r="J42" s="650" t="s">
        <v>814</v>
      </c>
    </row>
    <row r="43" spans="1:10" ht="18.75" customHeight="1">
      <c r="A43" s="309" t="s">
        <v>1952</v>
      </c>
      <c r="B43" s="390">
        <v>100332901</v>
      </c>
      <c r="C43" s="785" t="s">
        <v>1092</v>
      </c>
      <c r="D43" s="855" t="s">
        <v>870</v>
      </c>
      <c r="E43" s="530" t="s">
        <v>4304</v>
      </c>
      <c r="F43" s="530"/>
      <c r="G43" s="531"/>
      <c r="H43" s="532" t="s">
        <v>4305</v>
      </c>
      <c r="I43" s="532"/>
      <c r="J43" s="396" t="s">
        <v>814</v>
      </c>
    </row>
    <row r="44" spans="1:10" ht="18.75" customHeight="1">
      <c r="A44" s="310"/>
      <c r="B44" s="390">
        <v>100336342</v>
      </c>
      <c r="C44" s="756"/>
      <c r="D44" s="756"/>
      <c r="E44" s="530" t="s">
        <v>4306</v>
      </c>
      <c r="F44" s="530"/>
      <c r="G44" s="531"/>
      <c r="H44" s="532" t="s">
        <v>4307</v>
      </c>
      <c r="I44" s="532"/>
      <c r="J44" s="719" t="s">
        <v>820</v>
      </c>
    </row>
    <row r="45" spans="1:10" ht="18.75" customHeight="1">
      <c r="A45" s="303" t="s">
        <v>4308</v>
      </c>
      <c r="B45" s="390">
        <v>100336343</v>
      </c>
      <c r="C45" s="786" t="s">
        <v>2736</v>
      </c>
      <c r="D45" s="878" t="s">
        <v>4308</v>
      </c>
      <c r="E45" s="530" t="s">
        <v>4309</v>
      </c>
      <c r="F45" s="530"/>
      <c r="G45" s="531"/>
      <c r="H45" s="532"/>
      <c r="I45" s="532"/>
      <c r="J45" s="646" t="s">
        <v>814</v>
      </c>
    </row>
    <row r="46" spans="1:10" ht="18.75" customHeight="1">
      <c r="A46" s="304"/>
      <c r="B46" s="390">
        <v>100336344</v>
      </c>
      <c r="C46" s="756"/>
      <c r="D46" s="756"/>
      <c r="E46" s="530" t="s">
        <v>4310</v>
      </c>
      <c r="F46" s="530"/>
      <c r="G46" s="531"/>
      <c r="H46" s="532"/>
      <c r="I46" s="532"/>
      <c r="J46" s="720" t="s">
        <v>820</v>
      </c>
    </row>
    <row r="47" spans="1:10" ht="18.75" customHeight="1">
      <c r="A47" s="303" t="s">
        <v>3576</v>
      </c>
      <c r="B47" s="390">
        <v>100336345</v>
      </c>
      <c r="C47" s="786" t="s">
        <v>2739</v>
      </c>
      <c r="D47" s="878" t="s">
        <v>3576</v>
      </c>
      <c r="E47" s="530" t="s">
        <v>4311</v>
      </c>
      <c r="F47" s="530"/>
      <c r="G47" s="531"/>
      <c r="H47" s="532"/>
      <c r="I47" s="532"/>
      <c r="J47" s="646" t="s">
        <v>814</v>
      </c>
    </row>
    <row r="48" spans="1:10" ht="18.75" customHeight="1">
      <c r="A48" s="304"/>
      <c r="B48" s="390">
        <v>100336346</v>
      </c>
      <c r="C48" s="756"/>
      <c r="D48" s="756"/>
      <c r="E48" s="530" t="s">
        <v>4312</v>
      </c>
      <c r="F48" s="530"/>
      <c r="G48" s="531"/>
      <c r="H48" s="532"/>
      <c r="I48" s="532"/>
      <c r="J48" s="720" t="s">
        <v>820</v>
      </c>
    </row>
    <row r="49" spans="1:10" ht="18.75" customHeight="1">
      <c r="A49" s="303" t="s">
        <v>4290</v>
      </c>
      <c r="B49" s="390">
        <v>100332902</v>
      </c>
      <c r="C49" s="786" t="s">
        <v>4313</v>
      </c>
      <c r="D49" s="782" t="s">
        <v>859</v>
      </c>
      <c r="E49" s="530" t="s">
        <v>4314</v>
      </c>
      <c r="F49" s="530"/>
      <c r="G49" s="531"/>
      <c r="H49" s="532"/>
      <c r="I49" s="532"/>
      <c r="J49" s="646" t="s">
        <v>814</v>
      </c>
    </row>
    <row r="50" spans="1:10" ht="18.75" customHeight="1">
      <c r="A50" s="304"/>
      <c r="B50" s="390">
        <v>100336347</v>
      </c>
      <c r="C50" s="756"/>
      <c r="D50" s="756"/>
      <c r="E50" s="530" t="s">
        <v>4315</v>
      </c>
      <c r="F50" s="530"/>
      <c r="G50" s="531"/>
      <c r="H50" s="532"/>
      <c r="I50" s="532"/>
      <c r="J50" s="720" t="s">
        <v>820</v>
      </c>
    </row>
    <row r="51" spans="1:10" ht="18.75" customHeight="1">
      <c r="A51" s="303" t="s">
        <v>4294</v>
      </c>
      <c r="B51" s="390">
        <v>100332997</v>
      </c>
      <c r="C51" s="786" t="s">
        <v>4316</v>
      </c>
      <c r="D51" s="782" t="s">
        <v>4317</v>
      </c>
      <c r="E51" s="530" t="s">
        <v>4318</v>
      </c>
      <c r="F51" s="530"/>
      <c r="G51" s="531"/>
      <c r="H51" s="532"/>
      <c r="I51" s="532"/>
      <c r="J51" s="646" t="s">
        <v>814</v>
      </c>
    </row>
    <row r="52" spans="1:10" ht="18.75" customHeight="1">
      <c r="A52" s="304"/>
      <c r="B52" s="390">
        <v>100336348</v>
      </c>
      <c r="C52" s="756"/>
      <c r="D52" s="756"/>
      <c r="E52" s="530" t="s">
        <v>4319</v>
      </c>
      <c r="F52" s="530"/>
      <c r="G52" s="531"/>
      <c r="H52" s="532"/>
      <c r="I52" s="532"/>
      <c r="J52" s="720" t="s">
        <v>820</v>
      </c>
    </row>
    <row r="53" spans="1:10" ht="18.75" customHeight="1">
      <c r="A53" s="309" t="s">
        <v>4320</v>
      </c>
      <c r="B53" s="390">
        <v>100332904</v>
      </c>
      <c r="C53" s="785" t="s">
        <v>1099</v>
      </c>
      <c r="D53" s="855" t="s">
        <v>4320</v>
      </c>
      <c r="E53" s="530" t="s">
        <v>4321</v>
      </c>
      <c r="F53" s="530"/>
      <c r="G53" s="531"/>
      <c r="H53" s="532" t="s">
        <v>4322</v>
      </c>
      <c r="I53" s="532"/>
      <c r="J53" s="396" t="s">
        <v>814</v>
      </c>
    </row>
    <row r="54" spans="1:10" ht="18.75" customHeight="1">
      <c r="A54" s="310"/>
      <c r="B54" s="390">
        <v>100332905</v>
      </c>
      <c r="C54" s="756"/>
      <c r="D54" s="756"/>
      <c r="E54" s="530" t="s">
        <v>4323</v>
      </c>
      <c r="F54" s="530"/>
      <c r="G54" s="531"/>
      <c r="H54" s="532" t="s">
        <v>4324</v>
      </c>
      <c r="I54" s="532"/>
      <c r="J54" s="719" t="s">
        <v>820</v>
      </c>
    </row>
    <row r="55" spans="1:10" ht="18.75" customHeight="1">
      <c r="A55" s="303" t="s">
        <v>4308</v>
      </c>
      <c r="B55" s="390">
        <v>100336349</v>
      </c>
      <c r="C55" s="786" t="s">
        <v>2745</v>
      </c>
      <c r="D55" s="878" t="s">
        <v>4308</v>
      </c>
      <c r="E55" s="530" t="s">
        <v>4325</v>
      </c>
      <c r="F55" s="530"/>
      <c r="G55" s="531"/>
      <c r="H55" s="532"/>
      <c r="I55" s="532"/>
      <c r="J55" s="646" t="s">
        <v>814</v>
      </c>
    </row>
    <row r="56" spans="1:10" ht="18.75" customHeight="1">
      <c r="A56" s="304"/>
      <c r="B56" s="390">
        <v>100336350</v>
      </c>
      <c r="C56" s="756"/>
      <c r="D56" s="756"/>
      <c r="E56" s="530" t="s">
        <v>4326</v>
      </c>
      <c r="F56" s="530"/>
      <c r="G56" s="531"/>
      <c r="H56" s="532"/>
      <c r="I56" s="532"/>
      <c r="J56" s="720" t="s">
        <v>820</v>
      </c>
    </row>
    <row r="57" spans="1:10" ht="18.75" customHeight="1">
      <c r="A57" s="303" t="s">
        <v>3576</v>
      </c>
      <c r="B57" s="390">
        <v>100336351</v>
      </c>
      <c r="C57" s="786" t="s">
        <v>2748</v>
      </c>
      <c r="D57" s="878" t="s">
        <v>3576</v>
      </c>
      <c r="E57" s="530" t="s">
        <v>4327</v>
      </c>
      <c r="F57" s="530"/>
      <c r="G57" s="531"/>
      <c r="H57" s="532"/>
      <c r="I57" s="532"/>
      <c r="J57" s="646" t="s">
        <v>814</v>
      </c>
    </row>
    <row r="58" spans="1:10" ht="18.75" customHeight="1">
      <c r="A58" s="304"/>
      <c r="B58" s="390">
        <v>100336352</v>
      </c>
      <c r="C58" s="756"/>
      <c r="D58" s="756"/>
      <c r="E58" s="530" t="s">
        <v>4328</v>
      </c>
      <c r="F58" s="530"/>
      <c r="G58" s="531"/>
      <c r="H58" s="532"/>
      <c r="I58" s="532"/>
      <c r="J58" s="720" t="s">
        <v>820</v>
      </c>
    </row>
    <row r="59" spans="1:10" ht="18.75" customHeight="1">
      <c r="A59" s="303" t="s">
        <v>4290</v>
      </c>
      <c r="B59" s="390">
        <v>100332934</v>
      </c>
      <c r="C59" s="786" t="s">
        <v>4329</v>
      </c>
      <c r="D59" s="782" t="s">
        <v>859</v>
      </c>
      <c r="E59" s="530" t="s">
        <v>4330</v>
      </c>
      <c r="F59" s="530"/>
      <c r="G59" s="531"/>
      <c r="H59" s="532"/>
      <c r="I59" s="532"/>
      <c r="J59" s="646" t="s">
        <v>814</v>
      </c>
    </row>
    <row r="60" spans="1:10" ht="18.75" customHeight="1">
      <c r="A60" s="304"/>
      <c r="B60" s="390">
        <v>100332935</v>
      </c>
      <c r="C60" s="756"/>
      <c r="D60" s="756"/>
      <c r="E60" s="530" t="s">
        <v>4331</v>
      </c>
      <c r="F60" s="530"/>
      <c r="G60" s="531"/>
      <c r="H60" s="532"/>
      <c r="I60" s="532"/>
      <c r="J60" s="720" t="s">
        <v>820</v>
      </c>
    </row>
    <row r="61" spans="1:10" ht="18.75" customHeight="1">
      <c r="A61" s="303" t="s">
        <v>4294</v>
      </c>
      <c r="B61" s="390">
        <v>100332999</v>
      </c>
      <c r="C61" s="786" t="s">
        <v>4332</v>
      </c>
      <c r="D61" s="782" t="s">
        <v>4317</v>
      </c>
      <c r="E61" s="530" t="s">
        <v>4333</v>
      </c>
      <c r="F61" s="530"/>
      <c r="G61" s="531"/>
      <c r="H61" s="532"/>
      <c r="I61" s="532"/>
      <c r="J61" s="646" t="s">
        <v>814</v>
      </c>
    </row>
    <row r="62" spans="1:10" ht="18.75" customHeight="1">
      <c r="A62" s="304"/>
      <c r="B62" s="390">
        <v>100333000</v>
      </c>
      <c r="C62" s="756"/>
      <c r="D62" s="756"/>
      <c r="E62" s="530" t="s">
        <v>4334</v>
      </c>
      <c r="F62" s="530"/>
      <c r="G62" s="531"/>
      <c r="H62" s="532"/>
      <c r="I62" s="532"/>
      <c r="J62" s="720" t="s">
        <v>820</v>
      </c>
    </row>
    <row r="63" spans="1:10" ht="18.75" customHeight="1">
      <c r="A63" s="301" t="s">
        <v>4335</v>
      </c>
      <c r="B63" s="390">
        <v>100336353</v>
      </c>
      <c r="C63" s="613" t="s">
        <v>1102</v>
      </c>
      <c r="D63" s="302" t="s">
        <v>897</v>
      </c>
      <c r="E63" s="530" t="s">
        <v>4336</v>
      </c>
      <c r="F63" s="530"/>
      <c r="G63" s="531"/>
      <c r="H63" s="532"/>
      <c r="I63" s="532"/>
      <c r="J63" s="650" t="s">
        <v>814</v>
      </c>
    </row>
    <row r="64" spans="1:10" ht="18.75" customHeight="1">
      <c r="A64" s="301" t="s">
        <v>4337</v>
      </c>
      <c r="B64" s="390">
        <v>100330748</v>
      </c>
      <c r="C64" s="613" t="s">
        <v>1109</v>
      </c>
      <c r="D64" s="302" t="s">
        <v>4337</v>
      </c>
      <c r="E64" s="530" t="s">
        <v>4338</v>
      </c>
      <c r="F64" s="530"/>
      <c r="G64" s="531"/>
      <c r="H64" s="532" t="s">
        <v>4339</v>
      </c>
      <c r="I64" s="532"/>
      <c r="J64" s="396" t="s">
        <v>814</v>
      </c>
    </row>
    <row r="65" spans="1:10" ht="18.75" customHeight="1">
      <c r="A65" s="305" t="s">
        <v>4308</v>
      </c>
      <c r="B65" s="390">
        <v>100336354</v>
      </c>
      <c r="C65" s="617" t="s">
        <v>4340</v>
      </c>
      <c r="D65" s="312" t="s">
        <v>873</v>
      </c>
      <c r="E65" s="530" t="s">
        <v>4341</v>
      </c>
      <c r="F65" s="530"/>
      <c r="G65" s="531"/>
      <c r="H65" s="532"/>
      <c r="I65" s="532"/>
      <c r="J65" s="650" t="s">
        <v>814</v>
      </c>
    </row>
    <row r="66" spans="1:10" ht="18.75" customHeight="1">
      <c r="A66" s="305" t="s">
        <v>3576</v>
      </c>
      <c r="B66" s="390">
        <v>100336355</v>
      </c>
      <c r="C66" s="617" t="s">
        <v>4342</v>
      </c>
      <c r="D66" s="312" t="s">
        <v>876</v>
      </c>
      <c r="E66" s="530" t="s">
        <v>4343</v>
      </c>
      <c r="F66" s="530"/>
      <c r="G66" s="531"/>
      <c r="H66" s="532"/>
      <c r="I66" s="532"/>
      <c r="J66" s="650" t="s">
        <v>814</v>
      </c>
    </row>
    <row r="67" spans="1:10" ht="18.75" customHeight="1">
      <c r="A67" s="305" t="s">
        <v>4290</v>
      </c>
      <c r="B67" s="390">
        <v>100332903</v>
      </c>
      <c r="C67" s="617" t="s">
        <v>4344</v>
      </c>
      <c r="D67" s="312" t="s">
        <v>859</v>
      </c>
      <c r="E67" s="530" t="s">
        <v>4345</v>
      </c>
      <c r="F67" s="530"/>
      <c r="G67" s="531"/>
      <c r="H67" s="532"/>
      <c r="I67" s="532"/>
      <c r="J67" s="650" t="s">
        <v>814</v>
      </c>
    </row>
    <row r="68" spans="1:10" ht="18.75" customHeight="1">
      <c r="A68" s="305" t="s">
        <v>4294</v>
      </c>
      <c r="B68" s="390">
        <v>100332998</v>
      </c>
      <c r="C68" s="617" t="s">
        <v>4346</v>
      </c>
      <c r="D68" s="312" t="s">
        <v>861</v>
      </c>
      <c r="E68" s="530" t="s">
        <v>4347</v>
      </c>
      <c r="F68" s="530"/>
      <c r="G68" s="531"/>
      <c r="H68" s="532"/>
      <c r="I68" s="532"/>
      <c r="J68" s="650" t="s">
        <v>814</v>
      </c>
    </row>
    <row r="69" spans="1:10" ht="18.75" customHeight="1">
      <c r="A69" s="309" t="s">
        <v>907</v>
      </c>
      <c r="B69" s="390">
        <v>100330749</v>
      </c>
      <c r="C69" s="785" t="s">
        <v>1112</v>
      </c>
      <c r="D69" s="855" t="s">
        <v>907</v>
      </c>
      <c r="E69" s="530" t="s">
        <v>4348</v>
      </c>
      <c r="F69" s="530"/>
      <c r="G69" s="531"/>
      <c r="H69" s="532" t="s">
        <v>4349</v>
      </c>
      <c r="I69" s="532"/>
      <c r="J69" s="396" t="s">
        <v>814</v>
      </c>
    </row>
    <row r="70" spans="1:10" ht="18.75" customHeight="1">
      <c r="A70" s="310"/>
      <c r="B70" s="390">
        <v>100330750</v>
      </c>
      <c r="C70" s="756"/>
      <c r="D70" s="756"/>
      <c r="E70" s="530" t="s">
        <v>4350</v>
      </c>
      <c r="F70" s="530"/>
      <c r="G70" s="531"/>
      <c r="H70" s="532" t="s">
        <v>4351</v>
      </c>
      <c r="I70" s="532"/>
      <c r="J70" s="719" t="s">
        <v>820</v>
      </c>
    </row>
    <row r="71" spans="1:10" ht="18.75" customHeight="1">
      <c r="A71" s="309" t="s">
        <v>911</v>
      </c>
      <c r="B71" s="390">
        <v>100336371</v>
      </c>
      <c r="C71" s="785" t="s">
        <v>4352</v>
      </c>
      <c r="D71" s="879" t="s">
        <v>911</v>
      </c>
      <c r="E71" s="530" t="s">
        <v>4353</v>
      </c>
      <c r="F71" s="530"/>
      <c r="G71" s="531"/>
      <c r="H71" s="532" t="s">
        <v>4354</v>
      </c>
      <c r="I71" s="532"/>
      <c r="J71" s="650" t="s">
        <v>814</v>
      </c>
    </row>
    <row r="72" spans="1:10" ht="18.75" customHeight="1">
      <c r="A72" s="310"/>
      <c r="B72" s="390">
        <v>100336372</v>
      </c>
      <c r="C72" s="756"/>
      <c r="D72" s="756"/>
      <c r="E72" s="530" t="s">
        <v>4355</v>
      </c>
      <c r="F72" s="530"/>
      <c r="G72" s="531"/>
      <c r="H72" s="532" t="s">
        <v>4356</v>
      </c>
      <c r="I72" s="532"/>
      <c r="J72" s="720" t="s">
        <v>820</v>
      </c>
    </row>
    <row r="73" spans="1:10" ht="18.75" customHeight="1">
      <c r="A73" s="303" t="s">
        <v>4308</v>
      </c>
      <c r="B73" s="390">
        <v>100336356</v>
      </c>
      <c r="C73" s="786" t="s">
        <v>4357</v>
      </c>
      <c r="D73" s="881" t="s">
        <v>4308</v>
      </c>
      <c r="E73" s="530" t="s">
        <v>4358</v>
      </c>
      <c r="F73" s="530"/>
      <c r="G73" s="531"/>
      <c r="H73" s="532"/>
      <c r="I73" s="532"/>
      <c r="J73" s="650" t="s">
        <v>814</v>
      </c>
    </row>
    <row r="74" spans="1:10" ht="18.75" customHeight="1">
      <c r="A74" s="304"/>
      <c r="B74" s="390">
        <v>100336357</v>
      </c>
      <c r="C74" s="756"/>
      <c r="D74" s="756"/>
      <c r="E74" s="530" t="s">
        <v>4359</v>
      </c>
      <c r="F74" s="530"/>
      <c r="G74" s="531"/>
      <c r="H74" s="532"/>
      <c r="I74" s="532"/>
      <c r="J74" s="720" t="s">
        <v>820</v>
      </c>
    </row>
    <row r="75" spans="1:10" ht="18.75" customHeight="1">
      <c r="A75" s="303" t="s">
        <v>3576</v>
      </c>
      <c r="B75" s="390">
        <v>100336358</v>
      </c>
      <c r="C75" s="786" t="s">
        <v>4360</v>
      </c>
      <c r="D75" s="881" t="s">
        <v>3576</v>
      </c>
      <c r="E75" s="530" t="s">
        <v>4361</v>
      </c>
      <c r="F75" s="530"/>
      <c r="G75" s="531"/>
      <c r="H75" s="532"/>
      <c r="I75" s="532"/>
      <c r="J75" s="650" t="s">
        <v>814</v>
      </c>
    </row>
    <row r="76" spans="1:10" ht="18.75" customHeight="1">
      <c r="A76" s="304"/>
      <c r="B76" s="390">
        <v>100336359</v>
      </c>
      <c r="C76" s="756"/>
      <c r="D76" s="756"/>
      <c r="E76" s="530" t="s">
        <v>4362</v>
      </c>
      <c r="F76" s="530"/>
      <c r="G76" s="531"/>
      <c r="H76" s="532"/>
      <c r="I76" s="532"/>
      <c r="J76" s="720" t="s">
        <v>820</v>
      </c>
    </row>
    <row r="77" spans="1:10" ht="18.75" customHeight="1">
      <c r="A77" s="303" t="s">
        <v>4290</v>
      </c>
      <c r="B77" s="390">
        <v>100333001</v>
      </c>
      <c r="C77" s="786" t="s">
        <v>4363</v>
      </c>
      <c r="D77" s="882" t="s">
        <v>879</v>
      </c>
      <c r="E77" s="530" t="s">
        <v>4364</v>
      </c>
      <c r="F77" s="530"/>
      <c r="G77" s="531"/>
      <c r="H77" s="532"/>
      <c r="I77" s="532"/>
      <c r="J77" s="650" t="s">
        <v>814</v>
      </c>
    </row>
    <row r="78" spans="1:10" ht="18.75" customHeight="1">
      <c r="A78" s="304"/>
      <c r="B78" s="390">
        <v>100333002</v>
      </c>
      <c r="C78" s="756"/>
      <c r="D78" s="756"/>
      <c r="E78" s="530" t="s">
        <v>4365</v>
      </c>
      <c r="F78" s="530"/>
      <c r="G78" s="531"/>
      <c r="H78" s="532"/>
      <c r="I78" s="532"/>
      <c r="J78" s="720" t="s">
        <v>820</v>
      </c>
    </row>
    <row r="79" spans="1:10" ht="18.75" customHeight="1">
      <c r="A79" s="309" t="s">
        <v>921</v>
      </c>
      <c r="B79" s="390">
        <v>100336373</v>
      </c>
      <c r="C79" s="785" t="s">
        <v>4366</v>
      </c>
      <c r="D79" s="879" t="s">
        <v>921</v>
      </c>
      <c r="E79" s="530" t="s">
        <v>4367</v>
      </c>
      <c r="F79" s="530"/>
      <c r="G79" s="531"/>
      <c r="H79" s="532" t="s">
        <v>4368</v>
      </c>
      <c r="I79" s="532"/>
      <c r="J79" s="650" t="s">
        <v>814</v>
      </c>
    </row>
    <row r="80" spans="1:10" ht="18.75" customHeight="1">
      <c r="A80" s="310"/>
      <c r="B80" s="390">
        <v>100336374</v>
      </c>
      <c r="C80" s="756"/>
      <c r="D80" s="756"/>
      <c r="E80" s="530" t="s">
        <v>4369</v>
      </c>
      <c r="F80" s="530"/>
      <c r="G80" s="531"/>
      <c r="H80" s="532" t="s">
        <v>4370</v>
      </c>
      <c r="I80" s="532"/>
      <c r="J80" s="720" t="s">
        <v>820</v>
      </c>
    </row>
    <row r="81" spans="1:10" ht="18.75" customHeight="1">
      <c r="A81" s="303" t="s">
        <v>4294</v>
      </c>
      <c r="B81" s="390">
        <v>100332936</v>
      </c>
      <c r="C81" s="786" t="s">
        <v>4371</v>
      </c>
      <c r="D81" s="883" t="s">
        <v>861</v>
      </c>
      <c r="E81" s="530" t="s">
        <v>4368</v>
      </c>
      <c r="F81" s="530"/>
      <c r="G81" s="531"/>
      <c r="H81" s="532"/>
      <c r="I81" s="532"/>
      <c r="J81" s="650" t="s">
        <v>814</v>
      </c>
    </row>
    <row r="82" spans="1:10" ht="18.75" customHeight="1">
      <c r="A82" s="304"/>
      <c r="B82" s="390">
        <v>100332937</v>
      </c>
      <c r="C82" s="756"/>
      <c r="D82" s="756"/>
      <c r="E82" s="530" t="s">
        <v>4370</v>
      </c>
      <c r="F82" s="530"/>
      <c r="G82" s="531"/>
      <c r="H82" s="532"/>
      <c r="I82" s="532"/>
      <c r="J82" s="720" t="s">
        <v>820</v>
      </c>
    </row>
    <row r="83" spans="1:10" ht="18.75" customHeight="1">
      <c r="A83" s="309" t="s">
        <v>927</v>
      </c>
      <c r="B83" s="390">
        <v>100332342</v>
      </c>
      <c r="C83" s="785" t="s">
        <v>1121</v>
      </c>
      <c r="D83" s="884" t="s">
        <v>927</v>
      </c>
      <c r="E83" s="530" t="s">
        <v>4372</v>
      </c>
      <c r="F83" s="530"/>
      <c r="G83" s="531"/>
      <c r="H83" s="532" t="s">
        <v>4373</v>
      </c>
      <c r="I83" s="532"/>
      <c r="J83" s="396" t="s">
        <v>814</v>
      </c>
    </row>
    <row r="84" spans="1:10" ht="18.75" customHeight="1">
      <c r="A84" s="310"/>
      <c r="B84" s="390">
        <v>100330751</v>
      </c>
      <c r="C84" s="756"/>
      <c r="D84" s="756"/>
      <c r="E84" s="530" t="s">
        <v>4374</v>
      </c>
      <c r="F84" s="530"/>
      <c r="G84" s="531"/>
      <c r="H84" s="532" t="s">
        <v>4375</v>
      </c>
      <c r="I84" s="532"/>
      <c r="J84" s="719" t="s">
        <v>820</v>
      </c>
    </row>
    <row r="85" spans="1:10" ht="18.75" customHeight="1">
      <c r="A85" s="309" t="s">
        <v>911</v>
      </c>
      <c r="B85" s="390">
        <v>100336375</v>
      </c>
      <c r="C85" s="785" t="s">
        <v>4376</v>
      </c>
      <c r="D85" s="879" t="s">
        <v>911</v>
      </c>
      <c r="E85" s="530" t="s">
        <v>4377</v>
      </c>
      <c r="F85" s="530"/>
      <c r="G85" s="531"/>
      <c r="H85" s="532" t="s">
        <v>4378</v>
      </c>
      <c r="I85" s="532"/>
      <c r="J85" s="657" t="s">
        <v>814</v>
      </c>
    </row>
    <row r="86" spans="1:10" ht="18.75" customHeight="1">
      <c r="A86" s="310"/>
      <c r="B86" s="390">
        <v>100336376</v>
      </c>
      <c r="C86" s="756"/>
      <c r="D86" s="756"/>
      <c r="E86" s="530" t="s">
        <v>4379</v>
      </c>
      <c r="F86" s="530"/>
      <c r="G86" s="531"/>
      <c r="H86" s="532" t="s">
        <v>4380</v>
      </c>
      <c r="I86" s="532"/>
      <c r="J86" s="720" t="s">
        <v>820</v>
      </c>
    </row>
    <row r="87" spans="1:10" ht="18.75" customHeight="1">
      <c r="A87" s="303" t="s">
        <v>3576</v>
      </c>
      <c r="B87" s="390">
        <v>100336360</v>
      </c>
      <c r="C87" s="786" t="s">
        <v>4381</v>
      </c>
      <c r="D87" s="878" t="s">
        <v>3576</v>
      </c>
      <c r="E87" s="530" t="s">
        <v>4382</v>
      </c>
      <c r="F87" s="530"/>
      <c r="G87" s="531"/>
      <c r="H87" s="532"/>
      <c r="I87" s="532"/>
      <c r="J87" s="657" t="s">
        <v>814</v>
      </c>
    </row>
    <row r="88" spans="1:10" ht="18.75" customHeight="1">
      <c r="A88" s="304"/>
      <c r="B88" s="390">
        <v>100336361</v>
      </c>
      <c r="C88" s="756"/>
      <c r="D88" s="756"/>
      <c r="E88" s="530" t="s">
        <v>4383</v>
      </c>
      <c r="F88" s="530"/>
      <c r="G88" s="531"/>
      <c r="H88" s="532"/>
      <c r="I88" s="532"/>
      <c r="J88" s="720" t="s">
        <v>820</v>
      </c>
    </row>
    <row r="89" spans="1:10" ht="18.75" customHeight="1">
      <c r="A89" s="303" t="s">
        <v>4290</v>
      </c>
      <c r="B89" s="390">
        <v>100333003</v>
      </c>
      <c r="C89" s="786" t="s">
        <v>4384</v>
      </c>
      <c r="D89" s="885" t="s">
        <v>879</v>
      </c>
      <c r="E89" s="530" t="s">
        <v>4385</v>
      </c>
      <c r="F89" s="530"/>
      <c r="G89" s="531"/>
      <c r="H89" s="532"/>
      <c r="I89" s="532"/>
      <c r="J89" s="657" t="s">
        <v>814</v>
      </c>
    </row>
    <row r="90" spans="1:10" ht="18.75" customHeight="1">
      <c r="A90" s="304"/>
      <c r="B90" s="390">
        <v>100333004</v>
      </c>
      <c r="C90" s="756"/>
      <c r="D90" s="756"/>
      <c r="E90" s="530" t="s">
        <v>4386</v>
      </c>
      <c r="F90" s="530"/>
      <c r="G90" s="531"/>
      <c r="H90" s="532"/>
      <c r="I90" s="532"/>
      <c r="J90" s="720" t="s">
        <v>820</v>
      </c>
    </row>
    <row r="91" spans="1:10" ht="18.75" customHeight="1">
      <c r="A91" s="309" t="s">
        <v>921</v>
      </c>
      <c r="B91" s="390">
        <v>100336377</v>
      </c>
      <c r="C91" s="785" t="s">
        <v>4387</v>
      </c>
      <c r="D91" s="879" t="s">
        <v>921</v>
      </c>
      <c r="E91" s="530" t="s">
        <v>4388</v>
      </c>
      <c r="F91" s="530"/>
      <c r="G91" s="531"/>
      <c r="H91" s="532" t="s">
        <v>4389</v>
      </c>
      <c r="I91" s="532"/>
      <c r="J91" s="657" t="s">
        <v>814</v>
      </c>
    </row>
    <row r="92" spans="1:10" ht="18.75" customHeight="1">
      <c r="A92" s="310"/>
      <c r="B92" s="390">
        <v>100336378</v>
      </c>
      <c r="C92" s="756"/>
      <c r="D92" s="756"/>
      <c r="E92" s="530" t="s">
        <v>4390</v>
      </c>
      <c r="F92" s="530"/>
      <c r="G92" s="531"/>
      <c r="H92" s="532" t="s">
        <v>4391</v>
      </c>
      <c r="I92" s="532"/>
      <c r="J92" s="720" t="s">
        <v>820</v>
      </c>
    </row>
    <row r="93" spans="1:10" ht="18.75" customHeight="1">
      <c r="A93" s="303" t="s">
        <v>4294</v>
      </c>
      <c r="B93" s="390">
        <v>100332418</v>
      </c>
      <c r="C93" s="786" t="s">
        <v>4392</v>
      </c>
      <c r="D93" s="885" t="s">
        <v>861</v>
      </c>
      <c r="E93" s="530" t="s">
        <v>4389</v>
      </c>
      <c r="F93" s="530"/>
      <c r="G93" s="531"/>
      <c r="H93" s="532"/>
      <c r="I93" s="532"/>
      <c r="J93" s="657" t="s">
        <v>814</v>
      </c>
    </row>
    <row r="94" spans="1:10" ht="18.75" customHeight="1">
      <c r="A94" s="304"/>
      <c r="B94" s="390">
        <v>100330752</v>
      </c>
      <c r="C94" s="756"/>
      <c r="D94" s="756"/>
      <c r="E94" s="530" t="s">
        <v>4391</v>
      </c>
      <c r="F94" s="530"/>
      <c r="G94" s="531"/>
      <c r="H94" s="532"/>
      <c r="I94" s="532"/>
      <c r="J94" s="720" t="s">
        <v>820</v>
      </c>
    </row>
    <row r="95" spans="1:10" ht="18.75" customHeight="1">
      <c r="A95" s="301" t="s">
        <v>4393</v>
      </c>
      <c r="B95" s="390">
        <v>100336362</v>
      </c>
      <c r="C95" s="613" t="s">
        <v>1126</v>
      </c>
      <c r="D95" s="302" t="s">
        <v>4393</v>
      </c>
      <c r="E95" s="530" t="s">
        <v>4394</v>
      </c>
      <c r="F95" s="530"/>
      <c r="G95" s="531"/>
      <c r="H95" s="532" t="s">
        <v>4338</v>
      </c>
      <c r="I95" s="532"/>
      <c r="J95" s="720" t="s">
        <v>814</v>
      </c>
    </row>
    <row r="96" spans="1:10" ht="18.75" customHeight="1">
      <c r="A96" s="301" t="s">
        <v>4395</v>
      </c>
      <c r="B96" s="390">
        <v>100336363</v>
      </c>
      <c r="C96" s="613" t="s">
        <v>1132</v>
      </c>
      <c r="D96" s="302" t="s">
        <v>4395</v>
      </c>
      <c r="E96" s="530" t="s">
        <v>4396</v>
      </c>
      <c r="F96" s="530"/>
      <c r="G96" s="531"/>
      <c r="H96" s="532" t="s">
        <v>4338</v>
      </c>
      <c r="I96" s="532"/>
      <c r="J96" s="720" t="s">
        <v>814</v>
      </c>
    </row>
    <row r="97" spans="1:10" ht="18.75" customHeight="1">
      <c r="A97" s="313" t="s">
        <v>4397</v>
      </c>
      <c r="B97" s="390">
        <v>100336364</v>
      </c>
      <c r="C97" s="314" t="s">
        <v>2753</v>
      </c>
      <c r="D97" s="315" t="s">
        <v>4397</v>
      </c>
      <c r="E97" s="530" t="s">
        <v>4398</v>
      </c>
      <c r="F97" s="530"/>
      <c r="G97" s="531"/>
      <c r="H97" s="532" t="s">
        <v>4399</v>
      </c>
      <c r="I97" s="532"/>
      <c r="J97" s="316" t="s">
        <v>814</v>
      </c>
    </row>
    <row r="98" spans="1:10" ht="18.75" customHeight="1">
      <c r="A98" s="317" t="s">
        <v>4400</v>
      </c>
      <c r="B98" s="390">
        <v>100332338</v>
      </c>
      <c r="C98" s="785" t="s">
        <v>2021</v>
      </c>
      <c r="D98" s="780" t="s">
        <v>4400</v>
      </c>
      <c r="E98" s="530" t="s">
        <v>4401</v>
      </c>
      <c r="F98" s="530"/>
      <c r="G98" s="531"/>
      <c r="H98" s="532"/>
      <c r="I98" s="532"/>
      <c r="J98" s="660" t="s">
        <v>814</v>
      </c>
    </row>
    <row r="99" spans="1:10" ht="18.75" customHeight="1">
      <c r="A99" s="318"/>
      <c r="B99" s="390">
        <v>100330740</v>
      </c>
      <c r="C99" s="756"/>
      <c r="D99" s="756"/>
      <c r="E99" s="530" t="s">
        <v>4402</v>
      </c>
      <c r="F99" s="530"/>
      <c r="G99" s="531"/>
      <c r="H99" s="532"/>
      <c r="I99" s="532"/>
      <c r="J99" s="719" t="s">
        <v>820</v>
      </c>
    </row>
    <row r="100" spans="1:10" ht="18.75" customHeight="1">
      <c r="A100" s="299" t="s">
        <v>4403</v>
      </c>
      <c r="B100" s="390">
        <v>100330753</v>
      </c>
      <c r="C100" s="137" t="s">
        <v>2028</v>
      </c>
      <c r="D100" s="319" t="s">
        <v>4403</v>
      </c>
      <c r="E100" s="530" t="s">
        <v>4404</v>
      </c>
      <c r="F100" s="530"/>
      <c r="G100" s="531"/>
      <c r="H100" s="532"/>
      <c r="I100" s="532"/>
      <c r="J100" s="668" t="s">
        <v>814</v>
      </c>
    </row>
    <row r="101" spans="1:10" s="138" customFormat="1">
      <c r="B101" s="139"/>
      <c r="C101" s="135"/>
      <c r="D101" s="323"/>
      <c r="E101" s="323"/>
      <c r="F101" s="323"/>
      <c r="G101" s="323"/>
      <c r="H101" s="323"/>
      <c r="I101" s="323"/>
      <c r="J101" s="21"/>
    </row>
  </sheetData>
  <mergeCells count="70">
    <mergeCell ref="H7:H8"/>
    <mergeCell ref="C6:C8"/>
    <mergeCell ref="D24:D25"/>
    <mergeCell ref="C61:C62"/>
    <mergeCell ref="C81:C82"/>
    <mergeCell ref="C53:C54"/>
    <mergeCell ref="D51:D52"/>
    <mergeCell ref="D69:D70"/>
    <mergeCell ref="C24:C25"/>
    <mergeCell ref="D59:D60"/>
    <mergeCell ref="D22:D23"/>
    <mergeCell ref="J6:J8"/>
    <mergeCell ref="D30:D31"/>
    <mergeCell ref="D79:D80"/>
    <mergeCell ref="C87:C88"/>
    <mergeCell ref="D26:D27"/>
    <mergeCell ref="C83:C84"/>
    <mergeCell ref="D81:D82"/>
    <mergeCell ref="C49:C50"/>
    <mergeCell ref="C73:C74"/>
    <mergeCell ref="C20:C21"/>
    <mergeCell ref="C59:C60"/>
    <mergeCell ref="C22:C23"/>
    <mergeCell ref="D57:D58"/>
    <mergeCell ref="C12:C13"/>
    <mergeCell ref="D43:D44"/>
    <mergeCell ref="D83:D84"/>
    <mergeCell ref="G7:G8"/>
    <mergeCell ref="D77:D78"/>
    <mergeCell ref="C45:C46"/>
    <mergeCell ref="C85:C86"/>
    <mergeCell ref="I7:I8"/>
    <mergeCell ref="D75:D76"/>
    <mergeCell ref="C47:C48"/>
    <mergeCell ref="D12:D13"/>
    <mergeCell ref="D6:D8"/>
    <mergeCell ref="D53:D54"/>
    <mergeCell ref="C51:C52"/>
    <mergeCell ref="E6:I6"/>
    <mergeCell ref="D55:D56"/>
    <mergeCell ref="E7:E8"/>
    <mergeCell ref="D20:D21"/>
    <mergeCell ref="D85:D86"/>
    <mergeCell ref="D18:D19"/>
    <mergeCell ref="D73:D74"/>
    <mergeCell ref="C69:C70"/>
    <mergeCell ref="D98:D99"/>
    <mergeCell ref="F7:F8"/>
    <mergeCell ref="C98:C99"/>
    <mergeCell ref="D49:D50"/>
    <mergeCell ref="C91:C92"/>
    <mergeCell ref="D93:D94"/>
    <mergeCell ref="C77:C78"/>
    <mergeCell ref="C89:C90"/>
    <mergeCell ref="C26:C27"/>
    <mergeCell ref="C75:C76"/>
    <mergeCell ref="D91:D92"/>
    <mergeCell ref="C55:C56"/>
    <mergeCell ref="D89:D90"/>
    <mergeCell ref="C93:C94"/>
    <mergeCell ref="D47:D48"/>
    <mergeCell ref="D87:D88"/>
    <mergeCell ref="D71:D72"/>
    <mergeCell ref="C43:C44"/>
    <mergeCell ref="C57:C58"/>
    <mergeCell ref="C30:C31"/>
    <mergeCell ref="C79:C80"/>
    <mergeCell ref="D61:D62"/>
    <mergeCell ref="D45:D46"/>
    <mergeCell ref="C71:C72"/>
  </mergeCells>
  <conditionalFormatting sqref="B10:B14 B16:B100">
    <cfRule type="cellIs" dxfId="14" priority="6" operator="equal">
      <formula>FALSE</formula>
    </cfRule>
  </conditionalFormatting>
  <conditionalFormatting sqref="B15">
    <cfRule type="cellIs" dxfId="13" priority="1" operator="equal">
      <formula>FALSE</formula>
    </cfRule>
  </conditionalFormatting>
  <conditionalFormatting sqref="O10:O100 P10:P100 U10:U100 V10:V100 AA10:AA100 AB10:AB100 AG10:AG100 AH10:AH100 AM10:AM100 AN10:AN100 AS10:AS100 AT10:AT100 AY10:AY100 AZ10:AZ100 BE10:BE100 BF10:BF100 BK10:BK100 BL10:BL100 BQ10:BQ100 BR10:BR100 BW10:BW100 BX10:BX100 CC10:CC100 CD10:CD100 CI10:CI100 CJ10:CJ100 CO10:CO100 CP10:CP100 CU10:CU100 CV10:CV100 DA10:DA100 DB10:DB100 DG10:DG100 DH10:DH100">
    <cfRule type="cellIs" dxfId="12" priority="3" operator="greaterThan">
      <formula>0</formula>
    </cfRule>
    <cfRule type="cellIs" dxfId="11" priority="2" operator="lessThan">
      <formula>0</formula>
    </cfRule>
    <cfRule type="cellIs" dxfId="10" priority="7" operator="equal">
      <formula>0</formula>
    </cfRule>
  </conditionalFormatting>
  <conditionalFormatting sqref="L10:L100 N10:N100 R10:R100 T10:T100 X10:X100 Z10:Z100 AD10:AD100 AF10:AF100 AJ10:AJ100 AL10:AL100 AP10:AP100 AR10:AR100 AV10:AV100 AX10:AX100 BB10:BB100 BD10:BD100 BH10:BH100 BJ10:BJ100 BN10:BN100 BP10:BP100 BT10:BT100 BV10:BV100 BZ10:BZ100 CB10:CB100 CF10:CF100 CH10:CH100 CL10:CL100 CN10:CN100 CR10:CR100 CT10:CT100 CX10:CX100 CZ10:CZ100 DD10:DD100 DF10:DF100">
    <cfRule type="cellIs" dxfId="9" priority="8" operator="equal">
      <formula>0</formula>
    </cfRule>
  </conditionalFormatting>
  <pageMargins left="0.7" right="0.7" top="0.75" bottom="0.75" header="0.3" footer="0.3"/>
  <pageSetup paperSize="9" scale="34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8">
    <tabColor theme="8" tint="0.59999389629810485"/>
    <pageSetUpPr fitToPage="1"/>
  </sheetPr>
  <dimension ref="A1:DH216"/>
  <sheetViews>
    <sheetView topLeftCell="C1" zoomScale="60" zoomScaleNormal="60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9.140625" defaultRowHeight="15" outlineLevelCol="1"/>
  <cols>
    <col min="1" max="1" width="6.5703125" style="320" hidden="1" customWidth="1" outlineLevel="1"/>
    <col min="2" max="2" width="74.85546875" style="320" hidden="1" customWidth="1" outlineLevel="1"/>
    <col min="3" max="3" width="12.140625" style="321" customWidth="1" collapsed="1"/>
    <col min="4" max="4" width="72" style="320" customWidth="1"/>
    <col min="5" max="9" width="16.140625" style="320" customWidth="1" outlineLevel="1"/>
    <col min="10" max="10" width="13" style="322" bestFit="1" customWidth="1"/>
    <col min="11" max="112" width="8.42578125" style="621" customWidth="1"/>
  </cols>
  <sheetData>
    <row r="1" spans="1:10" ht="21.75" customHeight="1"/>
    <row r="2" spans="1:10" ht="21.75" customHeight="1"/>
    <row r="3" spans="1:10" ht="21.75" customHeight="1">
      <c r="C3" s="851" t="s">
        <v>4405</v>
      </c>
      <c r="D3" s="888"/>
      <c r="E3" s="888"/>
      <c r="F3" s="888"/>
      <c r="G3" s="888"/>
      <c r="H3" s="888"/>
      <c r="I3" s="888"/>
      <c r="J3" s="889"/>
    </row>
    <row r="4" spans="1:10" ht="21.75" customHeight="1"/>
    <row r="5" spans="1:10" ht="21.75" customHeight="1">
      <c r="C5" s="363" t="s">
        <v>4406</v>
      </c>
    </row>
    <row r="6" spans="1:10" ht="20.100000000000001" customHeight="1">
      <c r="A6" s="323"/>
      <c r="B6" s="887" t="s">
        <v>1799</v>
      </c>
      <c r="C6" s="828" t="s">
        <v>2666</v>
      </c>
      <c r="D6" s="886" t="s">
        <v>16</v>
      </c>
      <c r="E6" s="761" t="s">
        <v>17</v>
      </c>
      <c r="F6" s="762"/>
      <c r="G6" s="762"/>
      <c r="H6" s="762"/>
      <c r="I6" s="763"/>
      <c r="J6" s="783" t="s">
        <v>1800</v>
      </c>
    </row>
    <row r="7" spans="1:10" ht="39.950000000000003" customHeight="1">
      <c r="A7" s="323"/>
      <c r="B7" s="756"/>
      <c r="C7" s="756"/>
      <c r="D7" s="752"/>
      <c r="E7" s="741" t="s">
        <v>19</v>
      </c>
      <c r="F7" s="741" t="s">
        <v>20</v>
      </c>
      <c r="G7" s="741" t="s">
        <v>21</v>
      </c>
      <c r="H7" s="741" t="s">
        <v>22</v>
      </c>
      <c r="I7" s="741" t="s">
        <v>23</v>
      </c>
      <c r="J7" s="756"/>
    </row>
    <row r="8" spans="1:10" ht="20.100000000000001" customHeight="1">
      <c r="A8" s="323"/>
      <c r="B8" s="757"/>
      <c r="C8" s="757"/>
      <c r="D8" s="754"/>
      <c r="E8" s="742"/>
      <c r="F8" s="742"/>
      <c r="G8" s="742"/>
      <c r="H8" s="742"/>
      <c r="I8" s="742"/>
      <c r="J8" s="757"/>
    </row>
    <row r="9" spans="1:10" ht="20.100000000000001" hidden="1" customHeight="1">
      <c r="A9" s="323"/>
      <c r="B9" s="390"/>
      <c r="C9" s="649"/>
      <c r="D9" s="674"/>
      <c r="E9" s="391"/>
      <c r="F9" s="391"/>
      <c r="G9" s="391"/>
      <c r="H9" s="391"/>
      <c r="I9" s="391"/>
      <c r="J9" s="657"/>
    </row>
    <row r="10" spans="1:10" ht="21.75" customHeight="1">
      <c r="A10" s="328"/>
      <c r="B10" s="329" t="s">
        <v>4407</v>
      </c>
      <c r="C10" s="330" t="s">
        <v>1014</v>
      </c>
      <c r="D10" s="331"/>
      <c r="E10" s="530" t="s">
        <v>3301</v>
      </c>
      <c r="F10" s="530"/>
      <c r="G10" s="531"/>
      <c r="H10" s="532" t="s">
        <v>3302</v>
      </c>
      <c r="I10" s="532"/>
      <c r="J10" s="332"/>
    </row>
    <row r="11" spans="1:10" ht="42" customHeight="1">
      <c r="A11">
        <v>668.351</v>
      </c>
      <c r="B11" s="333" t="s">
        <v>1015</v>
      </c>
      <c r="C11" s="334" t="s">
        <v>26</v>
      </c>
      <c r="D11" s="333" t="s">
        <v>1015</v>
      </c>
      <c r="E11" s="530" t="s">
        <v>4408</v>
      </c>
      <c r="F11" s="530"/>
      <c r="G11" s="531"/>
      <c r="H11" s="532" t="s">
        <v>4409</v>
      </c>
      <c r="I11" s="532"/>
      <c r="J11" s="335" t="s">
        <v>814</v>
      </c>
    </row>
    <row r="12" spans="1:10" ht="21.75" customHeight="1">
      <c r="A12">
        <v>204.649</v>
      </c>
      <c r="B12" s="336" t="s">
        <v>1017</v>
      </c>
      <c r="C12" s="337" t="s">
        <v>43</v>
      </c>
      <c r="D12" s="336" t="s">
        <v>1017</v>
      </c>
      <c r="E12" s="530" t="s">
        <v>4410</v>
      </c>
      <c r="F12" s="530"/>
      <c r="G12" s="531"/>
      <c r="H12" s="532" t="s">
        <v>4411</v>
      </c>
      <c r="I12" s="532"/>
      <c r="J12" s="666" t="s">
        <v>814</v>
      </c>
    </row>
    <row r="13" spans="1:10" ht="21.75" customHeight="1">
      <c r="A13">
        <v>204.649</v>
      </c>
      <c r="B13" s="338" t="s">
        <v>4412</v>
      </c>
      <c r="C13" s="640" t="s">
        <v>1373</v>
      </c>
      <c r="D13" s="338" t="s">
        <v>4412</v>
      </c>
      <c r="E13" s="530" t="s">
        <v>4413</v>
      </c>
      <c r="F13" s="530"/>
      <c r="G13" s="531"/>
      <c r="H13" s="532" t="s">
        <v>4414</v>
      </c>
      <c r="I13" s="532"/>
      <c r="J13" s="666" t="s">
        <v>814</v>
      </c>
    </row>
    <row r="14" spans="1:10" ht="21.75" customHeight="1">
      <c r="A14">
        <v>0</v>
      </c>
      <c r="B14" s="339" t="s">
        <v>32</v>
      </c>
      <c r="C14" s="640"/>
      <c r="D14" s="339" t="s">
        <v>32</v>
      </c>
      <c r="E14" s="530" t="s">
        <v>4415</v>
      </c>
      <c r="F14" s="530"/>
      <c r="G14" s="531"/>
      <c r="H14" s="532"/>
      <c r="I14" s="532"/>
      <c r="J14" s="666" t="s">
        <v>814</v>
      </c>
    </row>
    <row r="15" spans="1:10" ht="21.75" customHeight="1">
      <c r="A15">
        <v>189.483</v>
      </c>
      <c r="B15" s="339" t="s">
        <v>484</v>
      </c>
      <c r="C15" s="640"/>
      <c r="D15" s="339" t="s">
        <v>484</v>
      </c>
      <c r="E15" s="530" t="s">
        <v>4416</v>
      </c>
      <c r="F15" s="530"/>
      <c r="G15" s="531"/>
      <c r="H15" s="532"/>
      <c r="I15" s="532"/>
      <c r="J15" s="666" t="s">
        <v>814</v>
      </c>
    </row>
    <row r="16" spans="1:10" ht="21.75" customHeight="1">
      <c r="A16">
        <v>0</v>
      </c>
      <c r="B16" s="339" t="s">
        <v>36</v>
      </c>
      <c r="C16" s="640"/>
      <c r="D16" s="339" t="s">
        <v>36</v>
      </c>
      <c r="E16" s="530" t="s">
        <v>4417</v>
      </c>
      <c r="F16" s="530"/>
      <c r="G16" s="531"/>
      <c r="H16" s="532"/>
      <c r="I16" s="532"/>
      <c r="J16" s="666" t="s">
        <v>814</v>
      </c>
    </row>
    <row r="17" spans="1:10" ht="21.75" customHeight="1">
      <c r="A17">
        <v>15.166</v>
      </c>
      <c r="B17" s="339" t="s">
        <v>1024</v>
      </c>
      <c r="C17" s="640"/>
      <c r="D17" s="339" t="s">
        <v>1024</v>
      </c>
      <c r="E17" s="530" t="s">
        <v>4418</v>
      </c>
      <c r="F17" s="530"/>
      <c r="G17" s="531"/>
      <c r="H17" s="532"/>
      <c r="I17" s="532"/>
      <c r="J17" s="666" t="s">
        <v>814</v>
      </c>
    </row>
    <row r="18" spans="1:10" ht="21.75" customHeight="1">
      <c r="A18">
        <v>0</v>
      </c>
      <c r="B18" s="338" t="s">
        <v>4419</v>
      </c>
      <c r="C18" s="640" t="s">
        <v>1435</v>
      </c>
      <c r="D18" s="338" t="s">
        <v>4419</v>
      </c>
      <c r="E18" s="530" t="s">
        <v>4420</v>
      </c>
      <c r="F18" s="530"/>
      <c r="G18" s="531"/>
      <c r="H18" s="532"/>
      <c r="I18" s="532"/>
      <c r="J18" s="666" t="s">
        <v>814</v>
      </c>
    </row>
    <row r="19" spans="1:10" ht="21.75" customHeight="1">
      <c r="A19">
        <v>0</v>
      </c>
      <c r="B19" s="338" t="s">
        <v>4421</v>
      </c>
      <c r="C19" s="640" t="s">
        <v>1440</v>
      </c>
      <c r="D19" s="338" t="s">
        <v>4421</v>
      </c>
      <c r="E19" s="530" t="s">
        <v>4422</v>
      </c>
      <c r="F19" s="530"/>
      <c r="G19" s="531"/>
      <c r="H19" s="532"/>
      <c r="I19" s="532"/>
      <c r="J19" s="666" t="s">
        <v>814</v>
      </c>
    </row>
    <row r="20" spans="1:10" ht="21.75" customHeight="1">
      <c r="A20">
        <v>449.07</v>
      </c>
      <c r="B20" s="336" t="s">
        <v>805</v>
      </c>
      <c r="C20" s="337" t="s">
        <v>53</v>
      </c>
      <c r="D20" s="336" t="s">
        <v>805</v>
      </c>
      <c r="E20" s="530" t="s">
        <v>4423</v>
      </c>
      <c r="F20" s="530"/>
      <c r="G20" s="531"/>
      <c r="H20" s="532" t="s">
        <v>4424</v>
      </c>
      <c r="I20" s="532"/>
      <c r="J20" s="666" t="s">
        <v>814</v>
      </c>
    </row>
    <row r="21" spans="1:10" ht="21.75" customHeight="1">
      <c r="A21">
        <v>174.73500000000001</v>
      </c>
      <c r="B21" s="338" t="s">
        <v>4412</v>
      </c>
      <c r="C21" s="640" t="s">
        <v>1471</v>
      </c>
      <c r="D21" s="338" t="s">
        <v>4412</v>
      </c>
      <c r="E21" s="530" t="s">
        <v>4425</v>
      </c>
      <c r="F21" s="530"/>
      <c r="G21" s="531"/>
      <c r="H21" s="532" t="s">
        <v>4426</v>
      </c>
      <c r="I21" s="532"/>
      <c r="J21" s="666" t="s">
        <v>814</v>
      </c>
    </row>
    <row r="22" spans="1:10" ht="21.75" customHeight="1">
      <c r="A22">
        <v>174.73500000000001</v>
      </c>
      <c r="B22" s="339" t="s">
        <v>4427</v>
      </c>
      <c r="C22" s="640"/>
      <c r="D22" s="339" t="s">
        <v>4427</v>
      </c>
      <c r="E22" s="530" t="s">
        <v>4426</v>
      </c>
      <c r="F22" s="530"/>
      <c r="G22" s="531"/>
      <c r="H22" s="532"/>
      <c r="I22" s="532"/>
      <c r="J22" s="666" t="s">
        <v>814</v>
      </c>
    </row>
    <row r="23" spans="1:10" ht="21.75" customHeight="1">
      <c r="A23">
        <v>4.8250000000000002</v>
      </c>
      <c r="B23" s="338" t="s">
        <v>4428</v>
      </c>
      <c r="C23" s="640" t="s">
        <v>1496</v>
      </c>
      <c r="D23" s="338" t="s">
        <v>4428</v>
      </c>
      <c r="E23" s="530" t="s">
        <v>4429</v>
      </c>
      <c r="F23" s="530"/>
      <c r="G23" s="531"/>
      <c r="H23" s="532"/>
      <c r="I23" s="532"/>
      <c r="J23" s="666" t="s">
        <v>814</v>
      </c>
    </row>
    <row r="24" spans="1:10" ht="21.75" customHeight="1">
      <c r="A24">
        <v>4.5060000000000002</v>
      </c>
      <c r="B24" s="338" t="s">
        <v>4430</v>
      </c>
      <c r="C24" s="640" t="s">
        <v>1502</v>
      </c>
      <c r="D24" s="338" t="s">
        <v>4430</v>
      </c>
      <c r="E24" s="530" t="s">
        <v>4431</v>
      </c>
      <c r="F24" s="530"/>
      <c r="G24" s="531"/>
      <c r="H24" s="532"/>
      <c r="I24" s="532"/>
      <c r="J24" s="666" t="s">
        <v>814</v>
      </c>
    </row>
    <row r="25" spans="1:10" ht="21.75" customHeight="1">
      <c r="A25">
        <v>20.707000000000001</v>
      </c>
      <c r="B25" s="11" t="s">
        <v>1037</v>
      </c>
      <c r="C25" s="640" t="s">
        <v>4432</v>
      </c>
      <c r="D25" s="338" t="s">
        <v>4433</v>
      </c>
      <c r="E25" s="530" t="s">
        <v>4434</v>
      </c>
      <c r="F25" s="530"/>
      <c r="G25" s="531"/>
      <c r="H25" s="532"/>
      <c r="I25" s="532"/>
      <c r="J25" s="666" t="s">
        <v>814</v>
      </c>
    </row>
    <row r="26" spans="1:10" ht="21.75" customHeight="1">
      <c r="A26">
        <v>81.477000000000004</v>
      </c>
      <c r="B26" s="338" t="s">
        <v>4435</v>
      </c>
      <c r="C26" s="640" t="s">
        <v>4436</v>
      </c>
      <c r="D26" s="338" t="s">
        <v>4435</v>
      </c>
      <c r="E26" s="530" t="s">
        <v>4437</v>
      </c>
      <c r="F26" s="530"/>
      <c r="G26" s="531"/>
      <c r="H26" s="532"/>
      <c r="I26" s="532"/>
      <c r="J26" s="666" t="s">
        <v>814</v>
      </c>
    </row>
    <row r="27" spans="1:10" ht="21.75" customHeight="1">
      <c r="A27">
        <v>153.554</v>
      </c>
      <c r="B27" s="338" t="s">
        <v>4438</v>
      </c>
      <c r="C27" s="640" t="s">
        <v>4439</v>
      </c>
      <c r="D27" s="338" t="s">
        <v>4438</v>
      </c>
      <c r="E27" s="530" t="s">
        <v>4440</v>
      </c>
      <c r="F27" s="530"/>
      <c r="G27" s="531"/>
      <c r="H27" s="532"/>
      <c r="I27" s="532"/>
      <c r="J27" s="666" t="s">
        <v>814</v>
      </c>
    </row>
    <row r="28" spans="1:10" ht="21.75" customHeight="1">
      <c r="A28">
        <v>9.266</v>
      </c>
      <c r="B28" s="338" t="s">
        <v>4421</v>
      </c>
      <c r="C28" s="640" t="s">
        <v>4441</v>
      </c>
      <c r="D28" s="338" t="s">
        <v>4421</v>
      </c>
      <c r="E28" s="530" t="s">
        <v>4442</v>
      </c>
      <c r="F28" s="530"/>
      <c r="G28" s="531"/>
      <c r="H28" s="532"/>
      <c r="I28" s="532"/>
      <c r="J28" s="666" t="s">
        <v>814</v>
      </c>
    </row>
    <row r="29" spans="1:10" ht="21.75" customHeight="1">
      <c r="A29">
        <v>8.718</v>
      </c>
      <c r="B29" s="336" t="s">
        <v>1044</v>
      </c>
      <c r="C29" s="337" t="s">
        <v>836</v>
      </c>
      <c r="D29" s="336" t="s">
        <v>1044</v>
      </c>
      <c r="E29" s="530" t="s">
        <v>4443</v>
      </c>
      <c r="F29" s="530"/>
      <c r="G29" s="531"/>
      <c r="H29" s="532" t="s">
        <v>4444</v>
      </c>
      <c r="I29" s="532"/>
      <c r="J29" s="666" t="s">
        <v>814</v>
      </c>
    </row>
    <row r="30" spans="1:10" ht="21.75" customHeight="1">
      <c r="A30">
        <v>8.718</v>
      </c>
      <c r="B30" s="338" t="s">
        <v>4412</v>
      </c>
      <c r="C30" s="640"/>
      <c r="D30" s="338" t="s">
        <v>4412</v>
      </c>
      <c r="E30" s="530" t="s">
        <v>4444</v>
      </c>
      <c r="F30" s="530"/>
      <c r="G30" s="531"/>
      <c r="H30" s="532" t="s">
        <v>4445</v>
      </c>
      <c r="I30" s="532"/>
      <c r="J30" s="666" t="s">
        <v>814</v>
      </c>
    </row>
    <row r="31" spans="1:10" ht="21.75" customHeight="1">
      <c r="A31">
        <v>8.718</v>
      </c>
      <c r="B31" s="339" t="s">
        <v>32</v>
      </c>
      <c r="C31" s="640"/>
      <c r="D31" s="339" t="s">
        <v>32</v>
      </c>
      <c r="E31" s="530" t="s">
        <v>4445</v>
      </c>
      <c r="F31" s="530"/>
      <c r="G31" s="531"/>
      <c r="H31" s="532"/>
      <c r="I31" s="532"/>
      <c r="J31" s="666" t="s">
        <v>814</v>
      </c>
    </row>
    <row r="32" spans="1:10" ht="21.75" customHeight="1">
      <c r="A32">
        <v>5.9139999999999997</v>
      </c>
      <c r="B32" s="340" t="s">
        <v>4446</v>
      </c>
      <c r="C32" s="337" t="s">
        <v>4447</v>
      </c>
      <c r="D32" s="340" t="s">
        <v>4446</v>
      </c>
      <c r="E32" s="530" t="s">
        <v>4448</v>
      </c>
      <c r="F32" s="530"/>
      <c r="G32" s="531"/>
      <c r="H32" s="532"/>
      <c r="I32" s="532"/>
      <c r="J32" s="666" t="s">
        <v>814</v>
      </c>
    </row>
    <row r="33" spans="1:10" ht="42.75" customHeight="1">
      <c r="A33">
        <v>681.41700000000003</v>
      </c>
      <c r="B33" s="333" t="s">
        <v>4449</v>
      </c>
      <c r="C33" s="334" t="s">
        <v>364</v>
      </c>
      <c r="D33" s="333" t="s">
        <v>4449</v>
      </c>
      <c r="E33" s="530" t="s">
        <v>4450</v>
      </c>
      <c r="F33" s="530"/>
      <c r="G33" s="531"/>
      <c r="H33" s="532" t="s">
        <v>4451</v>
      </c>
      <c r="I33" s="532"/>
      <c r="J33" s="335" t="s">
        <v>814</v>
      </c>
    </row>
    <row r="34" spans="1:10" ht="21.75" customHeight="1">
      <c r="A34">
        <v>178.25299999999999</v>
      </c>
      <c r="B34" s="336" t="s">
        <v>1017</v>
      </c>
      <c r="C34" s="337" t="s">
        <v>82</v>
      </c>
      <c r="D34" s="336" t="s">
        <v>1017</v>
      </c>
      <c r="E34" s="530" t="s">
        <v>4452</v>
      </c>
      <c r="F34" s="530"/>
      <c r="G34" s="531"/>
      <c r="H34" s="532" t="s">
        <v>4453</v>
      </c>
      <c r="I34" s="532"/>
      <c r="J34" s="666" t="s">
        <v>814</v>
      </c>
    </row>
    <row r="35" spans="1:10" ht="21.75" customHeight="1">
      <c r="A35">
        <v>178.25299999999999</v>
      </c>
      <c r="B35" s="338" t="s">
        <v>4412</v>
      </c>
      <c r="C35" s="640" t="s">
        <v>1560</v>
      </c>
      <c r="D35" s="338" t="s">
        <v>4412</v>
      </c>
      <c r="E35" s="530" t="s">
        <v>4454</v>
      </c>
      <c r="F35" s="530"/>
      <c r="G35" s="531"/>
      <c r="H35" s="532" t="s">
        <v>4455</v>
      </c>
      <c r="I35" s="532"/>
      <c r="J35" s="666" t="s">
        <v>814</v>
      </c>
    </row>
    <row r="36" spans="1:10" ht="21.75" customHeight="1">
      <c r="A36">
        <v>1.484</v>
      </c>
      <c r="B36" s="339" t="s">
        <v>1054</v>
      </c>
      <c r="C36" s="640"/>
      <c r="D36" s="339" t="s">
        <v>1054</v>
      </c>
      <c r="E36" s="530" t="s">
        <v>4456</v>
      </c>
      <c r="F36" s="530"/>
      <c r="G36" s="531"/>
      <c r="H36" s="532"/>
      <c r="I36" s="532"/>
      <c r="J36" s="666" t="s">
        <v>814</v>
      </c>
    </row>
    <row r="37" spans="1:10" ht="21.75" customHeight="1">
      <c r="A37">
        <v>161.21299999999999</v>
      </c>
      <c r="B37" s="339" t="s">
        <v>768</v>
      </c>
      <c r="C37" s="640"/>
      <c r="D37" s="339" t="s">
        <v>768</v>
      </c>
      <c r="E37" s="530" t="s">
        <v>4457</v>
      </c>
      <c r="F37" s="530"/>
      <c r="G37" s="531"/>
      <c r="H37" s="532"/>
      <c r="I37" s="532"/>
      <c r="J37" s="666" t="s">
        <v>814</v>
      </c>
    </row>
    <row r="38" spans="1:10" ht="21.75" customHeight="1">
      <c r="A38">
        <v>0</v>
      </c>
      <c r="B38" s="339" t="s">
        <v>1057</v>
      </c>
      <c r="C38" s="640"/>
      <c r="D38" s="339" t="s">
        <v>1057</v>
      </c>
      <c r="E38" s="530" t="s">
        <v>4458</v>
      </c>
      <c r="F38" s="530"/>
      <c r="G38" s="531"/>
      <c r="H38" s="532"/>
      <c r="I38" s="532"/>
      <c r="J38" s="666" t="s">
        <v>814</v>
      </c>
    </row>
    <row r="39" spans="1:10" ht="21.75" customHeight="1">
      <c r="A39">
        <v>15.555999999999999</v>
      </c>
      <c r="B39" s="339" t="s">
        <v>4459</v>
      </c>
      <c r="C39" s="640"/>
      <c r="D39" s="339" t="s">
        <v>4459</v>
      </c>
      <c r="E39" s="530" t="s">
        <v>4460</v>
      </c>
      <c r="F39" s="530"/>
      <c r="G39" s="531"/>
      <c r="H39" s="532"/>
      <c r="I39" s="532"/>
      <c r="J39" s="666" t="s">
        <v>814</v>
      </c>
    </row>
    <row r="40" spans="1:10" ht="21.75" customHeight="1">
      <c r="A40">
        <v>0</v>
      </c>
      <c r="B40" s="338" t="s">
        <v>4419</v>
      </c>
      <c r="C40" s="640" t="s">
        <v>1585</v>
      </c>
      <c r="D40" s="338" t="s">
        <v>4419</v>
      </c>
      <c r="E40" s="530" t="s">
        <v>4461</v>
      </c>
      <c r="F40" s="530"/>
      <c r="G40" s="531"/>
      <c r="H40" s="532"/>
      <c r="I40" s="532"/>
      <c r="J40" s="666" t="s">
        <v>814</v>
      </c>
    </row>
    <row r="41" spans="1:10" ht="21.75" customHeight="1">
      <c r="A41">
        <v>0</v>
      </c>
      <c r="B41" s="338" t="s">
        <v>4421</v>
      </c>
      <c r="C41" s="640" t="s">
        <v>4462</v>
      </c>
      <c r="D41" s="338" t="s">
        <v>4421</v>
      </c>
      <c r="E41" s="530" t="s">
        <v>4463</v>
      </c>
      <c r="F41" s="530"/>
      <c r="G41" s="531"/>
      <c r="H41" s="532"/>
      <c r="I41" s="532"/>
      <c r="J41" s="666" t="s">
        <v>814</v>
      </c>
    </row>
    <row r="42" spans="1:10" ht="21.75" customHeight="1">
      <c r="A42">
        <v>451.72899999999998</v>
      </c>
      <c r="B42" s="336" t="s">
        <v>805</v>
      </c>
      <c r="C42" s="337" t="s">
        <v>84</v>
      </c>
      <c r="D42" s="336" t="s">
        <v>805</v>
      </c>
      <c r="E42" s="530" t="s">
        <v>4464</v>
      </c>
      <c r="F42" s="530"/>
      <c r="G42" s="531"/>
      <c r="H42" s="532" t="s">
        <v>4465</v>
      </c>
      <c r="I42" s="532"/>
      <c r="J42" s="666" t="s">
        <v>814</v>
      </c>
    </row>
    <row r="43" spans="1:10" ht="21.75" customHeight="1">
      <c r="A43">
        <v>175.334</v>
      </c>
      <c r="B43" s="338" t="s">
        <v>4412</v>
      </c>
      <c r="C43" s="640" t="s">
        <v>1589</v>
      </c>
      <c r="D43" s="338" t="s">
        <v>4412</v>
      </c>
      <c r="E43" s="530" t="s">
        <v>4466</v>
      </c>
      <c r="F43" s="530"/>
      <c r="G43" s="531"/>
      <c r="H43" s="532" t="s">
        <v>4467</v>
      </c>
      <c r="I43" s="532"/>
      <c r="J43" s="666" t="s">
        <v>814</v>
      </c>
    </row>
    <row r="44" spans="1:10" ht="21.75" customHeight="1">
      <c r="A44">
        <v>175.334</v>
      </c>
      <c r="B44" s="339" t="s">
        <v>4427</v>
      </c>
      <c r="C44" s="640"/>
      <c r="D44" s="339" t="s">
        <v>4427</v>
      </c>
      <c r="E44" s="530" t="s">
        <v>4467</v>
      </c>
      <c r="F44" s="530"/>
      <c r="G44" s="531"/>
      <c r="H44" s="532"/>
      <c r="I44" s="532"/>
      <c r="J44" s="666" t="s">
        <v>814</v>
      </c>
    </row>
    <row r="45" spans="1:10" ht="21.75" customHeight="1">
      <c r="A45">
        <v>4.8250000000000002</v>
      </c>
      <c r="B45" s="338" t="s">
        <v>4428</v>
      </c>
      <c r="C45" s="640" t="s">
        <v>1594</v>
      </c>
      <c r="D45" s="338" t="s">
        <v>4428</v>
      </c>
      <c r="E45" s="530" t="s">
        <v>4468</v>
      </c>
      <c r="F45" s="530"/>
      <c r="G45" s="531"/>
      <c r="H45" s="532"/>
      <c r="I45" s="532"/>
      <c r="J45" s="666" t="s">
        <v>814</v>
      </c>
    </row>
    <row r="46" spans="1:10" ht="21.75" customHeight="1">
      <c r="A46">
        <v>4.5060000000000002</v>
      </c>
      <c r="B46" s="338" t="s">
        <v>4430</v>
      </c>
      <c r="C46" s="640" t="s">
        <v>1595</v>
      </c>
      <c r="D46" s="338" t="s">
        <v>4430</v>
      </c>
      <c r="E46" s="530" t="s">
        <v>4469</v>
      </c>
      <c r="F46" s="530"/>
      <c r="G46" s="531"/>
      <c r="H46" s="532"/>
      <c r="I46" s="532"/>
      <c r="J46" s="666" t="s">
        <v>814</v>
      </c>
    </row>
    <row r="47" spans="1:10" ht="21.75" customHeight="1">
      <c r="A47">
        <v>20.707000000000001</v>
      </c>
      <c r="B47" s="11" t="s">
        <v>1037</v>
      </c>
      <c r="C47" s="640" t="s">
        <v>4470</v>
      </c>
      <c r="D47" s="11" t="s">
        <v>1037</v>
      </c>
      <c r="E47" s="530" t="s">
        <v>4471</v>
      </c>
      <c r="F47" s="530"/>
      <c r="G47" s="531"/>
      <c r="H47" s="532"/>
      <c r="I47" s="532"/>
      <c r="J47" s="666" t="s">
        <v>814</v>
      </c>
    </row>
    <row r="48" spans="1:10" ht="21.75" customHeight="1">
      <c r="A48">
        <v>80.917000000000002</v>
      </c>
      <c r="B48" s="338" t="s">
        <v>4435</v>
      </c>
      <c r="C48" s="640" t="s">
        <v>4472</v>
      </c>
      <c r="D48" s="338" t="s">
        <v>4435</v>
      </c>
      <c r="E48" s="530" t="s">
        <v>4473</v>
      </c>
      <c r="F48" s="530"/>
      <c r="G48" s="531"/>
      <c r="H48" s="532"/>
      <c r="I48" s="532"/>
      <c r="J48" s="666" t="s">
        <v>814</v>
      </c>
    </row>
    <row r="49" spans="1:10" ht="21.75" customHeight="1">
      <c r="A49">
        <v>156.595</v>
      </c>
      <c r="B49" s="338" t="s">
        <v>4438</v>
      </c>
      <c r="C49" s="640" t="s">
        <v>4474</v>
      </c>
      <c r="D49" s="338" t="s">
        <v>4438</v>
      </c>
      <c r="E49" s="530" t="s">
        <v>4475</v>
      </c>
      <c r="F49" s="530"/>
      <c r="G49" s="531"/>
      <c r="H49" s="532"/>
      <c r="I49" s="532"/>
      <c r="J49" s="666" t="s">
        <v>814</v>
      </c>
    </row>
    <row r="50" spans="1:10" ht="21.75" customHeight="1">
      <c r="A50">
        <v>8.8450000000000006</v>
      </c>
      <c r="B50" s="338" t="s">
        <v>4421</v>
      </c>
      <c r="C50" s="640" t="s">
        <v>4476</v>
      </c>
      <c r="D50" s="338" t="s">
        <v>4421</v>
      </c>
      <c r="E50" s="530" t="s">
        <v>4477</v>
      </c>
      <c r="F50" s="530"/>
      <c r="G50" s="531"/>
      <c r="H50" s="532"/>
      <c r="I50" s="532"/>
      <c r="J50" s="666" t="s">
        <v>814</v>
      </c>
    </row>
    <row r="51" spans="1:10" ht="21.75" customHeight="1">
      <c r="A51">
        <v>8.8819999999999997</v>
      </c>
      <c r="B51" s="336" t="s">
        <v>1044</v>
      </c>
      <c r="C51" s="337" t="s">
        <v>869</v>
      </c>
      <c r="D51" s="336" t="s">
        <v>1044</v>
      </c>
      <c r="E51" s="530" t="s">
        <v>4478</v>
      </c>
      <c r="F51" s="530"/>
      <c r="G51" s="531"/>
      <c r="H51" s="532" t="s">
        <v>4479</v>
      </c>
      <c r="I51" s="532"/>
      <c r="J51" s="666" t="s">
        <v>814</v>
      </c>
    </row>
    <row r="52" spans="1:10" ht="21.75" customHeight="1">
      <c r="A52">
        <v>8.8819999999999997</v>
      </c>
      <c r="B52" s="338" t="s">
        <v>4412</v>
      </c>
      <c r="C52" s="640"/>
      <c r="D52" s="338" t="s">
        <v>4412</v>
      </c>
      <c r="E52" s="530" t="s">
        <v>4479</v>
      </c>
      <c r="F52" s="530"/>
      <c r="G52" s="531"/>
      <c r="H52" s="532" t="s">
        <v>4480</v>
      </c>
      <c r="I52" s="532"/>
      <c r="J52" s="666" t="s">
        <v>814</v>
      </c>
    </row>
    <row r="53" spans="1:10" ht="21.75" customHeight="1">
      <c r="A53">
        <v>8.8819999999999997</v>
      </c>
      <c r="B53" s="339" t="s">
        <v>32</v>
      </c>
      <c r="C53" s="640"/>
      <c r="D53" s="339" t="s">
        <v>32</v>
      </c>
      <c r="E53" s="530" t="s">
        <v>4480</v>
      </c>
      <c r="F53" s="530"/>
      <c r="G53" s="531"/>
      <c r="H53" s="532"/>
      <c r="I53" s="532"/>
      <c r="J53" s="666" t="s">
        <v>814</v>
      </c>
    </row>
    <row r="54" spans="1:10" ht="21.75" customHeight="1">
      <c r="A54">
        <v>5.9139999999999997</v>
      </c>
      <c r="B54" s="340" t="s">
        <v>4446</v>
      </c>
      <c r="C54" s="337" t="s">
        <v>4481</v>
      </c>
      <c r="D54" s="340" t="s">
        <v>4446</v>
      </c>
      <c r="E54" s="530" t="s">
        <v>4482</v>
      </c>
      <c r="F54" s="530"/>
      <c r="G54" s="531"/>
      <c r="H54" s="532"/>
      <c r="I54" s="532"/>
      <c r="J54" s="666" t="s">
        <v>814</v>
      </c>
    </row>
    <row r="55" spans="1:10" ht="21.75" customHeight="1">
      <c r="A55">
        <v>3.36</v>
      </c>
      <c r="B55" s="341" t="s">
        <v>1074</v>
      </c>
      <c r="C55" s="337" t="s">
        <v>896</v>
      </c>
      <c r="D55" s="341" t="s">
        <v>1074</v>
      </c>
      <c r="E55" s="530" t="s">
        <v>4483</v>
      </c>
      <c r="F55" s="530"/>
      <c r="G55" s="531"/>
      <c r="H55" s="532"/>
      <c r="I55" s="532"/>
      <c r="J55" s="666" t="s">
        <v>814</v>
      </c>
    </row>
    <row r="56" spans="1:10" ht="21.75" customHeight="1">
      <c r="A56">
        <v>2.5489999999999999</v>
      </c>
      <c r="B56" s="340" t="s">
        <v>1076</v>
      </c>
      <c r="C56" s="337" t="s">
        <v>899</v>
      </c>
      <c r="D56" s="340" t="s">
        <v>1076</v>
      </c>
      <c r="E56" s="530" t="s">
        <v>4484</v>
      </c>
      <c r="F56" s="530"/>
      <c r="G56" s="531"/>
      <c r="H56" s="532"/>
      <c r="I56" s="532"/>
      <c r="J56" s="666" t="s">
        <v>814</v>
      </c>
    </row>
    <row r="57" spans="1:10" ht="21.75" customHeight="1">
      <c r="A57">
        <v>2.4689999999999999</v>
      </c>
      <c r="B57" s="342" t="s">
        <v>1078</v>
      </c>
      <c r="C57" s="337"/>
      <c r="D57" s="342" t="s">
        <v>1078</v>
      </c>
      <c r="E57" s="530" t="s">
        <v>4485</v>
      </c>
      <c r="F57" s="530"/>
      <c r="G57" s="531"/>
      <c r="H57" s="532"/>
      <c r="I57" s="532"/>
      <c r="J57" s="666" t="s">
        <v>814</v>
      </c>
    </row>
    <row r="58" spans="1:10" ht="21.75" customHeight="1">
      <c r="A58">
        <v>9.16</v>
      </c>
      <c r="B58" s="340" t="s">
        <v>4486</v>
      </c>
      <c r="C58" s="337" t="s">
        <v>906</v>
      </c>
      <c r="D58" s="340" t="s">
        <v>4486</v>
      </c>
      <c r="E58" s="530" t="s">
        <v>4487</v>
      </c>
      <c r="F58" s="530"/>
      <c r="G58" s="531"/>
      <c r="H58" s="532"/>
      <c r="I58" s="532"/>
      <c r="J58" s="666" t="s">
        <v>814</v>
      </c>
    </row>
    <row r="59" spans="1:10" ht="21.75" customHeight="1">
      <c r="A59">
        <v>21.57</v>
      </c>
      <c r="B59" s="343" t="s">
        <v>4488</v>
      </c>
      <c r="C59" s="337" t="s">
        <v>926</v>
      </c>
      <c r="D59" s="343" t="s">
        <v>4488</v>
      </c>
      <c r="E59" s="530" t="s">
        <v>4489</v>
      </c>
      <c r="F59" s="530"/>
      <c r="G59" s="531"/>
      <c r="H59" s="532"/>
      <c r="I59" s="532"/>
      <c r="J59" s="666" t="s">
        <v>814</v>
      </c>
    </row>
    <row r="60" spans="1:10" ht="42.75" customHeight="1">
      <c r="A60" s="323"/>
      <c r="B60" s="333" t="s">
        <v>4490</v>
      </c>
      <c r="C60" s="334" t="s">
        <v>86</v>
      </c>
      <c r="D60" s="333" t="s">
        <v>4490</v>
      </c>
      <c r="E60" s="530" t="s">
        <v>4491</v>
      </c>
      <c r="F60" s="530"/>
      <c r="G60" s="531"/>
      <c r="H60" s="532"/>
      <c r="I60" s="532"/>
      <c r="J60" s="335"/>
    </row>
    <row r="61" spans="1:10" ht="21.75" customHeight="1">
      <c r="A61">
        <v>152.714</v>
      </c>
      <c r="B61" s="506" t="s">
        <v>4492</v>
      </c>
      <c r="C61" s="337" t="s">
        <v>90</v>
      </c>
      <c r="D61" s="506" t="s">
        <v>4492</v>
      </c>
      <c r="E61" s="530" t="s">
        <v>4493</v>
      </c>
      <c r="F61" s="530"/>
      <c r="G61" s="531"/>
      <c r="H61" s="532" t="s">
        <v>3031</v>
      </c>
      <c r="I61" s="532"/>
      <c r="J61" s="666" t="s">
        <v>814</v>
      </c>
    </row>
    <row r="62" spans="1:10" ht="21.75" customHeight="1">
      <c r="A62">
        <v>112.03100000000001</v>
      </c>
      <c r="B62" s="344" t="s">
        <v>1086</v>
      </c>
      <c r="C62" s="337"/>
      <c r="D62" s="344" t="s">
        <v>1086</v>
      </c>
      <c r="E62" s="530" t="s">
        <v>3033</v>
      </c>
      <c r="F62" s="530"/>
      <c r="G62" s="531"/>
      <c r="H62" s="532"/>
      <c r="I62" s="532"/>
      <c r="J62" s="666" t="s">
        <v>814</v>
      </c>
    </row>
    <row r="63" spans="1:10" ht="21.75" customHeight="1">
      <c r="A63">
        <v>40.683</v>
      </c>
      <c r="B63" s="344" t="s">
        <v>1088</v>
      </c>
      <c r="C63" s="337"/>
      <c r="D63" s="344" t="s">
        <v>1088</v>
      </c>
      <c r="E63" s="530" t="s">
        <v>3035</v>
      </c>
      <c r="F63" s="530"/>
      <c r="G63" s="531"/>
      <c r="H63" s="532"/>
      <c r="I63" s="532"/>
      <c r="J63" s="666" t="s">
        <v>814</v>
      </c>
    </row>
    <row r="64" spans="1:10" ht="21.75" customHeight="1">
      <c r="A64">
        <v>73.988</v>
      </c>
      <c r="B64" s="506" t="s">
        <v>1090</v>
      </c>
      <c r="C64" s="337" t="s">
        <v>91</v>
      </c>
      <c r="D64" s="506" t="s">
        <v>1090</v>
      </c>
      <c r="E64" s="530" t="s">
        <v>4494</v>
      </c>
      <c r="F64" s="530"/>
      <c r="G64" s="531"/>
      <c r="H64" s="532"/>
      <c r="I64" s="532"/>
      <c r="J64" s="666" t="s">
        <v>814</v>
      </c>
    </row>
    <row r="65" spans="1:10" ht="21.75" customHeight="1">
      <c r="A65">
        <v>54.786000000000001</v>
      </c>
      <c r="B65" s="506" t="s">
        <v>4495</v>
      </c>
      <c r="C65" s="337" t="s">
        <v>1092</v>
      </c>
      <c r="D65" s="506" t="s">
        <v>4495</v>
      </c>
      <c r="E65" s="530" t="s">
        <v>4496</v>
      </c>
      <c r="F65" s="530"/>
      <c r="G65" s="531"/>
      <c r="H65" s="532" t="s">
        <v>4497</v>
      </c>
      <c r="I65" s="532"/>
      <c r="J65" s="666" t="s">
        <v>814</v>
      </c>
    </row>
    <row r="66" spans="1:10" ht="21.75" customHeight="1">
      <c r="A66">
        <v>55.601999999999997</v>
      </c>
      <c r="B66" s="344" t="s">
        <v>1095</v>
      </c>
      <c r="C66" s="337"/>
      <c r="D66" s="344" t="s">
        <v>1095</v>
      </c>
      <c r="E66" s="530" t="s">
        <v>4498</v>
      </c>
      <c r="F66" s="530"/>
      <c r="G66" s="531"/>
      <c r="H66" s="532"/>
      <c r="I66" s="532"/>
      <c r="J66" s="666" t="s">
        <v>814</v>
      </c>
    </row>
    <row r="67" spans="1:10" ht="21.75" customHeight="1">
      <c r="A67">
        <v>-0.81599999999999995</v>
      </c>
      <c r="B67" s="344" t="s">
        <v>1097</v>
      </c>
      <c r="C67" s="337"/>
      <c r="D67" s="344" t="s">
        <v>1097</v>
      </c>
      <c r="E67" s="530" t="s">
        <v>4499</v>
      </c>
      <c r="F67" s="530"/>
      <c r="G67" s="531"/>
      <c r="H67" s="532"/>
      <c r="I67" s="532"/>
      <c r="J67" s="666" t="s">
        <v>814</v>
      </c>
    </row>
    <row r="68" spans="1:10" ht="21.75" customHeight="1">
      <c r="A68">
        <v>0</v>
      </c>
      <c r="B68" s="506" t="s">
        <v>4500</v>
      </c>
      <c r="C68" s="337" t="s">
        <v>1099</v>
      </c>
      <c r="D68" s="506" t="s">
        <v>4500</v>
      </c>
      <c r="E68" s="530" t="s">
        <v>4501</v>
      </c>
      <c r="F68" s="530"/>
      <c r="G68" s="531"/>
      <c r="H68" s="532"/>
      <c r="I68" s="532"/>
      <c r="J68" s="666" t="s">
        <v>814</v>
      </c>
    </row>
    <row r="69" spans="1:10" ht="21.75" customHeight="1">
      <c r="A69">
        <v>20.114999999999998</v>
      </c>
      <c r="B69" s="506" t="s">
        <v>1103</v>
      </c>
      <c r="C69" s="337" t="s">
        <v>1102</v>
      </c>
      <c r="D69" s="506" t="s">
        <v>1103</v>
      </c>
      <c r="E69" s="530" t="s">
        <v>4502</v>
      </c>
      <c r="F69" s="530"/>
      <c r="G69" s="531"/>
      <c r="H69" s="532" t="s">
        <v>4503</v>
      </c>
      <c r="I69" s="532"/>
      <c r="J69" s="666" t="s">
        <v>814</v>
      </c>
    </row>
    <row r="70" spans="1:10" ht="21.75" customHeight="1">
      <c r="A70">
        <v>0</v>
      </c>
      <c r="B70" s="344" t="s">
        <v>4504</v>
      </c>
      <c r="C70" s="337"/>
      <c r="D70" s="344" t="s">
        <v>4504</v>
      </c>
      <c r="E70" s="530" t="s">
        <v>4505</v>
      </c>
      <c r="F70" s="530"/>
      <c r="G70" s="531"/>
      <c r="H70" s="532"/>
      <c r="I70" s="532"/>
      <c r="J70" s="666" t="s">
        <v>814</v>
      </c>
    </row>
    <row r="71" spans="1:10" ht="21.75" customHeight="1">
      <c r="A71">
        <v>20.114999999999998</v>
      </c>
      <c r="B71" s="344" t="s">
        <v>1107</v>
      </c>
      <c r="C71" s="337"/>
      <c r="D71" s="344" t="s">
        <v>1107</v>
      </c>
      <c r="E71" s="530" t="s">
        <v>4506</v>
      </c>
      <c r="F71" s="530"/>
      <c r="G71" s="531"/>
      <c r="H71" s="532"/>
      <c r="I71" s="532"/>
      <c r="J71" s="666" t="s">
        <v>814</v>
      </c>
    </row>
    <row r="72" spans="1:10" ht="21.75" customHeight="1">
      <c r="A72">
        <v>0</v>
      </c>
      <c r="B72" s="506" t="s">
        <v>4507</v>
      </c>
      <c r="C72" s="337" t="s">
        <v>1109</v>
      </c>
      <c r="D72" s="506" t="s">
        <v>4507</v>
      </c>
      <c r="E72" s="530" t="s">
        <v>4508</v>
      </c>
      <c r="F72" s="530"/>
      <c r="G72" s="531"/>
      <c r="H72" s="532"/>
      <c r="I72" s="532"/>
      <c r="J72" s="666" t="s">
        <v>814</v>
      </c>
    </row>
    <row r="73" spans="1:10" ht="21.75" customHeight="1">
      <c r="A73">
        <v>217.083</v>
      </c>
      <c r="B73" s="506" t="s">
        <v>4509</v>
      </c>
      <c r="C73" s="337" t="s">
        <v>1112</v>
      </c>
      <c r="D73" s="506" t="s">
        <v>4509</v>
      </c>
      <c r="E73" s="530" t="s">
        <v>4510</v>
      </c>
      <c r="F73" s="530"/>
      <c r="G73" s="531"/>
      <c r="H73" s="532" t="s">
        <v>4511</v>
      </c>
      <c r="I73" s="532"/>
      <c r="J73" s="666" t="s">
        <v>814</v>
      </c>
    </row>
    <row r="74" spans="1:10" ht="21.75" customHeight="1">
      <c r="A74">
        <v>195.90199999999999</v>
      </c>
      <c r="B74" s="344" t="s">
        <v>1115</v>
      </c>
      <c r="C74" s="337"/>
      <c r="D74" s="344" t="s">
        <v>1115</v>
      </c>
      <c r="E74" s="530" t="s">
        <v>4512</v>
      </c>
      <c r="F74" s="530"/>
      <c r="G74" s="531"/>
      <c r="H74" s="532"/>
      <c r="I74" s="532"/>
      <c r="J74" s="666" t="s">
        <v>814</v>
      </c>
    </row>
    <row r="75" spans="1:10" ht="21.75" customHeight="1">
      <c r="A75">
        <v>21.181000000000001</v>
      </c>
      <c r="B75" s="344" t="s">
        <v>1117</v>
      </c>
      <c r="C75" s="337"/>
      <c r="D75" s="344" t="s">
        <v>1117</v>
      </c>
      <c r="E75" s="530" t="s">
        <v>4513</v>
      </c>
      <c r="F75" s="530"/>
      <c r="G75" s="531"/>
      <c r="H75" s="532"/>
      <c r="I75" s="532"/>
      <c r="J75" s="666" t="s">
        <v>814</v>
      </c>
    </row>
    <row r="76" spans="1:10" ht="21.75" customHeight="1">
      <c r="A76">
        <v>0</v>
      </c>
      <c r="B76" s="344" t="s">
        <v>1119</v>
      </c>
      <c r="C76" s="337"/>
      <c r="D76" s="344" t="s">
        <v>1119</v>
      </c>
      <c r="E76" s="530" t="s">
        <v>4514</v>
      </c>
      <c r="F76" s="530"/>
      <c r="G76" s="531"/>
      <c r="H76" s="532"/>
      <c r="I76" s="532"/>
      <c r="J76" s="666" t="s">
        <v>814</v>
      </c>
    </row>
    <row r="77" spans="1:10" ht="21.75" customHeight="1">
      <c r="A77">
        <v>0</v>
      </c>
      <c r="B77" s="506" t="s">
        <v>4515</v>
      </c>
      <c r="C77" s="337" t="s">
        <v>1121</v>
      </c>
      <c r="D77" s="506" t="s">
        <v>4515</v>
      </c>
      <c r="E77" s="530" t="s">
        <v>4516</v>
      </c>
      <c r="F77" s="530"/>
      <c r="G77" s="531"/>
      <c r="H77" s="532" t="s">
        <v>4517</v>
      </c>
      <c r="I77" s="532"/>
      <c r="J77" s="666" t="s">
        <v>814</v>
      </c>
    </row>
    <row r="78" spans="1:10" ht="21.75" customHeight="1">
      <c r="B78" s="506"/>
      <c r="C78" s="337"/>
      <c r="D78" s="376" t="s">
        <v>4504</v>
      </c>
      <c r="E78" s="530" t="s">
        <v>4518</v>
      </c>
      <c r="F78" s="530"/>
      <c r="G78" s="531"/>
      <c r="H78" s="532"/>
      <c r="I78" s="532"/>
      <c r="J78" s="666"/>
    </row>
    <row r="79" spans="1:10" ht="21.75" customHeight="1">
      <c r="B79" s="506"/>
      <c r="C79" s="337"/>
      <c r="D79" s="376" t="s">
        <v>1107</v>
      </c>
      <c r="E79" s="530" t="s">
        <v>4519</v>
      </c>
      <c r="F79" s="530"/>
      <c r="G79" s="531"/>
      <c r="H79" s="532"/>
      <c r="I79" s="532"/>
      <c r="J79" s="666"/>
    </row>
    <row r="80" spans="1:10" ht="21.75" customHeight="1">
      <c r="A80">
        <v>0.54800000000000004</v>
      </c>
      <c r="B80" s="506" t="s">
        <v>1127</v>
      </c>
      <c r="C80" s="337" t="s">
        <v>1126</v>
      </c>
      <c r="D80" s="506" t="s">
        <v>1127</v>
      </c>
      <c r="E80" s="530" t="s">
        <v>4520</v>
      </c>
      <c r="F80" s="530"/>
      <c r="G80" s="531"/>
      <c r="H80" s="532" t="s">
        <v>4521</v>
      </c>
      <c r="I80" s="532"/>
      <c r="J80" s="666" t="s">
        <v>814</v>
      </c>
    </row>
    <row r="81" spans="1:10" ht="21.75" customHeight="1">
      <c r="A81">
        <v>0</v>
      </c>
      <c r="B81" s="344" t="s">
        <v>4504</v>
      </c>
      <c r="C81" s="337"/>
      <c r="D81" s="344" t="s">
        <v>4504</v>
      </c>
      <c r="E81" s="530" t="s">
        <v>4522</v>
      </c>
      <c r="F81" s="530"/>
      <c r="G81" s="531"/>
      <c r="H81" s="532"/>
      <c r="I81" s="532"/>
      <c r="J81" s="666" t="s">
        <v>814</v>
      </c>
    </row>
    <row r="82" spans="1:10" ht="21.75" customHeight="1">
      <c r="A82">
        <v>0.54800000000000004</v>
      </c>
      <c r="B82" s="344" t="s">
        <v>1107</v>
      </c>
      <c r="C82" s="337"/>
      <c r="D82" s="344" t="s">
        <v>1107</v>
      </c>
      <c r="E82" s="530" t="s">
        <v>4523</v>
      </c>
      <c r="F82" s="530"/>
      <c r="G82" s="531"/>
      <c r="H82" s="532"/>
      <c r="I82" s="532"/>
      <c r="J82" s="666" t="s">
        <v>814</v>
      </c>
    </row>
    <row r="83" spans="1:10" ht="21.75" customHeight="1">
      <c r="A83">
        <v>41.813000000000002</v>
      </c>
      <c r="B83" s="506" t="s">
        <v>4524</v>
      </c>
      <c r="C83" s="337" t="s">
        <v>1132</v>
      </c>
      <c r="D83" s="506" t="s">
        <v>4524</v>
      </c>
      <c r="E83" s="530" t="s">
        <v>4525</v>
      </c>
      <c r="F83" s="530"/>
      <c r="G83" s="531"/>
      <c r="H83" s="532"/>
      <c r="I83" s="532"/>
      <c r="J83" s="666" t="s">
        <v>814</v>
      </c>
    </row>
    <row r="84" spans="1:10" ht="21.75" customHeight="1">
      <c r="A84">
        <v>33.613</v>
      </c>
      <c r="B84" s="506" t="s">
        <v>4526</v>
      </c>
      <c r="C84" s="337" t="s">
        <v>1135</v>
      </c>
      <c r="D84" s="506" t="s">
        <v>4526</v>
      </c>
      <c r="E84" s="530" t="s">
        <v>4527</v>
      </c>
      <c r="F84" s="530"/>
      <c r="G84" s="531"/>
      <c r="H84" s="532"/>
      <c r="I84" s="532"/>
      <c r="J84" s="666" t="s">
        <v>814</v>
      </c>
    </row>
    <row r="85" spans="1:10" ht="21.75" customHeight="1">
      <c r="A85">
        <v>20.375</v>
      </c>
      <c r="B85" s="506" t="s">
        <v>4528</v>
      </c>
      <c r="C85" s="337" t="s">
        <v>1138</v>
      </c>
      <c r="D85" s="506" t="s">
        <v>4528</v>
      </c>
      <c r="E85" s="530" t="s">
        <v>4529</v>
      </c>
      <c r="F85" s="530"/>
      <c r="G85" s="531"/>
      <c r="H85" s="532"/>
      <c r="I85" s="532"/>
      <c r="J85" s="666" t="s">
        <v>814</v>
      </c>
    </row>
    <row r="86" spans="1:10" ht="21.75" customHeight="1">
      <c r="A86">
        <v>1.3640000000000001</v>
      </c>
      <c r="B86" s="506" t="s">
        <v>1142</v>
      </c>
      <c r="C86" s="337" t="s">
        <v>1141</v>
      </c>
      <c r="D86" s="506" t="s">
        <v>1142</v>
      </c>
      <c r="E86" s="530" t="s">
        <v>4530</v>
      </c>
      <c r="F86" s="530"/>
      <c r="G86" s="531"/>
      <c r="H86" s="532"/>
      <c r="I86" s="532"/>
      <c r="J86" s="666" t="s">
        <v>814</v>
      </c>
    </row>
    <row r="87" spans="1:10" ht="21.75" customHeight="1">
      <c r="A87">
        <v>0.44400000000000001</v>
      </c>
      <c r="B87" s="344" t="s">
        <v>4504</v>
      </c>
      <c r="C87" s="337"/>
      <c r="D87" s="344" t="s">
        <v>4504</v>
      </c>
      <c r="E87" s="530" t="s">
        <v>4531</v>
      </c>
      <c r="F87" s="530"/>
      <c r="G87" s="531"/>
      <c r="H87" s="532"/>
      <c r="I87" s="532"/>
      <c r="J87" s="666" t="s">
        <v>814</v>
      </c>
    </row>
    <row r="88" spans="1:10" ht="21.75" customHeight="1">
      <c r="A88">
        <v>2.9000000000000001E-2</v>
      </c>
      <c r="B88" s="344" t="s">
        <v>1107</v>
      </c>
      <c r="C88" s="337"/>
      <c r="D88" s="344" t="s">
        <v>1107</v>
      </c>
      <c r="E88" s="530" t="s">
        <v>4532</v>
      </c>
      <c r="F88" s="530"/>
      <c r="G88" s="531"/>
      <c r="H88" s="532"/>
      <c r="I88" s="532"/>
      <c r="J88" s="666" t="s">
        <v>814</v>
      </c>
    </row>
    <row r="89" spans="1:10" ht="21.75" customHeight="1">
      <c r="A89">
        <v>5.8999999999999997E-2</v>
      </c>
      <c r="B89" s="344" t="s">
        <v>1146</v>
      </c>
      <c r="C89" s="337"/>
      <c r="D89" s="344" t="s">
        <v>1146</v>
      </c>
      <c r="E89" s="530" t="s">
        <v>4533</v>
      </c>
      <c r="F89" s="530"/>
      <c r="G89" s="531"/>
      <c r="H89" s="532"/>
      <c r="I89" s="532"/>
      <c r="J89" s="666" t="s">
        <v>814</v>
      </c>
    </row>
    <row r="90" spans="1:10" ht="21.75" customHeight="1">
      <c r="A90">
        <v>3.806</v>
      </c>
      <c r="B90" s="506" t="s">
        <v>1149</v>
      </c>
      <c r="C90" s="337" t="s">
        <v>1148</v>
      </c>
      <c r="D90" s="506" t="s">
        <v>1149</v>
      </c>
      <c r="E90" s="530" t="s">
        <v>4534</v>
      </c>
      <c r="F90" s="530"/>
      <c r="G90" s="531"/>
      <c r="H90" s="532" t="s">
        <v>4535</v>
      </c>
      <c r="I90" s="532"/>
      <c r="J90" s="666" t="s">
        <v>814</v>
      </c>
    </row>
    <row r="91" spans="1:10" ht="21.75" customHeight="1">
      <c r="A91">
        <v>3.806</v>
      </c>
      <c r="B91" s="344" t="s">
        <v>1107</v>
      </c>
      <c r="C91" s="337"/>
      <c r="D91" s="344" t="s">
        <v>1107</v>
      </c>
      <c r="E91" s="530" t="s">
        <v>4535</v>
      </c>
      <c r="F91" s="530"/>
      <c r="G91" s="531"/>
      <c r="H91" s="532"/>
      <c r="I91" s="532"/>
      <c r="J91" s="666" t="s">
        <v>814</v>
      </c>
    </row>
    <row r="92" spans="1:10" ht="21.75" customHeight="1">
      <c r="A92">
        <v>0.65500000000000003</v>
      </c>
      <c r="B92" s="506" t="s">
        <v>1153</v>
      </c>
      <c r="C92" s="337" t="s">
        <v>1152</v>
      </c>
      <c r="D92" s="506" t="s">
        <v>1153</v>
      </c>
      <c r="E92" s="530" t="s">
        <v>4536</v>
      </c>
      <c r="F92" s="530"/>
      <c r="G92" s="531"/>
      <c r="H92" s="532"/>
      <c r="I92" s="532"/>
      <c r="J92" s="666" t="s">
        <v>814</v>
      </c>
    </row>
    <row r="93" spans="1:10" ht="21.75" customHeight="1">
      <c r="A93">
        <v>0</v>
      </c>
      <c r="B93" s="344" t="s">
        <v>1107</v>
      </c>
      <c r="C93" s="337"/>
      <c r="D93" s="344" t="s">
        <v>1107</v>
      </c>
      <c r="E93" s="530" t="s">
        <v>4537</v>
      </c>
      <c r="F93" s="530"/>
      <c r="G93" s="531"/>
      <c r="H93" s="532"/>
      <c r="I93" s="532"/>
      <c r="J93" s="666" t="s">
        <v>814</v>
      </c>
    </row>
    <row r="94" spans="1:10" ht="21.75" customHeight="1">
      <c r="A94">
        <v>6.016</v>
      </c>
      <c r="B94" s="506" t="s">
        <v>1157</v>
      </c>
      <c r="C94" s="337" t="s">
        <v>1156</v>
      </c>
      <c r="D94" s="506" t="s">
        <v>1157</v>
      </c>
      <c r="E94" s="530" t="s">
        <v>4538</v>
      </c>
      <c r="F94" s="530"/>
      <c r="G94" s="531"/>
      <c r="H94" s="532"/>
      <c r="I94" s="532"/>
      <c r="J94" s="666" t="s">
        <v>814</v>
      </c>
    </row>
    <row r="95" spans="1:10" ht="21.75" customHeight="1">
      <c r="A95">
        <v>0</v>
      </c>
      <c r="B95" s="344" t="s">
        <v>4504</v>
      </c>
      <c r="C95" s="337"/>
      <c r="D95" s="344" t="s">
        <v>4504</v>
      </c>
      <c r="E95" s="530" t="s">
        <v>4539</v>
      </c>
      <c r="F95" s="530"/>
      <c r="G95" s="531"/>
      <c r="H95" s="532"/>
      <c r="I95" s="532"/>
      <c r="J95" s="666" t="s">
        <v>814</v>
      </c>
    </row>
    <row r="96" spans="1:10" ht="21.75" customHeight="1">
      <c r="A96">
        <v>3.472</v>
      </c>
      <c r="B96" s="344" t="s">
        <v>1160</v>
      </c>
      <c r="C96" s="337"/>
      <c r="D96" s="344" t="s">
        <v>1160</v>
      </c>
      <c r="E96" s="530" t="s">
        <v>4540</v>
      </c>
      <c r="F96" s="530"/>
      <c r="G96" s="531"/>
      <c r="H96" s="532"/>
      <c r="I96" s="532"/>
      <c r="J96" s="666" t="s">
        <v>814</v>
      </c>
    </row>
    <row r="97" spans="1:10" ht="21.75" customHeight="1">
      <c r="A97">
        <v>2.5619999999999998</v>
      </c>
      <c r="B97" s="344" t="s">
        <v>1162</v>
      </c>
      <c r="C97" s="337"/>
      <c r="D97" s="344" t="s">
        <v>1162</v>
      </c>
      <c r="E97" s="530" t="s">
        <v>4541</v>
      </c>
      <c r="F97" s="530"/>
      <c r="G97" s="531"/>
      <c r="H97" s="532"/>
      <c r="I97" s="532"/>
      <c r="J97" s="666" t="s">
        <v>814</v>
      </c>
    </row>
    <row r="98" spans="1:10" ht="21.75" customHeight="1">
      <c r="A98">
        <v>6.4039999999999999</v>
      </c>
      <c r="B98" s="506" t="s">
        <v>1165</v>
      </c>
      <c r="C98" s="337" t="s">
        <v>1164</v>
      </c>
      <c r="D98" s="506" t="s">
        <v>1165</v>
      </c>
      <c r="E98" s="530" t="s">
        <v>4542</v>
      </c>
      <c r="F98" s="530"/>
      <c r="G98" s="531"/>
      <c r="H98" s="532"/>
      <c r="I98" s="532"/>
      <c r="J98" s="666" t="s">
        <v>814</v>
      </c>
    </row>
    <row r="99" spans="1:10" ht="21.75" customHeight="1">
      <c r="A99">
        <v>0</v>
      </c>
      <c r="B99" s="344" t="s">
        <v>4504</v>
      </c>
      <c r="C99" s="337"/>
      <c r="D99" s="344" t="s">
        <v>4504</v>
      </c>
      <c r="E99" s="530" t="s">
        <v>4543</v>
      </c>
      <c r="F99" s="530"/>
      <c r="G99" s="531"/>
      <c r="H99" s="532"/>
      <c r="I99" s="532"/>
      <c r="J99" s="666" t="s">
        <v>814</v>
      </c>
    </row>
    <row r="100" spans="1:10" ht="21.75" customHeight="1">
      <c r="A100">
        <v>6.4429999999999996</v>
      </c>
      <c r="B100" s="344" t="s">
        <v>1168</v>
      </c>
      <c r="C100" s="337"/>
      <c r="D100" s="344" t="s">
        <v>1168</v>
      </c>
      <c r="E100" s="530" t="s">
        <v>4544</v>
      </c>
      <c r="F100" s="530"/>
      <c r="G100" s="531"/>
      <c r="H100" s="532"/>
      <c r="I100" s="532"/>
      <c r="J100" s="666" t="s">
        <v>814</v>
      </c>
    </row>
    <row r="101" spans="1:10" ht="21.75" customHeight="1">
      <c r="A101">
        <v>4.3879999999999999</v>
      </c>
      <c r="B101" s="345" t="s">
        <v>4545</v>
      </c>
      <c r="C101" s="337" t="s">
        <v>1170</v>
      </c>
      <c r="D101" s="345" t="s">
        <v>4545</v>
      </c>
      <c r="E101" s="530" t="s">
        <v>4546</v>
      </c>
      <c r="F101" s="530"/>
      <c r="G101" s="531"/>
      <c r="H101" s="532"/>
      <c r="I101" s="532"/>
      <c r="J101" s="666" t="s">
        <v>814</v>
      </c>
    </row>
    <row r="102" spans="1:10" ht="21.75" customHeight="1">
      <c r="A102">
        <v>3.12</v>
      </c>
      <c r="B102" s="346" t="s">
        <v>4547</v>
      </c>
      <c r="C102" s="337"/>
      <c r="D102" s="346" t="s">
        <v>4547</v>
      </c>
      <c r="E102" s="530" t="s">
        <v>4548</v>
      </c>
      <c r="F102" s="530"/>
      <c r="G102" s="531"/>
      <c r="H102" s="532"/>
      <c r="I102" s="532"/>
      <c r="J102" s="666" t="s">
        <v>814</v>
      </c>
    </row>
    <row r="103" spans="1:10" ht="21.75" customHeight="1">
      <c r="A103">
        <v>4.8000000000000001E-2</v>
      </c>
      <c r="B103" s="506" t="s">
        <v>1176</v>
      </c>
      <c r="C103" s="337" t="s">
        <v>1175</v>
      </c>
      <c r="D103" s="506" t="s">
        <v>1176</v>
      </c>
      <c r="E103" s="530" t="s">
        <v>4549</v>
      </c>
      <c r="F103" s="530"/>
      <c r="G103" s="531"/>
      <c r="H103" s="532"/>
      <c r="I103" s="532"/>
      <c r="J103" s="666" t="s">
        <v>814</v>
      </c>
    </row>
    <row r="104" spans="1:10" ht="21.75" customHeight="1">
      <c r="A104">
        <v>0</v>
      </c>
      <c r="B104" s="344" t="s">
        <v>4504</v>
      </c>
      <c r="C104" s="337"/>
      <c r="D104" s="344" t="s">
        <v>4504</v>
      </c>
      <c r="E104" s="530" t="s">
        <v>4550</v>
      </c>
      <c r="F104" s="530"/>
      <c r="G104" s="531"/>
      <c r="H104" s="532"/>
      <c r="I104" s="532"/>
      <c r="J104" s="666" t="s">
        <v>814</v>
      </c>
    </row>
    <row r="105" spans="1:10" ht="21.75" customHeight="1">
      <c r="A105">
        <v>33.226999999999997</v>
      </c>
      <c r="B105" s="506" t="s">
        <v>1180</v>
      </c>
      <c r="C105" s="337" t="s">
        <v>1179</v>
      </c>
      <c r="D105" s="506" t="s">
        <v>1180</v>
      </c>
      <c r="E105" s="530" t="s">
        <v>4551</v>
      </c>
      <c r="F105" s="530"/>
      <c r="G105" s="531"/>
      <c r="H105" s="532"/>
      <c r="I105" s="532"/>
      <c r="J105" s="666" t="s">
        <v>814</v>
      </c>
    </row>
    <row r="106" spans="1:10" ht="21.75" customHeight="1">
      <c r="A106">
        <v>1.865</v>
      </c>
      <c r="B106" s="343" t="s">
        <v>1183</v>
      </c>
      <c r="C106" s="337" t="s">
        <v>2753</v>
      </c>
      <c r="D106" s="343" t="s">
        <v>1183</v>
      </c>
      <c r="E106" s="530" t="s">
        <v>4552</v>
      </c>
      <c r="F106" s="530"/>
      <c r="G106" s="531"/>
      <c r="H106" s="532"/>
      <c r="I106" s="532"/>
      <c r="J106" s="666" t="s">
        <v>814</v>
      </c>
    </row>
    <row r="107" spans="1:10" ht="21.75" customHeight="1">
      <c r="A107">
        <v>10.039</v>
      </c>
      <c r="B107" s="345" t="s">
        <v>4275</v>
      </c>
      <c r="C107" s="337" t="s">
        <v>2021</v>
      </c>
      <c r="D107" s="345" t="s">
        <v>4275</v>
      </c>
      <c r="E107" s="530" t="s">
        <v>4553</v>
      </c>
      <c r="F107" s="530"/>
      <c r="G107" s="531"/>
      <c r="H107" s="532" t="s">
        <v>4554</v>
      </c>
      <c r="I107" s="532"/>
      <c r="J107" s="666" t="s">
        <v>814</v>
      </c>
    </row>
    <row r="108" spans="1:10" ht="21.75" customHeight="1">
      <c r="B108" s="173" t="s">
        <v>2035</v>
      </c>
      <c r="C108" s="337"/>
      <c r="D108" s="173" t="s">
        <v>2035</v>
      </c>
      <c r="E108" s="530" t="s">
        <v>4555</v>
      </c>
      <c r="F108" s="530"/>
      <c r="G108" s="531"/>
      <c r="H108" s="532" t="s">
        <v>4556</v>
      </c>
      <c r="I108" s="532"/>
      <c r="J108" s="347" t="s">
        <v>814</v>
      </c>
    </row>
    <row r="109" spans="1:10" ht="21.75" customHeight="1">
      <c r="B109" s="331"/>
      <c r="C109" s="330" t="s">
        <v>1185</v>
      </c>
      <c r="D109" s="331"/>
      <c r="E109" s="530" t="s">
        <v>4557</v>
      </c>
      <c r="F109" s="530"/>
      <c r="G109" s="531"/>
      <c r="H109" s="532"/>
      <c r="I109" s="532"/>
      <c r="J109" s="348"/>
    </row>
    <row r="110" spans="1:10" ht="42.75" customHeight="1">
      <c r="A110">
        <v>128.619</v>
      </c>
      <c r="B110" s="333" t="s">
        <v>1015</v>
      </c>
      <c r="C110" s="334" t="s">
        <v>26</v>
      </c>
      <c r="D110" s="333" t="s">
        <v>1015</v>
      </c>
      <c r="E110" s="530" t="s">
        <v>4558</v>
      </c>
      <c r="F110" s="530"/>
      <c r="G110" s="531"/>
      <c r="H110" s="532" t="s">
        <v>4559</v>
      </c>
      <c r="I110" s="532"/>
      <c r="J110" s="335" t="s">
        <v>814</v>
      </c>
    </row>
    <row r="111" spans="1:10" ht="21.75" customHeight="1">
      <c r="A111">
        <v>73.988</v>
      </c>
      <c r="B111" s="336" t="s">
        <v>1187</v>
      </c>
      <c r="C111" s="337" t="s">
        <v>43</v>
      </c>
      <c r="D111" s="336" t="s">
        <v>1187</v>
      </c>
      <c r="E111" s="530" t="s">
        <v>4560</v>
      </c>
      <c r="F111" s="530"/>
      <c r="G111" s="531"/>
      <c r="H111" s="532" t="s">
        <v>4561</v>
      </c>
      <c r="I111" s="532"/>
      <c r="J111" s="666" t="s">
        <v>814</v>
      </c>
    </row>
    <row r="112" spans="1:10" ht="21.75" customHeight="1">
      <c r="A112">
        <v>73.988</v>
      </c>
      <c r="B112" s="339" t="s">
        <v>1189</v>
      </c>
      <c r="C112" s="337"/>
      <c r="D112" s="339" t="s">
        <v>1189</v>
      </c>
      <c r="E112" s="530" t="s">
        <v>4561</v>
      </c>
      <c r="F112" s="530"/>
      <c r="G112" s="531"/>
      <c r="H112" s="532" t="s">
        <v>4494</v>
      </c>
      <c r="I112" s="532"/>
      <c r="J112" s="666" t="s">
        <v>814</v>
      </c>
    </row>
    <row r="113" spans="1:10" ht="21.75" customHeight="1">
      <c r="A113">
        <v>29.12</v>
      </c>
      <c r="B113" s="336" t="s">
        <v>1103</v>
      </c>
      <c r="C113" s="337" t="s">
        <v>53</v>
      </c>
      <c r="D113" s="336" t="s">
        <v>1103</v>
      </c>
      <c r="E113" s="530" t="s">
        <v>4562</v>
      </c>
      <c r="F113" s="530"/>
      <c r="G113" s="531"/>
      <c r="H113" s="532" t="s">
        <v>4563</v>
      </c>
      <c r="I113" s="532"/>
      <c r="J113" s="666" t="s">
        <v>814</v>
      </c>
    </row>
    <row r="114" spans="1:10" ht="21.75" customHeight="1">
      <c r="B114" s="338" t="s">
        <v>4412</v>
      </c>
      <c r="C114" s="337"/>
      <c r="D114" s="338" t="s">
        <v>4412</v>
      </c>
      <c r="E114" s="530" t="s">
        <v>4564</v>
      </c>
      <c r="F114" s="530"/>
      <c r="G114" s="531"/>
      <c r="H114" s="532" t="s">
        <v>4565</v>
      </c>
      <c r="I114" s="532"/>
      <c r="J114" s="666" t="s">
        <v>814</v>
      </c>
    </row>
    <row r="115" spans="1:10" ht="21.75" customHeight="1">
      <c r="A115">
        <v>0</v>
      </c>
      <c r="B115" s="339" t="s">
        <v>32</v>
      </c>
      <c r="C115" s="337"/>
      <c r="D115" s="339" t="s">
        <v>32</v>
      </c>
      <c r="E115" s="530" t="s">
        <v>4566</v>
      </c>
      <c r="F115" s="530"/>
      <c r="G115" s="531"/>
      <c r="H115" s="532"/>
      <c r="I115" s="532"/>
      <c r="J115" s="666" t="s">
        <v>814</v>
      </c>
    </row>
    <row r="116" spans="1:10" ht="21.75" customHeight="1">
      <c r="A116">
        <v>0</v>
      </c>
      <c r="B116" s="339" t="s">
        <v>1194</v>
      </c>
      <c r="C116" s="337"/>
      <c r="D116" s="339" t="s">
        <v>1194</v>
      </c>
      <c r="E116" s="530" t="s">
        <v>4567</v>
      </c>
      <c r="F116" s="530"/>
      <c r="G116" s="531"/>
      <c r="H116" s="532"/>
      <c r="I116" s="532"/>
      <c r="J116" s="666" t="s">
        <v>814</v>
      </c>
    </row>
    <row r="117" spans="1:10" ht="21.75" customHeight="1">
      <c r="A117">
        <v>29.12</v>
      </c>
      <c r="B117" s="339" t="s">
        <v>1189</v>
      </c>
      <c r="C117" s="337"/>
      <c r="D117" s="339" t="s">
        <v>1189</v>
      </c>
      <c r="E117" s="530" t="s">
        <v>4568</v>
      </c>
      <c r="F117" s="530"/>
      <c r="G117" s="531"/>
      <c r="H117" s="532" t="s">
        <v>4569</v>
      </c>
      <c r="I117" s="532"/>
      <c r="J117" s="666" t="s">
        <v>814</v>
      </c>
    </row>
    <row r="118" spans="1:10" ht="21.75" customHeight="1">
      <c r="A118">
        <v>8.6259999999999994</v>
      </c>
      <c r="B118" s="343" t="s">
        <v>1197</v>
      </c>
      <c r="C118" s="337" t="s">
        <v>836</v>
      </c>
      <c r="D118" s="343" t="s">
        <v>1197</v>
      </c>
      <c r="E118" s="530" t="s">
        <v>4570</v>
      </c>
      <c r="F118" s="530"/>
      <c r="G118" s="531"/>
      <c r="H118" s="532" t="s">
        <v>4571</v>
      </c>
      <c r="I118" s="532"/>
      <c r="J118" s="666" t="s">
        <v>814</v>
      </c>
    </row>
    <row r="119" spans="1:10" ht="21.75" customHeight="1">
      <c r="A119">
        <v>8.6259999999999994</v>
      </c>
      <c r="B119" s="339" t="s">
        <v>484</v>
      </c>
      <c r="C119" s="337"/>
      <c r="D119" s="339" t="s">
        <v>484</v>
      </c>
      <c r="E119" s="530" t="s">
        <v>4571</v>
      </c>
      <c r="F119" s="530"/>
      <c r="G119" s="531"/>
      <c r="H119" s="532"/>
      <c r="I119" s="532"/>
      <c r="J119" s="666" t="s">
        <v>814</v>
      </c>
    </row>
    <row r="120" spans="1:10" ht="21.75" customHeight="1">
      <c r="B120" s="336" t="s">
        <v>1200</v>
      </c>
      <c r="C120" s="337" t="s">
        <v>842</v>
      </c>
      <c r="D120" s="336" t="s">
        <v>1200</v>
      </c>
      <c r="E120" s="530" t="s">
        <v>4572</v>
      </c>
      <c r="F120" s="530"/>
      <c r="G120" s="531"/>
      <c r="H120" s="532" t="s">
        <v>4573</v>
      </c>
      <c r="I120" s="532"/>
      <c r="J120" s="666" t="s">
        <v>814</v>
      </c>
    </row>
    <row r="121" spans="1:10" ht="21.75" customHeight="1">
      <c r="A121">
        <v>0</v>
      </c>
      <c r="B121" s="349" t="s">
        <v>4412</v>
      </c>
      <c r="C121" s="337"/>
      <c r="D121" s="349" t="s">
        <v>4412</v>
      </c>
      <c r="E121" s="530" t="s">
        <v>4573</v>
      </c>
      <c r="F121" s="530"/>
      <c r="G121" s="531"/>
      <c r="H121" s="532" t="s">
        <v>4574</v>
      </c>
      <c r="I121" s="532"/>
      <c r="J121" s="666" t="s">
        <v>814</v>
      </c>
    </row>
    <row r="122" spans="1:10" ht="21.75" customHeight="1">
      <c r="A122">
        <v>0</v>
      </c>
      <c r="B122" s="339" t="s">
        <v>89</v>
      </c>
      <c r="C122" s="337"/>
      <c r="D122" s="339" t="s">
        <v>89</v>
      </c>
      <c r="E122" s="530" t="s">
        <v>4574</v>
      </c>
      <c r="F122" s="530"/>
      <c r="G122" s="531"/>
      <c r="H122" s="532"/>
      <c r="I122" s="532"/>
      <c r="J122" s="666" t="s">
        <v>814</v>
      </c>
    </row>
    <row r="123" spans="1:10" ht="42.75" customHeight="1">
      <c r="A123">
        <v>3.835</v>
      </c>
      <c r="B123" s="350" t="s">
        <v>1205</v>
      </c>
      <c r="C123" s="337" t="s">
        <v>1204</v>
      </c>
      <c r="D123" s="350" t="s">
        <v>1205</v>
      </c>
      <c r="E123" s="530" t="s">
        <v>4575</v>
      </c>
      <c r="F123" s="530"/>
      <c r="G123" s="531"/>
      <c r="H123" s="532" t="s">
        <v>4576</v>
      </c>
      <c r="I123" s="532"/>
      <c r="J123" s="666" t="s">
        <v>814</v>
      </c>
    </row>
    <row r="124" spans="1:10" ht="21.75" customHeight="1">
      <c r="A124">
        <v>11.785</v>
      </c>
      <c r="B124" s="336" t="s">
        <v>1208</v>
      </c>
      <c r="C124" s="337" t="s">
        <v>1207</v>
      </c>
      <c r="D124" s="336" t="s">
        <v>1208</v>
      </c>
      <c r="E124" s="530" t="s">
        <v>4577</v>
      </c>
      <c r="F124" s="530"/>
      <c r="G124" s="531"/>
      <c r="H124" s="532" t="s">
        <v>4578</v>
      </c>
      <c r="I124" s="532"/>
      <c r="J124" s="666" t="s">
        <v>814</v>
      </c>
    </row>
    <row r="125" spans="1:10" ht="21.75" customHeight="1">
      <c r="A125">
        <v>0</v>
      </c>
      <c r="B125" s="339" t="s">
        <v>1210</v>
      </c>
      <c r="C125" s="337"/>
      <c r="D125" s="339" t="s">
        <v>1210</v>
      </c>
      <c r="E125" s="530" t="s">
        <v>4579</v>
      </c>
      <c r="F125" s="530"/>
      <c r="G125" s="531"/>
      <c r="H125" s="532"/>
      <c r="I125" s="532"/>
      <c r="J125" s="666" t="s">
        <v>814</v>
      </c>
    </row>
    <row r="126" spans="1:10" ht="21.75" customHeight="1">
      <c r="A126">
        <v>8.3130000000000006</v>
      </c>
      <c r="B126" s="338" t="s">
        <v>4580</v>
      </c>
      <c r="C126" s="337"/>
      <c r="D126" s="338" t="s">
        <v>4580</v>
      </c>
      <c r="E126" s="530" t="s">
        <v>4581</v>
      </c>
      <c r="F126" s="530"/>
      <c r="G126" s="531"/>
      <c r="H126" s="532"/>
      <c r="I126" s="532"/>
      <c r="J126" s="666" t="s">
        <v>814</v>
      </c>
    </row>
    <row r="127" spans="1:10" ht="21.75" customHeight="1">
      <c r="A127">
        <v>3.472</v>
      </c>
      <c r="B127" s="325" t="s">
        <v>4582</v>
      </c>
      <c r="C127" s="337"/>
      <c r="D127" s="325" t="s">
        <v>4582</v>
      </c>
      <c r="E127" s="530" t="s">
        <v>4583</v>
      </c>
      <c r="F127" s="530"/>
      <c r="G127" s="531"/>
      <c r="H127" s="532" t="s">
        <v>4540</v>
      </c>
      <c r="I127" s="532"/>
      <c r="J127" s="666" t="s">
        <v>814</v>
      </c>
    </row>
    <row r="128" spans="1:10" ht="21.75" customHeight="1">
      <c r="A128">
        <v>1.2649999999999999</v>
      </c>
      <c r="B128" s="343" t="s">
        <v>1217</v>
      </c>
      <c r="C128" s="337" t="s">
        <v>1216</v>
      </c>
      <c r="D128" s="343" t="s">
        <v>1217</v>
      </c>
      <c r="E128" s="530" t="s">
        <v>4584</v>
      </c>
      <c r="F128" s="530"/>
      <c r="G128" s="531"/>
      <c r="H128" s="532"/>
      <c r="I128" s="532"/>
      <c r="J128" s="666" t="s">
        <v>814</v>
      </c>
    </row>
    <row r="129" spans="1:10" ht="42.75" customHeight="1">
      <c r="A129">
        <v>113.607</v>
      </c>
      <c r="B129" s="333" t="s">
        <v>1050</v>
      </c>
      <c r="C129" s="334" t="s">
        <v>364</v>
      </c>
      <c r="D129" s="333" t="s">
        <v>1050</v>
      </c>
      <c r="E129" s="530" t="s">
        <v>4585</v>
      </c>
      <c r="F129" s="530"/>
      <c r="G129" s="531"/>
      <c r="H129" s="532" t="s">
        <v>4586</v>
      </c>
      <c r="I129" s="532"/>
      <c r="J129" s="335"/>
    </row>
    <row r="130" spans="1:10" ht="21.75" customHeight="1">
      <c r="A130">
        <v>74.328000000000003</v>
      </c>
      <c r="B130" s="336" t="s">
        <v>1187</v>
      </c>
      <c r="C130" s="337" t="s">
        <v>82</v>
      </c>
      <c r="D130" s="336" t="s">
        <v>1187</v>
      </c>
      <c r="E130" s="530" t="s">
        <v>4587</v>
      </c>
      <c r="F130" s="530"/>
      <c r="G130" s="531"/>
      <c r="H130" s="532"/>
      <c r="I130" s="532"/>
      <c r="J130" s="666" t="s">
        <v>814</v>
      </c>
    </row>
    <row r="131" spans="1:10" ht="21.75" customHeight="1">
      <c r="A131">
        <v>74.328000000000003</v>
      </c>
      <c r="B131" s="339" t="s">
        <v>1189</v>
      </c>
      <c r="C131" s="337"/>
      <c r="D131" s="339" t="s">
        <v>1189</v>
      </c>
      <c r="E131" s="530" t="s">
        <v>4588</v>
      </c>
      <c r="F131" s="530"/>
      <c r="G131" s="531"/>
      <c r="H131" s="532"/>
      <c r="I131" s="532"/>
      <c r="J131" s="666" t="s">
        <v>814</v>
      </c>
    </row>
    <row r="132" spans="1:10" ht="21.75" customHeight="1">
      <c r="A132">
        <v>17.251999999999999</v>
      </c>
      <c r="B132" s="336" t="s">
        <v>1103</v>
      </c>
      <c r="C132" s="337" t="s">
        <v>84</v>
      </c>
      <c r="D132" s="336" t="s">
        <v>1103</v>
      </c>
      <c r="E132" s="530" t="s">
        <v>4589</v>
      </c>
      <c r="F132" s="530"/>
      <c r="G132" s="531"/>
      <c r="H132" s="532" t="s">
        <v>4590</v>
      </c>
      <c r="I132" s="532"/>
      <c r="J132" s="666" t="s">
        <v>814</v>
      </c>
    </row>
    <row r="133" spans="1:10" ht="21.75" customHeight="1">
      <c r="B133" s="338" t="s">
        <v>4412</v>
      </c>
      <c r="C133" s="337"/>
      <c r="D133" s="338" t="s">
        <v>4412</v>
      </c>
      <c r="E133" s="530" t="s">
        <v>4591</v>
      </c>
      <c r="F133" s="530"/>
      <c r="G133" s="531"/>
      <c r="H133" s="532" t="s">
        <v>4592</v>
      </c>
      <c r="I133" s="532"/>
      <c r="J133" s="666" t="s">
        <v>814</v>
      </c>
    </row>
    <row r="134" spans="1:10" ht="21.75" customHeight="1">
      <c r="A134">
        <v>0</v>
      </c>
      <c r="B134" s="339" t="s">
        <v>32</v>
      </c>
      <c r="C134" s="337"/>
      <c r="D134" s="339" t="s">
        <v>32</v>
      </c>
      <c r="E134" s="530" t="s">
        <v>4593</v>
      </c>
      <c r="F134" s="530"/>
      <c r="G134" s="531"/>
      <c r="H134" s="532"/>
      <c r="I134" s="532"/>
      <c r="J134" s="666" t="s">
        <v>814</v>
      </c>
    </row>
    <row r="135" spans="1:10" ht="21.75" customHeight="1">
      <c r="A135">
        <v>0</v>
      </c>
      <c r="B135" s="339" t="s">
        <v>1194</v>
      </c>
      <c r="C135" s="337"/>
      <c r="D135" s="339" t="s">
        <v>1194</v>
      </c>
      <c r="E135" s="530" t="s">
        <v>4594</v>
      </c>
      <c r="F135" s="530"/>
      <c r="G135" s="531"/>
      <c r="H135" s="532"/>
      <c r="I135" s="532"/>
      <c r="J135" s="666" t="s">
        <v>814</v>
      </c>
    </row>
    <row r="136" spans="1:10" ht="21.75" customHeight="1">
      <c r="A136">
        <v>17.251999999999999</v>
      </c>
      <c r="B136" s="325" t="s">
        <v>1227</v>
      </c>
      <c r="C136" s="337"/>
      <c r="D136" s="325" t="s">
        <v>1227</v>
      </c>
      <c r="E136" s="530" t="s">
        <v>4595</v>
      </c>
      <c r="F136" s="530"/>
      <c r="G136" s="531"/>
      <c r="H136" s="532"/>
      <c r="I136" s="532"/>
      <c r="J136" s="666" t="s">
        <v>814</v>
      </c>
    </row>
    <row r="137" spans="1:10" ht="21.75" customHeight="1">
      <c r="A137">
        <v>8.6259999999999994</v>
      </c>
      <c r="B137" s="343" t="s">
        <v>1197</v>
      </c>
      <c r="C137" s="337" t="s">
        <v>869</v>
      </c>
      <c r="D137" s="343" t="s">
        <v>1197</v>
      </c>
      <c r="E137" s="530" t="s">
        <v>4596</v>
      </c>
      <c r="F137" s="530"/>
      <c r="G137" s="531"/>
      <c r="H137" s="532" t="s">
        <v>4597</v>
      </c>
      <c r="I137" s="532"/>
      <c r="J137" s="666" t="s">
        <v>814</v>
      </c>
    </row>
    <row r="138" spans="1:10" ht="21.75" customHeight="1">
      <c r="A138">
        <v>8.6259999999999994</v>
      </c>
      <c r="B138" s="339" t="s">
        <v>484</v>
      </c>
      <c r="C138" s="337"/>
      <c r="D138" s="339" t="s">
        <v>484</v>
      </c>
      <c r="E138" s="530" t="s">
        <v>4597</v>
      </c>
      <c r="F138" s="530"/>
      <c r="G138" s="531"/>
      <c r="H138" s="532"/>
      <c r="I138" s="532"/>
      <c r="J138" s="666" t="s">
        <v>814</v>
      </c>
    </row>
    <row r="139" spans="1:10" ht="21.75" customHeight="1">
      <c r="B139" s="336" t="s">
        <v>1200</v>
      </c>
      <c r="C139" s="337" t="s">
        <v>884</v>
      </c>
      <c r="D139" s="336" t="s">
        <v>1200</v>
      </c>
      <c r="E139" s="530" t="s">
        <v>4598</v>
      </c>
      <c r="F139" s="530"/>
      <c r="G139" s="531"/>
      <c r="H139" s="532" t="s">
        <v>4599</v>
      </c>
      <c r="I139" s="532"/>
      <c r="J139" s="666" t="s">
        <v>814</v>
      </c>
    </row>
    <row r="140" spans="1:10" ht="21.75" customHeight="1">
      <c r="B140" s="338" t="s">
        <v>4412</v>
      </c>
      <c r="C140" s="337"/>
      <c r="D140" s="338" t="s">
        <v>4412</v>
      </c>
      <c r="E140" s="530" t="s">
        <v>4599</v>
      </c>
      <c r="F140" s="530"/>
      <c r="G140" s="531"/>
      <c r="H140" s="532" t="s">
        <v>4600</v>
      </c>
      <c r="I140" s="532"/>
      <c r="J140" s="666" t="s">
        <v>814</v>
      </c>
    </row>
    <row r="141" spans="1:10" ht="21.75" customHeight="1">
      <c r="A141">
        <v>0</v>
      </c>
      <c r="B141" s="339" t="s">
        <v>89</v>
      </c>
      <c r="C141" s="337"/>
      <c r="D141" s="339" t="s">
        <v>89</v>
      </c>
      <c r="E141" s="530" t="s">
        <v>4600</v>
      </c>
      <c r="F141" s="530"/>
      <c r="G141" s="531"/>
      <c r="H141" s="532"/>
      <c r="I141" s="532"/>
      <c r="J141" s="666" t="s">
        <v>814</v>
      </c>
    </row>
    <row r="142" spans="1:10" ht="42.75" customHeight="1">
      <c r="A142">
        <v>3.835</v>
      </c>
      <c r="B142" s="350" t="s">
        <v>1234</v>
      </c>
      <c r="C142" s="337" t="s">
        <v>896</v>
      </c>
      <c r="D142" s="350" t="s">
        <v>1234</v>
      </c>
      <c r="E142" s="530" t="s">
        <v>4601</v>
      </c>
      <c r="F142" s="530"/>
      <c r="G142" s="531"/>
      <c r="H142" s="532"/>
      <c r="I142" s="532"/>
      <c r="J142" s="666" t="s">
        <v>814</v>
      </c>
    </row>
    <row r="143" spans="1:10" ht="21.75" customHeight="1">
      <c r="A143">
        <v>8.5259999999999998</v>
      </c>
      <c r="B143" s="336" t="s">
        <v>1208</v>
      </c>
      <c r="C143" s="337" t="s">
        <v>899</v>
      </c>
      <c r="D143" s="336" t="s">
        <v>1208</v>
      </c>
      <c r="E143" s="530" t="s">
        <v>4602</v>
      </c>
      <c r="F143" s="530"/>
      <c r="G143" s="531"/>
      <c r="H143" s="532" t="s">
        <v>4603</v>
      </c>
      <c r="I143" s="532"/>
      <c r="J143" s="666" t="s">
        <v>814</v>
      </c>
    </row>
    <row r="144" spans="1:10" ht="21.75" customHeight="1">
      <c r="A144">
        <v>0</v>
      </c>
      <c r="B144" s="339" t="s">
        <v>1210</v>
      </c>
      <c r="C144" s="337"/>
      <c r="D144" s="339" t="s">
        <v>1210</v>
      </c>
      <c r="E144" s="530" t="s">
        <v>4604</v>
      </c>
      <c r="F144" s="530"/>
      <c r="G144" s="531"/>
      <c r="H144" s="532"/>
      <c r="I144" s="532"/>
      <c r="J144" s="666" t="s">
        <v>814</v>
      </c>
    </row>
    <row r="145" spans="1:10" ht="21.75" customHeight="1">
      <c r="A145">
        <v>5.0540000000000003</v>
      </c>
      <c r="B145" s="338" t="s">
        <v>4580</v>
      </c>
      <c r="C145" s="337"/>
      <c r="D145" s="338" t="s">
        <v>4580</v>
      </c>
      <c r="E145" s="530" t="s">
        <v>4605</v>
      </c>
      <c r="F145" s="530"/>
      <c r="G145" s="531"/>
      <c r="H145" s="532"/>
      <c r="I145" s="532"/>
      <c r="J145" s="666" t="s">
        <v>814</v>
      </c>
    </row>
    <row r="146" spans="1:10" ht="21.75" customHeight="1">
      <c r="A146">
        <v>3.472</v>
      </c>
      <c r="B146" s="325" t="s">
        <v>4582</v>
      </c>
      <c r="C146" s="337"/>
      <c r="D146" s="325" t="s">
        <v>4582</v>
      </c>
      <c r="E146" s="530" t="s">
        <v>4606</v>
      </c>
      <c r="F146" s="530"/>
      <c r="G146" s="531"/>
      <c r="H146" s="532"/>
      <c r="I146" s="532"/>
      <c r="J146" s="666" t="s">
        <v>814</v>
      </c>
    </row>
    <row r="147" spans="1:10" ht="21.75" customHeight="1">
      <c r="A147">
        <v>1.04</v>
      </c>
      <c r="B147" s="343" t="s">
        <v>1217</v>
      </c>
      <c r="C147" s="337" t="s">
        <v>906</v>
      </c>
      <c r="D147" s="343" t="s">
        <v>1217</v>
      </c>
      <c r="E147" s="530" t="s">
        <v>4607</v>
      </c>
      <c r="F147" s="530"/>
      <c r="G147" s="531"/>
      <c r="H147" s="532"/>
      <c r="I147" s="532"/>
      <c r="J147" s="666" t="s">
        <v>814</v>
      </c>
    </row>
    <row r="148" spans="1:10" ht="21.75" customHeight="1">
      <c r="A148">
        <v>6.16</v>
      </c>
      <c r="B148" s="343" t="s">
        <v>1241</v>
      </c>
      <c r="C148" s="337" t="s">
        <v>926</v>
      </c>
      <c r="D148" s="343" t="s">
        <v>1241</v>
      </c>
      <c r="E148" s="530" t="s">
        <v>4608</v>
      </c>
      <c r="F148" s="530"/>
      <c r="G148" s="531"/>
      <c r="H148" s="532"/>
      <c r="I148" s="532"/>
      <c r="J148" s="666" t="s">
        <v>1243</v>
      </c>
    </row>
    <row r="149" spans="1:10" ht="21.75" customHeight="1">
      <c r="A149">
        <v>0</v>
      </c>
      <c r="B149" s="343" t="s">
        <v>4488</v>
      </c>
      <c r="C149" s="337" t="s">
        <v>989</v>
      </c>
      <c r="D149" s="343" t="s">
        <v>4488</v>
      </c>
      <c r="E149" s="530" t="s">
        <v>4609</v>
      </c>
      <c r="F149" s="530"/>
      <c r="G149" s="531"/>
      <c r="H149" s="532"/>
      <c r="I149" s="532"/>
      <c r="J149" s="666" t="s">
        <v>814</v>
      </c>
    </row>
    <row r="150" spans="1:10" ht="42.75" customHeight="1">
      <c r="B150" s="506" t="s">
        <v>4490</v>
      </c>
      <c r="C150" s="337" t="s">
        <v>86</v>
      </c>
      <c r="D150" s="506" t="s">
        <v>4490</v>
      </c>
      <c r="E150" s="530" t="s">
        <v>4610</v>
      </c>
      <c r="F150" s="530"/>
      <c r="G150" s="531"/>
      <c r="H150" s="532"/>
      <c r="I150" s="532"/>
      <c r="J150" s="666" t="s">
        <v>814</v>
      </c>
    </row>
    <row r="151" spans="1:10" ht="21.75" customHeight="1">
      <c r="A151">
        <v>32.040999999999997</v>
      </c>
      <c r="B151" s="336" t="s">
        <v>4611</v>
      </c>
      <c r="C151" s="337" t="s">
        <v>90</v>
      </c>
      <c r="D151" s="336" t="s">
        <v>4611</v>
      </c>
      <c r="E151" s="530" t="s">
        <v>4612</v>
      </c>
      <c r="F151" s="530"/>
      <c r="G151" s="531"/>
      <c r="H151" s="532"/>
      <c r="I151" s="532"/>
      <c r="J151" s="666" t="s">
        <v>814</v>
      </c>
    </row>
    <row r="152" spans="1:10" ht="21.75" customHeight="1">
      <c r="A152">
        <v>10</v>
      </c>
      <c r="B152" s="344" t="s">
        <v>4504</v>
      </c>
      <c r="C152" s="337"/>
      <c r="D152" s="344" t="s">
        <v>4504</v>
      </c>
      <c r="E152" s="530" t="s">
        <v>4613</v>
      </c>
      <c r="F152" s="530"/>
      <c r="G152" s="531"/>
      <c r="H152" s="532"/>
      <c r="I152" s="532"/>
      <c r="J152" s="666" t="s">
        <v>814</v>
      </c>
    </row>
    <row r="153" spans="1:10" ht="21.75" customHeight="1">
      <c r="A153">
        <v>13.565</v>
      </c>
      <c r="B153" s="336" t="s">
        <v>4614</v>
      </c>
      <c r="C153" s="337" t="s">
        <v>91</v>
      </c>
      <c r="D153" s="336" t="s">
        <v>4614</v>
      </c>
      <c r="E153" s="530" t="s">
        <v>4615</v>
      </c>
      <c r="F153" s="530"/>
      <c r="G153" s="531"/>
      <c r="H153" s="532"/>
      <c r="I153" s="532"/>
      <c r="J153" s="666" t="s">
        <v>814</v>
      </c>
    </row>
    <row r="154" spans="1:10" ht="21.75" customHeight="1">
      <c r="A154">
        <v>0</v>
      </c>
      <c r="B154" s="344" t="s">
        <v>4504</v>
      </c>
      <c r="C154" s="337"/>
      <c r="D154" s="344" t="s">
        <v>4504</v>
      </c>
      <c r="E154" s="530" t="s">
        <v>4616</v>
      </c>
      <c r="F154" s="530"/>
      <c r="G154" s="531"/>
      <c r="H154" s="532"/>
      <c r="I154" s="532"/>
      <c r="J154" s="666" t="s">
        <v>814</v>
      </c>
    </row>
    <row r="155" spans="1:10" ht="21.75" customHeight="1">
      <c r="A155">
        <v>5.1849999999999996</v>
      </c>
      <c r="B155" s="344" t="s">
        <v>1146</v>
      </c>
      <c r="C155" s="337"/>
      <c r="D155" s="344" t="s">
        <v>1146</v>
      </c>
      <c r="E155" s="530" t="s">
        <v>4617</v>
      </c>
      <c r="F155" s="530"/>
      <c r="G155" s="531"/>
      <c r="H155" s="532"/>
      <c r="I155" s="532"/>
      <c r="J155" s="666" t="s">
        <v>814</v>
      </c>
    </row>
    <row r="156" spans="1:10" ht="21.75" customHeight="1">
      <c r="A156">
        <v>8.3239999999999998</v>
      </c>
      <c r="B156" s="336" t="s">
        <v>4618</v>
      </c>
      <c r="C156" s="337" t="s">
        <v>1092</v>
      </c>
      <c r="D156" s="336" t="s">
        <v>4618</v>
      </c>
      <c r="E156" s="530" t="s">
        <v>4619</v>
      </c>
      <c r="F156" s="530"/>
      <c r="G156" s="531"/>
      <c r="H156" s="532"/>
      <c r="I156" s="532"/>
      <c r="J156" s="666" t="s">
        <v>814</v>
      </c>
    </row>
    <row r="157" spans="1:10" ht="21.75" customHeight="1">
      <c r="A157">
        <v>8.2940000000000005</v>
      </c>
      <c r="B157" s="344" t="s">
        <v>4504</v>
      </c>
      <c r="C157" s="337"/>
      <c r="D157" s="344" t="s">
        <v>4504</v>
      </c>
      <c r="E157" s="530" t="s">
        <v>4620</v>
      </c>
      <c r="F157" s="530"/>
      <c r="G157" s="531"/>
      <c r="H157" s="532"/>
      <c r="I157" s="532"/>
      <c r="J157" s="666" t="s">
        <v>814</v>
      </c>
    </row>
    <row r="158" spans="1:10" ht="21.75" customHeight="1">
      <c r="A158">
        <v>5.7450000000000001</v>
      </c>
      <c r="B158" s="336" t="s">
        <v>4621</v>
      </c>
      <c r="C158" s="337" t="s">
        <v>1099</v>
      </c>
      <c r="D158" s="336" t="s">
        <v>4621</v>
      </c>
      <c r="E158" s="530" t="s">
        <v>4622</v>
      </c>
      <c r="F158" s="530"/>
      <c r="G158" s="531"/>
      <c r="H158" s="532"/>
      <c r="I158" s="532"/>
      <c r="J158" s="666" t="s">
        <v>814</v>
      </c>
    </row>
    <row r="159" spans="1:10" ht="21.75" customHeight="1">
      <c r="A159">
        <v>5.8029999999999999</v>
      </c>
      <c r="B159" s="344" t="s">
        <v>4504</v>
      </c>
      <c r="C159" s="337"/>
      <c r="D159" s="344" t="s">
        <v>4504</v>
      </c>
      <c r="E159" s="530" t="s">
        <v>4623</v>
      </c>
      <c r="F159" s="530"/>
      <c r="G159" s="531"/>
      <c r="H159" s="532"/>
      <c r="I159" s="532"/>
      <c r="J159" s="666" t="s">
        <v>814</v>
      </c>
    </row>
    <row r="160" spans="1:10" ht="21.75" customHeight="1">
      <c r="A160">
        <v>21.713999999999999</v>
      </c>
      <c r="B160" s="336" t="s">
        <v>4624</v>
      </c>
      <c r="C160" s="337" t="s">
        <v>1102</v>
      </c>
      <c r="D160" s="336" t="s">
        <v>4624</v>
      </c>
      <c r="E160" s="530" t="s">
        <v>4625</v>
      </c>
      <c r="F160" s="530"/>
      <c r="G160" s="531"/>
      <c r="H160" s="532"/>
      <c r="I160" s="532"/>
      <c r="J160" s="666" t="s">
        <v>814</v>
      </c>
    </row>
    <row r="161" spans="1:10" ht="21.75" customHeight="1">
      <c r="A161">
        <v>0</v>
      </c>
      <c r="B161" s="344" t="s">
        <v>4504</v>
      </c>
      <c r="C161" s="337"/>
      <c r="D161" s="344" t="s">
        <v>4504</v>
      </c>
      <c r="E161" s="530" t="s">
        <v>4626</v>
      </c>
      <c r="F161" s="530"/>
      <c r="G161" s="531"/>
      <c r="H161" s="532"/>
      <c r="I161" s="532"/>
      <c r="J161" s="666" t="s">
        <v>814</v>
      </c>
    </row>
    <row r="162" spans="1:10" ht="21.75" customHeight="1">
      <c r="A162">
        <v>13.826000000000001</v>
      </c>
      <c r="B162" s="336" t="s">
        <v>4627</v>
      </c>
      <c r="C162" s="337" t="s">
        <v>1109</v>
      </c>
      <c r="D162" s="336" t="s">
        <v>4627</v>
      </c>
      <c r="E162" s="530" t="s">
        <v>4628</v>
      </c>
      <c r="F162" s="530"/>
      <c r="G162" s="531"/>
      <c r="H162" s="532"/>
      <c r="I162" s="532"/>
      <c r="J162" s="666" t="s">
        <v>814</v>
      </c>
    </row>
    <row r="163" spans="1:10" ht="21.75" customHeight="1">
      <c r="A163">
        <v>2.7229999999999999</v>
      </c>
      <c r="B163" s="344" t="s">
        <v>4504</v>
      </c>
      <c r="C163" s="337"/>
      <c r="D163" s="344" t="s">
        <v>4504</v>
      </c>
      <c r="E163" s="530" t="s">
        <v>4629</v>
      </c>
      <c r="F163" s="530"/>
      <c r="G163" s="531"/>
      <c r="H163" s="532"/>
      <c r="I163" s="532"/>
      <c r="J163" s="666" t="s">
        <v>814</v>
      </c>
    </row>
    <row r="164" spans="1:10" ht="21.75" customHeight="1">
      <c r="A164">
        <v>3.4489999999999998</v>
      </c>
      <c r="B164" s="343" t="s">
        <v>4630</v>
      </c>
      <c r="C164" s="337" t="s">
        <v>1112</v>
      </c>
      <c r="D164" s="343" t="s">
        <v>4630</v>
      </c>
      <c r="E164" s="530" t="s">
        <v>4631</v>
      </c>
      <c r="F164" s="530"/>
      <c r="G164" s="531"/>
      <c r="H164" s="532"/>
      <c r="I164" s="532"/>
      <c r="J164" s="666" t="s">
        <v>814</v>
      </c>
    </row>
    <row r="165" spans="1:10" ht="21.75" customHeight="1">
      <c r="A165">
        <v>3.4140000000000001</v>
      </c>
      <c r="B165" s="344" t="s">
        <v>4504</v>
      </c>
      <c r="C165" s="337"/>
      <c r="D165" s="344" t="s">
        <v>4504</v>
      </c>
      <c r="E165" s="530" t="s">
        <v>4632</v>
      </c>
      <c r="F165" s="530"/>
      <c r="G165" s="531"/>
      <c r="H165" s="532"/>
      <c r="I165" s="532"/>
      <c r="J165" s="666" t="s">
        <v>814</v>
      </c>
    </row>
    <row r="166" spans="1:10" ht="21.75" customHeight="1">
      <c r="A166">
        <v>18.155999999999999</v>
      </c>
      <c r="B166" s="336" t="s">
        <v>4633</v>
      </c>
      <c r="C166" s="337" t="s">
        <v>1121</v>
      </c>
      <c r="D166" s="336" t="s">
        <v>4633</v>
      </c>
      <c r="E166" s="530" t="s">
        <v>4634</v>
      </c>
      <c r="F166" s="530"/>
      <c r="G166" s="531"/>
      <c r="H166" s="532"/>
      <c r="I166" s="532"/>
      <c r="J166" s="666" t="s">
        <v>814</v>
      </c>
    </row>
    <row r="167" spans="1:10" ht="21.75" customHeight="1">
      <c r="A167">
        <v>13.952999999999999</v>
      </c>
      <c r="B167" s="344" t="s">
        <v>4504</v>
      </c>
      <c r="C167" s="337"/>
      <c r="D167" s="344" t="s">
        <v>4504</v>
      </c>
      <c r="E167" s="530" t="s">
        <v>4635</v>
      </c>
      <c r="F167" s="530"/>
      <c r="G167" s="531"/>
      <c r="H167" s="532"/>
      <c r="I167" s="532"/>
      <c r="J167" s="666" t="s">
        <v>814</v>
      </c>
    </row>
    <row r="168" spans="1:10" ht="21.75" customHeight="1">
      <c r="A168">
        <v>0.27800000000000002</v>
      </c>
      <c r="B168" s="343" t="s">
        <v>4636</v>
      </c>
      <c r="C168" s="337" t="s">
        <v>1126</v>
      </c>
      <c r="D168" s="343" t="s">
        <v>4636</v>
      </c>
      <c r="E168" s="530" t="s">
        <v>4637</v>
      </c>
      <c r="F168" s="530"/>
      <c r="G168" s="531"/>
      <c r="H168" s="532"/>
      <c r="I168" s="532"/>
      <c r="J168" s="666" t="s">
        <v>814</v>
      </c>
    </row>
    <row r="169" spans="1:10" ht="21.75" customHeight="1">
      <c r="A169">
        <v>0.28899999999999998</v>
      </c>
      <c r="B169" s="344" t="s">
        <v>4504</v>
      </c>
      <c r="C169" s="337"/>
      <c r="D169" s="344" t="s">
        <v>4504</v>
      </c>
      <c r="E169" s="530" t="s">
        <v>4638</v>
      </c>
      <c r="F169" s="530"/>
      <c r="G169" s="531"/>
      <c r="H169" s="532"/>
      <c r="I169" s="532"/>
      <c r="J169" s="666" t="s">
        <v>814</v>
      </c>
    </row>
    <row r="170" spans="1:10" ht="21.75" customHeight="1">
      <c r="A170">
        <v>20.097999999999999</v>
      </c>
      <c r="B170" s="336" t="s">
        <v>4639</v>
      </c>
      <c r="C170" s="337" t="s">
        <v>1132</v>
      </c>
      <c r="D170" s="336" t="s">
        <v>4639</v>
      </c>
      <c r="E170" s="530" t="s">
        <v>4640</v>
      </c>
      <c r="F170" s="530"/>
      <c r="G170" s="531"/>
      <c r="H170" s="532"/>
      <c r="I170" s="532"/>
      <c r="J170" s="666" t="s">
        <v>814</v>
      </c>
    </row>
    <row r="171" spans="1:10" ht="21.75" customHeight="1">
      <c r="A171">
        <v>0.51900000000000002</v>
      </c>
      <c r="B171" s="344" t="s">
        <v>4504</v>
      </c>
      <c r="C171" s="337"/>
      <c r="D171" s="344" t="s">
        <v>4504</v>
      </c>
      <c r="E171" s="530" t="s">
        <v>4641</v>
      </c>
      <c r="F171" s="530"/>
      <c r="G171" s="531"/>
      <c r="H171" s="532"/>
      <c r="I171" s="532"/>
      <c r="J171" s="666" t="s">
        <v>814</v>
      </c>
    </row>
    <row r="172" spans="1:10" ht="21.75" customHeight="1">
      <c r="A172">
        <v>3.2919999999999998</v>
      </c>
      <c r="B172" s="336" t="s">
        <v>4642</v>
      </c>
      <c r="C172" s="337" t="s">
        <v>1135</v>
      </c>
      <c r="D172" s="336" t="s">
        <v>4642</v>
      </c>
      <c r="E172" s="530" t="s">
        <v>4643</v>
      </c>
      <c r="F172" s="530"/>
      <c r="G172" s="531"/>
      <c r="H172" s="532"/>
      <c r="I172" s="532"/>
      <c r="J172" s="666" t="s">
        <v>814</v>
      </c>
    </row>
    <row r="173" spans="1:10" ht="21.75" customHeight="1">
      <c r="A173">
        <v>3.2610000000000001</v>
      </c>
      <c r="B173" s="344" t="s">
        <v>4504</v>
      </c>
      <c r="C173" s="337"/>
      <c r="D173" s="344" t="s">
        <v>4504</v>
      </c>
      <c r="E173" s="530" t="s">
        <v>4644</v>
      </c>
      <c r="F173" s="530"/>
      <c r="G173" s="531"/>
      <c r="H173" s="532"/>
      <c r="I173" s="532"/>
      <c r="J173" s="666" t="s">
        <v>814</v>
      </c>
    </row>
    <row r="174" spans="1:10" ht="21.75" customHeight="1">
      <c r="A174">
        <v>11.391</v>
      </c>
      <c r="B174" s="336" t="s">
        <v>4645</v>
      </c>
      <c r="C174" s="337" t="s">
        <v>1138</v>
      </c>
      <c r="D174" s="336" t="s">
        <v>4645</v>
      </c>
      <c r="E174" s="530" t="s">
        <v>4646</v>
      </c>
      <c r="F174" s="530"/>
      <c r="G174" s="531"/>
      <c r="H174" s="532"/>
      <c r="I174" s="532"/>
      <c r="J174" s="666" t="s">
        <v>814</v>
      </c>
    </row>
    <row r="175" spans="1:10" ht="21.75" customHeight="1">
      <c r="A175">
        <v>11.301</v>
      </c>
      <c r="B175" s="344" t="s">
        <v>4504</v>
      </c>
      <c r="C175" s="337"/>
      <c r="D175" s="344" t="s">
        <v>4504</v>
      </c>
      <c r="E175" s="530" t="s">
        <v>4647</v>
      </c>
      <c r="F175" s="530"/>
      <c r="G175" s="531"/>
      <c r="H175" s="532"/>
      <c r="I175" s="532"/>
      <c r="J175" s="666" t="s">
        <v>814</v>
      </c>
    </row>
    <row r="176" spans="1:10" ht="21.75" customHeight="1">
      <c r="A176">
        <v>3.4289999999999998</v>
      </c>
      <c r="B176" s="336" t="s">
        <v>4648</v>
      </c>
      <c r="C176" s="337" t="s">
        <v>1141</v>
      </c>
      <c r="D176" s="336" t="s">
        <v>4648</v>
      </c>
      <c r="E176" s="530" t="s">
        <v>4649</v>
      </c>
      <c r="F176" s="530"/>
      <c r="G176" s="531"/>
      <c r="H176" s="532"/>
      <c r="I176" s="532"/>
      <c r="J176" s="666" t="s">
        <v>814</v>
      </c>
    </row>
    <row r="177" spans="1:10" ht="21.75" customHeight="1">
      <c r="A177">
        <v>3.3490000000000002</v>
      </c>
      <c r="B177" s="344" t="s">
        <v>4504</v>
      </c>
      <c r="C177" s="337"/>
      <c r="D177" s="344" t="s">
        <v>4504</v>
      </c>
      <c r="E177" s="530" t="s">
        <v>4650</v>
      </c>
      <c r="F177" s="530"/>
      <c r="G177" s="531"/>
      <c r="H177" s="532"/>
      <c r="I177" s="532"/>
      <c r="J177" s="666" t="s">
        <v>814</v>
      </c>
    </row>
    <row r="178" spans="1:10" ht="21.75" customHeight="1">
      <c r="A178">
        <v>4.9020000000000001</v>
      </c>
      <c r="B178" s="336" t="s">
        <v>4651</v>
      </c>
      <c r="C178" s="337" t="s">
        <v>1148</v>
      </c>
      <c r="D178" s="336" t="s">
        <v>4651</v>
      </c>
      <c r="E178" s="530" t="s">
        <v>4652</v>
      </c>
      <c r="F178" s="530"/>
      <c r="G178" s="531"/>
      <c r="H178" s="532"/>
      <c r="I178" s="532"/>
      <c r="J178" s="666" t="s">
        <v>814</v>
      </c>
    </row>
    <row r="179" spans="1:10" ht="21.75" customHeight="1">
      <c r="A179">
        <v>0</v>
      </c>
      <c r="B179" s="344" t="s">
        <v>4504</v>
      </c>
      <c r="C179" s="337"/>
      <c r="D179" s="344" t="s">
        <v>4504</v>
      </c>
      <c r="E179" s="530" t="s">
        <v>4653</v>
      </c>
      <c r="F179" s="530"/>
      <c r="G179" s="531"/>
      <c r="H179" s="532"/>
      <c r="I179" s="532"/>
      <c r="J179" s="666" t="s">
        <v>814</v>
      </c>
    </row>
    <row r="180" spans="1:10" ht="21.75" customHeight="1">
      <c r="A180">
        <v>4.6379999999999999</v>
      </c>
      <c r="B180" s="344" t="s">
        <v>1146</v>
      </c>
      <c r="C180" s="337"/>
      <c r="D180" s="344" t="s">
        <v>1146</v>
      </c>
      <c r="E180" s="530" t="s">
        <v>4654</v>
      </c>
      <c r="F180" s="530"/>
      <c r="G180" s="531"/>
      <c r="H180" s="532"/>
      <c r="I180" s="532"/>
      <c r="J180" s="666" t="s">
        <v>814</v>
      </c>
    </row>
    <row r="181" spans="1:10" ht="42.75" customHeight="1">
      <c r="A181">
        <v>0</v>
      </c>
      <c r="B181" s="344" t="s">
        <v>1288</v>
      </c>
      <c r="C181" s="337"/>
      <c r="D181" s="344" t="s">
        <v>1288</v>
      </c>
      <c r="E181" s="530" t="s">
        <v>4655</v>
      </c>
      <c r="F181" s="530"/>
      <c r="G181" s="531"/>
      <c r="H181" s="532"/>
      <c r="I181" s="532"/>
      <c r="J181" s="666" t="s">
        <v>814</v>
      </c>
    </row>
    <row r="182" spans="1:10" ht="21.75" customHeight="1">
      <c r="A182">
        <v>2.6469999999999998</v>
      </c>
      <c r="B182" s="336" t="s">
        <v>4656</v>
      </c>
      <c r="C182" s="337" t="s">
        <v>1152</v>
      </c>
      <c r="D182" s="336" t="s">
        <v>4656</v>
      </c>
      <c r="E182" s="530" t="s">
        <v>4657</v>
      </c>
      <c r="F182" s="530"/>
      <c r="G182" s="531"/>
      <c r="H182" s="532"/>
      <c r="I182" s="532"/>
      <c r="J182" s="666" t="s">
        <v>814</v>
      </c>
    </row>
    <row r="183" spans="1:10" ht="21.75" customHeight="1">
      <c r="A183">
        <v>0.40200000000000002</v>
      </c>
      <c r="B183" s="344" t="s">
        <v>4504</v>
      </c>
      <c r="C183" s="337"/>
      <c r="D183" s="344" t="s">
        <v>4504</v>
      </c>
      <c r="E183" s="530" t="s">
        <v>4658</v>
      </c>
      <c r="F183" s="530"/>
      <c r="G183" s="531"/>
      <c r="H183" s="532"/>
      <c r="I183" s="532"/>
      <c r="J183" s="666" t="s">
        <v>814</v>
      </c>
    </row>
    <row r="184" spans="1:10" ht="21.75" customHeight="1">
      <c r="A184">
        <v>2.6890000000000001</v>
      </c>
      <c r="B184" s="344" t="s">
        <v>1293</v>
      </c>
      <c r="C184" s="337"/>
      <c r="D184" s="344" t="s">
        <v>1293</v>
      </c>
      <c r="E184" s="530" t="s">
        <v>4659</v>
      </c>
      <c r="F184" s="530"/>
      <c r="G184" s="531"/>
      <c r="H184" s="532"/>
      <c r="I184" s="532"/>
      <c r="J184" s="666" t="s">
        <v>814</v>
      </c>
    </row>
    <row r="185" spans="1:10" ht="43.5" customHeight="1">
      <c r="B185" s="351" t="s">
        <v>4660</v>
      </c>
      <c r="C185" s="337"/>
      <c r="D185" s="351" t="s">
        <v>4660</v>
      </c>
      <c r="E185" s="530" t="s">
        <v>4661</v>
      </c>
      <c r="F185" s="530"/>
      <c r="G185" s="531"/>
      <c r="H185" s="532"/>
      <c r="I185" s="532"/>
      <c r="J185" s="666"/>
    </row>
    <row r="186" spans="1:10" ht="42.75" customHeight="1">
      <c r="A186">
        <v>0.71199999999999997</v>
      </c>
      <c r="B186" s="506" t="s">
        <v>4662</v>
      </c>
      <c r="C186" s="337" t="s">
        <v>1156</v>
      </c>
      <c r="D186" s="506" t="s">
        <v>4662</v>
      </c>
      <c r="E186" s="530" t="s">
        <v>4663</v>
      </c>
      <c r="F186" s="530"/>
      <c r="G186" s="531"/>
      <c r="H186" s="532"/>
      <c r="I186" s="532"/>
      <c r="J186" s="666" t="s">
        <v>814</v>
      </c>
    </row>
    <row r="187" spans="1:10" ht="21.75" customHeight="1">
      <c r="A187">
        <v>0.64700000000000002</v>
      </c>
      <c r="B187" s="344" t="s">
        <v>4504</v>
      </c>
      <c r="C187" s="337"/>
      <c r="D187" s="344" t="s">
        <v>4504</v>
      </c>
      <c r="E187" s="530" t="s">
        <v>4664</v>
      </c>
      <c r="F187" s="530"/>
      <c r="G187" s="531"/>
      <c r="H187" s="532"/>
      <c r="I187" s="532"/>
      <c r="J187" s="666" t="s">
        <v>814</v>
      </c>
    </row>
    <row r="188" spans="1:10" ht="21.75" customHeight="1">
      <c r="A188">
        <v>0</v>
      </c>
      <c r="B188" s="344" t="s">
        <v>1293</v>
      </c>
      <c r="C188" s="337"/>
      <c r="D188" s="344" t="s">
        <v>1293</v>
      </c>
      <c r="E188" s="530" t="s">
        <v>4665</v>
      </c>
      <c r="F188" s="530"/>
      <c r="G188" s="531"/>
      <c r="H188" s="532"/>
      <c r="I188" s="532"/>
      <c r="J188" s="666" t="s">
        <v>814</v>
      </c>
    </row>
    <row r="189" spans="1:10" ht="21.75" customHeight="1">
      <c r="A189">
        <v>1.1379999999999999</v>
      </c>
      <c r="B189" s="336" t="s">
        <v>1299</v>
      </c>
      <c r="C189" s="337" t="s">
        <v>1164</v>
      </c>
      <c r="D189" s="336" t="s">
        <v>1299</v>
      </c>
      <c r="E189" s="530" t="s">
        <v>4666</v>
      </c>
      <c r="F189" s="530"/>
      <c r="G189" s="531"/>
      <c r="H189" s="532"/>
      <c r="I189" s="532"/>
      <c r="J189" s="666" t="s">
        <v>814</v>
      </c>
    </row>
    <row r="190" spans="1:10" ht="21.75" customHeight="1">
      <c r="A190">
        <v>0</v>
      </c>
      <c r="B190" s="344" t="s">
        <v>4504</v>
      </c>
      <c r="C190" s="337"/>
      <c r="D190" s="344" t="s">
        <v>4504</v>
      </c>
      <c r="E190" s="530" t="s">
        <v>4667</v>
      </c>
      <c r="F190" s="530"/>
      <c r="G190" s="531"/>
      <c r="H190" s="532"/>
      <c r="I190" s="532"/>
      <c r="J190" s="666" t="s">
        <v>814</v>
      </c>
    </row>
    <row r="191" spans="1:10" ht="21.75" customHeight="1">
      <c r="A191">
        <v>0.20599999999999999</v>
      </c>
      <c r="B191" s="336" t="s">
        <v>1302</v>
      </c>
      <c r="C191" s="337" t="s">
        <v>1170</v>
      </c>
      <c r="D191" s="336" t="s">
        <v>1302</v>
      </c>
      <c r="E191" s="530" t="s">
        <v>4668</v>
      </c>
      <c r="F191" s="530"/>
      <c r="G191" s="531"/>
      <c r="H191" s="532"/>
      <c r="I191" s="532"/>
      <c r="J191" s="666" t="s">
        <v>814</v>
      </c>
    </row>
    <row r="192" spans="1:10" ht="21.75" customHeight="1">
      <c r="A192">
        <v>0</v>
      </c>
      <c r="B192" s="344" t="s">
        <v>4504</v>
      </c>
      <c r="C192" s="337"/>
      <c r="D192" s="344" t="s">
        <v>4504</v>
      </c>
      <c r="E192" s="530" t="s">
        <v>4669</v>
      </c>
      <c r="F192" s="530"/>
      <c r="G192" s="531"/>
      <c r="H192" s="532"/>
      <c r="I192" s="532"/>
      <c r="J192" s="666" t="s">
        <v>814</v>
      </c>
    </row>
    <row r="193" spans="1:10" ht="21.75" customHeight="1">
      <c r="A193">
        <v>0.20599999999999999</v>
      </c>
      <c r="B193" s="344" t="s">
        <v>1293</v>
      </c>
      <c r="C193" s="337"/>
      <c r="D193" s="344" t="s">
        <v>1293</v>
      </c>
      <c r="E193" s="530" t="s">
        <v>4670</v>
      </c>
      <c r="F193" s="530"/>
      <c r="G193" s="531"/>
      <c r="H193" s="532"/>
      <c r="I193" s="532"/>
      <c r="J193" s="666" t="s">
        <v>814</v>
      </c>
    </row>
    <row r="194" spans="1:10" ht="21.75" customHeight="1">
      <c r="A194">
        <v>2.8860000000000001</v>
      </c>
      <c r="B194" s="336" t="s">
        <v>4671</v>
      </c>
      <c r="C194" s="337" t="s">
        <v>1175</v>
      </c>
      <c r="D194" s="336" t="s">
        <v>4671</v>
      </c>
      <c r="E194" s="530" t="s">
        <v>4672</v>
      </c>
      <c r="F194" s="530"/>
      <c r="G194" s="531"/>
      <c r="H194" s="532"/>
      <c r="I194" s="532"/>
      <c r="J194" s="666" t="s">
        <v>814</v>
      </c>
    </row>
    <row r="195" spans="1:10" ht="21.75" customHeight="1">
      <c r="A195">
        <v>2.8860000000000001</v>
      </c>
      <c r="B195" s="344" t="s">
        <v>4504</v>
      </c>
      <c r="C195" s="337"/>
      <c r="D195" s="344" t="s">
        <v>4504</v>
      </c>
      <c r="E195" s="530" t="s">
        <v>4673</v>
      </c>
      <c r="F195" s="530"/>
      <c r="G195" s="531"/>
      <c r="H195" s="532"/>
      <c r="I195" s="532"/>
      <c r="J195" s="666" t="s">
        <v>814</v>
      </c>
    </row>
    <row r="196" spans="1:10" ht="21.75" customHeight="1">
      <c r="A196">
        <v>3.05</v>
      </c>
      <c r="B196" s="336" t="s">
        <v>4674</v>
      </c>
      <c r="C196" s="337" t="s">
        <v>1179</v>
      </c>
      <c r="D196" s="336" t="s">
        <v>4674</v>
      </c>
      <c r="E196" s="530" t="s">
        <v>4675</v>
      </c>
      <c r="F196" s="530"/>
      <c r="G196" s="531"/>
      <c r="H196" s="532"/>
      <c r="I196" s="532"/>
      <c r="J196" s="666" t="s">
        <v>814</v>
      </c>
    </row>
    <row r="197" spans="1:10" ht="21.75" customHeight="1">
      <c r="A197">
        <v>1.0820000000000001</v>
      </c>
      <c r="B197" s="344" t="s">
        <v>4504</v>
      </c>
      <c r="C197" s="337"/>
      <c r="D197" s="344" t="s">
        <v>4504</v>
      </c>
      <c r="E197" s="530" t="s">
        <v>4676</v>
      </c>
      <c r="F197" s="530"/>
      <c r="G197" s="531"/>
      <c r="H197" s="532"/>
      <c r="I197" s="532"/>
      <c r="J197" s="666" t="s">
        <v>814</v>
      </c>
    </row>
    <row r="198" spans="1:10" ht="42.75" customHeight="1">
      <c r="A198">
        <v>0.36299999999999999</v>
      </c>
      <c r="B198" s="506" t="s">
        <v>4677</v>
      </c>
      <c r="C198" s="337" t="s">
        <v>1182</v>
      </c>
      <c r="D198" s="506" t="s">
        <v>4677</v>
      </c>
      <c r="E198" s="530" t="s">
        <v>4678</v>
      </c>
      <c r="F198" s="530"/>
      <c r="G198" s="531"/>
      <c r="H198" s="532"/>
      <c r="I198" s="532"/>
      <c r="J198" s="666" t="s">
        <v>814</v>
      </c>
    </row>
    <row r="199" spans="1:10" ht="21.75" customHeight="1">
      <c r="A199">
        <v>0.29199999999999998</v>
      </c>
      <c r="B199" s="344" t="s">
        <v>4504</v>
      </c>
      <c r="C199" s="337"/>
      <c r="D199" s="344" t="s">
        <v>4504</v>
      </c>
      <c r="E199" s="530" t="s">
        <v>4679</v>
      </c>
      <c r="F199" s="530"/>
      <c r="G199" s="531"/>
      <c r="H199" s="532"/>
      <c r="I199" s="532"/>
      <c r="J199" s="666" t="s">
        <v>814</v>
      </c>
    </row>
    <row r="200" spans="1:10" ht="21.75" customHeight="1">
      <c r="B200" s="343"/>
      <c r="C200" s="330" t="s">
        <v>1315</v>
      </c>
      <c r="D200" s="343"/>
      <c r="E200" s="530" t="s">
        <v>4680</v>
      </c>
      <c r="F200" s="530"/>
      <c r="G200" s="531"/>
      <c r="H200" s="532"/>
      <c r="I200" s="532"/>
      <c r="J200" s="666"/>
    </row>
    <row r="201" spans="1:10" ht="42.75" customHeight="1">
      <c r="B201" s="333" t="s">
        <v>1050</v>
      </c>
      <c r="C201" s="334" t="s">
        <v>26</v>
      </c>
      <c r="D201" s="333" t="s">
        <v>1050</v>
      </c>
      <c r="E201" s="530" t="s">
        <v>4681</v>
      </c>
      <c r="F201" s="530"/>
      <c r="G201" s="531"/>
      <c r="H201" s="532"/>
      <c r="I201" s="532"/>
      <c r="J201" s="335"/>
    </row>
    <row r="202" spans="1:10" ht="21.75" customHeight="1">
      <c r="A202">
        <v>33.984999999999999</v>
      </c>
      <c r="B202" s="336" t="s">
        <v>1316</v>
      </c>
      <c r="C202" s="337" t="s">
        <v>43</v>
      </c>
      <c r="D202" s="336" t="s">
        <v>1316</v>
      </c>
      <c r="E202" s="530" t="s">
        <v>4682</v>
      </c>
      <c r="F202" s="530"/>
      <c r="G202" s="531"/>
      <c r="H202" s="532"/>
      <c r="I202" s="532"/>
      <c r="J202" s="666" t="s">
        <v>1243</v>
      </c>
    </row>
    <row r="203" spans="1:10" ht="42.75" customHeight="1">
      <c r="B203" s="333" t="s">
        <v>4490</v>
      </c>
      <c r="C203" s="334" t="s">
        <v>364</v>
      </c>
      <c r="D203" s="333" t="s">
        <v>4490</v>
      </c>
      <c r="E203" s="530" t="s">
        <v>4683</v>
      </c>
      <c r="F203" s="530"/>
      <c r="G203" s="531"/>
      <c r="H203" s="532"/>
      <c r="I203" s="532"/>
      <c r="J203" s="335" t="s">
        <v>814</v>
      </c>
    </row>
    <row r="204" spans="1:10" ht="21.75" customHeight="1">
      <c r="A204">
        <v>51.143000000000001</v>
      </c>
      <c r="B204" s="336" t="s">
        <v>4684</v>
      </c>
      <c r="C204" s="337" t="s">
        <v>82</v>
      </c>
      <c r="D204" s="336" t="s">
        <v>4684</v>
      </c>
      <c r="E204" s="530" t="s">
        <v>4685</v>
      </c>
      <c r="F204" s="530"/>
      <c r="G204" s="531"/>
      <c r="H204" s="532"/>
      <c r="I204" s="532"/>
      <c r="J204" s="666" t="s">
        <v>814</v>
      </c>
    </row>
    <row r="205" spans="1:10" ht="21.75" customHeight="1">
      <c r="A205">
        <v>16.427</v>
      </c>
      <c r="B205" s="344" t="s">
        <v>4504</v>
      </c>
      <c r="C205" s="337"/>
      <c r="D205" s="344" t="s">
        <v>4504</v>
      </c>
      <c r="E205" s="530" t="s">
        <v>4686</v>
      </c>
      <c r="F205" s="530"/>
      <c r="G205" s="531"/>
      <c r="H205" s="532"/>
      <c r="I205" s="532"/>
      <c r="J205" s="666" t="s">
        <v>814</v>
      </c>
    </row>
    <row r="206" spans="1:10" ht="21.75" customHeight="1">
      <c r="A206">
        <v>60.177999999999997</v>
      </c>
      <c r="B206" s="336" t="s">
        <v>4687</v>
      </c>
      <c r="C206" s="337" t="s">
        <v>84</v>
      </c>
      <c r="D206" s="336" t="s">
        <v>4687</v>
      </c>
      <c r="E206" s="530" t="s">
        <v>4688</v>
      </c>
      <c r="F206" s="530"/>
      <c r="G206" s="531"/>
      <c r="H206" s="532"/>
      <c r="I206" s="532"/>
      <c r="J206" s="666" t="s">
        <v>814</v>
      </c>
    </row>
    <row r="207" spans="1:10" ht="21.75" customHeight="1">
      <c r="A207">
        <v>60.177999999999997</v>
      </c>
      <c r="B207" s="344" t="s">
        <v>4504</v>
      </c>
      <c r="C207" s="337"/>
      <c r="D207" s="344" t="s">
        <v>4504</v>
      </c>
      <c r="E207" s="530" t="s">
        <v>4689</v>
      </c>
      <c r="F207" s="530"/>
      <c r="G207" s="531"/>
      <c r="H207" s="532"/>
      <c r="I207" s="532"/>
      <c r="J207" s="666" t="s">
        <v>814</v>
      </c>
    </row>
    <row r="208" spans="1:10" ht="21.75" customHeight="1">
      <c r="A208">
        <v>0.42499999999999999</v>
      </c>
      <c r="B208" s="336" t="s">
        <v>4690</v>
      </c>
      <c r="C208" s="337" t="s">
        <v>869</v>
      </c>
      <c r="D208" s="336" t="s">
        <v>4690</v>
      </c>
      <c r="E208" s="530" t="s">
        <v>4691</v>
      </c>
      <c r="F208" s="530"/>
      <c r="G208" s="531"/>
      <c r="H208" s="532"/>
      <c r="I208" s="532"/>
      <c r="J208" s="666" t="s">
        <v>814</v>
      </c>
    </row>
    <row r="209" spans="1:10" ht="21.75" customHeight="1">
      <c r="A209">
        <v>0.42499999999999999</v>
      </c>
      <c r="B209" s="344" t="s">
        <v>4504</v>
      </c>
      <c r="C209" s="337"/>
      <c r="D209" s="344" t="s">
        <v>4504</v>
      </c>
      <c r="E209" s="530" t="s">
        <v>4692</v>
      </c>
      <c r="F209" s="530"/>
      <c r="G209" s="531"/>
      <c r="H209" s="532"/>
      <c r="I209" s="532"/>
      <c r="J209" s="666" t="s">
        <v>814</v>
      </c>
    </row>
    <row r="210" spans="1:10" ht="21.75" customHeight="1">
      <c r="B210" s="336"/>
      <c r="C210" s="330" t="s">
        <v>1327</v>
      </c>
      <c r="D210" s="336"/>
      <c r="E210" s="530" t="s">
        <v>4693</v>
      </c>
      <c r="F210" s="530"/>
      <c r="G210" s="531"/>
      <c r="H210" s="532"/>
      <c r="I210" s="532"/>
      <c r="J210" s="666"/>
    </row>
    <row r="211" spans="1:10" ht="42.75" customHeight="1">
      <c r="A211">
        <v>9.8230000000000004</v>
      </c>
      <c r="B211" s="333" t="s">
        <v>1050</v>
      </c>
      <c r="C211" s="334" t="s">
        <v>26</v>
      </c>
      <c r="D211" s="333" t="s">
        <v>1050</v>
      </c>
      <c r="E211" s="530" t="s">
        <v>4694</v>
      </c>
      <c r="F211" s="530"/>
      <c r="G211" s="531"/>
      <c r="H211" s="532" t="s">
        <v>4695</v>
      </c>
      <c r="I211" s="532"/>
      <c r="J211" s="335" t="s">
        <v>814</v>
      </c>
    </row>
    <row r="212" spans="1:10" ht="42.75" customHeight="1">
      <c r="A212">
        <v>5.1849999999999996</v>
      </c>
      <c r="B212" s="341" t="s">
        <v>1329</v>
      </c>
      <c r="C212" s="337" t="s">
        <v>43</v>
      </c>
      <c r="D212" s="341" t="s">
        <v>1329</v>
      </c>
      <c r="E212" s="530" t="s">
        <v>4696</v>
      </c>
      <c r="F212" s="530"/>
      <c r="G212" s="531"/>
      <c r="H212" s="532"/>
      <c r="I212" s="532"/>
      <c r="J212" s="666" t="s">
        <v>814</v>
      </c>
    </row>
    <row r="213" spans="1:10" ht="42.75" customHeight="1">
      <c r="A213">
        <v>4.6379999999999999</v>
      </c>
      <c r="B213" s="341" t="s">
        <v>1331</v>
      </c>
      <c r="C213" s="337" t="s">
        <v>53</v>
      </c>
      <c r="D213" s="341" t="s">
        <v>1331</v>
      </c>
      <c r="E213" s="530" t="s">
        <v>4697</v>
      </c>
      <c r="F213" s="530"/>
      <c r="G213" s="531"/>
      <c r="H213" s="532"/>
      <c r="I213" s="532"/>
      <c r="J213" s="666" t="s">
        <v>814</v>
      </c>
    </row>
    <row r="214" spans="1:10" ht="42.75" customHeight="1">
      <c r="A214">
        <v>10.856999999999999</v>
      </c>
      <c r="B214" s="333" t="s">
        <v>4490</v>
      </c>
      <c r="C214" s="334" t="s">
        <v>364</v>
      </c>
      <c r="D214" s="333" t="s">
        <v>4490</v>
      </c>
      <c r="E214" s="530" t="s">
        <v>4698</v>
      </c>
      <c r="F214" s="530"/>
      <c r="G214" s="531"/>
      <c r="H214" s="532" t="s">
        <v>4699</v>
      </c>
      <c r="I214" s="532"/>
      <c r="J214" s="335" t="s">
        <v>814</v>
      </c>
    </row>
    <row r="215" spans="1:10" ht="21.75" customHeight="1">
      <c r="A215">
        <v>7.6710000000000003</v>
      </c>
      <c r="B215" s="336" t="s">
        <v>4700</v>
      </c>
      <c r="C215" s="337" t="s">
        <v>82</v>
      </c>
      <c r="D215" s="336" t="s">
        <v>4700</v>
      </c>
      <c r="E215" s="530" t="s">
        <v>4701</v>
      </c>
      <c r="F215" s="530"/>
      <c r="G215" s="531"/>
      <c r="H215" s="532"/>
      <c r="I215" s="532"/>
      <c r="J215" s="666" t="s">
        <v>814</v>
      </c>
    </row>
    <row r="216" spans="1:10" ht="21.75" customHeight="1">
      <c r="A216">
        <v>3.1859999999999999</v>
      </c>
      <c r="B216" s="352" t="s">
        <v>4702</v>
      </c>
      <c r="C216" s="353" t="s">
        <v>84</v>
      </c>
      <c r="D216" s="352" t="s">
        <v>4702</v>
      </c>
      <c r="E216" s="530" t="s">
        <v>4703</v>
      </c>
      <c r="F216" s="530"/>
      <c r="G216" s="531"/>
      <c r="H216" s="532"/>
      <c r="I216" s="532"/>
      <c r="J216" s="667" t="s">
        <v>814</v>
      </c>
    </row>
  </sheetData>
  <mergeCells count="11">
    <mergeCell ref="J6:J8"/>
    <mergeCell ref="E7:E8"/>
    <mergeCell ref="B6:B8"/>
    <mergeCell ref="C3:J3"/>
    <mergeCell ref="H7:H8"/>
    <mergeCell ref="C6:C8"/>
    <mergeCell ref="F7:F8"/>
    <mergeCell ref="G7:G8"/>
    <mergeCell ref="I7:I8"/>
    <mergeCell ref="D6:D8"/>
    <mergeCell ref="E6:I6"/>
  </mergeCells>
  <conditionalFormatting sqref="B11:B216">
    <cfRule type="cellIs" dxfId="8" priority="641" operator="equal">
      <formula>FALSE</formula>
    </cfRule>
  </conditionalFormatting>
  <conditionalFormatting sqref="O10:O216 P10:P216 U10:U216 V10:V216 AA10:AA216 AB10:AB216 AG10:AG216 AH10:AH216 AM10:AM216 AN10:AN216 AS10:AS216 AT10:AT216 AY10:AY216 AZ10:AZ216 BE10:BE216 BF10:BF216 BK10:BK216 BL10:BL216 BQ10:BQ216 BR10:BR216 BW10:BW216 BX10:BX216 CC10:CC216 CD10:CD216 CI10:CI216 CJ10:CJ216 CO10:CO216 CP10:CP216 CU10:CU216 CV10:CV216 DA10:DA216 DB10:DB216 DG10:DG216 DH10:DH216">
    <cfRule type="cellIs" dxfId="7" priority="3" operator="greaterThan">
      <formula>0</formula>
    </cfRule>
    <cfRule type="cellIs" dxfId="6" priority="2" operator="lessThan">
      <formula>0</formula>
    </cfRule>
    <cfRule type="cellIs" dxfId="5" priority="1" operator="equal">
      <formula>0</formula>
    </cfRule>
  </conditionalFormatting>
  <conditionalFormatting sqref="L10:L216 N10:N216 R10:R216 T10:T216 X10:X216 Z10:Z216 AD10:AD216 AF10:AF216 AJ10:AJ216 AL10:AL216 AP10:AP216 AR10:AR216 AV10:AV216 AX10:AX216 BB10:BB216 BD10:BD216 BH10:BH216 BJ10:BJ216 BN10:BN216 BP10:BP216 BT10:BT216 BV10:BV216 BZ10:BZ216 CB10:CB216 CF10:CF216 CH10:CH216 CL10:CL216 CN10:CN216 CR10:CR216 CT10:CT216 CX10:CX216 CZ10:CZ216 DD10:DD216 DF10:DF216">
    <cfRule type="cellIs" dxfId="4" priority="642" operator="equal">
      <formula>0</formula>
    </cfRule>
  </conditionalFormatting>
  <pageMargins left="0.7" right="0.7" top="0.75" bottom="0.75" header="0.3" footer="0.3"/>
  <pageSetup paperSize="9" scale="10" fitToHeight="0" orientation="portrait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tabColor theme="8" tint="0.59999389629810485"/>
    <pageSetUpPr fitToPage="1"/>
  </sheetPr>
  <dimension ref="A1:DH82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8.42578125" defaultRowHeight="18.75" outlineLevelCol="1"/>
  <cols>
    <col min="1" max="1" width="13" style="323" hidden="1" customWidth="1" outlineLevel="1"/>
    <col min="2" max="2" width="11" style="323" hidden="1" customWidth="1" outlineLevel="1"/>
    <col min="3" max="3" width="12.140625" style="84" customWidth="1" collapsed="1"/>
    <col min="4" max="4" width="63" style="323" customWidth="1"/>
    <col min="5" max="9" width="24" style="323" customWidth="1" outlineLevel="1"/>
    <col min="10" max="10" width="12.85546875" style="324" bestFit="1" customWidth="1"/>
    <col min="11" max="11" width="8.42578125" style="323" customWidth="1"/>
    <col min="12" max="112" width="8.42578125" style="621" customWidth="1"/>
    <col min="113" max="16384" width="8.42578125" style="323"/>
  </cols>
  <sheetData>
    <row r="1" spans="2:10" ht="15" customHeight="1"/>
    <row r="2" spans="2:10" ht="15" customHeight="1"/>
    <row r="3" spans="2:10" ht="20.25" customHeight="1">
      <c r="C3" s="846" t="s">
        <v>4704</v>
      </c>
      <c r="D3" s="790"/>
      <c r="E3" s="790"/>
      <c r="F3" s="790"/>
      <c r="G3" s="790"/>
      <c r="H3" s="790"/>
      <c r="I3" s="790"/>
      <c r="J3" s="791"/>
    </row>
    <row r="4" spans="2:10" ht="19.5" customHeight="1"/>
    <row r="5" spans="2:10" ht="19.5" customHeight="1">
      <c r="B5" s="325"/>
      <c r="C5" s="326" t="s">
        <v>4705</v>
      </c>
      <c r="J5" s="730"/>
    </row>
    <row r="6" spans="2:10" ht="20.100000000000001" customHeight="1">
      <c r="B6" s="890" t="s">
        <v>1799</v>
      </c>
      <c r="C6" s="828" t="s">
        <v>2666</v>
      </c>
      <c r="D6" s="783" t="s">
        <v>16</v>
      </c>
      <c r="E6" s="761" t="s">
        <v>17</v>
      </c>
      <c r="F6" s="762"/>
      <c r="G6" s="762"/>
      <c r="H6" s="762"/>
      <c r="I6" s="763"/>
      <c r="J6" s="783" t="s">
        <v>1365</v>
      </c>
    </row>
    <row r="7" spans="2:10" ht="39.950000000000003" customHeight="1">
      <c r="B7" s="752"/>
      <c r="C7" s="756"/>
      <c r="D7" s="756"/>
      <c r="E7" s="741" t="s">
        <v>19</v>
      </c>
      <c r="F7" s="741" t="s">
        <v>20</v>
      </c>
      <c r="G7" s="741" t="s">
        <v>21</v>
      </c>
      <c r="H7" s="741" t="s">
        <v>22</v>
      </c>
      <c r="I7" s="741" t="s">
        <v>23</v>
      </c>
      <c r="J7" s="756"/>
    </row>
    <row r="8" spans="2:10" ht="20.100000000000001" customHeight="1">
      <c r="B8" s="752"/>
      <c r="C8" s="757"/>
      <c r="D8" s="757"/>
      <c r="E8" s="742"/>
      <c r="F8" s="742"/>
      <c r="G8" s="742"/>
      <c r="H8" s="742"/>
      <c r="I8" s="742"/>
      <c r="J8" s="757"/>
    </row>
    <row r="9" spans="2:10" ht="20.100000000000001" hidden="1" customHeight="1">
      <c r="B9" s="390"/>
      <c r="C9" s="648"/>
      <c r="D9" s="647"/>
      <c r="E9" s="391"/>
      <c r="F9" s="391"/>
      <c r="G9" s="391"/>
      <c r="H9" s="391"/>
      <c r="I9" s="391"/>
      <c r="J9" s="657"/>
    </row>
    <row r="10" spans="2:10">
      <c r="B10" s="184" t="s">
        <v>4706</v>
      </c>
      <c r="C10" s="354" t="s">
        <v>1370</v>
      </c>
      <c r="D10" s="355" t="s">
        <v>948</v>
      </c>
      <c r="E10" s="530" t="s">
        <v>3301</v>
      </c>
      <c r="F10" s="530"/>
      <c r="G10" s="531"/>
      <c r="H10" s="532" t="s">
        <v>3302</v>
      </c>
      <c r="I10" s="532"/>
      <c r="J10" s="89"/>
    </row>
    <row r="11" spans="2:10">
      <c r="B11" s="184" t="s">
        <v>4707</v>
      </c>
      <c r="C11" s="286" t="s">
        <v>43</v>
      </c>
      <c r="D11" s="213" t="s">
        <v>949</v>
      </c>
      <c r="E11" s="530" t="s">
        <v>4708</v>
      </c>
      <c r="F11" s="530"/>
      <c r="G11" s="531"/>
      <c r="H11" s="532"/>
      <c r="I11" s="532"/>
      <c r="J11" s="91" t="s">
        <v>814</v>
      </c>
    </row>
    <row r="12" spans="2:10">
      <c r="B12" s="184" t="s">
        <v>4709</v>
      </c>
      <c r="C12" s="286" t="s">
        <v>53</v>
      </c>
      <c r="D12" s="213" t="s">
        <v>951</v>
      </c>
      <c r="E12" s="530" t="s">
        <v>4710</v>
      </c>
      <c r="F12" s="530"/>
      <c r="G12" s="531"/>
      <c r="H12" s="532"/>
      <c r="I12" s="532"/>
      <c r="J12" s="91" t="s">
        <v>814</v>
      </c>
    </row>
    <row r="13" spans="2:10">
      <c r="B13" s="184" t="s">
        <v>4711</v>
      </c>
      <c r="C13" s="286" t="s">
        <v>836</v>
      </c>
      <c r="D13" s="213" t="s">
        <v>953</v>
      </c>
      <c r="E13" s="530" t="s">
        <v>4712</v>
      </c>
      <c r="F13" s="530"/>
      <c r="G13" s="531"/>
      <c r="H13" s="532"/>
      <c r="I13" s="532"/>
      <c r="J13" s="91" t="s">
        <v>814</v>
      </c>
    </row>
    <row r="14" spans="2:10">
      <c r="B14" s="184" t="s">
        <v>4713</v>
      </c>
      <c r="C14" s="286" t="s">
        <v>842</v>
      </c>
      <c r="D14" s="213" t="s">
        <v>4714</v>
      </c>
      <c r="E14" s="530" t="s">
        <v>4715</v>
      </c>
      <c r="F14" s="530"/>
      <c r="G14" s="531"/>
      <c r="H14" s="532"/>
      <c r="I14" s="532"/>
      <c r="J14" s="91" t="s">
        <v>814</v>
      </c>
    </row>
    <row r="15" spans="2:10">
      <c r="B15" s="184"/>
      <c r="C15" s="286"/>
      <c r="D15" s="356" t="s">
        <v>955</v>
      </c>
      <c r="E15" s="530" t="s">
        <v>4067</v>
      </c>
      <c r="F15" s="530"/>
      <c r="G15" s="531"/>
      <c r="H15" s="532"/>
      <c r="I15" s="532"/>
      <c r="J15" s="91"/>
    </row>
    <row r="16" spans="2:10">
      <c r="B16" s="184" t="s">
        <v>4716</v>
      </c>
      <c r="C16" s="286" t="s">
        <v>1204</v>
      </c>
      <c r="D16" s="213" t="s">
        <v>956</v>
      </c>
      <c r="E16" s="530" t="s">
        <v>4717</v>
      </c>
      <c r="F16" s="530"/>
      <c r="G16" s="531"/>
      <c r="H16" s="532"/>
      <c r="I16" s="532"/>
      <c r="J16" s="91" t="s">
        <v>820</v>
      </c>
    </row>
    <row r="17" spans="2:10" ht="18.75" customHeight="1">
      <c r="B17" s="184" t="s">
        <v>4718</v>
      </c>
      <c r="C17" s="357">
        <v>2</v>
      </c>
      <c r="D17" s="356" t="s">
        <v>4719</v>
      </c>
      <c r="E17" s="530" t="s">
        <v>3316</v>
      </c>
      <c r="F17" s="530"/>
      <c r="G17" s="531"/>
      <c r="H17" s="532" t="s">
        <v>4720</v>
      </c>
      <c r="I17" s="532"/>
      <c r="J17" s="91" t="s">
        <v>814</v>
      </c>
    </row>
    <row r="18" spans="2:10" ht="19.5" customHeight="1">
      <c r="B18" s="184" t="s">
        <v>4721</v>
      </c>
      <c r="C18" s="286" t="s">
        <v>82</v>
      </c>
      <c r="D18" s="213" t="s">
        <v>949</v>
      </c>
      <c r="E18" s="530" t="s">
        <v>4722</v>
      </c>
      <c r="F18" s="530"/>
      <c r="G18" s="531"/>
      <c r="H18" s="532"/>
      <c r="I18" s="532"/>
      <c r="J18" s="91" t="s">
        <v>814</v>
      </c>
    </row>
    <row r="19" spans="2:10" ht="18.75" customHeight="1">
      <c r="B19" s="184" t="s">
        <v>4723</v>
      </c>
      <c r="C19" s="286" t="s">
        <v>84</v>
      </c>
      <c r="D19" s="213" t="s">
        <v>951</v>
      </c>
      <c r="E19" s="530" t="s">
        <v>4724</v>
      </c>
      <c r="F19" s="530"/>
      <c r="G19" s="531"/>
      <c r="H19" s="532"/>
      <c r="I19" s="532"/>
      <c r="J19" s="91" t="s">
        <v>814</v>
      </c>
    </row>
    <row r="20" spans="2:10" ht="18.75" customHeight="1">
      <c r="B20" s="184" t="s">
        <v>4725</v>
      </c>
      <c r="C20" s="286" t="s">
        <v>869</v>
      </c>
      <c r="D20" s="213" t="s">
        <v>953</v>
      </c>
      <c r="E20" s="530" t="s">
        <v>4726</v>
      </c>
      <c r="F20" s="530"/>
      <c r="G20" s="531"/>
      <c r="H20" s="532"/>
      <c r="I20" s="532"/>
      <c r="J20" s="91" t="s">
        <v>814</v>
      </c>
    </row>
    <row r="21" spans="2:10" ht="18.75" customHeight="1">
      <c r="B21" s="184" t="s">
        <v>4727</v>
      </c>
      <c r="C21" s="286" t="s">
        <v>884</v>
      </c>
      <c r="D21" s="213" t="s">
        <v>956</v>
      </c>
      <c r="E21" s="530" t="s">
        <v>4728</v>
      </c>
      <c r="F21" s="530"/>
      <c r="G21" s="531"/>
      <c r="H21" s="532"/>
      <c r="I21" s="532"/>
      <c r="J21" s="91" t="s">
        <v>814</v>
      </c>
    </row>
    <row r="22" spans="2:10" ht="18.75" customHeight="1">
      <c r="B22" s="184" t="s">
        <v>4729</v>
      </c>
      <c r="C22" s="286" t="s">
        <v>896</v>
      </c>
      <c r="D22" s="213" t="s">
        <v>4714</v>
      </c>
      <c r="E22" s="530" t="s">
        <v>4730</v>
      </c>
      <c r="F22" s="530"/>
      <c r="G22" s="531"/>
      <c r="H22" s="532"/>
      <c r="I22" s="532"/>
      <c r="J22" s="91" t="s">
        <v>814</v>
      </c>
    </row>
    <row r="23" spans="2:10">
      <c r="B23" s="184" t="s">
        <v>4731</v>
      </c>
      <c r="C23" s="358" t="s">
        <v>2688</v>
      </c>
      <c r="D23" s="356" t="s">
        <v>4732</v>
      </c>
      <c r="E23" s="530" t="s">
        <v>4733</v>
      </c>
      <c r="F23" s="530"/>
      <c r="G23" s="531"/>
      <c r="H23" s="532" t="s">
        <v>4734</v>
      </c>
      <c r="I23" s="532"/>
      <c r="J23" s="657" t="s">
        <v>820</v>
      </c>
    </row>
    <row r="24" spans="2:10">
      <c r="B24" s="184" t="s">
        <v>4735</v>
      </c>
      <c r="C24" s="286" t="s">
        <v>90</v>
      </c>
      <c r="D24" s="213" t="s">
        <v>956</v>
      </c>
      <c r="E24" s="530" t="s">
        <v>4734</v>
      </c>
      <c r="F24" s="530"/>
      <c r="G24" s="531"/>
      <c r="H24" s="532"/>
      <c r="I24" s="532"/>
      <c r="J24" s="657" t="s">
        <v>820</v>
      </c>
    </row>
    <row r="25" spans="2:10">
      <c r="B25" s="184" t="s">
        <v>4736</v>
      </c>
      <c r="C25" s="358" t="s">
        <v>2753</v>
      </c>
      <c r="D25" s="359" t="s">
        <v>4737</v>
      </c>
      <c r="E25" s="530" t="s">
        <v>4738</v>
      </c>
      <c r="F25" s="530"/>
      <c r="G25" s="531"/>
      <c r="H25" s="532" t="s">
        <v>4739</v>
      </c>
      <c r="I25" s="532"/>
      <c r="J25" s="91" t="s">
        <v>814</v>
      </c>
    </row>
    <row r="26" spans="2:10">
      <c r="B26" s="184" t="s">
        <v>4740</v>
      </c>
      <c r="C26" s="286" t="s">
        <v>1876</v>
      </c>
      <c r="D26" s="213" t="s">
        <v>956</v>
      </c>
      <c r="E26" s="530" t="s">
        <v>4739</v>
      </c>
      <c r="F26" s="530"/>
      <c r="G26" s="531"/>
      <c r="H26" s="532"/>
      <c r="I26" s="532"/>
      <c r="J26" s="91" t="s">
        <v>814</v>
      </c>
    </row>
    <row r="27" spans="2:10" ht="24" customHeight="1">
      <c r="B27" s="184" t="s">
        <v>4741</v>
      </c>
      <c r="C27" s="358" t="s">
        <v>2021</v>
      </c>
      <c r="D27" s="356" t="s">
        <v>4742</v>
      </c>
      <c r="E27" s="530" t="s">
        <v>4493</v>
      </c>
      <c r="F27" s="530"/>
      <c r="G27" s="531"/>
      <c r="H27" s="532" t="s">
        <v>4743</v>
      </c>
      <c r="I27" s="532"/>
      <c r="J27" s="91" t="s">
        <v>814</v>
      </c>
    </row>
    <row r="28" spans="2:10">
      <c r="B28" s="184" t="s">
        <v>4744</v>
      </c>
      <c r="C28" s="286" t="s">
        <v>2908</v>
      </c>
      <c r="D28" s="213" t="s">
        <v>949</v>
      </c>
      <c r="E28" s="530" t="s">
        <v>4745</v>
      </c>
      <c r="F28" s="530"/>
      <c r="G28" s="531"/>
      <c r="H28" s="532"/>
      <c r="I28" s="532"/>
      <c r="J28" s="91" t="s">
        <v>814</v>
      </c>
    </row>
    <row r="29" spans="2:10">
      <c r="B29" s="184" t="s">
        <v>4746</v>
      </c>
      <c r="C29" s="286" t="s">
        <v>2943</v>
      </c>
      <c r="D29" s="213" t="s">
        <v>951</v>
      </c>
      <c r="E29" s="530" t="s">
        <v>4747</v>
      </c>
      <c r="F29" s="530"/>
      <c r="G29" s="531"/>
      <c r="H29" s="532"/>
      <c r="I29" s="532"/>
      <c r="J29" s="91" t="s">
        <v>814</v>
      </c>
    </row>
    <row r="30" spans="2:10">
      <c r="B30" s="184" t="s">
        <v>4748</v>
      </c>
      <c r="C30" s="286" t="s">
        <v>2958</v>
      </c>
      <c r="D30" s="213" t="s">
        <v>953</v>
      </c>
      <c r="E30" s="530" t="s">
        <v>4749</v>
      </c>
      <c r="F30" s="530"/>
      <c r="G30" s="531"/>
      <c r="H30" s="532"/>
      <c r="I30" s="532"/>
      <c r="J30" s="91" t="s">
        <v>814</v>
      </c>
    </row>
    <row r="31" spans="2:10">
      <c r="B31" s="184" t="s">
        <v>4750</v>
      </c>
      <c r="C31" s="286" t="s">
        <v>2976</v>
      </c>
      <c r="D31" s="360" t="s">
        <v>4714</v>
      </c>
      <c r="E31" s="530" t="s">
        <v>4751</v>
      </c>
      <c r="F31" s="530"/>
      <c r="G31" s="531"/>
      <c r="H31" s="532"/>
      <c r="I31" s="532"/>
      <c r="J31" s="91" t="s">
        <v>814</v>
      </c>
    </row>
    <row r="32" spans="2:10" ht="24" customHeight="1">
      <c r="B32" s="184" t="s">
        <v>4752</v>
      </c>
      <c r="C32" s="358" t="s">
        <v>2028</v>
      </c>
      <c r="D32" s="356" t="s">
        <v>4753</v>
      </c>
      <c r="E32" s="530" t="s">
        <v>4754</v>
      </c>
      <c r="F32" s="530"/>
      <c r="G32" s="531"/>
      <c r="H32" s="532" t="s">
        <v>4755</v>
      </c>
      <c r="I32" s="532"/>
      <c r="J32" s="91" t="s">
        <v>814</v>
      </c>
    </row>
    <row r="33" spans="2:10">
      <c r="B33" s="184" t="s">
        <v>4756</v>
      </c>
      <c r="C33" s="286" t="s">
        <v>3147</v>
      </c>
      <c r="D33" s="213" t="s">
        <v>949</v>
      </c>
      <c r="E33" s="530" t="s">
        <v>4757</v>
      </c>
      <c r="F33" s="530"/>
      <c r="G33" s="531"/>
      <c r="H33" s="532"/>
      <c r="I33" s="532"/>
      <c r="J33" s="91" t="s">
        <v>814</v>
      </c>
    </row>
    <row r="34" spans="2:10">
      <c r="B34" s="184" t="s">
        <v>4758</v>
      </c>
      <c r="C34" s="286" t="s">
        <v>3163</v>
      </c>
      <c r="D34" s="213" t="s">
        <v>951</v>
      </c>
      <c r="E34" s="530" t="s">
        <v>4759</v>
      </c>
      <c r="F34" s="530"/>
      <c r="G34" s="531"/>
      <c r="H34" s="532"/>
      <c r="I34" s="532"/>
      <c r="J34" s="91" t="s">
        <v>814</v>
      </c>
    </row>
    <row r="35" spans="2:10">
      <c r="B35" s="184" t="s">
        <v>4760</v>
      </c>
      <c r="C35" s="286" t="s">
        <v>3337</v>
      </c>
      <c r="D35" s="213" t="s">
        <v>953</v>
      </c>
      <c r="E35" s="530" t="s">
        <v>4761</v>
      </c>
      <c r="F35" s="530"/>
      <c r="G35" s="531"/>
      <c r="H35" s="532"/>
      <c r="I35" s="532"/>
      <c r="J35" s="91" t="s">
        <v>814</v>
      </c>
    </row>
    <row r="36" spans="2:10">
      <c r="B36" s="184" t="s">
        <v>4762</v>
      </c>
      <c r="C36" s="286" t="s">
        <v>3340</v>
      </c>
      <c r="D36" s="213" t="s">
        <v>4714</v>
      </c>
      <c r="E36" s="530" t="s">
        <v>4763</v>
      </c>
      <c r="F36" s="530"/>
      <c r="G36" s="531"/>
      <c r="H36" s="532"/>
      <c r="I36" s="532"/>
      <c r="J36" s="91" t="s">
        <v>814</v>
      </c>
    </row>
    <row r="37" spans="2:10" ht="24" customHeight="1">
      <c r="B37" s="184" t="s">
        <v>4764</v>
      </c>
      <c r="C37" s="358" t="s">
        <v>3165</v>
      </c>
      <c r="D37" s="356" t="s">
        <v>4765</v>
      </c>
      <c r="E37" s="530" t="s">
        <v>4510</v>
      </c>
      <c r="F37" s="530"/>
      <c r="G37" s="531"/>
      <c r="H37" s="532" t="s">
        <v>4766</v>
      </c>
      <c r="I37" s="532"/>
      <c r="J37" s="91" t="s">
        <v>814</v>
      </c>
    </row>
    <row r="38" spans="2:10">
      <c r="B38" s="184" t="s">
        <v>4767</v>
      </c>
      <c r="C38" s="286" t="s">
        <v>3274</v>
      </c>
      <c r="D38" s="213" t="s">
        <v>949</v>
      </c>
      <c r="E38" s="530" t="s">
        <v>4768</v>
      </c>
      <c r="F38" s="530"/>
      <c r="G38" s="531"/>
      <c r="H38" s="532"/>
      <c r="I38" s="532"/>
      <c r="J38" s="91" t="s">
        <v>814</v>
      </c>
    </row>
    <row r="39" spans="2:10">
      <c r="B39" s="184" t="s">
        <v>4769</v>
      </c>
      <c r="C39" s="286" t="s">
        <v>3279</v>
      </c>
      <c r="D39" s="213" t="s">
        <v>951</v>
      </c>
      <c r="E39" s="530" t="s">
        <v>4770</v>
      </c>
      <c r="F39" s="530"/>
      <c r="G39" s="531"/>
      <c r="H39" s="532"/>
      <c r="I39" s="532"/>
      <c r="J39" s="91" t="s">
        <v>814</v>
      </c>
    </row>
    <row r="40" spans="2:10">
      <c r="B40" s="184" t="s">
        <v>4771</v>
      </c>
      <c r="C40" s="286" t="s">
        <v>3284</v>
      </c>
      <c r="D40" s="213" t="s">
        <v>953</v>
      </c>
      <c r="E40" s="530" t="s">
        <v>4772</v>
      </c>
      <c r="F40" s="530"/>
      <c r="G40" s="531"/>
      <c r="H40" s="532"/>
      <c r="I40" s="532"/>
      <c r="J40" s="91" t="s">
        <v>814</v>
      </c>
    </row>
    <row r="41" spans="2:10">
      <c r="B41" s="184" t="s">
        <v>4773</v>
      </c>
      <c r="C41" s="286" t="s">
        <v>3289</v>
      </c>
      <c r="D41" s="213" t="s">
        <v>4714</v>
      </c>
      <c r="E41" s="530" t="s">
        <v>4774</v>
      </c>
      <c r="F41" s="530"/>
      <c r="G41" s="531"/>
      <c r="H41" s="532"/>
      <c r="I41" s="532"/>
      <c r="J41" s="91" t="s">
        <v>814</v>
      </c>
    </row>
    <row r="42" spans="2:10" ht="24" customHeight="1">
      <c r="B42" s="184" t="s">
        <v>4775</v>
      </c>
      <c r="C42" s="358" t="s">
        <v>3185</v>
      </c>
      <c r="D42" s="356" t="s">
        <v>4776</v>
      </c>
      <c r="E42" s="530" t="s">
        <v>4777</v>
      </c>
      <c r="F42" s="530"/>
      <c r="G42" s="531"/>
      <c r="H42" s="532" t="s">
        <v>4778</v>
      </c>
      <c r="I42" s="532"/>
      <c r="J42" s="91" t="s">
        <v>814</v>
      </c>
    </row>
    <row r="43" spans="2:10">
      <c r="B43" s="184" t="s">
        <v>4779</v>
      </c>
      <c r="C43" s="286" t="s">
        <v>3497</v>
      </c>
      <c r="D43" s="213" t="s">
        <v>949</v>
      </c>
      <c r="E43" s="530" t="s">
        <v>4780</v>
      </c>
      <c r="F43" s="530"/>
      <c r="G43" s="531"/>
      <c r="H43" s="532"/>
      <c r="I43" s="532"/>
      <c r="J43" s="91" t="s">
        <v>814</v>
      </c>
    </row>
    <row r="44" spans="2:10">
      <c r="B44" s="184" t="s">
        <v>4781</v>
      </c>
      <c r="C44" s="286" t="s">
        <v>3503</v>
      </c>
      <c r="D44" s="213" t="s">
        <v>951</v>
      </c>
      <c r="E44" s="530" t="s">
        <v>4782</v>
      </c>
      <c r="F44" s="530"/>
      <c r="G44" s="531"/>
      <c r="H44" s="532"/>
      <c r="I44" s="532"/>
      <c r="J44" s="91" t="s">
        <v>814</v>
      </c>
    </row>
    <row r="45" spans="2:10">
      <c r="B45" s="184" t="s">
        <v>4783</v>
      </c>
      <c r="C45" s="286" t="s">
        <v>3508</v>
      </c>
      <c r="D45" s="213" t="s">
        <v>953</v>
      </c>
      <c r="E45" s="530" t="s">
        <v>4784</v>
      </c>
      <c r="F45" s="530"/>
      <c r="G45" s="531"/>
      <c r="H45" s="532"/>
      <c r="I45" s="532"/>
      <c r="J45" s="91" t="s">
        <v>814</v>
      </c>
    </row>
    <row r="46" spans="2:10">
      <c r="B46" s="184" t="s">
        <v>4785</v>
      </c>
      <c r="C46" s="286" t="s">
        <v>3514</v>
      </c>
      <c r="D46" s="213" t="s">
        <v>4714</v>
      </c>
      <c r="E46" s="530" t="s">
        <v>4786</v>
      </c>
      <c r="F46" s="530"/>
      <c r="G46" s="531"/>
      <c r="H46" s="532"/>
      <c r="I46" s="532"/>
      <c r="J46" s="91" t="s">
        <v>814</v>
      </c>
    </row>
    <row r="47" spans="2:10" ht="24" customHeight="1">
      <c r="B47" s="184" t="s">
        <v>4787</v>
      </c>
      <c r="C47" s="358" t="s">
        <v>3202</v>
      </c>
      <c r="D47" s="356" t="s">
        <v>4788</v>
      </c>
      <c r="E47" s="530" t="s">
        <v>4789</v>
      </c>
      <c r="F47" s="530"/>
      <c r="G47" s="531"/>
      <c r="H47" s="532" t="s">
        <v>4790</v>
      </c>
      <c r="I47" s="532"/>
      <c r="J47" s="91" t="s">
        <v>814</v>
      </c>
    </row>
    <row r="48" spans="2:10">
      <c r="B48" s="184" t="s">
        <v>4791</v>
      </c>
      <c r="C48" s="286" t="s">
        <v>3456</v>
      </c>
      <c r="D48" s="213" t="s">
        <v>949</v>
      </c>
      <c r="E48" s="530" t="s">
        <v>4792</v>
      </c>
      <c r="F48" s="530"/>
      <c r="G48" s="531"/>
      <c r="H48" s="532"/>
      <c r="I48" s="532"/>
      <c r="J48" s="91" t="s">
        <v>814</v>
      </c>
    </row>
    <row r="49" spans="2:10">
      <c r="B49" s="184" t="s">
        <v>4793</v>
      </c>
      <c r="C49" s="286" t="s">
        <v>3461</v>
      </c>
      <c r="D49" s="213" t="s">
        <v>951</v>
      </c>
      <c r="E49" s="530" t="s">
        <v>4794</v>
      </c>
      <c r="F49" s="530"/>
      <c r="G49" s="531"/>
      <c r="H49" s="532"/>
      <c r="I49" s="532"/>
      <c r="J49" s="91" t="s">
        <v>814</v>
      </c>
    </row>
    <row r="50" spans="2:10">
      <c r="B50" s="184" t="s">
        <v>4795</v>
      </c>
      <c r="C50" s="286" t="s">
        <v>3465</v>
      </c>
      <c r="D50" s="213" t="s">
        <v>953</v>
      </c>
      <c r="E50" s="530" t="s">
        <v>4796</v>
      </c>
      <c r="F50" s="530"/>
      <c r="G50" s="531"/>
      <c r="H50" s="532"/>
      <c r="I50" s="532"/>
      <c r="J50" s="91" t="s">
        <v>814</v>
      </c>
    </row>
    <row r="51" spans="2:10">
      <c r="B51" s="184" t="s">
        <v>4797</v>
      </c>
      <c r="C51" s="286" t="s">
        <v>3468</v>
      </c>
      <c r="D51" s="213" t="s">
        <v>4714</v>
      </c>
      <c r="E51" s="530" t="s">
        <v>4798</v>
      </c>
      <c r="F51" s="530"/>
      <c r="G51" s="531"/>
      <c r="H51" s="532"/>
      <c r="I51" s="532"/>
      <c r="J51" s="91" t="s">
        <v>814</v>
      </c>
    </row>
    <row r="52" spans="2:10" ht="24" customHeight="1">
      <c r="B52" s="184" t="s">
        <v>4799</v>
      </c>
      <c r="C52" s="358" t="s">
        <v>3209</v>
      </c>
      <c r="D52" s="356" t="s">
        <v>4800</v>
      </c>
      <c r="E52" s="530" t="s">
        <v>4801</v>
      </c>
      <c r="F52" s="530"/>
      <c r="G52" s="531"/>
      <c r="H52" s="532" t="s">
        <v>4802</v>
      </c>
      <c r="I52" s="532"/>
      <c r="J52" s="91" t="s">
        <v>814</v>
      </c>
    </row>
    <row r="53" spans="2:10">
      <c r="B53" s="184" t="s">
        <v>4803</v>
      </c>
      <c r="C53" s="286" t="s">
        <v>3757</v>
      </c>
      <c r="D53" s="213" t="s">
        <v>949</v>
      </c>
      <c r="E53" s="530" t="s">
        <v>4804</v>
      </c>
      <c r="F53" s="530"/>
      <c r="G53" s="531"/>
      <c r="H53" s="532"/>
      <c r="I53" s="532"/>
      <c r="J53" s="91" t="s">
        <v>814</v>
      </c>
    </row>
    <row r="54" spans="2:10">
      <c r="B54" s="184" t="s">
        <v>4805</v>
      </c>
      <c r="C54" s="286" t="s">
        <v>3759</v>
      </c>
      <c r="D54" s="213" t="s">
        <v>951</v>
      </c>
      <c r="E54" s="530" t="s">
        <v>4806</v>
      </c>
      <c r="F54" s="530"/>
      <c r="G54" s="531"/>
      <c r="H54" s="532"/>
      <c r="I54" s="532"/>
      <c r="J54" s="91" t="s">
        <v>814</v>
      </c>
    </row>
    <row r="55" spans="2:10">
      <c r="B55" s="184" t="s">
        <v>4807</v>
      </c>
      <c r="C55" s="286" t="s">
        <v>3762</v>
      </c>
      <c r="D55" s="213" t="s">
        <v>953</v>
      </c>
      <c r="E55" s="530" t="s">
        <v>4808</v>
      </c>
      <c r="F55" s="530"/>
      <c r="G55" s="531"/>
      <c r="H55" s="532"/>
      <c r="I55" s="532"/>
      <c r="J55" s="91" t="s">
        <v>814</v>
      </c>
    </row>
    <row r="56" spans="2:10">
      <c r="B56" s="184" t="s">
        <v>4809</v>
      </c>
      <c r="C56" s="286" t="s">
        <v>3765</v>
      </c>
      <c r="D56" s="213" t="s">
        <v>4714</v>
      </c>
      <c r="E56" s="530" t="s">
        <v>4810</v>
      </c>
      <c r="F56" s="530"/>
      <c r="G56" s="531"/>
      <c r="H56" s="532"/>
      <c r="I56" s="532"/>
      <c r="J56" s="91" t="s">
        <v>814</v>
      </c>
    </row>
    <row r="57" spans="2:10" ht="24" customHeight="1">
      <c r="B57" s="184" t="s">
        <v>4811</v>
      </c>
      <c r="C57" s="358" t="s">
        <v>3220</v>
      </c>
      <c r="D57" s="356" t="s">
        <v>4812</v>
      </c>
      <c r="E57" s="530" t="s">
        <v>4813</v>
      </c>
      <c r="F57" s="530"/>
      <c r="G57" s="531"/>
      <c r="H57" s="532" t="s">
        <v>4814</v>
      </c>
      <c r="I57" s="532"/>
      <c r="J57" s="91" t="s">
        <v>814</v>
      </c>
    </row>
    <row r="58" spans="2:10">
      <c r="B58" s="184" t="s">
        <v>4815</v>
      </c>
      <c r="C58" s="286" t="s">
        <v>3884</v>
      </c>
      <c r="D58" s="213" t="s">
        <v>949</v>
      </c>
      <c r="E58" s="530" t="s">
        <v>4816</v>
      </c>
      <c r="F58" s="530"/>
      <c r="G58" s="531"/>
      <c r="H58" s="532"/>
      <c r="I58" s="532"/>
      <c r="J58" s="91" t="s">
        <v>814</v>
      </c>
    </row>
    <row r="59" spans="2:10">
      <c r="B59" s="184" t="s">
        <v>4817</v>
      </c>
      <c r="C59" s="286" t="s">
        <v>3886</v>
      </c>
      <c r="D59" s="213" t="s">
        <v>951</v>
      </c>
      <c r="E59" s="530" t="s">
        <v>4818</v>
      </c>
      <c r="F59" s="530"/>
      <c r="G59" s="531"/>
      <c r="H59" s="532"/>
      <c r="I59" s="532"/>
      <c r="J59" s="91" t="s">
        <v>814</v>
      </c>
    </row>
    <row r="60" spans="2:10">
      <c r="B60" s="184" t="s">
        <v>4819</v>
      </c>
      <c r="C60" s="286" t="s">
        <v>3889</v>
      </c>
      <c r="D60" s="213" t="s">
        <v>953</v>
      </c>
      <c r="E60" s="530" t="s">
        <v>4820</v>
      </c>
      <c r="F60" s="530"/>
      <c r="G60" s="531"/>
      <c r="H60" s="532"/>
      <c r="I60" s="532"/>
      <c r="J60" s="91" t="s">
        <v>814</v>
      </c>
    </row>
    <row r="61" spans="2:10">
      <c r="B61" s="184" t="s">
        <v>4821</v>
      </c>
      <c r="C61" s="286" t="s">
        <v>3891</v>
      </c>
      <c r="D61" s="213" t="s">
        <v>4714</v>
      </c>
      <c r="E61" s="530" t="s">
        <v>4822</v>
      </c>
      <c r="F61" s="530"/>
      <c r="G61" s="531"/>
      <c r="H61" s="532"/>
      <c r="I61" s="532"/>
      <c r="J61" s="91" t="s">
        <v>814</v>
      </c>
    </row>
    <row r="62" spans="2:10" ht="24" customHeight="1">
      <c r="B62" s="184" t="s">
        <v>4823</v>
      </c>
      <c r="C62" s="358" t="s">
        <v>3228</v>
      </c>
      <c r="D62" s="356" t="s">
        <v>4824</v>
      </c>
      <c r="E62" s="530" t="s">
        <v>4825</v>
      </c>
      <c r="F62" s="530"/>
      <c r="G62" s="531"/>
      <c r="H62" s="532" t="s">
        <v>4826</v>
      </c>
      <c r="I62" s="532"/>
      <c r="J62" s="91" t="s">
        <v>814</v>
      </c>
    </row>
    <row r="63" spans="2:10">
      <c r="B63" s="184" t="s">
        <v>4827</v>
      </c>
      <c r="C63" s="286" t="s">
        <v>4828</v>
      </c>
      <c r="D63" s="213" t="s">
        <v>949</v>
      </c>
      <c r="E63" s="530" t="s">
        <v>4829</v>
      </c>
      <c r="F63" s="530"/>
      <c r="G63" s="531"/>
      <c r="H63" s="532"/>
      <c r="I63" s="532"/>
      <c r="J63" s="91" t="s">
        <v>814</v>
      </c>
    </row>
    <row r="64" spans="2:10">
      <c r="B64" s="184" t="s">
        <v>4830</v>
      </c>
      <c r="C64" s="286" t="s">
        <v>4831</v>
      </c>
      <c r="D64" s="213" t="s">
        <v>951</v>
      </c>
      <c r="E64" s="530" t="s">
        <v>4832</v>
      </c>
      <c r="F64" s="530"/>
      <c r="G64" s="531"/>
      <c r="H64" s="532"/>
      <c r="I64" s="532"/>
      <c r="J64" s="91" t="s">
        <v>814</v>
      </c>
    </row>
    <row r="65" spans="2:10">
      <c r="B65" s="184" t="s">
        <v>4833</v>
      </c>
      <c r="C65" s="286" t="s">
        <v>4834</v>
      </c>
      <c r="D65" s="213" t="s">
        <v>953</v>
      </c>
      <c r="E65" s="530" t="s">
        <v>4835</v>
      </c>
      <c r="F65" s="530"/>
      <c r="G65" s="531"/>
      <c r="H65" s="532"/>
      <c r="I65" s="532"/>
      <c r="J65" s="91" t="s">
        <v>814</v>
      </c>
    </row>
    <row r="66" spans="2:10">
      <c r="B66" s="184" t="s">
        <v>4836</v>
      </c>
      <c r="C66" s="286" t="s">
        <v>4837</v>
      </c>
      <c r="D66" s="213" t="s">
        <v>4714</v>
      </c>
      <c r="E66" s="530" t="s">
        <v>4838</v>
      </c>
      <c r="F66" s="530"/>
      <c r="G66" s="531"/>
      <c r="H66" s="532"/>
      <c r="I66" s="532"/>
      <c r="J66" s="91" t="s">
        <v>814</v>
      </c>
    </row>
    <row r="67" spans="2:10" ht="24" customHeight="1">
      <c r="B67" s="184" t="s">
        <v>4839</v>
      </c>
      <c r="C67" s="358" t="s">
        <v>3246</v>
      </c>
      <c r="D67" s="356" t="s">
        <v>4840</v>
      </c>
      <c r="E67" s="530" t="s">
        <v>4841</v>
      </c>
      <c r="F67" s="530"/>
      <c r="G67" s="531"/>
      <c r="H67" s="532" t="s">
        <v>4842</v>
      </c>
      <c r="I67" s="532"/>
      <c r="J67" s="91" t="s">
        <v>814</v>
      </c>
    </row>
    <row r="68" spans="2:10">
      <c r="B68" s="184" t="s">
        <v>4843</v>
      </c>
      <c r="C68" s="286" t="s">
        <v>4012</v>
      </c>
      <c r="D68" s="213" t="s">
        <v>949</v>
      </c>
      <c r="E68" s="530" t="s">
        <v>4844</v>
      </c>
      <c r="F68" s="530"/>
      <c r="G68" s="531"/>
      <c r="H68" s="532"/>
      <c r="I68" s="532"/>
      <c r="J68" s="91" t="s">
        <v>814</v>
      </c>
    </row>
    <row r="69" spans="2:10">
      <c r="B69" s="184" t="s">
        <v>4845</v>
      </c>
      <c r="C69" s="286" t="s">
        <v>4014</v>
      </c>
      <c r="D69" s="213" t="s">
        <v>951</v>
      </c>
      <c r="E69" s="530" t="s">
        <v>4846</v>
      </c>
      <c r="F69" s="530"/>
      <c r="G69" s="531"/>
      <c r="H69" s="532"/>
      <c r="I69" s="532"/>
      <c r="J69" s="91" t="s">
        <v>814</v>
      </c>
    </row>
    <row r="70" spans="2:10">
      <c r="B70" s="184" t="s">
        <v>4847</v>
      </c>
      <c r="C70" s="286" t="s">
        <v>4017</v>
      </c>
      <c r="D70" s="213" t="s">
        <v>953</v>
      </c>
      <c r="E70" s="530" t="s">
        <v>4848</v>
      </c>
      <c r="F70" s="530"/>
      <c r="G70" s="531"/>
      <c r="H70" s="532"/>
      <c r="I70" s="532"/>
      <c r="J70" s="91" t="s">
        <v>814</v>
      </c>
    </row>
    <row r="71" spans="2:10">
      <c r="B71" s="184" t="s">
        <v>4849</v>
      </c>
      <c r="C71" s="286" t="s">
        <v>4018</v>
      </c>
      <c r="D71" s="213" t="s">
        <v>4714</v>
      </c>
      <c r="E71" s="530" t="s">
        <v>4850</v>
      </c>
      <c r="F71" s="530"/>
      <c r="G71" s="531"/>
      <c r="H71" s="532"/>
      <c r="I71" s="532"/>
      <c r="J71" s="91" t="s">
        <v>814</v>
      </c>
    </row>
    <row r="72" spans="2:10" ht="24" customHeight="1">
      <c r="B72" s="184" t="s">
        <v>4851</v>
      </c>
      <c r="C72" s="358" t="s">
        <v>4852</v>
      </c>
      <c r="D72" s="356" t="s">
        <v>4853</v>
      </c>
      <c r="E72" s="530" t="s">
        <v>4854</v>
      </c>
      <c r="F72" s="530"/>
      <c r="G72" s="531"/>
      <c r="H72" s="532" t="s">
        <v>4855</v>
      </c>
      <c r="I72" s="532"/>
      <c r="J72" s="91" t="s">
        <v>814</v>
      </c>
    </row>
    <row r="73" spans="2:10">
      <c r="B73" s="184" t="s">
        <v>4856</v>
      </c>
      <c r="C73" s="286" t="s">
        <v>4061</v>
      </c>
      <c r="D73" s="213" t="s">
        <v>949</v>
      </c>
      <c r="E73" s="530" t="s">
        <v>4857</v>
      </c>
      <c r="F73" s="530"/>
      <c r="G73" s="531"/>
      <c r="H73" s="532"/>
      <c r="I73" s="532"/>
      <c r="J73" s="91" t="s">
        <v>814</v>
      </c>
    </row>
    <row r="74" spans="2:10">
      <c r="B74" s="184" t="s">
        <v>4858</v>
      </c>
      <c r="C74" s="286" t="s">
        <v>4063</v>
      </c>
      <c r="D74" s="213" t="s">
        <v>951</v>
      </c>
      <c r="E74" s="530" t="s">
        <v>4859</v>
      </c>
      <c r="F74" s="530"/>
      <c r="G74" s="531"/>
      <c r="H74" s="532"/>
      <c r="I74" s="532"/>
      <c r="J74" s="91" t="s">
        <v>814</v>
      </c>
    </row>
    <row r="75" spans="2:10">
      <c r="B75" s="184" t="s">
        <v>4860</v>
      </c>
      <c r="C75" s="286" t="s">
        <v>4066</v>
      </c>
      <c r="D75" s="213" t="s">
        <v>953</v>
      </c>
      <c r="E75" s="530" t="s">
        <v>4861</v>
      </c>
      <c r="F75" s="530"/>
      <c r="G75" s="531"/>
      <c r="H75" s="532"/>
      <c r="I75" s="532"/>
      <c r="J75" s="91" t="s">
        <v>814</v>
      </c>
    </row>
    <row r="76" spans="2:10">
      <c r="B76" s="184" t="s">
        <v>4862</v>
      </c>
      <c r="C76" s="286" t="s">
        <v>4068</v>
      </c>
      <c r="D76" s="213" t="s">
        <v>4714</v>
      </c>
      <c r="E76" s="530" t="s">
        <v>4863</v>
      </c>
      <c r="F76" s="530"/>
      <c r="G76" s="531"/>
      <c r="H76" s="532"/>
      <c r="I76" s="532"/>
      <c r="J76" s="91" t="s">
        <v>814</v>
      </c>
    </row>
    <row r="77" spans="2:10" ht="24" customHeight="1">
      <c r="B77" s="184" t="s">
        <v>4864</v>
      </c>
      <c r="C77" s="358" t="s">
        <v>4865</v>
      </c>
      <c r="D77" s="356" t="s">
        <v>4866</v>
      </c>
      <c r="E77" s="530" t="s">
        <v>4867</v>
      </c>
      <c r="F77" s="530"/>
      <c r="G77" s="531"/>
      <c r="H77" s="532" t="s">
        <v>4868</v>
      </c>
      <c r="I77" s="532"/>
      <c r="J77" s="91" t="s">
        <v>814</v>
      </c>
    </row>
    <row r="78" spans="2:10">
      <c r="B78" s="184" t="s">
        <v>4869</v>
      </c>
      <c r="C78" s="286" t="s">
        <v>4239</v>
      </c>
      <c r="D78" s="213" t="s">
        <v>949</v>
      </c>
      <c r="E78" s="530" t="s">
        <v>4870</v>
      </c>
      <c r="F78" s="530"/>
      <c r="G78" s="531"/>
      <c r="H78" s="532"/>
      <c r="I78" s="532"/>
      <c r="J78" s="91" t="s">
        <v>814</v>
      </c>
    </row>
    <row r="79" spans="2:10">
      <c r="B79" s="184" t="s">
        <v>4871</v>
      </c>
      <c r="C79" s="286" t="s">
        <v>4240</v>
      </c>
      <c r="D79" s="213" t="s">
        <v>951</v>
      </c>
      <c r="E79" s="530" t="s">
        <v>4872</v>
      </c>
      <c r="F79" s="530"/>
      <c r="G79" s="531"/>
      <c r="H79" s="532"/>
      <c r="I79" s="532"/>
      <c r="J79" s="91" t="s">
        <v>814</v>
      </c>
    </row>
    <row r="80" spans="2:10">
      <c r="B80" s="184" t="s">
        <v>4873</v>
      </c>
      <c r="C80" s="286" t="s">
        <v>4874</v>
      </c>
      <c r="D80" s="213" t="s">
        <v>953</v>
      </c>
      <c r="E80" s="530" t="s">
        <v>4875</v>
      </c>
      <c r="F80" s="530"/>
      <c r="G80" s="531"/>
      <c r="H80" s="532"/>
      <c r="I80" s="532"/>
      <c r="J80" s="91" t="s">
        <v>814</v>
      </c>
    </row>
    <row r="81" spans="2:10">
      <c r="B81" s="184" t="s">
        <v>4876</v>
      </c>
      <c r="C81" s="361" t="s">
        <v>4877</v>
      </c>
      <c r="D81" s="362" t="s">
        <v>4714</v>
      </c>
      <c r="E81" s="530" t="s">
        <v>4878</v>
      </c>
      <c r="F81" s="530"/>
      <c r="G81" s="531"/>
      <c r="H81" s="532"/>
      <c r="I81" s="532"/>
      <c r="J81" s="129" t="s">
        <v>814</v>
      </c>
    </row>
    <row r="82" spans="2:10">
      <c r="B82" s="83"/>
      <c r="C82" s="39"/>
      <c r="D82" s="161"/>
      <c r="E82" s="161"/>
      <c r="F82" s="161"/>
      <c r="G82" s="161"/>
      <c r="H82" s="161"/>
      <c r="I82" s="161"/>
    </row>
  </sheetData>
  <mergeCells count="11">
    <mergeCell ref="J6:J8"/>
    <mergeCell ref="E7:E8"/>
    <mergeCell ref="B6:B8"/>
    <mergeCell ref="C3:J3"/>
    <mergeCell ref="H7:H8"/>
    <mergeCell ref="C6:C8"/>
    <mergeCell ref="F7:F8"/>
    <mergeCell ref="G7:G8"/>
    <mergeCell ref="I7:I8"/>
    <mergeCell ref="D6:D8"/>
    <mergeCell ref="E6:I6"/>
  </mergeCells>
  <conditionalFormatting sqref="O10:O81 P10:P81 U10:U81 V10:V81 AA10:AA81 AB10:AB81 AG10:AG81 AH10:AH81 AM10:AM81 AN10:AN81 AS10:AS81 AT10:AT81 AY10:AY81 AZ10:AZ81 BE10:BE81 BF10:BF81 BK10:BK81 BL10:BL81 BQ10:BQ81 BR10:BR81 BW10:BW81 BX10:BX81 CC10:CC81 CD10:CD81 CI10:CI81 CJ10:CJ81 CO10:CO81 CP10:CP81 CU10:CU81 CV10:CV81 DA10:DA81 DB10:DB81 DG10:DG81 DH10:DH81">
    <cfRule type="cellIs" dxfId="3" priority="3" operator="greaterThan">
      <formula>0</formula>
    </cfRule>
    <cfRule type="cellIs" dxfId="2" priority="2" operator="lessThan">
      <formula>0</formula>
    </cfRule>
    <cfRule type="cellIs" dxfId="1" priority="1" operator="equal">
      <formula>0</formula>
    </cfRule>
  </conditionalFormatting>
  <conditionalFormatting sqref="L10:L81 N10:N81 R10:R81 T10:T81 X10:X81 Z10:Z81 AD10:AD81 AF10:AF81 AJ10:AJ81 AL10:AL81 AP10:AP81 AR10:AR81 AV10:AV81 AX10:AX81 BB10:BB81 BD10:BD81 BH10:BH81 BJ10:BJ81 BN10:BN81 BP10:BP81 BT10:BT81 BV10:BV81 BZ10:BZ81 CB10:CB81 CF10:CF81 CH10:CH81 CL10:CL81 CN10:CN81 CR10:CR81 CT10:CT81 CX10:CX81 CZ10:CZ81 DD10:DD81 DF10:DF81">
    <cfRule type="cellIs" dxfId="0" priority="4" operator="equal">
      <formula>0</formula>
    </cfRule>
  </conditionalFormatting>
  <pageMargins left="0.70866141732283472" right="0.70866141732283472" top="0.74803149606299213" bottom="0.74803149606299213" header="0.31496062992125978" footer="0.31496062992125978"/>
  <pageSetup paperSize="8" scale="4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20</vt:i4>
      </vt:variant>
      <vt:variant>
        <vt:lpstr>Именованные диапазоны</vt:lpstr>
      </vt:variant>
      <vt:variant>
        <vt:i4>57</vt:i4>
      </vt:variant>
    </vt:vector>
  </HeadingPairs>
  <TitlesOfParts>
    <vt:vector size="77" baseType="lpstr">
      <vt:lpstr>План общий</vt:lpstr>
      <vt:lpstr>Баланс ЗС</vt:lpstr>
      <vt:lpstr>1. ГПП-АГПЗ+</vt:lpstr>
      <vt:lpstr>2. ГПП-ОГХК</vt:lpstr>
      <vt:lpstr>3. ГПП-СГПЗ</vt:lpstr>
      <vt:lpstr>4. ГПП-УЗПКТ-СЗСК</vt:lpstr>
      <vt:lpstr>5. ГД Астрахань</vt:lpstr>
      <vt:lpstr>6. ГД Оренбург</vt:lpstr>
      <vt:lpstr>7. ГД Ямбург</vt:lpstr>
      <vt:lpstr>8. ГД Уренгой</vt:lpstr>
      <vt:lpstr>9. ГД Краснодар</vt:lpstr>
      <vt:lpstr>10. ГД Ноябрьск</vt:lpstr>
      <vt:lpstr>11. ГД Надым</vt:lpstr>
      <vt:lpstr>12. ГД Иркутск</vt:lpstr>
      <vt:lpstr>13. ГД Шельф</vt:lpstr>
      <vt:lpstr>14. ГП Благовещенск (Ам ГПЗ)</vt:lpstr>
      <vt:lpstr>15. КСПГ Портовая</vt:lpstr>
      <vt:lpstr>16. Востокгазпром</vt:lpstr>
      <vt:lpstr>17. Нефтехим Салават</vt:lpstr>
      <vt:lpstr>18. Газпром нефть</vt:lpstr>
      <vt:lpstr>_INTERNAL_KEY1</vt:lpstr>
      <vt:lpstr>_INTERNAL_KEY10</vt:lpstr>
      <vt:lpstr>_INTERNAL_KEY11</vt:lpstr>
      <vt:lpstr>_INTERNAL_KEY12</vt:lpstr>
      <vt:lpstr>_INTERNAL_KEY13</vt:lpstr>
      <vt:lpstr>_INTERNAL_KEY14</vt:lpstr>
      <vt:lpstr>_INTERNAL_KEY15</vt:lpstr>
      <vt:lpstr>_INTERNAL_KEY16</vt:lpstr>
      <vt:lpstr>_INTERNAL_KEY17</vt:lpstr>
      <vt:lpstr>_INTERNAL_KEY18</vt:lpstr>
      <vt:lpstr>_INTERNAL_KEY2</vt:lpstr>
      <vt:lpstr>_INTERNAL_KEY3</vt:lpstr>
      <vt:lpstr>_INTERNAL_KEY4</vt:lpstr>
      <vt:lpstr>_INTERNAL_KEY5</vt:lpstr>
      <vt:lpstr>_INTERNAL_KEY6</vt:lpstr>
      <vt:lpstr>_INTERNAL_KEY7</vt:lpstr>
      <vt:lpstr>_INTERNAL_KEY8</vt:lpstr>
      <vt:lpstr>_INTERNAL_KEY9</vt:lpstr>
      <vt:lpstr>_SET_ROW1</vt:lpstr>
      <vt:lpstr>_SET_ROW10</vt:lpstr>
      <vt:lpstr>_SET_ROW11</vt:lpstr>
      <vt:lpstr>_SET_ROW12</vt:lpstr>
      <vt:lpstr>_SET_ROW13</vt:lpstr>
      <vt:lpstr>_SET_ROW14</vt:lpstr>
      <vt:lpstr>_SET_ROW15</vt:lpstr>
      <vt:lpstr>_SET_ROW16</vt:lpstr>
      <vt:lpstr>_SET_ROW17</vt:lpstr>
      <vt:lpstr>_SET_ROW18</vt:lpstr>
      <vt:lpstr>_SET_ROW2</vt:lpstr>
      <vt:lpstr>_SET_ROW3</vt:lpstr>
      <vt:lpstr>_SET_ROW4</vt:lpstr>
      <vt:lpstr>_SET_ROW5</vt:lpstr>
      <vt:lpstr>_SET_ROW6</vt:lpstr>
      <vt:lpstr>_SET_ROW7</vt:lpstr>
      <vt:lpstr>_SET_ROW8</vt:lpstr>
      <vt:lpstr>_SET_ROW9</vt:lpstr>
      <vt:lpstr>_SUM_REP_INTERNAL_KEY1</vt:lpstr>
      <vt:lpstr>_SUM_REP_INTERNAL_KEY2</vt:lpstr>
      <vt:lpstr>_SUM_REP_SET_ROW1</vt:lpstr>
      <vt:lpstr>_SUM_REP_SET_ROW2</vt:lpstr>
      <vt:lpstr>'1. ГПП-АГПЗ+'!Область_печати</vt:lpstr>
      <vt:lpstr>'10. ГД Ноябрьск'!Область_печати</vt:lpstr>
      <vt:lpstr>'11. ГД Надым'!Область_печати</vt:lpstr>
      <vt:lpstr>'12. ГД Иркутск'!Область_печати</vt:lpstr>
      <vt:lpstr>'13. ГД Шельф'!Область_печати</vt:lpstr>
      <vt:lpstr>'14. ГП Благовещенск (Ам ГПЗ)'!Область_печати</vt:lpstr>
      <vt:lpstr>'15. КСПГ Портовая'!Область_печати</vt:lpstr>
      <vt:lpstr>'16. Востокгазпром'!Область_печати</vt:lpstr>
      <vt:lpstr>'2. ГПП-ОГХК'!Область_печати</vt:lpstr>
      <vt:lpstr>'3. ГПП-СГПЗ'!Область_печати</vt:lpstr>
      <vt:lpstr>'4. ГПП-УЗПКТ-СЗСК'!Область_печати</vt:lpstr>
      <vt:lpstr>'5. ГД Астрахань'!Область_печати</vt:lpstr>
      <vt:lpstr>'6. ГД Оренбург'!Область_печати</vt:lpstr>
      <vt:lpstr>'7. ГД Ямбург'!Область_печати</vt:lpstr>
      <vt:lpstr>'8. ГД Уренгой'!Область_печати</vt:lpstr>
      <vt:lpstr>'9. ГД Краснодар'!Область_печати</vt:lpstr>
      <vt:lpstr>'План общий'!Область_печати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Матвеева Марина Викторовна</dc:creator>
  <cp:lastModifiedBy>Windows User</cp:lastModifiedBy>
  <cp:revision>4</cp:revision>
  <cp:lastPrinted>2026-02-26T14:33:58Z</cp:lastPrinted>
  <dcterms:created xsi:type="dcterms:W3CDTF">2018-04-25T06:05:34Z</dcterms:created>
  <dcterms:modified xsi:type="dcterms:W3CDTF">2026-07-17T07:27:26Z</dcterms:modified>
</cp:coreProperties>
</file>