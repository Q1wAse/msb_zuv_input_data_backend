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ЭтаКнига"/>
  <bookViews>
    <workbookView visibility="visible" minimized="0" showHorizontalScroll="1" showVerticalScroll="1" showSheetTabs="1" xWindow="360" yWindow="6735" windowWidth="20955" windowHeight="9720" tabRatio="600" firstSheet="7" activeTab="13" autoFilterDateGrouping="1"/>
  </bookViews>
  <sheets>
    <sheet xmlns:r="http://schemas.openxmlformats.org/officeDocument/2006/relationships" name="tech" sheetId="1" state="veryHidden" r:id="rId1"/>
    <sheet xmlns:r="http://schemas.openxmlformats.org/officeDocument/2006/relationships" name="Факт общий" sheetId="2" state="veryHidden" r:id="rId2"/>
    <sheet xmlns:r="http://schemas.openxmlformats.org/officeDocument/2006/relationships" name="План общий" sheetId="3" state="visible" r:id="rId3"/>
    <sheet xmlns:r="http://schemas.openxmlformats.org/officeDocument/2006/relationships" name="1-003-О" sheetId="4" state="veryHidden" r:id="rId4"/>
    <sheet xmlns:r="http://schemas.openxmlformats.org/officeDocument/2006/relationships" name="Отчет по КПД ДО" sheetId="5" state="veryHidden" r:id="rId5"/>
    <sheet xmlns:r="http://schemas.openxmlformats.org/officeDocument/2006/relationships" name="Баланс ЗС" sheetId="6" state="veryHidden" r:id="rId6"/>
    <sheet xmlns:r="http://schemas.openxmlformats.org/officeDocument/2006/relationships" name="ЕЖО" sheetId="7" state="veryHidden" r:id="rId7"/>
    <sheet xmlns:r="http://schemas.openxmlformats.org/officeDocument/2006/relationships" name="1. ГПП-АГПЗ+" sheetId="8" state="visible" r:id="rId8"/>
    <sheet xmlns:r="http://schemas.openxmlformats.org/officeDocument/2006/relationships" name="2. ГПП-ОГХК" sheetId="9" state="visible" r:id="rId9"/>
    <sheet xmlns:r="http://schemas.openxmlformats.org/officeDocument/2006/relationships" name="3. ГПП-СГПЗ" sheetId="10" state="visible" r:id="rId10"/>
    <sheet xmlns:r="http://schemas.openxmlformats.org/officeDocument/2006/relationships" name="4. ГПП-УЗПКТ-СЗСК" sheetId="11" state="visible" r:id="rId11"/>
    <sheet xmlns:r="http://schemas.openxmlformats.org/officeDocument/2006/relationships" name="5. ГД Астрахань" sheetId="12" state="visible" r:id="rId12"/>
    <sheet xmlns:r="http://schemas.openxmlformats.org/officeDocument/2006/relationships" name="6. ГД Оренбург" sheetId="13" state="visible" r:id="rId13"/>
    <sheet xmlns:r="http://schemas.openxmlformats.org/officeDocument/2006/relationships" name="7. ГД Ямбург" sheetId="14" state="visible" r:id="rId14"/>
    <sheet xmlns:r="http://schemas.openxmlformats.org/officeDocument/2006/relationships" name="8. ГД Уренгой" sheetId="15" state="visible" r:id="rId15"/>
    <sheet xmlns:r="http://schemas.openxmlformats.org/officeDocument/2006/relationships" name="9. ГД Краснодар" sheetId="16" state="visible" r:id="rId16"/>
    <sheet xmlns:r="http://schemas.openxmlformats.org/officeDocument/2006/relationships" name="10. ГД Ноябрьск" sheetId="17" state="visible" r:id="rId17"/>
    <sheet xmlns:r="http://schemas.openxmlformats.org/officeDocument/2006/relationships" name="11. ГД Надым" sheetId="18" state="visible" r:id="rId18"/>
    <sheet xmlns:r="http://schemas.openxmlformats.org/officeDocument/2006/relationships" name="12. ГД Иркутск" sheetId="19" state="visible" r:id="rId19"/>
    <sheet xmlns:r="http://schemas.openxmlformats.org/officeDocument/2006/relationships" name="13. ГД Шельф" sheetId="20" state="visible" r:id="rId20"/>
    <sheet xmlns:r="http://schemas.openxmlformats.org/officeDocument/2006/relationships" name="14. ГП Благовещенск (Ам ГПЗ)" sheetId="21" state="visible" r:id="rId21"/>
    <sheet xmlns:r="http://schemas.openxmlformats.org/officeDocument/2006/relationships" name="15. КСПГ Портовая" sheetId="22" state="visible" r:id="rId22"/>
    <sheet xmlns:r="http://schemas.openxmlformats.org/officeDocument/2006/relationships" name="16. Востокгазпром" sheetId="23" state="visible" r:id="rId23"/>
    <sheet xmlns:r="http://schemas.openxmlformats.org/officeDocument/2006/relationships" name="17. Нефтехим Салават" sheetId="24" state="visible" r:id="rId24"/>
    <sheet xmlns:r="http://schemas.openxmlformats.org/officeDocument/2006/relationships" name="18. Газпром нефть" sheetId="25" state="visible" r:id="rId25"/>
  </sheets>
  <externalReferences>
    <externalReference xmlns:r="http://schemas.openxmlformats.org/officeDocument/2006/relationships" r:id="rId26"/>
    <externalReference xmlns:r="http://schemas.openxmlformats.org/officeDocument/2006/relationships" r:id="rId27"/>
  </externalReferences>
  <definedNames>
    <definedName name="____________q1" hidden="1">{#N/A,#N/A,FALSE,"Август Сальдо После отчета"}</definedName>
    <definedName name="___________q1" hidden="1">{#N/A,#N/A,FALSE,"Август Сальдо После отчета"}</definedName>
    <definedName name="__________q1" hidden="1">{#N/A,#N/A,FALSE,"Август Сальдо После отчета"}</definedName>
    <definedName name="_________q1" hidden="1">{#N/A,#N/A,FALSE,"Август Сальдо После отчета"}</definedName>
    <definedName name="________q1" hidden="1">{#N/A,#N/A,FALSE,"Август Сальдо После отчета"}</definedName>
    <definedName name="_______q1" hidden="1">{#N/A,#N/A,FALSE,"Август Сальдо После отчета"}</definedName>
    <definedName name="______q1" hidden="1">{#N/A,#N/A,FALSE,"Август Сальдо После отчета"}</definedName>
    <definedName name="_____q1" hidden="1">{#N/A,#N/A,FALSE,"Август Сальдо После отчета"}</definedName>
    <definedName name="____q1" hidden="1">{#N/A,#N/A,FALSE,"Август Сальдо После отчета"}</definedName>
    <definedName name="___q1" hidden="1">{#N/A,#N/A,FALSE,"Август Сальдо После отчета"}</definedName>
    <definedName name="__q1" hidden="1">{#N/A,#N/A,FALSE,"Август Сальдо После отчета"}</definedName>
    <definedName name="_asd1" hidden="1">{#N/A,#N/A,FALSE,"Август Сальдо После отчета"}</definedName>
    <definedName name="_INTERNAL_KEY1">'1. ГПП-АГПЗ+'!$9:$9</definedName>
    <definedName name="_INTERNAL_KEY10">'10. ГД Ноябрьск'!$10:$10</definedName>
    <definedName name="_INTERNAL_KEY11">'11. ГД Надым'!$9:$9</definedName>
    <definedName name="_INTERNAL_KEY12">'12. ГД Иркутск'!$9:$9</definedName>
    <definedName name="_INTERNAL_KEY13">'13. ГД Шельф'!$9:$9</definedName>
    <definedName name="_INTERNAL_KEY14">'14. ГП Благовещенск (Ам ГПЗ)'!$9:$9</definedName>
    <definedName name="_INTERNAL_KEY15">'15. КСПГ Портовая'!$9:$9</definedName>
    <definedName name="_INTERNAL_KEY16">'16. Востокгазпром'!$9:$9</definedName>
    <definedName name="_INTERNAL_KEY17">'17. Нефтехим Салават'!$9:$9</definedName>
    <definedName name="_INTERNAL_KEY18">'18. Газпром нефть'!$9:$9</definedName>
    <definedName name="_INTERNAL_KEY2">'2. ГПП-ОГХК'!$9:$9</definedName>
    <definedName name="_INTERNAL_KEY3">'3. ГПП-СГПЗ'!$9:$9</definedName>
    <definedName name="_INTERNAL_KEY4">'4. ГПП-УЗПКТ-СЗСК'!$10:$10</definedName>
    <definedName name="_INTERNAL_KEY5">'5. ГД Астрахань'!$9:$9</definedName>
    <definedName name="_INTERNAL_KEY6">'6. ГД Оренбург'!$9:$9</definedName>
    <definedName name="_INTERNAL_KEY7">'7. ГД Ямбург'!$9:$9</definedName>
    <definedName name="_INTERNAL_KEY8">'8. ГД Уренгой'!$9:$9</definedName>
    <definedName name="_INTERNAL_KEY9">'9. ГД Краснодар'!$9:$9</definedName>
    <definedName name="_q1" hidden="1">{#N/A,#N/A,FALSE,"Август Сальдо После отчета"}</definedName>
    <definedName name="_SET_ROW1">'1. ГПП-АГПЗ+'!$E:$J</definedName>
    <definedName name="_SET_ROW10">'10. ГД Ноябрьск'!$E:$J</definedName>
    <definedName name="_SET_ROW11">'11. ГД Надым'!$E:$J</definedName>
    <definedName name="_SET_ROW12">'12. ГД Иркутск'!$E:$J</definedName>
    <definedName name="_SET_ROW13">'13. ГД Шельф'!$E:$J</definedName>
    <definedName name="_SET_ROW14">'14. ГП Благовещенск (Ам ГПЗ)'!$E:$J</definedName>
    <definedName name="_SET_ROW15">'15. КСПГ Портовая'!$E:$J</definedName>
    <definedName name="_SET_ROW16">'16. Востокгазпром'!$E:$J</definedName>
    <definedName name="_SET_ROW17">'17. Нефтехим Салават'!$E:$J</definedName>
    <definedName name="_SET_ROW18">'18. Газпром нефть'!$E:$J</definedName>
    <definedName name="_SET_ROW2">'2. ГПП-ОГХК'!$E:$J</definedName>
    <definedName name="_SET_ROW3">'3. ГПП-СГПЗ'!$E:$J</definedName>
    <definedName name="_SET_ROW4">'4. ГПП-УЗПКТ-СЗСК'!$E:$J</definedName>
    <definedName name="_SET_ROW5">'5. ГД Астрахань'!$E:$J</definedName>
    <definedName name="_SET_ROW6">'6. ГД Оренбург'!$E:$J</definedName>
    <definedName name="_SET_ROW7">'7. ГД Ямбург'!$E:$J</definedName>
    <definedName name="_SET_ROW8">'8. ГД Уренгой'!$E:$J</definedName>
    <definedName name="_SET_ROW9">'9. ГД Краснодар'!$E:$J</definedName>
    <definedName name="_STATIC_REP_INTERNAL_KEY1">'Отчет по КПД ДО'!$9:$9</definedName>
    <definedName name="_STATIC_REP_SET_ROW1">'Отчет по КПД ДО'!$E:$F</definedName>
    <definedName name="_SUM_REP_INTERNAL_KEY1">'План общий'!$9:$9</definedName>
    <definedName name="_SUM_REP_INTERNAL_KEY2">'Баланс ЗС'!$9:$9</definedName>
    <definedName name="_SUM_REP_INTERNAL_KEY3">ЕЖО!$9:$9</definedName>
    <definedName name="_SUM_REP_INTERNAL_KEY4">'Факт общий'!$9:$9</definedName>
    <definedName name="_SUM_REP_INTERNAL_KEY5">'1-003-О'!$9:$9</definedName>
    <definedName name="_SUM_REP_SET_ROW1">'План общий'!$D:$I</definedName>
    <definedName name="_SUM_REP_SET_ROW2">'Баланс ЗС'!$D:$I</definedName>
    <definedName name="_SUM_REP_SET_ROW3">ЕЖО!$D:$I</definedName>
    <definedName name="_SUM_REP_SET_ROW4">'Факт общий'!$D:$I</definedName>
    <definedName name="_SUM_REP_SET_ROW5">'1-003-О'!$D:$I</definedName>
    <definedName name="a" hidden="1">{#N/A,#N/A,FALSE,"Август Сальдо После отчета"}</definedName>
    <definedName name="anscount" hidden="1">13</definedName>
    <definedName name="asd" hidden="1">{#N/A,#N/A,FALSE,"Август Сальдо После отчета"}</definedName>
    <definedName name="d" hidden="1">{#N/A,#N/A,FALSE,"Август Сальдо После отчета"}</definedName>
    <definedName name="e" hidden="1">{#N/A,#N/A,FALSE,"Август Сальдо После отчета"}</definedName>
    <definedName name="f" hidden="1">{#N/A,#N/A,FALSE,"Август Сальдо После отчета"}</definedName>
    <definedName name="fff" hidden="1">#REF!</definedName>
    <definedName name="g" hidden="1">{#N/A,#N/A,FALSE,"Август Сальдо После отчета"}</definedName>
    <definedName name="GlobalWork" hidden="1">" "</definedName>
    <definedName name="h" hidden="1">{#N/A,#N/A,FALSE,"Август Сальдо После отчета"}</definedName>
    <definedName name="j" hidden="1">{#N/A,#N/A,FALSE,"Август Сальдо После отчета"}</definedName>
    <definedName name="jjjj" hidden="1">{#N/A,#N/A,FALSE,"Август Сальдо После отчета"}</definedName>
    <definedName name="limcount" hidden="1">13</definedName>
    <definedName name="q" hidden="1">{#N/A,#N/A,FALSE,"Август Сальдо После отчета"}</definedName>
    <definedName name="qw" hidden="1">{#N/A,#N/A,FALSE,"Август Сальдо После отчета"}</definedName>
    <definedName name="s" hidden="1">{#N/A,#N/A,FALSE,"Август Сальдо После отчета"}</definedName>
    <definedName name="SAPBEXrevision" hidden="1">1</definedName>
    <definedName name="SAPBEXsysID" hidden="1">"PCS"</definedName>
    <definedName name="SAPBEXwbID" hidden="1">"46IZ8HZJL1NAGN7JAA6FZ12CA"</definedName>
    <definedName name="sencount" hidden="1">13</definedName>
    <definedName name="t" hidden="1">{#N/A,#N/A,FALSE,"Август Сальдо После отчета"}</definedName>
    <definedName name="u" hidden="1">{#N/A,#N/A,FALSE,"Август Сальдо После отчета"}</definedName>
    <definedName name="vb" hidden="1">{#N/A,#N/A,FALSE,"Август Сальдо После отчета"}</definedName>
    <definedName name="w" hidden="1">{#N/A,#N/A,FALSE,"Август Сальдо После отчета"}</definedName>
    <definedName name="wrn.Отчет." hidden="1">{#N/A,#N/A,FALSE,"Август Сальдо После отчета"}</definedName>
    <definedName name="wrn.Сог_Полная_Версия." hidden="1">{"СОГПолнаяВерсия",#N/A,FALSE,"СОГ"}</definedName>
    <definedName name="wrn.СОГ_Укороченная_Версия." hidden="1">{"СОГУкороченнаяВерсия",#N/A,FALSE,"СОГ"}</definedName>
    <definedName name="www" hidden="1">#REF!</definedName>
    <definedName name="y" hidden="1">{#N/A,#N/A,FALSE,"Август Сальдо После отчета"}</definedName>
    <definedName name="Z_1BDBA328_8BF0_4216_A22B_2FB9A5FB2784_.wvu.PrintArea" hidden="1">[1]Лист2!$A$1:$O$144</definedName>
    <definedName name="Z_1BDBA328_8BF0_4216_A22B_2FB9A5FB2784_.wvu.PrintTitles" hidden="1">[1]Лист2!$A$4:$IV$5</definedName>
    <definedName name="Z_1BDBA328_8BF0_4216_A22B_2FB9A5FB2784_.wvu.Rows" hidden="1">[1]Лист2!$A$30:$IV$35,[1]Лист2!$A$70:$IV$72,[1]Лист2!$A$83:$IV$83,[1]Лист2!$A$88:$IV$88,[1]Лист2!$A$111:$IV$112,[1]Лист2!$A$119:$IV$124,[1]Лист2!$A$135:$IV$137</definedName>
    <definedName name="а" hidden="1">{#N/A,#N/A,FALSE,"Август Сальдо После отчета"}</definedName>
    <definedName name="ааа" hidden="1">{#N/A,#N/A,FALSE,"Август Сальдо После отчета"}</definedName>
    <definedName name="аааааааа" hidden="1">{#N/A,#N/A,FALSE,"Август Сальдо После отчета"}</definedName>
    <definedName name="ааааааааа" hidden="1">{#N/A,#N/A,FALSE,"Август Сальдо После отчета"}</definedName>
    <definedName name="аааааааааааааваа" hidden="1">{#N/A,#N/A,FALSE,"Август Сальдо После отчета"}</definedName>
    <definedName name="апрапрпорл" hidden="1">{#N/A,#N/A,FALSE,"Август Сальдо После отчета"}</definedName>
    <definedName name="ар" hidden="1">{#N/A,#N/A,FALSE,"Август Сальдо После отчета"}</definedName>
    <definedName name="б" hidden="1">{#N/A,#N/A,FALSE,"Август Сальдо После отчета"}</definedName>
    <definedName name="база" hidden="1">{#N/A,#N/A,FALSE,"Август Сальдо После отчета"}</definedName>
    <definedName name="в" hidden="1">{#N/A,#N/A,FALSE,"Август Сальдо После отчета"}</definedName>
    <definedName name="ввв" hidden="1">{#N/A,#N/A,FALSE,"Август Сальдо После отчета"}</definedName>
    <definedName name="ггг" hidden="1">{#N/A,#N/A,FALSE,"Август Сальдо После отчета"}</definedName>
    <definedName name="ее" hidden="1">{#N/A,#N/A,FALSE,"Август Сальдо После отчета"}</definedName>
    <definedName name="ж" hidden="1">{#N/A,#N/A,FALSE,"Август Сальдо После отчета"}</definedName>
    <definedName name="з" hidden="1">{#N/A,#N/A,FALSE,"Август Сальдо После отчета"}</definedName>
    <definedName name="и" hidden="1">{#N/A,#N/A,FALSE,"Август Сальдо После отчета"}</definedName>
    <definedName name="июнь" hidden="1">{#N/A,#N/A,FALSE,"Август Сальдо После отчета"}</definedName>
    <definedName name="йй" hidden="1">{#N/A,#N/A,FALSE,"Август Сальдо После отчета"}</definedName>
    <definedName name="йййй" hidden="1">{#N/A,#N/A,FALSE,"Август Сальдо После отчета"}</definedName>
    <definedName name="к" hidden="1">{#N/A,#N/A,FALSE,"Август Сальдо После отчета"}</definedName>
    <definedName name="кк" hidden="1">{#N/A,#N/A,FALSE,"Август Сальдо После отчета"}</definedName>
    <definedName name="кп" hidden="1">{#N/A,#N/A,FALSE,"Август Сальдо После отчета"}</definedName>
    <definedName name="кпп" hidden="1">{#N/A,#N/A,FALSE,"Август Сальдо После отчета"}</definedName>
    <definedName name="л" hidden="1">{#N/A,#N/A,FALSE,"Август Сальдо После отчета"}</definedName>
    <definedName name="лл" hidden="1">{#N/A,#N/A,FALSE,"Август Сальдо После отчета"}</definedName>
    <definedName name="ло" hidden="1">{#N/A,#N/A,FALSE,"Август Сальдо После отчета"}</definedName>
    <definedName name="лр" hidden="1">{#N/A,#N/A,FALSE,"Август Сальдо После отчета"}</definedName>
    <definedName name="м" hidden="1">{#N/A,#N/A,FALSE,"Август Сальдо После отчета"}</definedName>
    <definedName name="н" hidden="1">{#N/A,#N/A,FALSE,"Август Сальдо После отчета"}</definedName>
    <definedName name="НВ" hidden="1">{#N/A,#N/A,FALSE,"Август Сальдо После отчета"}</definedName>
    <definedName name="ннн" hidden="1">{#N/A,#N/A,FALSE,"Август Сальдо После отчета"}</definedName>
    <definedName name="нов." hidden="1">{#N/A,#N/A,FALSE,"Август Сальдо После отчета"}</definedName>
    <definedName name="о" hidden="1">{#N/A,#N/A,FALSE,"Август Сальдо После отчета"}</definedName>
    <definedName name="ол" hidden="1">{#N/A,#N/A,FALSE,"Август Сальдо После отчета"}</definedName>
    <definedName name="олджлждждж" hidden="1">{#N/A,#N/A,FALSE,"Август Сальдо После отчета"}</definedName>
    <definedName name="оо" hidden="1">{#N/A,#N/A,FALSE,"Август Сальдо После отчета"}</definedName>
    <definedName name="ооо" hidden="1">{#N/A,#N/A,FALSE,"Август Сальдо После отчета"}</definedName>
    <definedName name="оооо" hidden="1">{#N/A,#N/A,FALSE,"Август Сальдо После отчета"}</definedName>
    <definedName name="ооооо" hidden="1">{#N/A,#N/A,FALSE,"Август Сальдо После отчета"}</definedName>
    <definedName name="орлордлодлдл" hidden="1">{#N/A,#N/A,FALSE,"Август Сальдо После отчета"}</definedName>
    <definedName name="отчет" hidden="1">{#N/A,#N/A,FALSE,"Август Сальдо После отчета"}</definedName>
    <definedName name="п" hidden="1">{#N/A,#N/A,FALSE,"Август Сальдо После отчета"}</definedName>
    <definedName name="ппп" hidden="1">{#N/A,#N/A,FALSE,"Август Сальдо После отчета"}</definedName>
    <definedName name="пппп" hidden="1">{#N/A,#N/A,FALSE,"Август Сальдо После отчета"}</definedName>
    <definedName name="прап" hidden="1">{#N/A,#N/A,FALSE,"Август Сальдо После отчета"}</definedName>
    <definedName name="ПРИБЫЛЬ" hidden="1">{#N/A,#N/A,FALSE,"Август Сальдо После отчета"}</definedName>
    <definedName name="про" hidden="1">{#N/A,#N/A,FALSE,"Август Сальдо После отчета"}</definedName>
    <definedName name="проо" hidden="1">{#N/A,#N/A,FALSE,"Август Сальдо После отчета"}</definedName>
    <definedName name="ПХГ" hidden="1">{"СОГПолнаяВерсия",#N/A,FALSE,"СОГ"}</definedName>
    <definedName name="р" hidden="1">{#N/A,#N/A,FALSE,"Август Сальдо После отчета"}</definedName>
    <definedName name="роо" hidden="1">{#N/A,#N/A,FALSE,"Август Сальдо После отчета"}</definedName>
    <definedName name="ррр" hidden="1">{#N/A,#N/A,FALSE,"Август Сальдо После отчета"}</definedName>
    <definedName name="с" hidden="1">{#N/A,#N/A,FALSE,"Август Сальдо После отчета"}</definedName>
    <definedName name="смета" hidden="1">#REF!</definedName>
    <definedName name="СНП" hidden="1">#REF!</definedName>
    <definedName name="сравнен" hidden="1">{#N/A,#N/A,FALSE,"Август Сальдо После отчета"}</definedName>
    <definedName name="Сцен.новые" hidden="1">{#N/A,#N/A,FALSE,"Август Сальдо После отчета"}</definedName>
    <definedName name="т" hidden="1">{#N/A,#N/A,FALSE,"Август Сальдо После отчета"}</definedName>
    <definedName name="транзит" hidden="1">{#N/A,#N/A,FALSE,"Август Сальдо После отчета"}</definedName>
    <definedName name="транзит2" hidden="1">{#N/A,#N/A,FALSE,"Август Сальдо После отчета"}</definedName>
    <definedName name="ттттт" hidden="1">{#N/A,#N/A,FALSE,"Август Сальдо После отчета"}</definedName>
    <definedName name="у" hidden="1">{#N/A,#N/A,FALSE,"Август Сальдо После отчета"}</definedName>
    <definedName name="ууу" hidden="1">{#N/A,#N/A,FALSE,"Август Сальдо После отчета"}</definedName>
    <definedName name="ф" hidden="1">{#N/A,#N/A,FALSE,"Август Сальдо После отчета"}</definedName>
    <definedName name="ф7" hidden="1">[2]ИД!#REF!</definedName>
    <definedName name="факт" hidden="1">{#N/A,#N/A,FALSE,"Август Сальдо После отчета"}</definedName>
    <definedName name="фы" hidden="1">#REF!</definedName>
    <definedName name="цв" hidden="1">{#N/A,#N/A,FALSE,"Август Сальдо После отчета"}</definedName>
    <definedName name="цк" hidden="1">{#N/A,#N/A,FALSE,"Август Сальдо После отчета"}</definedName>
    <definedName name="цкк" hidden="1">{#N/A,#N/A,FALSE,"Август Сальдо После отчета"}</definedName>
    <definedName name="цккк" hidden="1">{#N/A,#N/A,FALSE,"Август Сальдо После отчета"}</definedName>
    <definedName name="цкккк" hidden="1">{#N/A,#N/A,FALSE,"Август Сальдо После отчета"}</definedName>
    <definedName name="цккккк" hidden="1">{#N/A,#N/A,FALSE,"Август Сальдо После отчета"}</definedName>
    <definedName name="цкккккк" hidden="1">{#N/A,#N/A,FALSE,"Август Сальдо После отчета"}</definedName>
    <definedName name="цц" hidden="1">{#N/A,#N/A,FALSE,"Август Сальдо После отчета"}</definedName>
    <definedName name="ч" hidden="1">{#N/A,#N/A,FALSE,"Август Сальдо После отчета"}</definedName>
    <definedName name="ш" hidden="1">{#N/A,#N/A,FALSE,"Август Сальдо После отчета"}</definedName>
    <definedName name="шшш" hidden="1">{#N/A,#N/A,FALSE,"Август Сальдо После отчета"}</definedName>
    <definedName name="щ" hidden="1">{#N/A,#N/A,FALSE,"Август Сальдо После отчета"}</definedName>
    <definedName name="щщщ" hidden="1">{#N/A,#N/A,FALSE,"Август Сальдо После отчета"}</definedName>
    <definedName name="ы" hidden="1">{#N/A,#N/A,FALSE,"Август Сальдо После отчета"}</definedName>
    <definedName name="ь" hidden="1">{#N/A,#N/A,FALSE,"Август Сальдо После отчета"}</definedName>
    <definedName name="ю" hidden="1">{#N/A,#N/A,FALSE,"Август Сальдо После отчета"}</definedName>
    <definedName name="я" hidden="1">{#N/A,#N/A,FALSE,"Август Сальдо После отчета"}</definedName>
    <definedName name="____________q1" localSheetId="1" hidden="1">{#N/A,#N/A,FALSE,"Август Сальдо После отчета"}</definedName>
    <definedName name="___________q1" localSheetId="1" hidden="1">{#N/A,#N/A,FALSE,"Август Сальдо После отчета"}</definedName>
    <definedName name="__________q1" localSheetId="1" hidden="1">{#N/A,#N/A,FALSE,"Август Сальдо После отчета"}</definedName>
    <definedName name="_________q1" localSheetId="1" hidden="1">{#N/A,#N/A,FALSE,"Август Сальдо После отчета"}</definedName>
    <definedName name="________q1" localSheetId="1" hidden="1">{#N/A,#N/A,FALSE,"Август Сальдо После отчета"}</definedName>
    <definedName name="_______q1" localSheetId="1" hidden="1">{#N/A,#N/A,FALSE,"Август Сальдо После отчета"}</definedName>
    <definedName name="______q1" localSheetId="1" hidden="1">{#N/A,#N/A,FALSE,"Август Сальдо После отчета"}</definedName>
    <definedName name="_____q1" localSheetId="1" hidden="1">{#N/A,#N/A,FALSE,"Август Сальдо После отчета"}</definedName>
    <definedName name="____q1" localSheetId="1" hidden="1">{#N/A,#N/A,FALSE,"Август Сальдо После отчета"}</definedName>
    <definedName name="___q1" localSheetId="1" hidden="1">{#N/A,#N/A,FALSE,"Август Сальдо После отчета"}</definedName>
    <definedName name="__q1" localSheetId="1" hidden="1">{#N/A,#N/A,FALSE,"Август Сальдо После отчета"}</definedName>
    <definedName name="_asd1" localSheetId="1" hidden="1">{#N/A,#N/A,FALSE,"Август Сальдо После отчета"}</definedName>
    <definedName name="_q1" localSheetId="1" hidden="1">{#N/A,#N/A,FALSE,"Август Сальдо После отчета"}</definedName>
    <definedName name="_SHEET_ID19" localSheetId="1">1</definedName>
    <definedName name="a" localSheetId="1" hidden="1">{#N/A,#N/A,FALSE,"Август Сальдо После отчета"}</definedName>
    <definedName name="asd" localSheetId="1" hidden="1">{#N/A,#N/A,FALSE,"Август Сальдо После отчета"}</definedName>
    <definedName name="d" localSheetId="1" hidden="1">{#N/A,#N/A,FALSE,"Август Сальдо После отчета"}</definedName>
    <definedName name="e" localSheetId="1" hidden="1">{#N/A,#N/A,FALSE,"Август Сальдо После отчета"}</definedName>
    <definedName name="f" localSheetId="1" hidden="1">{#N/A,#N/A,FALSE,"Август Сальдо После отчета"}</definedName>
    <definedName name="fff" localSheetId="1" hidden="1">#REF!</definedName>
    <definedName name="g" localSheetId="1" hidden="1">{#N/A,#N/A,FALSE,"Август Сальдо После отчета"}</definedName>
    <definedName name="h" localSheetId="1" hidden="1">{#N/A,#N/A,FALSE,"Август Сальдо После отчета"}</definedName>
    <definedName name="j" localSheetId="1" hidden="1">{#N/A,#N/A,FALSE,"Август Сальдо После отчета"}</definedName>
    <definedName name="jjjj" localSheetId="1" hidden="1">{#N/A,#N/A,FALSE,"Август Сальдо После отчета"}</definedName>
    <definedName name="q" localSheetId="1" hidden="1">{#N/A,#N/A,FALSE,"Август Сальдо После отчета"}</definedName>
    <definedName name="qw" localSheetId="1" hidden="1">{#N/A,#N/A,FALSE,"Август Сальдо После отчета"}</definedName>
    <definedName name="s" localSheetId="1" hidden="1">{#N/A,#N/A,FALSE,"Август Сальдо После отчета"}</definedName>
    <definedName name="t" localSheetId="1" hidden="1">{#N/A,#N/A,FALSE,"Август Сальдо После отчета"}</definedName>
    <definedName name="u" localSheetId="1" hidden="1">{#N/A,#N/A,FALSE,"Август Сальдо После отчета"}</definedName>
    <definedName name="vb" localSheetId="1" hidden="1">{#N/A,#N/A,FALSE,"Август Сальдо После отчета"}</definedName>
    <definedName name="w" localSheetId="1" hidden="1">{#N/A,#N/A,FALSE,"Август Сальдо После отчета"}</definedName>
    <definedName name="wrn.Отчет." localSheetId="1" hidden="1">{#N/A,#N/A,FALSE,"Август Сальдо После отчета"}</definedName>
    <definedName name="wrn.Сог_Полная_Версия." localSheetId="1" hidden="1">{"СОГПолнаяВерсия",#N/A,FALSE,"СОГ"}</definedName>
    <definedName name="wrn.СОГ_Укороченная_Версия." localSheetId="1" hidden="1">{"СОГУкороченнаяВерсия",#N/A,FALSE,"СОГ"}</definedName>
    <definedName name="y" localSheetId="1" hidden="1">{#N/A,#N/A,FALSE,"Август Сальдо После отчета"}</definedName>
    <definedName name="а" localSheetId="1" hidden="1">{#N/A,#N/A,FALSE,"Август Сальдо После отчета"}</definedName>
    <definedName name="ааа" localSheetId="1" hidden="1">{#N/A,#N/A,FALSE,"Август Сальдо После отчета"}</definedName>
    <definedName name="аааааааа" localSheetId="1" hidden="1">{#N/A,#N/A,FALSE,"Август Сальдо После отчета"}</definedName>
    <definedName name="ааааааааа" localSheetId="1" hidden="1">{#N/A,#N/A,FALSE,"Август Сальдо После отчета"}</definedName>
    <definedName name="аааааааааааааваа" localSheetId="1" hidden="1">{#N/A,#N/A,FALSE,"Август Сальдо После отчета"}</definedName>
    <definedName name="апрапрпорл" localSheetId="1" hidden="1">{#N/A,#N/A,FALSE,"Август Сальдо После отчета"}</definedName>
    <definedName name="ар" localSheetId="1" hidden="1">{#N/A,#N/A,FALSE,"Август Сальдо После отчета"}</definedName>
    <definedName name="б" localSheetId="1" hidden="1">{#N/A,#N/A,FALSE,"Август Сальдо После отчета"}</definedName>
    <definedName name="база" localSheetId="1" hidden="1">{#N/A,#N/A,FALSE,"Август Сальдо После отчета"}</definedName>
    <definedName name="в" localSheetId="1" hidden="1">{#N/A,#N/A,FALSE,"Август Сальдо После отчета"}</definedName>
    <definedName name="ввв" localSheetId="1" hidden="1">{#N/A,#N/A,FALSE,"Август Сальдо После отчета"}</definedName>
    <definedName name="ггг" localSheetId="1" hidden="1">{#N/A,#N/A,FALSE,"Август Сальдо После отчета"}</definedName>
    <definedName name="ее" localSheetId="1" hidden="1">{#N/A,#N/A,FALSE,"Август Сальдо После отчета"}</definedName>
    <definedName name="ж" localSheetId="1" hidden="1">{#N/A,#N/A,FALSE,"Август Сальдо После отчета"}</definedName>
    <definedName name="з" localSheetId="1" hidden="1">{#N/A,#N/A,FALSE,"Август Сальдо После отчета"}</definedName>
    <definedName name="и" localSheetId="1" hidden="1">{#N/A,#N/A,FALSE,"Август Сальдо После отчета"}</definedName>
    <definedName name="июнь" localSheetId="1" hidden="1">{#N/A,#N/A,FALSE,"Август Сальдо После отчета"}</definedName>
    <definedName name="йй" localSheetId="1" hidden="1">{#N/A,#N/A,FALSE,"Август Сальдо После отчета"}</definedName>
    <definedName name="йййй" localSheetId="1" hidden="1">{#N/A,#N/A,FALSE,"Август Сальдо После отчета"}</definedName>
    <definedName name="к" localSheetId="1" hidden="1">{#N/A,#N/A,FALSE,"Август Сальдо После отчета"}</definedName>
    <definedName name="кк" localSheetId="1" hidden="1">{#N/A,#N/A,FALSE,"Август Сальдо После отчета"}</definedName>
    <definedName name="кп" localSheetId="1" hidden="1">{#N/A,#N/A,FALSE,"Август Сальдо После отчета"}</definedName>
    <definedName name="кпп" localSheetId="1" hidden="1">{#N/A,#N/A,FALSE,"Август Сальдо После отчета"}</definedName>
    <definedName name="л" localSheetId="1" hidden="1">{#N/A,#N/A,FALSE,"Август Сальдо После отчета"}</definedName>
    <definedName name="лл" localSheetId="1" hidden="1">{#N/A,#N/A,FALSE,"Август Сальдо После отчета"}</definedName>
    <definedName name="ло" localSheetId="1" hidden="1">{#N/A,#N/A,FALSE,"Август Сальдо После отчета"}</definedName>
    <definedName name="лр" localSheetId="1" hidden="1">{#N/A,#N/A,FALSE,"Август Сальдо После отчета"}</definedName>
    <definedName name="м" localSheetId="1" hidden="1">{#N/A,#N/A,FALSE,"Август Сальдо После отчета"}</definedName>
    <definedName name="н" localSheetId="1" hidden="1">{#N/A,#N/A,FALSE,"Август Сальдо После отчета"}</definedName>
    <definedName name="НВ" localSheetId="1" hidden="1">{#N/A,#N/A,FALSE,"Август Сальдо После отчета"}</definedName>
    <definedName name="ннн" localSheetId="1" hidden="1">{#N/A,#N/A,FALSE,"Август Сальдо После отчета"}</definedName>
    <definedName name="нов." localSheetId="1" hidden="1">{#N/A,#N/A,FALSE,"Август Сальдо После отчета"}</definedName>
    <definedName name="о" localSheetId="1" hidden="1">{#N/A,#N/A,FALSE,"Август Сальдо После отчета"}</definedName>
    <definedName name="ол" localSheetId="1" hidden="1">{#N/A,#N/A,FALSE,"Август Сальдо После отчета"}</definedName>
    <definedName name="олджлждждж" localSheetId="1" hidden="1">{#N/A,#N/A,FALSE,"Август Сальдо После отчета"}</definedName>
    <definedName name="оо" localSheetId="1" hidden="1">{#N/A,#N/A,FALSE,"Август Сальдо После отчета"}</definedName>
    <definedName name="ооо" localSheetId="1" hidden="1">{#N/A,#N/A,FALSE,"Август Сальдо После отчета"}</definedName>
    <definedName name="оооо" localSheetId="1" hidden="1">{#N/A,#N/A,FALSE,"Август Сальдо После отчета"}</definedName>
    <definedName name="ооооо" localSheetId="1" hidden="1">{#N/A,#N/A,FALSE,"Август Сальдо После отчета"}</definedName>
    <definedName name="орлордлодлдл" localSheetId="1" hidden="1">{#N/A,#N/A,FALSE,"Август Сальдо После отчета"}</definedName>
    <definedName name="отчет" localSheetId="1" hidden="1">{#N/A,#N/A,FALSE,"Август Сальдо После отчета"}</definedName>
    <definedName name="п" localSheetId="1" hidden="1">{#N/A,#N/A,FALSE,"Август Сальдо После отчета"}</definedName>
    <definedName name="ппп" localSheetId="1" hidden="1">{#N/A,#N/A,FALSE,"Август Сальдо После отчета"}</definedName>
    <definedName name="пппп" localSheetId="1" hidden="1">{#N/A,#N/A,FALSE,"Август Сальдо После отчета"}</definedName>
    <definedName name="прап" localSheetId="1" hidden="1">{#N/A,#N/A,FALSE,"Август Сальдо После отчета"}</definedName>
    <definedName name="ПРИБЫЛЬ" localSheetId="1" hidden="1">{#N/A,#N/A,FALSE,"Август Сальдо После отчета"}</definedName>
    <definedName name="про" localSheetId="1" hidden="1">{#N/A,#N/A,FALSE,"Август Сальдо После отчета"}</definedName>
    <definedName name="проо" localSheetId="1" hidden="1">{#N/A,#N/A,FALSE,"Август Сальдо После отчета"}</definedName>
    <definedName name="ПХГ" localSheetId="1" hidden="1">{"СОГПолнаяВерсия",#N/A,FALSE,"СОГ"}</definedName>
    <definedName name="р" localSheetId="1" hidden="1">{#N/A,#N/A,FALSE,"Август Сальдо После отчета"}</definedName>
    <definedName name="роо" localSheetId="1" hidden="1">{#N/A,#N/A,FALSE,"Август Сальдо После отчета"}</definedName>
    <definedName name="ррр" localSheetId="1" hidden="1">{#N/A,#N/A,FALSE,"Август Сальдо После отчета"}</definedName>
    <definedName name="с" localSheetId="1" hidden="1">{#N/A,#N/A,FALSE,"Август Сальдо После отчета"}</definedName>
    <definedName name="смета" localSheetId="1" hidden="1">#REF!</definedName>
    <definedName name="СНП" localSheetId="1" hidden="1">#REF!</definedName>
    <definedName name="сравнен" localSheetId="1" hidden="1">{#N/A,#N/A,FALSE,"Август Сальдо После отчета"}</definedName>
    <definedName name="Сцен.новые" localSheetId="1" hidden="1">{#N/A,#N/A,FALSE,"Август Сальдо После отчета"}</definedName>
    <definedName name="т" localSheetId="1" hidden="1">{#N/A,#N/A,FALSE,"Август Сальдо После отчета"}</definedName>
    <definedName name="транзит" localSheetId="1" hidden="1">{#N/A,#N/A,FALSE,"Август Сальдо После отчета"}</definedName>
    <definedName name="транзит2" localSheetId="1" hidden="1">{#N/A,#N/A,FALSE,"Август Сальдо После отчета"}</definedName>
    <definedName name="ттттт" localSheetId="1" hidden="1">{#N/A,#N/A,FALSE,"Август Сальдо После отчета"}</definedName>
    <definedName name="у" localSheetId="1" hidden="1">{#N/A,#N/A,FALSE,"Август Сальдо После отчета"}</definedName>
    <definedName name="ууу" localSheetId="1" hidden="1">{#N/A,#N/A,FALSE,"Август Сальдо После отчета"}</definedName>
    <definedName name="ф" localSheetId="1" hidden="1">{#N/A,#N/A,FALSE,"Август Сальдо После отчета"}</definedName>
    <definedName name="ф7" localSheetId="1" hidden="1">[2]ИД!#REF!</definedName>
    <definedName name="факт" localSheetId="1" hidden="1">{#N/A,#N/A,FALSE,"Август Сальдо После отчета"}</definedName>
    <definedName name="фы" localSheetId="1" hidden="1">#REF!</definedName>
    <definedName name="цв" localSheetId="1" hidden="1">{#N/A,#N/A,FALSE,"Август Сальдо После отчета"}</definedName>
    <definedName name="цк" localSheetId="1" hidden="1">{#N/A,#N/A,FALSE,"Август Сальдо После отчета"}</definedName>
    <definedName name="цкк" localSheetId="1" hidden="1">{#N/A,#N/A,FALSE,"Август Сальдо После отчета"}</definedName>
    <definedName name="цккк" localSheetId="1" hidden="1">{#N/A,#N/A,FALSE,"Август Сальдо После отчета"}</definedName>
    <definedName name="цкккк" localSheetId="1" hidden="1">{#N/A,#N/A,FALSE,"Август Сальдо После отчета"}</definedName>
    <definedName name="цккккк" localSheetId="1" hidden="1">{#N/A,#N/A,FALSE,"Август Сальдо После отчета"}</definedName>
    <definedName name="цкккккк" localSheetId="1" hidden="1">{#N/A,#N/A,FALSE,"Август Сальдо После отчета"}</definedName>
    <definedName name="цц" localSheetId="1" hidden="1">{#N/A,#N/A,FALSE,"Август Сальдо После отчета"}</definedName>
    <definedName name="ч" localSheetId="1" hidden="1">{#N/A,#N/A,FALSE,"Август Сальдо После отчета"}</definedName>
    <definedName name="ш" localSheetId="1" hidden="1">{#N/A,#N/A,FALSE,"Август Сальдо После отчета"}</definedName>
    <definedName name="шшш" localSheetId="1" hidden="1">{#N/A,#N/A,FALSE,"Август Сальдо После отчета"}</definedName>
    <definedName name="щ" localSheetId="1" hidden="1">{#N/A,#N/A,FALSE,"Август Сальдо После отчета"}</definedName>
    <definedName name="щщщ" localSheetId="1" hidden="1">{#N/A,#N/A,FALSE,"Август Сальдо После отчета"}</definedName>
    <definedName name="ы" localSheetId="1" hidden="1">{#N/A,#N/A,FALSE,"Август Сальдо После отчета"}</definedName>
    <definedName name="ь" localSheetId="1" hidden="1">{#N/A,#N/A,FALSE,"Август Сальдо После отчета"}</definedName>
    <definedName name="ю" localSheetId="1" hidden="1">{#N/A,#N/A,FALSE,"Август Сальдо После отчета"}</definedName>
    <definedName name="я" localSheetId="1" hidden="1">{#N/A,#N/A,FALSE,"Август Сальдо После отчета"}</definedName>
    <definedName name="____________q1" localSheetId="2" hidden="1">{#N/A,#N/A,FALSE,"Август Сальдо После отчета"}</definedName>
    <definedName name="___________q1" localSheetId="2" hidden="1">{#N/A,#N/A,FALSE,"Август Сальдо После отчета"}</definedName>
    <definedName name="__________q1" localSheetId="2" hidden="1">{#N/A,#N/A,FALSE,"Август Сальдо После отчета"}</definedName>
    <definedName name="_________q1" localSheetId="2" hidden="1">{#N/A,#N/A,FALSE,"Август Сальдо После отчета"}</definedName>
    <definedName name="________q1" localSheetId="2" hidden="1">{#N/A,#N/A,FALSE,"Август Сальдо После отчета"}</definedName>
    <definedName name="_______q1" localSheetId="2" hidden="1">{#N/A,#N/A,FALSE,"Август Сальдо После отчета"}</definedName>
    <definedName name="______q1" localSheetId="2" hidden="1">{#N/A,#N/A,FALSE,"Август Сальдо После отчета"}</definedName>
    <definedName name="_____q1" localSheetId="2" hidden="1">{#N/A,#N/A,FALSE,"Август Сальдо После отчета"}</definedName>
    <definedName name="____q1" localSheetId="2" hidden="1">{#N/A,#N/A,FALSE,"Август Сальдо После отчета"}</definedName>
    <definedName name="___q1" localSheetId="2" hidden="1">{#N/A,#N/A,FALSE,"Август Сальдо После отчета"}</definedName>
    <definedName name="__q1" localSheetId="2" hidden="1">{#N/A,#N/A,FALSE,"Август Сальдо После отчета"}</definedName>
    <definedName name="_asd1" localSheetId="2" hidden="1">{#N/A,#N/A,FALSE,"Август Сальдо После отчета"}</definedName>
    <definedName name="_q1" localSheetId="2" hidden="1">{#N/A,#N/A,FALSE,"Август Сальдо После отчета"}</definedName>
    <definedName name="_SHEET_ID20" localSheetId="2">1</definedName>
    <definedName name="a" localSheetId="2" hidden="1">{#N/A,#N/A,FALSE,"Август Сальдо После отчета"}</definedName>
    <definedName name="asd" localSheetId="2" hidden="1">{#N/A,#N/A,FALSE,"Август Сальдо После отчета"}</definedName>
    <definedName name="d" localSheetId="2" hidden="1">{#N/A,#N/A,FALSE,"Август Сальдо После отчета"}</definedName>
    <definedName name="e" localSheetId="2" hidden="1">{#N/A,#N/A,FALSE,"Август Сальдо После отчета"}</definedName>
    <definedName name="f" localSheetId="2" hidden="1">{#N/A,#N/A,FALSE,"Август Сальдо После отчета"}</definedName>
    <definedName name="fff" localSheetId="2" hidden="1">#REF!</definedName>
    <definedName name="g" localSheetId="2" hidden="1">{#N/A,#N/A,FALSE,"Август Сальдо После отчета"}</definedName>
    <definedName name="h" localSheetId="2" hidden="1">{#N/A,#N/A,FALSE,"Август Сальдо После отчета"}</definedName>
    <definedName name="j" localSheetId="2" hidden="1">{#N/A,#N/A,FALSE,"Август Сальдо После отчета"}</definedName>
    <definedName name="jjjj" localSheetId="2" hidden="1">{#N/A,#N/A,FALSE,"Август Сальдо После отчета"}</definedName>
    <definedName name="q" localSheetId="2" hidden="1">{#N/A,#N/A,FALSE,"Август Сальдо После отчета"}</definedName>
    <definedName name="qw" localSheetId="2" hidden="1">{#N/A,#N/A,FALSE,"Август Сальдо После отчета"}</definedName>
    <definedName name="s" localSheetId="2" hidden="1">{#N/A,#N/A,FALSE,"Август Сальдо После отчета"}</definedName>
    <definedName name="t" localSheetId="2" hidden="1">{#N/A,#N/A,FALSE,"Август Сальдо После отчета"}</definedName>
    <definedName name="u" localSheetId="2" hidden="1">{#N/A,#N/A,FALSE,"Август Сальдо После отчета"}</definedName>
    <definedName name="vb" localSheetId="2" hidden="1">{#N/A,#N/A,FALSE,"Август Сальдо После отчета"}</definedName>
    <definedName name="w" localSheetId="2" hidden="1">{#N/A,#N/A,FALSE,"Август Сальдо После отчета"}</definedName>
    <definedName name="wrn.Отчет." localSheetId="2" hidden="1">{#N/A,#N/A,FALSE,"Август Сальдо После отчета"}</definedName>
    <definedName name="wrn.Сог_Полная_Версия." localSheetId="2" hidden="1">{"СОГПолнаяВерсия",#N/A,FALSE,"СОГ"}</definedName>
    <definedName name="wrn.СОГ_Укороченная_Версия." localSheetId="2" hidden="1">{"СОГУкороченнаяВерсия",#N/A,FALSE,"СОГ"}</definedName>
    <definedName name="y" localSheetId="2" hidden="1">{#N/A,#N/A,FALSE,"Август Сальдо После отчета"}</definedName>
    <definedName name="а" localSheetId="2" hidden="1">{#N/A,#N/A,FALSE,"Август Сальдо После отчета"}</definedName>
    <definedName name="ааа" localSheetId="2" hidden="1">{#N/A,#N/A,FALSE,"Август Сальдо После отчета"}</definedName>
    <definedName name="аааааааа" localSheetId="2" hidden="1">{#N/A,#N/A,FALSE,"Август Сальдо После отчета"}</definedName>
    <definedName name="ааааааааа" localSheetId="2" hidden="1">{#N/A,#N/A,FALSE,"Август Сальдо После отчета"}</definedName>
    <definedName name="аааааааааааааваа" localSheetId="2" hidden="1">{#N/A,#N/A,FALSE,"Август Сальдо После отчета"}</definedName>
    <definedName name="апрапрпорл" localSheetId="2" hidden="1">{#N/A,#N/A,FALSE,"Август Сальдо После отчета"}</definedName>
    <definedName name="ар" localSheetId="2" hidden="1">{#N/A,#N/A,FALSE,"Август Сальдо После отчета"}</definedName>
    <definedName name="б" localSheetId="2" hidden="1">{#N/A,#N/A,FALSE,"Август Сальдо После отчета"}</definedName>
    <definedName name="база" localSheetId="2" hidden="1">{#N/A,#N/A,FALSE,"Август Сальдо После отчета"}</definedName>
    <definedName name="в" localSheetId="2" hidden="1">{#N/A,#N/A,FALSE,"Август Сальдо После отчета"}</definedName>
    <definedName name="ввв" localSheetId="2" hidden="1">{#N/A,#N/A,FALSE,"Август Сальдо После отчета"}</definedName>
    <definedName name="ггг" localSheetId="2" hidden="1">{#N/A,#N/A,FALSE,"Август Сальдо После отчета"}</definedName>
    <definedName name="ее" localSheetId="2" hidden="1">{#N/A,#N/A,FALSE,"Август Сальдо После отчета"}</definedName>
    <definedName name="ж" localSheetId="2" hidden="1">{#N/A,#N/A,FALSE,"Август Сальдо После отчета"}</definedName>
    <definedName name="з" localSheetId="2" hidden="1">{#N/A,#N/A,FALSE,"Август Сальдо После отчета"}</definedName>
    <definedName name="и" localSheetId="2" hidden="1">{#N/A,#N/A,FALSE,"Август Сальдо После отчета"}</definedName>
    <definedName name="июнь" localSheetId="2" hidden="1">{#N/A,#N/A,FALSE,"Август Сальдо После отчета"}</definedName>
    <definedName name="йй" localSheetId="2" hidden="1">{#N/A,#N/A,FALSE,"Август Сальдо После отчета"}</definedName>
    <definedName name="йййй" localSheetId="2" hidden="1">{#N/A,#N/A,FALSE,"Август Сальдо После отчета"}</definedName>
    <definedName name="к" localSheetId="2" hidden="1">{#N/A,#N/A,FALSE,"Август Сальдо После отчета"}</definedName>
    <definedName name="кк" localSheetId="2" hidden="1">{#N/A,#N/A,FALSE,"Август Сальдо После отчета"}</definedName>
    <definedName name="кп" localSheetId="2" hidden="1">{#N/A,#N/A,FALSE,"Август Сальдо После отчета"}</definedName>
    <definedName name="кпп" localSheetId="2" hidden="1">{#N/A,#N/A,FALSE,"Август Сальдо После отчета"}</definedName>
    <definedName name="л" localSheetId="2" hidden="1">{#N/A,#N/A,FALSE,"Август Сальдо После отчета"}</definedName>
    <definedName name="лл" localSheetId="2" hidden="1">{#N/A,#N/A,FALSE,"Август Сальдо После отчета"}</definedName>
    <definedName name="ло" localSheetId="2" hidden="1">{#N/A,#N/A,FALSE,"Август Сальдо После отчета"}</definedName>
    <definedName name="лр" localSheetId="2" hidden="1">{#N/A,#N/A,FALSE,"Август Сальдо После отчета"}</definedName>
    <definedName name="м" localSheetId="2" hidden="1">{#N/A,#N/A,FALSE,"Август Сальдо После отчета"}</definedName>
    <definedName name="н" localSheetId="2" hidden="1">{#N/A,#N/A,FALSE,"Август Сальдо После отчета"}</definedName>
    <definedName name="НВ" localSheetId="2" hidden="1">{#N/A,#N/A,FALSE,"Август Сальдо После отчета"}</definedName>
    <definedName name="ннн" localSheetId="2" hidden="1">{#N/A,#N/A,FALSE,"Август Сальдо После отчета"}</definedName>
    <definedName name="нов." localSheetId="2" hidden="1">{#N/A,#N/A,FALSE,"Август Сальдо После отчета"}</definedName>
    <definedName name="о" localSheetId="2" hidden="1">{#N/A,#N/A,FALSE,"Август Сальдо После отчета"}</definedName>
    <definedName name="ол" localSheetId="2" hidden="1">{#N/A,#N/A,FALSE,"Август Сальдо После отчета"}</definedName>
    <definedName name="олджлждждж" localSheetId="2" hidden="1">{#N/A,#N/A,FALSE,"Август Сальдо После отчета"}</definedName>
    <definedName name="оо" localSheetId="2" hidden="1">{#N/A,#N/A,FALSE,"Август Сальдо После отчета"}</definedName>
    <definedName name="ооо" localSheetId="2" hidden="1">{#N/A,#N/A,FALSE,"Август Сальдо После отчета"}</definedName>
    <definedName name="оооо" localSheetId="2" hidden="1">{#N/A,#N/A,FALSE,"Август Сальдо После отчета"}</definedName>
    <definedName name="ооооо" localSheetId="2" hidden="1">{#N/A,#N/A,FALSE,"Август Сальдо После отчета"}</definedName>
    <definedName name="орлордлодлдл" localSheetId="2" hidden="1">{#N/A,#N/A,FALSE,"Август Сальдо После отчета"}</definedName>
    <definedName name="отчет" localSheetId="2" hidden="1">{#N/A,#N/A,FALSE,"Август Сальдо После отчета"}</definedName>
    <definedName name="п" localSheetId="2" hidden="1">{#N/A,#N/A,FALSE,"Август Сальдо После отчета"}</definedName>
    <definedName name="ппп" localSheetId="2" hidden="1">{#N/A,#N/A,FALSE,"Август Сальдо После отчета"}</definedName>
    <definedName name="пппп" localSheetId="2" hidden="1">{#N/A,#N/A,FALSE,"Август Сальдо После отчета"}</definedName>
    <definedName name="прап" localSheetId="2" hidden="1">{#N/A,#N/A,FALSE,"Август Сальдо После отчета"}</definedName>
    <definedName name="ПРИБЫЛЬ" localSheetId="2" hidden="1">{#N/A,#N/A,FALSE,"Август Сальдо После отчета"}</definedName>
    <definedName name="про" localSheetId="2" hidden="1">{#N/A,#N/A,FALSE,"Август Сальдо После отчета"}</definedName>
    <definedName name="проо" localSheetId="2" hidden="1">{#N/A,#N/A,FALSE,"Август Сальдо После отчета"}</definedName>
    <definedName name="ПХГ" localSheetId="2" hidden="1">{"СОГПолнаяВерсия",#N/A,FALSE,"СОГ"}</definedName>
    <definedName name="р" localSheetId="2" hidden="1">{#N/A,#N/A,FALSE,"Август Сальдо После отчета"}</definedName>
    <definedName name="роо" localSheetId="2" hidden="1">{#N/A,#N/A,FALSE,"Август Сальдо После отчета"}</definedName>
    <definedName name="ррр" localSheetId="2" hidden="1">{#N/A,#N/A,FALSE,"Август Сальдо После отчета"}</definedName>
    <definedName name="с" localSheetId="2" hidden="1">{#N/A,#N/A,FALSE,"Август Сальдо После отчета"}</definedName>
    <definedName name="смета" localSheetId="2" hidden="1">#REF!</definedName>
    <definedName name="СНП" localSheetId="2" hidden="1">#REF!</definedName>
    <definedName name="сравнен" localSheetId="2" hidden="1">{#N/A,#N/A,FALSE,"Август Сальдо После отчета"}</definedName>
    <definedName name="Сцен.новые" localSheetId="2" hidden="1">{#N/A,#N/A,FALSE,"Август Сальдо После отчета"}</definedName>
    <definedName name="т" localSheetId="2" hidden="1">{#N/A,#N/A,FALSE,"Август Сальдо После отчета"}</definedName>
    <definedName name="транзит" localSheetId="2" hidden="1">{#N/A,#N/A,FALSE,"Август Сальдо После отчета"}</definedName>
    <definedName name="транзит2" localSheetId="2" hidden="1">{#N/A,#N/A,FALSE,"Август Сальдо После отчета"}</definedName>
    <definedName name="ттттт" localSheetId="2" hidden="1">{#N/A,#N/A,FALSE,"Август Сальдо После отчета"}</definedName>
    <definedName name="у" localSheetId="2" hidden="1">{#N/A,#N/A,FALSE,"Август Сальдо После отчета"}</definedName>
    <definedName name="ууу" localSheetId="2" hidden="1">{#N/A,#N/A,FALSE,"Август Сальдо После отчета"}</definedName>
    <definedName name="ф" localSheetId="2" hidden="1">{#N/A,#N/A,FALSE,"Август Сальдо После отчета"}</definedName>
    <definedName name="ф7" localSheetId="2" hidden="1">[2]ИД!#REF!</definedName>
    <definedName name="факт" localSheetId="2" hidden="1">{#N/A,#N/A,FALSE,"Август Сальдо После отчета"}</definedName>
    <definedName name="фы" localSheetId="2" hidden="1">#REF!</definedName>
    <definedName name="цв" localSheetId="2" hidden="1">{#N/A,#N/A,FALSE,"Август Сальдо После отчета"}</definedName>
    <definedName name="цк" localSheetId="2" hidden="1">{#N/A,#N/A,FALSE,"Август Сальдо После отчета"}</definedName>
    <definedName name="цкк" localSheetId="2" hidden="1">{#N/A,#N/A,FALSE,"Август Сальдо После отчета"}</definedName>
    <definedName name="цккк" localSheetId="2" hidden="1">{#N/A,#N/A,FALSE,"Август Сальдо После отчета"}</definedName>
    <definedName name="цкккк" localSheetId="2" hidden="1">{#N/A,#N/A,FALSE,"Август Сальдо После отчета"}</definedName>
    <definedName name="цккккк" localSheetId="2" hidden="1">{#N/A,#N/A,FALSE,"Август Сальдо После отчета"}</definedName>
    <definedName name="цкккккк" localSheetId="2" hidden="1">{#N/A,#N/A,FALSE,"Август Сальдо После отчета"}</definedName>
    <definedName name="цц" localSheetId="2" hidden="1">{#N/A,#N/A,FALSE,"Август Сальдо После отчета"}</definedName>
    <definedName name="ч" localSheetId="2" hidden="1">{#N/A,#N/A,FALSE,"Август Сальдо После отчета"}</definedName>
    <definedName name="ш" localSheetId="2" hidden="1">{#N/A,#N/A,FALSE,"Август Сальдо После отчета"}</definedName>
    <definedName name="шшш" localSheetId="2" hidden="1">{#N/A,#N/A,FALSE,"Август Сальдо После отчета"}</definedName>
    <definedName name="щ" localSheetId="2" hidden="1">{#N/A,#N/A,FALSE,"Август Сальдо После отчета"}</definedName>
    <definedName name="щщщ" localSheetId="2" hidden="1">{#N/A,#N/A,FALSE,"Август Сальдо После отчета"}</definedName>
    <definedName name="ы" localSheetId="2" hidden="1">{#N/A,#N/A,FALSE,"Август Сальдо После отчета"}</definedName>
    <definedName name="ь" localSheetId="2" hidden="1">{#N/A,#N/A,FALSE,"Август Сальдо После отчета"}</definedName>
    <definedName name="ю" localSheetId="2" hidden="1">{#N/A,#N/A,FALSE,"Август Сальдо После отчета"}</definedName>
    <definedName name="я" localSheetId="2" hidden="1">{#N/A,#N/A,FALSE,"Август Сальдо После отчета"}</definedName>
    <definedName name="_SHEET_ID24" localSheetId="3">1</definedName>
    <definedName name="_SHEET_ID22" localSheetId="4">1</definedName>
    <definedName name="_SHEET_ID21" localSheetId="5">1</definedName>
    <definedName name="____________q1" localSheetId="6" hidden="1">{#N/A,#N/A,FALSE,"Август Сальдо После отчета"}</definedName>
    <definedName name="___________q1" localSheetId="6" hidden="1">{#N/A,#N/A,FALSE,"Август Сальдо После отчета"}</definedName>
    <definedName name="__________q1" localSheetId="6" hidden="1">{#N/A,#N/A,FALSE,"Август Сальдо После отчета"}</definedName>
    <definedName name="_________q1" localSheetId="6" hidden="1">{#N/A,#N/A,FALSE,"Август Сальдо После отчета"}</definedName>
    <definedName name="________q1" localSheetId="6" hidden="1">{#N/A,#N/A,FALSE,"Август Сальдо После отчета"}</definedName>
    <definedName name="_______q1" localSheetId="6" hidden="1">{#N/A,#N/A,FALSE,"Август Сальдо После отчета"}</definedName>
    <definedName name="______q1" localSheetId="6" hidden="1">{#N/A,#N/A,FALSE,"Август Сальдо После отчета"}</definedName>
    <definedName name="_____q1" localSheetId="6" hidden="1">{#N/A,#N/A,FALSE,"Август Сальдо После отчета"}</definedName>
    <definedName name="____q1" localSheetId="6" hidden="1">{#N/A,#N/A,FALSE,"Август Сальдо После отчета"}</definedName>
    <definedName name="___q1" localSheetId="6" hidden="1">{#N/A,#N/A,FALSE,"Август Сальдо После отчета"}</definedName>
    <definedName name="__q1" localSheetId="6" hidden="1">{#N/A,#N/A,FALSE,"Август Сальдо После отчета"}</definedName>
    <definedName name="_asd1" localSheetId="6" hidden="1">{#N/A,#N/A,FALSE,"Август Сальдо После отчета"}</definedName>
    <definedName name="_q1" localSheetId="6" hidden="1">{#N/A,#N/A,FALSE,"Август Сальдо После отчета"}</definedName>
    <definedName name="_SHEET_ID23" localSheetId="6">1</definedName>
    <definedName name="a" localSheetId="6" hidden="1">{#N/A,#N/A,FALSE,"Август Сальдо После отчета"}</definedName>
    <definedName name="asd" localSheetId="6" hidden="1">{#N/A,#N/A,FALSE,"Август Сальдо После отчета"}</definedName>
    <definedName name="d" localSheetId="6" hidden="1">{#N/A,#N/A,FALSE,"Август Сальдо После отчета"}</definedName>
    <definedName name="e" localSheetId="6" hidden="1">{#N/A,#N/A,FALSE,"Август Сальдо После отчета"}</definedName>
    <definedName name="f" localSheetId="6" hidden="1">{#N/A,#N/A,FALSE,"Август Сальдо После отчета"}</definedName>
    <definedName name="fff" localSheetId="6" hidden="1">#REF!</definedName>
    <definedName name="g" localSheetId="6" hidden="1">{#N/A,#N/A,FALSE,"Август Сальдо После отчета"}</definedName>
    <definedName name="h" localSheetId="6" hidden="1">{#N/A,#N/A,FALSE,"Август Сальдо После отчета"}</definedName>
    <definedName name="j" localSheetId="6" hidden="1">{#N/A,#N/A,FALSE,"Август Сальдо После отчета"}</definedName>
    <definedName name="jjjj" localSheetId="6" hidden="1">{#N/A,#N/A,FALSE,"Август Сальдо После отчета"}</definedName>
    <definedName name="q" localSheetId="6" hidden="1">{#N/A,#N/A,FALSE,"Август Сальдо После отчета"}</definedName>
    <definedName name="qw" localSheetId="6" hidden="1">{#N/A,#N/A,FALSE,"Август Сальдо После отчета"}</definedName>
    <definedName name="s" localSheetId="6" hidden="1">{#N/A,#N/A,FALSE,"Август Сальдо После отчета"}</definedName>
    <definedName name="t" localSheetId="6" hidden="1">{#N/A,#N/A,FALSE,"Август Сальдо После отчета"}</definedName>
    <definedName name="u" localSheetId="6" hidden="1">{#N/A,#N/A,FALSE,"Август Сальдо После отчета"}</definedName>
    <definedName name="vb" localSheetId="6" hidden="1">{#N/A,#N/A,FALSE,"Август Сальдо После отчета"}</definedName>
    <definedName name="w" localSheetId="6" hidden="1">{#N/A,#N/A,FALSE,"Август Сальдо После отчета"}</definedName>
    <definedName name="wrn.Отчет." localSheetId="6" hidden="1">{#N/A,#N/A,FALSE,"Август Сальдо После отчета"}</definedName>
    <definedName name="wrn.Сог_Полная_Версия." localSheetId="6" hidden="1">{"СОГПолнаяВерсия",#N/A,FALSE,"СОГ"}</definedName>
    <definedName name="wrn.СОГ_Укороченная_Версия." localSheetId="6" hidden="1">{"СОГУкороченнаяВерсия",#N/A,FALSE,"СОГ"}</definedName>
    <definedName name="y" localSheetId="6" hidden="1">{#N/A,#N/A,FALSE,"Август Сальдо После отчета"}</definedName>
    <definedName name="а" localSheetId="6" hidden="1">{#N/A,#N/A,FALSE,"Август Сальдо После отчета"}</definedName>
    <definedName name="ааа" localSheetId="6" hidden="1">{#N/A,#N/A,FALSE,"Август Сальдо После отчета"}</definedName>
    <definedName name="аааааааа" localSheetId="6" hidden="1">{#N/A,#N/A,FALSE,"Август Сальдо После отчета"}</definedName>
    <definedName name="ааааааааа" localSheetId="6" hidden="1">{#N/A,#N/A,FALSE,"Август Сальдо После отчета"}</definedName>
    <definedName name="аааааааааааааваа" localSheetId="6" hidden="1">{#N/A,#N/A,FALSE,"Август Сальдо После отчета"}</definedName>
    <definedName name="апрапрпорл" localSheetId="6" hidden="1">{#N/A,#N/A,FALSE,"Август Сальдо После отчета"}</definedName>
    <definedName name="ар" localSheetId="6" hidden="1">{#N/A,#N/A,FALSE,"Август Сальдо После отчета"}</definedName>
    <definedName name="б" localSheetId="6" hidden="1">{#N/A,#N/A,FALSE,"Август Сальдо После отчета"}</definedName>
    <definedName name="база" localSheetId="6" hidden="1">{#N/A,#N/A,FALSE,"Август Сальдо После отчета"}</definedName>
    <definedName name="в" localSheetId="6" hidden="1">{#N/A,#N/A,FALSE,"Август Сальдо После отчета"}</definedName>
    <definedName name="ввв" localSheetId="6" hidden="1">{#N/A,#N/A,FALSE,"Август Сальдо После отчета"}</definedName>
    <definedName name="ггг" localSheetId="6" hidden="1">{#N/A,#N/A,FALSE,"Август Сальдо После отчета"}</definedName>
    <definedName name="ее" localSheetId="6" hidden="1">{#N/A,#N/A,FALSE,"Август Сальдо После отчета"}</definedName>
    <definedName name="ж" localSheetId="6" hidden="1">{#N/A,#N/A,FALSE,"Август Сальдо После отчета"}</definedName>
    <definedName name="з" localSheetId="6" hidden="1">{#N/A,#N/A,FALSE,"Август Сальдо После отчета"}</definedName>
    <definedName name="и" localSheetId="6" hidden="1">{#N/A,#N/A,FALSE,"Август Сальдо После отчета"}</definedName>
    <definedName name="июнь" localSheetId="6" hidden="1">{#N/A,#N/A,FALSE,"Август Сальдо После отчета"}</definedName>
    <definedName name="йй" localSheetId="6" hidden="1">{#N/A,#N/A,FALSE,"Август Сальдо После отчета"}</definedName>
    <definedName name="йййй" localSheetId="6" hidden="1">{#N/A,#N/A,FALSE,"Август Сальдо После отчета"}</definedName>
    <definedName name="к" localSheetId="6" hidden="1">{#N/A,#N/A,FALSE,"Август Сальдо После отчета"}</definedName>
    <definedName name="кк" localSheetId="6" hidden="1">{#N/A,#N/A,FALSE,"Август Сальдо После отчета"}</definedName>
    <definedName name="кп" localSheetId="6" hidden="1">{#N/A,#N/A,FALSE,"Август Сальдо После отчета"}</definedName>
    <definedName name="кпп" localSheetId="6" hidden="1">{#N/A,#N/A,FALSE,"Август Сальдо После отчета"}</definedName>
    <definedName name="л" localSheetId="6" hidden="1">{#N/A,#N/A,FALSE,"Август Сальдо После отчета"}</definedName>
    <definedName name="лл" localSheetId="6" hidden="1">{#N/A,#N/A,FALSE,"Август Сальдо После отчета"}</definedName>
    <definedName name="ло" localSheetId="6" hidden="1">{#N/A,#N/A,FALSE,"Август Сальдо После отчета"}</definedName>
    <definedName name="лр" localSheetId="6" hidden="1">{#N/A,#N/A,FALSE,"Август Сальдо После отчета"}</definedName>
    <definedName name="м" localSheetId="6" hidden="1">{#N/A,#N/A,FALSE,"Август Сальдо После отчета"}</definedName>
    <definedName name="н" localSheetId="6" hidden="1">{#N/A,#N/A,FALSE,"Август Сальдо После отчета"}</definedName>
    <definedName name="НВ" localSheetId="6" hidden="1">{#N/A,#N/A,FALSE,"Август Сальдо После отчета"}</definedName>
    <definedName name="ннн" localSheetId="6" hidden="1">{#N/A,#N/A,FALSE,"Август Сальдо После отчета"}</definedName>
    <definedName name="нов." localSheetId="6" hidden="1">{#N/A,#N/A,FALSE,"Август Сальдо После отчета"}</definedName>
    <definedName name="о" localSheetId="6" hidden="1">{#N/A,#N/A,FALSE,"Август Сальдо После отчета"}</definedName>
    <definedName name="ол" localSheetId="6" hidden="1">{#N/A,#N/A,FALSE,"Август Сальдо После отчета"}</definedName>
    <definedName name="олджлждждж" localSheetId="6" hidden="1">{#N/A,#N/A,FALSE,"Август Сальдо После отчета"}</definedName>
    <definedName name="оо" localSheetId="6" hidden="1">{#N/A,#N/A,FALSE,"Август Сальдо После отчета"}</definedName>
    <definedName name="ооо" localSheetId="6" hidden="1">{#N/A,#N/A,FALSE,"Август Сальдо После отчета"}</definedName>
    <definedName name="оооо" localSheetId="6" hidden="1">{#N/A,#N/A,FALSE,"Август Сальдо После отчета"}</definedName>
    <definedName name="ооооо" localSheetId="6" hidden="1">{#N/A,#N/A,FALSE,"Август Сальдо После отчета"}</definedName>
    <definedName name="орлордлодлдл" localSheetId="6" hidden="1">{#N/A,#N/A,FALSE,"Август Сальдо После отчета"}</definedName>
    <definedName name="отчет" localSheetId="6" hidden="1">{#N/A,#N/A,FALSE,"Август Сальдо После отчета"}</definedName>
    <definedName name="п" localSheetId="6" hidden="1">{#N/A,#N/A,FALSE,"Август Сальдо После отчета"}</definedName>
    <definedName name="ппп" localSheetId="6" hidden="1">{#N/A,#N/A,FALSE,"Август Сальдо После отчета"}</definedName>
    <definedName name="пппп" localSheetId="6" hidden="1">{#N/A,#N/A,FALSE,"Август Сальдо После отчета"}</definedName>
    <definedName name="прап" localSheetId="6" hidden="1">{#N/A,#N/A,FALSE,"Август Сальдо После отчета"}</definedName>
    <definedName name="ПРИБЫЛЬ" localSheetId="6" hidden="1">{#N/A,#N/A,FALSE,"Август Сальдо После отчета"}</definedName>
    <definedName name="про" localSheetId="6" hidden="1">{#N/A,#N/A,FALSE,"Август Сальдо После отчета"}</definedName>
    <definedName name="проо" localSheetId="6" hidden="1">{#N/A,#N/A,FALSE,"Август Сальдо После отчета"}</definedName>
    <definedName name="ПХГ" localSheetId="6" hidden="1">{"СОГПолнаяВерсия",#N/A,FALSE,"СОГ"}</definedName>
    <definedName name="р" localSheetId="6" hidden="1">{#N/A,#N/A,FALSE,"Август Сальдо После отчета"}</definedName>
    <definedName name="роо" localSheetId="6" hidden="1">{#N/A,#N/A,FALSE,"Август Сальдо После отчета"}</definedName>
    <definedName name="ррр" localSheetId="6" hidden="1">{#N/A,#N/A,FALSE,"Август Сальдо После отчета"}</definedName>
    <definedName name="с" localSheetId="6" hidden="1">{#N/A,#N/A,FALSE,"Август Сальдо После отчета"}</definedName>
    <definedName name="смета" localSheetId="6" hidden="1">#REF!</definedName>
    <definedName name="СНП" localSheetId="6" hidden="1">#REF!</definedName>
    <definedName name="сравнен" localSheetId="6" hidden="1">{#N/A,#N/A,FALSE,"Август Сальдо После отчета"}</definedName>
    <definedName name="Сцен.новые" localSheetId="6" hidden="1">{#N/A,#N/A,FALSE,"Август Сальдо После отчета"}</definedName>
    <definedName name="т" localSheetId="6" hidden="1">{#N/A,#N/A,FALSE,"Август Сальдо После отчета"}</definedName>
    <definedName name="транзит" localSheetId="6" hidden="1">{#N/A,#N/A,FALSE,"Август Сальдо После отчета"}</definedName>
    <definedName name="транзит2" localSheetId="6" hidden="1">{#N/A,#N/A,FALSE,"Август Сальдо После отчета"}</definedName>
    <definedName name="ттттт" localSheetId="6" hidden="1">{#N/A,#N/A,FALSE,"Август Сальдо После отчета"}</definedName>
    <definedName name="у" localSheetId="6" hidden="1">{#N/A,#N/A,FALSE,"Август Сальдо После отчета"}</definedName>
    <definedName name="ууу" localSheetId="6" hidden="1">{#N/A,#N/A,FALSE,"Август Сальдо После отчета"}</definedName>
    <definedName name="ф" localSheetId="6" hidden="1">{#N/A,#N/A,FALSE,"Август Сальдо После отчета"}</definedName>
    <definedName name="факт" localSheetId="6" hidden="1">{#N/A,#N/A,FALSE,"Август Сальдо После отчета"}</definedName>
    <definedName name="фы" localSheetId="6" hidden="1">#REF!</definedName>
    <definedName name="цв" localSheetId="6" hidden="1">{#N/A,#N/A,FALSE,"Август Сальдо После отчета"}</definedName>
    <definedName name="цк" localSheetId="6" hidden="1">{#N/A,#N/A,FALSE,"Август Сальдо После отчета"}</definedName>
    <definedName name="цкк" localSheetId="6" hidden="1">{#N/A,#N/A,FALSE,"Август Сальдо После отчета"}</definedName>
    <definedName name="цккк" localSheetId="6" hidden="1">{#N/A,#N/A,FALSE,"Август Сальдо После отчета"}</definedName>
    <definedName name="цкккк" localSheetId="6" hidden="1">{#N/A,#N/A,FALSE,"Август Сальдо После отчета"}</definedName>
    <definedName name="цккккк" localSheetId="6" hidden="1">{#N/A,#N/A,FALSE,"Август Сальдо После отчета"}</definedName>
    <definedName name="цкккккк" localSheetId="6" hidden="1">{#N/A,#N/A,FALSE,"Август Сальдо После отчета"}</definedName>
    <definedName name="цц" localSheetId="6" hidden="1">{#N/A,#N/A,FALSE,"Август Сальдо После отчета"}</definedName>
    <definedName name="ч" localSheetId="6" hidden="1">{#N/A,#N/A,FALSE,"Август Сальдо После отчета"}</definedName>
    <definedName name="ш" localSheetId="6" hidden="1">{#N/A,#N/A,FALSE,"Август Сальдо После отчета"}</definedName>
    <definedName name="шшш" localSheetId="6" hidden="1">{#N/A,#N/A,FALSE,"Август Сальдо После отчета"}</definedName>
    <definedName name="щ" localSheetId="6" hidden="1">{#N/A,#N/A,FALSE,"Август Сальдо После отчета"}</definedName>
    <definedName name="щщщ" localSheetId="6" hidden="1">{#N/A,#N/A,FALSE,"Август Сальдо После отчета"}</definedName>
    <definedName name="ы" localSheetId="6" hidden="1">{#N/A,#N/A,FALSE,"Август Сальдо После отчета"}</definedName>
    <definedName name="ь" localSheetId="6" hidden="1">{#N/A,#N/A,FALSE,"Август Сальдо После отчета"}</definedName>
    <definedName name="ю" localSheetId="6" hidden="1">{#N/A,#N/A,FALSE,"Август Сальдо После отчета"}</definedName>
    <definedName name="я" localSheetId="6" hidden="1">{#N/A,#N/A,FALSE,"Август Сальдо После отчета"}</definedName>
    <definedName name="_SHEET_ID1" localSheetId="7">1</definedName>
    <definedName name="Z_282DC897_A8BB_4D6B_A8BC_1F24D66F96A7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282DC897_A8BB_4D6B_A8BC_1F24D66F96A7_.wvu.PrintArea" localSheetId="7" hidden="1">'1. ГПП-АГПЗ+'!$C$1:$K$84</definedName>
    <definedName name="Z_282DC897_A8BB_4D6B_A8BC_1F24D66F96A7_.wvu.PrintTitles" localSheetId="7" hidden="1">'1. ГПП-АГПЗ+'!$6:$8</definedName>
    <definedName name="Z_8A2A2F47_3CCD_4B14_B6FD_506BFD71969A_.wvu.Cols" localSheetId="7" hidden="1">'1. ГПП-АГПЗ+'!#REF!,'1. ГПП-АГПЗ+'!#REF!,'1. ГПП-АГПЗ+'!#REF!,'1. ГПП-АГПЗ+'!#REF!,'1. ГПП-АГПЗ+'!#REF!,'1. ГПП-АГПЗ+'!#REF!,'1. ГПП-АГПЗ+'!#REF!,'1. ГПП-АГПЗ+'!#REF!,'1. ГПП-АГПЗ+'!#REF!,'1. ГПП-АГПЗ+'!#REF!</definedName>
    <definedName name="Z_8A2A2F47_3CCD_4B14_B6FD_506BFD71969A_.wvu.PrintArea" localSheetId="7" hidden="1">'1. ГПП-АГПЗ+'!$B$1:$K$88</definedName>
    <definedName name="Z_DB35AC7D_F28C_47D4_B4F6_60F5274D89C3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DB35AC7D_F28C_47D4_B4F6_60F5274D89C3_.wvu.PrintArea" localSheetId="7" hidden="1">'1. ГПП-АГПЗ+'!$C$1:$K$82</definedName>
    <definedName name="Z_DB35AC7D_F28C_47D4_B4F6_60F5274D89C3_.wvu.PrintTitles" localSheetId="7" hidden="1">'1. ГПП-АГПЗ+'!$6:$8</definedName>
    <definedName name="Z_E35D3778_5275_416A_A5A0_FECB1A54AC1C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E35D3778_5275_416A_A5A0_FECB1A54AC1C_.wvu.PrintArea" localSheetId="7" hidden="1">'1. ГПП-АГПЗ+'!$C$1:$K$84</definedName>
    <definedName name="Z_E35D3778_5275_416A_A5A0_FECB1A54AC1C_.wvu.PrintTitles" localSheetId="7" hidden="1">'1. ГПП-АГПЗ+'!$6:$8</definedName>
    <definedName name="Z_E98595DA_C344_4F96_A5D2_6A38EE050D66_.wvu.Cols" localSheetId="7" hidden="1">'1.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ГПП-АГПЗ+'!#REF!,'1. ГПП-АГПЗ+'!#REF!</definedName>
    <definedName name="Z_E98595DA_C344_4F96_A5D2_6A38EE050D66_.wvu.PrintArea" localSheetId="7" hidden="1">'1. ГПП-АГПЗ+'!$C$1:$K$82</definedName>
    <definedName name="Z_E98595DA_C344_4F96_A5D2_6A38EE050D66_.wvu.PrintTitles" localSheetId="7" hidden="1">'1. ГПП-АГПЗ+'!$6:$8</definedName>
    <definedName name="_xlnm.Print_Area" localSheetId="7">'1. ГПП-АГПЗ+'!$C$1:$K$84</definedName>
    <definedName name="_SHEET_ID2" localSheetId="8">1</definedName>
    <definedName name="fff" localSheetId="8" hidden="1">#REF!</definedName>
    <definedName name="Z_282DC897_A8BB_4D6B_A8BC_1F24D66F96A7_.wvu.Cols" localSheetId="8" hidden="1">'2. ГПП-ОГХК'!$A:$B,'2.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definedName>
    <definedName name="Z_282DC897_A8BB_4D6B_A8BC_1F24D66F96A7_.wvu.PrintArea" localSheetId="8" hidden="1">'2. ГПП-ОГХК'!$C$4:$K$312</definedName>
    <definedName name="Z_282DC897_A8BB_4D6B_A8BC_1F24D66F96A7_.wvu.PrintTitles" localSheetId="8" hidden="1">'2. ГПП-ОГХК'!$6:$8</definedName>
    <definedName name="Z_E35D3778_5275_416A_A5A0_FECB1A54AC1C_.wvu.Cols" localSheetId="8" hidden="1">'2. ГПП-ОГХК'!$A:$B,'2.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ГПП-ОГХК'!#REF!,'2. ГПП-ОГХК'!#REF!</definedName>
    <definedName name="Z_E35D3778_5275_416A_A5A0_FECB1A54AC1C_.wvu.PrintArea" localSheetId="8" hidden="1">'2. ГПП-ОГХК'!$C$4:$K$312</definedName>
    <definedName name="Z_E35D3778_5275_416A_A5A0_FECB1A54AC1C_.wvu.PrintTitles" localSheetId="8" hidden="1">'2. ГПП-ОГХК'!$6:$8</definedName>
    <definedName name="Z_E98595DA_C344_4F96_A5D2_6A38EE050D66_.wvu.Cols" localSheetId="8" hidden="1">'2. ГПП-ОГХК'!$A:$B,'2. ГПП-ОГХК'!#REF!,'2. ГПП-ОГХК'!#REF!,'2. ГПП-ОГХК'!#REF!,'2. ГПП-ОГХК'!#REF!</definedName>
    <definedName name="Z_E98595DA_C344_4F96_A5D2_6A38EE050D66_.wvu.PrintArea" localSheetId="8" hidden="1">'2. ГПП-ОГХК'!$C$4:$K$312</definedName>
    <definedName name="Z_E98595DA_C344_4F96_A5D2_6A38EE050D66_.wvu.PrintTitles" localSheetId="8" hidden="1">'2. ГПП-ОГХК'!$6:$8</definedName>
    <definedName name="смета" localSheetId="8" hidden="1">#REF!</definedName>
    <definedName name="СНП" localSheetId="8" hidden="1">#REF!</definedName>
    <definedName name="фы" localSheetId="8" hidden="1">#REF!</definedName>
    <definedName name="_xlnm.Print_Area" localSheetId="8">'2. ГПП-ОГХК'!$C$1:$K$312</definedName>
    <definedName name="_SHEET_ID3" localSheetId="9">1</definedName>
    <definedName name="Z_282DC897_A8BB_4D6B_A8BC_1F24D66F96A7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282DC897_A8BB_4D6B_A8BC_1F24D66F96A7_.wvu.PrintArea" localSheetId="9" hidden="1">'3. ГПП-СГПЗ'!$C$1:$K$59</definedName>
    <definedName name="Z_8A2A2F47_3CCD_4B14_B6FD_506BFD71969A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8A2A2F47_3CCD_4B14_B6FD_506BFD71969A_.wvu.PrintArea" localSheetId="9" hidden="1">'3. ГПП-СГПЗ'!$B$1:$K$59</definedName>
    <definedName name="Z_DB35AC7D_F28C_47D4_B4F6_60F5274D89C3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DB35AC7D_F28C_47D4_B4F6_60F5274D89C3_.wvu.PrintArea" localSheetId="9" hidden="1">'3. ГПП-СГПЗ'!$C$1:$K$59</definedName>
    <definedName name="Z_DB35AC7D_F28C_47D4_B4F6_60F5274D89C3_.wvu.Rows" localSheetId="9" hidden="1">'3. ГПП-СГПЗ'!$28:$30</definedName>
    <definedName name="Z_E35D3778_5275_416A_A5A0_FECB1A54AC1C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E35D3778_5275_416A_A5A0_FECB1A54AC1C_.wvu.PrintArea" localSheetId="9" hidden="1">'3. ГПП-СГПЗ'!$C$1:$K$59</definedName>
    <definedName name="Z_E98595DA_C344_4F96_A5D2_6A38EE050D66_.wvu.Cols" localSheetId="9" hidden="1">'3.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ГПП-СГПЗ'!#REF!,'3. ГПП-СГПЗ'!#REF!</definedName>
    <definedName name="Z_E98595DA_C344_4F96_A5D2_6A38EE050D66_.wvu.PrintArea" localSheetId="9" hidden="1">'3. ГПП-СГПЗ'!$C$1:$K$59</definedName>
    <definedName name="_xlnm.Print_Area" localSheetId="9">'3. ГПП-СГПЗ'!$C$1:$K$59</definedName>
    <definedName name="_SHEET_ID4" localSheetId="10">1</definedName>
    <definedName name="Z_282DC897_A8BB_4D6B_A8BC_1F24D66F96A7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282DC897_A8BB_4D6B_A8BC_1F24D66F96A7_.wvu.PrintArea" localSheetId="10" hidden="1">'4. ГПП-УЗПКТ-СЗСК'!$B$2:$K$275</definedName>
    <definedName name="Z_282DC897_A8BB_4D6B_A8BC_1F24D66F96A7_.wvu.PrintTitles" localSheetId="10" hidden="1">'4. ГПП-УЗПКТ-СЗСК'!$7:$9</definedName>
    <definedName name="Z_282DC897_A8BB_4D6B_A8BC_1F24D66F96A7_.wvu.Rows" localSheetId="10" hidden="1">'4. ГПП-УЗПКТ-СЗСК'!$1:$1</definedName>
    <definedName name="Z_8A2A2F47_3CCD_4B14_B6FD_506BFD71969A_.wvu.Cols" localSheetId="10" hidden="1">'4.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8A2A2F47_3CCD_4B14_B6FD_506BFD71969A_.wvu.PrintTitles" localSheetId="10" hidden="1">'4. ГПП-УЗПКТ-СЗСК'!$7:$9</definedName>
    <definedName name="Z_8A2A2F47_3CCD_4B14_B6FD_506BFD71969A_.wvu.Rows" localSheetId="10" hidden="1">'4. ГПП-УЗПКТ-СЗСК'!$1:$1,'4. ГПП-УЗПКТ-СЗСК'!$3:$3</definedName>
    <definedName name="Z_DB35AC7D_F28C_47D4_B4F6_60F5274D89C3_.wvu.PrintArea" localSheetId="10" hidden="1">'4. ГПП-УЗПКТ-СЗСК'!$B$2:$K$275</definedName>
    <definedName name="Z_DB35AC7D_F28C_47D4_B4F6_60F5274D89C3_.wvu.PrintTitles" localSheetId="10" hidden="1">'4. ГПП-УЗПКТ-СЗСК'!$7:$9</definedName>
    <definedName name="Z_DB35AC7D_F28C_47D4_B4F6_60F5274D89C3_.wvu.Rows" localSheetId="10" hidden="1">'4. ГПП-УЗПКТ-СЗСК'!$1:$1,'4. ГПП-УЗПКТ-СЗСК'!$3:$3</definedName>
    <definedName name="Z_E35D3778_5275_416A_A5A0_FECB1A54AC1C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E35D3778_5275_416A_A5A0_FECB1A54AC1C_.wvu.PrintArea" localSheetId="10" hidden="1">'4. ГПП-УЗПКТ-СЗСК'!$B$2:$K$275</definedName>
    <definedName name="Z_E35D3778_5275_416A_A5A0_FECB1A54AC1C_.wvu.PrintTitles" localSheetId="10" hidden="1">'4. ГПП-УЗПКТ-СЗСК'!$7:$9</definedName>
    <definedName name="Z_E35D3778_5275_416A_A5A0_FECB1A54AC1C_.wvu.Rows" localSheetId="10" hidden="1">'4. ГПП-УЗПКТ-СЗСК'!$1:$1</definedName>
    <definedName name="Z_E98595DA_C344_4F96_A5D2_6A38EE050D66_.wvu.Cols" localSheetId="10" hidden="1">'4. ГПП-УЗПКТ-СЗСК'!$A:$B,'4.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ГПП-УЗПКТ-СЗСК'!#REF!,'4. ГПП-УЗПКТ-СЗСК'!#REF!</definedName>
    <definedName name="Z_E98595DA_C344_4F96_A5D2_6A38EE050D66_.wvu.PrintArea" localSheetId="10" hidden="1">'4. ГПП-УЗПКТ-СЗСК'!$B$2:$K$275</definedName>
    <definedName name="Z_E98595DA_C344_4F96_A5D2_6A38EE050D66_.wvu.PrintTitles" localSheetId="10" hidden="1">'4. ГПП-УЗПКТ-СЗСК'!$7:$9</definedName>
    <definedName name="Z_E98595DA_C344_4F96_A5D2_6A38EE050D66_.wvu.Rows" localSheetId="10" hidden="1">'4. ГПП-УЗПКТ-СЗСК'!$1:$1</definedName>
    <definedName name="_xlnm.Print_Area" localSheetId="10">'4. ГПП-УЗПКТ-СЗСК'!$B$2:$K$275</definedName>
    <definedName name="_SHEET_ID5" localSheetId="11">1</definedName>
    <definedName name="Z_282DC897_A8BB_4D6B_A8BC_1F24D66F96A7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282DC897_A8BB_4D6B_A8BC_1F24D66F96A7_.wvu.PrintArea" localSheetId="11" hidden="1">'5. ГД Астрахань'!$C$1:$K$24</definedName>
    <definedName name="Z_8A2A2F47_3CCD_4B14_B6FD_506BFD71969A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8A2A2F47_3CCD_4B14_B6FD_506BFD71969A_.wvu.PrintArea" localSheetId="11" hidden="1">'5. ГД Астрахань'!$B$1:$K$24</definedName>
    <definedName name="Z_DB35AC7D_F28C_47D4_B4F6_60F5274D89C3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DB35AC7D_F28C_47D4_B4F6_60F5274D89C3_.wvu.PrintArea" localSheetId="11" hidden="1">'5. ГД Астрахань'!$C$1:$K$24</definedName>
    <definedName name="Z_E35D3778_5275_416A_A5A0_FECB1A54AC1C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E35D3778_5275_416A_A5A0_FECB1A54AC1C_.wvu.PrintArea" localSheetId="11" hidden="1">'5. ГД Астрахань'!$C$1:$K$24</definedName>
    <definedName name="Z_E98595DA_C344_4F96_A5D2_6A38EE050D66_.wvu.Cols" localSheetId="11" hidden="1">'5.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Астрахань'!#REF!,'5. ГД Астрахань'!#REF!</definedName>
    <definedName name="Z_E98595DA_C344_4F96_A5D2_6A38EE050D66_.wvu.PrintArea" localSheetId="11" hidden="1">'5. ГД Астрахань'!$C$1:$K$24</definedName>
    <definedName name="_xlnm.Print_Area" localSheetId="11">'5. ГД Астрахань'!$C$1:$K$23</definedName>
    <definedName name="_SHEET_ID6" localSheetId="12">1</definedName>
    <definedName name="Z_282DC897_A8BB_4D6B_A8BC_1F24D66F96A7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282DC897_A8BB_4D6B_A8BC_1F24D66F96A7_.wvu.PrintArea" localSheetId="12" hidden="1">'6. ГД Оренбург'!$C$1:$K$38</definedName>
    <definedName name="Z_282DC897_A8BB_4D6B_A8BC_1F24D66F96A7_.wvu.PrintTitles" localSheetId="12" hidden="1">'6. ГД Оренбург'!$6:$8</definedName>
    <definedName name="Z_8A2A2F47_3CCD_4B14_B6FD_506BFD71969A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8A2A2F47_3CCD_4B14_B6FD_506BFD71969A_.wvu.PrintArea" localSheetId="12" hidden="1">'6. ГД Оренбург'!$B$1:$K$38</definedName>
    <definedName name="Z_8A2A2F47_3CCD_4B14_B6FD_506BFD71969A_.wvu.PrintTitles" localSheetId="12" hidden="1">'6. ГД Оренбург'!$6:$8</definedName>
    <definedName name="Z_8A2A2F47_3CCD_4B14_B6FD_506BFD71969A_.wvu.Rows" localSheetId="12" hidden="1">'6. ГД Оренбург'!$2:$4</definedName>
    <definedName name="Z_DB35AC7D_F28C_47D4_B4F6_60F5274D89C3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DB35AC7D_F28C_47D4_B4F6_60F5274D89C3_.wvu.PrintArea" localSheetId="12" hidden="1">'6. ГД Оренбург'!$C$1:$K$38</definedName>
    <definedName name="Z_DB35AC7D_F28C_47D4_B4F6_60F5274D89C3_.wvu.PrintTitles" localSheetId="12" hidden="1">'6. ГД Оренбург'!$6:$8</definedName>
    <definedName name="Z_E35D3778_5275_416A_A5A0_FECB1A54AC1C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E35D3778_5275_416A_A5A0_FECB1A54AC1C_.wvu.PrintArea" localSheetId="12" hidden="1">'6. ГД Оренбург'!$C$1:$K$38</definedName>
    <definedName name="Z_E35D3778_5275_416A_A5A0_FECB1A54AC1C_.wvu.PrintTitles" localSheetId="12" hidden="1">'6. ГД Оренбург'!$6:$8</definedName>
    <definedName name="Z_E98595DA_C344_4F96_A5D2_6A38EE050D66_.wvu.Cols" localSheetId="12" hidden="1">'6.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Оренбург'!#REF!,'6. ГД Оренбург'!#REF!</definedName>
    <definedName name="Z_E98595DA_C344_4F96_A5D2_6A38EE050D66_.wvu.PrintArea" localSheetId="12" hidden="1">'6. ГД Оренбург'!$C$1:$K$38</definedName>
    <definedName name="Z_E98595DA_C344_4F96_A5D2_6A38EE050D66_.wvu.PrintTitles" localSheetId="12" hidden="1">'6. ГД Оренбург'!$6:$8</definedName>
    <definedName name="_xlnm.Print_Area" localSheetId="12">'6. ГД Оренбург'!$A$1:$K$38</definedName>
    <definedName name="_SHEET_ID7" localSheetId="13">1</definedName>
    <definedName name="Z_282DC897_A8BB_4D6B_A8BC_1F24D66F96A7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282DC897_A8BB_4D6B_A8BC_1F24D66F96A7_.wvu.PrintArea" localSheetId="13" hidden="1">'7. ГД Ямбург'!$B$1:$K$50</definedName>
    <definedName name="Z_8A2A2F47_3CCD_4B14_B6FD_506BFD71969A_.wvu.Cols" localSheetId="13" hidden="1">'7. ГД Ямбург'!#REF!,'7. ГД Ямбург'!#REF!,'7. ГД Ямбург'!#REF!,'7. ГД Ямбург'!#REF!,'7. ГД Ямбург'!#REF!,'7. ГД Ямбург'!#REF!,'7. ГД Ямбург'!#REF!,'7. ГД Ямбург'!#REF!,'7. ГД Ямбург'!#REF!</definedName>
    <definedName name="Z_8A2A2F47_3CCD_4B14_B6FD_506BFD71969A_.wvu.PrintArea" localSheetId="13" hidden="1">'7. ГД Ямбург'!$B$1:$K$50</definedName>
    <definedName name="Z_DB35AC7D_F28C_47D4_B4F6_60F5274D89C3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DB35AC7D_F28C_47D4_B4F6_60F5274D89C3_.wvu.PrintArea" localSheetId="13" hidden="1">'7. ГД Ямбург'!$B$1:$K$50</definedName>
    <definedName name="Z_E35D3778_5275_416A_A5A0_FECB1A54AC1C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E35D3778_5275_416A_A5A0_FECB1A54AC1C_.wvu.PrintArea" localSheetId="13" hidden="1">'7. ГД Ямбург'!$B$1:$K$50</definedName>
    <definedName name="Z_E98595DA_C344_4F96_A5D2_6A38EE050D66_.wvu.Cols" localSheetId="13" hidden="1">'7.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Ямбург'!#REF!,'7. ГД Ямбург'!#REF!</definedName>
    <definedName name="Z_E98595DA_C344_4F96_A5D2_6A38EE050D66_.wvu.PrintArea" localSheetId="13" hidden="1">'7. ГД Ямбург'!$B$1:$K$50</definedName>
    <definedName name="_xlnm.Print_Area" localSheetId="13">'7. ГД Ямбург'!$C$1:$K$50</definedName>
    <definedName name="_SHEET_ID8" localSheetId="14">1</definedName>
    <definedName name="Z_282DC897_A8BB_4D6B_A8BC_1F24D66F96A7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282DC897_A8BB_4D6B_A8BC_1F24D66F96A7_.wvu.PrintArea" localSheetId="14" hidden="1">'8. ГД Уренгой'!$C$3:$K$90</definedName>
    <definedName name="Z_282DC897_A8BB_4D6B_A8BC_1F24D66F96A7_.wvu.Rows" localSheetId="14" hidden="1">'8. ГД Уренгой'!$3:$3,'8. ГД Уренгой'!#REF!</definedName>
    <definedName name="Z_8A2A2F47_3CCD_4B14_B6FD_506BFD71969A_.wvu.Cols" localSheetId="14" hidden="1">'8.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DB35AC7D_F28C_47D4_B4F6_60F5274D89C3_.wvu.Cols" localSheetId="14" hidden="1">'8.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DB35AC7D_F28C_47D4_B4F6_60F5274D89C3_.wvu.PrintArea" localSheetId="14" hidden="1">'8. ГД Уренгой'!$C$3:$K$90</definedName>
    <definedName name="Z_E35D3778_5275_416A_A5A0_FECB1A54AC1C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E35D3778_5275_416A_A5A0_FECB1A54AC1C_.wvu.PrintArea" localSheetId="14" hidden="1">'8. ГД Уренгой'!$C$3:$K$90</definedName>
    <definedName name="Z_E35D3778_5275_416A_A5A0_FECB1A54AC1C_.wvu.Rows" localSheetId="14" hidden="1">'8. ГД Уренгой'!$3:$3,'8. ГД Уренгой'!#REF!</definedName>
    <definedName name="Z_E98595DA_C344_4F96_A5D2_6A38EE050D66_.wvu.Cols" localSheetId="14" hidden="1">'8. ГД Уренгой'!$B:$B,'8.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Уренгой'!#REF!,'8. ГД Уренгой'!#REF!</definedName>
    <definedName name="Z_E98595DA_C344_4F96_A5D2_6A38EE050D66_.wvu.PrintArea" localSheetId="14" hidden="1">'8. ГД Уренгой'!$C$3:$K$90</definedName>
    <definedName name="Z_E98595DA_C344_4F96_A5D2_6A38EE050D66_.wvu.Rows" localSheetId="14" hidden="1">'8. ГД Уренгой'!$3:$3,'8. ГД Уренгой'!#REF!</definedName>
    <definedName name="_xlnm.Print_Area" localSheetId="14">'8. ГД Уренгой'!$C$3:$K$90</definedName>
    <definedName name="_SHEET_ID9" localSheetId="15">1</definedName>
    <definedName name="Z_282DC897_A8BB_4D6B_A8BC_1F24D66F96A7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282DC897_A8BB_4D6B_A8BC_1F24D66F96A7_.wvu.PrintArea" localSheetId="15" hidden="1">'9. ГД Краснодар'!$C$1:$K$56</definedName>
    <definedName name="Z_8A2A2F47_3CCD_4B14_B6FD_506BFD71969A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DB35AC7D_F28C_47D4_B4F6_60F5274D89C3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35D3778_5275_416A_A5A0_FECB1A54AC1C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35D3778_5275_416A_A5A0_FECB1A54AC1C_.wvu.PrintArea" localSheetId="15" hidden="1">'9. ГД Краснодар'!$C$1:$K$56</definedName>
    <definedName name="Z_E98595DA_C344_4F96_A5D2_6A38EE050D66_.wvu.Cols" localSheetId="15" hidden="1">'9.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Краснодар'!#REF!,'9. ГД Краснодар'!#REF!</definedName>
    <definedName name="Z_E98595DA_C344_4F96_A5D2_6A38EE050D66_.wvu.PrintArea" localSheetId="15" hidden="1">'9. ГД Краснодар'!$C$1:$K$56</definedName>
    <definedName name="_xlnm.Print_Area" localSheetId="15">'9. ГД Краснодар'!$C$1:$K$53</definedName>
    <definedName name="_SHEET_ID10" localSheetId="16">1</definedName>
    <definedName name="Z_282DC897_A8BB_4D6B_A8BC_1F24D66F96A7_.wvu.Cols" localSheetId="16" hidden="1">'10. ГД Ноябрьск'!$A:$A,'10.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282DC897_A8BB_4D6B_A8BC_1F24D66F96A7_.wvu.Rows" localSheetId="16" hidden="1">'10. ГД Ноябрьск'!$1:$4</definedName>
    <definedName name="Z_8A2A2F47_3CCD_4B14_B6FD_506BFD71969A_.wvu.Cols" localSheetId="16" hidden="1">'10.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DB35AC7D_F28C_47D4_B4F6_60F5274D89C3_.wvu.Rows" localSheetId="16" hidden="1">'10. ГД Ноябрьск'!$1:$2</definedName>
    <definedName name="Z_E35D3778_5275_416A_A5A0_FECB1A54AC1C_.wvu.Cols" localSheetId="16" hidden="1">'10. ГД Ноябрьск'!$A:$A,'10.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E35D3778_5275_416A_A5A0_FECB1A54AC1C_.wvu.Rows" localSheetId="16" hidden="1">'10. ГД Ноябрьск'!$1:$4</definedName>
    <definedName name="Z_E98595DA_C344_4F96_A5D2_6A38EE050D66_.wvu.Cols" localSheetId="16" hidden="1">'10.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Ноябрьск'!#REF!,'10. ГД Ноябрьск'!#REF!</definedName>
    <definedName name="Z_E98595DA_C344_4F96_A5D2_6A38EE050D66_.wvu.Rows" localSheetId="16" hidden="1">'10. ГД Ноябрьск'!$1:$4</definedName>
    <definedName name="_xlnm.Print_Area" localSheetId="16">'10. ГД Ноябрьск'!$A$4:$K$70</definedName>
    <definedName name="_SHEET_ID11" localSheetId="17">1</definedName>
    <definedName name="Z_282DC897_A8BB_4D6B_A8BC_1F24D66F96A7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282DC897_A8BB_4D6B_A8BC_1F24D66F96A7_.wvu.Rows" localSheetId="17" hidden="1">'11. ГД Надым'!$1:$3</definedName>
    <definedName name="Z_8A2A2F47_3CCD_4B14_B6FD_506BFD71969A_.wvu.Cols" localSheetId="17" hidden="1">'11. ГД Надым'!#REF!,'11. ГД Надым'!#REF!,'11. ГД Надым'!#REF!,'11. ГД Надым'!#REF!,'11. ГД Надым'!#REF!,'11. ГД Надым'!#REF!,'11. ГД Надым'!#REF!,'11. ГД Надым'!#REF!,'11. ГД Надым'!#REF!,'11. ГД Надым'!#REF!</definedName>
    <definedName name="Z_DB35AC7D_F28C_47D4_B4F6_60F5274D89C3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DB35AC7D_F28C_47D4_B4F6_60F5274D89C3_.wvu.Rows" localSheetId="17" hidden="1">'11. ГД Надым'!$1:$3</definedName>
    <definedName name="Z_E35D3778_5275_416A_A5A0_FECB1A54AC1C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E35D3778_5275_416A_A5A0_FECB1A54AC1C_.wvu.Rows" localSheetId="17" hidden="1">'11. ГД Надым'!$1:$3</definedName>
    <definedName name="Z_E98595DA_C344_4F96_A5D2_6A38EE050D66_.wvu.Cols" localSheetId="17" hidden="1">'11.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Надым'!#REF!,'11. ГД Надым'!#REF!</definedName>
    <definedName name="Z_E98595DA_C344_4F96_A5D2_6A38EE050D66_.wvu.Rows" localSheetId="17" hidden="1">'11. ГД Надым'!$1:$3</definedName>
    <definedName name="_xlnm.Print_Area" localSheetId="17">'11. ГД Надым'!$A$1:$K$58</definedName>
    <definedName name="_SHEET_ID12" localSheetId="18">1</definedName>
    <definedName name="Z_282DC897_A8BB_4D6B_A8BC_1F24D66F96A7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282DC897_A8BB_4D6B_A8BC_1F24D66F96A7_.wvu.Rows" localSheetId="18" hidden="1">'12. ГД Иркутск'!$45:$46,'12. ГД Иркутск'!#REF!</definedName>
    <definedName name="Z_8A2A2F47_3CCD_4B14_B6FD_506BFD71969A_.wvu.Cols" localSheetId="18" hidden="1">'12.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DB35AC7D_F28C_47D4_B4F6_60F5274D89C3_.wvu.Cols" localSheetId="18" hidden="1">'12.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35D3778_5275_416A_A5A0_FECB1A54AC1C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35D3778_5275_416A_A5A0_FECB1A54AC1C_.wvu.Rows" localSheetId="18" hidden="1">'12. ГД Иркутск'!$45:$46,'12. ГД Иркутск'!#REF!</definedName>
    <definedName name="Z_E98595DA_C344_4F96_A5D2_6A38EE050D66_.wvu.Cols" localSheetId="18" hidden="1">'12. ГД Иркутск'!$B:$B,'12.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Иркутск'!#REF!,'12. ГД Иркутск'!#REF!</definedName>
    <definedName name="Z_E98595DA_C344_4F96_A5D2_6A38EE050D66_.wvu.Rows" localSheetId="18" hidden="1">'12. ГД Иркутск'!$45:$46,'12. ГД Иркутск'!#REF!</definedName>
    <definedName name="_xlnm.Print_Area" localSheetId="18">'12. ГД Иркутск'!$A$1:$K$33</definedName>
    <definedName name="_SHEET_ID13" localSheetId="19">1</definedName>
    <definedName name="Z_282DC897_A8BB_4D6B_A8BC_1F24D66F96A7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8A2A2F47_3CCD_4B14_B6FD_506BFD71969A_.wvu.Cols" localSheetId="19" hidden="1">'13. ГД Шельф'!#REF!</definedName>
    <definedName name="Z_DB35AC7D_F28C_47D4_B4F6_60F5274D89C3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E35D3778_5275_416A_A5A0_FECB1A54AC1C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Z_E98595DA_C344_4F96_A5D2_6A38EE050D66_.wvu.Cols" localSheetId="19" hidden="1">'13.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Шельф'!#REF!,'13. ГД Шельф'!#REF!</definedName>
    <definedName name="_xlnm.Print_Area" localSheetId="19">'13. ГД Шельф'!$A$1:$K$26</definedName>
    <definedName name="_SHEET_ID14" localSheetId="20">1</definedName>
    <definedName name="Z_282DC897_A8BB_4D6B_A8BC_1F24D66F96A7_.wvu.Cols" localSheetId="20" hidden="1">'14. ГП Благовещенск (Ам ГПЗ)'!$A:$C,'14. ГП Благовещенск (Ам ГПЗ)'!#REF!</definedName>
    <definedName name="Z_282DC897_A8BB_4D6B_A8BC_1F24D66F96A7_.wvu.PrintArea" localSheetId="20" hidden="1">'14. ГП Благовещенск (Ам ГПЗ)'!$A$6:$K$79</definedName>
    <definedName name="Z_282DC897_A8BB_4D6B_A8BC_1F24D66F96A7_.wvu.PrintTitles" localSheetId="20" hidden="1">'14. ГП Благовещенск (Ам ГПЗ)'!$6:$8</definedName>
    <definedName name="Z_282DC897_A8BB_4D6B_A8BC_1F24D66F96A7_.wvu.Rows" localSheetId="20" hidden="1">'14. ГП Благовещенск (Ам ГПЗ)'!$2:$5</definedName>
    <definedName name="Z_8A2A2F47_3CCD_4B14_B6FD_506BFD71969A_.wvu.Cols" localSheetId="20" hidden="1">'14.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definedName>
    <definedName name="Z_DB35AC7D_F28C_47D4_B4F6_60F5274D89C3_.wvu.Cols" localSheetId="20" hidden="1">'14. ГП Благовещенск (Ам ГПЗ)'!$A:$C,'14. ГП Благовещенск (Ам ГПЗ)'!#REF!,'14. ГП Благовещенск (Ам ГПЗ)'!#REF!</definedName>
    <definedName name="Z_DB35AC7D_F28C_47D4_B4F6_60F5274D89C3_.wvu.PrintArea" localSheetId="20" hidden="1">'14. ГП Благовещенск (Ам ГПЗ)'!$A$6:$K$79</definedName>
    <definedName name="Z_DB35AC7D_F28C_47D4_B4F6_60F5274D89C3_.wvu.PrintTitles" localSheetId="20" hidden="1">'14. ГП Благовещенск (Ам ГПЗ)'!$6:$8</definedName>
    <definedName name="Z_E35D3778_5275_416A_A5A0_FECB1A54AC1C_.wvu.Cols" localSheetId="20" hidden="1">'14. ГП Благовещенск (Ам ГПЗ)'!$A:$C,'14. ГП Благовещенск (Ам ГПЗ)'!#REF!</definedName>
    <definedName name="Z_E35D3778_5275_416A_A5A0_FECB1A54AC1C_.wvu.PrintArea" localSheetId="20" hidden="1">'14. ГП Благовещенск (Ам ГПЗ)'!$A$6:$K$79</definedName>
    <definedName name="Z_E35D3778_5275_416A_A5A0_FECB1A54AC1C_.wvu.PrintTitles" localSheetId="20" hidden="1">'14. ГП Благовещенск (Ам ГПЗ)'!$6:$8</definedName>
    <definedName name="Z_E35D3778_5275_416A_A5A0_FECB1A54AC1C_.wvu.Rows" localSheetId="20" hidden="1">'14. ГП Благовещенск (Ам ГПЗ)'!$2:$5</definedName>
    <definedName name="Z_E98595DA_C344_4F96_A5D2_6A38EE050D66_.wvu.Cols" localSheetId="20" hidden="1">'14. ГП Благовещенск (Ам ГПЗ)'!$A:$C,'14.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ГПЗ)'!#REF!,'14. ГП Благовещенск (Ам ГПЗ)'!#REF!</definedName>
    <definedName name="Z_E98595DA_C344_4F96_A5D2_6A38EE050D66_.wvu.PrintArea" localSheetId="20" hidden="1">'14. ГП Благовещенск (Ам ГПЗ)'!$A$6:$K$79</definedName>
    <definedName name="Z_E98595DA_C344_4F96_A5D2_6A38EE050D66_.wvu.PrintTitles" localSheetId="20" hidden="1">'14. ГП Благовещенск (Ам ГПЗ)'!$6:$8</definedName>
    <definedName name="Z_E98595DA_C344_4F96_A5D2_6A38EE050D66_.wvu.Rows" localSheetId="20" hidden="1">'14. ГП Благовещенск (Ам ГПЗ)'!$2:$5</definedName>
    <definedName name="_xlnm.Print_Area" localSheetId="20">'14. ГП Благовещенск (Ам ГПЗ)'!$A$6:$K$79</definedName>
    <definedName name="_SHEET_ID15" localSheetId="21">1</definedName>
    <definedName name="Z_282DC897_A8BB_4D6B_A8BC_1F24D66F96A7_.wvu.Cols" localSheetId="21" hidden="1">'15. КСПГ Портовая'!#REF!</definedName>
    <definedName name="Z_282DC897_A8BB_4D6B_A8BC_1F24D66F96A7_.wvu.PrintArea" localSheetId="21" hidden="1">'15. КСПГ Портовая'!$B$1:$K$19</definedName>
    <definedName name="Z_8A2A2F47_3CCD_4B14_B6FD_506BFD71969A_.wvu.Cols" localSheetId="21" hidden="1">'15.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definedName>
    <definedName name="Z_8A2A2F47_3CCD_4B14_B6FD_506BFD71969A_.wvu.PrintArea" localSheetId="21" hidden="1">'15. КСПГ Портовая'!$B$1:$K$19</definedName>
    <definedName name="Z_DB35AC7D_F28C_47D4_B4F6_60F5274D89C3_.wvu.Cols" localSheetId="21" hidden="1">'15.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Портовая'!#REF!,'15. КСПГ Портовая'!#REF!</definedName>
    <definedName name="Z_DB35AC7D_F28C_47D4_B4F6_60F5274D89C3_.wvu.PrintArea" localSheetId="21" hidden="1">'15. КСПГ Портовая'!$B$1:$K$19</definedName>
    <definedName name="Z_E35D3778_5275_416A_A5A0_FECB1A54AC1C_.wvu.Cols" localSheetId="21" hidden="1">'15. КСПГ Портовая'!#REF!</definedName>
    <definedName name="Z_E35D3778_5275_416A_A5A0_FECB1A54AC1C_.wvu.PrintArea" localSheetId="21" hidden="1">'15. КСПГ Портовая'!$B$1:$K$19</definedName>
    <definedName name="Z_E98595DA_C344_4F96_A5D2_6A38EE050D66_.wvu.Cols" localSheetId="21" hidden="1">'15. КСПГ Портовая'!#REF!</definedName>
    <definedName name="Z_E98595DA_C344_4F96_A5D2_6A38EE050D66_.wvu.PrintArea" localSheetId="21" hidden="1">'15. КСПГ Портовая'!$B$1:$K$19</definedName>
    <definedName name="_xlnm.Print_Area" localSheetId="21">'15. КСПГ Портовая'!$B$1:$K$19</definedName>
    <definedName name="_SHEET_ID16" localSheetId="22">1</definedName>
    <definedName name="Z_282DC897_A8BB_4D6B_A8BC_1F24D66F96A7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8A2A2F47_3CCD_4B14_B6FD_506BFD71969A_.wvu.Cols" localSheetId="22" hidden="1">'16.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DB35AC7D_F28C_47D4_B4F6_60F5274D89C3_.wvu.Cols" localSheetId="22" hidden="1">'16. Востокгазпром'!$A:$B</definedName>
    <definedName name="Z_E35D3778_5275_416A_A5A0_FECB1A54AC1C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Z_E98595DA_C344_4F96_A5D2_6A38EE050D66_.wvu.Cols" localSheetId="22" hidden="1">'16. Востокгазпром'!$A:$B,'16.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Востокгазпром'!#REF!,'16. Востокгазпром'!#REF!</definedName>
    <definedName name="_xlnm.Print_Area" localSheetId="22">'16. Востокгазпром'!$A$1:$K$115</definedName>
    <definedName name="_SHEET_ID17" localSheetId="23">1</definedName>
    <definedName name="fff" localSheetId="23" hidden="1">#REF!</definedName>
    <definedName name="Z_282DC897_A8BB_4D6B_A8BC_1F24D66F96A7_.wvu.Cols" localSheetId="23" hidden="1">'17. Нефтехим Салават'!$B:$B,'17.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282DC897_A8BB_4D6B_A8BC_1F24D66F96A7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8A2A2F47_3CCD_4B14_B6FD_506BFD71969A_.wvu.Cols" localSheetId="23" hidden="1">'17.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A11C4A44_8BBA_416A_8C38_28D4EE36AA66_.wvu.Cols" localSheetId="23" hidden="1">'17. Нефтехим Салават'!$A:$B,'17. Нефтехим Салават'!#REF!</definedName>
    <definedName name="Z_A11C4A44_8BBA_416A_8C38_28D4EE36AA66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DB35AC7D_F28C_47D4_B4F6_60F5274D89C3_.wvu.Cols" localSheetId="23" hidden="1">'17. Нефтехим Салават'!$B:$B,'17. Нефтехим Салават'!#REF!,'17. Нефтехим Салават'!#REF!,'17. Нефтехим Салават'!#REF!</definedName>
    <definedName name="Z_DB35AC7D_F28C_47D4_B4F6_60F5274D89C3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35D3778_5275_416A_A5A0_FECB1A54AC1C_.wvu.Cols" localSheetId="23" hidden="1">'17. Нефтехим Салават'!$A:$B,'17.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35D3778_5275_416A_A5A0_FECB1A54AC1C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98595DA_C344_4F96_A5D2_6A38EE050D66_.wvu.Cols" localSheetId="23" hidden="1">'17. Нефтехим Салават'!$B:$B,'17.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98595DA_C344_4F96_A5D2_6A38EE050D66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Z_ED2DDA07_57C7_4FE7_AF9F_2D3353DAFE6F_.wvu.Cols" localSheetId="23" hidden="1">'17. Нефтехим Салават'!$A:$B</definedName>
    <definedName name="Z_ED2DDA07_57C7_4FE7_AF9F_2D3353DAFE6F_.wvu.Rows" localSheetId="23" hidden="1">'17. Нефтехим Салават'!$1:$3,'17.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Салават'!#REF!,'17. Нефтехим Салават'!#REF!</definedName>
    <definedName name="смета" localSheetId="23" hidden="1">#REF!</definedName>
    <definedName name="СНП" localSheetId="23" hidden="1">#REF!</definedName>
    <definedName name="фы" localSheetId="23" hidden="1">#REF!</definedName>
    <definedName name="_SHEET_ID18" localSheetId="24">1</definedName>
    <definedName name="Z_282DC897_A8BB_4D6B_A8BC_1F24D66F96A7_.wvu.Cols" localSheetId="24" hidden="1">'18. Газпром нефть'!#REF!</definedName>
    <definedName name="Z_282DC897_A8BB_4D6B_A8BC_1F24D66F96A7_.wvu.PrintArea" localSheetId="24" hidden="1">'18. Газпром нефть'!$B$1:$K$82</definedName>
    <definedName name="Z_8A2A2F47_3CCD_4B14_B6FD_506BFD71969A_.wvu.Cols" localSheetId="24" hidden="1">'18. Газпром нефть'!#REF!,'18. Газпром нефть'!#REF!,'18. Газпром нефть'!#REF!,'18. Газпром нефть'!#REF!,'18. Газпром нефть'!#REF!,'18. Газпром нефть'!#REF!,'18. Газпром нефть'!#REF!,'18. Газпром нефть'!#REF!,'18. Газпром нефть'!#REF!,'18. Газпром нефть'!#REF!,'18. Газпром нефть'!#REF!</definedName>
    <definedName name="Z_8A2A2F47_3CCD_4B14_B6FD_506BFD71969A_.wvu.PrintArea" localSheetId="24" hidden="1">'18. Газпром нефть'!$B$1:$K$82</definedName>
    <definedName name="Z_DB35AC7D_F28C_47D4_B4F6_60F5274D89C3_.wvu.Cols" localSheetId="24" hidden="1">'18. Газпром нефть'!#REF!,'18. Газпром нефть'!#REF!,'18. Газпром нефть'!#REF!,'18. Газпром нефть'!#REF!,'18. Газпром нефть'!#REF!,'18. Газпром нефть'!#REF!,'18. Газпром нефть'!#REF!,'18. Газпром нефть'!#REF!</definedName>
    <definedName name="Z_DB35AC7D_F28C_47D4_B4F6_60F5274D89C3_.wvu.PrintArea" localSheetId="24" hidden="1">'18. Газпром нефть'!$B$1:$K$82</definedName>
    <definedName name="Z_E35D3778_5275_416A_A5A0_FECB1A54AC1C_.wvu.Cols" localSheetId="24" hidden="1">'18. Газпром нефть'!#REF!</definedName>
    <definedName name="Z_E35D3778_5275_416A_A5A0_FECB1A54AC1C_.wvu.PrintArea" localSheetId="24" hidden="1">'18. Газпром нефть'!$B$1:$K$82</definedName>
    <definedName name="Z_E98595DA_C344_4F96_A5D2_6A38EE050D66_.wvu.Cols" localSheetId="24" hidden="1">'18. Газпром нефть'!#REF!,'18. Газпром нефть'!#REF!</definedName>
    <definedName name="Z_E98595DA_C344_4F96_A5D2_6A38EE050D66_.wvu.PrintArea" localSheetId="24" hidden="1">'18. Газпром нефть'!$B$1:$K$82</definedName>
  </definedNames>
  <calcPr calcId="152511" fullCalcOnLoad="1"/>
</workbook>
</file>

<file path=xl/styles.xml><?xml version="1.0" encoding="utf-8"?>
<styleSheet xmlns="http://schemas.openxmlformats.org/spreadsheetml/2006/main">
  <numFmts count="5">
    <numFmt numFmtId="164" formatCode="#,##0.000000"/>
    <numFmt numFmtId="165" formatCode="0.0"/>
    <numFmt numFmtId="166" formatCode="#,##0.0"/>
    <numFmt numFmtId="167" formatCode="0.000"/>
    <numFmt numFmtId="168" formatCode="#,##0.00000000"/>
  </numFmts>
  <fonts count="131">
    <font>
      <name val="Calibri"/>
      <color theme="1"/>
      <sz val="11"/>
      <scheme val="minor"/>
    </font>
    <font>
      <name val="Calibri"/>
      <charset val="204"/>
      <family val="2"/>
      <color theme="1"/>
      <sz val="11"/>
      <scheme val="minor"/>
    </font>
    <font>
      <name val="Calibri"/>
      <charset val="204"/>
      <family val="2"/>
      <color theme="1"/>
      <sz val="11"/>
      <scheme val="minor"/>
    </font>
    <font>
      <name val="Helv"/>
      <sz val="10"/>
    </font>
    <font>
      <name val="Arial"/>
      <charset val="204"/>
      <family val="2"/>
      <sz val="10"/>
    </font>
    <font>
      <name val="Arial Cyr"/>
      <sz val="10"/>
    </font>
    <font>
      <name val="Arial CYR"/>
      <i val="1"/>
      <sz val="12"/>
    </font>
    <font>
      <name val="ⓒoUAAA¨u"/>
      <sz val="12"/>
    </font>
    <font>
      <name val="¹UAAA¼"/>
      <sz val="12"/>
    </font>
    <font>
      <name val="¹ÙÅÁÃ¼"/>
      <sz val="12"/>
    </font>
    <font>
      <name val="바탕체"/>
      <sz val="12"/>
    </font>
    <font>
      <name val="System"/>
      <sz val="12"/>
    </font>
    <font>
      <name val="±¼¸²Ã¼"/>
      <sz val="10"/>
    </font>
    <font>
      <name val="Courier"/>
      <sz val="1"/>
    </font>
    <font>
      <name val="MS Sans Serif"/>
      <sz val="10"/>
    </font>
    <font>
      <name val="Times New Roman"/>
      <charset val="204"/>
      <family val="1"/>
      <sz val="10"/>
    </font>
    <font>
      <name val="Helv"/>
      <sz val="8"/>
    </font>
    <font>
      <name val="Modern"/>
      <sz val="12"/>
    </font>
    <font>
      <name val="Arial"/>
      <charset val="204"/>
      <family val="2"/>
      <b val="1"/>
      <sz val="10"/>
    </font>
    <font>
      <name val="Calibri"/>
      <charset val="204"/>
      <family val="2"/>
      <sz val="11"/>
    </font>
    <font>
      <name val="Times New Roman"/>
      <charset val="204"/>
      <family val="1"/>
      <b val="1"/>
      <color theme="1"/>
      <sz val="14"/>
    </font>
    <font>
      <name val="Times New Roman"/>
      <charset val="204"/>
      <family val="1"/>
      <b val="1"/>
      <color indexed="4"/>
      <sz val="14"/>
    </font>
    <font>
      <name val="Times New Roman"/>
      <charset val="204"/>
      <family val="1"/>
      <b val="1"/>
      <i val="1"/>
      <color theme="1"/>
      <sz val="14"/>
    </font>
    <font>
      <name val="Times New Roman"/>
      <charset val="204"/>
      <family val="1"/>
      <b val="1"/>
      <color theme="1"/>
      <sz val="12"/>
    </font>
    <font>
      <name val="Times New Roman"/>
      <charset val="204"/>
      <family val="1"/>
      <b val="1"/>
      <sz val="16"/>
    </font>
    <font>
      <name val="Times New Roman"/>
      <charset val="204"/>
      <family val="1"/>
      <b val="1"/>
      <sz val="12"/>
    </font>
    <font>
      <name val="Times New Roman"/>
      <charset val="204"/>
      <family val="1"/>
      <color theme="1"/>
      <sz val="11"/>
    </font>
    <font>
      <name val="Times New Roman"/>
      <charset val="204"/>
      <family val="1"/>
      <sz val="9"/>
    </font>
    <font>
      <name val="Times New Roman"/>
      <charset val="204"/>
      <family val="1"/>
      <color theme="1"/>
      <sz val="14"/>
    </font>
    <font>
      <name val="Times New Roman"/>
      <charset val="204"/>
      <family val="1"/>
      <color theme="1"/>
      <sz val="9"/>
    </font>
    <font>
      <name val="Times New Roman"/>
      <charset val="204"/>
      <family val="1"/>
      <sz val="12"/>
    </font>
    <font>
      <name val="Times New Roman"/>
      <charset val="204"/>
      <family val="1"/>
      <color theme="1"/>
      <sz val="12"/>
    </font>
    <font>
      <name val="Times New Roman"/>
      <charset val="204"/>
      <family val="1"/>
      <i val="1"/>
      <sz val="12"/>
    </font>
    <font>
      <name val="Times New Roman"/>
      <charset val="204"/>
      <family val="1"/>
      <i val="1"/>
      <color theme="1"/>
      <sz val="12"/>
    </font>
    <font>
      <name val="Times New Roman"/>
      <charset val="204"/>
      <family val="1"/>
      <i val="1"/>
      <sz val="10"/>
    </font>
    <font>
      <name val="Times New Roman"/>
      <charset val="204"/>
      <family val="1"/>
      <b val="1"/>
      <i val="1"/>
      <sz val="12"/>
    </font>
    <font>
      <name val="Times New Roman"/>
      <charset val="204"/>
      <family val="1"/>
      <i val="1"/>
      <sz val="11"/>
    </font>
    <font>
      <name val="Times New Roman"/>
      <charset val="204"/>
      <family val="1"/>
      <b val="1"/>
      <sz val="12"/>
      <u val="single"/>
    </font>
    <font>
      <name val="Times New Roman"/>
      <charset val="204"/>
      <family val="1"/>
      <b val="1"/>
      <color theme="1"/>
      <sz val="12"/>
      <u val="single"/>
    </font>
    <font>
      <name val="Times New Roman"/>
      <charset val="204"/>
      <family val="1"/>
      <sz val="12"/>
      <u val="single"/>
    </font>
    <font>
      <name val="Times New Roman"/>
      <charset val="204"/>
      <family val="1"/>
      <color theme="1"/>
      <sz val="12"/>
      <u val="single"/>
    </font>
    <font>
      <name val="Times New Roman"/>
      <charset val="204"/>
      <family val="1"/>
      <i val="1"/>
      <color theme="1"/>
      <sz val="12"/>
      <u val="single"/>
    </font>
    <font>
      <name val="Times New Roman"/>
      <charset val="204"/>
      <family val="1"/>
      <b val="1"/>
      <color theme="1"/>
      <sz val="11"/>
    </font>
    <font>
      <name val="Times New Roman"/>
      <charset val="204"/>
      <family val="1"/>
      <b val="1"/>
      <sz val="14"/>
    </font>
    <font>
      <name val="Times New Roman"/>
      <charset val="204"/>
      <family val="1"/>
      <color indexed="2"/>
      <sz val="20"/>
    </font>
    <font>
      <name val="Times New Roman"/>
      <charset val="204"/>
      <family val="1"/>
      <b val="1"/>
      <color theme="1"/>
      <sz val="14"/>
      <u val="single"/>
    </font>
    <font>
      <name val="Times New Roman"/>
      <charset val="204"/>
      <family val="1"/>
      <sz val="14"/>
    </font>
    <font>
      <name val="Times New Roman"/>
      <charset val="204"/>
      <family val="1"/>
      <i val="1"/>
      <sz val="14"/>
    </font>
    <font>
      <name val="Times New Roman"/>
      <charset val="204"/>
      <family val="1"/>
      <b val="1"/>
      <i val="1"/>
      <sz val="14"/>
    </font>
    <font>
      <name val="Times New Roman"/>
      <charset val="204"/>
      <family val="1"/>
      <b val="1"/>
      <i val="1"/>
      <color rgb="FFC00000"/>
      <sz val="14"/>
    </font>
    <font>
      <name val="Times New Roman"/>
      <charset val="204"/>
      <family val="1"/>
      <i val="1"/>
      <color rgb="FFC00000"/>
      <sz val="14"/>
    </font>
    <font>
      <name val="Times New Roman"/>
      <charset val="204"/>
      <family val="1"/>
      <b val="1"/>
      <sz val="14"/>
      <u val="single"/>
    </font>
    <font>
      <name val="Times New Roman"/>
      <charset val="204"/>
      <family val="1"/>
      <sz val="14"/>
      <u val="single"/>
    </font>
    <font>
      <name val="Times New Roman"/>
      <charset val="204"/>
      <family val="1"/>
      <i val="1"/>
      <color theme="1"/>
      <sz val="14"/>
    </font>
    <font>
      <name val="Times New Roman"/>
      <charset val="204"/>
      <family val="1"/>
      <b val="1"/>
      <color theme="1"/>
      <sz val="16"/>
    </font>
    <font>
      <name val="Times New Roman"/>
      <charset val="204"/>
      <family val="1"/>
      <color indexed="4"/>
      <sz val="14"/>
      <u val="single"/>
    </font>
    <font>
      <name val="Times New Roman"/>
      <charset val="204"/>
      <family val="1"/>
      <color rgb="FF00B050"/>
      <sz val="14"/>
    </font>
    <font>
      <name val="Times New Roman"/>
      <charset val="204"/>
      <family val="1"/>
      <i val="1"/>
      <color theme="0" tint="-0.499984740745262"/>
      <sz val="14"/>
    </font>
    <font>
      <name val="Times New Roman"/>
      <charset val="204"/>
      <family val="1"/>
      <i val="1"/>
      <color theme="0" tint="-0.3499862666707358"/>
      <sz val="14"/>
    </font>
    <font>
      <name val="Times New Roman"/>
      <charset val="204"/>
      <family val="1"/>
      <i val="1"/>
      <color indexed="2"/>
      <sz val="14"/>
    </font>
    <font>
      <name val="Times New Roman"/>
      <charset val="204"/>
      <family val="1"/>
      <b val="1"/>
      <color rgb="FFC00000"/>
      <sz val="14"/>
    </font>
    <font>
      <name val="Calibri"/>
      <charset val="204"/>
      <family val="2"/>
      <color theme="1"/>
      <sz val="12"/>
      <scheme val="minor"/>
    </font>
    <font>
      <name val="Times New Roman"/>
      <charset val="204"/>
      <family val="1"/>
      <color indexed="4"/>
      <sz val="12"/>
      <u val="single"/>
    </font>
    <font>
      <name val="Times New Roman"/>
      <charset val="204"/>
      <family val="1"/>
      <sz val="11"/>
    </font>
    <font>
      <name val="Times New Roman"/>
      <charset val="204"/>
      <family val="1"/>
      <b val="1"/>
      <sz val="10"/>
    </font>
    <font>
      <name val="Times New Roman"/>
      <charset val="204"/>
      <family val="1"/>
      <b val="1"/>
      <i val="1"/>
      <color theme="1"/>
      <sz val="12"/>
    </font>
    <font>
      <name val="Calibri"/>
      <charset val="204"/>
      <family val="2"/>
      <color theme="5"/>
      <sz val="11"/>
      <scheme val="minor"/>
    </font>
    <font>
      <name val="Times New Roman"/>
      <charset val="204"/>
      <family val="1"/>
      <color indexed="4"/>
      <sz val="14"/>
    </font>
    <font>
      <name val="Times New Roman"/>
      <charset val="204"/>
      <family val="1"/>
      <color rgb="FFC00000"/>
      <sz val="14"/>
    </font>
    <font>
      <name val="Times New Roman"/>
      <charset val="204"/>
      <family val="1"/>
      <b val="1"/>
      <i val="1"/>
      <color indexed="2"/>
      <sz val="14"/>
    </font>
    <font>
      <name val="Times New Roman"/>
      <charset val="204"/>
      <family val="1"/>
      <b val="1"/>
      <color indexed="2"/>
      <sz val="14"/>
    </font>
    <font>
      <name val="Calibri"/>
      <charset val="204"/>
      <family val="2"/>
      <i val="1"/>
      <color rgb="FFC00000"/>
      <sz val="11"/>
      <scheme val="minor"/>
    </font>
    <font>
      <name val="Times New Roman"/>
      <charset val="204"/>
      <family val="1"/>
      <b val="1"/>
      <color theme="1"/>
      <sz val="16"/>
      <u val="single"/>
    </font>
    <font>
      <name val="Times New Roman"/>
      <charset val="204"/>
      <family val="1"/>
      <b val="1"/>
      <i val="1"/>
      <sz val="14"/>
      <u val="single"/>
    </font>
    <font>
      <name val="Times New Roman"/>
      <charset val="204"/>
      <family val="1"/>
      <color indexed="2"/>
      <sz val="14"/>
    </font>
    <font>
      <name val="Times New Roman"/>
      <charset val="204"/>
      <family val="1"/>
      <b val="1"/>
      <sz val="16"/>
      <u val="single"/>
    </font>
    <font>
      <name val="Times New Roman"/>
      <charset val="204"/>
      <family val="1"/>
      <b val="1"/>
      <color indexed="2"/>
      <sz val="16"/>
    </font>
    <font>
      <name val="Times New Roman"/>
      <charset val="204"/>
      <family val="1"/>
      <i val="1"/>
      <color indexed="4"/>
      <sz val="14"/>
    </font>
    <font>
      <name val="Calibri"/>
      <charset val="204"/>
      <family val="2"/>
      <b val="1"/>
      <color theme="1"/>
      <sz val="11"/>
      <scheme val="minor"/>
    </font>
    <font>
      <name val="Times New Roman"/>
      <charset val="204"/>
      <family val="1"/>
      <i val="1"/>
      <color rgb="FFC00000"/>
      <sz val="12"/>
    </font>
    <font>
      <name val="Times New Roman"/>
      <charset val="204"/>
      <family val="1"/>
      <b val="1"/>
      <sz val="11"/>
    </font>
    <font>
      <name val="Times New Roman"/>
      <charset val="204"/>
      <family val="1"/>
      <b val="1"/>
      <i val="1"/>
      <color theme="0" tint="-0.3499862666707358"/>
      <sz val="14"/>
    </font>
    <font>
      <name val="Times New Roman"/>
      <charset val="204"/>
      <family val="1"/>
      <b val="1"/>
      <color theme="4" tint="-0.249977111117893"/>
      <sz val="14"/>
    </font>
    <font>
      <name val="Times New Roman"/>
      <charset val="204"/>
      <family val="1"/>
      <i val="1"/>
      <color rgb="FFC00000"/>
      <sz val="16"/>
    </font>
    <font>
      <name val="Arial Black"/>
      <charset val="204"/>
      <family val="2"/>
      <color theme="1"/>
      <sz val="14"/>
      <u val="single"/>
    </font>
    <font>
      <name val="Arial Narrow"/>
      <charset val="204"/>
      <family val="2"/>
      <b val="1"/>
      <color theme="1"/>
      <sz val="14"/>
    </font>
    <font>
      <name val="Arial"/>
      <charset val="204"/>
      <family val="2"/>
      <b val="1"/>
      <color theme="0"/>
      <sz val="14"/>
    </font>
    <font>
      <name val="Arial Narrow"/>
      <charset val="204"/>
      <family val="2"/>
      <color theme="1"/>
      <sz val="14"/>
    </font>
    <font>
      <name val="Arial Black"/>
      <charset val="204"/>
      <family val="2"/>
      <b val="1"/>
      <color theme="1"/>
      <sz val="12"/>
    </font>
    <font>
      <name val="Arial"/>
      <charset val="204"/>
      <family val="2"/>
      <color theme="1"/>
      <sz val="11"/>
    </font>
    <font>
      <name val="Arial Narrow"/>
      <charset val="204"/>
      <family val="2"/>
      <b val="1"/>
      <color theme="1"/>
      <sz val="12"/>
    </font>
    <font>
      <name val="Arial Narrow"/>
      <charset val="204"/>
      <family val="2"/>
      <b val="1"/>
      <color theme="1"/>
      <sz val="11"/>
    </font>
    <font>
      <name val="Arial Narrow"/>
      <charset val="204"/>
      <family val="2"/>
      <color theme="1"/>
      <sz val="10"/>
    </font>
    <font>
      <name val="Arial Narrow"/>
      <charset val="204"/>
      <family val="2"/>
      <b val="1"/>
      <sz val="12"/>
    </font>
    <font>
      <name val="Arial Narrow"/>
      <charset val="204"/>
      <family val="2"/>
      <b val="1"/>
      <sz val="11"/>
    </font>
    <font>
      <name val="Arial Black"/>
      <charset val="204"/>
      <family val="2"/>
      <b val="1"/>
      <sz val="12"/>
    </font>
    <font>
      <name val="Arial"/>
      <charset val="204"/>
      <family val="2"/>
      <sz val="11"/>
    </font>
    <font>
      <name val="Arial Unicode MS"/>
      <charset val="204"/>
      <family val="2"/>
      <b val="1"/>
      <sz val="12"/>
    </font>
    <font>
      <name val="Arial"/>
      <charset val="204"/>
      <family val="2"/>
      <color theme="1"/>
      <sz val="10"/>
    </font>
    <font>
      <name val="Arial Unicode MS"/>
      <charset val="204"/>
      <family val="2"/>
      <b val="1"/>
      <color theme="1"/>
      <sz val="12"/>
    </font>
    <font>
      <name val="Arial Narrow"/>
      <charset val="204"/>
      <family val="2"/>
      <b val="1"/>
      <i val="1"/>
      <color theme="1"/>
      <sz val="11"/>
    </font>
    <font>
      <name val="Arial Narrow"/>
      <charset val="204"/>
      <family val="2"/>
      <b val="1"/>
      <i val="1"/>
      <color theme="1"/>
      <sz val="14"/>
    </font>
    <font>
      <name val="Times New Roman"/>
      <charset val="204"/>
      <family val="1"/>
      <b val="1"/>
      <i val="1"/>
      <color indexed="2"/>
      <sz val="22"/>
      <u val="single"/>
    </font>
    <font>
      <name val="Calibri"/>
      <charset val="204"/>
      <family val="2"/>
      <color theme="1"/>
      <sz val="11"/>
      <scheme val="minor"/>
    </font>
    <font>
      <name val="Calibri"/>
      <charset val="204"/>
      <family val="2"/>
      <color theme="1"/>
      <sz val="14"/>
      <scheme val="minor"/>
    </font>
    <font>
      <name val="Times New Roman"/>
      <charset val="204"/>
      <family val="1"/>
      <b val="1"/>
      <color theme="1"/>
      <sz val="14"/>
    </font>
    <font>
      <name val="Times New Roman"/>
      <charset val="204"/>
      <family val="1"/>
      <b val="1"/>
      <color rgb="FF0000FF"/>
      <sz val="14"/>
    </font>
    <font>
      <name val="Times New Roman"/>
      <charset val="204"/>
      <family val="1"/>
      <b val="1"/>
      <color theme="1"/>
      <sz val="10"/>
    </font>
    <font>
      <name val="Times New Roman"/>
      <charset val="204"/>
      <family val="1"/>
      <b val="1"/>
      <i val="1"/>
      <color theme="1"/>
      <sz val="14"/>
    </font>
    <font>
      <name val="Times New Roman"/>
      <charset val="204"/>
      <family val="1"/>
      <b val="1"/>
      <i val="1"/>
      <color theme="1"/>
      <sz val="10"/>
    </font>
    <font>
      <name val="Times New Roman"/>
      <charset val="204"/>
      <family val="1"/>
      <color theme="1"/>
      <sz val="12"/>
    </font>
    <font>
      <name val="Times New Roman"/>
      <charset val="204"/>
      <family val="1"/>
      <b val="1"/>
      <color rgb="FFC00000"/>
      <sz val="14"/>
    </font>
    <font>
      <name val="Times New Roman"/>
      <charset val="204"/>
      <family val="1"/>
      <b val="1"/>
      <color theme="1"/>
      <sz val="12"/>
    </font>
    <font>
      <name val="Times New Roman"/>
      <charset val="204"/>
      <family val="1"/>
      <b val="1"/>
      <sz val="12"/>
    </font>
    <font>
      <name val="PT Astra Serif"/>
      <charset val="204"/>
      <family val="1"/>
      <color theme="1"/>
      <sz val="10"/>
    </font>
    <font>
      <name val="PT Astra Serif"/>
      <charset val="204"/>
      <family val="1"/>
      <b val="1"/>
      <sz val="10"/>
    </font>
    <font>
      <name val="Arial Cyr"/>
      <charset val="204"/>
      <family val="2"/>
      <color theme="1"/>
      <sz val="10"/>
    </font>
    <font>
      <name val="PT Astra Serif"/>
      <charset val="204"/>
      <family val="1"/>
      <sz val="10"/>
    </font>
    <font>
      <name val="PT Astra Serif"/>
      <charset val="204"/>
      <family val="1"/>
      <color theme="1"/>
      <sz val="9"/>
    </font>
    <font>
      <name val="PT Astra Serif"/>
      <charset val="204"/>
      <family val="1"/>
      <b val="1"/>
      <i val="1"/>
      <color theme="1"/>
      <sz val="9"/>
    </font>
    <font>
      <name val="PT Astra Serif"/>
      <charset val="204"/>
      <family val="1"/>
      <b val="1"/>
      <sz val="12"/>
    </font>
    <font>
      <name val="Arial Narrow"/>
      <charset val="204"/>
      <family val="2"/>
      <color theme="1"/>
      <sz val="10"/>
    </font>
    <font>
      <name val="Times New Roman"/>
      <charset val="204"/>
      <family val="1"/>
      <color theme="1"/>
      <sz val="9"/>
    </font>
    <font>
      <name val="Times New Roman"/>
      <charset val="204"/>
      <family val="1"/>
      <b val="1"/>
      <color theme="1"/>
      <sz val="12"/>
    </font>
    <font>
      <name val="Times New Roman"/>
      <charset val="204"/>
      <family val="1"/>
      <b val="1"/>
      <color theme="1"/>
      <sz val="14"/>
    </font>
    <font>
      <name val="Times New Roman"/>
      <charset val="204"/>
      <family val="1"/>
      <color theme="1"/>
      <sz val="14"/>
    </font>
    <font>
      <name val="Times New Roman"/>
      <charset val="204"/>
      <family val="1"/>
      <color theme="1"/>
      <sz val="9"/>
    </font>
    <font>
      <name val="Times New Roman"/>
      <charset val="204"/>
      <family val="1"/>
      <color theme="0"/>
      <sz val="14"/>
      <vertAlign val="superscript"/>
    </font>
    <font>
      <name val="Times New Roman"/>
      <charset val="204"/>
      <family val="1"/>
      <b val="1"/>
      <sz val="10"/>
    </font>
    <font>
      <name val="Times New Roman"/>
      <charset val="204"/>
      <family val="1"/>
      <sz val="10"/>
    </font>
    <font>
      <name val="Times New Roman"/>
      <charset val="204"/>
      <family val="1"/>
      <i val="1"/>
      <sz val="10"/>
    </font>
  </fonts>
  <fills count="14">
    <fill>
      <patternFill/>
    </fill>
    <fill>
      <patternFill patternType="gray125"/>
    </fill>
    <fill>
      <patternFill patternType="solid">
        <fgColor indexed="22"/>
        <bgColor indexed="22"/>
      </patternFill>
    </fill>
    <fill>
      <patternFill patternType="solid">
        <fgColor theme="6" tint="0.7999816888943144"/>
        <bgColor theme="6" tint="0.7999816888943144"/>
      </patternFill>
    </fill>
    <fill>
      <patternFill patternType="solid">
        <fgColor theme="4" tint="0.7999816888943144"/>
        <bgColor theme="4" tint="0.7999816888943144"/>
      </patternFill>
    </fill>
    <fill>
      <patternFill patternType="solid">
        <fgColor theme="0" tint="-0.0499893185216834"/>
        <bgColor theme="0" tint="-0.0499893185216834"/>
      </patternFill>
    </fill>
    <fill>
      <patternFill patternType="solid">
        <fgColor theme="4" tint="0.7999816888943144"/>
        <bgColor theme="3" tint="0.7999816888943144"/>
      </patternFill>
    </fill>
    <fill>
      <patternFill patternType="solid">
        <fgColor theme="0"/>
        <bgColor theme="0"/>
      </patternFill>
    </fill>
    <fill>
      <patternFill patternType="solid">
        <fgColor theme="3"/>
        <bgColor theme="3"/>
      </patternFill>
    </fill>
    <fill>
      <patternFill patternType="solid">
        <fgColor theme="0" tint="-0.1499984740745262"/>
        <bgColor theme="0" tint="-0.1499984740745262"/>
      </patternFill>
    </fill>
    <fill>
      <patternFill patternType="solid">
        <fgColor rgb="FFE7EEF5"/>
        <bgColor indexed="64"/>
      </patternFill>
    </fill>
    <fill>
      <patternFill patternType="solid">
        <fgColor rgb="FFBDD7EE"/>
        <bgColor indexed="64"/>
      </patternFill>
    </fill>
    <fill>
      <patternFill patternType="solid">
        <fgColor rgb="FFDDEBF7"/>
        <bgColor indexed="64"/>
      </patternFill>
    </fill>
    <fill>
      <patternFill patternType="solid">
        <fgColor rgb="FFFF0000"/>
        <bgColor theme="0" tint="-0.0499893185216834"/>
      </patternFill>
    </fill>
  </fills>
  <borders count="46">
    <border>
      <left/>
      <right/>
      <top/>
      <bottom/>
      <diagonal/>
    </border>
    <border>
      <left style="medium">
        <color auto="1"/>
      </left>
      <right/>
      <top/>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top/>
      <bottom style="thin">
        <color theme="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hair">
        <color auto="1"/>
      </left>
      <right style="hair">
        <color auto="1"/>
      </right>
      <top/>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thin">
        <color indexed="64"/>
      </top>
      <bottom style="thin">
        <color auto="1"/>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thin">
        <color auto="1"/>
      </left>
      <right style="thin">
        <color indexed="64"/>
      </right>
      <top/>
      <bottom style="hair">
        <color theme="4" tint="0.5999938962981048"/>
      </bottom>
      <diagonal/>
    </border>
    <border>
      <left style="thin">
        <color auto="1"/>
      </left>
      <right style="thin">
        <color indexed="64"/>
      </right>
      <top style="hair">
        <color theme="4" tint="0.5999938962981048"/>
      </top>
      <bottom style="hair">
        <color theme="4" tint="0.5999938962981048"/>
      </bottom>
      <diagonal/>
    </border>
    <border>
      <left style="thin">
        <color theme="1" tint="0.499984740745262"/>
      </left>
      <right style="thin">
        <color theme="1" tint="0.499984740745262"/>
      </right>
      <top style="hair">
        <color theme="1" tint="0.499984740745262"/>
      </top>
      <bottom/>
      <diagonal/>
    </border>
    <border>
      <left style="thin">
        <color theme="1" tint="0.499984740745262"/>
      </left>
      <right/>
      <top style="hair">
        <color theme="1" tint="0.499984740745262"/>
      </top>
      <bottom/>
      <diagonal/>
    </border>
    <border>
      <left/>
      <right style="thin">
        <color theme="1" tint="0.499984740745262"/>
      </right>
      <top style="hair">
        <color theme="1" tint="0.499984740745262"/>
      </top>
      <bottom/>
      <diagonal/>
    </border>
    <border>
      <left style="thin">
        <color indexed="64"/>
      </left>
      <right style="thin">
        <color auto="1"/>
      </right>
      <top style="thin">
        <color indexed="64"/>
      </top>
      <bottom style="thin">
        <color auto="1"/>
      </bottom>
      <diagonal/>
    </border>
    <border>
      <left/>
      <right style="thin">
        <color auto="1"/>
      </right>
      <top style="thin">
        <color indexed="64"/>
      </top>
      <bottom/>
      <diagonal/>
    </border>
    <border>
      <left style="thin">
        <color indexed="64"/>
      </left>
      <right/>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auto="1"/>
      </right>
      <top/>
      <bottom/>
      <diagonal/>
    </border>
    <border>
      <left style="thin">
        <color indexed="64"/>
      </left>
      <right style="thin">
        <color auto="1"/>
      </right>
      <top/>
      <bottom style="thin">
        <color auto="1"/>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48"/>
      </left>
      <right style="thin">
        <color indexed="48"/>
      </right>
      <top style="thin">
        <color indexed="48"/>
      </top>
      <bottom style="thin">
        <color indexed="48"/>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10">
    <xf numFmtId="0" fontId="0"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4" fillId="2" borderId="0"/>
    <xf numFmtId="0" fontId="4" fillId="0" borderId="0"/>
    <xf numFmtId="0" fontId="3" fillId="0" borderId="0"/>
    <xf numFmtId="0" fontId="4" fillId="2" borderId="0"/>
    <xf numFmtId="0" fontId="4" fillId="0" borderId="0"/>
    <xf numFmtId="0" fontId="4" fillId="0" borderId="0"/>
    <xf numFmtId="0" fontId="4" fillId="0" borderId="0"/>
    <xf numFmtId="0" fontId="5" fillId="0" borderId="0"/>
    <xf numFmtId="0" fontId="3" fillId="0" borderId="0"/>
    <xf numFmtId="0" fontId="4" fillId="0" borderId="0"/>
    <xf numFmtId="0" fontId="3" fillId="0" borderId="0"/>
    <xf numFmtId="0" fontId="4" fillId="0" borderId="0"/>
    <xf numFmtId="0" fontId="3" fillId="0" borderId="0"/>
    <xf numFmtId="0" fontId="4" fillId="0" borderId="0"/>
    <xf numFmtId="0" fontId="3" fillId="0" borderId="0"/>
    <xf numFmtId="0" fontId="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4" fillId="0" borderId="0"/>
    <xf numFmtId="0" fontId="3" fillId="0" borderId="0"/>
    <xf numFmtId="0" fontId="4" fillId="0" borderId="0"/>
    <xf numFmtId="0" fontId="3" fillId="0" borderId="0"/>
    <xf numFmtId="0" fontId="6" fillId="0" borderId="0"/>
    <xf numFmtId="0" fontId="4" fillId="0" borderId="0"/>
    <xf numFmtId="0" fontId="3" fillId="0" borderId="0"/>
    <xf numFmtId="0" fontId="7" fillId="0" borderId="0"/>
    <xf numFmtId="0" fontId="7" fillId="0" borderId="0"/>
    <xf numFmtId="0" fontId="8" fillId="0" borderId="0"/>
    <xf numFmtId="0" fontId="9" fillId="0" borderId="0"/>
    <xf numFmtId="0" fontId="8" fillId="0" borderId="0"/>
    <xf numFmtId="0" fontId="8" fillId="0" borderId="0"/>
    <xf numFmtId="0" fontId="9" fillId="0" borderId="0"/>
    <xf numFmtId="0" fontId="8" fillId="0" borderId="0"/>
    <xf numFmtId="0" fontId="7" fillId="0" borderId="0"/>
    <xf numFmtId="0" fontId="7" fillId="0" borderId="0"/>
    <xf numFmtId="0" fontId="8" fillId="0" borderId="0"/>
    <xf numFmtId="0" fontId="9" fillId="0" borderId="0"/>
    <xf numFmtId="0" fontId="8" fillId="0" borderId="0"/>
    <xf numFmtId="0" fontId="8" fillId="0" borderId="0"/>
    <xf numFmtId="0" fontId="10" fillId="0" borderId="0"/>
    <xf numFmtId="0" fontId="8" fillId="0" borderId="0"/>
    <xf numFmtId="0" fontId="11" fillId="0" borderId="0"/>
    <xf numFmtId="0" fontId="9" fillId="0" borderId="0"/>
    <xf numFmtId="0" fontId="8" fillId="0" borderId="0"/>
    <xf numFmtId="0" fontId="11" fillId="0" borderId="0"/>
    <xf numFmtId="0" fontId="11" fillId="0" borderId="0"/>
    <xf numFmtId="0" fontId="9" fillId="0" borderId="0"/>
    <xf numFmtId="0" fontId="8" fillId="0" borderId="0"/>
    <xf numFmtId="0" fontId="9" fillId="0" borderId="0"/>
    <xf numFmtId="0" fontId="8" fillId="0" borderId="0"/>
    <xf numFmtId="0" fontId="9" fillId="0" borderId="0"/>
    <xf numFmtId="0" fontId="8" fillId="0" borderId="0"/>
    <xf numFmtId="0" fontId="12" fillId="0" borderId="0"/>
    <xf numFmtId="4" fontId="13" fillId="0" borderId="0" applyProtection="1">
      <protection locked="0" hidden="0"/>
    </xf>
    <xf numFmtId="0" fontId="14" fillId="0" borderId="0"/>
    <xf numFmtId="0" fontId="4" fillId="0" borderId="0"/>
    <xf numFmtId="0" fontId="129" fillId="0" borderId="0"/>
    <xf numFmtId="4" fontId="129" fillId="0" borderId="0"/>
    <xf numFmtId="0" fontId="13" fillId="0" borderId="0" applyProtection="1">
      <protection locked="0" hidden="0"/>
    </xf>
    <xf numFmtId="0" fontId="14" fillId="0" borderId="0"/>
    <xf numFmtId="0" fontId="4" fillId="0" borderId="0"/>
    <xf numFmtId="9" fontId="16" fillId="0" borderId="0"/>
    <xf numFmtId="0" fontId="16" fillId="0" borderId="1" applyAlignment="1">
      <alignment horizontal="center"/>
    </xf>
    <xf numFmtId="0" fontId="17" fillId="0" borderId="0"/>
    <xf numFmtId="0" fontId="4" fillId="0" borderId="0"/>
    <xf numFmtId="0" fontId="4" fillId="0" borderId="0"/>
    <xf numFmtId="0" fontId="16" fillId="0" borderId="0"/>
    <xf numFmtId="0" fontId="13" fillId="0" borderId="0" applyProtection="1">
      <protection locked="0" hidden="0"/>
    </xf>
    <xf numFmtId="0" fontId="18" fillId="0" borderId="0"/>
    <xf numFmtId="0" fontId="19" fillId="0" borderId="2"/>
    <xf numFmtId="0" fontId="5" fillId="0" borderId="0"/>
    <xf numFmtId="0" fontId="5" fillId="0" borderId="0"/>
    <xf numFmtId="0" fontId="103" fillId="0" borderId="0"/>
    <xf numFmtId="0" fontId="103" fillId="0" borderId="0"/>
    <xf numFmtId="0" fontId="4" fillId="0" borderId="0"/>
    <xf numFmtId="0" fontId="10" fillId="0" borderId="0"/>
    <xf numFmtId="0" fontId="10" fillId="0" borderId="0"/>
    <xf numFmtId="9" fontId="103" fillId="0" borderId="0"/>
    <xf numFmtId="0" fontId="116" fillId="0" borderId="0"/>
    <xf numFmtId="0" fontId="103" fillId="0" borderId="0"/>
    <xf numFmtId="4" fontId="128" fillId="0" borderId="36" applyAlignment="1">
      <alignment horizontal="left" vertical="center" indent="1"/>
    </xf>
    <xf numFmtId="0" fontId="129" fillId="0" borderId="42" applyAlignment="1">
      <alignment horizontal="left" vertical="center" wrapText="1" indent="1"/>
    </xf>
    <xf numFmtId="0" fontId="129" fillId="0" borderId="42" applyAlignment="1">
      <alignment horizontal="left" vertical="center" wrapText="1" indent="1"/>
    </xf>
    <xf numFmtId="4" fontId="129" fillId="0" borderId="42" applyAlignment="1">
      <alignment horizontal="left" vertical="center" indent="1"/>
    </xf>
  </cellStyleXfs>
  <cellXfs count="1096">
    <xf numFmtId="0" fontId="0" fillId="0" borderId="0" pivotButton="0" quotePrefix="0" xfId="0"/>
    <xf numFmtId="0" fontId="20" fillId="0" borderId="0" applyAlignment="1" pivotButton="0" quotePrefix="0" xfId="0">
      <alignment horizontal="center" vertical="center"/>
    </xf>
    <xf numFmtId="4" fontId="0" fillId="0" borderId="0" applyAlignment="1" pivotButton="0" quotePrefix="0" xfId="0">
      <alignment horizontal="right"/>
    </xf>
    <xf numFmtId="9" fontId="0" fillId="0" borderId="0" applyAlignment="1" pivotButton="0" quotePrefix="0" xfId="0">
      <alignment horizontal="right"/>
    </xf>
    <xf numFmtId="0" fontId="0" fillId="0" borderId="0" applyAlignment="1" pivotButton="0" quotePrefix="0" xfId="0">
      <alignment vertical="center"/>
    </xf>
    <xf numFmtId="0" fontId="24" fillId="0" borderId="0" applyAlignment="1" pivotButton="0" quotePrefix="0" xfId="96">
      <alignment vertical="center"/>
    </xf>
    <xf numFmtId="0" fontId="26" fillId="0" borderId="0" applyAlignment="1" pivotButton="0" quotePrefix="0" xfId="0">
      <alignment horizontal="center" vertical="center"/>
    </xf>
    <xf numFmtId="0" fontId="26" fillId="0" borderId="6" applyAlignment="1" pivotButton="0" quotePrefix="0" xfId="0">
      <alignment horizontal="center" vertical="center"/>
    </xf>
    <xf numFmtId="0" fontId="26" fillId="0" borderId="7" applyAlignment="1" pivotButton="0" quotePrefix="0" xfId="0">
      <alignment horizontal="center" vertical="center"/>
    </xf>
    <xf numFmtId="0" fontId="25" fillId="0" borderId="0" applyAlignment="1" pivotButton="0" quotePrefix="0" xfId="0">
      <alignment vertical="center"/>
    </xf>
    <xf numFmtId="0" fontId="25" fillId="0" borderId="6" applyAlignment="1" pivotButton="0" quotePrefix="0" xfId="0">
      <alignment vertical="center"/>
    </xf>
    <xf numFmtId="0" fontId="27" fillId="0" borderId="0" applyAlignment="1" pivotButton="0" quotePrefix="0" xfId="0">
      <alignment horizontal="center" wrapText="1"/>
    </xf>
    <xf numFmtId="0" fontId="27" fillId="0" borderId="7" applyAlignment="1" pivotButton="0" quotePrefix="0" xfId="0">
      <alignment horizontal="center" wrapText="1"/>
    </xf>
    <xf numFmtId="0" fontId="25" fillId="0" borderId="0" pivotButton="0" quotePrefix="0" xfId="0"/>
    <xf numFmtId="49" fontId="25" fillId="0" borderId="0" applyAlignment="1" pivotButton="0" quotePrefix="0" xfId="0">
      <alignment horizontal="left" vertical="center"/>
    </xf>
    <xf numFmtId="0" fontId="28" fillId="3" borderId="2" applyAlignment="1" pivotButton="0" quotePrefix="0" xfId="0">
      <alignment horizontal="center"/>
    </xf>
    <xf numFmtId="0" fontId="28" fillId="4" borderId="2" applyAlignment="1" pivotButton="0" quotePrefix="0" xfId="0">
      <alignment horizontal="center"/>
    </xf>
    <xf numFmtId="0" fontId="29" fillId="5" borderId="2" applyAlignment="1" pivotButton="0" quotePrefix="0" xfId="0">
      <alignment horizontal="center" vertical="center" wrapText="1"/>
    </xf>
    <xf numFmtId="49" fontId="23" fillId="4" borderId="0" applyAlignment="1" pivotButton="0" quotePrefix="0" xfId="0">
      <alignment horizontal="left" vertical="center"/>
    </xf>
    <xf numFmtId="16" fontId="0" fillId="0" borderId="0" pivotButton="0" quotePrefix="0" xfId="0"/>
    <xf numFmtId="49" fontId="23" fillId="0" borderId="0" applyAlignment="1" pivotButton="0" quotePrefix="0" xfId="0">
      <alignment horizontal="left" vertical="center" indent="2"/>
    </xf>
    <xf numFmtId="0" fontId="23" fillId="0" borderId="0" applyAlignment="1" pivotButton="0" quotePrefix="0" xfId="0">
      <alignment horizontal="right" vertical="center"/>
    </xf>
    <xf numFmtId="0" fontId="25" fillId="0" borderId="0" applyAlignment="1" pivotButton="0" quotePrefix="0" xfId="0">
      <alignment horizontal="right" vertical="center"/>
    </xf>
    <xf numFmtId="0" fontId="33" fillId="0" borderId="0" applyAlignment="1" pivotButton="0" quotePrefix="0" xfId="100">
      <alignment horizontal="right" vertical="center"/>
    </xf>
    <xf numFmtId="0" fontId="23" fillId="0" borderId="0" applyAlignment="1" pivotButton="0" quotePrefix="0" xfId="0">
      <alignment horizontal="center" vertical="center"/>
    </xf>
    <xf numFmtId="0" fontId="25" fillId="4" borderId="0" applyAlignment="1" pivotButton="0" quotePrefix="0" xfId="96">
      <alignment horizontal="right" vertical="center"/>
    </xf>
    <xf numFmtId="0" fontId="32" fillId="4" borderId="0" applyAlignment="1" pivotButton="0" quotePrefix="0" xfId="96">
      <alignment horizontal="right" vertical="center"/>
    </xf>
    <xf numFmtId="0" fontId="30" fillId="0" borderId="0" applyAlignment="1" pivotButton="0" quotePrefix="0" xfId="96">
      <alignment horizontal="right" vertical="center"/>
    </xf>
    <xf numFmtId="0" fontId="25" fillId="0" borderId="0" applyAlignment="1" pivotButton="0" quotePrefix="0" xfId="96">
      <alignment horizontal="left" vertical="center" indent="2"/>
    </xf>
    <xf numFmtId="0" fontId="30" fillId="4" borderId="0" applyAlignment="1" pivotButton="0" quotePrefix="0" xfId="96">
      <alignment horizontal="right" vertical="center"/>
    </xf>
    <xf numFmtId="0" fontId="25" fillId="0" borderId="0" applyAlignment="1" pivotButton="0" quotePrefix="0" xfId="96">
      <alignment vertical="center" wrapText="1"/>
    </xf>
    <xf numFmtId="0" fontId="30" fillId="0" borderId="0" applyAlignment="1" pivotButton="0" quotePrefix="0" xfId="96">
      <alignment vertical="center"/>
    </xf>
    <xf numFmtId="0" fontId="31" fillId="0" borderId="0" applyAlignment="1" pivotButton="0" quotePrefix="0" xfId="0">
      <alignment horizontal="center" vertical="center"/>
    </xf>
    <xf numFmtId="0" fontId="33" fillId="0" borderId="0" applyAlignment="1" pivotButton="0" quotePrefix="0" xfId="0">
      <alignment horizontal="right" vertical="center"/>
    </xf>
    <xf numFmtId="0" fontId="31" fillId="4" borderId="0" applyAlignment="1" pivotButton="0" quotePrefix="0" xfId="96">
      <alignment horizontal="right" vertical="center"/>
    </xf>
    <xf numFmtId="0" fontId="33" fillId="4" borderId="0" applyAlignment="1" pivotButton="0" quotePrefix="0" xfId="96">
      <alignment horizontal="right" vertical="center"/>
    </xf>
    <xf numFmtId="0" fontId="32" fillId="0" borderId="0" applyAlignment="1" pivotButton="0" quotePrefix="0" xfId="0">
      <alignment horizontal="right" vertical="center" wrapText="1"/>
    </xf>
    <xf numFmtId="0" fontId="25" fillId="4" borderId="0" applyAlignment="1" pivotButton="0" quotePrefix="0" xfId="96">
      <alignment vertical="center"/>
    </xf>
    <xf numFmtId="0" fontId="23" fillId="4" borderId="0" applyAlignment="1" pivotButton="0" quotePrefix="0" xfId="0">
      <alignment horizontal="center" vertical="center"/>
    </xf>
    <xf numFmtId="0" fontId="25" fillId="4" borderId="0" applyAlignment="1" pivotButton="0" quotePrefix="0" xfId="96">
      <alignment horizontal="left" vertical="center" indent="2"/>
    </xf>
    <xf numFmtId="0" fontId="32" fillId="0" borderId="0" applyAlignment="1" pivotButton="0" quotePrefix="0" xfId="0">
      <alignment horizontal="right" vertical="center"/>
    </xf>
    <xf numFmtId="0" fontId="23" fillId="0" borderId="0" applyAlignment="1" pivotButton="0" quotePrefix="0" xfId="0">
      <alignment horizontal="center"/>
    </xf>
    <xf numFmtId="0" fontId="36" fillId="0" borderId="0" applyAlignment="1" pivotButton="0" quotePrefix="0" xfId="96">
      <alignment horizontal="right" vertical="center"/>
    </xf>
    <xf numFmtId="0" fontId="36" fillId="0" borderId="0" applyAlignment="1" pivotButton="0" quotePrefix="0" xfId="96">
      <alignment vertical="center"/>
    </xf>
    <xf numFmtId="0" fontId="34" fillId="0" borderId="0" applyAlignment="1" pivotButton="0" quotePrefix="0" xfId="96">
      <alignment horizontal="right" vertical="center"/>
    </xf>
    <xf numFmtId="0" fontId="37" fillId="0" borderId="0" applyAlignment="1" pivotButton="0" quotePrefix="0" xfId="96">
      <alignment vertical="center"/>
    </xf>
    <xf numFmtId="0" fontId="38" fillId="0" borderId="0" applyAlignment="1" pivotButton="0" quotePrefix="0" xfId="0">
      <alignment horizontal="center" vertical="center"/>
    </xf>
    <xf numFmtId="0" fontId="39" fillId="0" borderId="0" applyAlignment="1" pivotButton="0" quotePrefix="0" xfId="96">
      <alignment horizontal="right" vertical="center"/>
    </xf>
    <xf numFmtId="0" fontId="40" fillId="0" borderId="0" applyAlignment="1" pivotButton="0" quotePrefix="0" xfId="0">
      <alignment horizontal="center" vertical="center"/>
    </xf>
    <xf numFmtId="0" fontId="41" fillId="0" borderId="0" applyAlignment="1" pivotButton="0" quotePrefix="0" xfId="0">
      <alignment horizontal="center" vertical="center"/>
    </xf>
    <xf numFmtId="0" fontId="33" fillId="0" borderId="0" applyAlignment="1" pivotButton="0" quotePrefix="0" xfId="0">
      <alignment horizontal="center" vertical="center"/>
    </xf>
    <xf numFmtId="0" fontId="30" fillId="0" borderId="0" applyAlignment="1" pivotButton="0" quotePrefix="0" xfId="0">
      <alignment horizontal="right" vertical="center"/>
    </xf>
    <xf numFmtId="0" fontId="35" fillId="0" borderId="0" applyAlignment="1" pivotButton="0" quotePrefix="0" xfId="96">
      <alignment horizontal="right" vertical="center"/>
    </xf>
    <xf numFmtId="0" fontId="32" fillId="4" borderId="0" applyAlignment="1" pivotButton="0" quotePrefix="0" xfId="96">
      <alignment horizontal="right" vertical="center" wrapText="1"/>
    </xf>
    <xf numFmtId="0" fontId="32" fillId="0" borderId="0" applyAlignment="1" pivotButton="0" quotePrefix="0" xfId="96">
      <alignment vertical="center"/>
    </xf>
    <xf numFmtId="0" fontId="36" fillId="0" borderId="0" applyAlignment="1" pivotButton="0" quotePrefix="0" xfId="96">
      <alignment horizontal="left" vertical="center"/>
    </xf>
    <xf numFmtId="0" fontId="42" fillId="0" borderId="0" applyAlignment="1" pivotButton="0" quotePrefix="0" xfId="0">
      <alignment horizontal="center" vertical="center"/>
    </xf>
    <xf numFmtId="0" fontId="25" fillId="6" borderId="0" pivotButton="0" quotePrefix="0" xfId="0"/>
    <xf numFmtId="0" fontId="23" fillId="0" borderId="0" applyAlignment="1" pivotButton="0" quotePrefix="0" xfId="99">
      <alignment horizontal="left" vertical="center" wrapText="1"/>
    </xf>
    <xf numFmtId="2" fontId="33" fillId="0" borderId="0" applyAlignment="1" pivotButton="0" quotePrefix="0" xfId="0">
      <alignment horizontal="left" vertical="center" wrapText="1" indent="3"/>
    </xf>
    <xf numFmtId="0" fontId="26" fillId="0" borderId="0" applyAlignment="1" pivotButton="0" quotePrefix="0" xfId="0">
      <alignment vertical="center"/>
    </xf>
    <xf numFmtId="0" fontId="23" fillId="0" borderId="0" applyAlignment="1" pivotButton="0" quotePrefix="0" xfId="0">
      <alignment horizontal="center" vertical="center" wrapText="1"/>
    </xf>
    <xf numFmtId="49" fontId="25" fillId="0" borderId="0" applyAlignment="1" pivotButton="0" quotePrefix="0" xfId="0">
      <alignment horizontal="left" vertical="center" wrapText="1"/>
    </xf>
    <xf numFmtId="0" fontId="25" fillId="0" borderId="0" applyAlignment="1" pivotButton="0" quotePrefix="0" xfId="0">
      <alignment vertical="center" wrapText="1"/>
    </xf>
    <xf numFmtId="0" fontId="25" fillId="0" borderId="0" applyAlignment="1" pivotButton="0" quotePrefix="0" xfId="0">
      <alignment horizontal="left" vertical="center"/>
    </xf>
    <xf numFmtId="0" fontId="25" fillId="0" borderId="0" applyAlignment="1" pivotButton="0" quotePrefix="0" xfId="0">
      <alignment horizontal="center"/>
    </xf>
    <xf numFmtId="0" fontId="25" fillId="0" borderId="0" applyAlignment="1" pivotButton="0" quotePrefix="0" xfId="96">
      <alignment horizontal="left" vertical="center"/>
    </xf>
    <xf numFmtId="0" fontId="30" fillId="0" borderId="0" applyAlignment="1" pivotButton="0" quotePrefix="0" xfId="0">
      <alignment horizontal="left" vertical="center"/>
    </xf>
    <xf numFmtId="0" fontId="23" fillId="0" borderId="0" applyAlignment="1" pivotButton="0" quotePrefix="0" xfId="0">
      <alignment horizontal="left" vertical="center"/>
    </xf>
    <xf numFmtId="0" fontId="43" fillId="0" borderId="0" applyAlignment="1" pivotButton="0" quotePrefix="0" xfId="97">
      <alignment vertical="center"/>
    </xf>
    <xf numFmtId="0" fontId="23" fillId="0" borderId="0" applyAlignment="1" pivotButton="0" quotePrefix="0" xfId="0">
      <alignment vertical="center"/>
    </xf>
    <xf numFmtId="0" fontId="25" fillId="0" borderId="0" applyAlignment="1" pivotButton="0" quotePrefix="0" xfId="99">
      <alignment horizontal="left" vertical="center"/>
    </xf>
    <xf numFmtId="0" fontId="23" fillId="0" borderId="0" applyAlignment="1" pivotButton="0" quotePrefix="0" xfId="99">
      <alignment horizontal="left" vertical="center"/>
    </xf>
    <xf numFmtId="0" fontId="31" fillId="0" borderId="0" applyAlignment="1" pivotButton="0" quotePrefix="0" xfId="99">
      <alignment horizontal="left" vertical="center" indent="2"/>
    </xf>
    <xf numFmtId="0" fontId="31" fillId="0" borderId="0" applyAlignment="1" pivotButton="0" quotePrefix="0" xfId="99">
      <alignment horizontal="left" vertical="center"/>
    </xf>
    <xf numFmtId="0" fontId="25" fillId="0" borderId="0" applyAlignment="1" pivotButton="0" quotePrefix="0" xfId="99">
      <alignment horizontal="left" vertical="center" wrapText="1"/>
    </xf>
    <xf numFmtId="0" fontId="30" fillId="0" borderId="0" applyAlignment="1" pivotButton="0" quotePrefix="0" xfId="99">
      <alignment horizontal="left" vertical="center"/>
    </xf>
    <xf numFmtId="0" fontId="31" fillId="0" borderId="0" applyAlignment="1" pivotButton="0" quotePrefix="0" xfId="99">
      <alignment horizontal="left" vertical="center" wrapText="1" indent="2"/>
    </xf>
    <xf numFmtId="0" fontId="30" fillId="0" borderId="0" applyAlignment="1" pivotButton="0" quotePrefix="0" xfId="99">
      <alignment horizontal="left" vertical="center" wrapText="1" indent="2"/>
    </xf>
    <xf numFmtId="0" fontId="23" fillId="0" borderId="0" applyAlignment="1" pivotButton="0" quotePrefix="0" xfId="99">
      <alignment vertical="center"/>
    </xf>
    <xf numFmtId="0" fontId="35" fillId="0" borderId="0" applyAlignment="1" pivotButton="0" quotePrefix="0" xfId="0">
      <alignment horizontal="left" vertical="center" wrapText="1"/>
    </xf>
    <xf numFmtId="0" fontId="23" fillId="0" borderId="0" applyAlignment="1" pivotButton="0" quotePrefix="0" xfId="99">
      <alignment vertical="center" wrapText="1"/>
    </xf>
    <xf numFmtId="0" fontId="31" fillId="0" borderId="0" applyAlignment="1" pivotButton="0" quotePrefix="0" xfId="99">
      <alignment vertical="center"/>
    </xf>
    <xf numFmtId="0" fontId="31" fillId="0" borderId="0" applyAlignment="1" pivotButton="0" quotePrefix="0" xfId="99">
      <alignment horizontal="left" vertical="center" wrapText="1"/>
    </xf>
    <xf numFmtId="0" fontId="44" fillId="0" borderId="0" applyAlignment="1" pivotButton="0" quotePrefix="0" xfId="96">
      <alignment vertical="center"/>
    </xf>
    <xf numFmtId="0" fontId="30" fillId="0" borderId="0" applyAlignment="1" pivotButton="0" quotePrefix="0" xfId="0">
      <alignment vertical="center"/>
    </xf>
    <xf numFmtId="49" fontId="23" fillId="0" borderId="12" applyAlignment="1" pivotButton="0" quotePrefix="0" xfId="0">
      <alignment horizontal="left" vertical="center"/>
    </xf>
    <xf numFmtId="0" fontId="30" fillId="0" borderId="12" applyAlignment="1" pivotButton="0" quotePrefix="0" xfId="0">
      <alignment horizontal="right" vertical="center"/>
    </xf>
    <xf numFmtId="49" fontId="20" fillId="0" borderId="0" applyAlignment="1" pivotButton="0" quotePrefix="0" xfId="96">
      <alignment horizontal="center" vertical="center"/>
    </xf>
    <xf numFmtId="0" fontId="43" fillId="0" borderId="0" applyAlignment="1" pivotButton="0" quotePrefix="0" xfId="96">
      <alignment horizontal="center" vertical="center"/>
    </xf>
    <xf numFmtId="0" fontId="43" fillId="0" borderId="0" applyAlignment="1" pivotButton="0" quotePrefix="0" xfId="96">
      <alignment horizontal="center" vertical="center" wrapText="1"/>
    </xf>
    <xf numFmtId="0" fontId="45" fillId="0" borderId="0" applyAlignment="1" pivotButton="0" quotePrefix="0" xfId="96">
      <alignment horizontal="left" vertical="center"/>
    </xf>
    <xf numFmtId="0" fontId="46" fillId="0" borderId="0" applyAlignment="1" pivotButton="0" quotePrefix="0" xfId="96">
      <alignment horizontal="center" vertical="center"/>
    </xf>
    <xf numFmtId="0" fontId="47" fillId="0" borderId="0" applyAlignment="1" pivotButton="0" quotePrefix="0" xfId="96">
      <alignment horizontal="left" vertical="center" indent="8"/>
    </xf>
    <xf numFmtId="0" fontId="47" fillId="0" borderId="0" applyAlignment="1" pivotButton="0" quotePrefix="0" xfId="96">
      <alignment horizontal="center" vertical="center"/>
    </xf>
    <xf numFmtId="49" fontId="48" fillId="0" borderId="0" applyAlignment="1" pivotButton="0" quotePrefix="0" xfId="96">
      <alignment horizontal="left" vertical="center"/>
    </xf>
    <xf numFmtId="0" fontId="47" fillId="0" borderId="0" applyAlignment="1" pivotButton="0" quotePrefix="0" xfId="96">
      <alignment horizontal="left" vertical="center" indent="6"/>
    </xf>
    <xf numFmtId="0" fontId="50" fillId="0" borderId="0" applyAlignment="1" pivotButton="0" quotePrefix="0" xfId="96">
      <alignment horizontal="center" vertical="center"/>
    </xf>
    <xf numFmtId="49" fontId="50" fillId="0" borderId="0" applyAlignment="1" pivotButton="0" quotePrefix="0" xfId="96">
      <alignment horizontal="left" vertical="center"/>
    </xf>
    <xf numFmtId="0" fontId="43" fillId="0" borderId="0" applyAlignment="1" pivotButton="0" quotePrefix="0" xfId="96">
      <alignment vertical="center"/>
    </xf>
    <xf numFmtId="0" fontId="48" fillId="0" borderId="0" applyAlignment="1" pivotButton="0" quotePrefix="0" xfId="96">
      <alignment horizontal="left" vertical="center" indent="4"/>
    </xf>
    <xf numFmtId="0" fontId="43" fillId="0" borderId="0" applyAlignment="1" pivotButton="0" quotePrefix="0" xfId="96">
      <alignment vertical="center" wrapText="1"/>
    </xf>
    <xf numFmtId="0" fontId="46" fillId="0" borderId="0" applyAlignment="1" pivotButton="0" quotePrefix="0" xfId="96">
      <alignment horizontal="left" vertical="center" indent="2"/>
    </xf>
    <xf numFmtId="0" fontId="51" fillId="0" borderId="0" applyAlignment="1" pivotButton="0" quotePrefix="0" xfId="96">
      <alignment horizontal="left" vertical="center"/>
    </xf>
    <xf numFmtId="0" fontId="52" fillId="0" borderId="0" applyAlignment="1" pivotButton="0" quotePrefix="0" xfId="96">
      <alignment horizontal="left" vertical="center"/>
    </xf>
    <xf numFmtId="0" fontId="52" fillId="0" borderId="0" applyAlignment="1" pivotButton="0" quotePrefix="0" xfId="96">
      <alignment horizontal="center" vertical="center"/>
    </xf>
    <xf numFmtId="49" fontId="28" fillId="0" borderId="0" applyAlignment="1" pivotButton="0" quotePrefix="0" xfId="96">
      <alignment horizontal="left" vertical="center"/>
    </xf>
    <xf numFmtId="0" fontId="47" fillId="0" borderId="0" applyAlignment="1" pivotButton="0" quotePrefix="0" xfId="96">
      <alignment horizontal="left" vertical="center" wrapText="1" indent="4"/>
    </xf>
    <xf numFmtId="0" fontId="53" fillId="0" borderId="0" applyAlignment="1" pivotButton="0" quotePrefix="0" xfId="0">
      <alignment horizontal="left" wrapText="1" indent="2"/>
    </xf>
    <xf numFmtId="0" fontId="46" fillId="0" borderId="0" applyAlignment="1" pivotButton="0" quotePrefix="0" xfId="96">
      <alignment horizontal="left" vertical="center"/>
    </xf>
    <xf numFmtId="4" fontId="46" fillId="0" borderId="0" applyAlignment="1" pivotButton="0" quotePrefix="0" xfId="96">
      <alignment horizontal="center" vertical="center" wrapText="1"/>
    </xf>
    <xf numFmtId="49" fontId="20" fillId="0" borderId="0" applyAlignment="1" applyProtection="1" pivotButton="0" quotePrefix="0" xfId="96">
      <alignment horizontal="left" vertical="center"/>
      <protection locked="0" hidden="0"/>
    </xf>
    <xf numFmtId="0" fontId="43" fillId="0" borderId="0" applyAlignment="1" pivotButton="0" quotePrefix="1" xfId="96">
      <alignment horizontal="left" vertical="center" wrapText="1"/>
    </xf>
    <xf numFmtId="2" fontId="46" fillId="0" borderId="0" applyAlignment="1" pivotButton="0" quotePrefix="1" xfId="96">
      <alignment horizontal="left" vertical="center" wrapText="1" indent="2"/>
    </xf>
    <xf numFmtId="0" fontId="43" fillId="0" borderId="0" applyAlignment="1" pivotButton="0" quotePrefix="1" xfId="96">
      <alignment horizontal="left" vertical="center" wrapText="1" indent="4"/>
    </xf>
    <xf numFmtId="0" fontId="46" fillId="0" borderId="0" applyAlignment="1" pivotButton="0" quotePrefix="0" xfId="96">
      <alignment horizontal="left" vertical="center" wrapText="1" indent="4"/>
    </xf>
    <xf numFmtId="0" fontId="46" fillId="0" borderId="0" applyAlignment="1" pivotButton="0" quotePrefix="1" xfId="96">
      <alignment horizontal="left" vertical="center" wrapText="1" indent="4"/>
    </xf>
    <xf numFmtId="0" fontId="47" fillId="0" borderId="0" applyAlignment="1" pivotButton="0" quotePrefix="1" xfId="96">
      <alignment horizontal="left" vertical="center" wrapText="1" indent="4"/>
    </xf>
    <xf numFmtId="0" fontId="20" fillId="0" borderId="0" applyAlignment="1" pivotButton="0" quotePrefix="0" xfId="0">
      <alignment horizontal="left" wrapText="1" indent="1"/>
    </xf>
    <xf numFmtId="0" fontId="22" fillId="0" borderId="0" applyAlignment="1" pivotButton="0" quotePrefix="0" xfId="0">
      <alignment horizontal="left" wrapText="1" indent="1"/>
    </xf>
    <xf numFmtId="0" fontId="22" fillId="0" borderId="0" applyAlignment="1" pivotButton="0" quotePrefix="0" xfId="0">
      <alignment horizontal="left" wrapText="1" indent="2"/>
    </xf>
    <xf numFmtId="0" fontId="53" fillId="0" borderId="0" applyAlignment="1" pivotButton="0" quotePrefix="0" xfId="0">
      <alignment horizontal="left" wrapText="1" indent="4"/>
    </xf>
    <xf numFmtId="0" fontId="28" fillId="0" borderId="0" applyAlignment="1" pivotButton="0" quotePrefix="0" xfId="0">
      <alignment horizontal="left" wrapText="1" indent="7"/>
    </xf>
    <xf numFmtId="0" fontId="28" fillId="0" borderId="0" applyAlignment="1" pivotButton="0" quotePrefix="0" xfId="0">
      <alignment horizontal="left" vertical="center" wrapText="1" indent="7"/>
    </xf>
    <xf numFmtId="0" fontId="53" fillId="0" borderId="0" applyAlignment="1" pivotButton="0" quotePrefix="0" xfId="0">
      <alignment horizontal="left" wrapText="1" indent="7"/>
    </xf>
    <xf numFmtId="0" fontId="22" fillId="0" borderId="0" applyAlignment="1" pivotButton="0" quotePrefix="0" xfId="0">
      <alignment horizontal="left" vertical="center" wrapText="1" indent="1"/>
    </xf>
    <xf numFmtId="0" fontId="53" fillId="0" borderId="0" applyAlignment="1" pivotButton="0" quotePrefix="0" xfId="0">
      <alignment horizontal="left" vertical="center" wrapText="1" indent="1"/>
    </xf>
    <xf numFmtId="0" fontId="53" fillId="0" borderId="0" applyAlignment="1" pivotButton="0" quotePrefix="0" xfId="0">
      <alignment horizontal="left" vertical="center" wrapText="1" indent="4"/>
    </xf>
    <xf numFmtId="2" fontId="53" fillId="0" borderId="0" applyAlignment="1" pivotButton="0" quotePrefix="0" xfId="0">
      <alignment horizontal="left" vertical="center" wrapText="1" indent="6"/>
    </xf>
    <xf numFmtId="2" fontId="46" fillId="0" borderId="0" applyAlignment="1" pivotButton="0" quotePrefix="0" xfId="96">
      <alignment horizontal="center" vertical="center"/>
    </xf>
    <xf numFmtId="2" fontId="53" fillId="0" borderId="0" applyAlignment="1" pivotButton="0" quotePrefix="0" xfId="0">
      <alignment horizontal="left" vertical="top" wrapText="1" indent="6"/>
    </xf>
    <xf numFmtId="2" fontId="53" fillId="0" borderId="0" applyAlignment="1" pivotButton="0" quotePrefix="0" xfId="0">
      <alignment horizontal="left" vertical="top" wrapText="1" indent="8"/>
    </xf>
    <xf numFmtId="0" fontId="47" fillId="0" borderId="0" applyAlignment="1" pivotButton="0" quotePrefix="0" xfId="0">
      <alignment vertical="center"/>
    </xf>
    <xf numFmtId="0" fontId="55" fillId="0" borderId="0" applyAlignment="1" pivotButton="0" quotePrefix="0" xfId="0">
      <alignment horizontal="left"/>
    </xf>
    <xf numFmtId="0" fontId="28" fillId="0" borderId="15" applyAlignment="1" pivotButton="0" quotePrefix="0" xfId="0">
      <alignment horizontal="center" vertical="center"/>
    </xf>
    <xf numFmtId="0" fontId="28" fillId="0" borderId="8" applyAlignment="1" pivotButton="0" quotePrefix="0" xfId="0">
      <alignment vertical="center"/>
    </xf>
    <xf numFmtId="0" fontId="28" fillId="0" borderId="8" applyAlignment="1" pivotButton="0" quotePrefix="0" xfId="0">
      <alignment horizontal="center" vertical="center"/>
    </xf>
    <xf numFmtId="0" fontId="20" fillId="0" borderId="0" pivotButton="0" quotePrefix="0" xfId="0"/>
    <xf numFmtId="0" fontId="43" fillId="0" borderId="14" applyAlignment="1" pivotButton="0" quotePrefix="0" xfId="0">
      <alignment horizontal="center" vertical="center"/>
    </xf>
    <xf numFmtId="0" fontId="20" fillId="0" borderId="14" applyAlignment="1" pivotButton="0" quotePrefix="0" xfId="0">
      <alignment horizontal="left" vertical="center" wrapText="1" indent="1"/>
    </xf>
    <xf numFmtId="0" fontId="20" fillId="0" borderId="14" applyAlignment="1" pivotButton="0" quotePrefix="0" xfId="0">
      <alignment horizontal="center" vertical="center"/>
    </xf>
    <xf numFmtId="0" fontId="43" fillId="0" borderId="8" applyAlignment="1" pivotButton="0" quotePrefix="0" xfId="0">
      <alignment horizontal="center" vertical="center"/>
    </xf>
    <xf numFmtId="0" fontId="47" fillId="0" borderId="8" applyAlignment="1" pivotButton="0" quotePrefix="0" xfId="0">
      <alignment horizontal="left" vertical="center" wrapText="1" indent="4"/>
    </xf>
    <xf numFmtId="0" fontId="43" fillId="0" borderId="8" applyAlignment="1" pivotButton="0" quotePrefix="0" xfId="0">
      <alignment horizontal="left" wrapText="1" indent="1"/>
    </xf>
    <xf numFmtId="0" fontId="28" fillId="0" borderId="8" applyAlignment="1" pivotButton="0" quotePrefix="0" xfId="0">
      <alignment horizontal="left" wrapText="1" indent="4"/>
    </xf>
    <xf numFmtId="0" fontId="22" fillId="0" borderId="8" applyAlignment="1" pivotButton="0" quotePrefix="0" xfId="0">
      <alignment horizontal="left" vertical="center" wrapText="1" indent="1"/>
    </xf>
    <xf numFmtId="0" fontId="22" fillId="0" borderId="0" pivotButton="0" quotePrefix="0" xfId="0"/>
    <xf numFmtId="0" fontId="22" fillId="0" borderId="8" applyAlignment="1" pivotButton="0" quotePrefix="0" xfId="0">
      <alignment horizontal="center" vertical="center"/>
    </xf>
    <xf numFmtId="49" fontId="47" fillId="0" borderId="8" applyAlignment="1" pivotButton="0" quotePrefix="0" xfId="0">
      <alignment horizontal="center" vertical="center"/>
    </xf>
    <xf numFmtId="0" fontId="53" fillId="0" borderId="8" applyAlignment="1" pivotButton="0" quotePrefix="0" xfId="0">
      <alignment horizontal="center" vertical="center"/>
    </xf>
    <xf numFmtId="0" fontId="47" fillId="0" borderId="8" applyAlignment="1" pivotButton="0" quotePrefix="0" xfId="0">
      <alignment horizontal="left" wrapText="1" indent="2"/>
    </xf>
    <xf numFmtId="0" fontId="28" fillId="0" borderId="8" applyAlignment="1" pivotButton="0" quotePrefix="0" xfId="0">
      <alignment horizontal="left" wrapText="1" indent="2"/>
    </xf>
    <xf numFmtId="0" fontId="20" fillId="0" borderId="8" applyAlignment="1" pivotButton="0" quotePrefix="0" xfId="0">
      <alignment horizontal="left" wrapText="1" indent="1"/>
    </xf>
    <xf numFmtId="0" fontId="46" fillId="0" borderId="8" applyAlignment="1" pivotButton="0" quotePrefix="0" xfId="0">
      <alignment horizontal="left" wrapText="1" indent="4"/>
    </xf>
    <xf numFmtId="0" fontId="48" fillId="0" borderId="8" applyAlignment="1" pivotButton="0" quotePrefix="0" xfId="0">
      <alignment horizontal="left" wrapText="1" indent="1"/>
    </xf>
    <xf numFmtId="49" fontId="59" fillId="0" borderId="8" applyAlignment="1" pivotButton="0" quotePrefix="0" xfId="0">
      <alignment horizontal="center" vertical="center"/>
    </xf>
    <xf numFmtId="0" fontId="53" fillId="0" borderId="8" applyAlignment="1" pivotButton="0" quotePrefix="0" xfId="0">
      <alignment horizontal="left" wrapText="1" indent="4"/>
    </xf>
    <xf numFmtId="0" fontId="46" fillId="0" borderId="8" applyAlignment="1" pivotButton="0" quotePrefix="0" xfId="0">
      <alignment horizontal="left" wrapText="1" indent="2"/>
    </xf>
    <xf numFmtId="0" fontId="22" fillId="0" borderId="8" applyAlignment="1" pivotButton="0" quotePrefix="0" xfId="0">
      <alignment horizontal="left" wrapText="1"/>
    </xf>
    <xf numFmtId="0" fontId="22" fillId="0" borderId="8" applyAlignment="1" pivotButton="0" quotePrefix="0" xfId="0">
      <alignment horizontal="left" wrapText="1" indent="1"/>
    </xf>
    <xf numFmtId="0" fontId="47" fillId="0" borderId="8" applyAlignment="1" pivotButton="0" quotePrefix="0" xfId="0">
      <alignment horizontal="center"/>
    </xf>
    <xf numFmtId="0" fontId="43" fillId="0" borderId="8" applyAlignment="1" pivotButton="0" quotePrefix="0" xfId="0">
      <alignment horizontal="left" vertical="center" wrapText="1"/>
    </xf>
    <xf numFmtId="0" fontId="60" fillId="0" borderId="8" applyAlignment="1" pivotButton="0" quotePrefix="0" xfId="0">
      <alignment horizontal="center" vertical="center"/>
    </xf>
    <xf numFmtId="0" fontId="60" fillId="0" borderId="8" applyAlignment="1" pivotButton="0" quotePrefix="0" xfId="0">
      <alignment horizontal="left" vertical="center" wrapText="1" indent="1"/>
    </xf>
    <xf numFmtId="0" fontId="49" fillId="0" borderId="8" applyAlignment="1" pivotButton="0" quotePrefix="0" xfId="0">
      <alignment horizontal="left" vertical="center" wrapText="1" indent="1"/>
    </xf>
    <xf numFmtId="0" fontId="50" fillId="0" borderId="11" applyAlignment="1" pivotButton="0" quotePrefix="0" xfId="0">
      <alignment horizontal="center"/>
    </xf>
    <xf numFmtId="0" fontId="49" fillId="0" borderId="11" applyAlignment="1" pivotButton="0" quotePrefix="0" xfId="0">
      <alignment horizontal="left" vertical="center" wrapText="1" indent="3"/>
    </xf>
    <xf numFmtId="0" fontId="28" fillId="0" borderId="0" applyAlignment="1" pivotButton="0" quotePrefix="0" xfId="0">
      <alignment horizontal="left" wrapText="1" indent="2"/>
    </xf>
    <xf numFmtId="0" fontId="62" fillId="0" borderId="0" pivotButton="0" quotePrefix="0" xfId="0"/>
    <xf numFmtId="0" fontId="30" fillId="0" borderId="0" applyAlignment="1" pivotButton="0" quotePrefix="0" xfId="0">
      <alignment horizontal="center" vertical="center" wrapText="1"/>
    </xf>
    <xf numFmtId="0" fontId="30" fillId="0" borderId="15" applyAlignment="1" pivotButton="0" quotePrefix="0" xfId="0">
      <alignment horizontal="center" vertical="center" wrapText="1"/>
    </xf>
    <xf numFmtId="0" fontId="30" fillId="0" borderId="14" applyAlignment="1" pivotButton="0" quotePrefix="0" xfId="0">
      <alignment horizontal="center" vertical="center" wrapText="1"/>
    </xf>
    <xf numFmtId="0" fontId="63" fillId="0" borderId="14" applyAlignment="1" pivotButton="0" quotePrefix="0" xfId="0">
      <alignment horizontal="center" vertical="center" wrapText="1"/>
    </xf>
    <xf numFmtId="0" fontId="25" fillId="0" borderId="14" applyAlignment="1" pivotButton="0" quotePrefix="0" xfId="0">
      <alignment horizontal="left" vertical="center" indent="1"/>
    </xf>
    <xf numFmtId="0" fontId="30" fillId="0" borderId="14" applyAlignment="1" pivotButton="0" quotePrefix="0" xfId="0">
      <alignment horizontal="center" vertical="center"/>
    </xf>
    <xf numFmtId="0" fontId="30" fillId="0" borderId="8" applyAlignment="1" pivotButton="0" quotePrefix="0" xfId="0">
      <alignment horizontal="center" vertical="center" wrapText="1"/>
    </xf>
    <xf numFmtId="0" fontId="32" fillId="0" borderId="8" applyAlignment="1" pivotButton="0" quotePrefix="0" xfId="0">
      <alignment horizontal="center" vertical="center" wrapText="1"/>
    </xf>
    <xf numFmtId="0" fontId="46" fillId="0" borderId="8" applyAlignment="1" pivotButton="0" quotePrefix="0" xfId="0">
      <alignment horizontal="center" vertical="center" wrapText="1"/>
    </xf>
    <xf numFmtId="0" fontId="35" fillId="0" borderId="8" applyAlignment="1" pivotButton="0" quotePrefix="0" xfId="0">
      <alignment horizontal="center" vertical="center" wrapText="1"/>
    </xf>
    <xf numFmtId="0" fontId="32" fillId="0" borderId="11" applyAlignment="1" pivotButton="0" quotePrefix="0" xfId="0">
      <alignment horizontal="center" vertical="center" wrapText="1"/>
    </xf>
    <xf numFmtId="0" fontId="65" fillId="0" borderId="14" applyAlignment="1" pivotButton="0" quotePrefix="0" xfId="0">
      <alignment horizontal="left" wrapText="1" indent="1"/>
    </xf>
    <xf numFmtId="0" fontId="32" fillId="0" borderId="14" applyAlignment="1" pivotButton="0" quotePrefix="0" xfId="0">
      <alignment horizontal="center" vertical="center" wrapText="1"/>
    </xf>
    <xf numFmtId="0" fontId="25" fillId="0" borderId="8" applyAlignment="1" pivotButton="0" quotePrefix="0" xfId="0">
      <alignment horizontal="center" vertical="center" wrapText="1"/>
    </xf>
    <xf numFmtId="0" fontId="43" fillId="0" borderId="7" applyAlignment="1" pivotButton="0" quotePrefix="0" xfId="0">
      <alignment horizontal="center" vertical="center"/>
    </xf>
    <xf numFmtId="0" fontId="60" fillId="0" borderId="7" applyAlignment="1" pivotButton="0" quotePrefix="0" xfId="0">
      <alignment horizontal="center" vertical="center"/>
    </xf>
    <xf numFmtId="0" fontId="60" fillId="0" borderId="8" applyAlignment="1" pivotButton="0" quotePrefix="0" xfId="0">
      <alignment horizontal="left" vertical="center" wrapText="1"/>
    </xf>
    <xf numFmtId="0" fontId="49" fillId="0" borderId="8" applyAlignment="1" pivotButton="0" quotePrefix="0" xfId="0">
      <alignment horizontal="left" vertical="center" wrapText="1" indent="2"/>
    </xf>
    <xf numFmtId="0" fontId="50" fillId="0" borderId="8" applyAlignment="1" pivotButton="0" quotePrefix="0" xfId="0">
      <alignment horizontal="left" vertical="center" wrapText="1" indent="4"/>
    </xf>
    <xf numFmtId="0" fontId="50" fillId="0" borderId="8" applyAlignment="1" pivotButton="0" quotePrefix="0" xfId="0">
      <alignment horizontal="center" vertical="center"/>
    </xf>
    <xf numFmtId="0" fontId="66" fillId="0" borderId="0" pivotButton="0" quotePrefix="0" xfId="0"/>
    <xf numFmtId="0" fontId="48" fillId="0" borderId="7" applyAlignment="1" pivotButton="0" quotePrefix="0" xfId="0">
      <alignment horizontal="center" vertical="center"/>
    </xf>
    <xf numFmtId="0" fontId="50" fillId="0" borderId="11" applyAlignment="1" pivotButton="0" quotePrefix="0" xfId="0">
      <alignment horizontal="left" vertical="center" wrapText="1" indent="4"/>
    </xf>
    <xf numFmtId="0" fontId="50" fillId="0" borderId="11" applyAlignment="1" pivotButton="0" quotePrefix="0" xfId="0">
      <alignment horizontal="center" vertical="center"/>
    </xf>
    <xf numFmtId="0" fontId="28" fillId="0" borderId="0" applyAlignment="1" pivotButton="0" quotePrefix="1" xfId="0">
      <alignment vertical="center" wrapText="1"/>
    </xf>
    <xf numFmtId="49" fontId="58" fillId="0" borderId="0" applyAlignment="1" pivotButton="0" quotePrefix="0" xfId="0">
      <alignment horizontal="center"/>
    </xf>
    <xf numFmtId="49" fontId="20" fillId="0" borderId="14" applyAlignment="1" pivotButton="0" quotePrefix="0" xfId="0">
      <alignment horizontal="center" vertical="center"/>
    </xf>
    <xf numFmtId="0" fontId="43" fillId="0" borderId="14" applyAlignment="1" pivotButton="0" quotePrefix="0" xfId="0">
      <alignment horizontal="left" vertical="center" wrapText="1" indent="1"/>
    </xf>
    <xf numFmtId="49" fontId="28" fillId="0" borderId="8" applyAlignment="1" pivotButton="0" quotePrefix="0" xfId="0">
      <alignment horizontal="center"/>
    </xf>
    <xf numFmtId="0" fontId="46" fillId="0" borderId="6" applyAlignment="1" pivotButton="0" quotePrefix="0" xfId="0">
      <alignment horizontal="center" vertical="center"/>
    </xf>
    <xf numFmtId="0" fontId="43" fillId="0" borderId="6" applyAlignment="1" pivotButton="0" quotePrefix="0" xfId="0">
      <alignment horizontal="center" vertical="center"/>
    </xf>
    <xf numFmtId="0" fontId="47" fillId="0" borderId="8" applyAlignment="1" pivotButton="0" quotePrefix="0" xfId="0">
      <alignment horizontal="left" vertical="center" indent="2"/>
    </xf>
    <xf numFmtId="16" fontId="43" fillId="0" borderId="8" applyAlignment="1" pivotButton="0" quotePrefix="0" xfId="0">
      <alignment horizontal="left" wrapText="1" indent="1"/>
    </xf>
    <xf numFmtId="49" fontId="53" fillId="0" borderId="8" applyAlignment="1" pivotButton="0" quotePrefix="0" xfId="0">
      <alignment horizontal="center"/>
    </xf>
    <xf numFmtId="0" fontId="47" fillId="0" borderId="6" applyAlignment="1" pivotButton="0" quotePrefix="0" xfId="0">
      <alignment horizontal="center" vertical="center"/>
    </xf>
    <xf numFmtId="0" fontId="22" fillId="0" borderId="0" applyAlignment="1" pivotButton="0" quotePrefix="0" xfId="0">
      <alignment vertical="center"/>
    </xf>
    <xf numFmtId="0" fontId="48" fillId="0" borderId="6" applyAlignment="1" pivotButton="0" quotePrefix="0" xfId="0">
      <alignment horizontal="center" vertical="center"/>
    </xf>
    <xf numFmtId="49" fontId="53" fillId="0" borderId="8" applyAlignment="1" pivotButton="0" quotePrefix="0" xfId="0">
      <alignment horizontal="center" vertical="center"/>
    </xf>
    <xf numFmtId="0" fontId="43" fillId="0" borderId="11" applyAlignment="1" pivotButton="0" quotePrefix="0" xfId="0">
      <alignment horizontal="left" vertical="center" indent="1"/>
    </xf>
    <xf numFmtId="0" fontId="43" fillId="0" borderId="11" applyAlignment="1" pivotButton="0" quotePrefix="0" xfId="0">
      <alignment horizontal="center" vertical="center"/>
    </xf>
    <xf numFmtId="0" fontId="48" fillId="0" borderId="3" applyAlignment="1" pivotButton="0" quotePrefix="0" xfId="0">
      <alignment horizontal="left" vertical="center" wrapText="1" indent="1"/>
    </xf>
    <xf numFmtId="0" fontId="47" fillId="0" borderId="7" applyAlignment="1" pivotButton="0" quotePrefix="0" xfId="0">
      <alignment horizontal="left" vertical="center" wrapText="1" indent="2"/>
    </xf>
    <xf numFmtId="0" fontId="46" fillId="0" borderId="0" applyAlignment="1" pivotButton="0" quotePrefix="0" xfId="0">
      <alignment horizontal="center" vertical="center"/>
    </xf>
    <xf numFmtId="0" fontId="43" fillId="0" borderId="7" applyAlignment="1" pivotButton="0" quotePrefix="0" xfId="0">
      <alignment horizontal="left" vertical="center" wrapText="1"/>
    </xf>
    <xf numFmtId="49" fontId="60" fillId="0" borderId="8" applyAlignment="1" pivotButton="0" quotePrefix="0" xfId="0">
      <alignment horizontal="center" vertical="center"/>
    </xf>
    <xf numFmtId="0" fontId="60" fillId="0" borderId="7" applyAlignment="1" pivotButton="0" quotePrefix="0" xfId="0">
      <alignment horizontal="left" vertical="center" wrapText="1" indent="1"/>
    </xf>
    <xf numFmtId="0" fontId="50" fillId="0" borderId="7" applyAlignment="1" pivotButton="0" quotePrefix="0" xfId="0">
      <alignment horizontal="left" wrapText="1" indent="1"/>
    </xf>
    <xf numFmtId="0" fontId="50" fillId="0" borderId="7" applyAlignment="1" pivotButton="0" quotePrefix="0" xfId="0">
      <alignment horizontal="left" wrapText="1" indent="2"/>
    </xf>
    <xf numFmtId="0" fontId="68" fillId="0" borderId="8" applyAlignment="1" pivotButton="0" quotePrefix="0" xfId="0">
      <alignment horizontal="center" vertical="center"/>
    </xf>
    <xf numFmtId="49" fontId="50" fillId="0" borderId="11" applyAlignment="1" pivotButton="0" quotePrefix="0" xfId="0">
      <alignment horizontal="center" vertical="center"/>
    </xf>
    <xf numFmtId="0" fontId="50" fillId="0" borderId="10" applyAlignment="1" pivotButton="0" quotePrefix="0" xfId="0">
      <alignment horizontal="left" wrapText="1" indent="2"/>
    </xf>
    <xf numFmtId="0" fontId="68" fillId="0" borderId="11" applyAlignment="1" pivotButton="0" quotePrefix="0" xfId="0">
      <alignment horizontal="center" vertical="center"/>
    </xf>
    <xf numFmtId="0" fontId="69" fillId="0" borderId="0" applyAlignment="1" pivotButton="0" quotePrefix="0" xfId="0">
      <alignment horizontal="right"/>
    </xf>
    <xf numFmtId="0" fontId="55" fillId="0" borderId="0" applyAlignment="1" pivotButton="0" quotePrefix="0" xfId="0">
      <alignment horizontal="left" vertical="center"/>
    </xf>
    <xf numFmtId="49" fontId="43" fillId="0" borderId="8" applyAlignment="1" pivotButton="0" quotePrefix="0" xfId="0">
      <alignment horizontal="center" vertical="center" wrapText="1"/>
    </xf>
    <xf numFmtId="49" fontId="20" fillId="0" borderId="8" applyAlignment="1" pivotButton="0" quotePrefix="0" xfId="0">
      <alignment horizontal="center" vertical="center" wrapText="1"/>
    </xf>
    <xf numFmtId="0" fontId="46" fillId="0" borderId="8" applyAlignment="1" pivotButton="0" quotePrefix="0" xfId="0">
      <alignment horizontal="center" vertical="center"/>
    </xf>
    <xf numFmtId="2" fontId="20" fillId="0" borderId="0" applyAlignment="1" pivotButton="0" quotePrefix="0" xfId="0">
      <alignment horizontal="left" vertical="top" wrapText="1" indent="6"/>
    </xf>
    <xf numFmtId="2" fontId="28" fillId="0" borderId="0" applyAlignment="1" pivotButton="0" quotePrefix="0" xfId="0">
      <alignment horizontal="left" vertical="top" wrapText="1" indent="6"/>
    </xf>
    <xf numFmtId="0" fontId="28" fillId="0" borderId="8" applyAlignment="1" pivotButton="0" quotePrefix="0" xfId="0">
      <alignment horizontal="center"/>
    </xf>
    <xf numFmtId="0" fontId="20" fillId="0" borderId="0" applyAlignment="1" pivotButton="0" quotePrefix="0" xfId="0">
      <alignment horizontal="left" vertical="center" wrapText="1" indent="2"/>
    </xf>
    <xf numFmtId="0" fontId="48" fillId="0" borderId="0" applyAlignment="1" pivotButton="0" quotePrefix="0" xfId="0">
      <alignment horizontal="left" vertical="top" wrapText="1" indent="3"/>
    </xf>
    <xf numFmtId="0" fontId="53" fillId="0" borderId="0" applyAlignment="1" pivotButton="0" quotePrefix="0" xfId="0">
      <alignment horizontal="left" vertical="top" wrapText="1" indent="5"/>
    </xf>
    <xf numFmtId="0" fontId="20" fillId="0" borderId="0" applyAlignment="1" pivotButton="0" quotePrefix="0" xfId="0">
      <alignment horizontal="left" vertical="top" wrapText="1" indent="2"/>
    </xf>
    <xf numFmtId="0" fontId="46" fillId="0" borderId="8" applyAlignment="1" pivotButton="0" quotePrefix="0" xfId="0">
      <alignment horizontal="center"/>
    </xf>
    <xf numFmtId="0" fontId="28" fillId="0" borderId="0" applyAlignment="1" pivotButton="0" quotePrefix="0" xfId="0">
      <alignment horizontal="left" vertical="top" wrapText="1" indent="3"/>
    </xf>
    <xf numFmtId="0" fontId="46" fillId="0" borderId="0" applyAlignment="1" pivotButton="0" quotePrefix="0" xfId="0">
      <alignment horizontal="left" vertical="top" wrapText="1" indent="3"/>
    </xf>
    <xf numFmtId="0" fontId="28" fillId="0" borderId="0" applyAlignment="1" pivotButton="0" quotePrefix="0" xfId="0">
      <alignment horizontal="left" wrapText="1" indent="4"/>
    </xf>
    <xf numFmtId="49" fontId="28" fillId="0" borderId="0" applyAlignment="1" pivotButton="0" quotePrefix="0" xfId="0">
      <alignment horizontal="center" vertical="center" wrapText="1"/>
    </xf>
    <xf numFmtId="0" fontId="53" fillId="0" borderId="6" applyAlignment="1" pivotButton="0" quotePrefix="0" xfId="0">
      <alignment horizontal="left" wrapText="1" indent="2"/>
    </xf>
    <xf numFmtId="0" fontId="53" fillId="0" borderId="6" applyAlignment="1" pivotButton="0" quotePrefix="0" xfId="0">
      <alignment horizontal="left" wrapText="1" indent="4"/>
    </xf>
    <xf numFmtId="0" fontId="22" fillId="0" borderId="6" applyAlignment="1" pivotButton="0" quotePrefix="0" xfId="0">
      <alignment horizontal="left" wrapText="1" indent="2"/>
    </xf>
    <xf numFmtId="0" fontId="20" fillId="0" borderId="6" applyAlignment="1" pivotButton="0" quotePrefix="0" xfId="0">
      <alignment horizontal="left" wrapText="1" indent="1"/>
    </xf>
    <xf numFmtId="0" fontId="28" fillId="0" borderId="6" applyAlignment="1" pivotButton="0" quotePrefix="0" xfId="0">
      <alignment horizontal="left" vertical="center" wrapText="1" indent="2"/>
    </xf>
    <xf numFmtId="0" fontId="28" fillId="0" borderId="6" applyAlignment="1" pivotButton="0" quotePrefix="0" xfId="0">
      <alignment horizontal="left" wrapText="1" indent="7"/>
    </xf>
    <xf numFmtId="0" fontId="53" fillId="0" borderId="0" applyAlignment="1" pivotButton="0" quotePrefix="0" xfId="0">
      <alignment horizontal="left" wrapText="1" indent="8"/>
    </xf>
    <xf numFmtId="0" fontId="53" fillId="0" borderId="0" applyAlignment="1" pivotButton="0" quotePrefix="0" xfId="0">
      <alignment horizontal="left" wrapText="1" indent="3"/>
    </xf>
    <xf numFmtId="49" fontId="70" fillId="0" borderId="8" applyAlignment="1" pivotButton="0" quotePrefix="0" xfId="0">
      <alignment horizontal="center" vertical="center" wrapText="1"/>
    </xf>
    <xf numFmtId="0" fontId="22" fillId="0" borderId="6" applyAlignment="1" pivotButton="0" quotePrefix="0" xfId="0">
      <alignment horizontal="left" vertical="center" wrapText="1" indent="1"/>
    </xf>
    <xf numFmtId="0" fontId="22" fillId="0" borderId="6" applyAlignment="1" pivotButton="0" quotePrefix="0" xfId="0">
      <alignment horizontal="left" vertical="top" wrapText="1" indent="1"/>
    </xf>
    <xf numFmtId="0" fontId="53" fillId="0" borderId="6" applyAlignment="1" pivotButton="0" quotePrefix="0" xfId="0">
      <alignment horizontal="left" vertical="top" wrapText="1" indent="2"/>
    </xf>
    <xf numFmtId="0" fontId="47" fillId="0" borderId="6" applyAlignment="1" pivotButton="0" quotePrefix="0" xfId="0">
      <alignment horizontal="left" vertical="top" wrapText="1" indent="2"/>
    </xf>
    <xf numFmtId="0" fontId="28" fillId="0" borderId="11" applyAlignment="1" pivotButton="0" quotePrefix="0" xfId="0">
      <alignment horizontal="center"/>
    </xf>
    <xf numFmtId="0" fontId="22" fillId="0" borderId="15" applyAlignment="1" pivotButton="0" quotePrefix="0" xfId="0">
      <alignment horizontal="left" wrapText="1" indent="1"/>
    </xf>
    <xf numFmtId="0" fontId="28" fillId="0" borderId="7" applyAlignment="1" pivotButton="0" quotePrefix="0" xfId="0">
      <alignment horizontal="center"/>
    </xf>
    <xf numFmtId="0" fontId="43" fillId="0" borderId="6" applyAlignment="1" pivotButton="0" quotePrefix="0" xfId="0">
      <alignment horizontal="left" vertical="center" wrapText="1"/>
    </xf>
    <xf numFmtId="0" fontId="20" fillId="0" borderId="7" applyAlignment="1" pivotButton="0" quotePrefix="0" xfId="0">
      <alignment horizontal="center" vertical="center"/>
    </xf>
    <xf numFmtId="0" fontId="28" fillId="0" borderId="7" applyAlignment="1" pivotButton="0" quotePrefix="0" xfId="0">
      <alignment horizontal="center" vertical="center"/>
    </xf>
    <xf numFmtId="0" fontId="0" fillId="0" borderId="0" applyAlignment="1" pivotButton="0" quotePrefix="0" xfId="0">
      <alignment horizontal="right"/>
    </xf>
    <xf numFmtId="0" fontId="60" fillId="0" borderId="6" applyAlignment="1" pivotButton="0" quotePrefix="0" xfId="0">
      <alignment horizontal="left" vertical="center" wrapText="1" indent="1"/>
    </xf>
    <xf numFmtId="49" fontId="49" fillId="0" borderId="8" applyAlignment="1" pivotButton="0" quotePrefix="0" xfId="0">
      <alignment horizontal="center" vertical="center"/>
    </xf>
    <xf numFmtId="0" fontId="49" fillId="0" borderId="6" applyAlignment="1" pivotButton="0" quotePrefix="0" xfId="0">
      <alignment horizontal="left" wrapText="1" indent="1"/>
    </xf>
    <xf numFmtId="0" fontId="50" fillId="0" borderId="7" applyAlignment="1" pivotButton="0" quotePrefix="0" xfId="0">
      <alignment horizontal="center" vertical="center"/>
    </xf>
    <xf numFmtId="0" fontId="49" fillId="0" borderId="6" applyAlignment="1" pivotButton="0" quotePrefix="0" xfId="0">
      <alignment horizontal="left" vertical="center" wrapText="1" indent="2"/>
    </xf>
    <xf numFmtId="2" fontId="50" fillId="0" borderId="6" applyAlignment="1" pivotButton="0" quotePrefix="0" xfId="0">
      <alignment horizontal="left" vertical="top" wrapText="1" indent="6"/>
    </xf>
    <xf numFmtId="0" fontId="49" fillId="0" borderId="6" applyAlignment="1" pivotButton="0" quotePrefix="0" xfId="0">
      <alignment horizontal="left" vertical="center" indent="2"/>
    </xf>
    <xf numFmtId="0" fontId="49" fillId="0" borderId="6" applyAlignment="1" pivotButton="0" quotePrefix="0" xfId="0">
      <alignment horizontal="left" vertical="center" wrapText="1" indent="1"/>
    </xf>
    <xf numFmtId="0" fontId="49" fillId="0" borderId="7" applyAlignment="1" pivotButton="0" quotePrefix="0" xfId="0">
      <alignment horizontal="center" vertical="center"/>
    </xf>
    <xf numFmtId="2" fontId="49" fillId="0" borderId="6" applyAlignment="1" pivotButton="0" quotePrefix="0" xfId="0">
      <alignment horizontal="left" vertical="top" wrapText="1" indent="4"/>
    </xf>
    <xf numFmtId="49" fontId="50" fillId="0" borderId="8" applyAlignment="1" pivotButton="0" quotePrefix="0" xfId="0">
      <alignment horizontal="left" vertical="center" indent="6"/>
    </xf>
    <xf numFmtId="0" fontId="50" fillId="0" borderId="6" applyAlignment="1" pivotButton="0" quotePrefix="0" xfId="0">
      <alignment horizontal="left" vertical="center" wrapText="1" indent="6"/>
    </xf>
    <xf numFmtId="49" fontId="49" fillId="0" borderId="8" applyAlignment="1" pivotButton="0" quotePrefix="0" xfId="0">
      <alignment vertical="center"/>
    </xf>
    <xf numFmtId="0" fontId="50" fillId="0" borderId="8" pivotButton="0" quotePrefix="0" xfId="0"/>
    <xf numFmtId="0" fontId="50" fillId="0" borderId="6" applyAlignment="1" pivotButton="0" quotePrefix="0" xfId="0">
      <alignment horizontal="left" vertical="center" wrapText="1" indent="2"/>
    </xf>
    <xf numFmtId="0" fontId="50" fillId="0" borderId="8" applyAlignment="1" pivotButton="0" quotePrefix="0" xfId="0">
      <alignment horizontal="left" vertical="center" wrapText="1" indent="1"/>
    </xf>
    <xf numFmtId="0" fontId="71" fillId="0" borderId="8" pivotButton="0" quotePrefix="0" xfId="0"/>
    <xf numFmtId="0" fontId="49" fillId="0" borderId="8" applyAlignment="1" pivotButton="0" quotePrefix="0" xfId="0">
      <alignment horizontal="left" indent="2"/>
    </xf>
    <xf numFmtId="0" fontId="49" fillId="0" borderId="6" applyAlignment="1" pivotButton="0" quotePrefix="0" xfId="0">
      <alignment horizontal="left" wrapText="1" indent="2"/>
    </xf>
    <xf numFmtId="0" fontId="49" fillId="0" borderId="7" applyAlignment="1" pivotButton="0" quotePrefix="0" xfId="0">
      <alignment horizontal="left" vertical="center" indent="2"/>
    </xf>
    <xf numFmtId="0" fontId="50" fillId="0" borderId="11" pivotButton="0" quotePrefix="0" xfId="0"/>
    <xf numFmtId="0" fontId="50" fillId="0" borderId="9" applyAlignment="1" pivotButton="0" quotePrefix="0" xfId="0">
      <alignment horizontal="left" vertical="center" wrapText="1" indent="6"/>
    </xf>
    <xf numFmtId="0" fontId="50" fillId="0" borderId="10" applyAlignment="1" pivotButton="0" quotePrefix="0" xfId="0">
      <alignment horizontal="center" vertical="center"/>
    </xf>
    <xf numFmtId="0" fontId="28" fillId="0" borderId="0" applyAlignment="1" pivotButton="0" quotePrefix="0" xfId="0">
      <alignment vertical="center" wrapText="1"/>
    </xf>
    <xf numFmtId="0" fontId="28" fillId="0" borderId="16" applyAlignment="1" pivotButton="0" quotePrefix="0" xfId="0">
      <alignment horizontal="center" vertical="center"/>
    </xf>
    <xf numFmtId="0" fontId="53" fillId="0" borderId="6" applyAlignment="1" pivotButton="0" quotePrefix="0" xfId="0">
      <alignment horizontal="left" vertical="center" wrapText="1" indent="1"/>
    </xf>
    <xf numFmtId="0" fontId="69" fillId="0" borderId="0" applyAlignment="1" pivotButton="0" quotePrefix="0" xfId="0">
      <alignment horizontal="center" vertical="center"/>
    </xf>
    <xf numFmtId="0" fontId="22" fillId="0" borderId="16" applyAlignment="1" pivotButton="0" quotePrefix="0" xfId="0">
      <alignment horizontal="left" vertical="center" wrapText="1" indent="1"/>
    </xf>
    <xf numFmtId="0" fontId="50" fillId="0" borderId="7" applyAlignment="1" pivotButton="0" quotePrefix="0" xfId="0">
      <alignment horizontal="left" vertical="center" wrapText="1" indent="4"/>
    </xf>
    <xf numFmtId="0" fontId="50" fillId="0" borderId="10" applyAlignment="1" pivotButton="0" quotePrefix="0" xfId="0">
      <alignment horizontal="left" vertical="center" wrapText="1" indent="4"/>
    </xf>
    <xf numFmtId="0" fontId="46" fillId="0" borderId="6" applyAlignment="1" pivotButton="0" quotePrefix="0" xfId="0">
      <alignment horizontal="center" vertical="center" wrapText="1"/>
    </xf>
    <xf numFmtId="0" fontId="28" fillId="0" borderId="6" applyAlignment="1" pivotButton="0" quotePrefix="0" xfId="0">
      <alignment horizontal="center" vertical="center"/>
    </xf>
    <xf numFmtId="0" fontId="43" fillId="0" borderId="6" applyAlignment="1" pivotButton="0" quotePrefix="0" xfId="0">
      <alignment horizontal="left" vertical="center" wrapText="1" indent="1"/>
    </xf>
    <xf numFmtId="0" fontId="46" fillId="0" borderId="6" applyAlignment="1" pivotButton="0" quotePrefix="0" xfId="0">
      <alignment horizontal="left" vertical="center" wrapText="1" indent="2"/>
    </xf>
    <xf numFmtId="0" fontId="46" fillId="0" borderId="6" applyAlignment="1" pivotButton="0" quotePrefix="0" xfId="0">
      <alignment horizontal="left" vertical="center" wrapText="1" indent="8"/>
    </xf>
    <xf numFmtId="0" fontId="46" fillId="0" borderId="6" applyAlignment="1" pivotButton="0" quotePrefix="0" xfId="0">
      <alignment horizontal="left" vertical="center" wrapText="1" indent="1"/>
    </xf>
    <xf numFmtId="0" fontId="46" fillId="0" borderId="0" applyAlignment="1" pivotButton="0" quotePrefix="0" xfId="0">
      <alignment vertical="center"/>
    </xf>
    <xf numFmtId="49" fontId="43" fillId="0" borderId="6" applyAlignment="1" pivotButton="0" quotePrefix="0" xfId="0">
      <alignment horizontal="center" vertical="center"/>
    </xf>
    <xf numFmtId="0" fontId="46" fillId="0" borderId="11" applyAlignment="1" pivotButton="0" quotePrefix="0" xfId="0">
      <alignment horizontal="left" vertical="center" wrapText="1" indent="2"/>
    </xf>
    <xf numFmtId="0" fontId="46" fillId="0" borderId="10" applyAlignment="1" pivotButton="0" quotePrefix="0" xfId="0">
      <alignment horizontal="center" vertical="center"/>
    </xf>
    <xf numFmtId="0" fontId="73" fillId="0" borderId="6" applyAlignment="1" pivotButton="0" quotePrefix="0" xfId="0">
      <alignment horizontal="left" indent="1"/>
    </xf>
    <xf numFmtId="0" fontId="47" fillId="0" borderId="8" applyAlignment="1" pivotButton="0" quotePrefix="0" xfId="0">
      <alignment horizontal="center" vertical="center"/>
    </xf>
    <xf numFmtId="0" fontId="48" fillId="0" borderId="6" applyAlignment="1" pivotButton="0" quotePrefix="0" xfId="0">
      <alignment horizontal="left" vertical="center" wrapText="1" indent="1"/>
    </xf>
    <xf numFmtId="0" fontId="60" fillId="0" borderId="14" applyAlignment="1" pivotButton="0" quotePrefix="0" xfId="0">
      <alignment horizontal="center" vertical="center"/>
    </xf>
    <xf numFmtId="0" fontId="60" fillId="0" borderId="14" applyAlignment="1" pivotButton="0" quotePrefix="0" xfId="0">
      <alignment horizontal="left" vertical="center" wrapText="1"/>
    </xf>
    <xf numFmtId="0" fontId="48" fillId="0" borderId="3" applyAlignment="1" pivotButton="0" quotePrefix="0" xfId="0">
      <alignment horizontal="center" vertical="center"/>
    </xf>
    <xf numFmtId="0" fontId="49" fillId="0" borderId="8" applyAlignment="1" pivotButton="0" quotePrefix="0" xfId="0">
      <alignment horizontal="center"/>
    </xf>
    <xf numFmtId="0" fontId="50" fillId="0" borderId="8" applyAlignment="1" pivotButton="0" quotePrefix="0" xfId="0">
      <alignment horizontal="center"/>
    </xf>
    <xf numFmtId="0" fontId="48" fillId="0" borderId="11" applyAlignment="1" pivotButton="0" quotePrefix="0" xfId="0">
      <alignment horizontal="center" vertical="center"/>
    </xf>
    <xf numFmtId="0" fontId="21" fillId="0" borderId="0" applyAlignment="1" pivotButton="0" quotePrefix="0" xfId="0">
      <alignment horizontal="center" vertical="center"/>
    </xf>
    <xf numFmtId="49" fontId="20" fillId="0" borderId="14" applyAlignment="1" pivotButton="0" quotePrefix="0" xfId="0">
      <alignment horizontal="center" vertical="center" wrapText="1"/>
    </xf>
    <xf numFmtId="0" fontId="28" fillId="0" borderId="14" applyAlignment="1" pivotButton="0" quotePrefix="0" xfId="0">
      <alignment horizontal="center"/>
    </xf>
    <xf numFmtId="0" fontId="20" fillId="0" borderId="8" applyAlignment="1" pivotButton="0" quotePrefix="0" xfId="0">
      <alignment horizontal="center" vertical="center" wrapText="1"/>
    </xf>
    <xf numFmtId="0" fontId="46" fillId="0" borderId="8" applyAlignment="1" pivotButton="0" quotePrefix="0" xfId="0">
      <alignment horizontal="left" vertical="center" indent="2"/>
    </xf>
    <xf numFmtId="0" fontId="47" fillId="0" borderId="8" applyAlignment="1" pivotButton="0" quotePrefix="0" xfId="0">
      <alignment horizontal="left" vertical="center" wrapText="1" indent="5"/>
    </xf>
    <xf numFmtId="0" fontId="47" fillId="0" borderId="8" applyAlignment="1" pivotButton="0" quotePrefix="0" xfId="0">
      <alignment horizontal="left" wrapText="1" indent="3"/>
    </xf>
    <xf numFmtId="0" fontId="47" fillId="0" borderId="8" applyAlignment="1" pivotButton="0" quotePrefix="0" xfId="0">
      <alignment horizontal="left" wrapText="1" indent="1"/>
    </xf>
    <xf numFmtId="0" fontId="21" fillId="0" borderId="8" applyAlignment="1" pivotButton="0" quotePrefix="0" xfId="0">
      <alignment horizontal="center" vertical="center"/>
    </xf>
    <xf numFmtId="0" fontId="50" fillId="0" borderId="8" applyAlignment="1" pivotButton="0" quotePrefix="0" xfId="0">
      <alignment horizontal="left" vertical="center" indent="2"/>
    </xf>
    <xf numFmtId="49" fontId="50" fillId="0" borderId="8" applyAlignment="1" pivotButton="0" quotePrefix="0" xfId="0">
      <alignment vertical="center"/>
    </xf>
    <xf numFmtId="0" fontId="50" fillId="0" borderId="11" applyAlignment="1" pivotButton="0" quotePrefix="0" xfId="0">
      <alignment horizontal="left" vertical="center" indent="2"/>
    </xf>
    <xf numFmtId="0" fontId="43" fillId="0" borderId="0" pivotButton="0" quotePrefix="0" xfId="0"/>
    <xf numFmtId="0" fontId="70" fillId="0" borderId="0" applyAlignment="1" pivotButton="0" quotePrefix="0" xfId="0">
      <alignment horizontal="center"/>
    </xf>
    <xf numFmtId="0" fontId="74" fillId="0" borderId="0" applyAlignment="1" pivotButton="0" quotePrefix="0" xfId="0">
      <alignment horizontal="center"/>
    </xf>
    <xf numFmtId="0" fontId="46" fillId="0" borderId="0" applyAlignment="1" pivotButton="0" quotePrefix="1" xfId="0">
      <alignment vertical="center"/>
    </xf>
    <xf numFmtId="0" fontId="28" fillId="0" borderId="8" applyAlignment="1" pivotButton="0" quotePrefix="0" xfId="0">
      <alignment horizontal="left" vertical="center" wrapText="1" indent="9"/>
    </xf>
    <xf numFmtId="49" fontId="20" fillId="0" borderId="8" applyAlignment="1" pivotButton="0" quotePrefix="0" xfId="0">
      <alignment horizontal="center"/>
    </xf>
    <xf numFmtId="0" fontId="46" fillId="0" borderId="8" applyAlignment="1" pivotButton="0" quotePrefix="0" xfId="0">
      <alignment horizontal="left" vertical="center" wrapText="1" indent="4"/>
    </xf>
    <xf numFmtId="0" fontId="46" fillId="0" borderId="8" applyAlignment="1" pivotButton="0" quotePrefix="0" xfId="0">
      <alignment horizontal="left" vertical="center" wrapText="1" indent="9"/>
    </xf>
    <xf numFmtId="0" fontId="47" fillId="0" borderId="8" applyAlignment="1" pivotButton="0" quotePrefix="0" xfId="0">
      <alignment horizontal="left" vertical="center" wrapText="1" indent="3"/>
    </xf>
    <xf numFmtId="0" fontId="46" fillId="0" borderId="8" applyAlignment="1" pivotButton="0" quotePrefix="0" xfId="0">
      <alignment horizontal="left" vertical="center" wrapText="1" indent="3"/>
    </xf>
    <xf numFmtId="0" fontId="28" fillId="0" borderId="11" applyAlignment="1" pivotButton="0" quotePrefix="0" xfId="0">
      <alignment horizontal="center" vertical="center"/>
    </xf>
    <xf numFmtId="0" fontId="49" fillId="0" borderId="8" applyAlignment="1" pivotButton="0" quotePrefix="0" xfId="0">
      <alignment horizontal="left" vertical="center" wrapText="1"/>
    </xf>
    <xf numFmtId="0" fontId="50" fillId="0" borderId="8" applyAlignment="1" pivotButton="0" quotePrefix="0" xfId="0">
      <alignment horizontal="left" indent="4"/>
    </xf>
    <xf numFmtId="0" fontId="67" fillId="0" borderId="8" pivotButton="0" quotePrefix="0" xfId="0"/>
    <xf numFmtId="4" fontId="49" fillId="0" borderId="8" applyAlignment="1" pivotButton="0" quotePrefix="0" xfId="0">
      <alignment horizontal="left" vertical="center"/>
    </xf>
    <xf numFmtId="0" fontId="28" fillId="0" borderId="0" applyAlignment="1" pivotButton="0" quotePrefix="0" xfId="0">
      <alignment wrapText="1"/>
    </xf>
    <xf numFmtId="0" fontId="28" fillId="0" borderId="0" applyAlignment="1" pivotButton="0" quotePrefix="0" xfId="0">
      <alignment vertical="top" wrapText="1"/>
    </xf>
    <xf numFmtId="49" fontId="43" fillId="0" borderId="14" applyAlignment="1" pivotButton="0" quotePrefix="0" xfId="0">
      <alignment horizontal="center" vertical="center"/>
    </xf>
    <xf numFmtId="49" fontId="46" fillId="0" borderId="8" applyAlignment="1" pivotButton="0" quotePrefix="0" xfId="0">
      <alignment horizontal="center" vertical="center" wrapText="1"/>
    </xf>
    <xf numFmtId="0" fontId="28" fillId="0" borderId="17" applyAlignment="1" pivotButton="0" quotePrefix="0" xfId="0">
      <alignment horizontal="left" indent="1"/>
    </xf>
    <xf numFmtId="0" fontId="28" fillId="0" borderId="17" applyAlignment="1" pivotButton="0" quotePrefix="0" xfId="0">
      <alignment horizontal="left" indent="2"/>
    </xf>
    <xf numFmtId="0" fontId="28" fillId="0" borderId="0" applyAlignment="1" pivotButton="0" quotePrefix="0" xfId="0">
      <alignment horizontal="left" indent="3"/>
    </xf>
    <xf numFmtId="0" fontId="53" fillId="0" borderId="8" applyAlignment="1" pivotButton="0" quotePrefix="0" xfId="0">
      <alignment horizontal="left" wrapText="1" indent="2"/>
    </xf>
    <xf numFmtId="49" fontId="46" fillId="0" borderId="11" applyAlignment="1" pivotButton="0" quotePrefix="0" xfId="0">
      <alignment horizontal="center" vertical="center"/>
    </xf>
    <xf numFmtId="0" fontId="22" fillId="0" borderId="11" applyAlignment="1" pivotButton="0" quotePrefix="0" xfId="0">
      <alignment horizontal="left" wrapText="1" indent="1"/>
    </xf>
    <xf numFmtId="49" fontId="46" fillId="0" borderId="15" applyAlignment="1" pivotButton="0" quotePrefix="0" xfId="0">
      <alignment horizontal="center" vertical="center"/>
    </xf>
    <xf numFmtId="0" fontId="53" fillId="0" borderId="14" applyAlignment="1" pivotButton="0" quotePrefix="0" xfId="0">
      <alignment horizontal="left" wrapText="1" indent="2"/>
    </xf>
    <xf numFmtId="49" fontId="46" fillId="0" borderId="6" applyAlignment="1" pivotButton="0" quotePrefix="0" xfId="0">
      <alignment horizontal="center" vertical="center"/>
    </xf>
    <xf numFmtId="0" fontId="60" fillId="0" borderId="6" applyAlignment="1" pivotButton="0" quotePrefix="0" xfId="0">
      <alignment horizontal="center" vertical="center"/>
    </xf>
    <xf numFmtId="0" fontId="50" fillId="0" borderId="6" applyAlignment="1" pivotButton="0" quotePrefix="0" xfId="0">
      <alignment horizontal="center" vertical="center"/>
    </xf>
    <xf numFmtId="0" fontId="50" fillId="0" borderId="8" applyAlignment="1" pivotButton="0" quotePrefix="0" xfId="0">
      <alignment horizontal="left" wrapText="1" indent="2"/>
    </xf>
    <xf numFmtId="0" fontId="50" fillId="0" borderId="8" applyAlignment="1" pivotButton="0" quotePrefix="0" xfId="0">
      <alignment horizontal="left" indent="2"/>
    </xf>
    <xf numFmtId="49" fontId="50" fillId="0" borderId="6" applyAlignment="1" pivotButton="0" quotePrefix="0" xfId="0">
      <alignment horizontal="center" vertical="center"/>
    </xf>
    <xf numFmtId="49" fontId="50" fillId="0" borderId="0" applyAlignment="1" pivotButton="0" quotePrefix="0" xfId="0">
      <alignment horizontal="center" vertical="center"/>
    </xf>
    <xf numFmtId="0" fontId="60" fillId="0" borderId="6" applyAlignment="1" pivotButton="0" quotePrefix="0" xfId="0">
      <alignment horizontal="center"/>
    </xf>
    <xf numFmtId="4" fontId="60" fillId="0" borderId="8" applyAlignment="1" pivotButton="0" quotePrefix="0" xfId="0">
      <alignment horizontal="left" vertical="center"/>
    </xf>
    <xf numFmtId="0" fontId="60" fillId="0" borderId="8" applyAlignment="1" pivotButton="0" quotePrefix="0" xfId="0">
      <alignment horizontal="center"/>
    </xf>
    <xf numFmtId="0" fontId="50" fillId="0" borderId="6" pivotButton="0" quotePrefix="0" xfId="0"/>
    <xf numFmtId="0" fontId="50" fillId="0" borderId="9" pivotButton="0" quotePrefix="0" xfId="0"/>
    <xf numFmtId="0" fontId="50" fillId="0" borderId="11" applyAlignment="1" pivotButton="0" quotePrefix="0" xfId="0">
      <alignment horizontal="left" wrapText="1" indent="2"/>
    </xf>
    <xf numFmtId="0" fontId="76" fillId="0" borderId="0" applyAlignment="1" pivotButton="0" quotePrefix="0" xfId="0">
      <alignment vertical="center"/>
    </xf>
    <xf numFmtId="0" fontId="53" fillId="0" borderId="0" applyAlignment="1" pivotButton="0" quotePrefix="0" xfId="0">
      <alignment horizontal="left" wrapText="1" indent="1"/>
    </xf>
    <xf numFmtId="0" fontId="53" fillId="0" borderId="0" applyAlignment="1" pivotButton="0" quotePrefix="0" xfId="0">
      <alignment horizontal="left" wrapText="1" indent="9"/>
    </xf>
    <xf numFmtId="0" fontId="74" fillId="0" borderId="0" pivotButton="0" quotePrefix="0" xfId="0"/>
    <xf numFmtId="0" fontId="77" fillId="0" borderId="0" applyAlignment="1" pivotButton="0" quotePrefix="0" xfId="0">
      <alignment horizontal="center"/>
    </xf>
    <xf numFmtId="0" fontId="70" fillId="0" borderId="0" applyAlignment="1" pivotButton="0" quotePrefix="0" xfId="0">
      <alignment horizontal="center" vertical="center"/>
    </xf>
    <xf numFmtId="0" fontId="21" fillId="0" borderId="0" pivotButton="0" quotePrefix="0" xfId="0"/>
    <xf numFmtId="0" fontId="53" fillId="0" borderId="0" applyAlignment="1" pivotButton="0" quotePrefix="0" xfId="0">
      <alignment horizontal="right"/>
    </xf>
    <xf numFmtId="0" fontId="28" fillId="3" borderId="5" applyAlignment="1" pivotButton="0" quotePrefix="0" xfId="0">
      <alignment horizontal="center"/>
    </xf>
    <xf numFmtId="0" fontId="68" fillId="0" borderId="8" applyAlignment="1" pivotButton="0" quotePrefix="0" xfId="0">
      <alignment horizontal="center"/>
    </xf>
    <xf numFmtId="0" fontId="60" fillId="0" borderId="2" applyAlignment="1" pivotButton="0" quotePrefix="0" xfId="0">
      <alignment horizontal="center" vertical="center"/>
    </xf>
    <xf numFmtId="0" fontId="50" fillId="0" borderId="2" applyAlignment="1" pivotButton="0" quotePrefix="0" xfId="0">
      <alignment horizontal="center" vertical="center"/>
    </xf>
    <xf numFmtId="0" fontId="60" fillId="0" borderId="2" applyAlignment="1" pivotButton="0" quotePrefix="0" xfId="0">
      <alignment horizontal="center"/>
    </xf>
    <xf numFmtId="0" fontId="50" fillId="0" borderId="2" pivotButton="0" quotePrefix="0" xfId="0"/>
    <xf numFmtId="16" fontId="57" fillId="0" borderId="0" applyAlignment="1" pivotButton="0" quotePrefix="0" xfId="0">
      <alignment horizontal="center" vertical="center" wrapText="1"/>
    </xf>
    <xf numFmtId="0" fontId="28" fillId="0" borderId="2" applyAlignment="1" pivotButton="0" quotePrefix="0" xfId="0">
      <alignment horizontal="center"/>
    </xf>
    <xf numFmtId="0" fontId="48" fillId="0" borderId="8" applyAlignment="1" pivotButton="0" quotePrefix="1" xfId="0">
      <alignment horizontal="left" vertical="center" wrapText="1" indent="1"/>
    </xf>
    <xf numFmtId="0" fontId="47" fillId="0" borderId="8" applyAlignment="1" pivotButton="0" quotePrefix="1" xfId="0">
      <alignment horizontal="left" vertical="center" wrapText="1" indent="3"/>
    </xf>
    <xf numFmtId="0" fontId="47" fillId="0" borderId="8" applyAlignment="1" pivotButton="0" quotePrefix="1" xfId="0">
      <alignment horizontal="left" vertical="center" wrapText="1" indent="8"/>
    </xf>
    <xf numFmtId="0" fontId="47" fillId="0" borderId="8" applyAlignment="1" pivotButton="0" quotePrefix="1" xfId="0">
      <alignment horizontal="left" vertical="center" wrapText="1" indent="11"/>
    </xf>
    <xf numFmtId="0" fontId="53" fillId="0" borderId="8" applyAlignment="1" pivotButton="0" quotePrefix="1" xfId="0">
      <alignment horizontal="left" vertical="center" wrapText="1" indent="8"/>
    </xf>
    <xf numFmtId="0" fontId="67" fillId="0" borderId="8" applyAlignment="1" pivotButton="0" quotePrefix="0" xfId="0">
      <alignment horizontal="center"/>
    </xf>
    <xf numFmtId="0" fontId="22" fillId="0" borderId="2" applyAlignment="1" pivotButton="0" quotePrefix="0" xfId="0">
      <alignment horizontal="center"/>
    </xf>
    <xf numFmtId="0" fontId="43" fillId="0" borderId="8" applyAlignment="1" pivotButton="0" quotePrefix="1" xfId="0">
      <alignment horizontal="left" vertical="center" wrapText="1" indent="1"/>
    </xf>
    <xf numFmtId="0" fontId="20" fillId="0" borderId="2" applyAlignment="1" pivotButton="0" quotePrefix="0" xfId="0">
      <alignment horizontal="center"/>
    </xf>
    <xf numFmtId="0" fontId="46" fillId="0" borderId="2" applyAlignment="1" pivotButton="0" quotePrefix="0" xfId="0">
      <alignment horizontal="center"/>
    </xf>
    <xf numFmtId="49" fontId="46" fillId="0" borderId="8" applyAlignment="1" pivotButton="0" quotePrefix="0" xfId="0">
      <alignment horizontal="center"/>
    </xf>
    <xf numFmtId="0" fontId="46" fillId="0" borderId="8" applyAlignment="1" pivotButton="0" quotePrefix="1" xfId="0">
      <alignment horizontal="left" vertical="center" wrapText="1" indent="5"/>
    </xf>
    <xf numFmtId="0" fontId="46" fillId="0" borderId="8" applyAlignment="1" pivotButton="0" quotePrefix="1" xfId="0">
      <alignment horizontal="left" vertical="center" wrapText="1" indent="3"/>
    </xf>
    <xf numFmtId="0" fontId="46" fillId="0" borderId="8" applyAlignment="1" pivotButton="0" quotePrefix="1" xfId="0">
      <alignment horizontal="left" vertical="center" wrapText="1" indent="6"/>
    </xf>
    <xf numFmtId="0" fontId="46" fillId="0" borderId="8" applyAlignment="1" pivotButton="0" quotePrefix="1" xfId="0">
      <alignment horizontal="left" vertical="center" wrapText="1" indent="7"/>
    </xf>
    <xf numFmtId="0" fontId="48" fillId="0" borderId="8" applyAlignment="1" pivotButton="0" quotePrefix="0" xfId="0">
      <alignment horizontal="left" vertical="center" wrapText="1"/>
    </xf>
    <xf numFmtId="0" fontId="50" fillId="0" borderId="8" applyAlignment="1" pivotButton="0" quotePrefix="0" xfId="0">
      <alignment vertical="center" wrapText="1"/>
    </xf>
    <xf numFmtId="0" fontId="50" fillId="0" borderId="11" applyAlignment="1" pivotButton="0" quotePrefix="0" xfId="0">
      <alignment vertical="center" wrapText="1"/>
    </xf>
    <xf numFmtId="0" fontId="53" fillId="0" borderId="11" applyAlignment="1" pivotButton="0" quotePrefix="0" xfId="0">
      <alignment horizontal="center" vertical="center"/>
    </xf>
    <xf numFmtId="49" fontId="20" fillId="0" borderId="15" applyAlignment="1" pivotButton="0" quotePrefix="0" xfId="0">
      <alignment horizontal="center" vertical="center"/>
    </xf>
    <xf numFmtId="0" fontId="46" fillId="0" borderId="14" applyAlignment="1" pivotButton="0" quotePrefix="0" xfId="0">
      <alignment horizontal="center"/>
    </xf>
    <xf numFmtId="49" fontId="28" fillId="0" borderId="6" applyAlignment="1" pivotButton="0" quotePrefix="0" xfId="0">
      <alignment horizontal="center" vertical="center"/>
    </xf>
    <xf numFmtId="0" fontId="28" fillId="0" borderId="8" applyAlignment="1" pivotButton="0" quotePrefix="0" xfId="0">
      <alignment horizontal="left" wrapText="1" indent="5"/>
    </xf>
    <xf numFmtId="0" fontId="28" fillId="0" borderId="8" applyAlignment="1" pivotButton="0" quotePrefix="0" xfId="0">
      <alignment horizontal="left" wrapText="1" indent="8"/>
    </xf>
    <xf numFmtId="0" fontId="43" fillId="0" borderId="9" applyAlignment="1" pivotButton="0" quotePrefix="0" xfId="0">
      <alignment horizontal="center"/>
    </xf>
    <xf numFmtId="0" fontId="43" fillId="0" borderId="11" applyAlignment="1" pivotButton="0" quotePrefix="0" xfId="0">
      <alignment wrapText="1"/>
    </xf>
    <xf numFmtId="0" fontId="20" fillId="0" borderId="0" applyAlignment="1" pivotButton="0" quotePrefix="0" xfId="0">
      <alignment horizontal="center"/>
    </xf>
    <xf numFmtId="14" fontId="46" fillId="0" borderId="0" pivotButton="0" quotePrefix="0" xfId="0"/>
    <xf numFmtId="0" fontId="67" fillId="0" borderId="0" applyAlignment="1" pivotButton="0" quotePrefix="0" xfId="0">
      <alignment vertical="center"/>
    </xf>
    <xf numFmtId="0" fontId="20" fillId="0" borderId="14" applyAlignment="1" pivotButton="0" quotePrefix="0" xfId="0">
      <alignment horizontal="left" wrapText="1"/>
    </xf>
    <xf numFmtId="0" fontId="20" fillId="0" borderId="8" applyAlignment="1" pivotButton="0" quotePrefix="0" xfId="0">
      <alignment horizontal="left" wrapText="1" indent="2"/>
    </xf>
    <xf numFmtId="0" fontId="28" fillId="0" borderId="8" applyAlignment="1" pivotButton="0" quotePrefix="0" xfId="0">
      <alignment horizontal="left" vertical="center" wrapText="1" indent="6"/>
    </xf>
    <xf numFmtId="0" fontId="43" fillId="0" borderId="8" applyAlignment="1" pivotButton="0" quotePrefix="0" xfId="0">
      <alignment horizontal="left" wrapText="1" indent="2"/>
    </xf>
    <xf numFmtId="0" fontId="20" fillId="0" borderId="11" applyAlignment="1" pivotButton="0" quotePrefix="0" xfId="0">
      <alignment horizontal="left" wrapText="1" indent="1"/>
    </xf>
    <xf numFmtId="0" fontId="20" fillId="0" borderId="8" applyAlignment="1" pivotButton="0" quotePrefix="0" xfId="0">
      <alignment vertical="center" wrapText="1"/>
    </xf>
    <xf numFmtId="0" fontId="28" fillId="0" borderId="8" applyAlignment="1" pivotButton="0" quotePrefix="0" xfId="0">
      <alignment horizontal="left" indent="2"/>
    </xf>
    <xf numFmtId="0" fontId="79" fillId="0" borderId="8" applyAlignment="1" pivotButton="0" quotePrefix="0" xfId="0">
      <alignment horizontal="left" vertical="center" indent="2"/>
    </xf>
    <xf numFmtId="0" fontId="79" fillId="0" borderId="8" applyAlignment="1" pivotButton="0" quotePrefix="0" xfId="0">
      <alignment horizontal="left" vertical="center" wrapText="1" indent="2"/>
    </xf>
    <xf numFmtId="0" fontId="79" fillId="0" borderId="11" applyAlignment="1" pivotButton="0" quotePrefix="0" xfId="0">
      <alignment horizontal="left" vertical="center" wrapText="1" indent="2"/>
    </xf>
    <xf numFmtId="0" fontId="80" fillId="0" borderId="0" pivotButton="0" quotePrefix="0" xfId="0"/>
    <xf numFmtId="0" fontId="43" fillId="0" borderId="0" applyAlignment="1" pivotButton="0" quotePrefix="0" xfId="0">
      <alignment horizontal="left" indent="1"/>
    </xf>
    <xf numFmtId="0" fontId="82" fillId="0" borderId="8" applyAlignment="1" pivotButton="0" quotePrefix="0" xfId="0">
      <alignment horizontal="left" vertical="center"/>
    </xf>
    <xf numFmtId="0" fontId="82" fillId="0" borderId="7" applyAlignment="1" pivotButton="0" quotePrefix="0" xfId="0">
      <alignment vertical="center"/>
    </xf>
    <xf numFmtId="0" fontId="20" fillId="0" borderId="8" applyAlignment="1" pivotButton="0" quotePrefix="0" xfId="0">
      <alignment vertical="center"/>
    </xf>
    <xf numFmtId="0" fontId="20" fillId="5" borderId="0" applyAlignment="1" pivotButton="0" quotePrefix="0" xfId="0">
      <alignment horizontal="left" vertical="center" wrapText="1"/>
    </xf>
    <xf numFmtId="49" fontId="20" fillId="5" borderId="8" applyAlignment="1" pivotButton="0" quotePrefix="0" xfId="0">
      <alignment horizontal="center" vertical="center" wrapText="1"/>
    </xf>
    <xf numFmtId="0" fontId="46" fillId="5" borderId="6" applyAlignment="1" pivotButton="0" quotePrefix="0" xfId="0">
      <alignment horizontal="center" vertical="center"/>
    </xf>
    <xf numFmtId="0" fontId="20" fillId="0" borderId="0" applyAlignment="1" pivotButton="0" quotePrefix="0" xfId="0">
      <alignment horizontal="left" vertical="center"/>
    </xf>
    <xf numFmtId="0" fontId="28" fillId="0" borderId="0" applyAlignment="1" pivotButton="0" quotePrefix="0" xfId="0">
      <alignment horizontal="left" vertical="center" indent="4"/>
    </xf>
    <xf numFmtId="0" fontId="28" fillId="0" borderId="0" applyAlignment="1" pivotButton="0" quotePrefix="0" xfId="0">
      <alignment horizontal="left" vertical="center" indent="5"/>
    </xf>
    <xf numFmtId="0" fontId="43" fillId="0" borderId="0" applyAlignment="1" pivotButton="0" quotePrefix="0" xfId="0">
      <alignment horizontal="left" vertical="center"/>
    </xf>
    <xf numFmtId="0" fontId="43" fillId="0" borderId="0" applyAlignment="1" pivotButton="0" quotePrefix="0" xfId="0">
      <alignment vertical="center" wrapText="1"/>
    </xf>
    <xf numFmtId="0" fontId="46" fillId="0" borderId="0" applyAlignment="1" pivotButton="0" quotePrefix="0" xfId="0">
      <alignment horizontal="left" vertical="center" indent="4"/>
    </xf>
    <xf numFmtId="0" fontId="28" fillId="0" borderId="0" applyAlignment="1" pivotButton="0" quotePrefix="0" xfId="0">
      <alignment horizontal="left" vertical="center" wrapText="1" indent="4"/>
    </xf>
    <xf numFmtId="0" fontId="43" fillId="0" borderId="0" applyAlignment="1" pivotButton="0" quotePrefix="0" xfId="0">
      <alignment horizontal="left" vertical="center" wrapText="1"/>
    </xf>
    <xf numFmtId="0" fontId="46" fillId="0" borderId="0" applyAlignment="1" pivotButton="0" quotePrefix="0" xfId="0">
      <alignment horizontal="left" vertical="center" wrapText="1" indent="4"/>
    </xf>
    <xf numFmtId="0" fontId="48" fillId="0" borderId="0" applyAlignment="1" pivotButton="0" quotePrefix="0" xfId="0">
      <alignment horizontal="left" wrapText="1" indent="1"/>
    </xf>
    <xf numFmtId="0" fontId="22" fillId="0" borderId="6" applyAlignment="1" pivotButton="0" quotePrefix="0" xfId="0">
      <alignment horizontal="center" vertical="center"/>
    </xf>
    <xf numFmtId="0" fontId="20" fillId="0" borderId="6" applyAlignment="1" pivotButton="0" quotePrefix="0" xfId="0">
      <alignment vertical="center"/>
    </xf>
    <xf numFmtId="0" fontId="46" fillId="0" borderId="0" applyAlignment="1" pivotButton="0" quotePrefix="0" xfId="0">
      <alignment horizontal="left" vertical="center"/>
    </xf>
    <xf numFmtId="0" fontId="20" fillId="0" borderId="0" applyAlignment="1" pivotButton="0" quotePrefix="0" xfId="0">
      <alignment vertical="center" wrapText="1"/>
    </xf>
    <xf numFmtId="0" fontId="28" fillId="0" borderId="6" applyAlignment="1" pivotButton="0" quotePrefix="0" xfId="0">
      <alignment horizontal="left" vertical="center" wrapText="1" indent="4"/>
    </xf>
    <xf numFmtId="0" fontId="60" fillId="0" borderId="2" applyAlignment="1" pivotButton="0" quotePrefix="0" xfId="0">
      <alignment horizontal="left" vertical="center" wrapText="1"/>
    </xf>
    <xf numFmtId="0" fontId="47" fillId="0" borderId="2" applyAlignment="1" pivotButton="0" quotePrefix="0" xfId="0">
      <alignment horizontal="center" vertical="center"/>
    </xf>
    <xf numFmtId="0" fontId="83" fillId="0" borderId="0" pivotButton="0" quotePrefix="0" xfId="0"/>
    <xf numFmtId="0" fontId="84" fillId="0" borderId="19" applyAlignment="1" pivotButton="0" quotePrefix="0" xfId="0">
      <alignment horizontal="left" vertical="center"/>
    </xf>
    <xf numFmtId="0" fontId="85" fillId="0" borderId="19" applyAlignment="1" pivotButton="0" quotePrefix="0" xfId="0">
      <alignment horizontal="center" vertical="center" wrapText="1"/>
    </xf>
    <xf numFmtId="0" fontId="86" fillId="8" borderId="19" applyAlignment="1" pivotButton="0" quotePrefix="0" xfId="0">
      <alignment horizontal="center" vertical="center" wrapText="1"/>
    </xf>
    <xf numFmtId="0" fontId="87" fillId="8" borderId="19" applyAlignment="1" pivotButton="0" quotePrefix="0" xfId="0">
      <alignment horizontal="center" vertical="center" wrapText="1"/>
    </xf>
    <xf numFmtId="0" fontId="88" fillId="9" borderId="20" applyAlignment="1" pivotButton="0" quotePrefix="0" xfId="0">
      <alignment vertical="center" wrapText="1"/>
    </xf>
    <xf numFmtId="0" fontId="85" fillId="9" borderId="20" applyAlignment="1" pivotButton="0" quotePrefix="0" xfId="0">
      <alignment horizontal="center" vertical="center" wrapText="1"/>
    </xf>
    <xf numFmtId="0" fontId="89" fillId="0" borderId="20" applyAlignment="1" pivotButton="0" quotePrefix="0" xfId="0">
      <alignment horizontal="left" vertical="center" wrapText="1" indent="1"/>
    </xf>
    <xf numFmtId="0" fontId="87" fillId="0" borderId="20" applyAlignment="1" pivotButton="0" quotePrefix="0" xfId="0">
      <alignment horizontal="center" vertical="center" wrapText="1"/>
    </xf>
    <xf numFmtId="0" fontId="90" fillId="0" borderId="20" applyAlignment="1" pivotButton="0" quotePrefix="0" xfId="0">
      <alignment horizontal="left" vertical="center" wrapText="1" indent="2"/>
    </xf>
    <xf numFmtId="0" fontId="85" fillId="0" borderId="20" applyAlignment="1" pivotButton="0" quotePrefix="0" xfId="0">
      <alignment horizontal="center" vertical="center" wrapText="1"/>
    </xf>
    <xf numFmtId="0" fontId="91" fillId="0" borderId="20" applyAlignment="1" pivotButton="0" quotePrefix="0" xfId="0">
      <alignment horizontal="right"/>
    </xf>
    <xf numFmtId="0" fontId="91" fillId="7" borderId="20" applyAlignment="1" pivotButton="0" quotePrefix="0" xfId="0">
      <alignment horizontal="right"/>
    </xf>
    <xf numFmtId="0" fontId="85" fillId="7" borderId="20" applyAlignment="1" pivotButton="0" quotePrefix="0" xfId="0">
      <alignment horizontal="center" vertical="center" wrapText="1"/>
    </xf>
    <xf numFmtId="0" fontId="92" fillId="7" borderId="20" applyAlignment="1" pivotButton="0" quotePrefix="0" xfId="0">
      <alignment horizontal="right"/>
    </xf>
    <xf numFmtId="0" fontId="87" fillId="7" borderId="20" applyAlignment="1" pivotButton="0" quotePrefix="0" xfId="0">
      <alignment horizontal="center" vertical="center" wrapText="1"/>
    </xf>
    <xf numFmtId="0" fontId="93" fillId="7" borderId="20" applyAlignment="1" pivotButton="0" quotePrefix="0" xfId="0">
      <alignment horizontal="left" vertical="center" wrapText="1" indent="2"/>
    </xf>
    <xf numFmtId="0" fontId="94" fillId="7" borderId="20" applyAlignment="1" pivotButton="0" quotePrefix="0" xfId="0">
      <alignment horizontal="right"/>
    </xf>
    <xf numFmtId="0" fontId="94" fillId="0" borderId="20" applyAlignment="1" pivotButton="0" quotePrefix="0" xfId="0">
      <alignment horizontal="right"/>
    </xf>
    <xf numFmtId="0" fontId="93" fillId="0" borderId="20" applyAlignment="1" pivotButton="0" quotePrefix="0" xfId="0">
      <alignment horizontal="left" vertical="center" wrapText="1" indent="2"/>
    </xf>
    <xf numFmtId="0" fontId="95" fillId="9" borderId="20" applyAlignment="1" pivotButton="0" quotePrefix="0" xfId="0">
      <alignment vertical="center" wrapText="1"/>
    </xf>
    <xf numFmtId="0" fontId="96" fillId="0" borderId="20" applyAlignment="1" pivotButton="0" quotePrefix="0" xfId="0">
      <alignment horizontal="left" vertical="center" wrapText="1" indent="1"/>
    </xf>
    <xf numFmtId="0" fontId="97" fillId="0" borderId="20" applyAlignment="1" pivotButton="0" quotePrefix="1" xfId="0">
      <alignment horizontal="left" vertical="center" wrapText="1"/>
    </xf>
    <xf numFmtId="0" fontId="97" fillId="7" borderId="20" applyAlignment="1" pivotButton="0" quotePrefix="1" xfId="0">
      <alignment horizontal="left" vertical="center" wrapText="1"/>
    </xf>
    <xf numFmtId="0" fontId="98" fillId="0" borderId="1" pivotButton="0" quotePrefix="0" xfId="0"/>
    <xf numFmtId="0" fontId="87" fillId="0" borderId="1" pivotButton="0" quotePrefix="0" xfId="0"/>
    <xf numFmtId="0" fontId="84" fillId="0" borderId="19" applyAlignment="1" pivotButton="0" quotePrefix="0" xfId="0">
      <alignment horizontal="center" vertical="center" wrapText="1"/>
    </xf>
    <xf numFmtId="0" fontId="99" fillId="0" borderId="20" applyAlignment="1" pivotButton="0" quotePrefix="1" xfId="0">
      <alignment horizontal="left" vertical="center" wrapText="1"/>
    </xf>
    <xf numFmtId="0" fontId="100" fillId="0" borderId="20" applyAlignment="1" pivotButton="0" quotePrefix="0" xfId="0">
      <alignment horizontal="right"/>
    </xf>
    <xf numFmtId="0" fontId="101" fillId="0" borderId="20" applyAlignment="1" pivotButton="0" quotePrefix="0" xfId="0">
      <alignment horizontal="center" vertical="center" wrapText="1"/>
    </xf>
    <xf numFmtId="0" fontId="89" fillId="7" borderId="20" applyAlignment="1" pivotButton="0" quotePrefix="0" xfId="0">
      <alignment horizontal="left" vertical="center" wrapText="1" indent="1"/>
    </xf>
    <xf numFmtId="0" fontId="99" fillId="7" borderId="20" applyAlignment="1" pivotButton="0" quotePrefix="1" xfId="0">
      <alignment horizontal="left" vertical="center" wrapText="1"/>
    </xf>
    <xf numFmtId="0" fontId="89" fillId="0" borderId="21" applyAlignment="1" pivotButton="0" quotePrefix="0" xfId="0">
      <alignment horizontal="left" vertical="center" wrapText="1" indent="1"/>
    </xf>
    <xf numFmtId="0" fontId="87" fillId="0" borderId="21" applyAlignment="1" pivotButton="0" quotePrefix="0" xfId="0">
      <alignment horizontal="center" vertical="center" wrapText="1"/>
    </xf>
    <xf numFmtId="49" fontId="43" fillId="0" borderId="14" applyAlignment="1" pivotButton="0" quotePrefix="0" xfId="0">
      <alignment horizontal="center"/>
    </xf>
    <xf numFmtId="0" fontId="20" fillId="0" borderId="14" applyAlignment="1" pivotButton="0" quotePrefix="0" xfId="0">
      <alignment horizontal="left" indent="1"/>
    </xf>
    <xf numFmtId="0" fontId="20" fillId="0" borderId="8" applyAlignment="1" pivotButton="0" quotePrefix="0" xfId="0">
      <alignment horizontal="left" indent="1"/>
    </xf>
    <xf numFmtId="0" fontId="43" fillId="0" borderId="8" applyAlignment="1" pivotButton="0" quotePrefix="0" xfId="0">
      <alignment horizontal="center"/>
    </xf>
    <xf numFmtId="49" fontId="43" fillId="0" borderId="8" applyAlignment="1" pivotButton="0" quotePrefix="0" xfId="0">
      <alignment horizontal="center"/>
    </xf>
    <xf numFmtId="0" fontId="20" fillId="0" borderId="6" applyAlignment="1" pivotButton="0" quotePrefix="0" xfId="0">
      <alignment horizontal="left" indent="1"/>
    </xf>
    <xf numFmtId="49" fontId="46" fillId="0" borderId="11" applyAlignment="1" pivotButton="0" quotePrefix="0" xfId="0">
      <alignment horizontal="center"/>
    </xf>
    <xf numFmtId="0" fontId="46" fillId="0" borderId="11" applyAlignment="1" pivotButton="0" quotePrefix="0" xfId="0">
      <alignment horizontal="left" vertical="center" indent="2"/>
    </xf>
    <xf numFmtId="0" fontId="46" fillId="0" borderId="0" applyAlignment="1" pivotButton="0" quotePrefix="0" xfId="0">
      <alignment horizontal="left" vertical="center" indent="2"/>
    </xf>
    <xf numFmtId="0" fontId="53" fillId="0" borderId="0" applyAlignment="1" pivotButton="0" quotePrefix="0" xfId="0">
      <alignment vertical="center"/>
    </xf>
    <xf numFmtId="0" fontId="20" fillId="0" borderId="14" applyAlignment="1" pivotButton="0" quotePrefix="0" xfId="0">
      <alignment horizontal="left" vertical="center" indent="1"/>
    </xf>
    <xf numFmtId="0" fontId="102" fillId="0" borderId="0" applyAlignment="1" pivotButton="0" quotePrefix="0" xfId="0">
      <alignment horizontal="center"/>
    </xf>
    <xf numFmtId="0" fontId="28" fillId="0" borderId="8" applyAlignment="1" pivotButton="0" quotePrefix="0" xfId="0">
      <alignment horizontal="left" vertical="center" wrapText="1" indent="8"/>
    </xf>
    <xf numFmtId="0" fontId="28" fillId="0" borderId="8" applyAlignment="1" pivotButton="0" quotePrefix="0" xfId="0">
      <alignment horizontal="left" vertical="center" wrapText="1" indent="12"/>
    </xf>
    <xf numFmtId="0" fontId="28" fillId="0" borderId="8" applyAlignment="1" pivotButton="0" quotePrefix="0" xfId="0">
      <alignment horizontal="left" vertical="center" wrapText="1" indent="7"/>
    </xf>
    <xf numFmtId="0" fontId="53" fillId="0" borderId="8" applyAlignment="1" pivotButton="0" quotePrefix="0" xfId="0">
      <alignment horizontal="left" vertical="center" wrapText="1" indent="4"/>
    </xf>
    <xf numFmtId="0" fontId="69" fillId="7" borderId="0" applyAlignment="1" pivotButton="0" quotePrefix="0" xfId="0">
      <alignment horizontal="center"/>
    </xf>
    <xf numFmtId="0" fontId="20" fillId="0" borderId="8" applyAlignment="1" pivotButton="0" quotePrefix="0" xfId="0">
      <alignment horizontal="center"/>
    </xf>
    <xf numFmtId="0" fontId="48" fillId="0" borderId="14" applyAlignment="1" pivotButton="0" quotePrefix="0" xfId="0">
      <alignment horizontal="left" wrapText="1" indent="1"/>
    </xf>
    <xf numFmtId="49" fontId="48" fillId="0" borderId="8" applyAlignment="1" pivotButton="0" quotePrefix="0" xfId="0">
      <alignment horizontal="center" vertical="center"/>
    </xf>
    <xf numFmtId="0" fontId="60" fillId="0" borderId="8" applyAlignment="1" pivotButton="0" quotePrefix="0" xfId="0">
      <alignment vertical="center" wrapText="1"/>
    </xf>
    <xf numFmtId="0" fontId="60" fillId="0" borderId="8" applyAlignment="1" pivotButton="0" quotePrefix="0" xfId="0">
      <alignment horizontal="left" wrapText="1" indent="1"/>
    </xf>
    <xf numFmtId="0" fontId="67" fillId="0" borderId="6" applyAlignment="1" pivotButton="0" quotePrefix="0" xfId="0">
      <alignment vertical="center"/>
    </xf>
    <xf numFmtId="0" fontId="67" fillId="0" borderId="9" applyAlignment="1" pivotButton="0" quotePrefix="0" xfId="0">
      <alignment vertical="center"/>
    </xf>
    <xf numFmtId="0" fontId="104" fillId="0" borderId="0" applyAlignment="1" pivotButton="0" quotePrefix="0" xfId="0">
      <alignment horizontal="center"/>
    </xf>
    <xf numFmtId="4" fontId="105" fillId="0" borderId="0" applyAlignment="1" pivotButton="0" quotePrefix="0" xfId="0">
      <alignment horizontal="right"/>
    </xf>
    <xf numFmtId="4" fontId="106" fillId="0" borderId="0" applyAlignment="1" pivotButton="0" quotePrefix="0" xfId="0">
      <alignment horizontal="right"/>
    </xf>
    <xf numFmtId="0" fontId="107" fillId="0" borderId="0" applyAlignment="1" pivotButton="0" quotePrefix="0" xfId="0">
      <alignment horizontal="center" vertical="center" wrapText="1"/>
    </xf>
    <xf numFmtId="0" fontId="105" fillId="0" borderId="0" applyAlignment="1" pivotButton="0" quotePrefix="0" xfId="0">
      <alignment horizontal="center" vertical="center"/>
    </xf>
    <xf numFmtId="0" fontId="0" fillId="0" borderId="22" pivotButton="0" quotePrefix="0" xfId="0"/>
    <xf numFmtId="0" fontId="2" fillId="0" borderId="0" pivotButton="0" quotePrefix="0" xfId="0"/>
    <xf numFmtId="0" fontId="108" fillId="0" borderId="0" applyAlignment="1" pivotButton="0" quotePrefix="0" xfId="0">
      <alignment horizontal="center" vertical="center" wrapText="1"/>
    </xf>
    <xf numFmtId="0" fontId="109" fillId="0" borderId="0" applyAlignment="1" pivotButton="0" quotePrefix="0" xfId="0">
      <alignment horizontal="center" vertical="center" wrapText="1"/>
    </xf>
    <xf numFmtId="0" fontId="110" fillId="0" borderId="0" pivotButton="0" quotePrefix="0" xfId="0"/>
    <xf numFmtId="49" fontId="112" fillId="0" borderId="23" applyAlignment="1" pivotButton="0" quotePrefix="0" xfId="0">
      <alignment horizontal="left" vertical="center"/>
    </xf>
    <xf numFmtId="0" fontId="110" fillId="3" borderId="5" applyAlignment="1" pivotButton="0" quotePrefix="0" xfId="0">
      <alignment horizontal="center"/>
    </xf>
    <xf numFmtId="0" fontId="110" fillId="3" borderId="22" applyAlignment="1" pivotButton="0" quotePrefix="0" xfId="0">
      <alignment horizontal="center"/>
    </xf>
    <xf numFmtId="0" fontId="110" fillId="4" borderId="22" applyAlignment="1" pivotButton="0" quotePrefix="0" xfId="0">
      <alignment horizontal="center"/>
    </xf>
    <xf numFmtId="0" fontId="110" fillId="5" borderId="22" applyAlignment="1" pivotButton="0" quotePrefix="0" xfId="0">
      <alignment horizontal="center" vertical="center" wrapText="1"/>
    </xf>
    <xf numFmtId="0" fontId="112" fillId="0" borderId="23" applyAlignment="1" pivotButton="0" quotePrefix="0" xfId="0">
      <alignment horizontal="right" vertical="center"/>
    </xf>
    <xf numFmtId="0" fontId="114" fillId="0" borderId="8" applyAlignment="1" pivotButton="0" quotePrefix="0" xfId="0">
      <alignment horizontal="center" vertical="center"/>
    </xf>
    <xf numFmtId="9" fontId="114" fillId="0" borderId="25" applyAlignment="1" pivotButton="0" quotePrefix="0" xfId="104">
      <alignment horizontal="center" vertical="center"/>
    </xf>
    <xf numFmtId="9" fontId="114" fillId="0" borderId="26" applyAlignment="1" pivotButton="0" quotePrefix="0" xfId="104">
      <alignment horizontal="center" vertical="center"/>
    </xf>
    <xf numFmtId="9" fontId="114" fillId="0" borderId="11" applyAlignment="1" pivotButton="0" quotePrefix="0" xfId="104">
      <alignment horizontal="center" vertical="center"/>
    </xf>
    <xf numFmtId="9" fontId="118" fillId="0" borderId="25" applyAlignment="1" pivotButton="0" quotePrefix="0" xfId="103">
      <alignment horizontal="center" vertical="center"/>
    </xf>
    <xf numFmtId="9" fontId="118" fillId="0" borderId="26" applyAlignment="1" pivotButton="0" quotePrefix="0" xfId="103">
      <alignment horizontal="center" vertical="center"/>
    </xf>
    <xf numFmtId="9" fontId="118" fillId="0" borderId="11" applyAlignment="1" pivotButton="0" quotePrefix="0" xfId="103">
      <alignment horizontal="center" vertical="center"/>
    </xf>
    <xf numFmtId="49" fontId="119" fillId="11" borderId="27" applyAlignment="1" pivotButton="0" quotePrefix="0" xfId="104">
      <alignment horizontal="left" wrapText="1"/>
    </xf>
    <xf numFmtId="0" fontId="120" fillId="0" borderId="0" applyAlignment="1" pivotButton="0" quotePrefix="0" xfId="96">
      <alignment vertical="center"/>
    </xf>
    <xf numFmtId="49" fontId="119" fillId="11" borderId="27" applyAlignment="1" pivotButton="0" quotePrefix="0" xfId="104">
      <alignment horizontal="left" vertical="center" wrapText="1"/>
    </xf>
    <xf numFmtId="0" fontId="0" fillId="0" borderId="8" applyAlignment="1" pivotButton="0" quotePrefix="0" xfId="0">
      <alignment horizontal="center" vertical="center"/>
    </xf>
    <xf numFmtId="0" fontId="114" fillId="10" borderId="8" applyAlignment="1" pivotButton="0" quotePrefix="0" xfId="0">
      <alignment horizontal="center" vertical="center"/>
    </xf>
    <xf numFmtId="0" fontId="0" fillId="10" borderId="8" applyAlignment="1" pivotButton="0" quotePrefix="0" xfId="0">
      <alignment horizontal="center" vertical="center"/>
    </xf>
    <xf numFmtId="0" fontId="114" fillId="10" borderId="11" applyAlignment="1" pivotButton="0" quotePrefix="0" xfId="0">
      <alignment horizontal="center" vertical="center"/>
    </xf>
    <xf numFmtId="0" fontId="0" fillId="10" borderId="11" applyAlignment="1" pivotButton="0" quotePrefix="0" xfId="0">
      <alignment horizontal="center" vertical="center"/>
    </xf>
    <xf numFmtId="10" fontId="0" fillId="0" borderId="8" applyAlignment="1" pivotButton="0" quotePrefix="0" xfId="0">
      <alignment horizontal="center" vertical="center"/>
    </xf>
    <xf numFmtId="10" fontId="121" fillId="0" borderId="8" applyAlignment="1" pivotButton="0" quotePrefix="0" xfId="0">
      <alignment horizontal="center" vertical="center"/>
    </xf>
    <xf numFmtId="10" fontId="121" fillId="0" borderId="11" applyAlignment="1" pivotButton="0" quotePrefix="0" xfId="0">
      <alignment horizontal="center" vertical="center"/>
    </xf>
    <xf numFmtId="2" fontId="121" fillId="0" borderId="8" applyAlignment="1" pivotButton="0" quotePrefix="0" xfId="0">
      <alignment horizontal="center" vertical="center"/>
    </xf>
    <xf numFmtId="2" fontId="121" fillId="0" borderId="11" applyAlignment="1" pivotButton="0" quotePrefix="0" xfId="0">
      <alignment horizontal="center" vertical="center"/>
    </xf>
    <xf numFmtId="49" fontId="119" fillId="11" borderId="28" applyAlignment="1" pivotButton="0" quotePrefix="0" xfId="104">
      <alignment horizontal="left" vertical="center" wrapText="1"/>
    </xf>
    <xf numFmtId="0" fontId="118" fillId="0" borderId="6" applyAlignment="1" pivotButton="0" quotePrefix="0" xfId="0">
      <alignment horizontal="left" vertical="center" wrapText="1"/>
    </xf>
    <xf numFmtId="0" fontId="118" fillId="0" borderId="9" applyAlignment="1" pivotButton="0" quotePrefix="0" xfId="0">
      <alignment horizontal="left" vertical="center" wrapText="1"/>
    </xf>
    <xf numFmtId="0" fontId="114" fillId="0" borderId="7" applyAlignment="1" pivotButton="0" quotePrefix="0" xfId="0">
      <alignment horizontal="center" vertical="center"/>
    </xf>
    <xf numFmtId="49" fontId="119" fillId="11" borderId="29" applyAlignment="1" pivotButton="0" quotePrefix="0" xfId="104">
      <alignment horizontal="left" wrapText="1"/>
    </xf>
    <xf numFmtId="0" fontId="114" fillId="0" borderId="10" applyAlignment="1" pivotButton="0" quotePrefix="0" xfId="0">
      <alignment horizontal="center" vertical="center"/>
    </xf>
    <xf numFmtId="0" fontId="29" fillId="0" borderId="6" applyAlignment="1" pivotButton="0" quotePrefix="0" xfId="0">
      <alignment horizontal="center" vertical="center" wrapText="1"/>
    </xf>
    <xf numFmtId="0" fontId="29" fillId="0" borderId="8" applyAlignment="1" pivotButton="0" quotePrefix="0" xfId="0">
      <alignment horizontal="center" vertical="center" wrapText="1"/>
    </xf>
    <xf numFmtId="0" fontId="122" fillId="0" borderId="8" applyAlignment="1" pivotButton="0" quotePrefix="0" xfId="0">
      <alignment horizontal="center" vertical="center" wrapText="1"/>
    </xf>
    <xf numFmtId="0" fontId="117" fillId="12" borderId="24" applyAlignment="1" pivotButton="0" quotePrefix="0" xfId="104">
      <alignment horizontal="center" vertical="center" wrapText="1"/>
    </xf>
    <xf numFmtId="164" fontId="108" fillId="0" borderId="0" applyAlignment="1" pivotButton="0" quotePrefix="0" xfId="0">
      <alignment horizontal="right" vertical="center" wrapText="1"/>
    </xf>
    <xf numFmtId="165" fontId="26" fillId="0" borderId="0" applyAlignment="1" pivotButton="0" quotePrefix="0" xfId="0">
      <alignment horizontal="center" vertical="center"/>
    </xf>
    <xf numFmtId="165" fontId="25" fillId="0" borderId="0" applyAlignment="1" pivotButton="0" quotePrefix="0" xfId="96">
      <alignment horizontal="left" vertical="center"/>
    </xf>
    <xf numFmtId="165" fontId="23" fillId="0" borderId="0" applyAlignment="1" pivotButton="0" quotePrefix="0" xfId="0">
      <alignment horizontal="center" vertical="center"/>
    </xf>
    <xf numFmtId="165" fontId="25" fillId="0" borderId="0" applyAlignment="1" pivotButton="0" quotePrefix="0" xfId="96">
      <alignment horizontal="right" vertical="center"/>
    </xf>
    <xf numFmtId="165" fontId="30" fillId="0" borderId="0" applyAlignment="1" pivotButton="0" quotePrefix="0" xfId="96">
      <alignment horizontal="right" vertical="center"/>
    </xf>
    <xf numFmtId="165" fontId="31" fillId="0" borderId="0" applyAlignment="1" pivotButton="0" quotePrefix="0" xfId="0">
      <alignment horizontal="center" vertical="center"/>
    </xf>
    <xf numFmtId="165" fontId="25" fillId="4" borderId="0" applyAlignment="1" pivotButton="0" quotePrefix="0" xfId="96">
      <alignment horizontal="right" vertical="center"/>
    </xf>
    <xf numFmtId="165" fontId="30" fillId="4" borderId="0" applyAlignment="1" pivotButton="0" quotePrefix="0" xfId="96">
      <alignment horizontal="right" vertical="center"/>
    </xf>
    <xf numFmtId="165" fontId="25" fillId="0" borderId="0" applyAlignment="1" pivotButton="0" quotePrefix="0" xfId="96">
      <alignment horizontal="left" vertical="center" indent="2"/>
    </xf>
    <xf numFmtId="165" fontId="32" fillId="0" borderId="0" applyAlignment="1" pivotButton="0" quotePrefix="0" xfId="96">
      <alignment horizontal="right" vertical="center"/>
    </xf>
    <xf numFmtId="165" fontId="33" fillId="0" borderId="0" applyAlignment="1" pivotButton="0" quotePrefix="0" xfId="0">
      <alignment horizontal="center" vertical="center"/>
    </xf>
    <xf numFmtId="165" fontId="23" fillId="4" borderId="0" applyAlignment="1" pivotButton="0" quotePrefix="0" xfId="0">
      <alignment horizontal="center" vertical="center"/>
    </xf>
    <xf numFmtId="165" fontId="31" fillId="4" borderId="0" applyAlignment="1" pivotButton="0" quotePrefix="0" xfId="0">
      <alignment horizontal="center" vertical="center"/>
    </xf>
    <xf numFmtId="165" fontId="32" fillId="4" borderId="0" applyAlignment="1" pivotButton="0" quotePrefix="0" xfId="0">
      <alignment horizontal="right" vertical="center"/>
    </xf>
    <xf numFmtId="165" fontId="33" fillId="4" borderId="0" applyAlignment="1" pivotButton="0" quotePrefix="0" xfId="0">
      <alignment horizontal="center" vertical="center"/>
    </xf>
    <xf numFmtId="165" fontId="32" fillId="4" borderId="0" applyAlignment="1" pivotButton="0" quotePrefix="0" xfId="96">
      <alignment horizontal="right" vertical="center"/>
    </xf>
    <xf numFmtId="165" fontId="31" fillId="0" borderId="0" applyAlignment="1" pivotButton="0" quotePrefix="0" xfId="96">
      <alignment horizontal="right" vertical="center"/>
    </xf>
    <xf numFmtId="165" fontId="33" fillId="0" borderId="0" applyAlignment="1" pivotButton="0" quotePrefix="0" xfId="96">
      <alignment horizontal="right" vertical="center"/>
    </xf>
    <xf numFmtId="165" fontId="32" fillId="0" borderId="0" applyAlignment="1" pivotButton="0" quotePrefix="0" xfId="0">
      <alignment horizontal="right" vertical="center"/>
    </xf>
    <xf numFmtId="165" fontId="25" fillId="4" borderId="0" applyAlignment="1" pivotButton="0" quotePrefix="0" xfId="0">
      <alignment horizontal="right" vertical="center"/>
    </xf>
    <xf numFmtId="165" fontId="30" fillId="4" borderId="0" applyAlignment="1" pivotButton="0" quotePrefix="0" xfId="0">
      <alignment horizontal="right" vertical="center"/>
    </xf>
    <xf numFmtId="165" fontId="25" fillId="0" borderId="0" applyAlignment="1" pivotButton="0" quotePrefix="0" xfId="96">
      <alignment vertical="center"/>
    </xf>
    <xf numFmtId="165" fontId="25" fillId="0" borderId="0" applyAlignment="1" pivotButton="0" quotePrefix="0" xfId="96">
      <alignment vertical="center" wrapText="1"/>
    </xf>
    <xf numFmtId="165" fontId="30" fillId="0" borderId="0" applyAlignment="1" pivotButton="0" quotePrefix="0" xfId="0">
      <alignment horizontal="right" vertical="center"/>
    </xf>
    <xf numFmtId="165" fontId="34" fillId="0" borderId="0" applyAlignment="1" pivotButton="0" quotePrefix="0" xfId="96">
      <alignment horizontal="right" vertical="center"/>
    </xf>
    <xf numFmtId="165" fontId="25" fillId="0" borderId="0" applyAlignment="1" pivotButton="0" quotePrefix="0" xfId="0">
      <alignment vertical="center"/>
    </xf>
    <xf numFmtId="165" fontId="25" fillId="0" borderId="0" applyAlignment="1" pivotButton="0" quotePrefix="0" xfId="0">
      <alignment horizontal="right" vertical="center"/>
    </xf>
    <xf numFmtId="165" fontId="25" fillId="0" borderId="0" applyAlignment="1" pivotButton="0" quotePrefix="0" xfId="0">
      <alignment horizontal="left" vertical="center" indent="2"/>
    </xf>
    <xf numFmtId="165" fontId="33" fillId="0" borderId="0" applyAlignment="1" pivotButton="0" quotePrefix="0" xfId="0">
      <alignment horizontal="right" vertical="center"/>
    </xf>
    <xf numFmtId="165" fontId="23" fillId="0" borderId="0" applyAlignment="1" pivotButton="0" quotePrefix="0" xfId="0">
      <alignment horizontal="right" vertical="center"/>
    </xf>
    <xf numFmtId="165" fontId="23" fillId="0" borderId="0" applyAlignment="1" pivotButton="0" quotePrefix="0" xfId="0">
      <alignment vertical="center" wrapText="1"/>
    </xf>
    <xf numFmtId="165" fontId="23" fillId="0" borderId="0" applyAlignment="1" pivotButton="0" quotePrefix="0" xfId="0">
      <alignment horizontal="left" vertical="center" indent="2"/>
    </xf>
    <xf numFmtId="165" fontId="35" fillId="0" borderId="0" applyAlignment="1" pivotButton="0" quotePrefix="0" xfId="96">
      <alignment vertical="center"/>
    </xf>
    <xf numFmtId="165" fontId="25" fillId="4" borderId="0" applyAlignment="1" pivotButton="0" quotePrefix="0" xfId="96">
      <alignment horizontal="left" vertical="center" indent="2"/>
    </xf>
    <xf numFmtId="165" fontId="25" fillId="0" borderId="0" applyAlignment="1" pivotButton="0" quotePrefix="0" xfId="0">
      <alignment horizontal="center" vertical="center"/>
    </xf>
    <xf numFmtId="165" fontId="111" fillId="0" borderId="0" applyAlignment="1" pivotButton="0" quotePrefix="0" xfId="96">
      <alignment horizontal="left" vertical="center"/>
    </xf>
    <xf numFmtId="165" fontId="113" fillId="0" borderId="23" applyAlignment="1" pivotButton="0" quotePrefix="0" xfId="96">
      <alignment horizontal="right" vertical="center"/>
    </xf>
    <xf numFmtId="165" fontId="110" fillId="0" borderId="22" applyAlignment="1" pivotButton="0" quotePrefix="0" xfId="0">
      <alignment horizontal="center" vertical="center"/>
    </xf>
    <xf numFmtId="166" fontId="46" fillId="0" borderId="0" applyAlignment="1" pivotButton="0" quotePrefix="0" xfId="96">
      <alignment horizontal="center" vertical="center" wrapText="1"/>
    </xf>
    <xf numFmtId="165" fontId="47" fillId="0" borderId="0" applyAlignment="1" pivotButton="0" quotePrefix="0" xfId="96">
      <alignment horizontal="left" vertical="center" indent="6"/>
    </xf>
    <xf numFmtId="165" fontId="46" fillId="0" borderId="0" applyAlignment="1" pivotButton="0" quotePrefix="0" xfId="0">
      <alignment horizontal="center" vertical="center"/>
    </xf>
    <xf numFmtId="166" fontId="46" fillId="0" borderId="13" applyAlignment="1" pivotButton="0" quotePrefix="0" xfId="96">
      <alignment horizontal="center" vertical="center" wrapText="1"/>
    </xf>
    <xf numFmtId="167" fontId="56" fillId="0" borderId="0" applyAlignment="1" pivotButton="0" quotePrefix="0" xfId="0">
      <alignment horizontal="right" vertical="center"/>
    </xf>
    <xf numFmtId="165" fontId="43" fillId="0" borderId="8" applyAlignment="1" pivotButton="0" quotePrefix="0" xfId="0">
      <alignment horizontal="center" vertical="center"/>
    </xf>
    <xf numFmtId="165" fontId="46" fillId="0" borderId="8" applyAlignment="1" pivotButton="0" quotePrefix="0" xfId="0">
      <alignment horizontal="center" vertical="center"/>
    </xf>
    <xf numFmtId="165" fontId="30" fillId="0" borderId="0" applyAlignment="1" pivotButton="0" quotePrefix="0" xfId="0">
      <alignment horizontal="center"/>
    </xf>
    <xf numFmtId="165" fontId="32" fillId="0" borderId="0" applyAlignment="1" pivotButton="0" quotePrefix="0" xfId="0">
      <alignment horizontal="center"/>
    </xf>
    <xf numFmtId="165" fontId="46" fillId="0" borderId="0" applyAlignment="1" pivotButton="0" quotePrefix="0" xfId="0">
      <alignment horizontal="center"/>
    </xf>
    <xf numFmtId="165" fontId="35" fillId="0" borderId="0" applyAlignment="1" pivotButton="0" quotePrefix="0" xfId="0">
      <alignment horizontal="center"/>
    </xf>
    <xf numFmtId="165" fontId="43" fillId="0" borderId="0" applyAlignment="1" pivotButton="0" quotePrefix="0" xfId="0">
      <alignment horizontal="center" vertical="center"/>
    </xf>
    <xf numFmtId="165" fontId="46" fillId="0" borderId="8" applyAlignment="1" pivotButton="0" quotePrefix="0" xfId="0">
      <alignment horizontal="center"/>
    </xf>
    <xf numFmtId="167" fontId="70" fillId="0" borderId="0" applyAlignment="1" pivotButton="0" quotePrefix="0" xfId="0">
      <alignment horizontal="center" vertical="center"/>
    </xf>
    <xf numFmtId="167" fontId="28" fillId="0" borderId="0" applyAlignment="1" pivotButton="0" quotePrefix="0" xfId="0">
      <alignment horizontal="center" vertical="center"/>
    </xf>
    <xf numFmtId="165" fontId="43" fillId="0" borderId="14" applyAlignment="1" pivotButton="0" quotePrefix="0" xfId="0">
      <alignment horizontal="center" vertical="center"/>
    </xf>
    <xf numFmtId="165" fontId="48" fillId="0" borderId="8" applyAlignment="1" pivotButton="0" quotePrefix="0" xfId="0">
      <alignment horizontal="center" vertical="center"/>
    </xf>
    <xf numFmtId="165" fontId="46" fillId="0" borderId="2" applyAlignment="1" pivotButton="0" quotePrefix="0" xfId="0">
      <alignment horizontal="center" vertical="center"/>
    </xf>
    <xf numFmtId="165" fontId="48" fillId="0" borderId="2" applyAlignment="1" pivotButton="0" quotePrefix="0" xfId="0">
      <alignment horizontal="center" vertical="center"/>
    </xf>
    <xf numFmtId="165" fontId="43" fillId="0" borderId="2" applyAlignment="1" pivotButton="0" quotePrefix="0" xfId="0">
      <alignment horizontal="center" vertical="center"/>
    </xf>
    <xf numFmtId="165" fontId="46" fillId="0" borderId="14" applyAlignment="1" pivotButton="0" quotePrefix="0" xfId="0">
      <alignment horizontal="center" vertical="center"/>
    </xf>
    <xf numFmtId="167" fontId="24" fillId="0" borderId="0" applyAlignment="1" pivotButton="0" quotePrefix="0" xfId="0">
      <alignment vertical="center"/>
    </xf>
    <xf numFmtId="165" fontId="47" fillId="0" borderId="8" applyAlignment="1" pivotButton="0" quotePrefix="0" xfId="0">
      <alignment horizontal="center" vertical="center"/>
    </xf>
    <xf numFmtId="165" fontId="43" fillId="0" borderId="11" applyAlignment="1" pivotButton="0" quotePrefix="0" xfId="0">
      <alignment horizontal="center"/>
    </xf>
    <xf numFmtId="165" fontId="60" fillId="0" borderId="8" applyAlignment="1" pivotButton="0" quotePrefix="0" xfId="0">
      <alignment horizontal="center" vertical="center"/>
    </xf>
    <xf numFmtId="0" fontId="28" fillId="0" borderId="0" applyAlignment="1" pivotButton="0" quotePrefix="0" xfId="0">
      <alignment horizontal="left" vertical="top" wrapText="1" indent="2"/>
    </xf>
    <xf numFmtId="166" fontId="20" fillId="0" borderId="0" pivotButton="0" quotePrefix="0" xfId="0"/>
    <xf numFmtId="0" fontId="47" fillId="0" borderId="0" pivotButton="0" quotePrefix="0" xfId="0"/>
    <xf numFmtId="49" fontId="123" fillId="0" borderId="0" applyAlignment="1" pivotButton="0" quotePrefix="0" xfId="0">
      <alignment horizontal="left" vertical="center"/>
    </xf>
    <xf numFmtId="0" fontId="0" fillId="0" borderId="0" applyAlignment="1" pivotButton="0" quotePrefix="0" xfId="0">
      <alignment wrapText="1"/>
    </xf>
    <xf numFmtId="0" fontId="125" fillId="3" borderId="30" applyAlignment="1" pivotButton="0" quotePrefix="0" xfId="0">
      <alignment horizontal="center"/>
    </xf>
    <xf numFmtId="0" fontId="125" fillId="4" borderId="30" applyAlignment="1" pivotButton="0" quotePrefix="0" xfId="0">
      <alignment horizontal="center"/>
    </xf>
    <xf numFmtId="0" fontId="126" fillId="5" borderId="30" applyAlignment="1" pivotButton="0" quotePrefix="0" xfId="0">
      <alignment horizontal="center" vertical="center" wrapText="1"/>
    </xf>
    <xf numFmtId="0" fontId="25" fillId="0" borderId="0" applyAlignment="1" pivotButton="0" quotePrefix="0" xfId="0">
      <alignment horizontal="center" vertical="center"/>
    </xf>
    <xf numFmtId="0" fontId="50" fillId="0" borderId="7" applyAlignment="1" pivotButton="0" quotePrefix="0" xfId="0">
      <alignment horizontal="left" vertical="center" wrapText="1" indent="2"/>
    </xf>
    <xf numFmtId="0" fontId="28" fillId="0" borderId="8" applyAlignment="1" pivotButton="0" quotePrefix="0" xfId="0">
      <alignment horizontal="center" vertical="center" wrapText="1"/>
    </xf>
    <xf numFmtId="0" fontId="20" fillId="0" borderId="38" applyAlignment="1" pivotButton="0" quotePrefix="0" xfId="0">
      <alignment horizontal="center" vertical="center"/>
    </xf>
    <xf numFmtId="49" fontId="60" fillId="0" borderId="38" applyAlignment="1" pivotButton="0" quotePrefix="0" xfId="0">
      <alignment horizontal="center" vertical="center"/>
    </xf>
    <xf numFmtId="0" fontId="50" fillId="0" borderId="38" applyAlignment="1" pivotButton="0" quotePrefix="0" xfId="0">
      <alignment horizontal="center" vertical="center"/>
    </xf>
    <xf numFmtId="0" fontId="68" fillId="0" borderId="38" applyAlignment="1" pivotButton="0" quotePrefix="0" xfId="0">
      <alignment horizontal="center" vertical="center"/>
    </xf>
    <xf numFmtId="0" fontId="68" fillId="0" borderId="39" applyAlignment="1" pivotButton="0" quotePrefix="0" xfId="0">
      <alignment horizontal="center" vertical="center"/>
    </xf>
    <xf numFmtId="0" fontId="53" fillId="0" borderId="0" applyAlignment="1" pivotButton="0" quotePrefix="0" xfId="0">
      <alignment horizontal="center"/>
    </xf>
    <xf numFmtId="0" fontId="64" fillId="0" borderId="0" applyAlignment="1" pivotButton="0" quotePrefix="1" xfId="0">
      <alignment horizontal="left" vertical="center" indent="2"/>
    </xf>
    <xf numFmtId="0" fontId="43" fillId="0" borderId="0" applyAlignment="1" pivotButton="0" quotePrefix="1" xfId="0">
      <alignment horizontal="left" vertical="center" indent="2"/>
    </xf>
    <xf numFmtId="0" fontId="30" fillId="0" borderId="0" applyAlignment="1" pivotButton="0" quotePrefix="0" xfId="0">
      <alignment horizontal="right"/>
    </xf>
    <xf numFmtId="0" fontId="25" fillId="0" borderId="0" applyAlignment="1" pivotButton="0" quotePrefix="1" xfId="0">
      <alignment horizontal="right"/>
    </xf>
    <xf numFmtId="0" fontId="30" fillId="0" borderId="0" applyAlignment="1" pivotButton="0" quotePrefix="1" xfId="0">
      <alignment horizontal="right"/>
    </xf>
    <xf numFmtId="0" fontId="35" fillId="0" borderId="0" applyAlignment="1" pivotButton="0" quotePrefix="1" xfId="0">
      <alignment horizontal="right"/>
    </xf>
    <xf numFmtId="0" fontId="43" fillId="0" borderId="14" applyAlignment="1" pivotButton="0" quotePrefix="0" xfId="0">
      <alignment horizontal="center" vertical="center" wrapText="1"/>
    </xf>
    <xf numFmtId="16" fontId="43" fillId="0" borderId="38" applyAlignment="1" pivotButton="0" quotePrefix="0" xfId="0">
      <alignment horizontal="center" vertical="center" wrapText="1"/>
    </xf>
    <xf numFmtId="0" fontId="43" fillId="0" borderId="39" applyAlignment="1" pivotButton="0" quotePrefix="0" xfId="0">
      <alignment horizontal="center" vertical="center"/>
    </xf>
    <xf numFmtId="0" fontId="20" fillId="0" borderId="38" applyAlignment="1" pivotButton="0" quotePrefix="0" xfId="0">
      <alignment horizontal="center" vertical="center" wrapText="1"/>
    </xf>
    <xf numFmtId="0" fontId="28" fillId="3" borderId="36" applyAlignment="1" pivotButton="0" quotePrefix="0" xfId="0">
      <alignment horizontal="center"/>
    </xf>
    <xf numFmtId="0" fontId="28" fillId="4" borderId="36" applyAlignment="1" pivotButton="0" quotePrefix="0" xfId="0">
      <alignment horizontal="center"/>
    </xf>
    <xf numFmtId="0" fontId="29" fillId="5" borderId="36" applyAlignment="1" pivotButton="0" quotePrefix="0" xfId="0">
      <alignment horizontal="center" vertical="center" wrapText="1"/>
    </xf>
    <xf numFmtId="0" fontId="28" fillId="0" borderId="38" applyAlignment="1" pivotButton="0" quotePrefix="0" xfId="0">
      <alignment horizontal="center"/>
    </xf>
    <xf numFmtId="0" fontId="46" fillId="0" borderId="38" applyAlignment="1" pivotButton="0" quotePrefix="0" xfId="0">
      <alignment horizontal="right" vertical="center" wrapText="1" indent="2"/>
    </xf>
    <xf numFmtId="0" fontId="28" fillId="3" borderId="2" applyAlignment="1" pivotButton="0" quotePrefix="0" xfId="0">
      <alignment horizontal="center" vertical="center"/>
    </xf>
    <xf numFmtId="0" fontId="20" fillId="0" borderId="8" applyAlignment="1" pivotButton="0" quotePrefix="0" xfId="0">
      <alignment horizontal="left" vertical="center"/>
    </xf>
    <xf numFmtId="49" fontId="28" fillId="0" borderId="38" applyAlignment="1" pivotButton="0" quotePrefix="0" xfId="0">
      <alignment horizontal="center"/>
    </xf>
    <xf numFmtId="49" fontId="28" fillId="0" borderId="39" applyAlignment="1" pivotButton="0" quotePrefix="0" xfId="0">
      <alignment horizontal="center" vertical="center"/>
    </xf>
    <xf numFmtId="0" fontId="60" fillId="0" borderId="38" applyAlignment="1" pivotButton="0" quotePrefix="0" xfId="0">
      <alignment horizontal="center"/>
    </xf>
    <xf numFmtId="0" fontId="50" fillId="0" borderId="38" applyAlignment="1" pivotButton="0" quotePrefix="0" xfId="0">
      <alignment horizontal="center"/>
    </xf>
    <xf numFmtId="0" fontId="50" fillId="0" borderId="38" pivotButton="0" quotePrefix="0" xfId="0"/>
    <xf numFmtId="0" fontId="50" fillId="0" borderId="39" applyAlignment="1" pivotButton="0" quotePrefix="0" xfId="0">
      <alignment horizontal="center"/>
    </xf>
    <xf numFmtId="165" fontId="46" fillId="0" borderId="38" applyAlignment="1" pivotButton="0" quotePrefix="0" xfId="0">
      <alignment horizontal="center" vertical="center"/>
    </xf>
    <xf numFmtId="165" fontId="46" fillId="0" borderId="39" applyAlignment="1" pivotButton="0" quotePrefix="0" xfId="0">
      <alignment horizontal="center" vertical="center"/>
    </xf>
    <xf numFmtId="0" fontId="67" fillId="0" borderId="0" pivotButton="0" quotePrefix="0" xfId="0"/>
    <xf numFmtId="49" fontId="81" fillId="0" borderId="0" applyAlignment="1" pivotButton="0" quotePrefix="0" xfId="0">
      <alignment horizontal="center"/>
    </xf>
    <xf numFmtId="0" fontId="20" fillId="0" borderId="0" applyAlignment="1" pivotButton="0" quotePrefix="0" xfId="0">
      <alignment horizontal="left" vertical="center" wrapText="1"/>
    </xf>
    <xf numFmtId="0" fontId="43" fillId="0" borderId="39" applyAlignment="1" pivotButton="0" quotePrefix="0" xfId="0">
      <alignment horizontal="center"/>
    </xf>
    <xf numFmtId="0" fontId="20" fillId="0" borderId="38" applyAlignment="1" pivotButton="0" quotePrefix="0" xfId="0">
      <alignment horizontal="center"/>
    </xf>
    <xf numFmtId="0" fontId="20" fillId="0" borderId="0" applyAlignment="1" pivotButton="0" quotePrefix="0" xfId="0">
      <alignment vertical="center"/>
    </xf>
    <xf numFmtId="0" fontId="78" fillId="0" borderId="0" pivotButton="0" quotePrefix="0" xfId="0"/>
    <xf numFmtId="0" fontId="47" fillId="0" borderId="38" applyAlignment="1" pivotButton="0" quotePrefix="0" xfId="0">
      <alignment horizontal="center" vertical="center"/>
    </xf>
    <xf numFmtId="0" fontId="47" fillId="0" borderId="39" applyAlignment="1" pivotButton="0" quotePrefix="0" xfId="0">
      <alignment horizontal="center" vertical="center"/>
    </xf>
    <xf numFmtId="0" fontId="28" fillId="0" borderId="0" applyAlignment="1" pivotButton="0" quotePrefix="0" xfId="0">
      <alignment vertical="center"/>
    </xf>
    <xf numFmtId="0" fontId="58" fillId="0" borderId="0" applyAlignment="1" pivotButton="0" quotePrefix="0" xfId="0">
      <alignment horizontal="center"/>
    </xf>
    <xf numFmtId="0" fontId="22" fillId="0" borderId="38" applyAlignment="1" pivotButton="0" quotePrefix="0" xfId="0">
      <alignment horizontal="left" wrapText="1" indent="1"/>
    </xf>
    <xf numFmtId="0" fontId="20" fillId="0" borderId="38" applyAlignment="1" pivotButton="0" quotePrefix="0" xfId="0">
      <alignment horizontal="left" vertical="center" wrapText="1" indent="1"/>
    </xf>
    <xf numFmtId="0" fontId="43" fillId="0" borderId="38" applyAlignment="1" pivotButton="0" quotePrefix="0" xfId="0">
      <alignment horizontal="left" wrapText="1" indent="1"/>
    </xf>
    <xf numFmtId="0" fontId="20" fillId="0" borderId="38" applyAlignment="1" pivotButton="0" quotePrefix="0" xfId="0">
      <alignment horizontal="left" wrapText="1" indent="1"/>
    </xf>
    <xf numFmtId="49" fontId="53" fillId="0" borderId="38" applyAlignment="1" pivotButton="0" quotePrefix="0" xfId="0">
      <alignment horizontal="center"/>
    </xf>
    <xf numFmtId="0" fontId="53" fillId="0" borderId="38" applyAlignment="1" pivotButton="0" quotePrefix="0" xfId="0">
      <alignment horizontal="left" wrapText="1" indent="3"/>
    </xf>
    <xf numFmtId="0" fontId="28" fillId="0" borderId="38" applyAlignment="1" pivotButton="0" quotePrefix="0" xfId="0">
      <alignment horizontal="left" wrapText="1" indent="6"/>
    </xf>
    <xf numFmtId="0" fontId="53" fillId="0" borderId="38" applyAlignment="1" pivotButton="0" quotePrefix="0" xfId="0">
      <alignment horizontal="left" wrapText="1" indent="1"/>
    </xf>
    <xf numFmtId="0" fontId="47" fillId="0" borderId="38" applyAlignment="1" pivotButton="0" quotePrefix="0" xfId="0">
      <alignment horizontal="left" wrapText="1" indent="2"/>
    </xf>
    <xf numFmtId="0" fontId="57" fillId="0" borderId="0" applyAlignment="1" pivotButton="0" quotePrefix="0" xfId="0">
      <alignment vertical="center" wrapText="1"/>
    </xf>
    <xf numFmtId="49" fontId="43" fillId="0" borderId="38" applyAlignment="1" pivotButton="0" quotePrefix="0" xfId="0">
      <alignment horizontal="center"/>
    </xf>
    <xf numFmtId="0" fontId="48" fillId="0" borderId="38" applyAlignment="1" pivotButton="0" quotePrefix="0" xfId="0">
      <alignment horizontal="left" wrapText="1" indent="1"/>
    </xf>
    <xf numFmtId="0" fontId="60" fillId="0" borderId="38" applyAlignment="1" pivotButton="0" quotePrefix="0" xfId="0">
      <alignment horizontal="left" vertical="center" wrapText="1" indent="1"/>
    </xf>
    <xf numFmtId="0" fontId="60" fillId="0" borderId="38" applyAlignment="1" pivotButton="0" quotePrefix="0" xfId="0">
      <alignment horizontal="left" vertical="center" wrapText="1" indent="2"/>
    </xf>
    <xf numFmtId="0" fontId="60" fillId="0" borderId="32" applyAlignment="1" pivotButton="0" quotePrefix="0" xfId="0">
      <alignment horizontal="center" vertical="center"/>
    </xf>
    <xf numFmtId="0" fontId="60" fillId="0" borderId="39" applyAlignment="1" pivotButton="0" quotePrefix="0" xfId="0">
      <alignment horizontal="left" vertical="center" wrapText="1" indent="2"/>
    </xf>
    <xf numFmtId="0" fontId="60" fillId="0" borderId="0" applyAlignment="1" pivotButton="0" quotePrefix="0" xfId="0">
      <alignment horizontal="center" vertical="center"/>
    </xf>
    <xf numFmtId="0" fontId="60" fillId="0" borderId="0" applyAlignment="1" pivotButton="0" quotePrefix="0" xfId="0">
      <alignment horizontal="left" vertical="center" wrapText="1" indent="2"/>
    </xf>
    <xf numFmtId="49" fontId="53" fillId="0" borderId="35" applyAlignment="1" pivotButton="0" quotePrefix="0" xfId="0">
      <alignment horizontal="center"/>
    </xf>
    <xf numFmtId="0" fontId="43" fillId="0" borderId="15" applyAlignment="1" pivotButton="0" quotePrefix="0" xfId="0">
      <alignment horizontal="center" vertical="center"/>
    </xf>
    <xf numFmtId="0" fontId="43" fillId="0" borderId="14" applyAlignment="1" pivotButton="0" quotePrefix="0" xfId="0">
      <alignment horizontal="left" vertical="center" wrapText="1"/>
    </xf>
    <xf numFmtId="0" fontId="47" fillId="0" borderId="35" applyAlignment="1" pivotButton="0" quotePrefix="0" xfId="0">
      <alignment horizontal="center" vertical="center"/>
    </xf>
    <xf numFmtId="0" fontId="53" fillId="0" borderId="38" applyAlignment="1" pivotButton="0" quotePrefix="0" xfId="0">
      <alignment horizontal="left" indent="2"/>
    </xf>
    <xf numFmtId="0" fontId="53" fillId="0" borderId="38" applyAlignment="1" pivotButton="0" quotePrefix="0" xfId="0">
      <alignment horizontal="center" vertical="center"/>
    </xf>
    <xf numFmtId="0" fontId="69" fillId="0" borderId="0" applyAlignment="1" pivotButton="0" quotePrefix="0" xfId="0">
      <alignment horizontal="center"/>
    </xf>
    <xf numFmtId="0" fontId="28" fillId="0" borderId="38" applyAlignment="1" pivotButton="0" quotePrefix="0" xfId="0">
      <alignment horizontal="left" vertical="center" wrapText="1" indent="9"/>
    </xf>
    <xf numFmtId="0" fontId="53" fillId="0" borderId="38" applyAlignment="1" pivotButton="0" quotePrefix="0" xfId="0">
      <alignment horizontal="left" vertical="center" wrapText="1" indent="2"/>
    </xf>
    <xf numFmtId="49" fontId="20" fillId="0" borderId="35" applyAlignment="1" pivotButton="0" quotePrefix="0" xfId="0">
      <alignment horizontal="center" vertical="center"/>
    </xf>
    <xf numFmtId="0" fontId="46" fillId="0" borderId="38" applyAlignment="1" pivotButton="0" quotePrefix="0" xfId="0">
      <alignment horizontal="left" vertical="center" wrapText="1" indent="4"/>
    </xf>
    <xf numFmtId="0" fontId="46" fillId="0" borderId="38" applyAlignment="1" pivotButton="0" quotePrefix="0" xfId="0">
      <alignment horizontal="left" vertical="center" wrapText="1" indent="9"/>
    </xf>
    <xf numFmtId="0" fontId="48" fillId="0" borderId="38" applyAlignment="1" pivotButton="0" quotePrefix="0" xfId="0">
      <alignment horizontal="left" vertical="center" wrapText="1" indent="1"/>
    </xf>
    <xf numFmtId="0" fontId="47" fillId="0" borderId="38" applyAlignment="1" pivotButton="0" quotePrefix="0" xfId="0">
      <alignment horizontal="left" vertical="center" wrapText="1" indent="3"/>
    </xf>
    <xf numFmtId="0" fontId="46" fillId="0" borderId="38" applyAlignment="1" pivotButton="0" quotePrefix="0" xfId="0">
      <alignment horizontal="left" vertical="center" wrapText="1" indent="2"/>
    </xf>
    <xf numFmtId="0" fontId="53" fillId="0" borderId="39" applyAlignment="1" pivotButton="0" quotePrefix="0" xfId="0">
      <alignment horizontal="left" vertical="center" wrapText="1" indent="2"/>
    </xf>
    <xf numFmtId="0" fontId="46" fillId="0" borderId="11" applyAlignment="1" pivotButton="0" quotePrefix="0" xfId="0">
      <alignment horizontal="left" vertical="center" wrapText="1" indent="3"/>
    </xf>
    <xf numFmtId="49" fontId="53" fillId="0" borderId="32" applyAlignment="1" pivotButton="0" quotePrefix="0" xfId="0">
      <alignment horizontal="center"/>
    </xf>
    <xf numFmtId="49" fontId="28" fillId="0" borderId="38" applyAlignment="1" pivotButton="0" quotePrefix="0" xfId="0">
      <alignment horizontal="center" vertical="center" wrapText="1"/>
    </xf>
    <xf numFmtId="49" fontId="20" fillId="0" borderId="38" applyAlignment="1" pivotButton="0" quotePrefix="0" xfId="0">
      <alignment horizontal="center"/>
    </xf>
    <xf numFmtId="49" fontId="20" fillId="0" borderId="38" applyAlignment="1" pivotButton="0" quotePrefix="0" xfId="0">
      <alignment horizontal="center" vertical="top" wrapText="1"/>
    </xf>
    <xf numFmtId="49" fontId="20" fillId="0" borderId="39" applyAlignment="1" pivotButton="0" quotePrefix="0" xfId="0">
      <alignment horizontal="center" vertical="top" wrapText="1"/>
    </xf>
    <xf numFmtId="0" fontId="28" fillId="0" borderId="0" applyAlignment="1" pivotButton="0" quotePrefix="0" xfId="0">
      <alignment horizontal="left" vertical="center"/>
    </xf>
    <xf numFmtId="0" fontId="25" fillId="0" borderId="15" applyAlignment="1" pivotButton="0" quotePrefix="0" xfId="0">
      <alignment horizontal="center" vertical="center"/>
    </xf>
    <xf numFmtId="0" fontId="35" fillId="0" borderId="38" applyAlignment="1" pivotButton="0" quotePrefix="0" xfId="0">
      <alignment horizontal="left" vertical="center" wrapText="1" indent="2"/>
    </xf>
    <xf numFmtId="0" fontId="30" fillId="0" borderId="35" applyAlignment="1" pivotButton="0" quotePrefix="0" xfId="0">
      <alignment horizontal="center" vertical="center" wrapText="1"/>
    </xf>
    <xf numFmtId="0" fontId="32" fillId="0" borderId="35" applyAlignment="1" pivotButton="0" quotePrefix="0" xfId="0">
      <alignment horizontal="center" vertical="center" wrapText="1"/>
    </xf>
    <xf numFmtId="0" fontId="35" fillId="0" borderId="38" applyAlignment="1" pivotButton="0" quotePrefix="1" xfId="0">
      <alignment horizontal="left" vertical="center" wrapText="1" indent="2"/>
    </xf>
    <xf numFmtId="0" fontId="35" fillId="0" borderId="35" applyAlignment="1" pivotButton="0" quotePrefix="0" xfId="0">
      <alignment horizontal="center" vertical="center" wrapText="1"/>
    </xf>
    <xf numFmtId="0" fontId="25" fillId="0" borderId="35" applyAlignment="1" pivotButton="0" quotePrefix="0" xfId="0">
      <alignment horizontal="center" vertical="center" wrapText="1"/>
    </xf>
    <xf numFmtId="0" fontId="30" fillId="0" borderId="38" applyAlignment="1" pivotButton="0" quotePrefix="0" xfId="0">
      <alignment horizontal="center" vertical="center" wrapText="1"/>
    </xf>
    <xf numFmtId="0" fontId="30" fillId="0" borderId="38" applyAlignment="1" pivotButton="0" quotePrefix="0" xfId="0">
      <alignment horizontal="left" vertical="center" wrapText="1" indent="5"/>
    </xf>
    <xf numFmtId="0" fontId="32" fillId="0" borderId="38" applyAlignment="1" pivotButton="0" quotePrefix="0" xfId="0">
      <alignment horizontal="left" vertical="center" wrapText="1" indent="3"/>
    </xf>
    <xf numFmtId="0" fontId="23" fillId="0" borderId="38" applyAlignment="1" pivotButton="0" quotePrefix="0" xfId="0">
      <alignment horizontal="left" vertical="center" wrapText="1" indent="1"/>
    </xf>
    <xf numFmtId="0" fontId="30" fillId="0" borderId="38" applyAlignment="1" pivotButton="0" quotePrefix="0" xfId="0">
      <alignment horizontal="left" vertical="center" wrapText="1" indent="1"/>
    </xf>
    <xf numFmtId="0" fontId="25" fillId="0" borderId="38" applyAlignment="1" pivotButton="0" quotePrefix="0" xfId="0">
      <alignment vertical="center" wrapText="1"/>
    </xf>
    <xf numFmtId="0" fontId="30" fillId="0" borderId="38" applyAlignment="1" pivotButton="0" quotePrefix="0" xfId="0">
      <alignment horizontal="left" vertical="center" wrapText="1" indent="4"/>
    </xf>
    <xf numFmtId="0" fontId="32" fillId="0" borderId="38" applyAlignment="1" pivotButton="0" quotePrefix="0" xfId="0">
      <alignment horizontal="left" vertical="center" wrapText="1" indent="4"/>
    </xf>
    <xf numFmtId="0" fontId="32" fillId="0" borderId="32" applyAlignment="1" pivotButton="0" quotePrefix="0" xfId="0">
      <alignment horizontal="center" vertical="center" wrapText="1"/>
    </xf>
    <xf numFmtId="0" fontId="32" fillId="0" borderId="39" applyAlignment="1" pivotButton="0" quotePrefix="0" xfId="0">
      <alignment horizontal="left" vertical="center" wrapText="1" indent="2"/>
    </xf>
    <xf numFmtId="0" fontId="32" fillId="0" borderId="38" applyAlignment="1" pivotButton="0" quotePrefix="0" xfId="0">
      <alignment horizontal="center" vertical="center" wrapText="1"/>
    </xf>
    <xf numFmtId="0" fontId="25" fillId="0" borderId="38" applyAlignment="1" pivotButton="0" quotePrefix="0" xfId="0">
      <alignment horizontal="center" vertical="center" wrapText="1"/>
    </xf>
    <xf numFmtId="0" fontId="43" fillId="0" borderId="38" applyAlignment="1" pivotButton="0" quotePrefix="0" xfId="0">
      <alignment horizontal="left" vertical="center" wrapText="1"/>
    </xf>
    <xf numFmtId="0" fontId="60" fillId="0" borderId="38" applyAlignment="1" pivotButton="0" quotePrefix="0" xfId="0">
      <alignment horizontal="left" vertical="center" wrapText="1"/>
    </xf>
    <xf numFmtId="0" fontId="49" fillId="0" borderId="38" applyAlignment="1" pivotButton="0" quotePrefix="0" xfId="0">
      <alignment horizontal="left" vertical="center" wrapText="1" indent="2"/>
    </xf>
    <xf numFmtId="0" fontId="48" fillId="0" borderId="38" applyAlignment="1" pivotButton="0" quotePrefix="0" xfId="0">
      <alignment horizontal="center" vertical="center"/>
    </xf>
    <xf numFmtId="0" fontId="48" fillId="0" borderId="39" applyAlignment="1" pivotButton="0" quotePrefix="0" xfId="0">
      <alignment horizontal="center" vertical="center"/>
    </xf>
    <xf numFmtId="0" fontId="50" fillId="0" borderId="39" applyAlignment="1" pivotButton="0" quotePrefix="0" xfId="0">
      <alignment horizontal="left" vertical="center" wrapText="1" indent="4"/>
    </xf>
    <xf numFmtId="0" fontId="53" fillId="0" borderId="0" applyAlignment="1" pivotButton="0" quotePrefix="0" xfId="0">
      <alignment horizontal="right" vertical="center"/>
    </xf>
    <xf numFmtId="0" fontId="22" fillId="0" borderId="0" applyAlignment="1" pivotButton="0" quotePrefix="0" xfId="0">
      <alignment horizontal="left" vertical="top" wrapText="1" indent="1"/>
    </xf>
    <xf numFmtId="0" fontId="28" fillId="0" borderId="0" applyAlignment="1" pivotButton="0" quotePrefix="0" xfId="0">
      <alignment horizontal="center" vertical="center" wrapText="1"/>
    </xf>
    <xf numFmtId="49" fontId="28" fillId="0" borderId="0" applyAlignment="1" pivotButton="0" quotePrefix="0" xfId="0">
      <alignment horizontal="center"/>
    </xf>
    <xf numFmtId="49" fontId="28" fillId="0" borderId="0" applyAlignment="1" pivotButton="0" quotePrefix="0" xfId="0">
      <alignment horizontal="center" vertical="center"/>
    </xf>
    <xf numFmtId="0" fontId="110" fillId="5" borderId="36" applyAlignment="1" pivotButton="0" quotePrefix="0" xfId="0">
      <alignment horizontal="center" vertical="center" wrapText="1"/>
    </xf>
    <xf numFmtId="0" fontId="20" fillId="0" borderId="14" applyAlignment="1" pivotButton="0" quotePrefix="0" xfId="0">
      <alignment horizontal="center" vertical="center" wrapText="1"/>
    </xf>
    <xf numFmtId="0" fontId="126" fillId="5" borderId="36" applyAlignment="1" pivotButton="0" quotePrefix="0" xfId="0">
      <alignment horizontal="center" vertical="center" wrapText="1"/>
    </xf>
    <xf numFmtId="0" fontId="28" fillId="0" borderId="38" applyAlignment="1" pivotButton="0" quotePrefix="0" xfId="0">
      <alignment vertical="center"/>
    </xf>
    <xf numFmtId="0" fontId="25" fillId="0" borderId="0" applyAlignment="1" pivotButton="0" quotePrefix="0" xfId="96">
      <alignment vertical="center"/>
    </xf>
    <xf numFmtId="0" fontId="32" fillId="0" borderId="0" applyAlignment="1" pivotButton="0" quotePrefix="0" xfId="96">
      <alignment horizontal="right" vertical="center" wrapText="1"/>
    </xf>
    <xf numFmtId="0" fontId="32" fillId="0" borderId="0" applyAlignment="1" pivotButton="0" quotePrefix="0" xfId="96">
      <alignment horizontal="right" vertical="center"/>
    </xf>
    <xf numFmtId="0" fontId="33" fillId="0" borderId="0" applyAlignment="1" pivotButton="0" quotePrefix="0" xfId="96">
      <alignment horizontal="right" vertical="center"/>
    </xf>
    <xf numFmtId="165" fontId="32" fillId="0" borderId="0" applyAlignment="1" pivotButton="0" quotePrefix="0" xfId="0">
      <alignment horizontal="right"/>
    </xf>
    <xf numFmtId="165" fontId="32" fillId="0" borderId="0" applyAlignment="1" pivotButton="0" quotePrefix="0" xfId="96">
      <alignment horizontal="right"/>
    </xf>
    <xf numFmtId="0" fontId="104" fillId="0" borderId="0" applyAlignment="1" pivotButton="0" quotePrefix="0" xfId="0">
      <alignment vertical="center"/>
    </xf>
    <xf numFmtId="0" fontId="43" fillId="0" borderId="30" applyAlignment="1" pivotButton="0" quotePrefix="0" xfId="105">
      <alignment horizontal="left" vertical="center" wrapText="1"/>
    </xf>
    <xf numFmtId="0" fontId="46" fillId="0" borderId="30" applyAlignment="1" pivotButton="0" quotePrefix="0" xfId="105">
      <alignment vertical="center" wrapText="1"/>
    </xf>
    <xf numFmtId="0" fontId="68" fillId="0" borderId="30" applyAlignment="1" pivotButton="0" quotePrefix="0" xfId="105">
      <alignment horizontal="left" vertical="center" wrapText="1" indent="2"/>
    </xf>
    <xf numFmtId="0" fontId="46" fillId="0" borderId="30" applyAlignment="1" pivotButton="0" quotePrefix="0" xfId="105">
      <alignment horizontal="left" vertical="center" wrapText="1" indent="2"/>
    </xf>
    <xf numFmtId="0" fontId="46" fillId="0" borderId="30" applyAlignment="1" pivotButton="0" quotePrefix="0" xfId="105">
      <alignment horizontal="left" vertical="center" wrapText="1"/>
    </xf>
    <xf numFmtId="0" fontId="46" fillId="0" borderId="30" applyAlignment="1" pivotButton="0" quotePrefix="0" xfId="105">
      <alignment horizontal="justify" vertical="center" wrapText="1"/>
    </xf>
    <xf numFmtId="0" fontId="46" fillId="0" borderId="0" applyAlignment="1" pivotButton="0" quotePrefix="0" xfId="105">
      <alignment horizontal="justify" vertical="center" wrapText="1"/>
    </xf>
    <xf numFmtId="0" fontId="48" fillId="0" borderId="0" applyAlignment="1" pivotButton="0" quotePrefix="0" xfId="105">
      <alignment horizontal="center" vertical="center" wrapText="1"/>
    </xf>
    <xf numFmtId="0" fontId="20" fillId="0" borderId="34" applyAlignment="1" pivotButton="0" quotePrefix="0" xfId="105">
      <alignment horizontal="left" vertical="center" wrapText="1"/>
    </xf>
    <xf numFmtId="0" fontId="20" fillId="0" borderId="30" applyAlignment="1" pivotButton="0" quotePrefix="0" xfId="105">
      <alignment horizontal="left" vertical="center" wrapText="1"/>
    </xf>
    <xf numFmtId="0" fontId="127" fillId="0" borderId="0" applyAlignment="1" pivotButton="0" quotePrefix="0" xfId="105">
      <alignment horizontal="justify" vertical="center"/>
    </xf>
    <xf numFmtId="0" fontId="28" fillId="0" borderId="0" pivotButton="0" quotePrefix="0" xfId="105"/>
    <xf numFmtId="0" fontId="28" fillId="0" borderId="30" applyAlignment="1" pivotButton="0" quotePrefix="0" xfId="105">
      <alignment vertical="center" wrapText="1"/>
    </xf>
    <xf numFmtId="0" fontId="28" fillId="7" borderId="30" applyAlignment="1" pivotButton="0" quotePrefix="0" xfId="105">
      <alignment vertical="center" wrapText="1"/>
    </xf>
    <xf numFmtId="0" fontId="28" fillId="0" borderId="30" pivotButton="0" quotePrefix="0" xfId="105"/>
    <xf numFmtId="0" fontId="28" fillId="0" borderId="30" applyAlignment="1" pivotButton="0" quotePrefix="0" xfId="105">
      <alignment wrapText="1"/>
    </xf>
    <xf numFmtId="0" fontId="28" fillId="0" borderId="30" applyAlignment="1" pivotButton="0" quotePrefix="0" xfId="0">
      <alignment horizontal="center" vertical="center" wrapText="1"/>
    </xf>
    <xf numFmtId="4" fontId="126" fillId="5" borderId="36" applyAlignment="1" pivotButton="0" quotePrefix="0" xfId="0">
      <alignment horizontal="center" vertical="center" wrapText="1"/>
    </xf>
    <xf numFmtId="0" fontId="1" fillId="0" borderId="0" pivotButton="0" quotePrefix="0" xfId="0"/>
    <xf numFmtId="4" fontId="105" fillId="12" borderId="0" applyAlignment="1" pivotButton="0" quotePrefix="0" xfId="0">
      <alignment horizontal="right"/>
    </xf>
    <xf numFmtId="0" fontId="29" fillId="0" borderId="35" applyAlignment="1" pivotButton="0" quotePrefix="0" xfId="0">
      <alignment horizontal="center" vertical="center" wrapText="1"/>
    </xf>
    <xf numFmtId="0" fontId="29" fillId="0" borderId="32" applyAlignment="1" pivotButton="0" quotePrefix="0" xfId="0">
      <alignment horizontal="center" vertical="center" wrapText="1"/>
    </xf>
    <xf numFmtId="0" fontId="29" fillId="0" borderId="39" applyAlignment="1" pivotButton="0" quotePrefix="0" xfId="0">
      <alignment horizontal="center" vertical="center" wrapText="1"/>
    </xf>
    <xf numFmtId="0" fontId="128" fillId="0" borderId="36" applyAlignment="1" pivotButton="0" quotePrefix="1" xfId="106">
      <alignment horizontal="left" vertical="center" indent="1"/>
    </xf>
    <xf numFmtId="0" fontId="0" fillId="0" borderId="36" pivotButton="0" quotePrefix="0" xfId="0"/>
    <xf numFmtId="0" fontId="15" fillId="0" borderId="43" applyAlignment="1" pivotButton="0" quotePrefix="1" xfId="109">
      <alignment horizontal="left" vertical="center" indent="1"/>
    </xf>
    <xf numFmtId="0" fontId="129" fillId="0" borderId="36" applyAlignment="1" pivotButton="0" quotePrefix="1" xfId="108">
      <alignment horizontal="left" vertical="center" wrapText="1" indent="2"/>
    </xf>
    <xf numFmtId="0" fontId="129" fillId="0" borderId="36" applyAlignment="1" pivotButton="0" quotePrefix="1" xfId="107">
      <alignment horizontal="left" vertical="center" wrapText="1" indent="2"/>
    </xf>
    <xf numFmtId="0" fontId="130" fillId="0" borderId="36" applyAlignment="1" pivotButton="0" quotePrefix="1" xfId="107">
      <alignment horizontal="left" vertical="center" indent="10"/>
    </xf>
    <xf numFmtId="0" fontId="130" fillId="0" borderId="36" applyAlignment="1" pivotButton="0" quotePrefix="1" xfId="107">
      <alignment horizontal="left" vertical="center" indent="12"/>
    </xf>
    <xf numFmtId="0" fontId="115" fillId="12" borderId="24" applyAlignment="1" pivotButton="0" quotePrefix="0" xfId="104">
      <alignment horizontal="center" vertical="center" wrapText="1"/>
    </xf>
    <xf numFmtId="168" fontId="20" fillId="0" borderId="0" pivotButton="0" quotePrefix="0" xfId="0"/>
    <xf numFmtId="0" fontId="28" fillId="3" borderId="43" applyAlignment="1" pivotButton="0" quotePrefix="0" xfId="0">
      <alignment horizontal="center"/>
    </xf>
    <xf numFmtId="0" fontId="28" fillId="4" borderId="43" applyAlignment="1" pivotButton="0" quotePrefix="0" xfId="0">
      <alignment horizontal="center"/>
    </xf>
    <xf numFmtId="0" fontId="29" fillId="5" borderId="43" applyAlignment="1" pivotButton="0" quotePrefix="0" xfId="0">
      <alignment horizontal="center" vertical="center" wrapText="1"/>
    </xf>
    <xf numFmtId="0" fontId="64" fillId="0" borderId="0" applyAlignment="1" pivotButton="0" quotePrefix="1" xfId="0">
      <alignment vertical="center"/>
    </xf>
    <xf numFmtId="4" fontId="29" fillId="5" borderId="43" applyAlignment="1" pivotButton="0" quotePrefix="0" xfId="0">
      <alignment horizontal="center" vertical="center" wrapText="1"/>
    </xf>
    <xf numFmtId="0" fontId="32" fillId="0" borderId="0" applyAlignment="1" pivotButton="0" quotePrefix="0" xfId="0">
      <alignment horizontal="right"/>
    </xf>
    <xf numFmtId="0" fontId="32" fillId="0" borderId="0" applyAlignment="1" pivotButton="0" quotePrefix="0" xfId="96">
      <alignment horizontal="right"/>
    </xf>
    <xf numFmtId="0" fontId="25" fillId="0" borderId="0" applyAlignment="1" pivotButton="0" quotePrefix="0" xfId="96">
      <alignment horizontal="right" vertical="center"/>
    </xf>
    <xf numFmtId="49" fontId="43" fillId="0" borderId="0" applyAlignment="1" pivotButton="0" quotePrefix="0" xfId="96">
      <alignment horizontal="left" vertical="center"/>
    </xf>
    <xf numFmtId="49" fontId="49" fillId="0" borderId="0" applyAlignment="1" pivotButton="0" quotePrefix="0" xfId="96">
      <alignment horizontal="left" vertical="center"/>
    </xf>
    <xf numFmtId="49" fontId="53" fillId="0" borderId="38" applyAlignment="1" pivotButton="0" quotePrefix="0" xfId="0">
      <alignment horizontal="center" vertical="center"/>
    </xf>
    <xf numFmtId="0" fontId="28" fillId="0" borderId="38" applyAlignment="1" pivotButton="0" quotePrefix="0" xfId="0">
      <alignment horizontal="left" vertical="center" wrapText="1" indent="6"/>
    </xf>
    <xf numFmtId="0" fontId="15" fillId="0" borderId="36" applyAlignment="1" pivotButton="0" quotePrefix="1" xfId="107">
      <alignment horizontal="left" vertical="center" wrapText="1" indent="2"/>
    </xf>
    <xf numFmtId="168" fontId="0" fillId="0" borderId="0" pivotButton="0" quotePrefix="0" xfId="0"/>
    <xf numFmtId="0" fontId="64" fillId="0" borderId="36" applyAlignment="1" pivotButton="0" quotePrefix="1" xfId="107">
      <alignment horizontal="left" vertical="center" wrapText="1" indent="2"/>
    </xf>
    <xf numFmtId="2" fontId="46" fillId="0" borderId="0" applyAlignment="1" pivotButton="0" quotePrefix="0" xfId="0">
      <alignment horizontal="left" vertical="top" wrapText="1" indent="6"/>
    </xf>
    <xf numFmtId="49" fontId="28" fillId="0" borderId="8" applyAlignment="1" pivotButton="0" quotePrefix="0" xfId="0">
      <alignment vertical="center"/>
    </xf>
    <xf numFmtId="0" fontId="46" fillId="0" borderId="0" applyAlignment="1" pivotButton="0" quotePrefix="0" xfId="96">
      <alignment horizontal="left" vertical="center" indent="8"/>
    </xf>
    <xf numFmtId="0" fontId="43" fillId="0" borderId="0" applyAlignment="1" pivotButton="0" quotePrefix="0" xfId="96">
      <alignment horizontal="left" vertical="center" wrapText="1" indent="2"/>
    </xf>
    <xf numFmtId="2" fontId="28" fillId="0" borderId="0" applyAlignment="1" pivotButton="0" quotePrefix="0" xfId="0">
      <alignment horizontal="left" vertical="top" wrapText="1" indent="8"/>
    </xf>
    <xf numFmtId="0" fontId="28" fillId="3" borderId="44" applyAlignment="1" pivotButton="0" quotePrefix="0" xfId="0">
      <alignment horizontal="center"/>
    </xf>
    <xf numFmtId="49" fontId="20" fillId="0" borderId="12" applyAlignment="1" pivotButton="0" quotePrefix="0" xfId="96">
      <alignment horizontal="left" vertical="center"/>
    </xf>
    <xf numFmtId="2" fontId="28" fillId="0" borderId="12" applyAlignment="1" pivotButton="0" quotePrefix="0" xfId="0">
      <alignment horizontal="left" vertical="top" wrapText="1" indent="8"/>
    </xf>
    <xf numFmtId="0" fontId="47" fillId="0" borderId="0" applyAlignment="1" pivotButton="0" quotePrefix="0" xfId="96">
      <alignment horizontal="left" vertical="center" indent="4"/>
    </xf>
    <xf numFmtId="0" fontId="20" fillId="0" borderId="0" applyAlignment="1" pivotButton="0" quotePrefix="0" xfId="96">
      <alignment horizontal="left" vertical="center" wrapText="1"/>
    </xf>
    <xf numFmtId="0" fontId="43" fillId="0" borderId="0" applyAlignment="1" pivotButton="0" quotePrefix="0" xfId="96">
      <alignment horizontal="left" vertical="center" indent="4"/>
    </xf>
    <xf numFmtId="0" fontId="20" fillId="0" borderId="0" applyAlignment="1" pivotButton="0" quotePrefix="0" xfId="96">
      <alignment horizontal="left" vertical="center" indent="4"/>
    </xf>
    <xf numFmtId="0" fontId="46" fillId="0" borderId="0" applyAlignment="1" pivotButton="0" quotePrefix="0" xfId="96">
      <alignment horizontal="left" vertical="center" indent="4"/>
    </xf>
    <xf numFmtId="0" fontId="50" fillId="0" borderId="0" applyAlignment="1" pivotButton="0" quotePrefix="0" xfId="96">
      <alignment horizontal="right" vertical="center" indent="4"/>
    </xf>
    <xf numFmtId="0" fontId="29" fillId="13" borderId="43" applyAlignment="1" pivotButton="0" quotePrefix="0" xfId="0">
      <alignment horizontal="center" vertical="center" wrapText="1"/>
    </xf>
    <xf numFmtId="0" fontId="29" fillId="13" borderId="36" applyAlignment="1" pivotButton="0" quotePrefix="0" xfId="0">
      <alignment horizontal="center" vertical="center" wrapText="1"/>
    </xf>
    <xf numFmtId="0" fontId="28" fillId="0" borderId="35" applyAlignment="1" pivotButton="0" quotePrefix="0" xfId="0">
      <alignment horizontal="left" vertical="center" wrapText="1" indent="2"/>
    </xf>
    <xf numFmtId="49" fontId="23" fillId="0" borderId="0" applyAlignment="1" pivotButton="0" quotePrefix="0" xfId="0">
      <alignment horizontal="left" vertical="center"/>
    </xf>
    <xf numFmtId="0" fontId="0" fillId="0" borderId="0" pivotButton="0" quotePrefix="0" xfId="0"/>
    <xf numFmtId="0" fontId="31" fillId="0" borderId="0" applyAlignment="1" pivotButton="0" quotePrefix="0" xfId="0">
      <alignment horizontal="left" vertical="center" wrapText="1"/>
    </xf>
    <xf numFmtId="0" fontId="30"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0" fillId="0" borderId="8" pivotButton="0" quotePrefix="0" xfId="0"/>
    <xf numFmtId="0" fontId="0" fillId="0" borderId="6" pivotButton="0" quotePrefix="0" xfId="0"/>
    <xf numFmtId="0" fontId="0" fillId="0" borderId="9" pivotButton="0" quotePrefix="0" xfId="0"/>
    <xf numFmtId="0" fontId="25" fillId="0" borderId="0" applyAlignment="1" pivotButton="0" quotePrefix="0" xfId="0">
      <alignment horizontal="left" vertical="center" wrapText="1"/>
    </xf>
    <xf numFmtId="0" fontId="43" fillId="0" borderId="0" applyAlignment="1" pivotButton="0" quotePrefix="0" xfId="96">
      <alignment horizontal="left" vertical="center" wrapText="1"/>
    </xf>
    <xf numFmtId="0" fontId="46" fillId="0" borderId="0" applyAlignment="1" pivotButton="0" quotePrefix="0" xfId="96">
      <alignment horizontal="left" vertical="center" wrapText="1" indent="2"/>
    </xf>
    <xf numFmtId="0" fontId="46" fillId="0" borderId="0" applyAlignment="1" pivotButton="0" quotePrefix="0" xfId="96">
      <alignment horizontal="left" vertical="center" indent="6"/>
    </xf>
    <xf numFmtId="0" fontId="20" fillId="0" borderId="0" applyAlignment="1" pivotButton="0" quotePrefix="0" xfId="0">
      <alignment horizontal="left" vertical="center" wrapText="1" indent="1"/>
    </xf>
    <xf numFmtId="0" fontId="28" fillId="0" borderId="0" applyAlignment="1" pivotButton="0" quotePrefix="0" xfId="0">
      <alignment horizontal="left" vertical="center" wrapText="1" indent="2"/>
    </xf>
    <xf numFmtId="0" fontId="43" fillId="0" borderId="0" applyAlignment="1" pivotButton="0" quotePrefix="0" xfId="96">
      <alignment horizontal="left" vertical="center"/>
    </xf>
    <xf numFmtId="0" fontId="53" fillId="0" borderId="0" applyAlignment="1" pivotButton="0" quotePrefix="0" xfId="0">
      <alignment horizontal="left" vertical="center" wrapText="1" indent="2"/>
    </xf>
    <xf numFmtId="49" fontId="20" fillId="0" borderId="0" applyAlignment="1" pivotButton="0" quotePrefix="0" xfId="96">
      <alignment horizontal="left" vertical="center"/>
    </xf>
    <xf numFmtId="0" fontId="104" fillId="0" borderId="0" pivotButton="0" quotePrefix="0" xfId="0"/>
    <xf numFmtId="0" fontId="43" fillId="0" borderId="8" applyAlignment="1" pivotButton="0" quotePrefix="0" xfId="0">
      <alignment horizontal="left" vertical="center" wrapText="1" indent="1"/>
    </xf>
    <xf numFmtId="0" fontId="28" fillId="0" borderId="8" applyAlignment="1" pivotButton="0" quotePrefix="0" xfId="0">
      <alignment horizontal="left" vertical="center" wrapText="1" indent="4"/>
    </xf>
    <xf numFmtId="0" fontId="20" fillId="0" borderId="8" applyAlignment="1" pivotButton="0" quotePrefix="0" xfId="0">
      <alignment horizontal="left" vertical="center" wrapText="1" indent="1"/>
    </xf>
    <xf numFmtId="49" fontId="28" fillId="0" borderId="8" applyAlignment="1" pivotButton="0" quotePrefix="0" xfId="0">
      <alignment horizontal="center" vertical="center"/>
    </xf>
    <xf numFmtId="49" fontId="43" fillId="0" borderId="8" applyAlignment="1" pivotButton="0" quotePrefix="0" xfId="0">
      <alignment horizontal="center" vertical="center"/>
    </xf>
    <xf numFmtId="0" fontId="46" fillId="0" borderId="8" applyAlignment="1" pivotButton="0" quotePrefix="0" xfId="0">
      <alignment horizontal="left" vertical="center" wrapText="1" indent="2"/>
    </xf>
    <xf numFmtId="0" fontId="49" fillId="0" borderId="8" applyAlignment="1" pivotButton="0" quotePrefix="0" xfId="0">
      <alignment horizontal="left" vertical="center" wrapText="1" indent="3"/>
    </xf>
    <xf numFmtId="0" fontId="28" fillId="0" borderId="0" pivotButton="0" quotePrefix="0" xfId="0"/>
    <xf numFmtId="0" fontId="28" fillId="0" borderId="0" applyAlignment="1" pivotButton="0" quotePrefix="0" xfId="0">
      <alignment horizontal="center"/>
    </xf>
    <xf numFmtId="49" fontId="46" fillId="0" borderId="8" applyAlignment="1" pivotButton="0" quotePrefix="0" xfId="0">
      <alignment horizontal="center" vertical="center"/>
    </xf>
    <xf numFmtId="0" fontId="30" fillId="0" borderId="38" applyAlignment="1" pivotButton="0" quotePrefix="1" xfId="0">
      <alignment horizontal="center" vertical="center" wrapText="1"/>
    </xf>
    <xf numFmtId="0" fontId="35" fillId="0" borderId="35" applyAlignment="1" pivotButton="0" quotePrefix="0" xfId="0">
      <alignment horizontal="center" vertical="center"/>
    </xf>
    <xf numFmtId="0" fontId="30" fillId="0" borderId="35" applyAlignment="1" pivotButton="0" quotePrefix="0" xfId="0">
      <alignment horizontal="center" vertical="center"/>
    </xf>
    <xf numFmtId="0" fontId="30" fillId="0" borderId="38" applyAlignment="1" pivotButton="0" quotePrefix="1" xfId="0">
      <alignment horizontal="left" vertical="center" wrapText="1" indent="2"/>
    </xf>
    <xf numFmtId="0" fontId="32" fillId="0" borderId="35" applyAlignment="1" pivotButton="0" quotePrefix="0" xfId="0">
      <alignment horizontal="center" vertical="center"/>
    </xf>
    <xf numFmtId="0" fontId="25" fillId="0" borderId="38" applyAlignment="1" pivotButton="0" quotePrefix="0" xfId="0">
      <alignment horizontal="left" vertical="center" wrapText="1" indent="1"/>
    </xf>
    <xf numFmtId="0" fontId="32" fillId="0" borderId="38" applyAlignment="1" pivotButton="0" quotePrefix="1" xfId="0">
      <alignment horizontal="left" vertical="center" wrapText="1" indent="2"/>
    </xf>
    <xf numFmtId="0" fontId="32" fillId="0" borderId="38" applyAlignment="1" pivotButton="0" quotePrefix="1" xfId="0">
      <alignment horizontal="left" vertical="center" wrapText="1" indent="3"/>
    </xf>
    <xf numFmtId="0" fontId="32" fillId="0" borderId="38" applyAlignment="1" pivotButton="0" quotePrefix="0" xfId="0">
      <alignment horizontal="left" vertical="center" wrapText="1" indent="2"/>
    </xf>
    <xf numFmtId="0" fontId="25" fillId="0" borderId="38" applyAlignment="1" pivotButton="0" quotePrefix="1" xfId="0">
      <alignment horizontal="left" vertical="center" wrapText="1" indent="1"/>
    </xf>
    <xf numFmtId="0" fontId="35" fillId="0" borderId="38" applyAlignment="1" pivotButton="0" quotePrefix="0" xfId="0">
      <alignment horizontal="left" vertical="center" wrapText="1" indent="1"/>
    </xf>
    <xf numFmtId="0" fontId="61" fillId="0" borderId="0" pivotButton="0" quotePrefix="0" xfId="0"/>
    <xf numFmtId="0" fontId="35" fillId="0" borderId="38" applyAlignment="1" pivotButton="0" quotePrefix="1" xfId="0">
      <alignment horizontal="left" vertical="center" wrapText="1" indent="1"/>
    </xf>
    <xf numFmtId="0" fontId="25" fillId="0" borderId="38" applyAlignment="1" pivotButton="0" quotePrefix="0" xfId="0">
      <alignment horizontal="left" vertical="center" indent="1"/>
    </xf>
    <xf numFmtId="0" fontId="30" fillId="0" borderId="38" applyAlignment="1" pivotButton="0" quotePrefix="0" xfId="0">
      <alignment horizontal="left" vertical="center" wrapText="1" indent="2"/>
    </xf>
    <xf numFmtId="0" fontId="25" fillId="0" borderId="35" applyAlignment="1" pivotButton="0" quotePrefix="0" xfId="0">
      <alignment horizontal="center" vertical="center"/>
    </xf>
    <xf numFmtId="0" fontId="60" fillId="0" borderId="38" applyAlignment="1" pivotButton="0" quotePrefix="0" xfId="0">
      <alignment horizontal="center" vertical="center"/>
    </xf>
    <xf numFmtId="0" fontId="50" fillId="0" borderId="38" applyAlignment="1" pivotButton="0" quotePrefix="0" xfId="0">
      <alignment horizontal="left" vertical="center" wrapText="1" indent="4"/>
    </xf>
    <xf numFmtId="0" fontId="55" fillId="0" borderId="0" applyAlignment="1" pivotButton="0" quotePrefix="0" xfId="0">
      <alignment horizontal="left" wrapText="1"/>
    </xf>
    <xf numFmtId="0" fontId="46" fillId="0" borderId="0" pivotButton="0" quotePrefix="0" xfId="0"/>
    <xf numFmtId="49" fontId="28" fillId="0" borderId="38" applyAlignment="1" pivotButton="0" quotePrefix="0" xfId="0">
      <alignment horizontal="center" vertical="center"/>
    </xf>
    <xf numFmtId="0" fontId="47" fillId="0" borderId="8" applyAlignment="1" pivotButton="0" quotePrefix="0" xfId="0">
      <alignment horizontal="left" vertical="center" wrapText="1" indent="2"/>
    </xf>
    <xf numFmtId="0" fontId="50" fillId="0" borderId="38" applyAlignment="1" pivotButton="0" quotePrefix="0" xfId="0">
      <alignment horizontal="left" vertical="center" wrapText="1" indent="2"/>
    </xf>
    <xf numFmtId="49" fontId="20" fillId="0" borderId="8" applyAlignment="1" pivotButton="0" quotePrefix="0" xfId="0">
      <alignment horizontal="center" vertical="center"/>
    </xf>
    <xf numFmtId="0" fontId="46" fillId="0" borderId="0" applyAlignment="1" pivotButton="0" quotePrefix="0" xfId="0">
      <alignment horizontal="center"/>
    </xf>
    <xf numFmtId="0" fontId="53" fillId="0" borderId="6" applyAlignment="1" pivotButton="0" quotePrefix="0" xfId="0">
      <alignment horizontal="left" vertical="center" wrapText="1" indent="2"/>
    </xf>
    <xf numFmtId="0" fontId="22" fillId="0" borderId="0" applyAlignment="1" pivotButton="0" quotePrefix="0" xfId="0">
      <alignment horizontal="left" vertical="center" wrapText="1" indent="2"/>
    </xf>
    <xf numFmtId="49" fontId="28" fillId="0" borderId="8" applyAlignment="1" pivotButton="0" quotePrefix="0" xfId="0">
      <alignment horizontal="center" vertical="center" wrapText="1"/>
    </xf>
    <xf numFmtId="0" fontId="20" fillId="0" borderId="6" applyAlignment="1" pivotButton="0" quotePrefix="0" xfId="0">
      <alignment horizontal="left" vertical="center" wrapText="1" indent="1"/>
    </xf>
    <xf numFmtId="0" fontId="49" fillId="0" borderId="11" applyAlignment="1" pivotButton="0" quotePrefix="0" xfId="0">
      <alignment horizontal="center" vertical="center"/>
    </xf>
    <xf numFmtId="0" fontId="49" fillId="0" borderId="8" applyAlignment="1" pivotButton="0" quotePrefix="0" xfId="0">
      <alignment horizontal="center" vertical="center"/>
    </xf>
    <xf numFmtId="0" fontId="28" fillId="0" borderId="8" applyAlignment="1" pivotButton="0" quotePrefix="0" xfId="0">
      <alignment horizontal="left" vertical="center" wrapText="1" indent="2"/>
    </xf>
    <xf numFmtId="0" fontId="47" fillId="0" borderId="0" applyAlignment="1" pivotButton="0" quotePrefix="0" xfId="0">
      <alignment horizontal="center"/>
    </xf>
    <xf numFmtId="0" fontId="46" fillId="0" borderId="14" applyAlignment="1" pivotButton="0" quotePrefix="0" xfId="0">
      <alignment horizontal="center" vertical="center" wrapText="1"/>
    </xf>
    <xf numFmtId="0" fontId="57" fillId="0" borderId="0" applyAlignment="1" pivotButton="0" quotePrefix="0" xfId="0">
      <alignment horizontal="center" vertical="center" wrapText="1"/>
    </xf>
    <xf numFmtId="49" fontId="20" fillId="0" borderId="11" applyAlignment="1" pivotButton="0" quotePrefix="0" xfId="0">
      <alignment horizontal="center" vertical="center"/>
    </xf>
    <xf numFmtId="0" fontId="28" fillId="0" borderId="8" applyAlignment="1" pivotButton="0" quotePrefix="0" xfId="0">
      <alignment horizontal="left" vertical="center" wrapText="1" indent="1"/>
    </xf>
    <xf numFmtId="0" fontId="20" fillId="0" borderId="8" applyAlignment="1" pivotButton="0" quotePrefix="0" xfId="0">
      <alignment horizontal="left" vertical="center" wrapText="1"/>
    </xf>
    <xf numFmtId="0" fontId="53" fillId="0" borderId="8" applyAlignment="1" pivotButton="0" quotePrefix="0" xfId="0">
      <alignment horizontal="left" vertical="center" wrapText="1" indent="1"/>
    </xf>
    <xf numFmtId="0" fontId="53" fillId="0" borderId="0" pivotButton="0" quotePrefix="0" xfId="0"/>
    <xf numFmtId="0" fontId="28" fillId="0" borderId="14" applyAlignment="1" pivotButton="0" quotePrefix="0" xfId="0">
      <alignment horizontal="center" vertical="center" wrapText="1"/>
    </xf>
    <xf numFmtId="0" fontId="28" fillId="0" borderId="14" applyAlignment="1" pivotButton="0" quotePrefix="0" xfId="0">
      <alignment horizontal="center" vertical="center"/>
    </xf>
    <xf numFmtId="0" fontId="53" fillId="0" borderId="8" applyAlignment="1" pivotButton="0" quotePrefix="0" xfId="0">
      <alignment horizontal="left" vertical="center" wrapText="1" indent="2"/>
    </xf>
    <xf numFmtId="0" fontId="53" fillId="0" borderId="0" applyAlignment="1" pivotButton="0" quotePrefix="0" xfId="0">
      <alignment horizontal="center" vertical="center" wrapText="1"/>
    </xf>
    <xf numFmtId="49" fontId="50" fillId="0" borderId="8" applyAlignment="1" pivotButton="0" quotePrefix="0" xfId="0">
      <alignment horizontal="center" vertical="center"/>
    </xf>
    <xf numFmtId="0" fontId="48" fillId="0" borderId="8" applyAlignment="1" pivotButton="0" quotePrefix="0" xfId="0">
      <alignment horizontal="left" vertical="center" wrapText="1" indent="1"/>
    </xf>
    <xf numFmtId="0" fontId="53" fillId="0" borderId="38" applyAlignment="1" pivotButton="0" quotePrefix="0" xfId="0">
      <alignment horizontal="left" vertical="center" wrapText="1" indent="3"/>
    </xf>
    <xf numFmtId="49" fontId="20" fillId="0" borderId="38" applyAlignment="1" pivotButton="0" quotePrefix="0" xfId="0">
      <alignment horizontal="center" vertical="center"/>
    </xf>
    <xf numFmtId="0" fontId="20" fillId="0" borderId="8" applyAlignment="1" pivotButton="0" quotePrefix="0" xfId="0">
      <alignment horizontal="left" vertical="center" wrapText="1" indent="2"/>
    </xf>
    <xf numFmtId="0" fontId="28" fillId="0" borderId="38" applyAlignment="1" pivotButton="0" quotePrefix="0" xfId="0">
      <alignment horizontal="center" vertical="center" wrapText="1"/>
    </xf>
    <xf numFmtId="0" fontId="50" fillId="0" borderId="11" applyAlignment="1" pivotButton="0" quotePrefix="0" xfId="0">
      <alignment horizontal="left" vertical="center" wrapText="1" indent="2"/>
    </xf>
    <xf numFmtId="0" fontId="53" fillId="0" borderId="8" applyAlignment="1" pivotButton="0" quotePrefix="0" xfId="0">
      <alignment horizontal="left" vertical="center" wrapText="1" indent="3"/>
    </xf>
    <xf numFmtId="0" fontId="22" fillId="0" borderId="8" applyAlignment="1" pivotButton="0" quotePrefix="0" xfId="0">
      <alignment horizontal="left" vertical="center" wrapText="1" indent="2"/>
    </xf>
    <xf numFmtId="0" fontId="28" fillId="0" borderId="0" applyAlignment="1" pivotButton="0" quotePrefix="0" xfId="0">
      <alignment horizontal="center" vertical="center"/>
    </xf>
    <xf numFmtId="0" fontId="28" fillId="0" borderId="36" applyAlignment="1" pivotButton="0" quotePrefix="0" xfId="0">
      <alignment horizontal="center" vertical="center"/>
    </xf>
    <xf numFmtId="0" fontId="43" fillId="0" borderId="38" applyAlignment="1" pivotButton="0" quotePrefix="0" xfId="0">
      <alignment horizontal="left" vertical="center" wrapText="1" indent="1"/>
    </xf>
    <xf numFmtId="0" fontId="60" fillId="0" borderId="35" applyAlignment="1" pivotButton="0" quotePrefix="0" xfId="0">
      <alignment horizontal="center" vertical="center"/>
    </xf>
    <xf numFmtId="0" fontId="50" fillId="0" borderId="8" applyAlignment="1" pivotButton="0" quotePrefix="0" xfId="0">
      <alignment horizontal="left" vertical="center" wrapText="1" indent="2"/>
    </xf>
    <xf numFmtId="0" fontId="46" fillId="0" borderId="8" applyAlignment="1" pivotButton="0" quotePrefix="1" xfId="0">
      <alignment horizontal="left" vertical="center" wrapText="1" indent="2"/>
    </xf>
    <xf numFmtId="0" fontId="20" fillId="0" borderId="8" applyAlignment="1" pivotButton="0" quotePrefix="0" xfId="0">
      <alignment horizontal="center" vertical="center"/>
    </xf>
    <xf numFmtId="0" fontId="48" fillId="0" borderId="8" applyAlignment="1" pivotButton="0" quotePrefix="0" xfId="0">
      <alignment horizontal="center" vertical="center"/>
    </xf>
    <xf numFmtId="49" fontId="22" fillId="0" borderId="8" applyAlignment="1" pivotButton="0" quotePrefix="0" xfId="0">
      <alignment horizontal="center" vertical="center"/>
    </xf>
    <xf numFmtId="49" fontId="43" fillId="0" borderId="38" applyAlignment="1" pivotButton="0" quotePrefix="0" xfId="0">
      <alignment horizontal="center" vertical="center"/>
    </xf>
    <xf numFmtId="49" fontId="46" fillId="0" borderId="38" applyAlignment="1" pivotButton="0" quotePrefix="0" xfId="0">
      <alignment horizontal="center" vertical="center"/>
    </xf>
    <xf numFmtId="0" fontId="28" fillId="0" borderId="38" applyAlignment="1" pivotButton="0" quotePrefix="0" xfId="0">
      <alignment horizontal="center" vertical="center"/>
    </xf>
    <xf numFmtId="0" fontId="28" fillId="0" borderId="8" applyAlignment="1" pivotButton="0" quotePrefix="0" xfId="0">
      <alignment horizontal="left" vertical="center" wrapText="1" indent="3"/>
    </xf>
    <xf numFmtId="0" fontId="43" fillId="0" borderId="38" applyAlignment="1" pivotButton="0" quotePrefix="0" xfId="0">
      <alignment horizontal="center" vertical="center"/>
    </xf>
    <xf numFmtId="0" fontId="26" fillId="0" borderId="0" pivotButton="0" quotePrefix="0" xfId="0"/>
    <xf numFmtId="0" fontId="26" fillId="0" borderId="0" applyAlignment="1" pivotButton="0" quotePrefix="0" xfId="0">
      <alignment horizontal="center"/>
    </xf>
    <xf numFmtId="0" fontId="31" fillId="0" borderId="0" applyAlignment="1" pivotButton="0" quotePrefix="0" xfId="0">
      <alignment horizontal="left" vertical="center" wrapText="1"/>
    </xf>
    <xf numFmtId="0" fontId="0" fillId="0" borderId="0" pivotButton="0" quotePrefix="0" xfId="0"/>
    <xf numFmtId="0" fontId="32" fillId="0" borderId="7" applyAlignment="1" pivotButton="0" quotePrefix="0" xfId="96">
      <alignment horizontal="right" vertical="center"/>
    </xf>
    <xf numFmtId="0" fontId="0" fillId="0" borderId="7" pivotButton="0" quotePrefix="0" xfId="0"/>
    <xf numFmtId="0" fontId="25" fillId="0" borderId="0" applyAlignment="1" pivotButton="0" quotePrefix="0" xfId="98">
      <alignment horizontal="left" vertical="center"/>
    </xf>
    <xf numFmtId="0" fontId="23" fillId="0" borderId="0" applyAlignment="1" pivotButton="0" quotePrefix="0" xfId="0">
      <alignment horizontal="left" vertical="center" wrapText="1"/>
    </xf>
    <xf numFmtId="49" fontId="23" fillId="0" borderId="0" applyAlignment="1" pivotButton="0" quotePrefix="0" xfId="0">
      <alignment horizontal="left" vertical="center"/>
    </xf>
    <xf numFmtId="0" fontId="20" fillId="0" borderId="2" applyAlignment="1" pivotButton="0" quotePrefix="0" xfId="0">
      <alignment horizontal="center" vertical="center" wrapText="1"/>
    </xf>
    <xf numFmtId="0" fontId="0" fillId="0" borderId="11" pivotButton="0" quotePrefix="0" xfId="0"/>
    <xf numFmtId="0" fontId="25" fillId="0" borderId="0" applyAlignment="1" pivotButton="0" quotePrefix="0" xfId="0">
      <alignment horizontal="left" vertical="center" wrapText="1"/>
    </xf>
    <xf numFmtId="0" fontId="32" fillId="0" borderId="7" applyAlignment="1" pivotButton="0" quotePrefix="0" xfId="96">
      <alignment horizontal="right" vertical="center" wrapText="1"/>
    </xf>
    <xf numFmtId="0" fontId="30" fillId="0" borderId="0" applyAlignment="1" pivotButton="0" quotePrefix="0" xfId="0">
      <alignment horizontal="left" vertical="center" wrapText="1"/>
    </xf>
    <xf numFmtId="0" fontId="23" fillId="0" borderId="2" applyAlignment="1" pivotButton="0" quotePrefix="0" xfId="0">
      <alignment horizontal="center" vertical="center" wrapText="1"/>
    </xf>
    <xf numFmtId="0" fontId="0" fillId="0" borderId="8" pivotButton="0" quotePrefix="0" xfId="0"/>
    <xf numFmtId="0" fontId="25" fillId="0" borderId="2" applyAlignment="1" pivotButton="0" quotePrefix="0" xfId="0">
      <alignment horizontal="center" vertical="center"/>
    </xf>
    <xf numFmtId="0" fontId="0" fillId="0" borderId="3" pivotButton="0" quotePrefix="0" xfId="0"/>
    <xf numFmtId="0" fontId="0" fillId="0" borderId="6" pivotButton="0" quotePrefix="0" xfId="0"/>
    <xf numFmtId="0" fontId="0" fillId="0" borderId="9" pivotButton="0" quotePrefix="0" xfId="0"/>
    <xf numFmtId="0" fontId="0" fillId="0" borderId="10" pivotButton="0" quotePrefix="0" xfId="0"/>
    <xf numFmtId="0" fontId="33" fillId="0" borderId="0" applyAlignment="1" pivotButton="0" quotePrefix="0" xfId="98">
      <alignment horizontal="left" vertical="center" wrapText="1"/>
    </xf>
    <xf numFmtId="165" fontId="30" fillId="0" borderId="7" applyAlignment="1" pivotButton="0" quotePrefix="0" xfId="96">
      <alignment horizontal="right" vertical="center"/>
    </xf>
    <xf numFmtId="0" fontId="20" fillId="0" borderId="2" applyAlignment="1" pivotButton="0" quotePrefix="0" xfId="0">
      <alignment horizontal="center" vertical="center"/>
    </xf>
    <xf numFmtId="0" fontId="0" fillId="0" borderId="4" pivotButton="0" quotePrefix="0" xfId="0"/>
    <xf numFmtId="0" fontId="0" fillId="0" borderId="5" pivotButton="0" quotePrefix="0" xfId="0"/>
    <xf numFmtId="0" fontId="30" fillId="0" borderId="0" applyAlignment="1" pivotButton="0" quotePrefix="0" xfId="0">
      <alignment horizontal="left" vertical="center" wrapText="1" indent="5"/>
    </xf>
    <xf numFmtId="0" fontId="25" fillId="0" borderId="0" applyAlignment="1" pivotButton="0" quotePrefix="0" xfId="98">
      <alignment horizontal="left" vertical="center" indent="3"/>
    </xf>
    <xf numFmtId="0" fontId="23" fillId="0" borderId="0" applyAlignment="1" pivotButton="0" quotePrefix="0" xfId="0">
      <alignment horizontal="left" vertical="center" wrapText="1" indent="2"/>
    </xf>
    <xf numFmtId="0" fontId="30" fillId="0" borderId="0" applyAlignment="1" pivotButton="0" quotePrefix="0" xfId="0">
      <alignment horizontal="left" vertical="center" wrapText="1" indent="7"/>
    </xf>
    <xf numFmtId="0" fontId="30" fillId="0" borderId="0" applyAlignment="1" pivotButton="0" quotePrefix="0" xfId="0">
      <alignment horizontal="left" vertical="center" wrapText="1" indent="6"/>
    </xf>
    <xf numFmtId="0" fontId="24" fillId="0" borderId="0" applyAlignment="1" pivotButton="0" quotePrefix="0" xfId="96">
      <alignment horizontal="left" vertical="center"/>
    </xf>
    <xf numFmtId="0" fontId="115" fillId="12" borderId="43" applyAlignment="1" pivotButton="0" quotePrefix="0" xfId="104">
      <alignment horizontal="center" vertical="center" wrapText="1"/>
    </xf>
    <xf numFmtId="0" fontId="0" fillId="0" borderId="33" pivotButton="0" quotePrefix="0" xfId="0"/>
    <xf numFmtId="0" fontId="0" fillId="0" borderId="34" pivotButton="0" quotePrefix="0" xfId="0"/>
    <xf numFmtId="0" fontId="115" fillId="12" borderId="30" applyAlignment="1" pivotButton="0" quotePrefix="0" xfId="104">
      <alignment horizontal="center" vertical="center" wrapText="1"/>
    </xf>
    <xf numFmtId="0" fontId="0" fillId="0" borderId="31" pivotButton="0" quotePrefix="0" xfId="0"/>
    <xf numFmtId="0" fontId="0" fillId="0" borderId="32" pivotButton="0" quotePrefix="0" xfId="0"/>
    <xf numFmtId="0" fontId="115" fillId="12" borderId="2" applyAlignment="1" pivotButton="0" quotePrefix="0" xfId="104">
      <alignment horizontal="center" vertical="center" wrapText="1"/>
    </xf>
    <xf numFmtId="0" fontId="121" fillId="0" borderId="11" applyAlignment="1" pivotButton="0" quotePrefix="0" xfId="0">
      <alignment horizontal="center" vertical="center"/>
    </xf>
    <xf numFmtId="0" fontId="46" fillId="0" borderId="0" applyAlignment="1" pivotButton="0" quotePrefix="0" xfId="96">
      <alignment horizontal="left" vertical="center" indent="6"/>
    </xf>
    <xf numFmtId="0" fontId="43" fillId="0" borderId="0" applyAlignment="1" pivotButton="0" quotePrefix="0" xfId="96">
      <alignment horizontal="left" vertical="center" wrapText="1"/>
    </xf>
    <xf numFmtId="0" fontId="46" fillId="0" borderId="0" applyAlignment="1" pivotButton="0" quotePrefix="0" xfId="96">
      <alignment horizontal="left" vertical="center" wrapText="1" indent="2"/>
    </xf>
    <xf numFmtId="0" fontId="53" fillId="0" borderId="0" applyAlignment="1" pivotButton="0" quotePrefix="0" xfId="0">
      <alignment horizontal="left" vertical="center" wrapText="1" indent="2"/>
    </xf>
    <xf numFmtId="0" fontId="43" fillId="0" borderId="0" applyAlignment="1" pivotButton="0" quotePrefix="0" xfId="96">
      <alignment horizontal="left" vertical="center"/>
    </xf>
    <xf numFmtId="0" fontId="43" fillId="0" borderId="2" applyAlignment="1" pivotButton="0" quotePrefix="0" xfId="96">
      <alignment horizontal="center" vertical="center"/>
    </xf>
    <xf numFmtId="0" fontId="43" fillId="0" borderId="0" applyAlignment="1" pivotButton="0" quotePrefix="0" xfId="96">
      <alignment horizontal="left" vertical="center" wrapText="1" indent="1"/>
    </xf>
    <xf numFmtId="0" fontId="20" fillId="0" borderId="0" applyAlignment="1" pivotButton="0" quotePrefix="0" xfId="0">
      <alignment horizontal="left" vertical="center" wrapText="1" indent="1"/>
    </xf>
    <xf numFmtId="0" fontId="43" fillId="0" borderId="2" applyAlignment="1" pivotButton="0" quotePrefix="0" xfId="96">
      <alignment horizontal="center" vertical="center" wrapText="1"/>
    </xf>
    <xf numFmtId="49" fontId="43" fillId="0" borderId="0" applyAlignment="1" pivotButton="0" quotePrefix="0" xfId="96">
      <alignment horizontal="center" vertical="center"/>
    </xf>
    <xf numFmtId="0" fontId="28" fillId="0" borderId="0" applyAlignment="1" pivotButton="0" quotePrefix="0" xfId="0">
      <alignment horizontal="left" vertical="center" wrapText="1" indent="2"/>
    </xf>
    <xf numFmtId="49" fontId="20" fillId="0" borderId="0" applyAlignment="1" pivotButton="0" quotePrefix="0" xfId="96">
      <alignment horizontal="left" vertical="center"/>
    </xf>
    <xf numFmtId="49" fontId="20" fillId="0" borderId="2" applyAlignment="1" pivotButton="0" quotePrefix="0" xfId="96">
      <alignment horizontal="center" vertical="center"/>
    </xf>
    <xf numFmtId="0" fontId="48" fillId="0" borderId="0" applyAlignment="1" pivotButton="0" quotePrefix="0" xfId="96">
      <alignment horizontal="center" vertical="center" wrapText="1"/>
    </xf>
    <xf numFmtId="0" fontId="104" fillId="0" borderId="0" pivotButton="0" quotePrefix="0" xfId="0"/>
    <xf numFmtId="0" fontId="43" fillId="0" borderId="36" applyAlignment="1" pivotButton="0" quotePrefix="0" xfId="105">
      <alignment horizontal="center" vertical="center" wrapText="1"/>
    </xf>
    <xf numFmtId="0" fontId="0" fillId="0" borderId="37" pivotButton="0" quotePrefix="0" xfId="0"/>
    <xf numFmtId="0" fontId="48" fillId="0" borderId="0" applyAlignment="1" pivotButton="0" quotePrefix="0" xfId="105">
      <alignment horizontal="left" vertical="center" wrapText="1"/>
    </xf>
    <xf numFmtId="0" fontId="124" fillId="0" borderId="5" applyAlignment="1" pivotButton="0" quotePrefix="0" xfId="0">
      <alignment horizontal="center" vertical="center" wrapText="1"/>
    </xf>
    <xf numFmtId="0" fontId="124" fillId="0" borderId="30" applyAlignment="1" pivotButton="0" quotePrefix="0" xfId="0">
      <alignment horizontal="center" vertical="center" wrapText="1"/>
    </xf>
    <xf numFmtId="0" fontId="0" fillId="0" borderId="39" pivotButton="0" quotePrefix="0" xfId="0"/>
    <xf numFmtId="0" fontId="124" fillId="0" borderId="5" applyAlignment="1" pivotButton="0" quotePrefix="0" xfId="0">
      <alignment horizontal="center" vertical="center"/>
    </xf>
    <xf numFmtId="0" fontId="20" fillId="0" borderId="30" applyAlignment="1" pivotButton="0" quotePrefix="0" xfId="0">
      <alignment horizontal="center" vertical="center" wrapText="1"/>
    </xf>
    <xf numFmtId="0" fontId="0" fillId="0" borderId="38" pivotButton="0" quotePrefix="0" xfId="0"/>
    <xf numFmtId="0" fontId="43" fillId="0" borderId="8" applyAlignment="1" pivotButton="0" quotePrefix="0" xfId="0">
      <alignment horizontal="left" vertical="center" wrapText="1" indent="1"/>
    </xf>
    <xf numFmtId="0" fontId="28" fillId="0" borderId="8" applyAlignment="1" pivotButton="0" quotePrefix="0" xfId="0">
      <alignment horizontal="left" vertical="center" wrapText="1" indent="4"/>
    </xf>
    <xf numFmtId="0" fontId="20" fillId="0" borderId="8" applyAlignment="1" pivotButton="0" quotePrefix="0" xfId="0">
      <alignment horizontal="left" vertical="center" wrapText="1" indent="1"/>
    </xf>
    <xf numFmtId="0" fontId="46" fillId="0" borderId="8" applyAlignment="1" pivotButton="0" quotePrefix="0" xfId="0">
      <alignment horizontal="left" vertical="center" wrapText="1" indent="2"/>
    </xf>
    <xf numFmtId="0" fontId="28" fillId="0" borderId="2" applyAlignment="1" pivotButton="0" quotePrefix="0" xfId="0">
      <alignment horizontal="center" vertical="center"/>
    </xf>
    <xf numFmtId="49" fontId="43" fillId="0" borderId="8" applyAlignment="1" pivotButton="0" quotePrefix="0" xfId="0">
      <alignment horizontal="center" vertical="center"/>
    </xf>
    <xf numFmtId="0" fontId="46" fillId="0" borderId="2" applyAlignment="1" pivotButton="0" quotePrefix="0" xfId="0">
      <alignment horizontal="center" vertical="center" wrapText="1"/>
    </xf>
    <xf numFmtId="49" fontId="46" fillId="0" borderId="8" applyAlignment="1" pivotButton="0" quotePrefix="0" xfId="0">
      <alignment horizontal="center" vertical="center"/>
    </xf>
    <xf numFmtId="49" fontId="28" fillId="0" borderId="8" applyAlignment="1" pivotButton="0" quotePrefix="0" xfId="0">
      <alignment horizontal="center" vertical="center"/>
    </xf>
    <xf numFmtId="0" fontId="54" fillId="0" borderId="0" applyAlignment="1" pivotButton="0" quotePrefix="0" xfId="0">
      <alignment horizontal="left" vertical="center"/>
    </xf>
    <xf numFmtId="0" fontId="28" fillId="0" borderId="0" pivotButton="0" quotePrefix="0" xfId="0"/>
    <xf numFmtId="0" fontId="28" fillId="0" borderId="0" applyAlignment="1" pivotButton="0" quotePrefix="0" xfId="0">
      <alignment horizontal="center"/>
    </xf>
    <xf numFmtId="0" fontId="49" fillId="0" borderId="8" applyAlignment="1" pivotButton="0" quotePrefix="0" xfId="0">
      <alignment horizontal="left" vertical="center" wrapText="1" indent="3"/>
    </xf>
    <xf numFmtId="0" fontId="30" fillId="0" borderId="38" applyAlignment="1" pivotButton="0" quotePrefix="0" xfId="0">
      <alignment horizontal="center" vertical="center"/>
    </xf>
    <xf numFmtId="0" fontId="30" fillId="0" borderId="38" applyAlignment="1" pivotButton="0" quotePrefix="1" xfId="0">
      <alignment horizontal="left" vertical="center" wrapText="1" indent="2"/>
    </xf>
    <xf numFmtId="0" fontId="32" fillId="0" borderId="35" applyAlignment="1" pivotButton="0" quotePrefix="0" xfId="0">
      <alignment horizontal="center" vertical="center"/>
    </xf>
    <xf numFmtId="0" fontId="0" fillId="0" borderId="35" pivotButton="0" quotePrefix="0" xfId="0"/>
    <xf numFmtId="0" fontId="25" fillId="0" borderId="38" applyAlignment="1" pivotButton="0" quotePrefix="0" xfId="0">
      <alignment horizontal="left" vertical="center" wrapText="1" indent="1"/>
    </xf>
    <xf numFmtId="0" fontId="32" fillId="0" borderId="38" applyAlignment="1" pivotButton="0" quotePrefix="1" xfId="0">
      <alignment horizontal="left" vertical="center" wrapText="1" indent="2"/>
    </xf>
    <xf numFmtId="0" fontId="25" fillId="0" borderId="38" applyAlignment="1" pivotButton="0" quotePrefix="0" xfId="0">
      <alignment horizontal="center" vertical="center"/>
    </xf>
    <xf numFmtId="0" fontId="32" fillId="0" borderId="38" applyAlignment="1" pivotButton="0" quotePrefix="1" xfId="0">
      <alignment horizontal="left" vertical="center" wrapText="1" indent="3"/>
    </xf>
    <xf numFmtId="0" fontId="32" fillId="0" borderId="38" applyAlignment="1" pivotButton="0" quotePrefix="0" xfId="0">
      <alignment horizontal="left" vertical="center" wrapText="1" indent="2"/>
    </xf>
    <xf numFmtId="0" fontId="25" fillId="0" borderId="38" applyAlignment="1" pivotButton="0" quotePrefix="0" xfId="0">
      <alignment horizontal="left" vertical="center" indent="1"/>
    </xf>
    <xf numFmtId="0" fontId="30" fillId="0" borderId="38" applyAlignment="1" pivotButton="0" quotePrefix="1" xfId="0">
      <alignment horizontal="left" vertical="center" wrapText="1" indent="4"/>
    </xf>
    <xf numFmtId="0" fontId="61" fillId="0" borderId="0" pivotButton="0" quotePrefix="0" xfId="0"/>
    <xf numFmtId="0" fontId="35" fillId="0" borderId="38" applyAlignment="1" pivotButton="0" quotePrefix="1" xfId="0">
      <alignment horizontal="left" vertical="center" wrapText="1" indent="1"/>
    </xf>
    <xf numFmtId="0" fontId="30" fillId="0" borderId="35" applyAlignment="1" pivotButton="0" quotePrefix="0" xfId="0">
      <alignment horizontal="center" vertical="center"/>
    </xf>
    <xf numFmtId="0" fontId="25" fillId="0" borderId="38" applyAlignment="1" pivotButton="0" quotePrefix="1" xfId="0">
      <alignment horizontal="center" vertical="center" wrapText="1"/>
    </xf>
    <xf numFmtId="0" fontId="35" fillId="0" borderId="38" applyAlignment="1" pivotButton="0" quotePrefix="0" xfId="0">
      <alignment horizontal="left" vertical="center" wrapText="1" indent="1"/>
    </xf>
    <xf numFmtId="0" fontId="30" fillId="0" borderId="38" applyAlignment="1" pivotButton="0" quotePrefix="1" xfId="0">
      <alignment horizontal="center" vertical="center" wrapText="1"/>
    </xf>
    <xf numFmtId="0" fontId="50" fillId="0" borderId="38" applyAlignment="1" pivotButton="0" quotePrefix="0" xfId="0">
      <alignment horizontal="left" vertical="center" wrapText="1" indent="4"/>
    </xf>
    <xf numFmtId="0" fontId="30" fillId="0" borderId="36" applyAlignment="1" pivotButton="0" quotePrefix="0" xfId="0">
      <alignment horizontal="center" vertical="center" wrapText="1"/>
    </xf>
    <xf numFmtId="0" fontId="35" fillId="0" borderId="38" applyAlignment="1" pivotButton="0" quotePrefix="0" xfId="0">
      <alignment horizontal="left" vertical="center" indent="2"/>
    </xf>
    <xf numFmtId="0" fontId="32" fillId="0" borderId="38" applyAlignment="1" pivotButton="0" quotePrefix="1" xfId="0">
      <alignment horizontal="left" vertical="center" wrapText="1" indent="8"/>
    </xf>
    <xf numFmtId="0" fontId="25" fillId="0" borderId="38" applyAlignment="1" pivotButton="0" quotePrefix="1" xfId="0">
      <alignment horizontal="left" vertical="center" wrapText="1" indent="2"/>
    </xf>
    <xf numFmtId="0" fontId="35" fillId="0" borderId="35" applyAlignment="1" pivotButton="0" quotePrefix="0" xfId="0">
      <alignment horizontal="center" vertical="center"/>
    </xf>
    <xf numFmtId="0" fontId="30" fillId="0" borderId="38" applyAlignment="1" pivotButton="0" quotePrefix="0" xfId="0">
      <alignment horizontal="left" vertical="center" wrapText="1" indent="2"/>
    </xf>
    <xf numFmtId="0" fontId="63" fillId="0" borderId="2" applyAlignment="1" pivotButton="0" quotePrefix="0" xfId="0">
      <alignment horizontal="center" vertical="center" wrapText="1"/>
    </xf>
    <xf numFmtId="0" fontId="25" fillId="0" borderId="38" applyAlignment="1" pivotButton="0" quotePrefix="1" xfId="0">
      <alignment horizontal="left" vertical="center" wrapText="1" indent="1"/>
    </xf>
    <xf numFmtId="0" fontId="32" fillId="0" borderId="38" applyAlignment="1" pivotButton="0" quotePrefix="1" xfId="0">
      <alignment horizontal="left" vertical="center" wrapText="1" indent="7"/>
    </xf>
    <xf numFmtId="0" fontId="25" fillId="0" borderId="35" applyAlignment="1" pivotButton="0" quotePrefix="0" xfId="0">
      <alignment horizontal="center" vertical="center"/>
    </xf>
    <xf numFmtId="0" fontId="60" fillId="0" borderId="38" applyAlignment="1" pivotButton="0" quotePrefix="0" xfId="0">
      <alignment horizontal="center" vertical="center"/>
    </xf>
    <xf numFmtId="0" fontId="30" fillId="0" borderId="38" applyAlignment="1" pivotButton="0" quotePrefix="0" xfId="0">
      <alignment horizontal="left" vertical="center" wrapText="1" indent="6"/>
    </xf>
    <xf numFmtId="0" fontId="55" fillId="0" borderId="0" applyAlignment="1" pivotButton="0" quotePrefix="0" xfId="0">
      <alignment horizontal="left" wrapText="1"/>
    </xf>
    <xf numFmtId="0" fontId="46" fillId="0" borderId="0" pivotButton="0" quotePrefix="0" xfId="0"/>
    <xf numFmtId="49" fontId="28" fillId="0" borderId="38" applyAlignment="1" pivotButton="0" quotePrefix="0" xfId="0">
      <alignment horizontal="center" vertical="center"/>
    </xf>
    <xf numFmtId="0" fontId="47" fillId="0" borderId="8" applyAlignment="1" pivotButton="0" quotePrefix="0" xfId="0">
      <alignment horizontal="left" vertical="center" wrapText="1" indent="2"/>
    </xf>
    <xf numFmtId="0" fontId="28" fillId="0" borderId="2" applyAlignment="1" pivotButton="0" quotePrefix="0" xfId="0">
      <alignment horizontal="center" vertical="center" wrapText="1"/>
    </xf>
    <xf numFmtId="49" fontId="50" fillId="0" borderId="38" applyAlignment="1" pivotButton="0" quotePrefix="0" xfId="0">
      <alignment horizontal="center" vertical="center"/>
    </xf>
    <xf numFmtId="167" fontId="54" fillId="0" borderId="0" applyAlignment="1" pivotButton="0" quotePrefix="0" xfId="0">
      <alignment horizontal="left"/>
    </xf>
    <xf numFmtId="0" fontId="46" fillId="0" borderId="0" applyAlignment="1" pivotButton="0" quotePrefix="0" xfId="0">
      <alignment horizontal="center"/>
    </xf>
    <xf numFmtId="49" fontId="20" fillId="0" borderId="8" applyAlignment="1" pivotButton="0" quotePrefix="0" xfId="0">
      <alignment horizontal="center" vertical="center"/>
    </xf>
    <xf numFmtId="0" fontId="50" fillId="0" borderId="38" applyAlignment="1" pivotButton="0" quotePrefix="0" xfId="0">
      <alignment horizontal="left" vertical="center" wrapText="1" indent="2"/>
    </xf>
    <xf numFmtId="0" fontId="50" fillId="0" borderId="6" applyAlignment="1" pivotButton="0" quotePrefix="0" xfId="0">
      <alignment horizontal="left" vertical="center" wrapText="1" indent="1"/>
    </xf>
    <xf numFmtId="0" fontId="28" fillId="0" borderId="6" applyAlignment="1" pivotButton="0" quotePrefix="0" xfId="0">
      <alignment horizontal="left" vertical="center" wrapText="1" indent="1"/>
    </xf>
    <xf numFmtId="0" fontId="20" fillId="0" borderId="6" applyAlignment="1" pivotButton="0" quotePrefix="0" xfId="0">
      <alignment horizontal="left" vertical="center" wrapText="1" indent="1"/>
    </xf>
    <xf numFmtId="49" fontId="28" fillId="0" borderId="8" applyAlignment="1" pivotButton="0" quotePrefix="0" xfId="0">
      <alignment horizontal="center" vertical="center" wrapText="1"/>
    </xf>
    <xf numFmtId="0" fontId="22" fillId="0" borderId="0" applyAlignment="1" pivotButton="0" quotePrefix="0" xfId="0">
      <alignment horizontal="left" vertical="center" wrapText="1" indent="2"/>
    </xf>
    <xf numFmtId="0" fontId="53" fillId="0" borderId="6" applyAlignment="1" pivotButton="0" quotePrefix="0" xfId="0">
      <alignment horizontal="left" vertical="center" wrapText="1" indent="2"/>
    </xf>
    <xf numFmtId="0" fontId="49" fillId="0" borderId="11" applyAlignment="1" pivotButton="0" quotePrefix="0" xfId="0">
      <alignment horizontal="center" vertical="center"/>
    </xf>
    <xf numFmtId="0" fontId="28" fillId="0" borderId="8" applyAlignment="1" pivotButton="0" quotePrefix="0" xfId="0">
      <alignment horizontal="left" vertical="center" wrapText="1" indent="2"/>
    </xf>
    <xf numFmtId="0" fontId="49" fillId="0" borderId="8" applyAlignment="1" pivotButton="0" quotePrefix="0" xfId="0">
      <alignment horizontal="center" vertical="center"/>
    </xf>
    <xf numFmtId="0" fontId="24" fillId="0" borderId="0" applyAlignment="1" pivotButton="0" quotePrefix="0" xfId="0">
      <alignment horizontal="left" vertical="center"/>
    </xf>
    <xf numFmtId="0" fontId="46" fillId="0" borderId="14" applyAlignment="1" pivotButton="0" quotePrefix="0" xfId="0">
      <alignment horizontal="center" vertical="center" wrapText="1"/>
    </xf>
    <xf numFmtId="0" fontId="24" fillId="0" borderId="0" applyAlignment="1" pivotButton="0" quotePrefix="0" xfId="0">
      <alignment horizontal="left"/>
    </xf>
    <xf numFmtId="0" fontId="47" fillId="0" borderId="0" applyAlignment="1" pivotButton="0" quotePrefix="0" xfId="0">
      <alignment horizontal="center"/>
    </xf>
    <xf numFmtId="0" fontId="57" fillId="0" borderId="0" applyAlignment="1" pivotButton="0" quotePrefix="0" xfId="0">
      <alignment horizontal="center" vertical="center" wrapText="1"/>
    </xf>
    <xf numFmtId="0" fontId="28" fillId="0" borderId="0" applyAlignment="1" pivotButton="0" quotePrefix="1" xfId="0">
      <alignment horizontal="left" vertical="center" wrapText="1"/>
    </xf>
    <xf numFmtId="0" fontId="46" fillId="0" borderId="2" applyAlignment="1" pivotButton="0" quotePrefix="0" xfId="0">
      <alignment horizontal="center" vertical="center"/>
    </xf>
    <xf numFmtId="0" fontId="72" fillId="0" borderId="0" applyAlignment="1" pivotButton="0" quotePrefix="0" xfId="0">
      <alignment horizontal="left" vertical="center"/>
    </xf>
    <xf numFmtId="49" fontId="20" fillId="0" borderId="11" applyAlignment="1" pivotButton="0" quotePrefix="0" xfId="0">
      <alignment horizontal="center" vertical="center"/>
    </xf>
    <xf numFmtId="0" fontId="28" fillId="0" borderId="8" applyAlignment="1" pivotButton="0" quotePrefix="0" xfId="0">
      <alignment horizontal="left" vertical="center" wrapText="1" indent="1"/>
    </xf>
    <xf numFmtId="0" fontId="20" fillId="0" borderId="8" applyAlignment="1" pivotButton="0" quotePrefix="0" xfId="0">
      <alignment horizontal="left" vertical="center" wrapText="1"/>
    </xf>
    <xf numFmtId="0" fontId="53" fillId="0" borderId="8" applyAlignment="1" pivotButton="0" quotePrefix="0" xfId="0">
      <alignment horizontal="left" vertical="center" wrapText="1" indent="1"/>
    </xf>
    <xf numFmtId="0" fontId="75" fillId="0" borderId="0" applyAlignment="1" pivotButton="0" quotePrefix="0" xfId="0">
      <alignment horizontal="left" vertical="center"/>
    </xf>
    <xf numFmtId="0" fontId="20" fillId="0" borderId="11" applyAlignment="1" pivotButton="0" quotePrefix="0" xfId="0">
      <alignment horizontal="left" vertical="center" wrapText="1" indent="1"/>
    </xf>
    <xf numFmtId="0" fontId="53" fillId="0" borderId="0" pivotButton="0" quotePrefix="0" xfId="0"/>
    <xf numFmtId="0" fontId="48" fillId="0" borderId="8" applyAlignment="1" pivotButton="0" quotePrefix="0" xfId="0">
      <alignment horizontal="left" vertical="center" wrapText="1" indent="1"/>
    </xf>
    <xf numFmtId="49" fontId="50" fillId="0" borderId="8" applyAlignment="1" pivotButton="0" quotePrefix="0" xfId="0">
      <alignment horizontal="center" vertical="center"/>
    </xf>
    <xf numFmtId="0" fontId="53" fillId="0" borderId="8" applyAlignment="1" pivotButton="0" quotePrefix="0" xfId="0">
      <alignment horizontal="left" vertical="center" wrapText="1" indent="2"/>
    </xf>
    <xf numFmtId="0" fontId="28" fillId="0" borderId="14" applyAlignment="1" pivotButton="0" quotePrefix="0" xfId="0">
      <alignment horizontal="center" vertical="center" wrapText="1"/>
    </xf>
    <xf numFmtId="0" fontId="28" fillId="0" borderId="14" applyAlignment="1" pivotButton="0" quotePrefix="0" xfId="0">
      <alignment horizontal="center" vertical="center"/>
    </xf>
    <xf numFmtId="0" fontId="53" fillId="0" borderId="0" applyAlignment="1" pivotButton="0" quotePrefix="0" xfId="0">
      <alignment horizontal="center" vertical="center" wrapText="1"/>
    </xf>
    <xf numFmtId="0" fontId="50" fillId="0" borderId="0" applyAlignment="1" pivotButton="0" quotePrefix="0" xfId="0">
      <alignment horizontal="left" vertical="center" wrapText="1" indent="2"/>
    </xf>
    <xf numFmtId="0" fontId="53" fillId="0" borderId="38" applyAlignment="1" pivotButton="0" quotePrefix="0" xfId="0">
      <alignment horizontal="left" vertical="center" wrapText="1" indent="3"/>
    </xf>
    <xf numFmtId="49" fontId="20" fillId="0" borderId="38" applyAlignment="1" pivotButton="0" quotePrefix="0" xfId="0">
      <alignment horizontal="center" vertical="center"/>
    </xf>
    <xf numFmtId="0" fontId="54" fillId="0" borderId="0" applyAlignment="1" pivotButton="0" quotePrefix="0" xfId="0">
      <alignment horizontal="left"/>
    </xf>
    <xf numFmtId="0" fontId="20" fillId="0" borderId="8" applyAlignment="1" pivotButton="0" quotePrefix="0" xfId="0">
      <alignment horizontal="left" vertical="center" wrapText="1" indent="2"/>
    </xf>
    <xf numFmtId="0" fontId="28" fillId="0" borderId="38" applyAlignment="1" pivotButton="0" quotePrefix="0" xfId="0">
      <alignment horizontal="center" vertical="center" wrapText="1"/>
    </xf>
    <xf numFmtId="0" fontId="50" fillId="0" borderId="11" applyAlignment="1" pivotButton="0" quotePrefix="0" xfId="0">
      <alignment horizontal="left" vertical="center" wrapText="1" indent="2"/>
    </xf>
    <xf numFmtId="0" fontId="53" fillId="0" borderId="8" applyAlignment="1" pivotButton="0" quotePrefix="0" xfId="0">
      <alignment horizontal="left" vertical="center" wrapText="1" indent="3"/>
    </xf>
    <xf numFmtId="0" fontId="22" fillId="0" borderId="8" applyAlignment="1" pivotButton="0" quotePrefix="0" xfId="0">
      <alignment horizontal="left" vertical="center" wrapText="1" indent="2"/>
    </xf>
    <xf numFmtId="0" fontId="28" fillId="0" borderId="0" applyAlignment="1" pivotButton="0" quotePrefix="0" xfId="0">
      <alignment horizontal="center" vertical="center"/>
    </xf>
    <xf numFmtId="0" fontId="20" fillId="0" borderId="36" applyAlignment="1" pivotButton="0" quotePrefix="0" xfId="0">
      <alignment horizontal="center" vertical="center" wrapText="1"/>
    </xf>
    <xf numFmtId="0" fontId="20" fillId="0" borderId="36" applyAlignment="1" pivotButton="0" quotePrefix="0" xfId="0">
      <alignment horizontal="center" vertical="center"/>
    </xf>
    <xf numFmtId="0" fontId="0" fillId="0" borderId="40" pivotButton="0" quotePrefix="0" xfId="0"/>
    <xf numFmtId="0" fontId="0" fillId="0" borderId="41" pivotButton="0" quotePrefix="0" xfId="0"/>
    <xf numFmtId="0" fontId="28" fillId="0" borderId="36" applyAlignment="1" pivotButton="0" quotePrefix="0" xfId="0">
      <alignment horizontal="center" vertical="center"/>
    </xf>
    <xf numFmtId="0" fontId="28" fillId="0" borderId="36" applyAlignment="1" pivotButton="0" quotePrefix="0" xfId="0">
      <alignment horizontal="center" vertical="center" wrapText="1"/>
    </xf>
    <xf numFmtId="0" fontId="43" fillId="0" borderId="38" applyAlignment="1" pivotButton="0" quotePrefix="0" xfId="0">
      <alignment horizontal="left" vertical="center" wrapText="1" indent="1"/>
    </xf>
    <xf numFmtId="0" fontId="60" fillId="0" borderId="35" applyAlignment="1" pivotButton="0" quotePrefix="0" xfId="0">
      <alignment horizontal="center" vertical="center"/>
    </xf>
    <xf numFmtId="0" fontId="28" fillId="0" borderId="11" applyAlignment="1" pivotButton="0" quotePrefix="0" xfId="0">
      <alignment horizontal="left" vertical="center" wrapText="1" indent="2"/>
    </xf>
    <xf numFmtId="167" fontId="24" fillId="0" borderId="0" applyAlignment="1" pivotButton="0" quotePrefix="0" xfId="0">
      <alignment horizontal="left" vertical="center"/>
    </xf>
    <xf numFmtId="0" fontId="50" fillId="0" borderId="8" applyAlignment="1" pivotButton="0" quotePrefix="0" xfId="0">
      <alignment horizontal="left" vertical="center" wrapText="1" indent="2"/>
    </xf>
    <xf numFmtId="0" fontId="46" fillId="0" borderId="8" applyAlignment="1" pivotButton="0" quotePrefix="1" xfId="0">
      <alignment horizontal="left" vertical="center" wrapText="1" indent="2"/>
    </xf>
    <xf numFmtId="0" fontId="46" fillId="0" borderId="8" applyAlignment="1" pivotButton="0" quotePrefix="1" xfId="0">
      <alignment horizontal="left" vertical="center" wrapText="1" indent="4"/>
    </xf>
    <xf numFmtId="0" fontId="47" fillId="0" borderId="8" applyAlignment="1" pivotButton="0" quotePrefix="1" xfId="0">
      <alignment horizontal="left" vertical="center" wrapText="1" indent="2"/>
    </xf>
    <xf numFmtId="0" fontId="46" fillId="0" borderId="18" applyAlignment="1" pivotButton="0" quotePrefix="0" xfId="0">
      <alignment horizontal="center" vertical="center"/>
    </xf>
    <xf numFmtId="0" fontId="43" fillId="0" borderId="8" applyAlignment="1" pivotButton="0" quotePrefix="1" xfId="0">
      <alignment horizontal="left" vertical="center" wrapText="1" indent="2"/>
    </xf>
    <xf numFmtId="0" fontId="48" fillId="0" borderId="8" applyAlignment="1" pivotButton="0" quotePrefix="0" xfId="0">
      <alignment horizontal="center" vertical="center"/>
    </xf>
    <xf numFmtId="0" fontId="43" fillId="0" borderId="14" applyAlignment="1" pivotButton="0" quotePrefix="1" xfId="0">
      <alignment horizontal="left" vertical="center" wrapText="1" indent="1"/>
    </xf>
    <xf numFmtId="49" fontId="22" fillId="0" borderId="8" applyAlignment="1" pivotButton="0" quotePrefix="0" xfId="0">
      <alignment horizontal="center" vertical="center"/>
    </xf>
    <xf numFmtId="0" fontId="20" fillId="0" borderId="8" applyAlignment="1" pivotButton="0" quotePrefix="0" xfId="0">
      <alignment horizontal="center" vertical="center"/>
    </xf>
    <xf numFmtId="0" fontId="43" fillId="0" borderId="8" applyAlignment="1" pivotButton="0" quotePrefix="1" xfId="0">
      <alignment horizontal="left" vertical="center" wrapText="1" indent="3"/>
    </xf>
    <xf numFmtId="0" fontId="57" fillId="0" borderId="7" applyAlignment="1" pivotButton="0" quotePrefix="0" xfId="0">
      <alignment horizontal="center" vertical="center" wrapText="1"/>
    </xf>
    <xf numFmtId="49" fontId="46" fillId="0" borderId="38" applyAlignment="1" pivotButton="0" quotePrefix="0" xfId="0">
      <alignment horizontal="center" vertical="center"/>
    </xf>
    <xf numFmtId="0" fontId="28" fillId="0" borderId="38" applyAlignment="1" pivotButton="0" quotePrefix="0" xfId="0">
      <alignment horizontal="center" vertical="center"/>
    </xf>
    <xf numFmtId="0" fontId="43" fillId="0" borderId="8" applyAlignment="1" pivotButton="0" quotePrefix="0" xfId="0">
      <alignment horizontal="left" vertical="center" indent="3"/>
    </xf>
    <xf numFmtId="49" fontId="43" fillId="0" borderId="38" applyAlignment="1" pivotButton="0" quotePrefix="0" xfId="0">
      <alignment horizontal="center" vertical="center"/>
    </xf>
    <xf numFmtId="0" fontId="28" fillId="0" borderId="8" applyAlignment="1" pivotButton="0" quotePrefix="0" xfId="0">
      <alignment horizontal="left" vertical="center" wrapText="1" indent="3"/>
    </xf>
    <xf numFmtId="0" fontId="46" fillId="0" borderId="8" applyAlignment="1" pivotButton="0" quotePrefix="0" xfId="0">
      <alignment horizontal="left" vertical="center" wrapText="1" indent="5"/>
    </xf>
    <xf numFmtId="0" fontId="33" fillId="0" borderId="8" applyAlignment="1" pivotButton="0" quotePrefix="0" xfId="0">
      <alignment horizontal="left" vertical="center" wrapText="1" indent="2"/>
    </xf>
    <xf numFmtId="0" fontId="28" fillId="0" borderId="8" applyAlignment="1" pivotButton="0" quotePrefix="0" xfId="0">
      <alignment horizontal="left" vertical="center" wrapText="1" indent="5"/>
    </xf>
    <xf numFmtId="0" fontId="43" fillId="0" borderId="38" applyAlignment="1" pivotButton="0" quotePrefix="0" xfId="0">
      <alignment horizontal="center" vertical="center"/>
    </xf>
    <xf numFmtId="0" fontId="46" fillId="0" borderId="8" applyAlignment="1" pivotButton="0" quotePrefix="0" xfId="0">
      <alignment horizontal="left" vertical="center" wrapText="1" indent="7"/>
    </xf>
    <xf numFmtId="0" fontId="46" fillId="0" borderId="8" applyAlignment="1" pivotButton="0" quotePrefix="0" xfId="0">
      <alignment horizontal="left" vertical="center" wrapText="1" indent="6"/>
    </xf>
    <xf numFmtId="0" fontId="43" fillId="0" borderId="8" applyAlignment="1" pivotButton="0" quotePrefix="0" xfId="0">
      <alignment horizontal="left" vertical="center" wrapText="1" indent="2"/>
    </xf>
    <xf numFmtId="0" fontId="20" fillId="0" borderId="7" applyAlignment="1" pivotButton="0" quotePrefix="0" xfId="0">
      <alignment horizontal="left" vertical="center" wrapText="1" indent="2"/>
    </xf>
    <xf numFmtId="0" fontId="28" fillId="0" borderId="5" applyAlignment="1" pivotButton="0" quotePrefix="0" xfId="0">
      <alignment horizontal="center" vertical="center"/>
    </xf>
    <xf numFmtId="0" fontId="26" fillId="0" borderId="0" pivotButton="0" quotePrefix="0" xfId="0"/>
    <xf numFmtId="0" fontId="26" fillId="0" borderId="0" applyAlignment="1" pivotButton="0" quotePrefix="0" xfId="0">
      <alignment horizontal="center"/>
    </xf>
  </cellXfs>
  <cellStyles count="110">
    <cellStyle name="Обычный" xfId="0" builtinId="0"/>
    <cellStyle name=" 1" xfId="1"/>
    <cellStyle name=" 10" xfId="2"/>
    <cellStyle name=" 11" xfId="3"/>
    <cellStyle name=" 12" xfId="4"/>
    <cellStyle name=" 13" xfId="5"/>
    <cellStyle name=" 14" xfId="6"/>
    <cellStyle name=" 15" xfId="7"/>
    <cellStyle name=" 2" xfId="8"/>
    <cellStyle name=" 3" xfId="9"/>
    <cellStyle name=" 4" xfId="10"/>
    <cellStyle name=" 5" xfId="11"/>
    <cellStyle name=" 6" xfId="12"/>
    <cellStyle name=" 7" xfId="13"/>
    <cellStyle name=" 8" xfId="14"/>
    <cellStyle name=" 9" xfId="15"/>
    <cellStyle name="_71-ГАЗ УЭВП на 2011 год " xfId="16"/>
    <cellStyle name="_Column1_314 form " xfId="17"/>
    <cellStyle name="_PERSONAL_71-ГАЗ УЭВП на 2011 год " xfId="18"/>
    <cellStyle name="_PERSONAL_ф МСЧ Отчет 1 КВАРТАЛ 2009г " xfId="19"/>
    <cellStyle name="_Row1_314 form " xfId="20"/>
    <cellStyle name="_Uslugi_REU_71-ГАЗ УЭВП на 2011 год " xfId="21"/>
    <cellStyle name="_Исполнение сметы_71-ГАЗ УЭВП на 2011 год " xfId="22"/>
    <cellStyle name="_Исполнение сметы_ТЭП " xfId="23"/>
    <cellStyle name="_Остатки ОАО &quot;ЛГОК&quot; " xfId="24"/>
    <cellStyle name="_Отчет о техн.эконом.показателях " xfId="25"/>
    <cellStyle name="_Отчет_Услуги_(приложение_9)(2)_71-ГАЗ УЭВП на 2011 год " xfId="26"/>
    <cellStyle name="_пл IVкв комплект МГОК 06.10.06 " xfId="27"/>
    <cellStyle name="_Приложение 7_71-ГАЗ УЭВП на 2011 год " xfId="28"/>
    <cellStyle name="_Расчеты по введенным объектам на 2011 год январь 11 г " xfId="29"/>
    <cellStyle name="_РЭУ_январь_2008_71-ГАЗ УЭВП на 2011 год " xfId="30"/>
    <cellStyle name="_с 63 Печерский р-н " xfId="31"/>
    <cellStyle name="_Сводная_план_2007_01_25_филиалы (с 91 и 92 счетами)_71-ГАЗ УЭВП на 2011 год " xfId="32"/>
    <cellStyle name="_Сводная_план_2007_01_25_филиалы (с 91 и 92 счетами)_ф МСЧ Отчет 1 КВАРТАЛ 2009г " xfId="33"/>
    <cellStyle name="_Смета_собственных_затрат (приложение 1а)(1)_71-ГАЗ УЭВП на 2011 год " xfId="34"/>
    <cellStyle name="_Смета_собственных_затрат_(приложение_1а)(2)_71-ГАЗ УЭВП на 2011 год " xfId="35"/>
    <cellStyle name="_Смета_собственных_затрат_(приложение_1а)_71-ГАЗ УЭВП на 2011 год " xfId="36"/>
    <cellStyle name="_Сравнение(факторный)_Копия Смета и программа работ ГДШ на 2009 год_SAP R3_Бюджет АХО 2010 " xfId="37"/>
    <cellStyle name="_Сравнение(факторный)_Смета и программа работ СМНГ на 2009 год_SAP R3_верс на инфописьмах_Бюджет АХО 2010 " xfId="38"/>
    <cellStyle name="_Сравнение081107_Копия Смета и программа работ ГДШ на 2009 год_SAP R3_Бюджет АХО 2010 " xfId="39"/>
    <cellStyle name="_Сравнение081107_Смета и программа работ СМНГ на 2009 год_SAP R3_верс на инфописьмах_Бюджет АХО 2010 " xfId="40"/>
    <cellStyle name="_счет 91-за 1-ое полугодие 07г._71-ГАЗ УЭВП на 2011 год " xfId="41"/>
    <cellStyle name="_УА_Forma_planirovaniya_sobstvennykh_zatrat_71-ГАЗ УЭВП на 2011 год " xfId="42"/>
    <cellStyle name="_УА_Forma_planirovaniya_sobstvennykh_zatrat_ф МСЧ Отчет 1 КВАРТАЛ 2009г " xfId="43"/>
    <cellStyle name="_УГРиЛМ_смета собств.затрат_71-ГАЗ УЭВП на 2011 год " xfId="44"/>
    <cellStyle name="_УГРиЛМ_смета собств.затрат_ф МСЧ Отчет 1 КВАРТАЛ 2009г " xfId="45"/>
    <cellStyle name="_УНИПР_смета собств.затрат_71-ГАЗ УЭВП на 2011 год " xfId="46"/>
    <cellStyle name="_УНИПР_смета собств.затрат_ф МСЧ Отчет 1 КВАРТАЛ 2009г " xfId="47"/>
    <cellStyle name="_Услуги стор организаций в 2007г " xfId="48"/>
    <cellStyle name="_Формы для плана 2007_71-ГАЗ УЭВП на 2011 год " xfId="49"/>
    <cellStyle name="_Формы для плана 2007_ф МСЧ Отчет 1 КВАРТАЛ 2009г " xfId="50"/>
    <cellStyle name="A¨­￠￢￠O [0]_¨uoAa¨oCAu " xfId="51"/>
    <cellStyle name="A¨­￠￢￠O_¨uoAa¨oCAu " xfId="52"/>
    <cellStyle name="AeE­ [0]_¼oAa½CAu " xfId="53"/>
    <cellStyle name="ÅëÈ­ [0]_INQUIRY ¿µ¾÷ÃßÁø " xfId="54"/>
    <cellStyle name="AeE­ [0]_INQUIRY ¿μ¾÷AßAø " xfId="55"/>
    <cellStyle name="AeE­_¼oAa½CAu " xfId="56"/>
    <cellStyle name="ÅëÈ­_INQUIRY ¿µ¾÷ÃßÁø " xfId="57"/>
    <cellStyle name="AeE­_INQUIRY ¿μ¾÷AßAø " xfId="58"/>
    <cellStyle name="AeE¡ⓒ [0]_¨uoAa¨oCAu " xfId="59"/>
    <cellStyle name="AeE¡ⓒ_¨uoAa¨oCAu " xfId="60"/>
    <cellStyle name="AÞ¸¶ [0]_¼oAa½CAu " xfId="61"/>
    <cellStyle name="ÄÞ¸¶ [0]_INQUIRY ¿µ¾÷ÃßÁø " xfId="62"/>
    <cellStyle name="AÞ¸¶ [0]_INQUIRY ¿μ¾÷AßAø " xfId="63"/>
    <cellStyle name="AÞ¸¶_¼oAa½CAu " xfId="64"/>
    <cellStyle name="ÄÞ¸¶_INQUIRY ¿µ¾÷ÃßÁø " xfId="65"/>
    <cellStyle name="AÞ¸¶_INQUIRY ¿μ¾÷AßAø " xfId="66"/>
    <cellStyle name="C¡IA¨ª_¡ic¨u¡A¨￢I¨￢¡Æ AN¡Æe " xfId="67"/>
    <cellStyle name="Ç¥ÁØ_¿µ¾÷ÇöÈ² " xfId="68"/>
    <cellStyle name="C￥AØ_¿uº°A¸≫c½CAu_³≫ºI°eE¹´e AßA¤A÷AI " xfId="69"/>
    <cellStyle name="Ç¥ÁØ_»ç¾÷ºÎº° ÃÑ°è " xfId="70"/>
    <cellStyle name="C￥AØ_≫c¾÷ºIº° AN°e " xfId="71"/>
    <cellStyle name="Ç¥ÁØ_0N-HANDLING " xfId="72"/>
    <cellStyle name="C￥AØ_¼±AoAc°i_1_³≫ºI°eE¹´e AßA¤A÷AI " xfId="73"/>
    <cellStyle name="Ç¥ÁØ_5-1±¤°í " xfId="74"/>
    <cellStyle name="C￥AØ_5-1±¤°i _6RCB1 " xfId="75"/>
    <cellStyle name="Ç¥ÁØ_Áý°èÇ¥(2¿ù) " xfId="76"/>
    <cellStyle name="C￥AØ_CoAo¹yAI °A¾×¿ⓒ½A " xfId="77"/>
    <cellStyle name="Ç¥ÁØ_Sheet1_¿µ¾÷ÇöÈ² " xfId="78"/>
    <cellStyle name="Comma" xfId="79"/>
    <cellStyle name="Comma [0]" xfId="80"/>
    <cellStyle name="Comma_ SG&amp;A Bridge " xfId="81"/>
    <cellStyle name="Comma1" xfId="82"/>
    <cellStyle name="Comma2" xfId="83"/>
    <cellStyle name="Currency" xfId="84"/>
    <cellStyle name="Currency [0]" xfId="85"/>
    <cellStyle name="Currency_ SG&amp;A Bridge " xfId="86"/>
    <cellStyle name="CURRENCY2" xfId="87"/>
    <cellStyle name="Currency3" xfId="88"/>
    <cellStyle name="normal" xfId="89"/>
    <cellStyle name="Normal 2 2_Project Definition " xfId="90"/>
    <cellStyle name="Normal_ SG&amp;A Bridge " xfId="91"/>
    <cellStyle name="Normal1" xfId="92"/>
    <cellStyle name="Percent" xfId="93"/>
    <cellStyle name="RowLevel_1_Ф 24_25 (03_08)(ДОи ДЗОИ)-рабочая Ver 0 4 " xfId="94"/>
    <cellStyle name="user_custom_border" xfId="95"/>
    <cellStyle name="Обычный 10 14" xfId="96"/>
    <cellStyle name="Обычный 10 14 2" xfId="97"/>
    <cellStyle name="Обычный 155" xfId="98"/>
    <cellStyle name="Обычный 2 3" xfId="99"/>
    <cellStyle name="Обычный 3 10" xfId="100"/>
    <cellStyle name="콤마 [0]_ 견적기준 FLOW " xfId="101"/>
    <cellStyle name="콤마_ 견적기준 FLOW " xfId="102"/>
    <cellStyle name="Процентный" xfId="103" builtinId="5"/>
    <cellStyle name="Обычный 14" xfId="104"/>
    <cellStyle name="Обычный 159" xfId="105"/>
    <cellStyle name="SAPBEXchaText" xfId="106"/>
    <cellStyle name="SAPBEXHLevel0" xfId="107"/>
    <cellStyle name="SAPBEXHLevel0 2" xfId="108"/>
    <cellStyle name="SAPBEXstdItem" xfId="109"/>
  </cellStyles>
  <dxfs count="639">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00B050"/>
      </font>
      <fill>
        <patternFill>
          <bgColor auto="1"/>
        </patternFill>
      </fill>
    </dxf>
    <dxf>
      <font>
        <color rgb="FFC00000"/>
      </font>
    </dxf>
    <dxf>
      <font>
        <color rgb="FFC00000"/>
      </font>
    </dxf>
    <dxf>
      <numFmt numFmtId="170" formatCode="\-"/>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C00000"/>
      </font>
    </dxf>
    <dxf>
      <numFmt numFmtId="170" formatCode="\-"/>
    </dxf>
    <dxf>
      <numFmt numFmtId="170" formatCode="\-"/>
    </dxf>
    <dxf>
      <numFmt numFmtId="170" formatCode="\-"/>
    </dxf>
    <dxf>
      <numFmt numFmtId="170" formatCode="\-"/>
    </dxf>
    <dxf>
      <font>
        <color rgb="FFC00000"/>
      </font>
    </dxf>
    <dxf>
      <font>
        <color rgb="FFC00000"/>
      </font>
    </dxf>
    <dxf>
      <font>
        <color rgb="FF00B050"/>
      </font>
      <fill>
        <patternFill>
          <bgColor auto="1"/>
        </patternFill>
      </fill>
    </dxf>
    <dxf>
      <font>
        <color rgb="FFC00000"/>
      </font>
    </dxf>
    <dxf>
      <font>
        <color rgb="FFC00000"/>
      </font>
    </dxf>
    <dxf>
      <font>
        <color rgb="FFC00000"/>
      </font>
    </dxf>
    <dxf>
      <numFmt numFmtId="170" formatCode="\-"/>
    </dxf>
    <dxf>
      <numFmt numFmtId="170" formatCode="\-"/>
    </dxf>
    <dxf>
      <font>
        <color rgb="FF00B050"/>
      </font>
      <fill>
        <patternFill>
          <bgColor auto="1"/>
        </patternFill>
      </fill>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C00000"/>
      </font>
    </dxf>
    <dxf>
      <font>
        <color rgb="FF00B050"/>
      </font>
      <fill>
        <patternFill>
          <bgColor auto="1"/>
        </patternFill>
      </fill>
    </dxf>
    <dxf>
      <font>
        <color rgb="FF00B050"/>
      </font>
      <fill>
        <patternFill>
          <bgColor auto="1"/>
        </patternFill>
      </fill>
    </dxf>
    <dxf>
      <numFmt numFmtId="170" formatCode="\-"/>
    </dxf>
    <dxf>
      <font>
        <color rgb="FFC00000"/>
      </font>
    </dxf>
    <dxf>
      <numFmt numFmtId="170" formatCode="\-"/>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numFmt numFmtId="170" formatCode="\-"/>
    </dxf>
    <dxf>
      <font>
        <color rgb="FFC00000"/>
      </font>
    </dxf>
    <dxf>
      <numFmt numFmtId="170" formatCode="\-"/>
    </dxf>
    <dxf>
      <font>
        <color rgb="FFC00000"/>
      </font>
    </dxf>
    <dxf>
      <numFmt numFmtId="170" formatCode="\-"/>
    </dxf>
    <dxf>
      <font>
        <color rgb="FFC00000"/>
      </font>
    </dxf>
    <dxf>
      <numFmt numFmtId="170" formatCode="\-"/>
    </dxf>
    <dxf>
      <font>
        <color rgb="FFC00000"/>
      </font>
    </dxf>
    <dxf>
      <font>
        <color rgb="FFC00000"/>
      </font>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00B050"/>
      </font>
      <fill>
        <patternFill>
          <bgColor auto="1"/>
        </patternFill>
      </fill>
    </dxf>
    <dxf>
      <font>
        <color rgb="FF00B050"/>
      </font>
      <fill>
        <patternFill>
          <bgColor auto="1"/>
        </patternFill>
      </fill>
    </dxf>
    <dxf>
      <font>
        <color rgb="FF00B050"/>
      </font>
      <fill>
        <patternFill>
          <bgColor auto="1"/>
        </patternFill>
      </fill>
    </dxf>
    <dxf>
      <font>
        <color rgb="FFC00000"/>
      </font>
    </dxf>
    <dxf>
      <font>
        <color rgb="FFC00000"/>
      </font>
    </dxf>
    <dxf>
      <font>
        <color rgb="FFC00000"/>
      </font>
    </dxf>
    <dxf>
      <font>
        <color rgb="FFC00000"/>
      </font>
    </dxf>
    <dxf>
      <numFmt numFmtId="170" formatCode="\-"/>
    </dxf>
    <dxf>
      <numFmt numFmtId="170" formatCode="\-"/>
    </dxf>
    <dxf>
      <numFmt numFmtId="170" formatCode="\-"/>
    </dxf>
    <dxf>
      <numFmt numFmtId="170" formatCode="\-"/>
    </dxf>
    <dxf>
      <numFmt numFmtId="170" formatCode="\-"/>
    </dxf>
    <dxf>
      <font>
        <color rgb="FF00B050"/>
      </font>
      <fill>
        <patternFill>
          <bgColor auto="1"/>
        </patternFill>
      </fill>
    </dxf>
    <dxf>
      <font>
        <color rgb="FFC00000"/>
      </font>
    </dxf>
    <dxf>
      <numFmt numFmtId="170" formatCode="\-"/>
    </dxf>
    <dxf>
      <font>
        <color rgb="FF00B050"/>
      </font>
      <fill>
        <patternFill>
          <bgColor auto="1"/>
        </patternFill>
      </fill>
    </dxf>
    <dxf>
      <font>
        <color rgb="FFC00000"/>
      </font>
    </dxf>
    <dxf>
      <font>
        <color rgb="FF00B050"/>
      </font>
      <fill>
        <patternFill>
          <bgColor auto="1"/>
        </patternFill>
      </fill>
    </dxf>
    <dxf>
      <font>
        <color rgb="FF00B050"/>
      </font>
      <fill>
        <patternFill>
          <bgColor auto="1"/>
        </patternFill>
      </fill>
    </dxf>
    <dxf>
      <font>
        <color rgb="FFC00000"/>
      </font>
    </dxf>
    <dxf>
      <font>
        <color rgb="FFC00000"/>
      </font>
    </dxf>
    <dxf>
      <numFmt numFmtId="170" formatCode="\-"/>
    </dxf>
    <dxf>
      <numFmt numFmtId="170" formatCode="\-"/>
    </dxf>
    <dxf>
      <font>
        <color rgb="FF9C0006"/>
      </font>
      <fill>
        <patternFill>
          <bgColor rgb="FFFFC7CE"/>
        </patternFill>
      </fill>
    </dxf>
    <dxf>
      <font>
        <color rgb="FF9C0006"/>
      </font>
      <fill>
        <patternFill>
          <bgColor rgb="FFFFC7CE"/>
        </patternFill>
      </fill>
    </dxf>
    <dxf>
      <numFmt numFmtId="170" formatCode="\-"/>
    </dxf>
    <dxf>
      <font>
        <color rgb="FF00B050"/>
      </font>
      <fill>
        <patternFill>
          <bgColor auto="1"/>
        </patternFill>
      </fill>
    </dxf>
    <dxf>
      <font>
        <color rgb="FF00B050"/>
      </font>
      <fill>
        <patternFill>
          <bgColor auto="1"/>
        </patternFill>
      </fill>
    </dxf>
    <dxf>
      <font>
        <color rgb="FFC00000"/>
      </font>
    </dxf>
    <dxf>
      <font>
        <color rgb="FFC00000"/>
      </font>
    </dxf>
    <dxf>
      <numFmt numFmtId="170" formatCode="\-"/>
    </dxf>
    <dxf>
      <numFmt numFmtId="170" formatCode="\-"/>
    </dxf>
    <dxf>
      <font>
        <color rgb="FF00B050"/>
      </font>
      <fill>
        <patternFill>
          <bgColor auto="1"/>
        </patternFill>
      </fill>
    </dxf>
    <dxf>
      <font>
        <color rgb="FFC00000"/>
      </font>
    </dxf>
    <dxf>
      <font>
        <color rgb="FF00B050"/>
      </font>
      <fill>
        <patternFill>
          <bgColor auto="1"/>
        </patternFill>
      </fill>
    </dxf>
    <dxf>
      <font>
        <color rgb="FFC00000"/>
      </font>
    </dxf>
    <dxf>
      <numFmt numFmtId="170" formatCode="\-"/>
    </dxf>
    <dxf>
      <numFmt numFmtId="170" formatCode="\-"/>
    </dxf>
    <dxf>
      <font>
        <color rgb="FF00B050"/>
      </font>
      <fill>
        <patternFill>
          <bgColor auto="1"/>
        </patternFill>
      </fill>
    </dxf>
    <dxf>
      <font>
        <color rgb="FFC0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externalLink" Target="/xl/externalLinks/externalLink1.xml" Id="rId26"/><Relationship Type="http://schemas.openxmlformats.org/officeDocument/2006/relationships/externalLink" Target="/xl/externalLinks/externalLink2.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tc={00B7005E-009E-401B-8EC8-004000690095}</author>
    <author>tc={000E00E7-00D2-4404-8AAA-0029008B0020}</author>
    <author>tc={005F00A7-0083-45EF-8365-005300700024}</author>
    <author>tc={00E8002E-0099-4B81-93E5-00BA00A5004A}</author>
    <author>tc={00D10009-0051-43F5-97E1-00CC001C0002}</author>
    <author>tc={004D001D-0010-4B03-BC78-00A000DD0018}</author>
    <author>tc={00960093-001F-4DF9-855D-009000FD0038}</author>
    <author>tc={008200AC-00C5-41E9-8C6E-0029003E0031}</author>
    <author>tc={008A00C7-00DC-4D59-908A-0049003A0038}</author>
    <author>tc={006200A9-0079-4C65-A9C6-001A00C600D7}</author>
    <author>tc={0086008E-0012-484E-8048-00680013000A}</author>
    <author>tc={00CF0030-007F-49B4-81EE-00B700D7004C}</author>
    <author>tc={00370071-005A-4760-9475-00D300F2006F}</author>
    <author>tc={00AE00B9-004C-4F62-8ED9-00BE005000E5}</author>
    <author>tc={00F5000C-00F5-4BD4-A1D6-0084007A0075}</author>
    <author>tc={00EC0094-0062-4507-8314-007A00350081}</author>
    <author>tc={00C300C2-00D8-4E9F-BB65-001F005200B2}</author>
    <author>tc={000E0097-0042-4499-9170-009B00150049}</author>
    <author>tc={00920086-00F0-4A11-AC3B-00E4001C00BC}</author>
    <author>tc={0014001A-00AC-4662-8E91-001800000026}</author>
    <author>tc={005B0060-00EA-4212-A1E1-0028003900FE}</author>
    <author>tc={00FA00A7-002B-453D-B737-009300FB0000}</author>
    <author>tc={00A200EB-0011-4F7C-AF16-008B008B0047}</author>
    <author>tc={00AD0088-00E9-4EAF-95E3-00CF00030011}</author>
    <author>tc={009B0090-00AB-449B-A6A0-004B00B10023}</author>
    <author>tc={009500DE-00DC-4D4E-A35C-0034002300A7}</author>
    <author>tc={008C0085-00D9-477A-82F9-00EE00690067}</author>
    <author>tc={00610038-0088-4A3E-B7EC-0000005500DC}</author>
    <author>tc={00D60070-0026-432F-9334-009600830039}</author>
    <author>tc={00CB0046-0094-4A91-859D-005C000900A6}</author>
    <author>tc={00DE00A9-003B-4DA6-9447-006A009100FD}</author>
    <author>tc={004B0086-006E-42B6-B036-00C200F0001B}</author>
  </authors>
  <commentList>
    <comment ref="C12" authorId="0" shapeId="0">
      <text>
        <t xml:space="preserve">tc={00C70029-00C7-4DB1-BC7E-00D8006E002B}:
tc={008800B3-00EC-4396-ADA9-009D009A0017}:
tc={00A1001C-00F8-48C5-A980-00FA00E200ED}:
Собственник мощностей
</t>
      </text>
    </comment>
    <comment ref="C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C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C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C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C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C101" authorId="6" shapeId="0">
      <text>
        <t xml:space="preserve">tc={00CB00F5-007F-45DC-BC75-0070007500D6}:
tc={0024007C-0064-4623-B451-000900090018}:
Admin:
15.01.2026 Подлевских А.С.:
По указанию ТНТ
</t>
      </text>
    </comment>
    <comment ref="C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C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C227"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C248" authorId="10" shapeId="0">
      <text>
        <t xml:space="preserve">tc={00B400B9-003E-4191-BE95-001200E4005D}:
tc={009000E6-004C-4486-BE0B-00D10086004B}:
tc={00F9006B-00C2-400A-9B46-0043003F0036}:
Зеленихина Мария Владимировна:
УНГП, Сервиснефтегаз, 
</t>
      </text>
    </comment>
    <comment ref="C257" authorId="11" shapeId="0">
      <text>
        <t xml:space="preserve">tc={0015004B-007D-4F42-B499-00B3000300D9}:
tc={00A90010-000E-45BA-9739-00BD009200D1}:
tc={00F10069-00BC-49BA-A080-004C00910005}:
Зеленихина Мария Владимировна:
УНГП, Сервиснефтегаз, 
</t>
      </text>
    </comment>
    <comment ref="C293"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C338" authorId="13" shapeId="0">
      <text>
        <t xml:space="preserve">tc={00CC00E7-0008-43F3-B440-004F00B500A1}:
tc={00790044-002B-46A8-A18B-0044005B002D}:
tc={00A200C7-00BA-477A-84C4-00900058008F}:
Зеленихина Мария Владимировна:
изменена формула
</t>
      </text>
    </comment>
    <comment ref="C407" authorId="14" shapeId="0">
      <text>
        <t xml:space="preserve">tc={007300B5-00F2-43A6-B279-0053003E0047}:
tc={0098000A-0083-4793-9BE7-00C900F500BE}:
tc={0025009B-00F4-4597-ADA4-00F900610000}:
Зеленихина Мария Владимировна:
УНГП, Сервиснефтегаз, 
</t>
      </text>
    </comment>
    <comment ref="C431" authorId="15" shapeId="0">
      <text>
        <t xml:space="preserve">tc={00670056-000F-45C6-A3BF-006C00080056}:
tc={00E200E2-007A-43B5-B7E9-00EF000E00BD}:
tc={00DD0092-0072-415D-83E5-00D7006900D5}:
Зеленихина Мария Владимировна:
УНГП, Сервиснефтегаз, 
</t>
      </text>
    </comment>
    <comment ref="C450" authorId="16" shapeId="0">
      <text>
        <t xml:space="preserve">tc={00B80083-0081-47AD-8638-009A00A500C4}:
tc={000E00F7-00DA-4F51-8F1E-0096002600D5}:
tc={00AC009D-0058-42B4-992E-00C600420062}:
Windows User:
Windows User
07.11 изменно название
</t>
      </text>
    </comment>
    <comment ref="C482" authorId="17" shapeId="0">
      <text>
        <t xml:space="preserve">tc={009700F6-0069-4C50-89D9-00060044001B}:
tc={002D0040-00A6-4A6F-ADCB-0085002B00DB}:
tc={00A700A8-0081-418E-8F2A-00E400360047}:
Windows User:
07.11новая строка
</t>
      </text>
    </comment>
    <comment ref="C517" authorId="18" shapeId="0">
      <text>
        <t xml:space="preserve">tc={009200C1-0052-4F3C-A6D6-009D004900A7}:
tc={004900C7-0059-4C8C-8EC5-004F0009009B}:
tc={001100B3-0029-4E04-B898-009C00D300B1}:
изменено название 
стаб. газ. конденсат, нефть (Ен-Яхинское НГКМ, Песцовое НГКМ, Ачим отл. 3 уч., Уренгойское НГКМ фаза 2)
</t>
      </text>
    </comment>
    <comment ref="C523" authorId="19" shapeId="0">
      <text>
        <t xml:space="preserve">tc={00010088-0090-493D-A6BB-0039002E005B}:
tc={000600FF-0055-4330-A6EA-007300B60067}:
tc={00A30065-00CD-4EA5-900F-007900880063}:
нефть заполяр становится газпромовской , как только появляется труба в транснефти- альтернат схема
</t>
      </text>
    </comment>
    <comment ref="C576" authorId="20" shapeId="0">
      <text>
        <t xml:space="preserve">tc={00C0009B-003B-4BA4-9CEF-00B800230035}:
tc={004B00DB-007A-4270-BAF0-00830095007B}:
tc={00A30022-00ED-449F-95A8-00A00052005A}:
Подлевских Анастасия Сергеевна:
добавла СК на СТН, так как этот объем ПАО продает ГДИ
</t>
      </text>
    </comment>
    <comment ref="C577" authorId="21" shapeId="0">
      <text>
        <t xml:space="preserve">tc={00B20068-00E8-4D0A-8A35-00F200A10080}:
tc={00A20041-0076-4207-8E62-0036006100A5}:
tc={004B0066-0002-402B-BADC-004B00FE00C1}:
Зеленихина Мария Владимировна:
нефть покупка
</t>
      </text>
    </comment>
    <comment ref="C581" authorId="22" shapeId="0">
      <text>
        <t xml:space="preserve">tc={00B20000-00C1-4057-AB2B-000000050032}:
tc={00510054-0098-47EA-A3C3-00D10090007F}:
tc={00D10051-0089-4CBC-A143-00DA00770032}:
нефть заполяр становится газпромовской , как только появляется труба в транснефти- альтернат схема
</t>
      </text>
    </comment>
    <comment ref="C593" authorId="23" shapeId="0">
      <text>
        <t xml:space="preserve">tc={00FF002D-005C-48C9-85B1-00D3003900EF}:
tc={00980085-006D-4C1C-BFF1-006E00C7004F}:
tc={00950000-00CB-42F8-B0B2-00E200AD00CF}:
изменено название 
стаб. газ. конденсат, нефть (Ен-Яхинское НГКМ, Песцовое НГКМ, Ачим отл. 3 уч., Уренгойское НГКМ фаза 2)
</t>
      </text>
    </comment>
    <comment ref="C597" authorId="24" shapeId="0">
      <text>
        <t xml:space="preserve">tc={00A100E3-007D-4F21-B2F3-00E200E5007F}:
tc={002900BE-0040-4083-9101-006500090002}:
tc={001C0003-00B1-4708-953D-00D200F30055}:
Тюлягина Татьяна Николаевна:
нефть заполяр становится газпромовской , как только появляется труба в транснефти- альтернат схема
</t>
      </text>
    </comment>
    <comment ref="C599" authorId="25" shapeId="0">
      <text>
        <t xml:space="preserve">tc={00F000DB-00D9-4ABE-A708-007100D6001F}:
tc={00EA004B-007F-446B-AAB7-003D00F400A1}:
tc={00700067-00E5-4B30-8550-005B006600DC}:
Тюлягина Татьяна Николаевна:
нефть заполяр становится газпромовской , как только появляется труба в транснефти- альтернат схема
</t>
      </text>
    </comment>
    <comment ref="C644" authorId="26" shapeId="0">
      <text>
        <t xml:space="preserve">tc={008C00E8-005E-459D-A36A-005E00DB00DE}:
tc={0004004B-004A-43B5-A584-00F6001C000F}:
tc={0084009B-00E3-4903-974A-006E0076009B}:
Зеленихина Мария Владимировна:
изменено название
</t>
      </text>
    </comment>
    <comment ref="C710" authorId="27" shapeId="0">
      <text>
        <t xml:space="preserve">tc={00970060-00E6-4118-BF9A-00B900BC0098}:
tc={002800C6-0009-4526-AACD-008300B90012}:
tc={00E900F7-00B2-4B8A-B8E9-000D0091002A}:
Windows User:
07.11 переименовать
</t>
      </text>
    </comment>
    <comment ref="C880" authorId="28" shapeId="0">
      <text>
        <t xml:space="preserve">tc={00DF008E-009E-4BC0-98BA-00BA004200CC}:
tc={000D00BE-0059-416C-8B4D-009B002B0012}:
tc={00F10013-000C-43B6-A863-00C0000100FB}:
Тарасевич Елена Сергеевна:
Добавлен показатель (НК из повторной переработки СОГ на НТА с сентября 2026 г.
</t>
      </text>
    </comment>
    <comment ref="C973" authorId="29" shapeId="0">
      <text>
        <t xml:space="preserve">tc={00540041-003A-4988-818B-00D900A20092}:
tc={007500D6-00EA-4063-BB29-0024005A0088}:
tc={00C70042-00A4-4050-B843-00D200D100F4}:
Зеленихина Мария Владимировна:
03/02 Добавлена строка
</t>
      </text>
    </comment>
    <comment ref="C1120" authorId="30" shapeId="0">
      <text>
        <t xml:space="preserve">tc={0019002B-00AD-4C42-B2A0-0079006F007D}:
tc={005A007B-0000-4841-9C73-00E3001800E0}:
tc={00E90075-00C6-40E0-86FD-007900820025}:
Подлевских Анастасия Сергеевна:
топливо газообразное + кокс
</t>
      </text>
    </comment>
    <comment ref="C1215" authorId="31" shapeId="0">
      <text>
        <t xml:space="preserve">tc={000F008C-0083-49E3-BC50-00F0002F00D3}:
tc={004600C9-00EA-492E-A947-006A003700EF}:
tc={006900D3-0057-4844-9D65-00F000FE0021}:
Подлевских Анастасия Сергеевна:
природный газ только на технологию
</t>
      </text>
    </comment>
  </commentList>
</comments>
</file>

<file path=xl/comments/comment2.xml><?xml version="1.0" encoding="utf-8"?>
<comments xmlns="http://schemas.openxmlformats.org/spreadsheetml/2006/main">
  <authors>
    <author>tc={00B7005E-009E-401B-8EC8-004000690095}</author>
    <author>tc={000E00E7-00D2-4404-8AAA-0029008B0020}</author>
    <author>tc={005F00A7-0083-45EF-8365-005300700024}</author>
    <author>tc={00E8002E-0099-4B81-93E5-00BA00A5004A}</author>
    <author>tc={00D10009-0051-43F5-97E1-00CC001C0002}</author>
    <author>tc={004D001D-0010-4B03-BC78-00A000DD0018}</author>
    <author>tc={00960093-001F-4DF9-855D-009000FD0038}</author>
    <author>tc={008200AC-00C5-41E9-8C6E-0029003E0031}</author>
    <author>tc={008A00C7-00DC-4D59-908A-0049003A0038}</author>
    <author>tc={006200A9-0079-4C65-A9C6-001A00C600D7}</author>
    <author>tc={0086008E-0012-484E-8048-00680013000A}</author>
    <author>tc={00CF0030-007F-49B4-81EE-00B700D7004C}</author>
    <author>tc={00370071-005A-4760-9475-00D300F2006F}</author>
    <author>tc={00AE00B9-004C-4F62-8ED9-00BE005000E5}</author>
    <author>tc={00F5000C-00F5-4BD4-A1D6-0084007A0075}</author>
    <author>tc={00EC0094-0062-4507-8314-007A00350081}</author>
    <author>tc={00C300C2-00D8-4E9F-BB65-001F005200B2}</author>
    <author>tc={000E0097-0042-4499-9170-009B00150049}</author>
    <author>tc={00920086-00F0-4A11-AC3B-00E4001C00BC}</author>
    <author>tc={0014001A-00AC-4662-8E91-001800000026}</author>
    <author>tc={005B0060-00EA-4212-A1E1-0028003900FE}</author>
    <author>tc={00FA00A7-002B-453D-B737-009300FB0000}</author>
    <author>tc={00A200EB-0011-4F7C-AF16-008B008B0047}</author>
    <author>tc={00AD0088-00E9-4EAF-95E3-00CF00030011}</author>
    <author>tc={009B0090-00AB-449B-A6A0-004B00B10023}</author>
    <author>tc={009500DE-00DC-4D4E-A35C-0034002300A7}</author>
    <author>tc={008C0085-00D9-477A-82F9-00EE00690067}</author>
    <author>tc={00610038-0088-4A3E-B7EC-0000005500DC}</author>
    <author>tc={00D60070-0026-432F-9334-009600830039}</author>
    <author>tc={00CB0046-0094-4A91-859D-005C000900A6}</author>
    <author>tc={00DE00A9-003B-4DA6-9447-006A009100FD}</author>
    <author>tc={004B0086-006E-42B6-B036-00C200F0001B}</author>
  </authors>
  <commentList>
    <comment ref="A12" authorId="0" shapeId="0">
      <text>
        <t xml:space="preserve">tc={00C70029-00C7-4DB1-BC7E-00D8006E002B}:
tc={008800B3-00EC-4396-ADA9-009D009A0017}:
tc={00A1001C-00F8-48C5-A980-00FA00E200ED}:
Собственник мощностей
</t>
      </text>
    </comment>
    <comment ref="C12" authorId="0" shapeId="0">
      <text>
        <t xml:space="preserve">tc={00C70029-00C7-4DB1-BC7E-00D8006E002B}:
tc={008800B3-00EC-4396-ADA9-009D009A0017}:
tc={00A1001C-00F8-48C5-A980-00FA00E200ED}:
Собственник мощностей
</t>
      </text>
    </comment>
    <comment ref="A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C31" authorId="1" shapeId="0">
      <text>
        <t xml:space="preserve">tc={00AF00A2-00BD-4B51-953D-0053006300CD}:
tc={00B8008A-00A7-456D-81A1-0003003A0004}:
tc={00570049-00D9-4338-84FB-002E0086007F}:
стн получаемые при кранении СПГ в плавучем хранилище. Идущие на стн в качетсе отпарного газа
</t>
      </text>
    </comment>
    <comment ref="A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C40" authorId="2" shapeId="0">
      <text>
        <t xml:space="preserve">tc={00C30063-000C-4317-971D-00C1009A000B}:
tc={00550020-0044-4E0F-9F54-0034000100BD}:
tc={002C009A-0070-40E5-B999-000100E100B5}:
Зеленихина Мария Владимировна:
объем содержит объемы  ДРОД т.к. транспортировку осуществляет ГДО в адрес ГПП
</t>
      </text>
    </comment>
    <comment ref="A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C96" authorId="3" shapeId="0">
      <text>
        <t xml:space="preserve">tc={00B70023-00E4-41D9-A035-000800FF0074}:
tc={008A00A3-0001-427B-9216-00B600FC004D}:
tc={005C003B-0098-451E-A19B-003600AA0048}:
в сумму не идет, тк сидят объемы в ГДЯ и ГДУ - новая строка - сумма на процеесинг (МУ+Новатэк)
</t>
      </text>
    </comment>
    <comment ref="A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C97" authorId="4" shapeId="0">
      <text>
        <t xml:space="preserve">tc={007800E9-00D6-4EE0-9D74-00ED008100BF}:
tc={00F500D6-00CF-4AE3-870C-00840099001D}:
tc={003D0037-00DD-4D80-AA63-0072004200E8}:
считаем весь ГДЯ=(на УЗПКТ +на процесс Новатэк) , только без продажи на новатэк
</t>
      </text>
    </comment>
    <comment ref="A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C99" authorId="5" shapeId="0">
      <text>
        <t xml:space="preserve">tc={000D001B-00CF-4899-B024-004100FB007C}:
tc={0018008F-00C9-49CA-BC62-000A00710016}:
tc={00CC004C-005E-4584-93E9-001C00DF0035}:
считаем весь ГДУ =(на УЗПКТ +на процесс Новатэк) , только без продажи на новатэк
</t>
      </text>
    </comment>
    <comment ref="A101" authorId="6" shapeId="0">
      <text>
        <t xml:space="preserve">tc={00CB00F5-007F-45DC-BC75-0070007500D6}:
tc={0024007C-0064-4623-B451-000900090018}:
Admin:
15.01.2026 Подлевских А.С.:
По указанию ТНТ
</t>
      </text>
    </comment>
    <comment ref="C101" authorId="6" shapeId="0">
      <text>
        <t xml:space="preserve">tc={00CB00F5-007F-45DC-BC75-0070007500D6}:
tc={0024007C-0064-4623-B451-000900090018}:
Admin:
15.01.2026 Подлевских А.С.:
По указанию ТНТ
</t>
      </text>
    </comment>
    <comment ref="A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C108" authorId="7" shapeId="0">
      <text>
        <t xml:space="preserve">tc={00C60093-00B4-48F3-8C37-00650093003B}:
tc={009D0080-00F7-4F3C-BC59-00E500C7006C}:
tc={00F40066-0045-4CBE-8B08-0038005A00BF}:
Ледяев Дмитрий Анатольевич:
Валовый нестаб конденсат является собственностью ГдНояб, его покупает ПАО и товарн стаб конд уже становится собств ПАО
</t>
      </text>
    </comment>
    <comment ref="A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C118" authorId="8" shapeId="0">
      <text>
        <t xml:space="preserve">tc={005600CA-003F-411B-AA84-004A009B0022}:
tc={00550051-0028-4FE9-9652-00AB00850009}:
tc={00D700C6-00C7-4A18-A30D-004500A40088}:
Тюлягина Татьяна Николаевна:
ГПП покупает у ГДУ сырье на переработку для получения получения продуктов на заполнение альт схемы пр пнр. В течение года будем отражать баланс, когда будут договоры заключены и Д314 сможет показать баланс.
</t>
      </text>
    </comment>
    <comment ref="A229"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C229" authorId="9" shapeId="0">
      <text>
        <t xml:space="preserve">tc={00A9006A-00EE-492C-BCFA-00C4006500F1}:
tc={003300A3-0033-4A53-8169-008000660084}:
tc={009F00FE-00E3-4F90-BD33-0076002B00EF}:
Тюлягина Татьяна Николаевна:
Собственник сырья
- для заполнения серных ям,
Есть протокол
</t>
      </text>
    </comment>
    <comment ref="A250" authorId="10" shapeId="0">
      <text>
        <t xml:space="preserve">tc={00B400B9-003E-4191-BE95-001200E4005D}:
tc={009000E6-004C-4486-BE0B-00D10086004B}:
tc={00F9006B-00C2-400A-9B46-0043003F0036}:
Зеленихина Мария Владимировна:
УНГП, Сервиснефтегаз, 
</t>
      </text>
    </comment>
    <comment ref="C250" authorId="10" shapeId="0">
      <text>
        <t xml:space="preserve">tc={00B400B9-003E-4191-BE95-001200E4005D}:
tc={009000E6-004C-4486-BE0B-00D10086004B}:
tc={00F9006B-00C2-400A-9B46-0043003F0036}:
Зеленихина Мария Владимировна:
УНГП, Сервиснефтегаз, 
</t>
      </text>
    </comment>
    <comment ref="A259" authorId="11" shapeId="0">
      <text>
        <t xml:space="preserve">tc={0015004B-007D-4F42-B499-00B3000300D9}:
tc={00A90010-000E-45BA-9739-00BD009200D1}:
tc={00F10069-00BC-49BA-A080-004C00910005}:
Зеленихина Мария Владимировна:
УНГП, Сервиснефтегаз, 
</t>
      </text>
    </comment>
    <comment ref="C259" authorId="11" shapeId="0">
      <text>
        <t xml:space="preserve">tc={0015004B-007D-4F42-B499-00B3000300D9}:
tc={00A90010-000E-45BA-9739-00BD009200D1}:
tc={00F10069-00BC-49BA-A080-004C00910005}:
Зеленихина Мария Владимировна:
УНГП, Сервиснефтегаз, 
</t>
      </text>
    </comment>
    <comment ref="A295"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C295" authorId="12" shapeId="0">
      <text>
        <t xml:space="preserve">tc={00B0009F-0068-43BE-AC9A-00DB003B00AC}:
tc={00E800BA-009E-4764-9221-00D5007A0045}:
tc={009B00AE-00DB-47F6-BA37-00DD004A0064}:
Windows User:
02.12 добавлена формула
2022.12.02  Усманова-Тараскин
Газ с УМТ реализуется от ПАО (агент ГПП) в адрес Газинформпласт на СТН
Демихов: 2021
газ деэтнизации будет продаваться через ГПП в адрес эксплуат. Орг. (сжигается).
</t>
      </text>
    </comment>
    <comment ref="A340" authorId="13" shapeId="0">
      <text>
        <t xml:space="preserve">tc={00CC00E7-0008-43F3-B440-004F00B500A1}:
tc={00790044-002B-46A8-A18B-0044005B002D}:
tc={00A200C7-00BA-477A-84C4-00900058008F}:
Зеленихина Мария Владимировна:
изменена формула
</t>
      </text>
    </comment>
    <comment ref="C340" authorId="13" shapeId="0">
      <text>
        <t xml:space="preserve">tc={00CC00E7-0008-43F3-B440-004F00B500A1}:
tc={00790044-002B-46A8-A18B-0044005B002D}:
tc={00A200C7-00BA-477A-84C4-00900058008F}:
Зеленихина Мария Владимировна:
изменена формула
</t>
      </text>
    </comment>
    <comment ref="A408" authorId="14" shapeId="0">
      <text>
        <t xml:space="preserve">tc={007300B5-00F2-43A6-B279-0053003E0047}:
tc={0098000A-0083-4793-9BE7-00C900F500BE}:
tc={0025009B-00F4-4597-ADA4-00F900610000}:
Зеленихина Мария Владимировна:
УНГП, Сервиснефтегаз, 
</t>
      </text>
    </comment>
    <comment ref="C408" authorId="14" shapeId="0">
      <text>
        <t xml:space="preserve">tc={007300B5-00F2-43A6-B279-0053003E0047}:
tc={0098000A-0083-4793-9BE7-00C900F500BE}:
tc={0025009B-00F4-4597-ADA4-00F900610000}:
Зеленихина Мария Владимировна:
УНГП, Сервиснефтегаз, 
</t>
      </text>
    </comment>
    <comment ref="A432" authorId="15" shapeId="0">
      <text>
        <t xml:space="preserve">tc={00670056-000F-45C6-A3BF-006C00080056}:
tc={00E200E2-007A-43B5-B7E9-00EF000E00BD}:
tc={00DD0092-0072-415D-83E5-00D7006900D5}:
Зеленихина Мария Владимировна:
УНГП, Сервиснефтегаз, 
</t>
      </text>
    </comment>
    <comment ref="C432" authorId="15" shapeId="0">
      <text>
        <t xml:space="preserve">tc={00670056-000F-45C6-A3BF-006C00080056}:
tc={00E200E2-007A-43B5-B7E9-00EF000E00BD}:
tc={00DD0092-0072-415D-83E5-00D7006900D5}:
Зеленихина Мария Владимировна:
УНГП, Сервиснефтегаз, 
</t>
      </text>
    </comment>
    <comment ref="A451" authorId="16" shapeId="0">
      <text>
        <t xml:space="preserve">tc={00B80083-0081-47AD-8638-009A00A500C4}:
tc={000E00F7-00DA-4F51-8F1E-0096002600D5}:
tc={00AC009D-0058-42B4-992E-00C600420062}:
Windows User:
Windows User
07.11 изменно название
</t>
      </text>
    </comment>
    <comment ref="C451" authorId="16" shapeId="0">
      <text>
        <t xml:space="preserve">tc={00B80083-0081-47AD-8638-009A00A500C4}:
tc={000E00F7-00DA-4F51-8F1E-0096002600D5}:
tc={00AC009D-0058-42B4-992E-00C600420062}:
Windows User:
Windows User
07.11 изменно название
</t>
      </text>
    </comment>
    <comment ref="A483" authorId="17" shapeId="0">
      <text>
        <t xml:space="preserve">tc={009700F6-0069-4C50-89D9-00060044001B}:
tc={002D0040-00A6-4A6F-ADCB-0085002B00DB}:
tc={00A700A8-0081-418E-8F2A-00E400360047}:
Windows User:
07.11новая строка
</t>
      </text>
    </comment>
    <comment ref="C483" authorId="17" shapeId="0">
      <text>
        <t xml:space="preserve">tc={009700F6-0069-4C50-89D9-00060044001B}:
tc={002D0040-00A6-4A6F-ADCB-0085002B00DB}:
tc={00A700A8-0081-418E-8F2A-00E400360047}:
Windows User:
07.11новая строка
</t>
      </text>
    </comment>
    <comment ref="C518" authorId="18" shapeId="0">
      <text>
        <t xml:space="preserve">tc={009200C1-0052-4F3C-A6D6-009D004900A7}:
tc={004900C7-0059-4C8C-8EC5-004F0009009B}:
tc={001100B3-0029-4E04-B898-009C00D300B1}:
изменено название 
стаб. газ. конденсат, нефть (Ен-Яхинское НГКМ, Песцовое НГКМ, Ачим отл. 3 уч., Уренгойское НГКМ фаза 2)
</t>
      </text>
    </comment>
    <comment ref="C524" authorId="19" shapeId="0">
      <text>
        <t xml:space="preserve">tc={00010088-0090-493D-A6BB-0039002E005B}:
tc={000600FF-0055-4330-A6EA-007300B60067}:
tc={00A30065-00CD-4EA5-900F-007900880063}:
нефть заполяр становится газпромовской , как только появляется труба в транснефти- альтернат схема
</t>
      </text>
    </comment>
    <comment ref="C580" authorId="20" shapeId="0">
      <text>
        <t xml:space="preserve">tc={00C0009B-003B-4BA4-9CEF-00B800230035}:
tc={004B00DB-007A-4270-BAF0-00830095007B}:
tc={00A30022-00ED-449F-95A8-00A00052005A}:
Подлевских Анастасия Сергеевна:
добавла СК на СТН, так как этот объем ПАО продает ГДИ
</t>
      </text>
    </comment>
    <comment ref="C581" authorId="21" shapeId="0">
      <text>
        <t xml:space="preserve">tc={00B20068-00E8-4D0A-8A35-00F200A10080}:
tc={00A20041-0076-4207-8E62-0036006100A5}:
tc={004B0066-0002-402B-BADC-004B00FE00C1}:
Зеленихина Мария Владимировна:
нефть покупка
</t>
      </text>
    </comment>
    <comment ref="C585" authorId="22" shapeId="0">
      <text>
        <t xml:space="preserve">tc={00B20000-00C1-4057-AB2B-000000050032}:
tc={00510054-0098-47EA-A3C3-00D10090007F}:
tc={00D10051-0089-4CBC-A143-00DA00770032}:
нефть заполяр становится газпромовской , как только появляется труба в транснефти- альтернат схема
</t>
      </text>
    </comment>
    <comment ref="C597" authorId="23" shapeId="0">
      <text>
        <t xml:space="preserve">tc={00FF002D-005C-48C9-85B1-00D3003900EF}:
tc={00980085-006D-4C1C-BFF1-006E00C7004F}:
tc={00950000-00CB-42F8-B0B2-00E200AD00CF}:
изменено название 
стаб. газ. конденсат, нефть (Ен-Яхинское НГКМ, Песцовое НГКМ, Ачим отл. 3 уч., Уренгойское НГКМ фаза 2)
</t>
      </text>
    </comment>
    <comment ref="C601" authorId="24" shapeId="0">
      <text>
        <t xml:space="preserve">tc={00A100E3-007D-4F21-B2F3-00E200E5007F}:
tc={002900BE-0040-4083-9101-006500090002}:
tc={001C0003-00B1-4708-953D-00D200F30055}:
Тюлягина Татьяна Николаевна:
нефть заполяр становится газпромовской , как только появляется труба в транснефти- альтернат схема
</t>
      </text>
    </comment>
    <comment ref="C603" authorId="25" shapeId="0">
      <text>
        <t xml:space="preserve">tc={00F000DB-00D9-4ABE-A708-007100D6001F}:
tc={00EA004B-007F-446B-AAB7-003D00F400A1}:
tc={00700067-00E5-4B30-8550-005B006600DC}:
Тюлягина Татьяна Николаевна:
нефть заполяр становится газпромовской , как только появляется труба в транснефти- альтернат схема
</t>
      </text>
    </comment>
    <comment ref="C649" authorId="26" shapeId="0">
      <text>
        <t xml:space="preserve">tc={008C00E8-005E-459D-A36A-005E00DB00DE}:
tc={0004004B-004A-43B5-A584-00F6001C000F}:
tc={0084009B-00E3-4903-974A-006E0076009B}:
Зеленихина Мария Владимировна:
изменено название
</t>
      </text>
    </comment>
    <comment ref="C715" authorId="27" shapeId="0">
      <text>
        <t xml:space="preserve">tc={00970060-00E6-4118-BF9A-00B900BC0098}:
tc={002800C6-0009-4526-AACD-008300B90012}:
tc={00E900F7-00B2-4B8A-B8E9-000D0091002A}:
Windows User:
07.11 переименовать
</t>
      </text>
    </comment>
    <comment ref="C885" authorId="28" shapeId="0">
      <text>
        <t xml:space="preserve">tc={00DF008E-009E-4BC0-98BA-00BA004200CC}:
tc={000D00BE-0059-416C-8B4D-009B002B0012}:
tc={00F10013-000C-43B6-A863-00C0000100FB}:
Тарасевич Елена Сергеевна:
Добавлен показатель (НК из повторной переработки СОГ на НТА с сентября 2026 г.
</t>
      </text>
    </comment>
    <comment ref="C992" authorId="29" shapeId="0">
      <text>
        <t xml:space="preserve">tc={00540041-003A-4988-818B-00D900A20092}:
tc={007500D6-00EA-4063-BB29-0024005A0088}:
tc={00C70042-00A4-4050-B843-00D200D100F4}:
Зеленихина Мария Владимировна:
03/02 Добавлена строка
</t>
      </text>
    </comment>
    <comment ref="C1138" authorId="30" shapeId="0">
      <text>
        <t xml:space="preserve">tc={0019002B-00AD-4C42-B2A0-0079006F007D}:
tc={005A007B-0000-4841-9C73-00E3001800E0}:
tc={00E90075-00C6-40E0-86FD-007900820025}:
Подлевских Анастасия Сергеевна:
топливо газообразное + кокс
</t>
      </text>
    </comment>
    <comment ref="C1233" authorId="31" shapeId="0">
      <text>
        <t xml:space="preserve">tc={000F008C-0083-49E3-BC50-00F0002F00D3}:
tc={004600C9-00EA-492E-A947-006A003700EF}:
tc={006900D3-0057-4844-9D65-00F000FE0021}:
Подлевских Анастасия Сергеевна:
природный газ только на технологию
</t>
      </text>
    </comment>
  </commentList>
</comments>
</file>

<file path=xl/comments/comment3.xml><?xml version="1.0" encoding="utf-8"?>
<comments xmlns="http://schemas.openxmlformats.org/spreadsheetml/2006/main">
  <authors>
    <author>tc={0073001F-0014-4F70-BC74-00E600D700B5}</author>
    <author>tc={00E300F6-00F9-4E3C-A880-00F000EB0030}</author>
    <author>tc={00FE005E-000E-44E6-8FCD-00C800520002}</author>
    <author>tc={00C4003C-0062-410F-BECC-004500FE00EB}</author>
    <author>tc={0066001D-001A-4F36-B4FB-00FB0022003A}</author>
    <author>tc={00080024-0081-4C06-ABE5-008B000D0005}</author>
    <author>tc={00E600B8-00FA-47FB-8113-009C00EC00D3}</author>
    <author>tc={009A00CC-0012-4760-851A-00D500FE00F9}</author>
  </authors>
  <commentList>
    <comment ref="D26" authorId="0" shapeId="0">
      <text>
        <t xml:space="preserve">tc={00C7005F-0063-4C08-BD25-0040002400CF}:
tc={006400CA-0073-4A46-8EB1-00D0004500C5}:
tc={00AC005A-002B-4346-A99B-003D00A600B4}:
МТБЭ увеличивает октановое число бензинов, способствует более полному сгоранию топлива, предотвращает коррозию металла
</t>
      </text>
    </comment>
    <comment ref="D31" authorId="1" shapeId="0">
      <text>
        <t xml:space="preserve">tc={00B5003C-000D-4723-95B5-0024004D00E4}:
tc={00A500E5-000D-461D-9DB4-0036004E000C}:
tc={0066008B-004F-4F8D-8180-00DF003E004E}:
сбросные газы+потери серы+потери на газовой части (кроме У41 и КГН на У71) без учета потерь воды минус приход ED (деминерализованная вода) и воды МКФ на ЭЛОУ
</t>
      </text>
    </comment>
    <comment ref="D32" authorId="2" shapeId="0">
      <text>
        <t xml:space="preserve">tc={00CC008C-00A0-4550-B377-005F001600AF}:
tc={000A003F-002A-4DF4-B7FF-005300090067}:
tc={00FD0021-00E8-4949-BB91-009700240059}:
потери на производстве 3 + У71 (КГН) + У21 + У41
</t>
      </text>
    </comment>
    <comment ref="D51" authorId="3" shapeId="0">
      <text>
        <t xml:space="preserve">tc={006C0042-0024-439D-9515-000900CD009B}:
tc={00D7007E-001B-4B12-9391-008C0049009B}:
tc={00C00045-00B1-4D5D-948B-00FE007400A7}:
от переработки ск и шфлу
</t>
      </text>
    </comment>
    <comment ref="D60" authorId="4" shapeId="0">
      <text>
        <t xml:space="preserve">tc={00CA0018-0073-40E5-9E28-001400820048}:
tc={00CE000B-00E2-42C2-B8A7-0017004E0061}:
tc={00C20054-00FD-481B-BFE7-008F008100B6}:
с потерями на У500, У505
</t>
      </text>
    </comment>
    <comment ref="D64" authorId="5" shapeId="0">
      <text>
        <t xml:space="preserve">tc={00F80098-00CB-4C49-84EE-008E003C00C0}:
tc={00B600F3-00A4-404F-9497-00BE00420030}:
tc={00FB0021-0046-4A4B-9B1B-007800130075}:
Разница междду валовым СК и СК на переработку
</t>
      </text>
    </comment>
    <comment ref="D68" authorId="6" shapeId="0">
      <text>
        <t xml:space="preserve">tc={003300FD-00BB-4A97-B133-002F00F700E1}:
tc={000C00AB-00BF-4071-83F0-0080004700AD}:
tc={00660044-00B2-4AF1-9095-002300BF0021}:
с потерями на У515
</t>
      </text>
    </comment>
    <comment ref="D78" authorId="7" shapeId="0">
      <text>
        <t xml:space="preserve">tc={00730092-00AA-432B-8796-006800060089}:
tc={00B400F2-00F0-4353-90E0-007200370008}:
tc={00BB00E4-0020-48ED-AC93-001400D10094}:
газ , получаемый в процесс вторичных процессов при Гидроочистке и риформинга, изомеризации т тд, для потребления завода на 3 производстве
</t>
      </text>
    </comment>
  </commentList>
</comments>
</file>

<file path=xl/comments/comment4.xml><?xml version="1.0" encoding="utf-8"?>
<comments xmlns="http://schemas.openxmlformats.org/spreadsheetml/2006/main">
  <authors>
    <author>tc={00E600D1-0062-46E1-A126-004500C70034}</author>
    <author>tc={00B2007F-004C-40DE-A396-0028005D0070}</author>
  </authors>
  <commentList>
    <comment ref="D28" authorId="0" shapeId="0">
      <text>
        <t xml:space="preserve">tc={00DA00DC-00DC-4F19-9FD2-00C400A6002D}:
tc={001C00CF-0067-4BEC-9605-005B000A003F}:
tc={007A004B-00FE-49E5-95A8-001A00C500A2}:
Входят сбросные газы  - более 7-9 %, остальное потери
</t>
      </text>
    </comment>
    <comment ref="D45" authorId="1" shapeId="0">
      <text>
        <t xml:space="preserve">tc={00170059-0056-4536-B18F-00BD006B0018}:
tc={00DF00AE-005E-4432-96AA-006A008E00A9}:
tc={00250033-0041-47B8-AA0F-00BE00D8009E}:
включая поставку на ГРС Крутянская
</t>
      </text>
    </comment>
  </commentList>
</comments>
</file>

<file path=xl/comments/comment5.xml><?xml version="1.0" encoding="utf-8"?>
<comments xmlns="http://schemas.openxmlformats.org/spreadsheetml/2006/main">
  <authors>
    <author>tc={000E001A-0024-4115-85BA-006C001B0039}</author>
    <author>tc={00350072-0073-4DC5-A8E5-00A1006200AA}</author>
  </authors>
  <commentList>
    <comment ref="D21" authorId="0" shapeId="0">
      <text>
        <t xml:space="preserve">tc={00CD0018-0045-4244-B474-00480088004D}:
tc={00F50022-002C-4FED-BAFA-0081002E00A5}:
Admin:
15.01.2026 Подлевских А.С.:
По указанию ТНТ.
Необходимо внести строчку в файл для факта
</t>
      </text>
    </comment>
    <comment ref="D97" authorId="1" shapeId="0">
      <text>
        <t xml:space="preserve">tc={00A2001E-0046-4F8A-A758-006A00AE002B}:
tc={00D60015-0095-412D-993D-00C500C6000D}:
tc={007A004D-004F-44CF-99D6-0063004600D9}:
27.02.2026 Подлевских А.С.:
По указанию ТНТ.
</t>
      </text>
    </comment>
  </commentList>
</comments>
</file>

<file path=xl/comments/comment6.xml><?xml version="1.0" encoding="utf-8"?>
<comments xmlns="http://schemas.openxmlformats.org/spreadsheetml/2006/main">
  <authors>
    <author>tc={002C00AD-008A-43E6-B02D-002A00BC00A6}</author>
  </authors>
  <commentList>
    <comment ref="D32" authorId="0" shapeId="0">
      <text>
        <t xml:space="preserve">tc={007F00FE-005C-4532-849B-000300DC00B1}:
tc={00830034-007C-46DE-9FC6-00CE00800023}:
tc={0075000C-00EF-48C8-ADD1-0009002C0088}:
из плана по добые конденсат + нефть ДРОД
</t>
      </text>
    </comment>
  </commentList>
</comments>
</file>

<file path=xl/comments/comment7.xml><?xml version="1.0" encoding="utf-8"?>
<comments xmlns="http://schemas.openxmlformats.org/spreadsheetml/2006/main">
  <authors>
    <author>tc={00CE005B-00F0-4270-9B31-008700010057}</author>
  </authors>
  <commentList>
    <comment ref="D26" authorId="0" shapeId="0">
      <text>
        <t xml:space="preserve">tc={00D800F6-007C-458C-845D-0064004600E5}:
tc={0046008D-00BB-4EE2-A265-009900B500AA}:
tc={004E008A-0075-4C1B-8365-0068002C004D}:
поставка в адрес трейдера
</t>
      </text>
    </comment>
  </commentList>
</comments>
</file>

<file path=xl/comments/comment8.xml><?xml version="1.0" encoding="utf-8"?>
<comments xmlns="http://schemas.openxmlformats.org/spreadsheetml/2006/main">
  <authors>
    <author>tc={00A000BC-003F-448D-AA93-00DB0054007D}</author>
    <author>tc={00BE00AE-0067-4D96-B88B-00DC000200BE}</author>
    <author>tc={00D20034-004A-49C3-940C-00EA004E0004}</author>
    <author>tc={002900ED-00CF-4AAC-92A1-008000790076}</author>
    <author>tc={00C70051-00D2-4508-A9A2-001500C90023}</author>
    <author>tc={009A0028-00A9-4895-A956-00FB002E00D4}</author>
    <author>tc={00D3008D-00E0-475D-9F80-00AC001300F7}</author>
    <author>tc={0000002F-0098-40DC-9D54-00AB000D0059}</author>
    <author>tc={00EA0031-0002-4616-BF28-00B100440061}</author>
    <author>tc={00CC0060-007D-46D5-AED1-0054002C0030}</author>
  </authors>
  <commentList>
    <comment ref="A14" authorId="0" shapeId="0">
      <text>
        <t xml:space="preserve">tc={005200B8-0055-413E-BF3E-004F00590075}:
tc={00AD009A-0068-42A0-879A-00FD009D0050}:
tc={00C40040-00A0-418D-9276-00640084000B}:
Зеленихина Мария Владимировна:
УНГК добыча НК+ попут нефть УНКГМ
</t>
      </text>
    </comment>
    <comment ref="D15" authorId="1" shapeId="0">
      <text>
        <t xml:space="preserve">tc={0016006F-00B8-4A40-B973-000200680062}:
tc={00180032-00BC-44F5-9580-00A60060002E}:
Admin:
15.01.2026 Подлевских А.С.:
По указанию ТНТ.
</t>
      </text>
    </comment>
    <comment ref="A22" authorId="2" shapeId="0">
      <text>
        <t xml:space="preserve">tc={00FB007A-00BF-4081-B0F9-0004008700E5}:
tc={0028009D-00A1-4F7D-B678-006D0001003C}:
tc={000E00C9-00EA-4F47-A5C1-007200070043}:
Зеленихина Мария Владимировна:
Windows User:
Поставка возможна по 2 схемам (1) С учетом УСК у КПНЗ (мощность 1 млн т) 2) Более 1 млн тонн НК, весь объем идет на прямую на переработку УЗПКТ-СЗСК как собственность ПАО, а после СЗСК продажа СК в адрес ГПНЗ). Вопрос: есть ли договор у ГПНЗ с ПАО на реализацию СК?????
</t>
      </text>
    </comment>
    <comment ref="A50" authorId="3" shapeId="0">
      <text>
        <t xml:space="preserve">tc={00170055-00C0-49A2-AC77-001D002700FB}:
tc={0042007F-004C-4FF1-8EE8-00BF00360057}:
tc={005C0005-00D8-4F19-AD45-001C00C80042}:
Windows User:
весь объем и на СЗСК И В Альт схему 
</t>
      </text>
    </comment>
    <comment ref="C54" authorId="4" shapeId="0">
      <text>
        <t xml:space="preserve">tc={005C00A9-008F-41FA-96F2-00D600A40019}:
tc={00120038-00B2-45E4-85F4-0018007C00EA}:
tc={008900A7-00AB-4969-A32E-006100CE005B}:
Зеленихина Мария Владимировна:
Крымская собственность гду в адрес ГПП на 
возможно остатки и заполнение системы
</t>
      </text>
    </comment>
    <comment ref="D54" authorId="5" shapeId="0">
      <text>
        <t xml:space="preserve">tc={0049004D-00D9-4E64-8F6E-006900AC00F7}:
tc={00D6001F-00A1-449A-8819-006E00DE0012}:
Admin:
собственность гду в адрес ГПП на 
возможно остатки и заполнение системы
</t>
      </text>
    </comment>
    <comment ref="D55" authorId="6" shapeId="0">
      <text>
        <t xml:space="preserve">tc={000B00DC-00BA-4B10-8431-003F00510060}:
tc={00850047-008D-482E-8EAA-00F0008C00A2}:
Admin:
 поставка нефти по давальчнской схеме  (без оплаты) для нужд ООО Газпром подзем ремонт Уренгой" для проведения глушения скважин для ГРС 
</t>
      </text>
    </comment>
    <comment ref="A57" authorId="7" shapeId="0">
      <text>
        <t xml:space="preserve">tc={00D3009A-0052-4ABA-A16E-00FD00F900E1}:
tc={003D00F7-003D-4D53-8C43-00BE000700C3}:
tc={00BE007A-001F-4464-9A40-007800B90088}:
Зеленихина Мария Владимировна:
фаза 2
</t>
      </text>
    </comment>
    <comment ref="A72" authorId="8" shapeId="0">
      <text>
        <t xml:space="preserve">tc={00F6004D-00D4-42FF-831A-002B007000F7}:
tc={00D400AF-0000-4CC1-82D4-00C8000F00B9}:
tc={0034004F-00A3-4B76-8BB1-00B40072005D}:
Зеленихина Мария Владимировна:
в систему ЕСГ
</t>
      </text>
    </comment>
    <comment ref="D84" authorId="9" shapeId="0">
      <text>
        <t xml:space="preserve">tc={00EF002E-007A-428F-9393-002D00B60080}:
tc={0061004F-00FB-43BF-8E64-00DB001E00DE}:
tc={00F5002E-003E-4892-B321-001700470041}:
27.02.2026 Подлевских А.С.:
По указанию ТНТ.
</t>
      </text>
    </comment>
  </commentList>
</comments>
</file>

<file path=xl/comments/comment9.xml><?xml version="1.0" encoding="utf-8"?>
<comments xmlns="http://schemas.openxmlformats.org/spreadsheetml/2006/main">
  <authors>
    <author>tc={00200060-002A-41E7-9589-00AB009A00D0}</author>
    <author>tc={000D0097-00B4-4063-B5E1-00960080005E}</author>
  </authors>
  <commentList>
    <comment ref="D16" authorId="0" shapeId="0">
      <text>
        <t xml:space="preserve">tc={0099007E-0039-466E-A6F2-004F00E900FC}:
tc={0091003A-00C8-42CD-A4C7-008000400087}:
tc={00C000B9-006D-4041-940E-008D000B0013}:
Для извлечения выпавшего в пласте конденсата закачивают сухой газ, НГКС поднимается на поверхность за счёт энергии закачиваемого газа. Этот газ суммируется к объёму добытого газа.
</t>
      </text>
    </comment>
    <comment ref="D44" authorId="1" shapeId="0">
      <text>
        <t xml:space="preserve">tc={005A0089-00C6-4275-8FD7-00C8001800D8}:
tc={000600E1-003B-4B28-B905-008B0028004C}:
tc={00780022-009B-4564-8B0F-00E600CE0033}:
СК используется как светлый продукт в качестве СТН  для удаления парафинов в трубе и закачивается в составе НГКС и на выходе уже получается темный продукт в составе НГКС . Т.О. СК не считаем в баланс продукции как СК стн , так как он сидит уже в НГКС, являясь оборотным продуктом. 
</t>
      </text>
    </comment>
  </commentList>
</comments>
</file>

<file path=xl/comments/comment10.xml><?xml version="1.0" encoding="utf-8"?>
<comments xmlns="http://schemas.openxmlformats.org/spreadsheetml/2006/main">
  <authors>
    <author>tc={008B00A2-002D-4861-A783-000900E700DB}</author>
    <author>tc={00BC00E1-00C6-47A6-A177-002F00F20070}</author>
    <author>Admin</author>
  </authors>
  <commentList>
    <comment ref="D29" authorId="0" shapeId="0">
      <text>
        <t xml:space="preserve">Зеленихина Мария Владимировна:
новая строка
</t>
      </text>
    </comment>
    <comment ref="D73" authorId="1" shapeId="0">
      <text>
        <t xml:space="preserve">tc={00E10069-000C-41F9-B67C-008E00C00062}:
tc={0090006D-002F-4CC1-B767-00F500F9000F}:
tc={00F3004E-008D-4414-9C36-00B3008A0056}:
Подлевских Анастасия Сергеевна:
Со 2 кв. 2026 ГПН планируют постороить свой узел и сами транспортировать до ВСТО
</t>
      </text>
    </comment>
    <comment ref="D75" authorId="2" shapeId="0">
      <text>
        <t>Изменить название</t>
      </text>
    </comment>
  </commentList>
</comments>
</file>

<file path=xl/comments/comment11.xml><?xml version="1.0" encoding="utf-8"?>
<comments xmlns="http://schemas.openxmlformats.org/spreadsheetml/2006/main">
  <authors>
    <author>tc={002D0025-00A8-4186-A98A-0098007A00FE}</author>
    <author>tc={00310077-0068-44DA-8F15-00BA004F0064}</author>
  </authors>
  <commentList>
    <comment ref="D34" authorId="0" shapeId="0">
      <text>
        <t xml:space="preserve">tc={001A0004-0069-4442-9CE4-0054004600F5}:
tc={003C004C-0013-4FF0-A151-00B300B30028}:
tc={00CF0061-0060-4562-ADEE-007700C00046}:
весь газ идет на стн
</t>
      </text>
    </comment>
    <comment ref="D36" authorId="1" shapeId="0">
      <text>
        <t xml:space="preserve">tc={00A00050-00AE-4393-BE57-002400CC0081}:
tc={006B0069-002B-4A12-A68C-004A00D7003B}:
tc={004000DE-0040-40A9-B692-002D00D000FD}:
мин. используется на стн, все остальное сжигается
</t>
      </text>
    </comment>
  </commentList>
</comments>
</file>

<file path=xl/comments/comment12.xml><?xml version="1.0" encoding="utf-8"?>
<comments xmlns="http://schemas.openxmlformats.org/spreadsheetml/2006/main">
  <authors>
    <author>tc={009B0029-0013-469D-9A00-003200D700C6}</author>
    <author>tc={00CE0041-006B-4E69-8E3B-004500C1008E}</author>
    <author>tc={00CD00C5-0090-4F64-81B9-001900FC00BA}</author>
    <author>tc={00D900DB-004F-4713-A376-00A7003E008E}</author>
    <author>tc={00AF005E-006F-4721-99E0-0046000E0026}</author>
  </authors>
  <commentList>
    <comment ref="D17" authorId="0" shapeId="0">
      <text>
        <t xml:space="preserve">tc={00FD0045-00E7-4408-B2F5-007E00FB006A}:
tc={002C0048-0011-4704-972A-00A300D500F6}:
tc={009E00DD-009C-4E8E-8144-009B001300FC}:
Зеленихина Мария Владимировна:
15.02 убрать формулу
</t>
      </text>
    </comment>
    <comment ref="D20" authorId="1" shapeId="0">
      <text>
        <t xml:space="preserve">tc={0083008B-0025-4202-B7D2-00210099002E}:
tc={004900F1-00D6-440E-B85A-008A00FB00C4}:
tc={00B300C6-0040-45D9-BFC6-009100840017}:
Зеленихина Мария Владимировна:
новые строки
</t>
      </text>
    </comment>
    <comment ref="D23" authorId="2" shapeId="0">
      <text>
        <t xml:space="preserve">tc={00F90025-00CA-4D5D-9D4C-007A00AF00F2}:
tc={004F002B-0015-4667-893C-00AC003B00AD}:
tc={00EF0072-00C1-40F3-AADA-004B003600D6}:
Зеленихина Мария Владимировна:
новые строки
</t>
      </text>
    </comment>
    <comment ref="D25" authorId="3" shapeId="0">
      <text>
        <t xml:space="preserve">tc={00720099-006D-4608-B7DF-0000005E009E}:
tc={00A1007D-00D0-43AB-B0B9-00F000AF00FE}:
tc={00C10001-0049-49A9-A2EE-006C000D00D4}:
Зеленихина Мария Владимировна:
новая строка
</t>
      </text>
    </comment>
    <comment ref="D27" authorId="4" shapeId="0">
      <text>
        <t xml:space="preserve">tc={002D006E-001A-4EFF-A4A5-00D500170069}:
tc={00F600D6-00A1-4C32-820E-0059002100A5}:
tc={0077005B-003F-4DD3-A86A-0079009300CE}:
Зеленихина Мария Владимировна:
изменена формула
</t>
      </text>
    </comment>
  </commentList>
</comments>
</file>

<file path=xl/comments/comment13.xml><?xml version="1.0" encoding="utf-8"?>
<comments xmlns="http://schemas.openxmlformats.org/spreadsheetml/2006/main">
  <authors>
    <author>Admin</author>
  </authors>
  <commentList>
    <comment ref="I7" authorId="0" shapeId="0">
      <text>
        <t>Подлевских АС:
КВ для СК валового и СК одинаковые. Потом можно изменить подход. Считать сколько из валового вырабатывается СК товара. В данном случае, предлагаю так не делать!!!</t>
      </text>
    </comment>
  </commentList>
</comments>
</file>

<file path=xl/comments/comment14.xml><?xml version="1.0" encoding="utf-8"?>
<comments xmlns="http://schemas.openxmlformats.org/spreadsheetml/2006/main">
  <authors>
    <author>tc={0022005F-0075-490D-B46C-00A0009D0028}</author>
    <author>tc={0016004E-0032-4E61-9237-0045002C000F}</author>
    <author>tc={00C90067-0005-4D0F-AE90-00C400A40030}</author>
    <author>tc={009E0033-0023-4810-9BE4-005E00800001}</author>
    <author>tc={004F004E-00F6-4629-9425-001B00DA0062}</author>
    <author>tc={003300D5-0070-4503-A688-001200940004}</author>
    <author>tc={00A000ED-0034-469F-8D13-00CD00990014}</author>
    <author>tc={00D00064-0039-4C6E-A8D8-0006004B00B5}</author>
    <author>tc={007A008B-0094-4775-B7E7-0045007F0013}</author>
  </authors>
  <commentList>
    <comment ref="B47" authorId="0" shapeId="0">
      <text>
        <t xml:space="preserve">tc={008400BA-00FA-4C11-A270-0017002C00D6}:
tc={00C6001C-00C7-4CF3-961C-0097007F00F6}:
tc={00D00092-004B-4AF4-8523-00E900360091}:
Подлевских Анастасия Сергеевна:
поставка началась с марта 2024
</t>
      </text>
    </comment>
    <comment ref="D47" authorId="1" shapeId="0">
      <text>
        <t xml:space="preserve">tc={006400A3-007B-49F6-8920-00AC003C007A}:
tc={00C2006E-00BD-4D25-B602-00D0002700A3}:
tc={00E8006C-00F0-49E2-9D52-004B000A00C5}:
Подлевских Анастасия Сергеевна:
поставка началась с марта 2024
</t>
      </text>
    </comment>
    <comment ref="B105" authorId="2" shapeId="0">
      <text>
        <t xml:space="preserve">tc={00A60039-0028-43B4-8381-009D008F00B3}:
tc={00E300F3-009D-4A36-8D1F-00AB0060009C}:
tc={007800EE-00C8-4372-9D0B-009900A30034}:
Подлевских Анастасия Сергеевна:
топливо газообразное + кокс
</t>
      </text>
    </comment>
    <comment ref="D105" authorId="3" shapeId="0">
      <text>
        <t xml:space="preserve">tc={001B002F-0050-477D-B4E0-002B00B300D8}:
tc={00B3008F-00CF-4BB4-9F22-00A3009F00D8}:
tc={008C00B3-001A-46CC-BA82-004600080032}:
Подлевских Анастасия Сергеевна:
у нас больше от Д353 на топливный газ на нефтехимию
</t>
      </text>
    </comment>
    <comment ref="B202" authorId="4" shapeId="0">
      <text>
        <t xml:space="preserve">tc={00050028-009F-499C-9841-0006002F00AE}:
tc={00F400CB-00E7-4A4F-85F3-0069007F007E}:
tc={00870089-00C2-4168-A6F6-00BC00ED009B}:
Подлевских Анастасия Сергеевна:
природный газ только на технологию
</t>
      </text>
    </comment>
    <comment ref="D202" authorId="5" shapeId="0">
      <text>
        <t xml:space="preserve">tc={00CC00E2-00E4-4618-B594-007600FE00B6}:
tc={00610030-0073-4DC5-AB2A-009D00240008}:
tc={002A0060-0021-4C9F-A96C-0018001D0060}:
Подлевских Анастасия Сергеевна:
природный газ только на технологию
</t>
      </text>
    </comment>
    <comment ref="B212" authorId="6" shapeId="0">
      <text>
        <t xml:space="preserve">tc={008000CE-00BA-41A8-A9B0-008100800073}:
tc={005100ED-00FE-4779-A825-000B00DC00D3}:
tc={008F0085-0065-4DAE-B28F-0081002D0070}:
Подлевских Анастасия Сергеевна:
на технологию + топливо
</t>
      </text>
    </comment>
    <comment ref="D212" authorId="7" shapeId="0">
      <text>
        <t xml:space="preserve">tc={00F90006-00E5-474A-8F3D-00B600FA006D}:
tc={00DD0004-0020-435F-B9F7-00910090009D}:
tc={00BD00D1-0084-4F22-B1F9-00D600B50002}:
Подлевских Анастасия Сергеевна:
на технологию + топливо
</t>
      </text>
    </comment>
    <comment ref="K268" authorId="8" shapeId="0">
      <text>
        <t xml:space="preserve">tc={006200B6-00D8-45AB-8DEC-00AF000C0014}:
tc={005D00E2-00D2-4055-AAB1-0007006E009F}:
tc={008E0043-006B-488C-B3B7-00E600270006}:
Подлевских Анастасия Сергеевна:
либо исправить единицы измерения в ПРУВ либо вносить правильно. Но вносят в тыс.тоннах
</t>
      </text>
    </comment>
  </commentList>
</comments>
</file>

<file path=xl/externalLinks/_rels/externalLink1.xml.rels><Relationships xmlns="http://schemas.openxmlformats.org/package/2006/relationships"><Relationship Type="http://schemas.openxmlformats.org/officeDocument/2006/relationships/externalLinkPath" Target="file:///W:\GRP\816\816_4_3\2.%20&#1046;&#1059;&#1042;%20&#1080;%20&#1055;&#1055;\03%20&#1052;&#1072;&#1090;%20&#1073;&#1072;&#1083;&#1072;&#1085;&#1089;%20(&#1082;&#1086;&#1088;%20&#1080;%20&#1090;&#1088;&#1077;&#1093;&#1083;&#1077;&#1090;&#1082;&#1072;)\2025-2027\16%202025-2027%20&#1088;&#1077;&#1072;&#1083;&#1080;&#1079;&#1072;&#1094;&#1080;&#1103;\2008.xls" TargetMode="External" Id="rId1"/></Relationships>
</file>

<file path=xl/externalLinks/_rels/externalLink2.xml.rels><Relationships xmlns="http://schemas.openxmlformats.org/package/2006/relationships"><Relationship Type="http://schemas.openxmlformats.org/officeDocument/2006/relationships/externalLinkPath" Target="file:///\\Teo203-1\&#1086;&#1073;&#1084;&#1077;&#1085;%20&#1076;&#1083;&#1103;%20&#1095;&#1086;&#1093;&#1077;&#1083;&#1080;\&#1069;&#1082;&#1086;&#1085;&#1086;&#1084;&#1080;&#1082;&#1072;\&#1055;&#1077;&#1089;&#1094;&#1086;&#1074;&#1086;&#1077;\&#1057;&#1054;&#1043;\2005\&#1057;&#1054;&#1043;-&#1101;&#1092;&#1092;%201&#1081;%20&#1074;&#1072;&#1088;&#1080;&#1072;&#1085;&#1090;%20&#1089;&#1077;&#1085;&#1090;2005.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Лист1"/>
      <sheetName val="Лист2"/>
      <sheetName val="2008"/>
      <sheetName val="#ССЫЛКА"/>
      <sheetName val="Tables2003"/>
      <sheetName val="База"/>
      <sheetName val="Январь-февраль"/>
      <sheetName val="Балансы НП 2003"/>
      <sheetName val="Факсограммы"/>
      <sheetName val="Товарный баланс"/>
      <sheetName val="Товарныйбаланс"/>
      <sheetName val="баланс"/>
      <sheetName val="месяц квартал"/>
      <sheetName val="Распределение"/>
      <sheetName val="Ресурсы"/>
      <sheetName val="НП"/>
      <sheetName val="Поступление"/>
      <sheetName val="Транзит"/>
      <sheetName val="Correlation"/>
      <sheetName val="Bloomberg Extract (2)"/>
      <sheetName val="urea &amp; oil"/>
      <sheetName val="DAP Price Forecasts"/>
      <sheetName val="Forecasts"/>
      <sheetName val="Fertiliser Prices"/>
      <sheetName val="Consumption by Nutrient"/>
      <sheetName val="Monthly Correlation"/>
    </sheetNames>
    <sheetDataSet>
      <sheetData sheetId="0" refreshError="1"/>
      <sheetData sheetId="1" refreshError="1">
        <row r="1">
          <cell r="A1" t="str">
            <v>Баланс газа ООО "Ямбурггаздобыча"</v>
          </cell>
        </row>
        <row r="3">
          <cell r="I3">
            <v>0</v>
          </cell>
        </row>
        <row r="4">
          <cell r="E4" t="str">
            <v>2008г.</v>
          </cell>
          <cell r="F4" t="str">
            <v>I кв.</v>
          </cell>
          <cell r="G4" t="str">
            <v>II кв.</v>
          </cell>
          <cell r="H4" t="str">
            <v>III кв.</v>
          </cell>
          <cell r="I4" t="str">
            <v>IV кв.</v>
          </cell>
        </row>
        <row r="5">
          <cell r="A5" t="str">
            <v>Добыча газа</v>
          </cell>
        </row>
        <row r="6">
          <cell r="A6" t="str">
            <v xml:space="preserve">                из газоконденсатных скважин</v>
          </cell>
        </row>
        <row r="7">
          <cell r="A7" t="str">
            <v xml:space="preserve">                Заполярное месторождение</v>
          </cell>
        </row>
        <row r="8">
          <cell r="A8" t="str">
            <v>СН промыслов Ямбурггаздобычи</v>
          </cell>
        </row>
        <row r="9">
          <cell r="A9" t="str">
            <v xml:space="preserve">                в т.ч. ЗГНКМ и Тазовский УДГ</v>
          </cell>
        </row>
        <row r="10">
          <cell r="A10" t="str">
            <v>Товарный газ</v>
          </cell>
        </row>
        <row r="11">
          <cell r="A11" t="str">
            <v xml:space="preserve">     Потребители Ямбурггаздобычи</v>
          </cell>
        </row>
        <row r="12">
          <cell r="A12" t="str">
            <v>Распределение газа</v>
          </cell>
        </row>
        <row r="13">
          <cell r="A13" t="str">
            <v xml:space="preserve">         ЗАО "Северрегионгаз" (потребителям)</v>
          </cell>
        </row>
        <row r="14">
          <cell r="A14" t="str">
            <v>в т.ч. для ООО "Газпромэнерго"</v>
          </cell>
        </row>
        <row r="15">
          <cell r="A15" t="str">
            <v xml:space="preserve">       Подача в магистральные газопроводы</v>
          </cell>
        </row>
        <row r="16">
          <cell r="A16" t="str">
            <v xml:space="preserve">                               в т.ч. ООО "Сургутгазпром"</v>
          </cell>
        </row>
        <row r="17">
          <cell r="A17" t="str">
            <v xml:space="preserve">                        газ сухой отбензиненный</v>
          </cell>
        </row>
        <row r="18">
          <cell r="A18" t="str">
            <v xml:space="preserve">             газ ОАО "Газпром"</v>
          </cell>
        </row>
        <row r="19">
          <cell r="A19" t="str">
            <v xml:space="preserve">                        газ сухой отбензиненный</v>
          </cell>
        </row>
        <row r="23">
          <cell r="A23" t="str">
            <v>Заместитель Председателя Правления ОАО "Газпром" -</v>
          </cell>
        </row>
        <row r="24">
          <cell r="A24" t="str">
            <v>начальник  Финансово-экономического департамента                                                                       А.В. Круглов</v>
          </cell>
        </row>
        <row r="28">
          <cell r="A28" t="str">
            <v>Баланс газа ООО "Уренгойгазпром"</v>
          </cell>
        </row>
        <row r="30">
          <cell r="I30" t="str">
            <v>млн. куб. м</v>
          </cell>
        </row>
        <row r="31">
          <cell r="E31" t="str">
            <v>2008г.</v>
          </cell>
          <cell r="F31" t="str">
            <v>I кв.</v>
          </cell>
          <cell r="G31" t="str">
            <v>II кв.</v>
          </cell>
          <cell r="H31" t="str">
            <v>III кв.</v>
          </cell>
          <cell r="I31" t="str">
            <v>IV кв.</v>
          </cell>
        </row>
        <row r="32">
          <cell r="A32" t="str">
            <v>Ресурсы - всего</v>
          </cell>
        </row>
        <row r="33">
          <cell r="A33" t="str">
            <v xml:space="preserve">       Добыча газа</v>
          </cell>
        </row>
        <row r="34">
          <cell r="A34" t="str">
            <v xml:space="preserve">                     из газоконденсатных скважин</v>
          </cell>
        </row>
        <row r="35">
          <cell r="A35" t="str">
            <v xml:space="preserve">                     попутный нефтяной газ</v>
          </cell>
        </row>
        <row r="36">
          <cell r="A36" t="str">
            <v xml:space="preserve">       Газ деэтанизации конденсата</v>
          </cell>
        </row>
        <row r="37">
          <cell r="A37" t="str">
            <v>СТН Уренгойгазпрома - всего</v>
          </cell>
        </row>
        <row r="38">
          <cell r="A38" t="str">
            <v xml:space="preserve">                   СТН нужды промыслов</v>
          </cell>
        </row>
        <row r="39">
          <cell r="A39" t="str">
            <v xml:space="preserve">                             в т.ч. попутный нефтяной газ</v>
          </cell>
        </row>
        <row r="40">
          <cell r="A40" t="str">
            <v xml:space="preserve">                   СТН ЗПГК (газ деэтанизации конденсата)</v>
          </cell>
        </row>
        <row r="41">
          <cell r="A41" t="str">
            <v>Товарный газ</v>
          </cell>
        </row>
        <row r="42">
          <cell r="A42" t="str">
            <v xml:space="preserve">         Потребители газа ООО "Уренгойгазпром"</v>
          </cell>
        </row>
        <row r="43">
          <cell r="A43" t="str">
            <v xml:space="preserve">                       ЗАО "Северрегионгаз"</v>
          </cell>
        </row>
        <row r="44">
          <cell r="A44" t="str">
            <v xml:space="preserve">                       Прочие</v>
          </cell>
        </row>
        <row r="45">
          <cell r="A45" t="str">
            <v>СПРАВОЧНО:</v>
          </cell>
        </row>
        <row r="46">
          <cell r="A46" t="str">
            <v xml:space="preserve">         кр.т. газ ЗАО "Роспан Интернешнл"</v>
          </cell>
        </row>
        <row r="47">
          <cell r="A47" t="str">
            <v>Распределение газа</v>
          </cell>
        </row>
        <row r="48">
          <cell r="A48" t="str">
            <v xml:space="preserve">       Подача в Тюментрансгаз</v>
          </cell>
        </row>
        <row r="49">
          <cell r="A49" t="str">
            <v xml:space="preserve">             газ ОАО "Газпром"</v>
          </cell>
        </row>
        <row r="50">
          <cell r="A50" t="str">
            <v xml:space="preserve">                                 сухой отбензиненный</v>
          </cell>
        </row>
        <row r="51">
          <cell r="A51" t="str">
            <v xml:space="preserve">                                 газ деэтанизации конденсата</v>
          </cell>
        </row>
        <row r="52">
          <cell r="A52" t="str">
            <v xml:space="preserve">                                 попутный нефтяной газ</v>
          </cell>
        </row>
        <row r="53">
          <cell r="A53" t="str">
            <v xml:space="preserve">                                  кр. т. газ от ООО "Ноябрьскгаздобычи"</v>
          </cell>
        </row>
        <row r="55">
          <cell r="A55" t="str">
            <v xml:space="preserve">                 кр.т. газ ЗАО "Роспан Интернешнл" (справочно)</v>
          </cell>
        </row>
        <row r="58">
          <cell r="A58" t="str">
            <v>Заместитель Председателя Правления ОАО "Газпром" -</v>
          </cell>
        </row>
        <row r="59">
          <cell r="A59" t="str">
            <v>начальник  Финансово-экономического департамента                                                                       А.В. Круглов</v>
          </cell>
        </row>
        <row r="61">
          <cell r="A61" t="str">
            <v>Баланс газа ООО "Надымгазпром"</v>
          </cell>
        </row>
        <row r="63">
          <cell r="I63">
            <v>0</v>
          </cell>
        </row>
        <row r="64">
          <cell r="E64" t="str">
            <v>2008г.</v>
          </cell>
          <cell r="F64" t="str">
            <v>I кв.</v>
          </cell>
          <cell r="G64" t="str">
            <v>II кв.</v>
          </cell>
          <cell r="H64" t="str">
            <v>III кв.</v>
          </cell>
          <cell r="I64" t="str">
            <v>IV кв.</v>
          </cell>
        </row>
        <row r="65">
          <cell r="A65" t="str">
            <v>Добыча газа</v>
          </cell>
        </row>
        <row r="66">
          <cell r="A66" t="str">
            <v xml:space="preserve">      СН промыслов Надымгазпрома</v>
          </cell>
        </row>
        <row r="67">
          <cell r="A67" t="str">
            <v>Товарный газ</v>
          </cell>
        </row>
        <row r="68">
          <cell r="A68" t="str">
            <v xml:space="preserve">      Потребители Надымгазпрома</v>
          </cell>
        </row>
        <row r="69">
          <cell r="A69" t="str">
            <v>в т.ч. для ООО "Газпромэнерго" (ч/з ЗАО "СеверРГ")</v>
          </cell>
        </row>
        <row r="70">
          <cell r="A70" t="str">
            <v>Распределение газа</v>
          </cell>
        </row>
        <row r="71">
          <cell r="A71" t="str">
            <v xml:space="preserve">    Подача в Тюментрансгаз</v>
          </cell>
        </row>
        <row r="72">
          <cell r="A72" t="str">
            <v xml:space="preserve">           газ ОАО "Газпром"</v>
          </cell>
        </row>
        <row r="77">
          <cell r="A77" t="str">
            <v>Заместитель Председателя Правления ОАО "Газпром" -</v>
          </cell>
        </row>
        <row r="78">
          <cell r="A78" t="str">
            <v>начальник  Финансово-экономического департамента                                                                       А.В. Круглов</v>
          </cell>
        </row>
        <row r="80">
          <cell r="A80" t="str">
            <v>Баланс газа ООО "Тюментрансгаз"</v>
          </cell>
        </row>
        <row r="82">
          <cell r="I82">
            <v>0</v>
          </cell>
        </row>
        <row r="83">
          <cell r="E83" t="str">
            <v>2008г.</v>
          </cell>
          <cell r="F83" t="str">
            <v>I кв.</v>
          </cell>
          <cell r="G83" t="str">
            <v>II кв.</v>
          </cell>
          <cell r="H83" t="str">
            <v>III кв.</v>
          </cell>
          <cell r="I83" t="str">
            <v>IV кв.</v>
          </cell>
        </row>
        <row r="84">
          <cell r="A84" t="str">
            <v>Добыча газа</v>
          </cell>
        </row>
        <row r="85">
          <cell r="A85" t="str">
            <v xml:space="preserve">      СН промыслов</v>
          </cell>
        </row>
        <row r="86">
          <cell r="A86" t="str">
            <v>Товарный газ</v>
          </cell>
        </row>
        <row r="87">
          <cell r="A87" t="str">
            <v xml:space="preserve">      Потребителям промыслов</v>
          </cell>
        </row>
        <row r="88">
          <cell r="A88" t="str">
            <v>Подача газа в магистральный газопровод</v>
          </cell>
        </row>
        <row r="91">
          <cell r="A91" t="str">
            <v>Заместитель Председателя Правления ОАО "Газпром" -</v>
          </cell>
        </row>
        <row r="92">
          <cell r="A92" t="str">
            <v>начальник  Финансово-экономического департамента                                                                       А.В. Круглов</v>
          </cell>
        </row>
        <row r="95">
          <cell r="A95" t="str">
            <v>Баланс газа ООО "Ноябрьскгаздобыча"</v>
          </cell>
        </row>
        <row r="97">
          <cell r="I97">
            <v>0</v>
          </cell>
        </row>
        <row r="98">
          <cell r="E98" t="str">
            <v>2008г.</v>
          </cell>
          <cell r="F98" t="str">
            <v>I кв.</v>
          </cell>
          <cell r="G98" t="str">
            <v>II кв.</v>
          </cell>
          <cell r="H98" t="str">
            <v>III кв.</v>
          </cell>
          <cell r="I98" t="str">
            <v>IV кв.</v>
          </cell>
        </row>
        <row r="99">
          <cell r="A99" t="str">
            <v>Добыча газа</v>
          </cell>
        </row>
        <row r="100">
          <cell r="A100" t="str">
            <v xml:space="preserve">             кр.т. покупка газа у ООО "Янгпур"</v>
          </cell>
        </row>
        <row r="101">
          <cell r="A101" t="str">
            <v xml:space="preserve">      СН промыслов Ноябрьскгаздобычи</v>
          </cell>
        </row>
        <row r="102">
          <cell r="A102" t="str">
            <v>Товарный газ</v>
          </cell>
        </row>
        <row r="103">
          <cell r="A103" t="str">
            <v>Распределение газа</v>
          </cell>
        </row>
        <row r="104">
          <cell r="A104" t="str">
            <v xml:space="preserve">   Подача в магистральный газопровод</v>
          </cell>
        </row>
        <row r="105">
          <cell r="A105" t="str">
            <v xml:space="preserve">                        в т.ч. для подачи ч/з УренгойГП в ТюменТГ</v>
          </cell>
        </row>
        <row r="106">
          <cell r="A106" t="str">
            <v xml:space="preserve">       газ ОАО "Газпром"</v>
          </cell>
        </row>
        <row r="107">
          <cell r="A107" t="str">
            <v xml:space="preserve">       газ ОАО "НОВАТЭК"</v>
          </cell>
        </row>
        <row r="108">
          <cell r="A108" t="str">
            <v xml:space="preserve">       газ ООО "Ноябрьскгаздобыча"</v>
          </cell>
        </row>
        <row r="109">
          <cell r="A109" t="str">
            <v xml:space="preserve">               - собственное потребление в г. Ноябрьске</v>
          </cell>
        </row>
        <row r="110">
          <cell r="A110" t="str">
            <v xml:space="preserve">               - собств. пост-ка. потреб-ям в г. Ноябрьске</v>
          </cell>
        </row>
        <row r="111">
          <cell r="A111" t="str">
            <v xml:space="preserve">         кр.т. газ ООО "Межрегионгаз" (газ ООО "Янгпур")</v>
          </cell>
        </row>
        <row r="114">
          <cell r="A114" t="str">
            <v>Заместитель Председателя Правления ОАО "Газпром" -</v>
          </cell>
        </row>
        <row r="115">
          <cell r="A115" t="str">
            <v>начальник  Финансово-экономического департамента                                                                       А.В. Круглов</v>
          </cell>
        </row>
        <row r="117">
          <cell r="A117" t="str">
            <v>Баланс газа ООО "Пургаздобыча"</v>
          </cell>
        </row>
        <row r="119">
          <cell r="I119">
            <v>0</v>
          </cell>
        </row>
        <row r="120">
          <cell r="E120" t="str">
            <v>2008г.</v>
          </cell>
          <cell r="F120" t="str">
            <v>I кв.</v>
          </cell>
          <cell r="G120" t="str">
            <v>II кв.</v>
          </cell>
          <cell r="H120" t="str">
            <v>III кв.</v>
          </cell>
          <cell r="I120" t="str">
            <v>IV кв.</v>
          </cell>
        </row>
        <row r="121">
          <cell r="A121" t="str">
            <v>Добыча газа</v>
          </cell>
        </row>
        <row r="122">
          <cell r="A122" t="str">
            <v xml:space="preserve">      СН промыслов</v>
          </cell>
        </row>
        <row r="123">
          <cell r="A123" t="str">
            <v>Товарный газ</v>
          </cell>
        </row>
        <row r="124">
          <cell r="A124" t="str">
            <v>Распределение газа</v>
          </cell>
        </row>
        <row r="125">
          <cell r="A125" t="str">
            <v xml:space="preserve">   Подача в Сургутгазпром</v>
          </cell>
        </row>
        <row r="126">
          <cell r="A126" t="str">
            <v xml:space="preserve">                        в т.ч. для подачи ч/з УренгойГП в ТюменТГ</v>
          </cell>
        </row>
        <row r="127">
          <cell r="A127" t="str">
            <v xml:space="preserve">       газ ОАО "Газпром"</v>
          </cell>
        </row>
        <row r="128">
          <cell r="A128" t="str">
            <v xml:space="preserve">            - для поставки внутри РФ</v>
          </cell>
        </row>
        <row r="129">
          <cell r="A129" t="str">
            <v xml:space="preserve">                         в т.ч. для продажи ОАО "НОВАТЭК"</v>
          </cell>
        </row>
        <row r="131">
          <cell r="A131" t="str">
            <v>Заместитель Председателя Правления ОАО "Газпром" -</v>
          </cell>
        </row>
        <row r="132">
          <cell r="A132" t="str">
            <v>начальник  Финансово-экономического департамента                                                                       А.В. Круглов</v>
          </cell>
        </row>
        <row r="134">
          <cell r="A134" t="str">
            <v>Баланс газа по ООО "Оренбурггазпром"</v>
          </cell>
        </row>
        <row r="136">
          <cell r="I136">
            <v>0</v>
          </cell>
        </row>
        <row r="137">
          <cell r="E137" t="str">
            <v>2008г.</v>
          </cell>
          <cell r="F137" t="str">
            <v>I кв.</v>
          </cell>
          <cell r="G137" t="str">
            <v>II кв.</v>
          </cell>
          <cell r="H137" t="str">
            <v>III кв.</v>
          </cell>
          <cell r="I137" t="str">
            <v>IV кв.</v>
          </cell>
        </row>
        <row r="138">
          <cell r="A138" t="str">
            <v>1. Сырой газа (поступление на переработку)</v>
          </cell>
        </row>
        <row r="139">
          <cell r="A139" t="str">
            <v xml:space="preserve">                  ООО "Оренбурггазпром" (собственная добыча)</v>
          </cell>
        </row>
        <row r="140">
          <cell r="A140" t="str">
            <v xml:space="preserve">                            в т.ч. из газоконденсатных скважин</v>
          </cell>
        </row>
        <row r="141">
          <cell r="A141" t="str">
            <v xml:space="preserve">                                     попутный нефтяной газ</v>
          </cell>
        </row>
        <row r="142">
          <cell r="A142" t="str">
            <v xml:space="preserve">                  ООО "Сервиснефтегаз"</v>
          </cell>
        </row>
        <row r="143">
          <cell r="A143" t="str">
            <v xml:space="preserve">                  ЗАО "Стимул"</v>
          </cell>
        </row>
        <row r="144">
          <cell r="A144" t="str">
            <v xml:space="preserve">                  ЗАО "Уралнефтегазпром"</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сводка_исх"/>
      <sheetName val="сводка2вар"/>
      <sheetName val="ССР-СОГ 1в"/>
      <sheetName val="ССР-СОГбезБЗ 1в"/>
      <sheetName val="ССР-СОГ 2в"/>
      <sheetName val="ССР-СОГбезБЗ 2в"/>
      <sheetName val="ССР-АВО"/>
      <sheetName val="Кал(по мес)"/>
      <sheetName val="КВдин"/>
      <sheetName val="ЕСН"/>
      <sheetName val="ИД"/>
      <sheetName val="ИД ОБЩ"/>
      <sheetName val="мат"/>
      <sheetName val="КВ,Ам"/>
      <sheetName val="издер"/>
      <sheetName val="поток"/>
      <sheetName val="поток1"/>
      <sheetName val="доход"/>
      <sheetName val="чуств"/>
      <sheetName val="КВпеч"/>
      <sheetName val="удель"/>
      <sheetName val="осн-пок"/>
      <sheetName val="осн-печ"/>
      <sheetName val="чуств зн 1в"/>
      <sheetName val="чуств зн 2в"/>
      <sheetName val="мат печ"/>
      <sheetName val="плата за природ"/>
      <sheetName val="природ 1в"/>
      <sheetName val="п5.Атмосф"/>
      <sheetName val="п6.Сброс"/>
      <sheetName val="п7. ПЭМ"/>
      <sheetName val="ПЭМ"/>
      <sheetName val="отходы"/>
      <sheetName val="КВ"/>
      <sheetName val="главы 1-7p"/>
      <sheetName val="Лист3"/>
      <sheetName val="Справочники"/>
      <sheetName val="СИ"/>
      <sheetName val="4.2.4 (предложения)"/>
      <sheetName val="ССР-СОГ_1в"/>
      <sheetName val="ССР-СОГбезБЗ_1в"/>
      <sheetName val="ССР-СОГ_2в"/>
      <sheetName val="ССР-СОГбезБЗ_2в"/>
      <sheetName val="Кал(по_мес)"/>
      <sheetName val="ИД_ОБЩ"/>
      <sheetName val="чуств_зн_1в"/>
      <sheetName val="чуств_зн_2в"/>
      <sheetName val="мат_печ"/>
      <sheetName val="плата_за_природ"/>
      <sheetName val="природ_1в"/>
      <sheetName val="п5_Атмосф"/>
      <sheetName val="п6_Сброс"/>
      <sheetName val="п7__ПЭМ"/>
      <sheetName val="главы_1-7p"/>
      <sheetName val="ССР-СОГ_1в1"/>
      <sheetName val="ССР-СОГбезБЗ_1в1"/>
      <sheetName val="ССР-СОГ_2в1"/>
      <sheetName val="ССР-СОГбезБЗ_2в1"/>
      <sheetName val="Кал(по_мес)1"/>
      <sheetName val="ИД_ОБЩ1"/>
      <sheetName val="чуств_зн_1в1"/>
      <sheetName val="чуств_зн_2в1"/>
      <sheetName val="мат_печ1"/>
      <sheetName val="плата_за_природ1"/>
      <sheetName val="природ_1в1"/>
      <sheetName val="п5_Атмосф1"/>
      <sheetName val="п6_Сброс1"/>
      <sheetName val="п7__ПЭМ1"/>
      <sheetName val="главы_1-7p1"/>
      <sheetName val="3. Субъекты РФ"/>
      <sheetName val="5. Перечень месторождений"/>
      <sheetName val="4. Периметр организаций"/>
      <sheetName val="320-330"/>
      <sheetName val="Общие"/>
      <sheetName val="Заполнить_ФИО!"/>
      <sheetName val="synthgraph"/>
      <sheetName val="Лист_4"/>
      <sheetName val="Добыча-факт"/>
      <sheetName val="Константы"/>
      <sheetName val="Financials"/>
      <sheetName val="90190016"/>
      <sheetName val="УСО"/>
      <sheetName val="RSOILBAL"/>
      <sheetName val="СОГ-эфф 1й вариант сент2005"/>
      <sheetName val="норм КВ"/>
      <sheetName val="технол показ"/>
      <sheetName val="налоги из себ"/>
      <sheetName val="Параметры"/>
      <sheetName val="на 1 тут"/>
      <sheetName val="IPL Level 2 Curves 04-May-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Arial"/>
        <a:cs typeface="Arial"/>
      </a:majorFont>
      <a:minorFont>
        <a:latin typeface="Calibri"/>
        <a:ea typeface="Arial"/>
        <a:cs typeface="Arial"/>
      </a:minorFont>
    </a:fontScheme>
    <a:fmtScheme name="Стандартная">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sheet1.xml><?xml version="1.0" encoding="utf-8"?>
<worksheet xmlns="http://schemas.openxmlformats.org/spreadsheetml/2006/main">
  <sheetPr codeName="Лист3">
    <outlinePr summaryBelow="1" summaryRight="1"/>
    <pageSetUpPr/>
  </sheetPr>
  <dimension ref="A1:B13"/>
  <sheetViews>
    <sheetView workbookViewId="0">
      <selection activeCell="B13" sqref="B13"/>
    </sheetView>
  </sheetViews>
  <sheetFormatPr baseColWidth="8" defaultRowHeight="15"/>
  <cols>
    <col width="28.85546875" customWidth="1" style="904" min="1" max="1"/>
    <col width="73.28515625" customWidth="1" style="904" min="2" max="2"/>
    <col width="9.140625" customWidth="1" style="904" min="3" max="45"/>
    <col width="9.140625" customWidth="1" style="904" min="46" max="16384"/>
  </cols>
  <sheetData>
    <row r="1" ht="18.75" customHeight="1" s="904">
      <c r="A1" s="497" t="inlineStr">
        <is>
          <t>Имя</t>
        </is>
      </c>
      <c r="B1" s="497" t="inlineStr">
        <is>
          <t>Стиль</t>
        </is>
      </c>
    </row>
    <row r="2" ht="18.75" customHeight="1" s="904">
      <c r="A2" t="inlineStr">
        <is>
          <t>FONT_SIMPLE</t>
        </is>
      </c>
      <c r="B2" s="498" t="n">
        <v>1234567890.12345</v>
      </c>
    </row>
    <row r="3" ht="18.75" customHeight="1" s="904">
      <c r="A3" t="inlineStr">
        <is>
          <t>FONT_FORMULA</t>
        </is>
      </c>
      <c r="B3" s="499" t="n">
        <v>1234567890.12345</v>
      </c>
    </row>
    <row r="4">
      <c r="A4" t="inlineStr">
        <is>
          <t>FONT_TITLE_LVL0</t>
        </is>
      </c>
      <c r="B4" s="500" t="inlineStr">
        <is>
          <t>Текст пример 1234567890,1234567891</t>
        </is>
      </c>
    </row>
    <row r="5" ht="18.75" customHeight="1" s="904">
      <c r="A5" t="inlineStr">
        <is>
          <t>FONT_TITLE_LVL1</t>
        </is>
      </c>
      <c r="B5" s="501" t="inlineStr">
        <is>
          <t>Текст пример 1234567890,1234567891</t>
        </is>
      </c>
    </row>
    <row r="6">
      <c r="A6" t="inlineStr">
        <is>
          <t>RULES_GREEN_RED_DASH</t>
        </is>
      </c>
      <c r="B6" s="2" t="n">
        <v>1234567890.12345</v>
      </c>
    </row>
    <row r="7">
      <c r="A7" t="inlineStr">
        <is>
          <t>FULL_BORDER</t>
        </is>
      </c>
      <c r="B7" s="502" t="inlineStr">
        <is>
          <t>Текст пример 1234567890,1234567891</t>
        </is>
      </c>
    </row>
    <row r="8">
      <c r="A8" t="inlineStr">
        <is>
          <t>FORMAT_PERCENTAGE</t>
        </is>
      </c>
      <c r="B8" s="3" t="n">
        <v>0.76</v>
      </c>
    </row>
    <row r="9" ht="19.5" customHeight="1" s="904">
      <c r="A9" s="503" t="inlineStr">
        <is>
          <t>FONT_TITLE_GROUP1_LVL1</t>
        </is>
      </c>
      <c r="B9" s="504" t="inlineStr">
        <is>
          <t>Текст пример 1234567890,1234567891</t>
        </is>
      </c>
    </row>
    <row r="10">
      <c r="A10" s="503" t="inlineStr">
        <is>
          <t>FONT_TITLE_GROUP1_LVL2</t>
        </is>
      </c>
      <c r="B10" s="505" t="inlineStr">
        <is>
          <t>Текст пример 1234567890,1234567891</t>
        </is>
      </c>
    </row>
    <row r="11" ht="19.5" customHeight="1" s="904">
      <c r="A11" s="503" t="inlineStr">
        <is>
          <t>FONT_CHECKER1</t>
        </is>
      </c>
      <c r="B11" s="543" t="n">
        <v>1234567890.12345</v>
      </c>
    </row>
    <row r="12">
      <c r="A12" s="503" t="inlineStr">
        <is>
          <t>RULE_DASH_FOR_ZERO</t>
        </is>
      </c>
      <c r="B12" t="n">
        <v>0</v>
      </c>
    </row>
    <row r="13" ht="18.75" customHeight="1" s="904">
      <c r="A13" s="760" t="inlineStr">
        <is>
          <t>CELL_INPUT</t>
        </is>
      </c>
      <c r="B13" s="761" t="n">
        <v>1234567890.12345</v>
      </c>
    </row>
  </sheetData>
  <conditionalFormatting sqref="B6">
    <cfRule type="cellIs" priority="2" operator="lessThan" dxfId="25">
      <formula>0</formula>
    </cfRule>
    <cfRule type="cellIs" priority="3" operator="greaterThan" dxfId="21">
      <formula>0</formula>
    </cfRule>
  </conditionalFormatting>
  <conditionalFormatting sqref="B6 B12">
    <cfRule type="cellIs" priority="1" operator="equal" dxfId="0">
      <formula>0</formula>
    </cfRule>
  </conditionalFormatting>
  <pageMargins left="0.7" right="0.7" top="0.75" bottom="0.75" header="0.3" footer="0.3"/>
  <pageSetup orientation="portrait" paperSize="9"/>
</worksheet>
</file>

<file path=xl/worksheets/sheet2.xml><?xml version="1.0" encoding="utf-8"?>
<worksheet xmlns="http://schemas.openxmlformats.org/spreadsheetml/2006/main">
  <sheetPr codeName="Лист6">
    <tabColor rgb="FF92D050"/>
    <outlinePr summaryBelow="1" summaryRight="1"/>
    <pageSetUpPr fitToPage="1"/>
  </sheetPr>
  <dimension ref="A1:J1282"/>
  <sheetViews>
    <sheetView zoomScale="80" workbookViewId="0">
      <pane xSplit="10" ySplit="9" topLeftCell="K10" activePane="bottomRight" state="frozen"/>
      <selection activeCell="I10" sqref="I10"/>
      <selection pane="topRight" activeCell="B1" sqref="B1"/>
      <selection pane="bottomLeft" activeCell="B1" sqref="B1"/>
      <selection pane="bottomRight" activeCell="K10" sqref="K10"/>
    </sheetView>
  </sheetViews>
  <sheetFormatPr baseColWidth="8" defaultColWidth="8.42578125" defaultRowHeight="15" outlineLevelRow="2"/>
  <cols>
    <col outlineLevel="1" width="9.140625" customWidth="1" style="904" min="1" max="1"/>
    <col width="9.42578125" customWidth="1" style="904" min="2" max="2"/>
    <col width="66.28515625" customWidth="1" style="904" min="3" max="3"/>
    <col hidden="1" outlineLevel="1" width="25.85546875" customWidth="1" style="904" min="4" max="4"/>
    <col hidden="1" outlineLevel="1" width="25" customWidth="1" style="904" min="5" max="6"/>
    <col hidden="1" outlineLevel="1" width="40.5703125" customWidth="1" style="904" min="7" max="8"/>
    <col hidden="1" outlineLevel="1" width="18.42578125" customWidth="1" style="904" min="9" max="9"/>
    <col collapsed="1" width="12.28515625" customWidth="1" style="904" min="10" max="10"/>
    <col width="8.43" customWidth="1" style="904" min="11" max="104"/>
    <col width="8.43" customWidth="1" style="904" min="105" max="16384"/>
  </cols>
  <sheetData>
    <row r="1" ht="15.75" customHeight="1" s="904">
      <c r="B1" s="909" t="n"/>
      <c r="C1" s="4" t="n"/>
      <c r="D1" s="4" t="n"/>
      <c r="E1" s="4" t="n"/>
      <c r="F1" s="4" t="n"/>
    </row>
    <row r="2" ht="15.75" customHeight="1" s="904">
      <c r="B2" s="909" t="n"/>
      <c r="C2" s="4" t="n"/>
      <c r="D2" s="4" t="n"/>
      <c r="E2" s="4" t="n"/>
      <c r="F2" s="4" t="n"/>
    </row>
    <row r="3" ht="20.25" customHeight="1" s="904">
      <c r="B3" s="5" t="inlineStr">
        <is>
          <t>Показатели по переработке углеводородного сырья и производству продукции Группы Газпром на _______________ год/годы</t>
        </is>
      </c>
      <c r="C3" s="5" t="n"/>
      <c r="D3" s="5" t="n"/>
      <c r="E3" s="5" t="n"/>
      <c r="F3" s="5" t="n"/>
      <c r="G3" s="5" t="n"/>
      <c r="H3" s="5" t="n"/>
      <c r="I3" s="5" t="n"/>
      <c r="J3" s="5" t="n"/>
    </row>
    <row r="4" ht="15.75" customHeight="1" s="904">
      <c r="B4" s="909" t="n"/>
      <c r="C4" s="4" t="n"/>
      <c r="D4" s="4" t="n"/>
      <c r="E4" s="4" t="n"/>
      <c r="F4" s="4" t="n"/>
    </row>
    <row r="5" ht="20.1" customHeight="1" s="904">
      <c r="B5" s="909" t="n"/>
      <c r="C5" s="4" t="n"/>
      <c r="D5" s="4" t="n"/>
      <c r="E5" s="4" t="n"/>
      <c r="F5" s="4" t="n"/>
    </row>
    <row r="6" ht="20.1" customHeight="1" s="904">
      <c r="B6" s="917" t="inlineStr">
        <is>
          <t>Показатели</t>
        </is>
      </c>
      <c r="C6" s="918" t="n"/>
      <c r="D6" s="924" t="inlineStr">
        <is>
          <t>Внутренние настройки листа</t>
        </is>
      </c>
      <c r="E6" s="925" t="n"/>
      <c r="F6" s="925" t="n"/>
      <c r="G6" s="925" t="n"/>
      <c r="H6" s="925" t="n"/>
      <c r="I6" s="926" t="n"/>
      <c r="J6" s="915" t="inlineStr">
        <is>
          <t>Един.
 изм.</t>
        </is>
      </c>
    </row>
    <row r="7" ht="39.95" customHeight="1" s="904">
      <c r="B7" s="919" t="n"/>
      <c r="C7" s="906" t="n"/>
      <c r="D7" s="910" t="inlineStr">
        <is>
          <t>Ключ статьи</t>
        </is>
      </c>
      <c r="E7" s="910" t="inlineStr">
        <is>
          <t>Ключ спец</t>
        </is>
      </c>
      <c r="F7" s="910" t="inlineStr">
        <is>
          <t>Ключ ввод данных</t>
        </is>
      </c>
      <c r="G7" s="910" t="inlineStr">
        <is>
          <t>Формулы месяца</t>
        </is>
      </c>
      <c r="H7" s="910" t="inlineStr">
        <is>
          <t>Формулы % выхода</t>
        </is>
      </c>
      <c r="I7" s="910" t="inlineStr">
        <is>
          <t>Строка проверка</t>
        </is>
      </c>
      <c r="J7" s="916" t="n"/>
    </row>
    <row r="8" ht="20.1" customHeight="1" s="904">
      <c r="B8" s="920" t="n"/>
      <c r="C8" s="921" t="n"/>
      <c r="D8" s="911" t="n"/>
      <c r="E8" s="911" t="n"/>
      <c r="F8" s="911" t="n"/>
      <c r="G8" s="911" t="n"/>
      <c r="H8" s="911" t="n"/>
      <c r="I8" s="911" t="n"/>
      <c r="J8" s="911" t="n"/>
    </row>
    <row r="9" hidden="1" ht="20.1" customHeight="1" s="904">
      <c r="B9" s="909" t="n"/>
      <c r="C9" s="6" t="n"/>
      <c r="D9" s="7" t="n"/>
      <c r="E9" s="6" t="n"/>
      <c r="F9" s="6" t="n"/>
      <c r="G9" s="6" t="n"/>
      <c r="H9" s="6" t="n"/>
      <c r="I9" s="8" t="n"/>
      <c r="J9" s="6" t="n"/>
    </row>
    <row r="10" ht="20.1" customHeight="1" s="904">
      <c r="B10" s="9" t="inlineStr">
        <is>
          <t>Раздел 1. Прогнозные показатели по переработке углеводородного сырья и производству продукции ПАО "Газпром" и основных дочерних обществ</t>
        </is>
      </c>
      <c r="C10" s="9" t="n"/>
      <c r="D10" s="10" t="n"/>
      <c r="E10" s="9" t="n"/>
      <c r="F10" s="9" t="n"/>
      <c r="G10" s="11" t="n"/>
      <c r="H10" s="11" t="n"/>
      <c r="I10" s="12" t="n"/>
      <c r="J10" s="13" t="n"/>
    </row>
    <row r="11" ht="20.1" customHeight="1" s="904">
      <c r="B11" s="14" t="n"/>
      <c r="C11" s="14" t="inlineStr">
        <is>
          <t>CЫРЬЕ</t>
        </is>
      </c>
      <c r="D11" s="15" t="n"/>
      <c r="E11" s="15" t="n"/>
      <c r="F11" s="16" t="n"/>
      <c r="G11" s="17" t="n"/>
      <c r="H11" s="636" t="n"/>
      <c r="I11" s="17" t="n"/>
      <c r="J11" s="544" t="n"/>
    </row>
    <row r="12" ht="20.1" customHeight="1" s="904">
      <c r="B12" s="909" t="inlineStr">
        <is>
          <t>1.</t>
        </is>
      </c>
      <c r="C12" s="545" t="inlineStr">
        <is>
          <t>Переработка газа на ГПЗ-всего</t>
        </is>
      </c>
      <c r="D12" s="15" t="n"/>
      <c r="E12" s="15" t="n"/>
      <c r="F12" s="16" t="n"/>
      <c r="G12" s="17">
        <f>G13+G17</f>
        <v/>
      </c>
      <c r="H12" s="636" t="n"/>
      <c r="I12" s="17" t="n"/>
      <c r="J12" s="546" t="inlineStr">
        <is>
          <t>млн куб.м.</t>
        </is>
      </c>
    </row>
    <row r="13" ht="20.1" customHeight="1" s="904">
      <c r="B13" s="909" t="n"/>
      <c r="C13" s="547" t="inlineStr">
        <is>
          <t>Газпром переработка</t>
        </is>
      </c>
      <c r="D13" s="15" t="n"/>
      <c r="E13" s="15" t="n"/>
      <c r="F13" s="16" t="n"/>
      <c r="G13" s="17">
        <f>G14+G15+G16</f>
        <v/>
      </c>
      <c r="H13" s="636" t="n"/>
      <c r="I13" s="17" t="n"/>
      <c r="J13" s="546" t="inlineStr">
        <is>
          <t>млн куб.м.</t>
        </is>
      </c>
    </row>
    <row r="14" ht="20.1" customHeight="1" s="904">
      <c r="B14" s="909" t="n"/>
      <c r="C14" s="548" t="inlineStr">
        <is>
          <t>Астраханский ГПЗ</t>
        </is>
      </c>
      <c r="D14" s="15" t="n"/>
      <c r="E14" s="15" t="n"/>
      <c r="F14" s="16" t="n"/>
      <c r="G14" s="17">
        <f>G23</f>
        <v/>
      </c>
      <c r="H14" s="636" t="n"/>
      <c r="I14" s="17" t="n"/>
      <c r="J14" s="549" t="inlineStr">
        <is>
          <t>млн куб.м.</t>
        </is>
      </c>
    </row>
    <row r="15" ht="20.1" customHeight="1" s="904">
      <c r="B15" s="909" t="n"/>
      <c r="C15" s="548" t="inlineStr">
        <is>
          <t>Оренбургский ГХК</t>
        </is>
      </c>
      <c r="D15" s="15" t="n"/>
      <c r="E15" s="15" t="n"/>
      <c r="F15" s="16" t="n"/>
      <c r="G15" s="17">
        <f>G38</f>
        <v/>
      </c>
      <c r="H15" s="636" t="n"/>
      <c r="I15" s="17" t="n"/>
      <c r="J15" s="549" t="inlineStr">
        <is>
          <t>млн куб.м.</t>
        </is>
      </c>
    </row>
    <row r="16" ht="20.1" customHeight="1" s="904">
      <c r="B16" s="909" t="n"/>
      <c r="C16" s="548" t="inlineStr">
        <is>
          <t>Сосногорский ГПЗ</t>
        </is>
      </c>
      <c r="D16" s="15" t="n"/>
      <c r="E16" s="15" t="n"/>
      <c r="F16" s="16" t="n"/>
      <c r="G16" s="17">
        <f>G48+G24</f>
        <v/>
      </c>
      <c r="H16" s="636" t="n"/>
      <c r="I16" s="17" t="n"/>
      <c r="J16" s="549" t="inlineStr">
        <is>
          <t>млн куб.м.</t>
        </is>
      </c>
    </row>
    <row r="17" ht="20.1" customHeight="1" s="904">
      <c r="B17" s="909" t="n"/>
      <c r="C17" s="547" t="inlineStr">
        <is>
          <t>Газпром переработка Благовещенск</t>
        </is>
      </c>
      <c r="D17" s="15" t="n"/>
      <c r="E17" s="15" t="n"/>
      <c r="F17" s="16" t="n"/>
      <c r="G17" s="17">
        <f>G18</f>
        <v/>
      </c>
      <c r="H17" s="636" t="n"/>
      <c r="I17" s="17" t="n"/>
      <c r="J17" s="546" t="inlineStr">
        <is>
          <t>млн куб.м.</t>
        </is>
      </c>
    </row>
    <row r="18" ht="20.1" customHeight="1" s="904">
      <c r="B18" s="909" t="n"/>
      <c r="C18" s="548" t="inlineStr">
        <is>
          <t>Амурский ГПЗ</t>
        </is>
      </c>
      <c r="D18" s="15" t="n"/>
      <c r="E18" s="15" t="n"/>
      <c r="F18" s="16" t="n"/>
      <c r="G18" s="17">
        <f>G27+G51</f>
        <v/>
      </c>
      <c r="H18" s="636" t="n"/>
      <c r="I18" s="17" t="n"/>
      <c r="J18" s="549" t="inlineStr">
        <is>
          <t>млн куб.м.</t>
        </is>
      </c>
    </row>
    <row r="19" hidden="1" outlineLevel="1" ht="20.1" customHeight="1" s="904">
      <c r="B19" s="18" t="n"/>
      <c r="C19" s="550" t="inlineStr">
        <is>
          <t>Газпром СПГ Портовая</t>
        </is>
      </c>
      <c r="D19" s="15" t="n"/>
      <c r="E19" s="15" t="n"/>
      <c r="F19" s="16" t="n"/>
      <c r="G19" s="17" t="n"/>
      <c r="H19" s="636" t="n"/>
      <c r="I19" s="17" t="n"/>
      <c r="J19" s="546" t="inlineStr">
        <is>
          <t>млн куб.м.</t>
        </is>
      </c>
    </row>
    <row r="20" hidden="1" outlineLevel="1" ht="20.1" customHeight="1" s="904">
      <c r="B20" s="18" t="n"/>
      <c r="C20" s="551" t="inlineStr">
        <is>
          <t>КСПГ Портовая</t>
        </is>
      </c>
      <c r="D20" s="15" t="n"/>
      <c r="E20" s="15" t="n"/>
      <c r="F20" s="16" t="n"/>
      <c r="G20" s="17" t="n"/>
      <c r="H20" s="636" t="n"/>
      <c r="I20" s="17" t="n"/>
      <c r="J20" s="549" t="inlineStr">
        <is>
          <t>млн куб.м.</t>
        </is>
      </c>
    </row>
    <row r="21" collapsed="1" ht="20.1" customHeight="1" s="904">
      <c r="A21" s="19" t="n"/>
      <c r="B21" s="20" t="inlineStr">
        <is>
          <t>1.1</t>
        </is>
      </c>
      <c r="C21" s="552" t="inlineStr">
        <is>
          <t>Газпром</t>
        </is>
      </c>
      <c r="D21" s="15" t="n"/>
      <c r="E21" s="15" t="n"/>
      <c r="F21" s="16" t="n"/>
      <c r="G21" s="17">
        <f>G22+G26</f>
        <v/>
      </c>
      <c r="H21" s="636" t="n"/>
      <c r="I21" s="17" t="n"/>
      <c r="J21" s="546" t="inlineStr">
        <is>
          <t>млн куб.м.</t>
        </is>
      </c>
    </row>
    <row r="22" ht="20.1" customHeight="1" s="904">
      <c r="B22" s="909" t="n"/>
      <c r="C22" s="547" t="inlineStr">
        <is>
          <t>Газпром переработка</t>
        </is>
      </c>
      <c r="D22" s="15" t="n"/>
      <c r="E22" s="15" t="n"/>
      <c r="F22" s="16" t="n"/>
      <c r="G22" s="17">
        <f>G24+G23</f>
        <v/>
      </c>
      <c r="H22" s="636" t="n"/>
      <c r="I22" s="17" t="n"/>
      <c r="J22" s="546" t="inlineStr">
        <is>
          <t>млн куб.м.</t>
        </is>
      </c>
    </row>
    <row r="23" ht="20.1" customHeight="1" s="904">
      <c r="B23" s="909" t="n"/>
      <c r="C23" s="548" t="inlineStr">
        <is>
          <t>Астраханский ГПЗ</t>
        </is>
      </c>
      <c r="D23" s="15" t="n"/>
      <c r="E23" s="15" t="n"/>
      <c r="F23" s="16" t="n"/>
      <c r="G23" s="17" t="inlineStr">
        <is>
          <t>1_1003335807</t>
        </is>
      </c>
      <c r="H23" s="636" t="n"/>
      <c r="I23" s="17" t="n"/>
      <c r="J23" s="549" t="inlineStr">
        <is>
          <t>млн куб.м.</t>
        </is>
      </c>
    </row>
    <row r="24" ht="20.1" customHeight="1" s="904">
      <c r="B24" s="909" t="n"/>
      <c r="C24" s="548" t="inlineStr">
        <is>
          <t>Сосногорский ГПЗ</t>
        </is>
      </c>
      <c r="D24" s="15" t="n"/>
      <c r="E24" s="15" t="n"/>
      <c r="F24" s="16" t="n"/>
      <c r="G24" s="17">
        <f>G25</f>
        <v/>
      </c>
      <c r="H24" s="636" t="n"/>
      <c r="I24" s="17" t="n"/>
      <c r="J24" s="549" t="inlineStr">
        <is>
          <t>млн куб.м.</t>
        </is>
      </c>
    </row>
    <row r="25" ht="20.1" customHeight="1" s="904">
      <c r="B25" s="909" t="n"/>
      <c r="C25" s="553" t="inlineStr">
        <is>
          <t>Газпром добыча Краснодар</t>
        </is>
      </c>
      <c r="D25" s="15" t="n"/>
      <c r="E25" s="15" t="n"/>
      <c r="F25" s="16" t="n"/>
      <c r="G25" s="17" t="inlineStr">
        <is>
          <t>3_100330008</t>
        </is>
      </c>
      <c r="H25" s="636" t="n"/>
      <c r="I25" s="17" t="n"/>
      <c r="J25" s="554" t="inlineStr">
        <is>
          <t>млн куб.м.</t>
        </is>
      </c>
    </row>
    <row r="26" ht="20.1" customHeight="1" s="904">
      <c r="B26" s="909" t="n"/>
      <c r="C26" s="547" t="inlineStr">
        <is>
          <t>Газпром переработка Благовещенск</t>
        </is>
      </c>
      <c r="D26" s="15" t="n"/>
      <c r="E26" s="15" t="n"/>
      <c r="F26" s="16" t="n"/>
      <c r="G26" s="17">
        <f>G27</f>
        <v/>
      </c>
      <c r="H26" s="636" t="n"/>
      <c r="I26" s="17" t="n"/>
      <c r="J26" s="546" t="inlineStr">
        <is>
          <t>млн куб.м.</t>
        </is>
      </c>
    </row>
    <row r="27" ht="20.1" customHeight="1" s="904">
      <c r="B27" s="909" t="n"/>
      <c r="C27" s="548" t="inlineStr">
        <is>
          <t>Амурский ГПЗ</t>
        </is>
      </c>
      <c r="D27" s="15" t="n"/>
      <c r="E27" s="15" t="n"/>
      <c r="F27" s="16" t="n"/>
      <c r="G27" s="17" t="inlineStr">
        <is>
          <t>14_100335074</t>
        </is>
      </c>
      <c r="H27" s="636" t="n"/>
      <c r="I27" s="17" t="n"/>
      <c r="J27" s="549" t="inlineStr">
        <is>
          <t>млн куб.м.</t>
        </is>
      </c>
    </row>
    <row r="28" hidden="1" outlineLevel="1" ht="20.1" customHeight="1" s="904">
      <c r="B28" s="909" t="n"/>
      <c r="C28" s="550" t="inlineStr">
        <is>
          <t>Газпром СПГ Портовая</t>
        </is>
      </c>
      <c r="D28" s="15" t="n"/>
      <c r="E28" s="15" t="n"/>
      <c r="F28" s="16" t="n"/>
      <c r="G28" s="17" t="n"/>
      <c r="H28" s="636" t="n"/>
      <c r="I28" s="17" t="n"/>
      <c r="J28" s="555" t="inlineStr">
        <is>
          <t>млн куб.м.</t>
        </is>
      </c>
    </row>
    <row r="29" hidden="1" outlineLevel="1" ht="20.1" customHeight="1" s="904">
      <c r="B29" s="909" t="n"/>
      <c r="C29" s="551" t="inlineStr">
        <is>
          <t>КСПГ Портовая</t>
        </is>
      </c>
      <c r="D29" s="15" t="n"/>
      <c r="E29" s="15" t="n"/>
      <c r="F29" s="16" t="n"/>
      <c r="G29" s="17" t="n"/>
      <c r="H29" s="636" t="n"/>
      <c r="I29" s="17" t="n"/>
      <c r="J29" s="556" t="inlineStr">
        <is>
          <t>млн куб.м.</t>
        </is>
      </c>
    </row>
    <row r="30" hidden="1" outlineLevel="1" ht="20.1" customHeight="1" s="904">
      <c r="B30" s="909" t="n"/>
      <c r="C30" s="557" t="inlineStr">
        <is>
          <t>в т.ч. на ПНР</t>
        </is>
      </c>
      <c r="D30" s="15" t="n"/>
      <c r="E30" s="15" t="n"/>
      <c r="F30" s="16" t="n"/>
      <c r="G30" s="17" t="n"/>
      <c r="H30" s="636" t="n"/>
      <c r="I30" s="17" t="n"/>
      <c r="J30" s="558" t="inlineStr">
        <is>
          <t>млн куб.м.</t>
        </is>
      </c>
    </row>
    <row r="31" hidden="1" outlineLevel="1" ht="20.1" customHeight="1" s="904">
      <c r="B31" s="909" t="n"/>
      <c r="C31" s="559" t="inlineStr">
        <is>
          <t>в т.ч. СТН</t>
        </is>
      </c>
      <c r="D31" s="15" t="n"/>
      <c r="E31" s="15" t="n"/>
      <c r="F31" s="16" t="n"/>
      <c r="G31" s="17" t="n"/>
      <c r="H31" s="636" t="n"/>
      <c r="I31" s="17" t="n"/>
      <c r="J31" s="558" t="inlineStr">
        <is>
          <t>млн куб.м.</t>
        </is>
      </c>
    </row>
    <row r="32" hidden="1" outlineLevel="1" ht="20.1" customHeight="1" s="904">
      <c r="B32" s="909" t="n"/>
      <c r="C32" s="559" t="inlineStr">
        <is>
          <t>в т.ч. на переработку</t>
        </is>
      </c>
      <c r="D32" s="15" t="n"/>
      <c r="E32" s="15" t="n"/>
      <c r="F32" s="16" t="n"/>
      <c r="G32" s="17" t="n"/>
      <c r="H32" s="636" t="n"/>
      <c r="I32" s="17" t="n"/>
      <c r="J32" s="558" t="inlineStr">
        <is>
          <t>млн куб.м.</t>
        </is>
      </c>
    </row>
    <row r="33" collapsed="1" ht="20.1" customHeight="1" s="904">
      <c r="B33" s="20" t="inlineStr">
        <is>
          <t>1.2</t>
        </is>
      </c>
      <c r="C33" s="552" t="inlineStr">
        <is>
          <t>Дочерние общества</t>
        </is>
      </c>
      <c r="D33" s="15" t="n"/>
      <c r="E33" s="15" t="n"/>
      <c r="F33" s="16" t="n"/>
      <c r="G33" s="17">
        <f>G37+G47+G50</f>
        <v/>
      </c>
      <c r="H33" s="636" t="n"/>
      <c r="I33" s="17" t="n"/>
      <c r="J33" s="546" t="inlineStr">
        <is>
          <t>млн куб.м.</t>
        </is>
      </c>
    </row>
    <row r="34" ht="20.1" customHeight="1" s="904">
      <c r="B34" s="909" t="n"/>
      <c r="C34" s="547" t="inlineStr">
        <is>
          <t>Газпром добыча Астрахань</t>
        </is>
      </c>
      <c r="D34" s="15" t="n"/>
      <c r="E34" s="15" t="n"/>
      <c r="F34" s="16" t="n"/>
      <c r="G34" s="17">
        <f>G35</f>
        <v/>
      </c>
      <c r="H34" s="636" t="n"/>
      <c r="I34" s="17" t="n"/>
      <c r="J34" s="546" t="inlineStr">
        <is>
          <t>млн куб.м.</t>
        </is>
      </c>
    </row>
    <row r="35" ht="20.1" customHeight="1" s="904">
      <c r="B35" s="909" t="n"/>
      <c r="C35" s="560" t="inlineStr">
        <is>
          <t>Астраханский ГПЗ</t>
        </is>
      </c>
      <c r="D35" s="15" t="n"/>
      <c r="E35" s="15" t="n"/>
      <c r="F35" s="16" t="n"/>
      <c r="G35" s="17">
        <f>G36</f>
        <v/>
      </c>
      <c r="H35" s="636" t="n"/>
      <c r="I35" s="17" t="n"/>
      <c r="J35" s="549" t="inlineStr">
        <is>
          <t>млн куб.м.</t>
        </is>
      </c>
    </row>
    <row r="36" ht="20.1" customHeight="1" s="904">
      <c r="B36" s="909" t="n"/>
      <c r="C36" s="561" t="inlineStr">
        <is>
          <t>Газпром добыча Астрахань</t>
        </is>
      </c>
      <c r="D36" s="15" t="n"/>
      <c r="E36" s="15" t="n"/>
      <c r="F36" s="16" t="n"/>
      <c r="G36" s="17" t="n"/>
      <c r="H36" s="636" t="n"/>
      <c r="I36" s="17" t="n"/>
      <c r="J36" s="554" t="inlineStr">
        <is>
          <t>млн куб.м.</t>
        </is>
      </c>
    </row>
    <row r="37" ht="20.1" customHeight="1" s="904">
      <c r="B37" s="909" t="n"/>
      <c r="C37" s="547" t="inlineStr">
        <is>
          <t>Газпром переработка</t>
        </is>
      </c>
      <c r="D37" s="15" t="n"/>
      <c r="E37" s="15" t="n"/>
      <c r="F37" s="16" t="n"/>
      <c r="G37" s="17">
        <f>G38</f>
        <v/>
      </c>
      <c r="H37" s="636" t="n"/>
      <c r="I37" s="17" t="n"/>
      <c r="J37" s="546" t="inlineStr">
        <is>
          <t>млн куб.м.</t>
        </is>
      </c>
    </row>
    <row r="38" ht="20.1" customHeight="1" s="904">
      <c r="B38" s="909" t="n"/>
      <c r="C38" s="548" t="inlineStr">
        <is>
          <t>Оренбургский ГХК</t>
        </is>
      </c>
      <c r="D38" s="15" t="n"/>
      <c r="E38" s="15" t="n"/>
      <c r="F38" s="16" t="n"/>
      <c r="G38" s="17">
        <f>G39</f>
        <v/>
      </c>
      <c r="H38" s="636" t="n"/>
      <c r="I38" s="17" t="n"/>
      <c r="J38" s="549" t="inlineStr">
        <is>
          <t>млн куб.м.</t>
        </is>
      </c>
    </row>
    <row r="39" ht="20.1" customHeight="1" s="904">
      <c r="B39" s="909" t="n"/>
      <c r="C39" s="548" t="inlineStr">
        <is>
          <t>покупка у Газпром добыча Оренбург, всего</t>
        </is>
      </c>
      <c r="D39" s="15" t="n"/>
      <c r="E39" s="15" t="n"/>
      <c r="F39" s="16" t="n"/>
      <c r="G39" s="17">
        <f>G40+G41+G42+G43+G44+G45+G46</f>
        <v/>
      </c>
      <c r="H39" s="636" t="n"/>
      <c r="I39" s="17" t="n"/>
      <c r="J39" s="554" t="inlineStr">
        <is>
          <t>млн куб.м.</t>
        </is>
      </c>
    </row>
    <row r="40" ht="20.1" customHeight="1" s="904">
      <c r="B40" s="909" t="n"/>
      <c r="C40" s="553" t="inlineStr">
        <is>
          <t>в т.ч. Газпром добыча Оренбург</t>
        </is>
      </c>
      <c r="D40" s="15" t="n"/>
      <c r="E40" s="15" t="n"/>
      <c r="F40" s="16" t="n"/>
      <c r="G40" s="17" t="inlineStr">
        <is>
          <t>2_100332038</t>
        </is>
      </c>
      <c r="H40" s="636" t="n"/>
      <c r="I40" s="17" t="n"/>
      <c r="J40" s="554" t="inlineStr">
        <is>
          <t>млн куб.м.</t>
        </is>
      </c>
    </row>
    <row r="41" ht="20.1" customHeight="1" s="904">
      <c r="B41" s="909" t="n"/>
      <c r="C41" s="553" t="inlineStr">
        <is>
          <t>Газпром нефть</t>
        </is>
      </c>
      <c r="D41" s="15" t="n"/>
      <c r="E41" s="15" t="n"/>
      <c r="F41" s="16" t="n"/>
      <c r="G41" s="17" t="inlineStr">
        <is>
          <t>2_100332040</t>
        </is>
      </c>
      <c r="H41" s="636" t="n"/>
      <c r="I41" s="17" t="n"/>
      <c r="J41" s="554" t="inlineStr">
        <is>
          <t>млн куб.м.</t>
        </is>
      </c>
    </row>
    <row r="42" ht="20.1" customHeight="1" s="904">
      <c r="B42" s="909" t="n"/>
      <c r="C42" s="553" t="inlineStr">
        <is>
          <t>УНГП</t>
        </is>
      </c>
      <c r="D42" s="15" t="n"/>
      <c r="E42" s="15" t="n"/>
      <c r="F42" s="16" t="n"/>
      <c r="G42" s="17" t="inlineStr">
        <is>
          <t>2_100332042</t>
        </is>
      </c>
      <c r="H42" s="636" t="n"/>
      <c r="I42" s="17" t="n"/>
      <c r="J42" s="554" t="inlineStr">
        <is>
          <t>млн куб.м.</t>
        </is>
      </c>
    </row>
    <row r="43" ht="20.1" customHeight="1" s="904">
      <c r="B43" s="909" t="n"/>
      <c r="C43" s="553" t="inlineStr">
        <is>
          <t>Сервиснефтегаз</t>
        </is>
      </c>
      <c r="D43" s="15" t="n"/>
      <c r="E43" s="15" t="n"/>
      <c r="F43" s="16" t="n"/>
      <c r="G43" s="17" t="inlineStr">
        <is>
          <t>2_100332044</t>
        </is>
      </c>
      <c r="H43" s="636" t="n"/>
      <c r="I43" s="17" t="n"/>
      <c r="J43" s="554" t="inlineStr">
        <is>
          <t>млн куб.м.</t>
        </is>
      </c>
    </row>
    <row r="44" ht="20.1" customHeight="1" s="904">
      <c r="B44" s="909" t="n"/>
      <c r="C44" s="553" t="inlineStr">
        <is>
          <t>Карбон</t>
        </is>
      </c>
      <c r="D44" s="15" t="n"/>
      <c r="E44" s="15" t="n"/>
      <c r="F44" s="16" t="n"/>
      <c r="G44" s="17" t="inlineStr">
        <is>
          <t>2_100332916</t>
        </is>
      </c>
      <c r="H44" s="636" t="n"/>
      <c r="I44" s="17" t="n"/>
      <c r="J44" s="554" t="inlineStr">
        <is>
          <t>млн куб.м.</t>
        </is>
      </c>
    </row>
    <row r="45" ht="20.1" customHeight="1" s="904">
      <c r="B45" s="909" t="n"/>
      <c r="C45" s="553" t="inlineStr">
        <is>
          <t>Газпромнефть-Заполярье</t>
        </is>
      </c>
      <c r="D45" s="15" t="n"/>
      <c r="E45" s="15" t="n"/>
      <c r="F45" s="16" t="n"/>
      <c r="G45" s="17" t="inlineStr">
        <is>
          <t>2_100332944</t>
        </is>
      </c>
      <c r="H45" s="636" t="n"/>
      <c r="I45" s="17" t="n"/>
      <c r="J45" s="554" t="inlineStr">
        <is>
          <t>млн куб.м.</t>
        </is>
      </c>
    </row>
    <row r="46" ht="20.1" customHeight="1" s="904">
      <c r="B46" s="909" t="n"/>
      <c r="C46" s="562" t="inlineStr">
        <is>
          <t>Сладковско-Заречное</t>
        </is>
      </c>
      <c r="D46" s="15" t="n"/>
      <c r="E46" s="15" t="n"/>
      <c r="F46" s="16" t="n"/>
      <c r="G46" s="17" t="inlineStr">
        <is>
          <t>2_100335129</t>
        </is>
      </c>
      <c r="H46" s="636" t="n"/>
      <c r="I46" s="17" t="n"/>
      <c r="J46" s="554" t="inlineStr">
        <is>
          <t>млн куб.м.</t>
        </is>
      </c>
    </row>
    <row r="47" ht="20.1" customHeight="1" s="904">
      <c r="B47" s="909" t="n"/>
      <c r="C47" s="547" t="inlineStr">
        <is>
          <t>Газпром ГНП холдинг</t>
        </is>
      </c>
      <c r="D47" s="15" t="n"/>
      <c r="E47" s="15" t="n"/>
      <c r="F47" s="16" t="n"/>
      <c r="G47" s="17">
        <f>G48</f>
        <v/>
      </c>
      <c r="H47" s="636" t="n"/>
      <c r="I47" s="17" t="n"/>
      <c r="J47" s="546" t="inlineStr">
        <is>
          <t>млн куб.м.</t>
        </is>
      </c>
    </row>
    <row r="48" ht="20.1" customHeight="1" s="904">
      <c r="B48" s="909" t="n"/>
      <c r="C48" s="548" t="inlineStr">
        <is>
          <t>Сосногорский ГПЗ</t>
        </is>
      </c>
      <c r="D48" s="15" t="n"/>
      <c r="E48" s="15" t="n"/>
      <c r="F48" s="16" t="n"/>
      <c r="G48" s="17">
        <f>G49</f>
        <v/>
      </c>
      <c r="H48" s="636" t="n"/>
      <c r="I48" s="17" t="n"/>
      <c r="J48" s="549" t="inlineStr">
        <is>
          <t>млн куб.м.</t>
        </is>
      </c>
    </row>
    <row r="49" ht="20.1" customHeight="1" s="904">
      <c r="B49" s="909" t="n"/>
      <c r="C49" s="553" t="inlineStr">
        <is>
          <t>Лукойл-Коми</t>
        </is>
      </c>
      <c r="D49" s="15" t="n"/>
      <c r="E49" s="15" t="n"/>
      <c r="F49" s="16" t="n"/>
      <c r="G49" s="17" t="inlineStr">
        <is>
          <t>3_100330552</t>
        </is>
      </c>
      <c r="H49" s="636" t="n"/>
      <c r="I49" s="17" t="n"/>
      <c r="J49" s="554" t="inlineStr">
        <is>
          <t>млн куб.м.</t>
        </is>
      </c>
    </row>
    <row r="50" ht="20.1" customHeight="1" s="904">
      <c r="B50" s="909" t="n"/>
      <c r="C50" s="547" t="inlineStr">
        <is>
          <t>Газпром переработка Благовещенск</t>
        </is>
      </c>
      <c r="D50" s="15" t="n"/>
      <c r="E50" s="15" t="n"/>
      <c r="F50" s="16" t="n"/>
      <c r="G50" s="17">
        <f>G51</f>
        <v/>
      </c>
      <c r="H50" s="636" t="n"/>
      <c r="I50" s="17" t="n"/>
      <c r="J50" s="546" t="inlineStr">
        <is>
          <t>млн куб.м.</t>
        </is>
      </c>
    </row>
    <row r="51" ht="20.1" customHeight="1" s="904">
      <c r="B51" s="909" t="n"/>
      <c r="C51" s="548" t="inlineStr">
        <is>
          <t>Амурский ГПЗ</t>
        </is>
      </c>
      <c r="D51" s="15" t="n"/>
      <c r="E51" s="15" t="n"/>
      <c r="F51" s="16" t="n"/>
      <c r="G51" s="17" t="inlineStr">
        <is>
          <t>14_100335076</t>
        </is>
      </c>
      <c r="H51" s="636" t="n"/>
      <c r="I51" s="17" t="n"/>
      <c r="J51" s="549" t="inlineStr">
        <is>
          <t>млн куб.м.</t>
        </is>
      </c>
    </row>
    <row r="52" hidden="1" outlineLevel="1" ht="20.1" customHeight="1" s="904">
      <c r="B52" s="909" t="n"/>
      <c r="C52" s="563" t="inlineStr">
        <is>
          <t>Газпром СПГ Портовая</t>
        </is>
      </c>
      <c r="D52" s="15" t="n"/>
      <c r="E52" s="15" t="n"/>
      <c r="F52" s="16" t="n"/>
      <c r="G52" s="17" t="n"/>
      <c r="H52" s="636" t="n"/>
      <c r="I52" s="17" t="n"/>
      <c r="J52" s="555" t="inlineStr">
        <is>
          <t>млн куб.м.</t>
        </is>
      </c>
    </row>
    <row r="53" hidden="1" outlineLevel="1" ht="20.1" customHeight="1" s="904">
      <c r="B53" s="909" t="n"/>
      <c r="C53" s="564" t="inlineStr">
        <is>
          <t>КСПГ КС  Портовая</t>
        </is>
      </c>
      <c r="D53" s="15" t="n"/>
      <c r="E53" s="15" t="n"/>
      <c r="F53" s="16" t="n"/>
      <c r="G53" s="17" t="n"/>
      <c r="H53" s="636" t="n"/>
      <c r="I53" s="17" t="n"/>
      <c r="J53" s="556" t="inlineStr">
        <is>
          <t>млн куб.м.</t>
        </is>
      </c>
    </row>
    <row r="54" hidden="1" outlineLevel="1" ht="20.1" customHeight="1" s="904">
      <c r="B54" s="909" t="n"/>
      <c r="C54" s="557" t="inlineStr">
        <is>
          <t>в т.ч. СТН при переработке</t>
        </is>
      </c>
      <c r="D54" s="15" t="n"/>
      <c r="E54" s="15" t="n"/>
      <c r="F54" s="16" t="n"/>
      <c r="G54" s="17" t="n"/>
      <c r="H54" s="636" t="n"/>
      <c r="I54" s="17" t="n"/>
      <c r="J54" s="558" t="inlineStr">
        <is>
          <t>млн куб.м.</t>
        </is>
      </c>
    </row>
    <row r="55" hidden="1" outlineLevel="1" ht="20.1" customHeight="1" s="904">
      <c r="B55" s="909" t="n"/>
      <c r="C55" s="557" t="inlineStr">
        <is>
          <t>в т.ч. СТН при пусковых операциях</t>
        </is>
      </c>
      <c r="D55" s="15" t="n"/>
      <c r="E55" s="15" t="n"/>
      <c r="F55" s="16" t="n"/>
      <c r="G55" s="17" t="n"/>
      <c r="H55" s="636" t="n"/>
      <c r="I55" s="17" t="n"/>
      <c r="J55" s="558" t="inlineStr">
        <is>
          <t>млн куб.м.</t>
        </is>
      </c>
    </row>
    <row r="56" collapsed="1" ht="20.1" customHeight="1" s="904">
      <c r="B56" s="909" t="inlineStr">
        <is>
          <t xml:space="preserve">2. </t>
        </is>
      </c>
      <c r="C56" s="9" t="inlineStr">
        <is>
          <t>Поставка газа на Амурский ГПЗ</t>
        </is>
      </c>
      <c r="D56" s="15" t="n"/>
      <c r="E56" s="15" t="n"/>
      <c r="F56" s="16" t="n"/>
      <c r="G56" s="17" t="n"/>
      <c r="H56" s="636" t="n"/>
      <c r="I56" s="17" t="n"/>
      <c r="J56" s="546" t="n"/>
    </row>
    <row r="57" ht="20.1" customHeight="1" s="904">
      <c r="B57" s="909" t="n"/>
      <c r="C57" s="547" t="inlineStr">
        <is>
          <t>Газпром переработка Благовещенск</t>
        </is>
      </c>
      <c r="D57" s="15" t="n"/>
      <c r="E57" s="15" t="n"/>
      <c r="F57" s="16" t="n"/>
      <c r="G57" s="17">
        <f>G58</f>
        <v/>
      </c>
      <c r="H57" s="636" t="n"/>
      <c r="I57" s="17" t="n"/>
      <c r="J57" s="546" t="inlineStr">
        <is>
          <t>млн куб.м.</t>
        </is>
      </c>
    </row>
    <row r="58" ht="20.1" customHeight="1" s="904">
      <c r="B58" s="909" t="n"/>
      <c r="C58" s="548" t="inlineStr">
        <is>
          <t>Амурский ГПЗ</t>
        </is>
      </c>
      <c r="D58" s="15" t="n"/>
      <c r="E58" s="15" t="n"/>
      <c r="F58" s="16" t="n"/>
      <c r="G58" s="17">
        <f>G61+G64</f>
        <v/>
      </c>
      <c r="H58" s="636" t="n"/>
      <c r="I58" s="17" t="n"/>
      <c r="J58" s="549" t="inlineStr">
        <is>
          <t>млн куб.м.</t>
        </is>
      </c>
    </row>
    <row r="59" ht="20.1" customHeight="1" s="904">
      <c r="B59" s="20" t="inlineStr">
        <is>
          <t>2.1</t>
        </is>
      </c>
      <c r="C59" s="552" t="inlineStr">
        <is>
          <t>Газпром</t>
        </is>
      </c>
      <c r="D59" s="15" t="n"/>
      <c r="E59" s="15" t="n"/>
      <c r="F59" s="16" t="n"/>
      <c r="G59" s="17" t="n"/>
      <c r="H59" s="636" t="n"/>
      <c r="I59" s="17" t="n"/>
      <c r="J59" s="546" t="n"/>
    </row>
    <row r="60" ht="20.1" customHeight="1" s="904">
      <c r="B60" s="909" t="n"/>
      <c r="C60" s="547" t="inlineStr">
        <is>
          <t>Газпром переработка Благовещенск</t>
        </is>
      </c>
      <c r="D60" s="15" t="n"/>
      <c r="E60" s="15" t="n"/>
      <c r="F60" s="16" t="n"/>
      <c r="G60" s="17">
        <f>G61</f>
        <v/>
      </c>
      <c r="H60" s="636" t="n"/>
      <c r="I60" s="17" t="n"/>
      <c r="J60" s="546" t="inlineStr">
        <is>
          <t>млн куб.м.</t>
        </is>
      </c>
    </row>
    <row r="61" ht="20.1" customHeight="1" s="904">
      <c r="B61" s="909" t="n"/>
      <c r="C61" s="548" t="inlineStr">
        <is>
          <t>Амурский ГПЗ</t>
        </is>
      </c>
      <c r="D61" s="15" t="n"/>
      <c r="E61" s="15" t="n"/>
      <c r="F61" s="16" t="n"/>
      <c r="G61" s="17" t="inlineStr">
        <is>
          <t>14_100332979-14_100335059-14_100335057-14_100335425</t>
        </is>
      </c>
      <c r="H61" s="636" t="n"/>
      <c r="I61" s="17" t="n"/>
      <c r="J61" s="549" t="inlineStr">
        <is>
          <t>млн куб.м.</t>
        </is>
      </c>
    </row>
    <row r="62" ht="20.1" customHeight="1" s="904">
      <c r="B62" s="20" t="inlineStr">
        <is>
          <t>2.2</t>
        </is>
      </c>
      <c r="C62" s="552" t="inlineStr">
        <is>
          <t>Дочерние общества</t>
        </is>
      </c>
      <c r="D62" s="15" t="n"/>
      <c r="E62" s="15" t="n"/>
      <c r="F62" s="16" t="n"/>
      <c r="G62" s="17" t="n"/>
      <c r="H62" s="636" t="n"/>
      <c r="I62" s="17" t="n"/>
      <c r="J62" s="546" t="n"/>
    </row>
    <row r="63" ht="20.1" customHeight="1" s="904">
      <c r="B63" s="909" t="n"/>
      <c r="C63" s="547" t="inlineStr">
        <is>
          <t>Газпром переработка Благовещенск</t>
        </is>
      </c>
      <c r="D63" s="15" t="n"/>
      <c r="E63" s="15" t="n"/>
      <c r="F63" s="16" t="n"/>
      <c r="G63" s="17">
        <f>G64</f>
        <v/>
      </c>
      <c r="H63" s="636" t="n"/>
      <c r="I63" s="17" t="n"/>
      <c r="J63" s="546" t="inlineStr">
        <is>
          <t>млн куб.м.</t>
        </is>
      </c>
    </row>
    <row r="64" ht="20.1" customHeight="1" s="904">
      <c r="B64" s="909" t="n"/>
      <c r="C64" s="548" t="inlineStr">
        <is>
          <t>Амурский ГПЗ</t>
        </is>
      </c>
      <c r="D64" s="15" t="n"/>
      <c r="E64" s="15" t="n"/>
      <c r="F64" s="16" t="n"/>
      <c r="G64" s="17" t="inlineStr">
        <is>
          <t>14_100335428+14_100335059</t>
        </is>
      </c>
      <c r="H64" s="636" t="n"/>
      <c r="I64" s="17" t="n"/>
      <c r="J64" s="549" t="inlineStr">
        <is>
          <t>млн куб.м.</t>
        </is>
      </c>
    </row>
    <row r="65" ht="20.1" customHeight="1" s="904">
      <c r="B65" s="909" t="inlineStr">
        <is>
          <t>3.</t>
        </is>
      </c>
      <c r="C65" s="565" t="inlineStr">
        <is>
          <t>Переработка газа на Оренбургском гелиевом заводе</t>
        </is>
      </c>
      <c r="D65" s="15" t="n"/>
      <c r="E65" s="15" t="n"/>
      <c r="F65" s="16" t="n"/>
      <c r="G65" s="17" t="n"/>
      <c r="H65" s="636" t="n"/>
      <c r="I65" s="17" t="n"/>
      <c r="J65" s="546" t="n"/>
    </row>
    <row r="66" ht="20.1" customHeight="1" s="904">
      <c r="B66" s="909" t="n"/>
      <c r="C66" s="547" t="inlineStr">
        <is>
          <t>Газпром переработка</t>
        </is>
      </c>
      <c r="D66" s="15" t="n"/>
      <c r="E66" s="15" t="n"/>
      <c r="F66" s="16" t="n"/>
      <c r="G66" s="17">
        <f>G67</f>
        <v/>
      </c>
      <c r="H66" s="636" t="n"/>
      <c r="I66" s="17" t="n"/>
      <c r="J66" s="546" t="inlineStr">
        <is>
          <t>млн куб.м.</t>
        </is>
      </c>
    </row>
    <row r="67" ht="20.1" customHeight="1" s="904">
      <c r="B67" s="909" t="n"/>
      <c r="C67" s="548" t="inlineStr">
        <is>
          <t>Оренбургский ГЗ</t>
        </is>
      </c>
      <c r="D67" s="15" t="n"/>
      <c r="E67" s="15" t="n"/>
      <c r="F67" s="16" t="n"/>
      <c r="G67" s="17">
        <f>G71</f>
        <v/>
      </c>
      <c r="H67" s="636" t="n"/>
      <c r="I67" s="17" t="n"/>
      <c r="J67" s="549" t="inlineStr">
        <is>
          <t>млн куб.м.</t>
        </is>
      </c>
    </row>
    <row r="68" ht="20.1" customHeight="1" s="904">
      <c r="B68" s="20" t="inlineStr">
        <is>
          <t>3.1</t>
        </is>
      </c>
      <c r="C68" s="552" t="inlineStr">
        <is>
          <t>Газпром</t>
        </is>
      </c>
      <c r="D68" s="15" t="n"/>
      <c r="E68" s="15" t="n"/>
      <c r="F68" s="16" t="n"/>
      <c r="G68" s="17">
        <f>0</f>
        <v/>
      </c>
      <c r="H68" s="636" t="n"/>
      <c r="I68" s="17" t="n"/>
      <c r="J68" s="546" t="inlineStr">
        <is>
          <t>млн куб.м.</t>
        </is>
      </c>
    </row>
    <row r="69" ht="20.1" customHeight="1" s="904">
      <c r="B69" s="20" t="inlineStr">
        <is>
          <t>3.2</t>
        </is>
      </c>
      <c r="C69" s="552" t="inlineStr">
        <is>
          <t>Дочерние общества</t>
        </is>
      </c>
      <c r="D69" s="15" t="n"/>
      <c r="E69" s="15" t="n"/>
      <c r="F69" s="16" t="n"/>
      <c r="G69" s="17">
        <f>G70</f>
        <v/>
      </c>
      <c r="H69" s="636" t="n"/>
      <c r="I69" s="17" t="n"/>
      <c r="J69" s="546" t="inlineStr">
        <is>
          <t>млн куб.м.</t>
        </is>
      </c>
    </row>
    <row r="70" ht="20.1" customHeight="1" s="904">
      <c r="B70" s="909" t="n"/>
      <c r="C70" s="547" t="inlineStr">
        <is>
          <t>Газпром переработка</t>
        </is>
      </c>
      <c r="D70" s="15" t="n"/>
      <c r="E70" s="15" t="n"/>
      <c r="F70" s="16" t="n"/>
      <c r="G70" s="17">
        <f>G71</f>
        <v/>
      </c>
      <c r="H70" s="636" t="n"/>
      <c r="I70" s="17" t="n"/>
      <c r="J70" s="546" t="inlineStr">
        <is>
          <t>млн куб.м.</t>
        </is>
      </c>
    </row>
    <row r="71" ht="20.1" customHeight="1" s="904">
      <c r="B71" s="909" t="n"/>
      <c r="C71" s="548" t="inlineStr">
        <is>
          <t>Оренбургский ГЗ</t>
        </is>
      </c>
      <c r="D71" s="15" t="n"/>
      <c r="E71" s="15" t="n"/>
      <c r="F71" s="16" t="n"/>
      <c r="G71" s="17">
        <f>G72+G73+G74</f>
        <v/>
      </c>
      <c r="H71" s="636" t="n"/>
      <c r="I71" s="17" t="n"/>
      <c r="J71" s="549" t="inlineStr">
        <is>
          <t>млн куб.м.</t>
        </is>
      </c>
    </row>
    <row r="72" ht="20.1" customHeight="1" s="904">
      <c r="B72" s="909" t="n"/>
      <c r="C72" s="553" t="inlineStr">
        <is>
          <t>Газпром добыча Оренбург</t>
        </is>
      </c>
      <c r="D72" s="15" t="n"/>
      <c r="E72" s="15" t="n"/>
      <c r="F72" s="16" t="n"/>
      <c r="G72" s="17" t="inlineStr">
        <is>
          <t>2_100332054</t>
        </is>
      </c>
      <c r="H72" s="636" t="n"/>
      <c r="I72" s="17" t="n"/>
      <c r="J72" s="554" t="inlineStr">
        <is>
          <t>млн куб.м.</t>
        </is>
      </c>
    </row>
    <row r="73" ht="20.1" customHeight="1" s="904">
      <c r="B73" s="909" t="n"/>
      <c r="C73" s="553" t="inlineStr">
        <is>
          <t>Газпром нефть</t>
        </is>
      </c>
      <c r="D73" s="15" t="n"/>
      <c r="E73" s="15" t="n"/>
      <c r="F73" s="16" t="n"/>
      <c r="G73" s="17" t="inlineStr">
        <is>
          <t>2_100332056</t>
        </is>
      </c>
      <c r="H73" s="636" t="n"/>
      <c r="I73" s="17" t="n"/>
      <c r="J73" s="554" t="inlineStr">
        <is>
          <t>млн куб.м.</t>
        </is>
      </c>
    </row>
    <row r="74" ht="20.1" customHeight="1" s="904">
      <c r="B74" s="909" t="n"/>
      <c r="C74" s="737" t="inlineStr">
        <is>
          <t>прочие поставщики (ГПНЗ, УНГП, и.т.д.)</t>
        </is>
      </c>
      <c r="D74" s="15" t="n"/>
      <c r="E74" s="15" t="n"/>
      <c r="F74" s="16" t="n"/>
      <c r="G74" s="17" t="inlineStr">
        <is>
          <t>2_100335131</t>
        </is>
      </c>
      <c r="H74" s="636" t="n"/>
      <c r="I74" s="17" t="n"/>
      <c r="J74" s="554" t="inlineStr">
        <is>
          <t>млн куб.м.</t>
        </is>
      </c>
    </row>
    <row r="75" ht="20.1" customHeight="1" s="904">
      <c r="B75" s="909" t="inlineStr">
        <is>
          <t>4.</t>
        </is>
      </c>
      <c r="C75" s="566" t="inlineStr">
        <is>
          <t>Переработка нестабильного  газового конденсата и нефти</t>
        </is>
      </c>
      <c r="D75" s="15" t="n"/>
      <c r="E75" s="15" t="n"/>
      <c r="F75" s="16" t="n"/>
      <c r="G75" s="17">
        <f>G76+G128</f>
        <v/>
      </c>
      <c r="H75" s="636" t="n"/>
      <c r="I75" s="17" t="n"/>
      <c r="J75" s="546" t="inlineStr">
        <is>
          <t>тыс.т</t>
        </is>
      </c>
    </row>
    <row r="76" ht="20.1" customHeight="1" s="904">
      <c r="B76" s="909" t="inlineStr">
        <is>
          <t>4.1.</t>
        </is>
      </c>
      <c r="C76" s="545" t="inlineStr">
        <is>
          <t>Газовый конденсат-всего</t>
        </is>
      </c>
      <c r="D76" s="15" t="n"/>
      <c r="E76" s="15" t="n"/>
      <c r="F76" s="16" t="n"/>
      <c r="G76" s="17">
        <f>G77+G82+G83+G84+G85+G86+G87</f>
        <v/>
      </c>
      <c r="H76" s="636" t="n"/>
      <c r="I76" s="17" t="n"/>
      <c r="J76" s="546" t="inlineStr">
        <is>
          <t>тыс.т</t>
        </is>
      </c>
    </row>
    <row r="77" ht="20.1" customHeight="1" s="904">
      <c r="B77" s="909" t="n"/>
      <c r="C77" s="547" t="inlineStr">
        <is>
          <t xml:space="preserve">   Газпром переработка</t>
        </is>
      </c>
      <c r="D77" s="15" t="n"/>
      <c r="E77" s="15" t="n"/>
      <c r="F77" s="16" t="n"/>
      <c r="G77" s="17">
        <f>G78+G79+G80+G81</f>
        <v/>
      </c>
      <c r="H77" s="636" t="n"/>
      <c r="I77" s="17" t="n"/>
      <c r="J77" s="546" t="inlineStr">
        <is>
          <t>тыс.т</t>
        </is>
      </c>
    </row>
    <row r="78" ht="20.1" customHeight="1" s="904">
      <c r="B78" s="909" t="n"/>
      <c r="C78" s="548" t="inlineStr">
        <is>
          <t>Астраханский ГПЗ</t>
        </is>
      </c>
      <c r="D78" s="15" t="n"/>
      <c r="E78" s="15" t="n"/>
      <c r="F78" s="16" t="n"/>
      <c r="G78" s="17">
        <f>G90</f>
        <v/>
      </c>
      <c r="H78" s="636" t="n"/>
      <c r="I78" s="17" t="n"/>
      <c r="J78" s="549" t="inlineStr">
        <is>
          <t>тыс.т</t>
        </is>
      </c>
    </row>
    <row r="79" ht="20.1" customHeight="1" s="904">
      <c r="B79" s="909" t="n"/>
      <c r="C79" s="548" t="inlineStr">
        <is>
          <t>Оренбургский ГХК</t>
        </is>
      </c>
      <c r="D79" s="15" t="n"/>
      <c r="E79" s="15" t="n"/>
      <c r="F79" s="16" t="n"/>
      <c r="G79" s="17">
        <f>G114+G91</f>
        <v/>
      </c>
      <c r="H79" s="636" t="n"/>
      <c r="I79" s="17" t="n"/>
      <c r="J79" s="549" t="inlineStr">
        <is>
          <t>тыс.т</t>
        </is>
      </c>
    </row>
    <row r="80" ht="20.1" customHeight="1" s="904">
      <c r="B80" s="909" t="n"/>
      <c r="C80" s="548" t="inlineStr">
        <is>
          <t>Сосногорский ГПЗ</t>
        </is>
      </c>
      <c r="D80" s="15" t="n"/>
      <c r="E80" s="15" t="n"/>
      <c r="F80" s="16" t="n"/>
      <c r="G80" s="17">
        <f>G93</f>
        <v/>
      </c>
      <c r="H80" s="636" t="n"/>
      <c r="I80" s="17" t="n"/>
      <c r="J80" s="549" t="inlineStr">
        <is>
          <t>тыс.т</t>
        </is>
      </c>
    </row>
    <row r="81" ht="20.1" customHeight="1" s="904">
      <c r="B81" s="909" t="n"/>
      <c r="C81" s="548" t="inlineStr">
        <is>
          <t xml:space="preserve">               Уренгойский ЗПКТ- Сургутский ЗСК и привлеченные мощности</t>
        </is>
      </c>
      <c r="D81" s="15" t="n"/>
      <c r="E81" s="15" t="n"/>
      <c r="F81" s="16" t="n"/>
      <c r="G81" s="17">
        <f>G117+G95</f>
        <v/>
      </c>
      <c r="H81" s="636" t="n"/>
      <c r="I81" s="17" t="n"/>
      <c r="J81" s="549" t="inlineStr">
        <is>
          <t>тыс.т</t>
        </is>
      </c>
    </row>
    <row r="82" ht="20.1" customHeight="1" s="904">
      <c r="B82" s="909" t="n"/>
      <c r="C82" s="547" t="inlineStr">
        <is>
          <t xml:space="preserve">   Газпром добыча Ямбург</t>
        </is>
      </c>
      <c r="D82" s="15" t="n"/>
      <c r="E82" s="15" t="n"/>
      <c r="F82" s="16" t="n"/>
      <c r="G82" s="17">
        <f>G122</f>
        <v/>
      </c>
      <c r="H82" s="636" t="n"/>
      <c r="I82" s="17" t="n"/>
      <c r="J82" s="546" t="inlineStr">
        <is>
          <t>тыс.т</t>
        </is>
      </c>
    </row>
    <row r="83" ht="20.1" customHeight="1" s="904">
      <c r="B83" s="909" t="n"/>
      <c r="C83" s="547" t="inlineStr">
        <is>
          <t>Газпром добыча Иркутск</t>
        </is>
      </c>
      <c r="D83" s="15" t="n"/>
      <c r="E83" s="15" t="n"/>
      <c r="F83" s="16" t="n"/>
      <c r="G83" s="17">
        <f>G102</f>
        <v/>
      </c>
      <c r="H83" s="636" t="n"/>
      <c r="I83" s="17" t="n"/>
      <c r="J83" s="546" t="inlineStr">
        <is>
          <t>тыс.т</t>
        </is>
      </c>
    </row>
    <row r="84" ht="20.1" customHeight="1" s="904">
      <c r="B84" s="909" t="n"/>
      <c r="C84" s="21" t="inlineStr">
        <is>
          <t>Газпром добыча шельф Южно-Сахалинск</t>
        </is>
      </c>
      <c r="D84" s="15" t="n"/>
      <c r="E84" s="15" t="n"/>
      <c r="F84" s="16" t="n"/>
      <c r="G84" s="17">
        <f>G105</f>
        <v/>
      </c>
      <c r="H84" s="636" t="n"/>
      <c r="I84" s="17" t="n"/>
      <c r="J84" s="546" t="inlineStr">
        <is>
          <t>тыс. т</t>
        </is>
      </c>
    </row>
    <row r="85" ht="20.1" customHeight="1" s="904">
      <c r="B85" s="909" t="n"/>
      <c r="C85" s="547" t="inlineStr">
        <is>
          <t>Газпром добыча Ноябрьск</t>
        </is>
      </c>
      <c r="D85" s="15" t="n"/>
      <c r="E85" s="15" t="n"/>
      <c r="F85" s="16" t="n"/>
      <c r="G85" s="17">
        <f>G106+G123</f>
        <v/>
      </c>
      <c r="H85" s="636" t="n"/>
      <c r="I85" s="17" t="n"/>
      <c r="J85" s="546" t="inlineStr">
        <is>
          <t>тыс. т</t>
        </is>
      </c>
    </row>
    <row r="86" ht="20.1" customHeight="1" s="904">
      <c r="B86" s="909" t="n"/>
      <c r="C86" s="547" t="inlineStr">
        <is>
          <t>Газпром добыча Надым</t>
        </is>
      </c>
      <c r="D86" s="15" t="n"/>
      <c r="E86" s="15" t="n"/>
      <c r="F86" s="16" t="n"/>
      <c r="G86" s="17">
        <f>G125</f>
        <v/>
      </c>
      <c r="H86" s="636" t="n"/>
      <c r="I86" s="17" t="n"/>
      <c r="J86" s="546" t="inlineStr">
        <is>
          <t>тыс. т</t>
        </is>
      </c>
    </row>
    <row r="87" ht="20.1" customHeight="1" s="904">
      <c r="B87" s="909" t="n"/>
      <c r="C87" s="547" t="inlineStr">
        <is>
          <t>Газпром добыча Краснодар</t>
        </is>
      </c>
      <c r="D87" s="15" t="n"/>
      <c r="E87" s="15" t="n"/>
      <c r="F87" s="16" t="n"/>
      <c r="G87" s="17">
        <f>G127</f>
        <v/>
      </c>
      <c r="H87" s="636" t="n"/>
      <c r="I87" s="17" t="n"/>
      <c r="J87" s="546" t="inlineStr">
        <is>
          <t>тыс. т</t>
        </is>
      </c>
    </row>
    <row r="88" ht="20.1" customHeight="1" s="904">
      <c r="B88" s="20" t="inlineStr">
        <is>
          <t>4.1.1.</t>
        </is>
      </c>
      <c r="C88" s="552" t="inlineStr">
        <is>
          <t>Газпром</t>
        </is>
      </c>
      <c r="D88" s="15" t="n"/>
      <c r="E88" s="15" t="n"/>
      <c r="F88" s="16" t="n"/>
      <c r="G88" s="17">
        <f>G89+G102+G105+G106</f>
        <v/>
      </c>
      <c r="H88" s="636" t="n"/>
      <c r="I88" s="17" t="n"/>
      <c r="J88" s="546" t="inlineStr">
        <is>
          <t>тыс.т</t>
        </is>
      </c>
    </row>
    <row r="89" ht="20.1" customHeight="1" s="904">
      <c r="B89" s="909" t="n"/>
      <c r="C89" s="547" t="inlineStr">
        <is>
          <t xml:space="preserve">   Газпром переработка</t>
        </is>
      </c>
      <c r="D89" s="15" t="n"/>
      <c r="E89" s="15" t="n"/>
      <c r="F89" s="16" t="n"/>
      <c r="G89" s="17">
        <f>G91+G93+G95+G90</f>
        <v/>
      </c>
      <c r="H89" s="636" t="n"/>
      <c r="I89" s="17" t="n"/>
      <c r="J89" s="546" t="inlineStr">
        <is>
          <t>тыс.т</t>
        </is>
      </c>
    </row>
    <row r="90" ht="20.1" customHeight="1" s="904">
      <c r="B90" s="909" t="n"/>
      <c r="C90" s="548" t="inlineStr">
        <is>
          <t>Астраханский ГПЗ</t>
        </is>
      </c>
      <c r="D90" s="15" t="n"/>
      <c r="E90" s="15" t="n"/>
      <c r="F90" s="16" t="n"/>
      <c r="G90" s="17" t="inlineStr">
        <is>
          <t>1_100331985</t>
        </is>
      </c>
      <c r="H90" s="636" t="n"/>
      <c r="I90" s="17" t="n"/>
      <c r="J90" s="549" t="inlineStr">
        <is>
          <t>тыс.т</t>
        </is>
      </c>
    </row>
    <row r="91" ht="20.1" customHeight="1" s="904">
      <c r="B91" s="909" t="n"/>
      <c r="C91" s="548" t="inlineStr">
        <is>
          <t>Оренбургский ГХК</t>
        </is>
      </c>
      <c r="D91" s="15" t="n"/>
      <c r="E91" s="15" t="n"/>
      <c r="F91" s="16" t="n"/>
      <c r="G91" s="17">
        <f>G92</f>
        <v/>
      </c>
      <c r="H91" s="636" t="n"/>
      <c r="I91" s="17" t="n"/>
      <c r="J91" s="549" t="inlineStr">
        <is>
          <t>тыс.т</t>
        </is>
      </c>
    </row>
    <row r="92" ht="20.1" customHeight="1" s="904">
      <c r="B92" s="909" t="n"/>
      <c r="C92" s="553" t="inlineStr">
        <is>
          <t>Газпром добыча Оренбург</t>
        </is>
      </c>
      <c r="D92" s="15" t="n"/>
      <c r="E92" s="15" t="n"/>
      <c r="F92" s="16" t="n"/>
      <c r="G92" s="17" t="inlineStr">
        <is>
          <t>2_100332061</t>
        </is>
      </c>
      <c r="H92" s="636" t="n"/>
      <c r="I92" s="17" t="n"/>
      <c r="J92" s="554" t="inlineStr">
        <is>
          <t>тыс.т</t>
        </is>
      </c>
    </row>
    <row r="93" ht="20.1" customHeight="1" s="904">
      <c r="B93" s="909" t="n"/>
      <c r="C93" s="548" t="inlineStr">
        <is>
          <t xml:space="preserve">   Сосногорский ГПЗ </t>
        </is>
      </c>
      <c r="D93" s="15" t="n"/>
      <c r="E93" s="15" t="n"/>
      <c r="F93" s="16" t="n"/>
      <c r="G93" s="17">
        <f>G94</f>
        <v/>
      </c>
      <c r="H93" s="636" t="n"/>
      <c r="I93" s="17" t="n"/>
      <c r="J93" s="549" t="inlineStr">
        <is>
          <t>тыс.т</t>
        </is>
      </c>
    </row>
    <row r="94" ht="20.1" customHeight="1" s="904">
      <c r="B94" s="909" t="n"/>
      <c r="C94" s="553" t="inlineStr">
        <is>
          <t>Газпром добыча Краснодар (в составе НГКС)</t>
        </is>
      </c>
      <c r="D94" s="15" t="n"/>
      <c r="E94" s="15" t="n"/>
      <c r="F94" s="16" t="n"/>
      <c r="G94" s="17" t="inlineStr">
        <is>
          <t>3_100330017</t>
        </is>
      </c>
      <c r="H94" s="636" t="n"/>
      <c r="I94" s="17" t="n"/>
      <c r="J94" s="554" t="inlineStr">
        <is>
          <t>тыс.т</t>
        </is>
      </c>
    </row>
    <row r="95" ht="20.1" customHeight="1" s="904">
      <c r="B95" s="909" t="n"/>
      <c r="C95" s="548" t="inlineStr">
        <is>
          <t xml:space="preserve">               Уренгойский ЗПКТ- Сургутский ЗСК и привлеченные мощности</t>
        </is>
      </c>
      <c r="D95" s="15" t="n"/>
      <c r="E95" s="15" t="n"/>
      <c r="F95" s="16" t="n"/>
      <c r="G95" s="17">
        <f>G97+G98+G99</f>
        <v/>
      </c>
      <c r="H95" s="636" t="n"/>
      <c r="I95" s="17" t="n"/>
      <c r="J95" s="549" t="inlineStr">
        <is>
          <t>тыс.т</t>
        </is>
      </c>
    </row>
    <row r="96" ht="20.1" customHeight="1" s="904">
      <c r="B96" s="909" t="n"/>
      <c r="C96" s="553" t="inlineStr">
        <is>
          <t>в т.ч. доп. мощности</t>
        </is>
      </c>
      <c r="D96" s="15" t="n"/>
      <c r="E96" s="15" t="n"/>
      <c r="F96" s="16" t="n"/>
      <c r="G96" s="17" t="inlineStr">
        <is>
          <t>4_100335357+4_100335358</t>
        </is>
      </c>
      <c r="H96" s="636" t="n"/>
      <c r="I96" s="17" t="n"/>
      <c r="J96" s="554" t="inlineStr">
        <is>
          <t>тыс.т</t>
        </is>
      </c>
    </row>
    <row r="97" ht="20.1" customHeight="1" s="904">
      <c r="B97" s="909" t="n"/>
      <c r="C97" s="553" t="inlineStr">
        <is>
          <t xml:space="preserve">Газпром добыча Ямбург </t>
        </is>
      </c>
      <c r="D97" s="15" t="n"/>
      <c r="E97" s="15" t="n"/>
      <c r="F97" s="16" t="n"/>
      <c r="G97" s="17" t="inlineStr">
        <is>
          <t>4_100331828</t>
        </is>
      </c>
      <c r="H97" s="636" t="n"/>
      <c r="I97" s="17" t="n"/>
      <c r="J97" s="554" t="inlineStr">
        <is>
          <t>тыс.т</t>
        </is>
      </c>
    </row>
    <row r="98" ht="20.1" customHeight="1" s="904">
      <c r="B98" s="909" t="n"/>
      <c r="C98" s="553" t="inlineStr">
        <is>
          <t>Сибнефтегаз ( Береговое НГКМ)</t>
        </is>
      </c>
      <c r="D98" s="15" t="n"/>
      <c r="E98" s="15" t="n"/>
      <c r="F98" s="16" t="n"/>
      <c r="G98" s="17" t="inlineStr">
        <is>
          <t>4_100331835</t>
        </is>
      </c>
      <c r="H98" s="636" t="n"/>
      <c r="I98" s="17" t="n"/>
      <c r="J98" s="554" t="inlineStr">
        <is>
          <t>тыс.т</t>
        </is>
      </c>
    </row>
    <row r="99" ht="20.1" customHeight="1" s="904">
      <c r="B99" s="909" t="n"/>
      <c r="C99" s="553" t="inlineStr">
        <is>
          <t>Газпром добыча Уренгой</t>
        </is>
      </c>
      <c r="D99" s="15" t="n"/>
      <c r="E99" s="15" t="n"/>
      <c r="F99" s="16" t="n"/>
      <c r="G99" s="17" t="inlineStr">
        <is>
          <t>4_100331804+4_100335033</t>
        </is>
      </c>
      <c r="H99" s="636" t="n"/>
      <c r="I99" s="17" t="n"/>
      <c r="J99" s="554" t="inlineStr">
        <is>
          <t>тыс.т</t>
        </is>
      </c>
    </row>
    <row r="100" ht="20.1" customHeight="1" s="904">
      <c r="B100" s="909" t="n"/>
      <c r="C100" s="553" t="inlineStr">
        <is>
          <t>в т.ч. ДРОД</t>
        </is>
      </c>
      <c r="D100" s="15" t="n"/>
      <c r="E100" s="15" t="n"/>
      <c r="F100" s="16" t="n"/>
      <c r="G100" s="17" t="inlineStr">
        <is>
          <t>4_100335470+4_100335508</t>
        </is>
      </c>
      <c r="H100" s="636" t="n"/>
      <c r="I100" s="17" t="n"/>
      <c r="J100" s="554" t="inlineStr">
        <is>
          <t>тыс.т</t>
        </is>
      </c>
    </row>
    <row r="101" ht="20.1" customHeight="1" s="904">
      <c r="B101" s="909" t="n"/>
      <c r="C101" s="553" t="inlineStr">
        <is>
          <t>в т.ч. C5+ от подготовки газа деэтанизации</t>
        </is>
      </c>
      <c r="D101" s="15" t="n"/>
      <c r="E101" s="15" t="n"/>
      <c r="F101" s="16" t="n"/>
      <c r="G101" s="17" t="inlineStr">
        <is>
          <t>4_100337101</t>
        </is>
      </c>
      <c r="H101" s="636" t="n"/>
      <c r="I101" s="17" t="n"/>
      <c r="J101" s="554" t="inlineStr">
        <is>
          <t>тыс.т</t>
        </is>
      </c>
    </row>
    <row r="102" ht="20.1" customHeight="1" s="904">
      <c r="B102" s="909" t="n"/>
      <c r="C102" s="547" t="inlineStr">
        <is>
          <t>Газпром добыча Иркутск</t>
        </is>
      </c>
      <c r="D102" s="15" t="n"/>
      <c r="E102" s="15" t="n"/>
      <c r="F102" s="16" t="n"/>
      <c r="G102" s="17">
        <f>G103+G104</f>
        <v/>
      </c>
      <c r="H102" s="636" t="n"/>
      <c r="I102" s="17" t="n"/>
      <c r="J102" s="546" t="inlineStr">
        <is>
          <t>тыс.т</t>
        </is>
      </c>
    </row>
    <row r="103" ht="20.1" customHeight="1" s="904">
      <c r="B103" s="909" t="n"/>
      <c r="C103" s="553" t="inlineStr">
        <is>
          <t>Ковыктинское ГКМ</t>
        </is>
      </c>
      <c r="D103" s="15" t="n"/>
      <c r="E103" s="15" t="n"/>
      <c r="F103" s="16" t="n"/>
      <c r="G103" s="17" t="inlineStr">
        <is>
          <t>12_100330735</t>
        </is>
      </c>
      <c r="H103" s="636" t="n"/>
      <c r="I103" s="17" t="n"/>
      <c r="J103" s="554" t="inlineStr">
        <is>
          <t>тыс.т</t>
        </is>
      </c>
    </row>
    <row r="104" ht="20.1" customHeight="1" s="904">
      <c r="B104" s="909" t="n"/>
      <c r="C104" s="553" t="inlineStr">
        <is>
          <t>Чиканское ГКМ</t>
        </is>
      </c>
      <c r="D104" s="15" t="n"/>
      <c r="E104" s="15" t="n"/>
      <c r="F104" s="16" t="n"/>
      <c r="G104" s="17">
        <f>0</f>
        <v/>
      </c>
      <c r="H104" s="636" t="n"/>
      <c r="I104" s="17" t="n"/>
      <c r="J104" s="554" t="inlineStr">
        <is>
          <t>тыс.т</t>
        </is>
      </c>
    </row>
    <row r="105" ht="20.1" customHeight="1" s="904">
      <c r="B105" s="909" t="n"/>
      <c r="C105" s="547" t="inlineStr">
        <is>
          <t>Газпром добыча шельф Южно-Сахалинск</t>
        </is>
      </c>
      <c r="D105" s="15" t="n"/>
      <c r="E105" s="15" t="n"/>
      <c r="F105" s="16" t="n"/>
      <c r="G105" s="17" t="inlineStr">
        <is>
          <t>13_100332291</t>
        </is>
      </c>
      <c r="H105" s="636" t="n"/>
      <c r="I105" s="17" t="n"/>
      <c r="J105" s="546" t="inlineStr">
        <is>
          <t>тыс. т</t>
        </is>
      </c>
    </row>
    <row r="106" ht="20.1" customHeight="1" s="904">
      <c r="B106" s="909" t="n"/>
      <c r="C106" s="547" t="inlineStr">
        <is>
          <t>Газпром добыча Ноябрьск</t>
        </is>
      </c>
      <c r="D106" s="15" t="n"/>
      <c r="E106" s="15" t="n"/>
      <c r="F106" s="16" t="n"/>
      <c r="G106" s="17">
        <f>G107+G108</f>
        <v/>
      </c>
      <c r="H106" s="636" t="n"/>
      <c r="I106" s="17" t="n"/>
      <c r="J106" s="546" t="inlineStr">
        <is>
          <t>тыс. т</t>
        </is>
      </c>
    </row>
    <row r="107" ht="20.1" customHeight="1" s="904">
      <c r="B107" s="909" t="n"/>
      <c r="C107" s="553" t="inlineStr">
        <is>
          <t>Чаяндинское НГКМ</t>
        </is>
      </c>
      <c r="D107" s="15" t="n"/>
      <c r="E107" s="15" t="n"/>
      <c r="F107" s="16" t="n"/>
      <c r="G107" s="17" t="inlineStr">
        <is>
          <t>10_100330715</t>
        </is>
      </c>
      <c r="H107" s="636" t="n"/>
      <c r="I107" s="17" t="n"/>
      <c r="J107" s="554" t="inlineStr">
        <is>
          <t>тыс.т</t>
        </is>
      </c>
    </row>
    <row r="108" ht="20.1" customHeight="1" s="904">
      <c r="B108" s="909" t="n"/>
      <c r="C108" s="553" t="inlineStr">
        <is>
          <t>Западно-Таркосалинское НГКМ на СЗСК</t>
        </is>
      </c>
      <c r="D108" s="15" t="n"/>
      <c r="E108" s="15" t="n"/>
      <c r="F108" s="16" t="n"/>
      <c r="G108" s="17" t="inlineStr">
        <is>
          <t>10_100330861</t>
        </is>
      </c>
      <c r="H108" s="636" t="n"/>
      <c r="I108" s="17" t="n"/>
      <c r="J108" s="554" t="inlineStr">
        <is>
          <t>тыс.т</t>
        </is>
      </c>
    </row>
    <row r="109" ht="20.1" customHeight="1" s="904">
      <c r="B109" s="20" t="inlineStr">
        <is>
          <t>4.1.2.</t>
        </is>
      </c>
      <c r="C109" s="552" t="inlineStr">
        <is>
          <t>Дочерние общества</t>
        </is>
      </c>
      <c r="D109" s="15" t="n"/>
      <c r="E109" s="15" t="n"/>
      <c r="F109" s="16" t="n"/>
      <c r="G109" s="17">
        <f>G113+G119+G122+G123+G125+G127</f>
        <v/>
      </c>
      <c r="H109" s="636" t="n"/>
      <c r="I109" s="17" t="n"/>
      <c r="J109" s="546" t="inlineStr">
        <is>
          <t>тыс.т</t>
        </is>
      </c>
    </row>
    <row r="110" hidden="1" outlineLevel="1" ht="20.1" customHeight="1" s="904">
      <c r="B110" s="909" t="n"/>
      <c r="C110" s="550" t="inlineStr">
        <is>
          <t>Газпром добыча Астрахань</t>
        </is>
      </c>
      <c r="D110" s="15" t="n"/>
      <c r="E110" s="15" t="n"/>
      <c r="F110" s="16" t="n"/>
      <c r="G110" s="17">
        <f>G111</f>
        <v/>
      </c>
      <c r="H110" s="636" t="n"/>
      <c r="I110" s="17" t="n"/>
      <c r="J110" s="546" t="inlineStr">
        <is>
          <t>тыс.т</t>
        </is>
      </c>
    </row>
    <row r="111" hidden="1" outlineLevel="1" ht="20.1" customHeight="1" s="904">
      <c r="B111" s="909" t="n"/>
      <c r="C111" s="551" t="inlineStr">
        <is>
          <t>Астраханский ГПЗ</t>
        </is>
      </c>
      <c r="D111" s="15" t="n"/>
      <c r="E111" s="15" t="n"/>
      <c r="F111" s="16" t="n"/>
      <c r="G111" s="17">
        <f>G112</f>
        <v/>
      </c>
      <c r="H111" s="636" t="n"/>
      <c r="I111" s="17" t="n"/>
      <c r="J111" s="549" t="inlineStr">
        <is>
          <t>тыс.т</t>
        </is>
      </c>
    </row>
    <row r="112" hidden="1" outlineLevel="1" ht="20.1" customHeight="1" s="904">
      <c r="B112" s="909" t="n"/>
      <c r="C112" s="559" t="inlineStr">
        <is>
          <t>Газпром добыча Астрахань</t>
        </is>
      </c>
      <c r="D112" s="15" t="n"/>
      <c r="E112" s="15" t="n"/>
      <c r="F112" s="16" t="n"/>
      <c r="G112" s="17" t="n"/>
      <c r="H112" s="636" t="n"/>
      <c r="I112" s="17" t="n"/>
      <c r="J112" s="554" t="inlineStr">
        <is>
          <t>тыс.т</t>
        </is>
      </c>
    </row>
    <row r="113" collapsed="1" ht="20.1" customHeight="1" s="904">
      <c r="B113" s="909" t="n"/>
      <c r="C113" s="547" t="inlineStr">
        <is>
          <t xml:space="preserve">   Газпром переработка</t>
        </is>
      </c>
      <c r="D113" s="15" t="n"/>
      <c r="E113" s="15" t="n"/>
      <c r="F113" s="16" t="n"/>
      <c r="G113" s="17">
        <f>G114+G117</f>
        <v/>
      </c>
      <c r="H113" s="636" t="n"/>
      <c r="I113" s="17" t="n"/>
      <c r="J113" s="546" t="inlineStr">
        <is>
          <t>тыс.т</t>
        </is>
      </c>
    </row>
    <row r="114" ht="20.1" customHeight="1" s="904">
      <c r="B114" s="909" t="n"/>
      <c r="C114" s="548" t="inlineStr">
        <is>
          <t>Оренбургский ГХК</t>
        </is>
      </c>
      <c r="D114" s="15" t="n"/>
      <c r="E114" s="15" t="n"/>
      <c r="F114" s="16" t="n"/>
      <c r="G114" s="17">
        <f>G115+G116</f>
        <v/>
      </c>
      <c r="H114" s="636" t="n"/>
      <c r="I114" s="17" t="n"/>
      <c r="J114" s="554" t="inlineStr">
        <is>
          <t>тыс.т</t>
        </is>
      </c>
    </row>
    <row r="115" ht="20.1" customHeight="1" s="904">
      <c r="B115" s="909" t="n"/>
      <c r="C115" s="553" t="inlineStr">
        <is>
          <t>УНГП</t>
        </is>
      </c>
      <c r="D115" s="15" t="n"/>
      <c r="E115" s="15" t="n"/>
      <c r="F115" s="16" t="n"/>
      <c r="G115" s="17" t="inlineStr">
        <is>
          <t>2_100332062</t>
        </is>
      </c>
      <c r="H115" s="636" t="n"/>
      <c r="I115" s="17" t="n"/>
      <c r="J115" s="554" t="inlineStr">
        <is>
          <t>тыс.т</t>
        </is>
      </c>
    </row>
    <row r="116" ht="20.1" customHeight="1" s="904">
      <c r="B116" s="909" t="n"/>
      <c r="C116" s="553" t="inlineStr">
        <is>
          <t>Газпромнефть-Заполярье</t>
        </is>
      </c>
      <c r="D116" s="15" t="n"/>
      <c r="E116" s="15" t="n"/>
      <c r="F116" s="16" t="n"/>
      <c r="G116" s="17" t="inlineStr">
        <is>
          <t>2_100335697</t>
        </is>
      </c>
      <c r="H116" s="636" t="n"/>
      <c r="I116" s="17" t="n"/>
      <c r="J116" s="554" t="inlineStr">
        <is>
          <t>тыс.т</t>
        </is>
      </c>
    </row>
    <row r="117" ht="20.1" customHeight="1" s="904">
      <c r="B117" s="909" t="n"/>
      <c r="C117" s="567" t="inlineStr">
        <is>
          <t>Уренгойский ЗПКТ</t>
        </is>
      </c>
      <c r="D117" s="15" t="n"/>
      <c r="E117" s="15" t="n"/>
      <c r="F117" s="16" t="n"/>
      <c r="G117" s="17">
        <f>G118</f>
        <v/>
      </c>
      <c r="H117" s="636" t="n"/>
      <c r="I117" s="17" t="n"/>
      <c r="J117" s="549" t="inlineStr">
        <is>
          <t>тыс.т</t>
        </is>
      </c>
    </row>
    <row r="118" ht="20.1" customHeight="1" s="904">
      <c r="B118" s="909" t="n"/>
      <c r="C118" s="562" t="inlineStr">
        <is>
          <t>Газпром добыча Уренгой</t>
        </is>
      </c>
      <c r="D118" s="15" t="n"/>
      <c r="E118" s="15" t="n"/>
      <c r="F118" s="16" t="n"/>
      <c r="G118" s="17" t="inlineStr">
        <is>
          <t>4_100333682</t>
        </is>
      </c>
      <c r="H118" s="636" t="n"/>
      <c r="I118" s="17" t="n"/>
      <c r="J118" s="554" t="inlineStr">
        <is>
          <t>тыс.т</t>
        </is>
      </c>
    </row>
    <row r="119" ht="20.1" customHeight="1" s="904">
      <c r="B119" s="909" t="n"/>
      <c r="C119" s="547" t="inlineStr">
        <is>
          <t>Газпром добыча Уренгой</t>
        </is>
      </c>
      <c r="D119" s="15" t="n"/>
      <c r="E119" s="15" t="n"/>
      <c r="F119" s="16" t="n"/>
      <c r="G119" s="17">
        <f>G120</f>
        <v/>
      </c>
      <c r="H119" s="636" t="n"/>
      <c r="I119" s="17" t="n"/>
      <c r="J119" s="546" t="inlineStr">
        <is>
          <t>тыс.т</t>
        </is>
      </c>
    </row>
    <row r="120" ht="20.1" customHeight="1" s="904">
      <c r="B120" s="909" t="n"/>
      <c r="C120" s="548" t="inlineStr">
        <is>
          <t xml:space="preserve">                Уренгойский ЗПКТ</t>
        </is>
      </c>
      <c r="D120" s="15" t="n"/>
      <c r="E120" s="15" t="n"/>
      <c r="F120" s="16" t="n"/>
      <c r="G120" s="17">
        <f>G121</f>
        <v/>
      </c>
      <c r="H120" s="636" t="n"/>
      <c r="I120" s="17" t="n"/>
      <c r="J120" s="549" t="inlineStr">
        <is>
          <t>тыс.т</t>
        </is>
      </c>
    </row>
    <row r="121" ht="20.1" customHeight="1" s="904">
      <c r="B121" s="909" t="n"/>
      <c r="C121" s="553" t="inlineStr">
        <is>
          <t>Газпром добыча Уренгой</t>
        </is>
      </c>
      <c r="D121" s="15" t="n"/>
      <c r="E121" s="15" t="n"/>
      <c r="F121" s="16" t="n"/>
      <c r="G121" s="17">
        <f>0</f>
        <v/>
      </c>
      <c r="H121" s="636" t="n"/>
      <c r="I121" s="17" t="n"/>
      <c r="J121" s="554" t="inlineStr">
        <is>
          <t>тыс.т</t>
        </is>
      </c>
    </row>
    <row r="122" ht="20.1" customHeight="1" s="904">
      <c r="B122" s="909" t="n"/>
      <c r="C122" s="547" t="inlineStr">
        <is>
          <t xml:space="preserve">   Газпром добыча Ямбург</t>
        </is>
      </c>
      <c r="D122" s="15" t="n"/>
      <c r="E122" s="15" t="n"/>
      <c r="F122" s="16" t="n"/>
      <c r="G122" s="17" t="inlineStr">
        <is>
          <t>7_100330595</t>
        </is>
      </c>
      <c r="H122" s="636" t="n"/>
      <c r="I122" s="17" t="n"/>
      <c r="J122" s="546" t="inlineStr">
        <is>
          <t>тыс.т</t>
        </is>
      </c>
    </row>
    <row r="123" ht="20.1" customHeight="1" s="904">
      <c r="B123" s="909" t="n"/>
      <c r="C123" s="547" t="inlineStr">
        <is>
          <t>Газпром добыча Ноябрьск</t>
        </is>
      </c>
      <c r="D123" s="15" t="n"/>
      <c r="E123" s="15" t="n"/>
      <c r="F123" s="16" t="n"/>
      <c r="G123" s="17">
        <f>G124</f>
        <v/>
      </c>
      <c r="H123" s="636" t="n"/>
      <c r="I123" s="17" t="n"/>
      <c r="J123" s="546" t="inlineStr">
        <is>
          <t>тыс. т</t>
        </is>
      </c>
    </row>
    <row r="124" ht="20.1" customHeight="1" s="904">
      <c r="B124" s="909" t="n"/>
      <c r="C124" s="568" t="inlineStr">
        <is>
          <t>конденсат (Камчат. ГПУ - Кшукское ГКМ, Нижне-Квакчикское ГКМ)</t>
        </is>
      </c>
      <c r="D124" s="15" t="n"/>
      <c r="E124" s="15" t="n"/>
      <c r="F124" s="16" t="n"/>
      <c r="G124" s="17" t="inlineStr">
        <is>
          <t>10_100330718</t>
        </is>
      </c>
      <c r="H124" s="636" t="n"/>
      <c r="I124" s="17" t="n"/>
      <c r="J124" s="554" t="inlineStr">
        <is>
          <t>тыс.т</t>
        </is>
      </c>
    </row>
    <row r="125" ht="20.1" customHeight="1" s="904">
      <c r="B125" s="909" t="n"/>
      <c r="C125" s="547" t="inlineStr">
        <is>
          <t>Газпром добыча Надым</t>
        </is>
      </c>
      <c r="D125" s="15" t="n"/>
      <c r="E125" s="15" t="n"/>
      <c r="F125" s="16" t="n"/>
      <c r="G125" s="17" t="inlineStr">
        <is>
          <t>11_100330015</t>
        </is>
      </c>
      <c r="H125" s="636" t="n"/>
      <c r="I125" s="17" t="n"/>
      <c r="J125" s="546" t="inlineStr">
        <is>
          <t>тыс. т</t>
        </is>
      </c>
    </row>
    <row r="126" ht="20.1" customHeight="1" s="904">
      <c r="B126" s="909" t="n"/>
      <c r="C126" s="553" t="inlineStr">
        <is>
          <t>в т.ч. Бованенковское НГКМ</t>
        </is>
      </c>
      <c r="D126" s="15" t="n"/>
      <c r="E126" s="15" t="n"/>
      <c r="F126" s="16" t="n"/>
      <c r="G126" s="17" t="inlineStr">
        <is>
          <t>11_100330688</t>
        </is>
      </c>
      <c r="H126" s="636" t="n"/>
      <c r="I126" s="17" t="n"/>
      <c r="J126" s="554" t="inlineStr">
        <is>
          <t>тыс.т</t>
        </is>
      </c>
    </row>
    <row r="127" ht="20.1" customHeight="1" s="904">
      <c r="B127" s="909" t="n"/>
      <c r="C127" s="547" t="inlineStr">
        <is>
          <t>Газпром добыча Краснодар</t>
        </is>
      </c>
      <c r="D127" s="15" t="n"/>
      <c r="E127" s="15" t="n"/>
      <c r="F127" s="16" t="n"/>
      <c r="G127" s="17" t="inlineStr">
        <is>
          <t>9_100330671</t>
        </is>
      </c>
      <c r="H127" s="636" t="n"/>
      <c r="I127" s="17" t="n"/>
      <c r="J127" s="546" t="inlineStr">
        <is>
          <t>тыс.т</t>
        </is>
      </c>
    </row>
    <row r="128" ht="20.1" customHeight="1" s="904">
      <c r="B128" s="909" t="inlineStr">
        <is>
          <t>4.2.</t>
        </is>
      </c>
      <c r="C128" s="545" t="inlineStr">
        <is>
          <t>Нефть-всего</t>
        </is>
      </c>
      <c r="D128" s="15" t="n"/>
      <c r="E128" s="15" t="n"/>
      <c r="F128" s="16" t="n"/>
      <c r="G128" s="17">
        <f>G129+G134</f>
        <v/>
      </c>
      <c r="H128" s="636" t="n"/>
      <c r="I128" s="17" t="n"/>
      <c r="J128" s="546" t="inlineStr">
        <is>
          <t>тыс.т</t>
        </is>
      </c>
    </row>
    <row r="129" ht="20.1" customHeight="1" s="904">
      <c r="B129" s="909" t="n"/>
      <c r="C129" s="547" t="inlineStr">
        <is>
          <t xml:space="preserve">   Газпром переработка</t>
        </is>
      </c>
      <c r="D129" s="15" t="n"/>
      <c r="E129" s="15" t="n"/>
      <c r="F129" s="16" t="n"/>
      <c r="G129" s="17">
        <f>G130+G131+G133+G132</f>
        <v/>
      </c>
      <c r="H129" s="636" t="n"/>
      <c r="I129" s="17" t="n"/>
      <c r="J129" s="546" t="inlineStr">
        <is>
          <t>тыс.т</t>
        </is>
      </c>
    </row>
    <row r="130" ht="20.1" customHeight="1" s="904">
      <c r="B130" s="909" t="n"/>
      <c r="C130" s="548" t="inlineStr">
        <is>
          <t>Оренбургский ГХК</t>
        </is>
      </c>
      <c r="D130" s="15" t="n"/>
      <c r="E130" s="15" t="n"/>
      <c r="F130" s="16" t="n"/>
      <c r="G130" s="17">
        <f>G148+G137+G154</f>
        <v/>
      </c>
      <c r="H130" s="636" t="n"/>
      <c r="I130" s="17" t="n"/>
      <c r="J130" s="549" t="inlineStr">
        <is>
          <t>тыс.т</t>
        </is>
      </c>
    </row>
    <row r="131" ht="20.1" customHeight="1" s="904">
      <c r="B131" s="909" t="n"/>
      <c r="C131" s="548" t="inlineStr">
        <is>
          <t>Сосногорский ГПЗ</t>
        </is>
      </c>
      <c r="D131" s="15" t="n"/>
      <c r="E131" s="15" t="n"/>
      <c r="F131" s="16" t="n"/>
      <c r="G131" s="17">
        <f>G140</f>
        <v/>
      </c>
      <c r="H131" s="636" t="n"/>
      <c r="I131" s="17" t="n"/>
      <c r="J131" s="549" t="inlineStr">
        <is>
          <t>тыс.т</t>
        </is>
      </c>
    </row>
    <row r="132" ht="20.1" customHeight="1" s="904">
      <c r="B132" s="909" t="n"/>
      <c r="C132" s="567" t="inlineStr">
        <is>
          <t xml:space="preserve">             Уренгойский ЗПКТ</t>
        </is>
      </c>
      <c r="D132" s="15" t="n"/>
      <c r="E132" s="15" t="n"/>
      <c r="F132" s="16" t="n"/>
      <c r="G132" s="17">
        <f>G142+G151</f>
        <v/>
      </c>
      <c r="H132" s="636" t="n"/>
      <c r="I132" s="17" t="n"/>
      <c r="J132" s="549" t="inlineStr">
        <is>
          <t>тыс.т</t>
        </is>
      </c>
    </row>
    <row r="133" ht="20.1" customHeight="1" s="904">
      <c r="B133" s="909" t="n"/>
      <c r="C133" s="548" t="inlineStr">
        <is>
          <t xml:space="preserve">                 Сургутский ЗСК</t>
        </is>
      </c>
      <c r="D133" s="15" t="n"/>
      <c r="E133" s="15" t="n"/>
      <c r="F133" s="16" t="n"/>
      <c r="G133" s="17">
        <f>G144</f>
        <v/>
      </c>
      <c r="H133" s="636" t="n"/>
      <c r="I133" s="17" t="n"/>
      <c r="J133" s="549" t="inlineStr">
        <is>
          <t>тыс.т</t>
        </is>
      </c>
    </row>
    <row r="134" ht="20.1" customHeight="1" s="904">
      <c r="B134" s="909" t="n"/>
      <c r="C134" s="547" t="inlineStr">
        <is>
          <t>Газпром добыча Краснодар</t>
        </is>
      </c>
      <c r="D134" s="15" t="n"/>
      <c r="E134" s="15" t="n"/>
      <c r="F134" s="16" t="n"/>
      <c r="G134" s="17">
        <f>G156</f>
        <v/>
      </c>
      <c r="H134" s="636" t="n"/>
      <c r="I134" s="17" t="n"/>
      <c r="J134" s="546" t="inlineStr">
        <is>
          <t>тыс.т</t>
        </is>
      </c>
    </row>
    <row r="135" ht="20.1" customHeight="1" s="904">
      <c r="B135" s="20" t="inlineStr">
        <is>
          <t>4.2.1.</t>
        </is>
      </c>
      <c r="C135" s="552" t="inlineStr">
        <is>
          <t>Газпром</t>
        </is>
      </c>
      <c r="D135" s="15" t="n"/>
      <c r="E135" s="15" t="n"/>
      <c r="F135" s="16" t="n"/>
      <c r="G135" s="17">
        <f>G136</f>
        <v/>
      </c>
      <c r="H135" s="636" t="n"/>
      <c r="I135" s="17" t="n"/>
      <c r="J135" s="546" t="inlineStr">
        <is>
          <t>тыс.т</t>
        </is>
      </c>
    </row>
    <row r="136" ht="20.1" customHeight="1" s="904">
      <c r="B136" s="909" t="n"/>
      <c r="C136" s="547" t="inlineStr">
        <is>
          <t xml:space="preserve">   Газпром переработка</t>
        </is>
      </c>
      <c r="D136" s="15" t="n"/>
      <c r="E136" s="15" t="n"/>
      <c r="F136" s="16" t="n"/>
      <c r="G136" s="17">
        <f>G137+G140+G144+G142</f>
        <v/>
      </c>
      <c r="H136" s="636" t="n"/>
      <c r="I136" s="17" t="n"/>
      <c r="J136" s="546" t="inlineStr">
        <is>
          <t>тыс.т</t>
        </is>
      </c>
    </row>
    <row r="137" ht="20.1" customHeight="1" s="904">
      <c r="B137" s="909" t="n"/>
      <c r="C137" s="548" t="inlineStr">
        <is>
          <t>Оренбургский ГХК</t>
        </is>
      </c>
      <c r="D137" s="15" t="n"/>
      <c r="E137" s="15" t="n"/>
      <c r="F137" s="16" t="n"/>
      <c r="G137" s="17">
        <f>G138+G139</f>
        <v/>
      </c>
      <c r="H137" s="636" t="n"/>
      <c r="I137" s="17" t="n"/>
      <c r="J137" s="549" t="inlineStr">
        <is>
          <t>тыс.т</t>
        </is>
      </c>
    </row>
    <row r="138" ht="20.1" customHeight="1" s="904">
      <c r="B138" s="909" t="n"/>
      <c r="C138" s="553" t="inlineStr">
        <is>
          <t>Газпром добыча Оренбург</t>
        </is>
      </c>
      <c r="D138" s="15" t="n"/>
      <c r="E138" s="15" t="n"/>
      <c r="F138" s="16" t="n"/>
      <c r="G138" s="17" t="inlineStr">
        <is>
          <t>2_100332066</t>
        </is>
      </c>
      <c r="H138" s="636" t="n"/>
      <c r="I138" s="17" t="n"/>
      <c r="J138" s="554" t="inlineStr">
        <is>
          <t>тыс.т</t>
        </is>
      </c>
    </row>
    <row r="139" ht="20.1" customHeight="1" s="904">
      <c r="B139" s="909" t="n"/>
      <c r="C139" s="553" t="inlineStr">
        <is>
          <t>Газпром нефть</t>
        </is>
      </c>
      <c r="D139" s="15" t="n"/>
      <c r="E139" s="15" t="n"/>
      <c r="F139" s="16" t="n"/>
      <c r="G139" s="17" t="inlineStr">
        <is>
          <t>2_100332067</t>
        </is>
      </c>
      <c r="H139" s="636" t="n"/>
      <c r="I139" s="17" t="n"/>
      <c r="J139" s="554" t="inlineStr">
        <is>
          <t>тыс.т</t>
        </is>
      </c>
    </row>
    <row r="140" ht="20.1" customHeight="1" s="904">
      <c r="B140" s="909" t="n"/>
      <c r="C140" s="548" t="inlineStr">
        <is>
          <t xml:space="preserve">    Сосногорский ГПЗ </t>
        </is>
      </c>
      <c r="D140" s="15" t="n"/>
      <c r="E140" s="15" t="n"/>
      <c r="F140" s="16" t="n"/>
      <c r="G140" s="17">
        <f>G141</f>
        <v/>
      </c>
      <c r="H140" s="636" t="n"/>
      <c r="I140" s="17" t="n"/>
      <c r="J140" s="549" t="inlineStr">
        <is>
          <t>тыс.т</t>
        </is>
      </c>
    </row>
    <row r="141" ht="20.1" customHeight="1" s="904">
      <c r="B141" s="909" t="n"/>
      <c r="C141" s="553" t="inlineStr">
        <is>
          <t>Газпром добыча Краснодар (в составе НГКС)</t>
        </is>
      </c>
      <c r="D141" s="15" t="n"/>
      <c r="E141" s="15" t="n"/>
      <c r="F141" s="16" t="n"/>
      <c r="G141" s="17" t="inlineStr">
        <is>
          <t>3_100330196</t>
        </is>
      </c>
      <c r="H141" s="636" t="n"/>
      <c r="I141" s="17" t="n"/>
      <c r="J141" s="554" t="inlineStr">
        <is>
          <t>тыс.т</t>
        </is>
      </c>
    </row>
    <row r="142" ht="20.1" customHeight="1" s="904">
      <c r="B142" s="909" t="n"/>
      <c r="C142" s="548" t="inlineStr">
        <is>
          <t xml:space="preserve">             Уренгойский ЗПКТ</t>
        </is>
      </c>
      <c r="D142" s="15" t="n"/>
      <c r="E142" s="15" t="n"/>
      <c r="F142" s="16" t="n"/>
      <c r="G142" s="17">
        <f>G143</f>
        <v/>
      </c>
      <c r="H142" s="636" t="n"/>
      <c r="I142" s="17" t="n"/>
      <c r="J142" s="549" t="inlineStr">
        <is>
          <t>тыс.т</t>
        </is>
      </c>
    </row>
    <row r="143" ht="20.1" customHeight="1" s="904">
      <c r="B143" s="909" t="n"/>
      <c r="C143" s="553" t="inlineStr">
        <is>
          <t>Газпром добыча Уренгой</t>
        </is>
      </c>
      <c r="D143" s="15" t="n"/>
      <c r="E143" s="15" t="n"/>
      <c r="F143" s="16" t="n"/>
      <c r="G143" s="17" t="inlineStr">
        <is>
          <t>4_100335093</t>
        </is>
      </c>
      <c r="H143" s="636" t="n"/>
      <c r="I143" s="17" t="n"/>
      <c r="J143" s="554" t="inlineStr">
        <is>
          <t>тыс.т</t>
        </is>
      </c>
    </row>
    <row r="144" ht="20.1" customHeight="1" s="904">
      <c r="B144" s="909" t="n"/>
      <c r="C144" s="548" t="inlineStr">
        <is>
          <t xml:space="preserve">                 Сургутский ЗСК</t>
        </is>
      </c>
      <c r="D144" s="15" t="n"/>
      <c r="E144" s="15" t="n"/>
      <c r="F144" s="16" t="n"/>
      <c r="G144" s="17">
        <f>G145</f>
        <v/>
      </c>
      <c r="H144" s="636" t="n"/>
      <c r="I144" s="17" t="n"/>
      <c r="J144" s="549" t="inlineStr">
        <is>
          <t>тыс.т</t>
        </is>
      </c>
    </row>
    <row r="145" ht="20.1" customHeight="1" s="904">
      <c r="B145" s="909" t="n"/>
      <c r="C145" s="553" t="inlineStr">
        <is>
          <t xml:space="preserve">Газпром добыча Уренгой </t>
        </is>
      </c>
      <c r="D145" s="15" t="n"/>
      <c r="E145" s="15" t="n"/>
      <c r="F145" s="16" t="n"/>
      <c r="G145" s="17" t="inlineStr">
        <is>
          <t>4_100331838</t>
        </is>
      </c>
      <c r="H145" s="636" t="n"/>
      <c r="I145" s="17" t="n"/>
      <c r="J145" s="554" t="inlineStr">
        <is>
          <t>тыс.т</t>
        </is>
      </c>
    </row>
    <row r="146" ht="20.1" customHeight="1" s="904">
      <c r="B146" s="20" t="inlineStr">
        <is>
          <t>4.2.2.</t>
        </is>
      </c>
      <c r="C146" s="552" t="inlineStr">
        <is>
          <t>Дочерние общества</t>
        </is>
      </c>
      <c r="D146" s="15" t="n"/>
      <c r="E146" s="15" t="n"/>
      <c r="F146" s="16" t="n"/>
      <c r="G146" s="17">
        <f>G147+G153+G156</f>
        <v/>
      </c>
      <c r="H146" s="636" t="n"/>
      <c r="I146" s="17" t="n"/>
      <c r="J146" s="546" t="inlineStr">
        <is>
          <t>тыс.т</t>
        </is>
      </c>
    </row>
    <row r="147" ht="20.1" customHeight="1" s="904">
      <c r="B147" s="909" t="n"/>
      <c r="C147" s="547" t="inlineStr">
        <is>
          <t xml:space="preserve">   Газпром переработка</t>
        </is>
      </c>
      <c r="D147" s="15" t="n"/>
      <c r="E147" s="15" t="n"/>
      <c r="F147" s="16" t="n"/>
      <c r="G147" s="17">
        <f>G148+G151</f>
        <v/>
      </c>
      <c r="H147" s="636" t="n"/>
      <c r="I147" s="17" t="n"/>
      <c r="J147" s="546" t="inlineStr">
        <is>
          <t>тыс.т</t>
        </is>
      </c>
    </row>
    <row r="148" ht="20.1" customHeight="1" s="904">
      <c r="B148" s="909" t="n"/>
      <c r="C148" s="548" t="inlineStr">
        <is>
          <t>Оренбургский ГХК</t>
        </is>
      </c>
      <c r="D148" s="15" t="n"/>
      <c r="E148" s="15" t="n"/>
      <c r="F148" s="16" t="n"/>
      <c r="G148" s="17">
        <f>G149+G150</f>
        <v/>
      </c>
      <c r="H148" s="636" t="n"/>
      <c r="I148" s="17" t="n"/>
      <c r="J148" s="549" t="inlineStr">
        <is>
          <t>тыс.т</t>
        </is>
      </c>
    </row>
    <row r="149" ht="20.1" customHeight="1" s="904">
      <c r="B149" s="909" t="n"/>
      <c r="C149" s="553" t="inlineStr">
        <is>
          <t>УНГП</t>
        </is>
      </c>
      <c r="D149" s="15" t="n"/>
      <c r="E149" s="15" t="n"/>
      <c r="F149" s="16" t="n"/>
      <c r="G149" s="17" t="inlineStr">
        <is>
          <t>2_100332068</t>
        </is>
      </c>
      <c r="H149" s="636" t="n"/>
      <c r="I149" s="17" t="n"/>
      <c r="J149" s="554" t="inlineStr">
        <is>
          <t>тыс.т</t>
        </is>
      </c>
    </row>
    <row r="150" ht="20.1" customHeight="1" s="904">
      <c r="B150" s="909" t="n"/>
      <c r="C150" s="553" t="inlineStr">
        <is>
          <t>Газпромнефть-Заполярье</t>
        </is>
      </c>
      <c r="D150" s="15" t="n"/>
      <c r="E150" s="15" t="n"/>
      <c r="F150" s="16" t="n"/>
      <c r="G150" s="17" t="inlineStr">
        <is>
          <t>2_100332947</t>
        </is>
      </c>
      <c r="H150" s="636" t="n"/>
      <c r="I150" s="17" t="n"/>
      <c r="J150" s="554" t="inlineStr">
        <is>
          <t>тыс.т</t>
        </is>
      </c>
    </row>
    <row r="151" ht="20.1" customHeight="1" s="904">
      <c r="B151" s="909" t="n"/>
      <c r="C151" s="567" t="inlineStr">
        <is>
          <t xml:space="preserve">                Уренгойский ЗПКТ</t>
        </is>
      </c>
      <c r="D151" s="15" t="n"/>
      <c r="E151" s="15" t="n"/>
      <c r="F151" s="16" t="n"/>
      <c r="G151" s="17">
        <f>G152</f>
        <v/>
      </c>
      <c r="H151" s="636" t="n"/>
      <c r="I151" s="17" t="n"/>
      <c r="J151" s="549" t="inlineStr">
        <is>
          <t>тыс.т</t>
        </is>
      </c>
    </row>
    <row r="152" ht="20.1" customHeight="1" s="904">
      <c r="B152" s="909" t="n"/>
      <c r="C152" s="562" t="inlineStr">
        <is>
          <t>Газпром добыча Уренгой</t>
        </is>
      </c>
      <c r="D152" s="15" t="n"/>
      <c r="E152" s="15" t="n"/>
      <c r="F152" s="16" t="n"/>
      <c r="G152" s="17" t="inlineStr">
        <is>
          <t>4_100333678</t>
        </is>
      </c>
      <c r="H152" s="636" t="n"/>
      <c r="I152" s="17" t="n"/>
      <c r="J152" s="554" t="inlineStr">
        <is>
          <t>тыс.т</t>
        </is>
      </c>
    </row>
    <row r="153" ht="20.1" customHeight="1" s="904">
      <c r="B153" s="909" t="n"/>
      <c r="C153" s="547" t="inlineStr">
        <is>
          <t>Сервиснефтегаз</t>
        </is>
      </c>
      <c r="D153" s="15" t="n"/>
      <c r="E153" s="15" t="n"/>
      <c r="F153" s="16" t="n"/>
      <c r="G153" s="17">
        <f>G154</f>
        <v/>
      </c>
      <c r="H153" s="636" t="n"/>
      <c r="I153" s="17" t="n"/>
      <c r="J153" s="546" t="inlineStr">
        <is>
          <t>тыс.т</t>
        </is>
      </c>
    </row>
    <row r="154" ht="20.1" customHeight="1" s="904">
      <c r="B154" s="909" t="n"/>
      <c r="C154" s="548" t="inlineStr">
        <is>
          <t xml:space="preserve"> Оренбургский ГХК</t>
        </is>
      </c>
      <c r="D154" s="15" t="n"/>
      <c r="E154" s="15" t="n"/>
      <c r="F154" s="16" t="n"/>
      <c r="G154" s="17">
        <f>G155</f>
        <v/>
      </c>
      <c r="H154" s="636" t="n"/>
      <c r="I154" s="17" t="n"/>
      <c r="J154" s="549" t="inlineStr">
        <is>
          <t>тыс.т</t>
        </is>
      </c>
    </row>
    <row r="155" ht="20.1" customHeight="1" s="904">
      <c r="B155" s="909" t="n"/>
      <c r="C155" s="553" t="inlineStr">
        <is>
          <t>Сервиснефтегаз</t>
        </is>
      </c>
      <c r="D155" s="15" t="n"/>
      <c r="E155" s="15" t="n"/>
      <c r="F155" s="16" t="n"/>
      <c r="G155" s="17" t="inlineStr">
        <is>
          <t>2_100332069</t>
        </is>
      </c>
      <c r="H155" s="636" t="n"/>
      <c r="I155" s="17" t="n"/>
      <c r="J155" s="554" t="inlineStr">
        <is>
          <t>тыс.т</t>
        </is>
      </c>
    </row>
    <row r="156" ht="20.1" customHeight="1" s="904">
      <c r="B156" s="909" t="n"/>
      <c r="C156" s="22" t="inlineStr">
        <is>
          <t>Газпром добыча Краснодар</t>
        </is>
      </c>
      <c r="D156" s="15" t="n"/>
      <c r="E156" s="15" t="n"/>
      <c r="F156" s="16" t="n"/>
      <c r="G156" s="17" t="inlineStr">
        <is>
          <t>9_100330672</t>
        </is>
      </c>
      <c r="H156" s="636" t="n"/>
      <c r="I156" s="17" t="n"/>
      <c r="J156" s="546" t="inlineStr">
        <is>
          <t>тыс.т</t>
        </is>
      </c>
    </row>
    <row r="157" ht="20.1" customHeight="1" s="904">
      <c r="B157" s="909" t="inlineStr">
        <is>
          <t>5.</t>
        </is>
      </c>
      <c r="C157" s="569" t="inlineStr">
        <is>
          <t>Поставка нефти-всего</t>
        </is>
      </c>
      <c r="D157" s="15" t="n"/>
      <c r="E157" s="15" t="n"/>
      <c r="F157" s="16" t="n"/>
      <c r="G157" s="17">
        <f>G158+G159+G160</f>
        <v/>
      </c>
      <c r="H157" s="636" t="n"/>
      <c r="I157" s="17" t="n"/>
      <c r="J157" s="546" t="inlineStr">
        <is>
          <t>тыс.т</t>
        </is>
      </c>
    </row>
    <row r="158" ht="20.1" customHeight="1" s="904">
      <c r="B158" s="909" t="n"/>
      <c r="C158" s="570" t="inlineStr">
        <is>
          <t xml:space="preserve">   Газпром добыча Ямбург</t>
        </is>
      </c>
      <c r="D158" s="15" t="n"/>
      <c r="E158" s="15" t="n"/>
      <c r="F158" s="16" t="n"/>
      <c r="G158" s="17">
        <f>G168</f>
        <v/>
      </c>
      <c r="H158" s="636" t="n"/>
      <c r="I158" s="17" t="n"/>
      <c r="J158" s="546" t="inlineStr">
        <is>
          <t>тыс.т</t>
        </is>
      </c>
    </row>
    <row r="159" ht="20.1" customHeight="1" s="904">
      <c r="B159" s="909" t="n"/>
      <c r="C159" s="570" t="inlineStr">
        <is>
          <t>Газпром добыча Уренгой</t>
        </is>
      </c>
      <c r="D159" s="15" t="n"/>
      <c r="E159" s="15" t="n"/>
      <c r="F159" s="16" t="n"/>
      <c r="G159" s="17">
        <f>G162+G171</f>
        <v/>
      </c>
      <c r="H159" s="636" t="n"/>
      <c r="I159" s="17" t="n"/>
      <c r="J159" s="546" t="inlineStr">
        <is>
          <t>тыс.т</t>
        </is>
      </c>
    </row>
    <row r="160" ht="20.1" customHeight="1" s="904">
      <c r="B160" s="909" t="n"/>
      <c r="C160" s="570" t="inlineStr">
        <is>
          <t>Газпром добыча Ноябрьск</t>
        </is>
      </c>
      <c r="D160" s="15" t="n"/>
      <c r="E160" s="15" t="n"/>
      <c r="F160" s="16" t="n"/>
      <c r="G160" s="17">
        <f>G164+G175</f>
        <v/>
      </c>
      <c r="H160" s="636" t="n"/>
      <c r="I160" s="17" t="n"/>
      <c r="J160" s="546" t="inlineStr">
        <is>
          <t>тыс. т</t>
        </is>
      </c>
    </row>
    <row r="161" ht="20.1" customHeight="1" s="904">
      <c r="B161" s="20" t="inlineStr">
        <is>
          <t>5.1.</t>
        </is>
      </c>
      <c r="C161" s="571" t="inlineStr">
        <is>
          <t>Газпром</t>
        </is>
      </c>
      <c r="D161" s="15" t="n"/>
      <c r="E161" s="15" t="n"/>
      <c r="F161" s="16" t="n"/>
      <c r="G161" s="17">
        <f>G162+G164</f>
        <v/>
      </c>
      <c r="H161" s="636" t="n"/>
      <c r="I161" s="17" t="n"/>
      <c r="J161" s="546" t="inlineStr">
        <is>
          <t>тыс.т</t>
        </is>
      </c>
    </row>
    <row r="162" ht="20.1" customHeight="1" s="904">
      <c r="B162" s="909" t="n"/>
      <c r="C162" s="570" t="inlineStr">
        <is>
          <t>Газпром добыча Уренгой</t>
        </is>
      </c>
      <c r="D162" s="15" t="n"/>
      <c r="E162" s="15" t="n"/>
      <c r="F162" s="16" t="n"/>
      <c r="G162" s="17">
        <f>G163</f>
        <v/>
      </c>
      <c r="H162" s="636" t="n"/>
      <c r="I162" s="17" t="n"/>
      <c r="J162" s="546" t="inlineStr">
        <is>
          <t>тыс.т</t>
        </is>
      </c>
    </row>
    <row r="163" ht="20.1" customHeight="1" s="904">
      <c r="B163" s="909" t="n"/>
      <c r="C163" s="562" t="inlineStr">
        <is>
          <t xml:space="preserve">                Уренгойское НГКМ</t>
        </is>
      </c>
      <c r="D163" s="15" t="n"/>
      <c r="E163" s="15" t="n"/>
      <c r="F163" s="16" t="n"/>
      <c r="G163" s="17" t="n"/>
      <c r="H163" s="636" t="n"/>
      <c r="I163" s="17" t="n"/>
      <c r="J163" s="554" t="inlineStr">
        <is>
          <t>тыс.т</t>
        </is>
      </c>
    </row>
    <row r="164" ht="20.1" customHeight="1" s="904">
      <c r="B164" s="909" t="n"/>
      <c r="C164" s="570" t="inlineStr">
        <is>
          <t>Газпром добыча Ноябрьск</t>
        </is>
      </c>
      <c r="D164" s="15" t="n"/>
      <c r="E164" s="15" t="n"/>
      <c r="F164" s="16" t="n"/>
      <c r="G164" s="17">
        <f>G165</f>
        <v/>
      </c>
      <c r="H164" s="636" t="n"/>
      <c r="I164" s="17" t="n"/>
      <c r="J164" s="546" t="inlineStr">
        <is>
          <t>тыс. т</t>
        </is>
      </c>
    </row>
    <row r="165" ht="20.1" customHeight="1" s="904">
      <c r="B165" s="909" t="n"/>
      <c r="C165" s="562" t="inlineStr">
        <is>
          <t>Чаяндинское НГКМ</t>
        </is>
      </c>
      <c r="D165" s="15" t="n"/>
      <c r="E165" s="15" t="n"/>
      <c r="F165" s="16" t="n"/>
      <c r="G165" s="17" t="inlineStr">
        <is>
          <t>10_100330720</t>
        </is>
      </c>
      <c r="H165" s="636" t="n"/>
      <c r="I165" s="17" t="n"/>
      <c r="J165" s="554" t="inlineStr">
        <is>
          <t>тыс.т</t>
        </is>
      </c>
    </row>
    <row r="166" ht="20.1" customHeight="1" s="904">
      <c r="B166" s="909" t="n"/>
      <c r="C166" s="562" t="inlineStr">
        <is>
          <t>в т.ч. конденсат</t>
        </is>
      </c>
      <c r="D166" s="15" t="n"/>
      <c r="E166" s="15" t="n"/>
      <c r="F166" s="16" t="n"/>
      <c r="G166" s="17" t="inlineStr">
        <is>
          <t>10_100335709</t>
        </is>
      </c>
      <c r="H166" s="636" t="n"/>
      <c r="I166" s="17" t="n"/>
      <c r="J166" s="554" t="inlineStr">
        <is>
          <t>тыс.т</t>
        </is>
      </c>
    </row>
    <row r="167" ht="20.1" customHeight="1" s="904">
      <c r="B167" s="20" t="inlineStr">
        <is>
          <t>5.2.</t>
        </is>
      </c>
      <c r="C167" s="571" t="inlineStr">
        <is>
          <t>Дочерние общества</t>
        </is>
      </c>
      <c r="D167" s="15" t="n"/>
      <c r="E167" s="15" t="n"/>
      <c r="F167" s="16" t="n"/>
      <c r="G167" s="17">
        <f>G168+G171+G175</f>
        <v/>
      </c>
      <c r="H167" s="636" t="n"/>
      <c r="I167" s="17" t="n"/>
      <c r="J167" s="546" t="inlineStr">
        <is>
          <t>тыс.т</t>
        </is>
      </c>
    </row>
    <row r="168" ht="20.1" customHeight="1" s="904">
      <c r="B168" s="909" t="n"/>
      <c r="C168" s="570" t="inlineStr">
        <is>
          <t xml:space="preserve">   Газпром добыча Ямбург</t>
        </is>
      </c>
      <c r="D168" s="15" t="n"/>
      <c r="E168" s="15" t="n"/>
      <c r="F168" s="16" t="n"/>
      <c r="G168" s="17">
        <f>G169+G170</f>
        <v/>
      </c>
      <c r="H168" s="636" t="n"/>
      <c r="I168" s="17" t="n"/>
      <c r="J168" s="546" t="inlineStr">
        <is>
          <t>тыс.т</t>
        </is>
      </c>
    </row>
    <row r="169" ht="20.1" customHeight="1" s="904">
      <c r="B169" s="909" t="n"/>
      <c r="C169" s="562" t="inlineStr">
        <is>
          <t>Ямбургское НГКМ</t>
        </is>
      </c>
      <c r="D169" s="15" t="n"/>
      <c r="E169" s="15" t="n"/>
      <c r="F169" s="16" t="n"/>
      <c r="G169" s="17" t="inlineStr">
        <is>
          <t>7_100330593</t>
        </is>
      </c>
      <c r="H169" s="636" t="n"/>
      <c r="I169" s="17" t="n"/>
      <c r="J169" s="554" t="inlineStr">
        <is>
          <t>тыс.т</t>
        </is>
      </c>
    </row>
    <row r="170" ht="20.1" customHeight="1" s="904">
      <c r="B170" s="909" t="n"/>
      <c r="C170" s="572" t="inlineStr">
        <is>
          <t>Заполярное НГКМ</t>
        </is>
      </c>
      <c r="D170" s="15" t="n"/>
      <c r="E170" s="15" t="n"/>
      <c r="F170" s="16" t="n"/>
      <c r="G170" s="17" t="inlineStr">
        <is>
          <t>7_100330591</t>
        </is>
      </c>
      <c r="H170" s="636" t="n"/>
      <c r="I170" s="17" t="n"/>
      <c r="J170" s="554" t="inlineStr">
        <is>
          <t>тыс.т</t>
        </is>
      </c>
    </row>
    <row r="171" ht="20.1" customHeight="1" s="904">
      <c r="B171" s="909" t="n"/>
      <c r="C171" s="573" t="inlineStr">
        <is>
          <t>Газпром добыча Уренгой</t>
        </is>
      </c>
      <c r="D171" s="15" t="n"/>
      <c r="E171" s="15" t="n"/>
      <c r="F171" s="16" t="n"/>
      <c r="G171" s="17">
        <f>G173+G174+G172</f>
        <v/>
      </c>
      <c r="H171" s="636" t="n"/>
      <c r="I171" s="17" t="n"/>
      <c r="J171" s="546" t="inlineStr">
        <is>
          <t>тыс.т</t>
        </is>
      </c>
    </row>
    <row r="172" ht="20.1" customHeight="1" s="904">
      <c r="B172" s="909" t="n"/>
      <c r="C172" s="572" t="inlineStr">
        <is>
          <t xml:space="preserve">                Уренгойское НГКМ</t>
        </is>
      </c>
      <c r="D172" s="15" t="n"/>
      <c r="E172" s="15" t="n"/>
      <c r="F172" s="16" t="n"/>
      <c r="G172" s="17" t="inlineStr">
        <is>
          <t>8_100335670+8_100335918+8_100336114+8_100337111+8_100337105</t>
        </is>
      </c>
      <c r="H172" s="636" t="n"/>
      <c r="I172" s="17" t="n"/>
      <c r="J172" s="554" t="inlineStr">
        <is>
          <t>тыс.т</t>
        </is>
      </c>
    </row>
    <row r="173" ht="20.1" customHeight="1" s="904">
      <c r="B173" s="909" t="n"/>
      <c r="C173" s="572" t="inlineStr">
        <is>
          <t>Ен-Яхинское НГКМ</t>
        </is>
      </c>
      <c r="D173" s="15" t="n"/>
      <c r="E173" s="15" t="n"/>
      <c r="F173" s="16" t="n"/>
      <c r="G173" s="17" t="inlineStr">
        <is>
          <t>8_100330646+8_100335919</t>
        </is>
      </c>
      <c r="H173" s="636" t="n"/>
      <c r="I173" s="17" t="n"/>
      <c r="J173" s="554" t="inlineStr">
        <is>
          <t>тыс.т</t>
        </is>
      </c>
    </row>
    <row r="174" ht="20.1" customHeight="1" s="904">
      <c r="B174" s="909" t="n"/>
      <c r="C174" s="572" t="inlineStr">
        <is>
          <t>Песцовое НГКМ</t>
        </is>
      </c>
      <c r="D174" s="15" t="n"/>
      <c r="E174" s="15" t="n"/>
      <c r="F174" s="16" t="n"/>
      <c r="G174" s="17" t="inlineStr">
        <is>
          <t>8_100330647+8_100335920</t>
        </is>
      </c>
      <c r="H174" s="636" t="n"/>
      <c r="I174" s="17" t="n"/>
      <c r="J174" s="554" t="inlineStr">
        <is>
          <t>тыс.т</t>
        </is>
      </c>
    </row>
    <row r="175" ht="20.1" customHeight="1" s="904">
      <c r="B175" s="909" t="n"/>
      <c r="C175" s="573" t="inlineStr">
        <is>
          <t>Газпром добыча Ноябрьск</t>
        </is>
      </c>
      <c r="D175" s="15" t="n"/>
      <c r="E175" s="15" t="n"/>
      <c r="F175" s="16" t="n"/>
      <c r="G175" s="17">
        <f>G176+G177+G178</f>
        <v/>
      </c>
      <c r="H175" s="636" t="n"/>
      <c r="I175" s="17" t="n"/>
      <c r="J175" s="546" t="inlineStr">
        <is>
          <t>тыс. т</t>
        </is>
      </c>
    </row>
    <row r="176" ht="20.1" customHeight="1" s="904">
      <c r="B176" s="909" t="n"/>
      <c r="C176" s="572" t="inlineStr">
        <is>
          <t>Западно-Таркосалинское НГКМ</t>
        </is>
      </c>
      <c r="D176" s="15" t="n"/>
      <c r="E176" s="15" t="n"/>
      <c r="F176" s="16" t="n"/>
      <c r="G176" s="17" t="inlineStr">
        <is>
          <t>10_100330862</t>
        </is>
      </c>
      <c r="H176" s="636" t="n"/>
      <c r="I176" s="17" t="n"/>
      <c r="J176" s="554" t="inlineStr">
        <is>
          <t>тыс.т</t>
        </is>
      </c>
    </row>
    <row r="177" ht="20.1" customHeight="1" s="904">
      <c r="B177" s="909" t="n"/>
      <c r="C177" s="572" t="inlineStr">
        <is>
          <t xml:space="preserve">         Тас- Юряхское НГКМ </t>
        </is>
      </c>
      <c r="D177" s="15" t="n"/>
      <c r="E177" s="15" t="n"/>
      <c r="F177" s="16" t="n"/>
      <c r="G177" s="17" t="inlineStr">
        <is>
          <t>10_100336141</t>
        </is>
      </c>
      <c r="H177" s="636" t="n"/>
      <c r="I177" s="17" t="n"/>
      <c r="J177" s="554" t="inlineStr">
        <is>
          <t>тыс.т</t>
        </is>
      </c>
    </row>
    <row r="178" ht="20.1" customHeight="1" s="904">
      <c r="B178" s="909" t="n"/>
      <c r="C178" s="572" t="inlineStr">
        <is>
          <t>Верхневилючанское НГКМ</t>
        </is>
      </c>
      <c r="D178" s="15" t="n"/>
      <c r="E178" s="15" t="n"/>
      <c r="F178" s="16" t="n"/>
      <c r="G178" s="17" t="inlineStr">
        <is>
          <t>10_100337129</t>
        </is>
      </c>
      <c r="H178" s="636" t="n"/>
      <c r="I178" s="17" t="n"/>
      <c r="J178" s="554" t="n"/>
    </row>
    <row r="179" ht="20.1" customHeight="1" s="904">
      <c r="B179" s="909" t="inlineStr">
        <is>
          <t>6.</t>
        </is>
      </c>
      <c r="C179" s="574" t="inlineStr">
        <is>
          <t>Поставка нестабильного газового конденсата-всего</t>
        </is>
      </c>
      <c r="D179" s="15" t="n"/>
      <c r="E179" s="15" t="n"/>
      <c r="F179" s="16" t="n"/>
      <c r="G179" s="17">
        <f>G180+G181+G182+G183</f>
        <v/>
      </c>
      <c r="H179" s="636" t="n"/>
      <c r="I179" s="17" t="n"/>
      <c r="J179" s="546" t="inlineStr">
        <is>
          <t>тыс.т</t>
        </is>
      </c>
    </row>
    <row r="180" ht="20.1" customHeight="1" s="904">
      <c r="B180" s="909" t="n"/>
      <c r="C180" s="573" t="inlineStr">
        <is>
          <t xml:space="preserve">   Газпром добыча Ямбург</t>
        </is>
      </c>
      <c r="D180" s="15" t="n"/>
      <c r="E180" s="15" t="n"/>
      <c r="F180" s="16" t="n"/>
      <c r="G180" s="17">
        <f>G186</f>
        <v/>
      </c>
      <c r="H180" s="636" t="n"/>
      <c r="I180" s="17" t="n"/>
      <c r="J180" s="546" t="inlineStr">
        <is>
          <t>тыс.т</t>
        </is>
      </c>
    </row>
    <row r="181" ht="20.1" customHeight="1" s="904">
      <c r="B181" s="909" t="n"/>
      <c r="C181" s="573" t="inlineStr">
        <is>
          <t>Газпром добыча Уренгой</t>
        </is>
      </c>
      <c r="D181" s="15" t="n"/>
      <c r="E181" s="15" t="n"/>
      <c r="F181" s="16" t="n"/>
      <c r="G181" s="17">
        <f>G188</f>
        <v/>
      </c>
      <c r="H181" s="636" t="n"/>
      <c r="I181" s="17" t="n"/>
      <c r="J181" s="546" t="inlineStr">
        <is>
          <t>тыс.т</t>
        </is>
      </c>
    </row>
    <row r="182" ht="20.1" customHeight="1" s="904">
      <c r="B182" s="909" t="n"/>
      <c r="C182" s="573" t="inlineStr">
        <is>
          <t xml:space="preserve">Газпром добыча Надым </t>
        </is>
      </c>
      <c r="D182" s="15" t="n"/>
      <c r="E182" s="15" t="n"/>
      <c r="F182" s="16" t="n"/>
      <c r="G182" s="17">
        <f>G192</f>
        <v/>
      </c>
      <c r="H182" s="636" t="n"/>
      <c r="I182" s="17" t="n"/>
      <c r="J182" s="546" t="inlineStr">
        <is>
          <t>тыс.т</t>
        </is>
      </c>
    </row>
    <row r="183" ht="20.1" customHeight="1" s="904">
      <c r="B183" s="909" t="n"/>
      <c r="C183" s="570" t="inlineStr">
        <is>
          <t>Газпром добыча Ноябрьск</t>
        </is>
      </c>
      <c r="D183" s="15" t="n"/>
      <c r="E183" s="15" t="n"/>
      <c r="F183" s="16" t="n"/>
      <c r="G183" s="17">
        <f>G195</f>
        <v/>
      </c>
      <c r="H183" s="636" t="n"/>
      <c r="I183" s="17" t="n"/>
      <c r="J183" s="546" t="inlineStr">
        <is>
          <t>тыс. т</t>
        </is>
      </c>
    </row>
    <row r="184" ht="20.1" customHeight="1" s="904">
      <c r="B184" s="20" t="inlineStr">
        <is>
          <t>6.1.</t>
        </is>
      </c>
      <c r="C184" s="575" t="inlineStr">
        <is>
          <t>Газпром</t>
        </is>
      </c>
      <c r="D184" s="15" t="n"/>
      <c r="E184" s="15" t="n"/>
      <c r="F184" s="16" t="n"/>
      <c r="G184" s="17" t="n"/>
      <c r="H184" s="636" t="n"/>
      <c r="I184" s="17" t="n"/>
      <c r="J184" s="546" t="inlineStr">
        <is>
          <t>тыс.т</t>
        </is>
      </c>
    </row>
    <row r="185" ht="20.1" customHeight="1" s="904">
      <c r="B185" s="20" t="inlineStr">
        <is>
          <t>6.2.</t>
        </is>
      </c>
      <c r="C185" s="575" t="inlineStr">
        <is>
          <t>Дочерние общества</t>
        </is>
      </c>
      <c r="D185" s="15" t="n"/>
      <c r="E185" s="15" t="n"/>
      <c r="F185" s="16" t="n"/>
      <c r="G185" s="17">
        <f>G186+G188+G192+G195</f>
        <v/>
      </c>
      <c r="H185" s="636" t="n"/>
      <c r="I185" s="17" t="n"/>
      <c r="J185" s="546" t="inlineStr">
        <is>
          <t>тыс.т</t>
        </is>
      </c>
    </row>
    <row r="186" ht="20.1" customHeight="1" s="904">
      <c r="B186" s="909" t="n"/>
      <c r="C186" s="573" t="inlineStr">
        <is>
          <t xml:space="preserve">   Газпром добыча Ямбург</t>
        </is>
      </c>
      <c r="D186" s="15" t="n"/>
      <c r="E186" s="15" t="n"/>
      <c r="F186" s="16" t="n"/>
      <c r="G186" s="17">
        <f>G187</f>
        <v/>
      </c>
      <c r="H186" s="636" t="n"/>
      <c r="I186" s="17" t="n"/>
      <c r="J186" s="546" t="inlineStr">
        <is>
          <t>тыс.т</t>
        </is>
      </c>
    </row>
    <row r="187" ht="20.1" customHeight="1" s="904">
      <c r="B187" s="909" t="n"/>
      <c r="C187" s="572" t="inlineStr">
        <is>
          <t>Ямбургское НГКМ</t>
        </is>
      </c>
      <c r="D187" s="15" t="n"/>
      <c r="E187" s="15" t="n"/>
      <c r="F187" s="16" t="n"/>
      <c r="G187" s="17" t="inlineStr">
        <is>
          <t>7_100333320</t>
        </is>
      </c>
      <c r="H187" s="636" t="n"/>
      <c r="I187" s="17" t="n"/>
      <c r="J187" s="554" t="inlineStr">
        <is>
          <t>тыс.т</t>
        </is>
      </c>
    </row>
    <row r="188" ht="20.1" customHeight="1" s="904">
      <c r="B188" s="909" t="n"/>
      <c r="C188" s="573" t="inlineStr">
        <is>
          <t>Газпром добыча Уренгой</t>
        </is>
      </c>
      <c r="D188" s="15" t="n"/>
      <c r="E188" s="15" t="n"/>
      <c r="F188" s="16" t="n"/>
      <c r="G188" s="17">
        <f>SUM(G189:G191)</f>
        <v/>
      </c>
      <c r="H188" s="636" t="n"/>
      <c r="I188" s="17" t="n"/>
      <c r="J188" s="546" t="inlineStr">
        <is>
          <t>тыс.т</t>
        </is>
      </c>
    </row>
    <row r="189" ht="20.1" customHeight="1" s="904">
      <c r="B189" s="909" t="n"/>
      <c r="C189" s="572" t="inlineStr">
        <is>
          <t>Уренгойское НГКМ ачим. 3 уч.(включая ГВ и конденсат)</t>
        </is>
      </c>
      <c r="D189" s="15" t="n"/>
      <c r="E189" s="15" t="n"/>
      <c r="F189" s="16" t="n"/>
      <c r="G189" s="17" t="inlineStr">
        <is>
          <t>8_100335489-8_100335600-8_100335601</t>
        </is>
      </c>
      <c r="H189" s="636" t="n"/>
      <c r="I189" s="17" t="n"/>
      <c r="J189" s="554" t="inlineStr">
        <is>
          <t>тыс.т</t>
        </is>
      </c>
    </row>
    <row r="190" ht="20.1" customHeight="1" s="904">
      <c r="B190" s="909" t="n"/>
      <c r="C190" s="572" t="inlineStr">
        <is>
          <t>Песцовое НГКМ (включая ГВ и конденсат)</t>
        </is>
      </c>
      <c r="D190" s="15" t="n"/>
      <c r="E190" s="15" t="n"/>
      <c r="F190" s="16" t="n"/>
      <c r="G190" s="17" t="inlineStr">
        <is>
          <t>8_100335490+8_100335603-8_100335471-8_100335602</t>
        </is>
      </c>
      <c r="H190" s="636" t="n"/>
      <c r="I190" s="17" t="n"/>
      <c r="J190" s="554" t="inlineStr">
        <is>
          <t>тыс.т</t>
        </is>
      </c>
    </row>
    <row r="191" ht="20.1" customHeight="1" s="904">
      <c r="B191" s="909" t="n"/>
      <c r="C191" s="572" t="inlineStr">
        <is>
          <t>Ен-Яхинское НГКМ (включая ГВ и конденсат)</t>
        </is>
      </c>
      <c r="D191" s="15" t="n"/>
      <c r="E191" s="15" t="n"/>
      <c r="F191" s="16" t="n"/>
      <c r="G191" s="17" t="inlineStr">
        <is>
          <t>8_100335516+8_100335517</t>
        </is>
      </c>
      <c r="H191" s="636" t="n"/>
      <c r="I191" s="17" t="n"/>
      <c r="J191" s="554" t="inlineStr">
        <is>
          <t>тыс.т</t>
        </is>
      </c>
    </row>
    <row r="192" ht="20.1" customHeight="1" s="904">
      <c r="B192" s="909" t="n"/>
      <c r="C192" s="573" t="inlineStr">
        <is>
          <t xml:space="preserve">Газпром добыча Надым </t>
        </is>
      </c>
      <c r="D192" s="15" t="n"/>
      <c r="E192" s="15" t="n"/>
      <c r="F192" s="16" t="n"/>
      <c r="G192" s="17">
        <f>G193+G194</f>
        <v/>
      </c>
      <c r="H192" s="636" t="n"/>
      <c r="I192" s="17" t="n"/>
      <c r="J192" s="546" t="inlineStr">
        <is>
          <t>тыс.т</t>
        </is>
      </c>
    </row>
    <row r="193" ht="20.1" customHeight="1" s="904">
      <c r="B193" s="909" t="n"/>
      <c r="C193" s="23" t="inlineStr">
        <is>
          <t xml:space="preserve"> Бованенковское НГКМ (неоком-юра)</t>
        </is>
      </c>
      <c r="D193" s="15" t="n"/>
      <c r="E193" s="15" t="n"/>
      <c r="F193" s="16" t="n"/>
      <c r="G193" s="17" t="inlineStr">
        <is>
          <t>11_100335593</t>
        </is>
      </c>
      <c r="H193" s="636" t="n"/>
      <c r="I193" s="17" t="n"/>
      <c r="J193" s="554" t="inlineStr">
        <is>
          <t>тыс.т</t>
        </is>
      </c>
    </row>
    <row r="194" ht="20.1" customHeight="1" s="904">
      <c r="B194" s="909" t="n"/>
      <c r="C194" s="23" t="inlineStr">
        <is>
          <t>Харасавэйское ГКМ (неоком-юра)</t>
        </is>
      </c>
      <c r="D194" s="15" t="n"/>
      <c r="E194" s="15" t="n"/>
      <c r="F194" s="16" t="n"/>
      <c r="G194" s="17" t="inlineStr">
        <is>
          <t>11_100335658</t>
        </is>
      </c>
      <c r="H194" s="636" t="n"/>
      <c r="I194" s="17" t="n"/>
      <c r="J194" s="554" t="inlineStr">
        <is>
          <t>тыс.т</t>
        </is>
      </c>
    </row>
    <row r="195" ht="20.1" customHeight="1" s="904">
      <c r="B195" s="909" t="n"/>
      <c r="C195" s="573" t="inlineStr">
        <is>
          <t>Газпром добыча Ноябрьск</t>
        </is>
      </c>
      <c r="D195" s="15" t="n"/>
      <c r="E195" s="15" t="n"/>
      <c r="F195" s="16" t="n"/>
      <c r="G195" s="17">
        <f>G196+G197</f>
        <v/>
      </c>
      <c r="H195" s="636" t="n"/>
      <c r="I195" s="17" t="n"/>
      <c r="J195" s="546" t="inlineStr">
        <is>
          <t>тыс.т</t>
        </is>
      </c>
    </row>
    <row r="196" ht="20.1" customHeight="1" s="904">
      <c r="B196" s="909" t="n"/>
      <c r="C196" s="23" t="inlineStr">
        <is>
          <t xml:space="preserve">         Тас- Юряхское НГКМ </t>
        </is>
      </c>
      <c r="D196" s="15" t="n"/>
      <c r="E196" s="15" t="n"/>
      <c r="F196" s="16" t="n"/>
      <c r="G196" s="17" t="inlineStr">
        <is>
          <t>10_100336327</t>
        </is>
      </c>
      <c r="H196" s="636" t="n"/>
      <c r="I196" s="17" t="n"/>
      <c r="J196" s="554" t="inlineStr">
        <is>
          <t>тыс.т</t>
        </is>
      </c>
    </row>
    <row r="197" ht="20.1" customHeight="1" s="904">
      <c r="B197" s="909" t="n"/>
      <c r="C197" s="23" t="inlineStr">
        <is>
          <t>Верхневилючанское НГКМ</t>
        </is>
      </c>
      <c r="D197" s="15" t="n"/>
      <c r="E197" s="15" t="n"/>
      <c r="F197" s="16" t="n"/>
      <c r="G197" s="17" t="inlineStr">
        <is>
          <t>10_100337128</t>
        </is>
      </c>
      <c r="H197" s="636" t="n"/>
      <c r="I197" s="17" t="n"/>
      <c r="J197" s="554" t="n"/>
    </row>
    <row r="198" ht="20.1" customHeight="1" s="904">
      <c r="B198" s="909" t="inlineStr">
        <is>
          <t>7.</t>
        </is>
      </c>
      <c r="C198" s="565" t="inlineStr">
        <is>
          <t>Переработка газового конденсата (нефти) первичная-всего</t>
        </is>
      </c>
      <c r="D198" s="15" t="n"/>
      <c r="E198" s="15" t="n"/>
      <c r="F198" s="16" t="n"/>
      <c r="G198" s="17">
        <f>G199+G203</f>
        <v/>
      </c>
      <c r="H198" s="636" t="n"/>
      <c r="I198" s="17" t="n"/>
      <c r="J198" s="546" t="n"/>
    </row>
    <row r="199" ht="20.1" customHeight="1" s="904">
      <c r="B199" s="909" t="n"/>
      <c r="C199" s="547" t="inlineStr">
        <is>
          <t xml:space="preserve">   Газпром переработка</t>
        </is>
      </c>
      <c r="D199" s="15" t="n"/>
      <c r="E199" s="15" t="n"/>
      <c r="F199" s="16" t="n"/>
      <c r="G199" s="17">
        <f>G200+G201+G202</f>
        <v/>
      </c>
      <c r="H199" s="636" t="n"/>
      <c r="I199" s="17" t="n"/>
      <c r="J199" s="546" t="inlineStr">
        <is>
          <t>тыс.т</t>
        </is>
      </c>
    </row>
    <row r="200" ht="20.1" customHeight="1" s="904">
      <c r="B200" s="909" t="n"/>
      <c r="C200" s="548" t="inlineStr">
        <is>
          <t>Астраханский ГПЗ</t>
        </is>
      </c>
      <c r="D200" s="15" t="n"/>
      <c r="E200" s="15" t="n"/>
      <c r="F200" s="16" t="n"/>
      <c r="G200" s="17">
        <f>G211+G206</f>
        <v/>
      </c>
      <c r="H200" s="636" t="n"/>
      <c r="I200" s="17" t="n"/>
      <c r="J200" s="549" t="inlineStr">
        <is>
          <t>тыс.т</t>
        </is>
      </c>
    </row>
    <row r="201" ht="20.1" customHeight="1" s="904">
      <c r="B201" s="909" t="n"/>
      <c r="C201" s="548" t="inlineStr">
        <is>
          <t xml:space="preserve">              Уренгойский ЗПКТ</t>
        </is>
      </c>
      <c r="D201" s="15" t="n"/>
      <c r="E201" s="15" t="n"/>
      <c r="F201" s="16" t="n"/>
      <c r="G201" s="17">
        <f>G207</f>
        <v/>
      </c>
      <c r="H201" s="636" t="n"/>
      <c r="I201" s="17" t="n"/>
      <c r="J201" s="549" t="inlineStr">
        <is>
          <t>тыс.т</t>
        </is>
      </c>
    </row>
    <row r="202" ht="20.1" customHeight="1" s="904">
      <c r="B202" s="909" t="n"/>
      <c r="C202" s="548" t="inlineStr">
        <is>
          <t xml:space="preserve">                Сургутский ЗСК</t>
        </is>
      </c>
      <c r="D202" s="15" t="n"/>
      <c r="E202" s="15" t="n"/>
      <c r="F202" s="16" t="n"/>
      <c r="G202" s="17">
        <f>G208</f>
        <v/>
      </c>
      <c r="H202" s="636" t="n"/>
      <c r="I202" s="17" t="n"/>
      <c r="J202" s="549" t="inlineStr">
        <is>
          <t>тыс.т</t>
        </is>
      </c>
    </row>
    <row r="203" ht="20.1" customHeight="1" s="904">
      <c r="B203" s="909" t="n"/>
      <c r="C203" s="547" t="inlineStr">
        <is>
          <t xml:space="preserve">   Газпром добыча Ямбург</t>
        </is>
      </c>
      <c r="D203" s="15" t="n"/>
      <c r="E203" s="15" t="n"/>
      <c r="F203" s="16" t="n"/>
      <c r="G203" s="17">
        <f>G212</f>
        <v/>
      </c>
      <c r="H203" s="636" t="n"/>
      <c r="I203" s="17" t="n"/>
      <c r="J203" s="546" t="inlineStr">
        <is>
          <t>тыс.т</t>
        </is>
      </c>
    </row>
    <row r="204" ht="20.1" customHeight="1" s="904">
      <c r="B204" s="20" t="inlineStr">
        <is>
          <t>7.1.</t>
        </is>
      </c>
      <c r="C204" s="552" t="inlineStr">
        <is>
          <t>Газпром</t>
        </is>
      </c>
      <c r="D204" s="15" t="n"/>
      <c r="E204" s="15" t="n"/>
      <c r="F204" s="16" t="n"/>
      <c r="G204" s="17">
        <f>G205</f>
        <v/>
      </c>
      <c r="H204" s="636" t="n"/>
      <c r="I204" s="17" t="n"/>
      <c r="J204" s="546" t="inlineStr">
        <is>
          <t>тыс.т</t>
        </is>
      </c>
    </row>
    <row r="205" ht="20.1" customHeight="1" s="904">
      <c r="B205" s="909" t="n"/>
      <c r="C205" s="547" t="inlineStr">
        <is>
          <t xml:space="preserve">   Газпром переработка</t>
        </is>
      </c>
      <c r="D205" s="15" t="n"/>
      <c r="E205" s="15" t="n"/>
      <c r="F205" s="16" t="n"/>
      <c r="G205" s="17">
        <f>G206+G207+G208</f>
        <v/>
      </c>
      <c r="H205" s="636" t="n"/>
      <c r="I205" s="17" t="n"/>
      <c r="J205" s="546" t="inlineStr">
        <is>
          <t>тыс.т</t>
        </is>
      </c>
    </row>
    <row r="206" ht="20.1" customHeight="1" s="904">
      <c r="B206" s="909" t="n"/>
      <c r="C206" s="548" t="inlineStr">
        <is>
          <t>Астраханский ГПЗ</t>
        </is>
      </c>
      <c r="D206" s="15" t="n"/>
      <c r="E206" s="15" t="n"/>
      <c r="F206" s="16" t="n"/>
      <c r="G206" s="17" t="inlineStr">
        <is>
          <t>1_100332016</t>
        </is>
      </c>
      <c r="H206" s="636" t="n"/>
      <c r="I206" s="17" t="n"/>
      <c r="J206" s="549" t="inlineStr">
        <is>
          <t>тыс.т</t>
        </is>
      </c>
    </row>
    <row r="207" ht="20.1" customHeight="1" s="904">
      <c r="B207" s="909" t="n"/>
      <c r="C207" s="548" t="inlineStr">
        <is>
          <t xml:space="preserve">              Уренгойский ЗПКТ</t>
        </is>
      </c>
      <c r="D207" s="15" t="n"/>
      <c r="E207" s="15" t="n"/>
      <c r="F207" s="16" t="n"/>
      <c r="G207" s="17" t="inlineStr">
        <is>
          <t>4_100331931</t>
        </is>
      </c>
      <c r="H207" s="636" t="n"/>
      <c r="I207" s="17" t="n"/>
      <c r="J207" s="549" t="inlineStr">
        <is>
          <t>тыс.т</t>
        </is>
      </c>
    </row>
    <row r="208" ht="20.1" customHeight="1" s="904">
      <c r="B208" s="909" t="n"/>
      <c r="C208" s="548" t="inlineStr">
        <is>
          <t xml:space="preserve">                Сургутский ЗСК</t>
        </is>
      </c>
      <c r="D208" s="15" t="n"/>
      <c r="E208" s="15" t="n"/>
      <c r="F208" s="16" t="n"/>
      <c r="G208" s="17" t="inlineStr">
        <is>
          <t>4_100331932</t>
        </is>
      </c>
      <c r="H208" s="636" t="n"/>
      <c r="I208" s="17" t="n"/>
      <c r="J208" s="549" t="inlineStr">
        <is>
          <t>тыс.т</t>
        </is>
      </c>
    </row>
    <row r="209" ht="19.5" customHeight="1" s="904">
      <c r="B209" s="20" t="inlineStr">
        <is>
          <t>7.2.</t>
        </is>
      </c>
      <c r="C209" s="552" t="inlineStr">
        <is>
          <t>Дочерние общества</t>
        </is>
      </c>
      <c r="D209" s="15" t="n"/>
      <c r="E209" s="15" t="n"/>
      <c r="F209" s="16" t="n"/>
      <c r="G209" s="17">
        <f>G210+G212</f>
        <v/>
      </c>
      <c r="H209" s="636" t="n"/>
      <c r="I209" s="17" t="n"/>
      <c r="J209" s="546" t="inlineStr">
        <is>
          <t>тыс.т</t>
        </is>
      </c>
    </row>
    <row r="210" hidden="1" outlineLevel="1" ht="20.1" customHeight="1" s="904">
      <c r="B210" s="909" t="n"/>
      <c r="C210" s="550" t="inlineStr">
        <is>
          <t xml:space="preserve">   Газпром переработка</t>
        </is>
      </c>
      <c r="D210" s="15" t="n"/>
      <c r="E210" s="15" t="n"/>
      <c r="F210" s="16" t="n"/>
      <c r="G210" s="17">
        <f>G211</f>
        <v/>
      </c>
      <c r="H210" s="636" t="n"/>
      <c r="I210" s="17" t="n"/>
      <c r="J210" s="546" t="inlineStr">
        <is>
          <t>тыс.т</t>
        </is>
      </c>
    </row>
    <row r="211" hidden="1" outlineLevel="1" ht="20.1" customHeight="1" s="904">
      <c r="B211" s="909" t="n"/>
      <c r="C211" s="551" t="inlineStr">
        <is>
          <t>Астраханский ГПЗ</t>
        </is>
      </c>
      <c r="D211" s="15" t="n"/>
      <c r="E211" s="15" t="n"/>
      <c r="F211" s="16" t="n"/>
      <c r="G211" s="17">
        <f>0</f>
        <v/>
      </c>
      <c r="H211" s="636" t="n"/>
      <c r="I211" s="17" t="n"/>
      <c r="J211" s="549" t="inlineStr">
        <is>
          <t>тыс.т</t>
        </is>
      </c>
    </row>
    <row r="212" collapsed="1" ht="20.1" customHeight="1" s="904">
      <c r="B212" s="909" t="n"/>
      <c r="C212" s="547" t="inlineStr">
        <is>
          <t xml:space="preserve">   Газпром добыча Ямбург</t>
        </is>
      </c>
      <c r="D212" s="15" t="n"/>
      <c r="E212" s="15" t="n"/>
      <c r="F212" s="16" t="n"/>
      <c r="G212" s="17" t="inlineStr">
        <is>
          <t>7_100330629</t>
        </is>
      </c>
      <c r="H212" s="636" t="n"/>
      <c r="I212" s="17" t="n"/>
      <c r="J212" s="546" t="inlineStr">
        <is>
          <t>тыс.т</t>
        </is>
      </c>
    </row>
    <row r="213" ht="20.1" customHeight="1" s="904">
      <c r="B213" s="909" t="n"/>
      <c r="C213" s="576" t="inlineStr">
        <is>
          <t>Справочно</t>
        </is>
      </c>
      <c r="D213" s="15" t="n"/>
      <c r="E213" s="15" t="n"/>
      <c r="F213" s="16" t="n"/>
      <c r="G213" s="17" t="n"/>
      <c r="H213" s="636" t="n"/>
      <c r="I213" s="17" t="n"/>
      <c r="J213" s="546" t="n"/>
    </row>
    <row r="214" ht="20.1" customHeight="1" s="904">
      <c r="B214" s="909" t="n"/>
      <c r="C214" s="565" t="inlineStr">
        <is>
          <t xml:space="preserve">Переработка стабильного конденсата, всего </t>
        </is>
      </c>
      <c r="D214" s="15" t="n"/>
      <c r="E214" s="15" t="n"/>
      <c r="F214" s="16" t="n"/>
      <c r="G214" s="17">
        <f>G215+G219</f>
        <v/>
      </c>
      <c r="H214" s="636" t="n"/>
      <c r="I214" s="17" t="n"/>
      <c r="J214" s="546" t="inlineStr">
        <is>
          <t>тыс.т</t>
        </is>
      </c>
    </row>
    <row r="215" ht="20.1" customHeight="1" s="904">
      <c r="B215" s="909" t="n"/>
      <c r="C215" s="552" t="inlineStr">
        <is>
          <t>Газпром</t>
        </is>
      </c>
      <c r="D215" s="15" t="n"/>
      <c r="E215" s="15" t="n"/>
      <c r="F215" s="16" t="n"/>
      <c r="G215" s="17">
        <f>G216</f>
        <v/>
      </c>
      <c r="H215" s="636" t="n"/>
      <c r="I215" s="17" t="n"/>
      <c r="J215" s="546" t="inlineStr">
        <is>
          <t>тыс.т</t>
        </is>
      </c>
    </row>
    <row r="216" ht="20.1" customHeight="1" s="904">
      <c r="B216" s="909" t="n"/>
      <c r="C216" s="547" t="inlineStr">
        <is>
          <t xml:space="preserve">   Газпром переработка</t>
        </is>
      </c>
      <c r="D216" s="15" t="n"/>
      <c r="E216" s="15" t="n"/>
      <c r="F216" s="16" t="n"/>
      <c r="G216" s="17">
        <f>G217+G218</f>
        <v/>
      </c>
      <c r="H216" s="636" t="n"/>
      <c r="I216" s="17" t="n"/>
      <c r="J216" s="546" t="inlineStr">
        <is>
          <t>тыс.т</t>
        </is>
      </c>
    </row>
    <row r="217" ht="20.1" customHeight="1" s="904">
      <c r="B217" s="909" t="n"/>
      <c r="C217" s="548" t="inlineStr">
        <is>
          <t>Уренгойский ЗПКТ</t>
        </is>
      </c>
      <c r="D217" s="15" t="n"/>
      <c r="E217" s="15" t="n"/>
      <c r="F217" s="16" t="n"/>
      <c r="G217" s="17" t="inlineStr">
        <is>
          <t>4_100331934</t>
        </is>
      </c>
      <c r="H217" s="636" t="n"/>
      <c r="I217" s="17" t="n"/>
      <c r="J217" s="549" t="inlineStr">
        <is>
          <t>тыс.т</t>
        </is>
      </c>
    </row>
    <row r="218" ht="20.1" customHeight="1" s="904">
      <c r="B218" s="909" t="n"/>
      <c r="C218" s="548" t="inlineStr">
        <is>
          <t xml:space="preserve">                Сургутский ЗСК</t>
        </is>
      </c>
      <c r="D218" s="15" t="n"/>
      <c r="E218" s="15" t="n"/>
      <c r="F218" s="16" t="n"/>
      <c r="G218" s="17" t="inlineStr">
        <is>
          <t>4_100331935</t>
        </is>
      </c>
      <c r="H218" s="636" t="n"/>
      <c r="I218" s="17" t="n"/>
      <c r="J218" s="549" t="inlineStr">
        <is>
          <t>тыс.т</t>
        </is>
      </c>
    </row>
    <row r="219" ht="20.1" customHeight="1" s="904">
      <c r="B219" s="909" t="n"/>
      <c r="C219" s="552" t="inlineStr">
        <is>
          <t>Дочерние общества</t>
        </is>
      </c>
      <c r="D219" s="15" t="n"/>
      <c r="E219" s="15" t="n"/>
      <c r="F219" s="16" t="n"/>
      <c r="G219" s="17">
        <f>0</f>
        <v/>
      </c>
      <c r="H219" s="636" t="n"/>
      <c r="I219" s="17" t="n"/>
      <c r="J219" s="546" t="inlineStr">
        <is>
          <t>тыс.т</t>
        </is>
      </c>
    </row>
    <row r="220" ht="20.1" customHeight="1" s="904">
      <c r="B220" s="909" t="n"/>
      <c r="C220" s="735" t="inlineStr">
        <is>
          <t>Переработка кислого газа Астраханский ГПЗ, всего</t>
        </is>
      </c>
      <c r="D220" s="15" t="n"/>
      <c r="E220" s="15" t="n"/>
      <c r="F220" s="16" t="n"/>
      <c r="G220" s="17">
        <f>G221+G225</f>
        <v/>
      </c>
      <c r="H220" s="636" t="n"/>
      <c r="I220" s="17" t="n"/>
      <c r="J220" s="24" t="inlineStr">
        <is>
          <t>тыс.т</t>
        </is>
      </c>
    </row>
    <row r="221" ht="20.1" customHeight="1" s="904">
      <c r="B221" s="909" t="n"/>
      <c r="C221" s="552" t="inlineStr">
        <is>
          <t>Газпром</t>
        </is>
      </c>
      <c r="D221" s="15" t="n"/>
      <c r="E221" s="15" t="n"/>
      <c r="F221" s="16" t="n"/>
      <c r="G221" s="17">
        <f>G222+G223</f>
        <v/>
      </c>
      <c r="H221" s="636" t="n"/>
      <c r="I221" s="17" t="n"/>
      <c r="J221" s="24" t="inlineStr">
        <is>
          <t>тыс.т</t>
        </is>
      </c>
    </row>
    <row r="222" ht="20.1" customHeight="1" s="904">
      <c r="B222" s="909" t="n"/>
      <c r="C222" s="737" t="inlineStr">
        <is>
          <t>в т.ч. от переработки с производства №3</t>
        </is>
      </c>
      <c r="D222" s="15" t="n"/>
      <c r="E222" s="15" t="n"/>
      <c r="F222" s="16" t="n"/>
      <c r="G222" s="17" t="inlineStr">
        <is>
          <t>1_100331980</t>
        </is>
      </c>
      <c r="H222" s="636" t="n"/>
      <c r="I222" s="17" t="n"/>
      <c r="J222" s="554" t="inlineStr">
        <is>
          <t>тыс.т</t>
        </is>
      </c>
    </row>
    <row r="223" ht="20.1" customHeight="1" s="904">
      <c r="B223" s="909" t="n"/>
      <c r="C223" s="737" t="inlineStr">
        <is>
          <t xml:space="preserve"> от переработки с производства №1, 5</t>
        </is>
      </c>
      <c r="D223" s="15" t="n"/>
      <c r="E223" s="15" t="n"/>
      <c r="F223" s="16" t="n"/>
      <c r="G223" s="17" t="inlineStr">
        <is>
          <t>1_100331981</t>
        </is>
      </c>
      <c r="H223" s="636" t="n"/>
      <c r="I223" s="17" t="n"/>
      <c r="J223" s="554" t="inlineStr">
        <is>
          <t>тыс.т</t>
        </is>
      </c>
    </row>
    <row r="224" hidden="1" outlineLevel="1" ht="20.1" customHeight="1" s="904">
      <c r="B224" s="909" t="n"/>
      <c r="C224" s="577" t="inlineStr">
        <is>
          <t>Дочерние общества</t>
        </is>
      </c>
      <c r="D224" s="15" t="n"/>
      <c r="E224" s="15" t="n"/>
      <c r="F224" s="16" t="n"/>
      <c r="G224" s="17">
        <f>G225</f>
        <v/>
      </c>
      <c r="H224" s="636" t="n"/>
      <c r="I224" s="17" t="n"/>
      <c r="J224" s="24" t="inlineStr">
        <is>
          <t>тыс.т</t>
        </is>
      </c>
    </row>
    <row r="225" hidden="1" outlineLevel="1" ht="20.1" customHeight="1" s="904">
      <c r="B225" s="909" t="n"/>
      <c r="C225" s="25" t="inlineStr">
        <is>
          <t xml:space="preserve">   Газпром переработка</t>
        </is>
      </c>
      <c r="D225" s="15" t="n"/>
      <c r="E225" s="15" t="n"/>
      <c r="F225" s="16" t="n"/>
      <c r="G225" s="17">
        <f>G226</f>
        <v/>
      </c>
      <c r="H225" s="636" t="n"/>
      <c r="I225" s="17" t="n"/>
      <c r="J225" s="24" t="inlineStr">
        <is>
          <t>тыс.т</t>
        </is>
      </c>
    </row>
    <row r="226" hidden="1" outlineLevel="1" ht="20.1" customHeight="1" s="904">
      <c r="B226" s="909" t="n"/>
      <c r="C226" s="26" t="inlineStr">
        <is>
          <t>в т. ч. покупка у Газпром добыча Астрахань</t>
        </is>
      </c>
      <c r="D226" s="15" t="n"/>
      <c r="E226" s="15" t="n"/>
      <c r="F226" s="16" t="n"/>
      <c r="G226" s="17">
        <f>G227</f>
        <v/>
      </c>
      <c r="H226" s="636" t="n"/>
      <c r="I226" s="17" t="n"/>
      <c r="J226" s="554" t="inlineStr">
        <is>
          <t>тыс.т</t>
        </is>
      </c>
    </row>
    <row r="227" hidden="1" outlineLevel="1" ht="20.1" customHeight="1" s="904">
      <c r="B227" s="909" t="n"/>
      <c r="C227" s="26" t="inlineStr">
        <is>
          <t>кислый газ на собст. тех. нужды ГПП</t>
        </is>
      </c>
      <c r="D227" s="15" t="n"/>
      <c r="E227" s="15" t="n"/>
      <c r="F227" s="16" t="n"/>
      <c r="G227" s="17" t="n"/>
      <c r="H227" s="636" t="n"/>
      <c r="I227" s="17" t="n"/>
      <c r="J227" s="554" t="inlineStr">
        <is>
          <t>тыс.т</t>
        </is>
      </c>
    </row>
    <row r="228" collapsed="1" ht="20.1" customHeight="1" s="904">
      <c r="B228" s="909" t="n"/>
      <c r="C228" s="735" t="inlineStr">
        <is>
          <t>Выработка ШФЛУ (валовая), всего</t>
        </is>
      </c>
      <c r="D228" s="15" t="n"/>
      <c r="E228" s="15" t="n"/>
      <c r="F228" s="16" t="n"/>
      <c r="G228" s="17" t="n"/>
      <c r="H228" s="636" t="n"/>
      <c r="I228" s="17" t="n"/>
      <c r="J228" s="24" t="n"/>
    </row>
    <row r="229" ht="20.1" customHeight="1" s="904">
      <c r="B229" s="909" t="n"/>
      <c r="C229" s="781" t="inlineStr">
        <is>
          <t xml:space="preserve">   Газпром переработка</t>
        </is>
      </c>
      <c r="D229" s="15" t="n"/>
      <c r="E229" s="15" t="n"/>
      <c r="F229" s="16" t="n"/>
      <c r="G229" s="17">
        <f>G230+G231+G232+G233</f>
        <v/>
      </c>
      <c r="H229" s="636" t="n"/>
      <c r="I229" s="17" t="n"/>
      <c r="J229" s="24" t="inlineStr">
        <is>
          <t>тыс.т</t>
        </is>
      </c>
    </row>
    <row r="230" ht="20.1" customHeight="1" s="904">
      <c r="B230" s="909" t="n"/>
      <c r="C230" s="27" t="inlineStr">
        <is>
          <t>Астраханский ГПЗ</t>
        </is>
      </c>
      <c r="D230" s="15" t="n"/>
      <c r="E230" s="15" t="n"/>
      <c r="F230" s="16" t="n"/>
      <c r="G230" s="17">
        <f>G236</f>
        <v/>
      </c>
      <c r="H230" s="636" t="n"/>
      <c r="I230" s="17" t="n"/>
      <c r="J230" s="549" t="inlineStr">
        <is>
          <t>тыс.т</t>
        </is>
      </c>
    </row>
    <row r="231" ht="20.1" customHeight="1" s="904">
      <c r="B231" s="909" t="n"/>
      <c r="C231" s="27" t="inlineStr">
        <is>
          <t xml:space="preserve"> Оренбургский ГХК</t>
        </is>
      </c>
      <c r="D231" s="15" t="n"/>
      <c r="E231" s="15" t="n"/>
      <c r="F231" s="16" t="n"/>
      <c r="G231" s="17">
        <f>G245</f>
        <v/>
      </c>
      <c r="H231" s="636" t="n"/>
      <c r="I231" s="17" t="n"/>
      <c r="J231" s="549" t="inlineStr">
        <is>
          <t>тыс.т</t>
        </is>
      </c>
    </row>
    <row r="232" ht="20.1" customHeight="1" s="904">
      <c r="B232" s="909" t="n"/>
      <c r="C232" s="27" t="inlineStr">
        <is>
          <t>Уренгойский ЗПКТ</t>
        </is>
      </c>
      <c r="D232" s="15" t="n"/>
      <c r="E232" s="15" t="n"/>
      <c r="F232" s="16" t="n"/>
      <c r="G232" s="17">
        <f>G238</f>
        <v/>
      </c>
      <c r="H232" s="636" t="n"/>
      <c r="I232" s="17" t="n"/>
      <c r="J232" s="549" t="inlineStr">
        <is>
          <t>тыс.т</t>
        </is>
      </c>
    </row>
    <row r="233" ht="20.1" customHeight="1" s="904">
      <c r="B233" s="909" t="n"/>
      <c r="C233" s="27" t="inlineStr">
        <is>
          <t xml:space="preserve">                Сургутский ЗСК</t>
        </is>
      </c>
      <c r="D233" s="15" t="n"/>
      <c r="E233" s="15" t="n"/>
      <c r="F233" s="16" t="n"/>
      <c r="G233" s="17">
        <f>G239</f>
        <v/>
      </c>
      <c r="H233" s="636" t="n"/>
      <c r="I233" s="17" t="n"/>
      <c r="J233" s="549" t="inlineStr">
        <is>
          <t>тыс.т</t>
        </is>
      </c>
    </row>
    <row r="234" ht="20.1" customHeight="1" s="904">
      <c r="B234" s="909" t="n"/>
      <c r="C234" s="28" t="inlineStr">
        <is>
          <t>Газпром</t>
        </is>
      </c>
      <c r="D234" s="15" t="n"/>
      <c r="E234" s="15" t="n"/>
      <c r="F234" s="16" t="n"/>
      <c r="G234" s="17">
        <f>G235</f>
        <v/>
      </c>
      <c r="H234" s="636" t="n"/>
      <c r="I234" s="17" t="n"/>
      <c r="J234" s="24" t="inlineStr">
        <is>
          <t>тыс.т</t>
        </is>
      </c>
    </row>
    <row r="235" ht="20.1" customHeight="1" s="904">
      <c r="B235" s="909" t="n"/>
      <c r="C235" s="781" t="inlineStr">
        <is>
          <t xml:space="preserve">   Газпром переработка</t>
        </is>
      </c>
      <c r="D235" s="15" t="n"/>
      <c r="E235" s="15" t="n"/>
      <c r="F235" s="16" t="n"/>
      <c r="G235" s="17">
        <f>G238+G239+G236</f>
        <v/>
      </c>
      <c r="H235" s="636" t="n"/>
      <c r="I235" s="17" t="n"/>
      <c r="J235" s="24" t="inlineStr">
        <is>
          <t>тыс.т</t>
        </is>
      </c>
    </row>
    <row r="236" ht="20.1" customHeight="1" s="904">
      <c r="B236" s="909" t="n"/>
      <c r="C236" s="27" t="inlineStr">
        <is>
          <t>Астраханский ГПЗ</t>
        </is>
      </c>
      <c r="D236" s="15" t="n"/>
      <c r="E236" s="15" t="n"/>
      <c r="F236" s="16" t="n"/>
      <c r="G236" s="17" t="inlineStr">
        <is>
          <t>1_100332006</t>
        </is>
      </c>
      <c r="H236" s="636" t="n"/>
      <c r="I236" s="17" t="n"/>
      <c r="J236" s="549" t="inlineStr">
        <is>
          <t>тыс.т</t>
        </is>
      </c>
    </row>
    <row r="237" ht="20.1" customHeight="1" s="904">
      <c r="B237" s="909" t="n"/>
      <c r="C237" s="737" t="inlineStr">
        <is>
          <t xml:space="preserve">        в т.ч. стабильный конденсат</t>
        </is>
      </c>
      <c r="D237" s="15" t="n"/>
      <c r="E237" s="15" t="n"/>
      <c r="F237" s="16" t="n"/>
      <c r="G237" s="17" t="inlineStr">
        <is>
          <t>1_100334997</t>
        </is>
      </c>
      <c r="H237" s="636" t="n"/>
      <c r="I237" s="17" t="n"/>
      <c r="J237" s="554" t="inlineStr">
        <is>
          <t>тыс.т</t>
        </is>
      </c>
    </row>
    <row r="238" ht="20.1" customHeight="1" s="904">
      <c r="B238" s="909" t="n"/>
      <c r="C238" s="27" t="inlineStr">
        <is>
          <t>Уренгойский ЗПКТ</t>
        </is>
      </c>
      <c r="D238" s="15" t="n"/>
      <c r="E238" s="15" t="n"/>
      <c r="F238" s="16" t="n"/>
      <c r="G238" s="17" t="inlineStr">
        <is>
          <t>4_100331893</t>
        </is>
      </c>
      <c r="H238" s="636" t="n"/>
      <c r="I238" s="17" t="n"/>
      <c r="J238" s="549" t="inlineStr">
        <is>
          <t>тыс.т</t>
        </is>
      </c>
    </row>
    <row r="239" ht="20.1" customHeight="1" s="904">
      <c r="B239" s="909" t="n"/>
      <c r="C239" s="27" t="inlineStr">
        <is>
          <t xml:space="preserve">                Сургутский ЗСК</t>
        </is>
      </c>
      <c r="D239" s="15" t="n"/>
      <c r="E239" s="15" t="n"/>
      <c r="F239" s="16" t="n"/>
      <c r="G239" s="17" t="inlineStr">
        <is>
          <t>4_100331894</t>
        </is>
      </c>
      <c r="H239" s="636" t="n"/>
      <c r="I239" s="17" t="n"/>
      <c r="J239" s="549" t="inlineStr">
        <is>
          <t>тыс.т</t>
        </is>
      </c>
    </row>
    <row r="240" ht="20.1" customHeight="1" s="904">
      <c r="B240" s="909" t="n"/>
      <c r="C240" s="28" t="inlineStr">
        <is>
          <t>Дочерние общества</t>
        </is>
      </c>
      <c r="D240" s="15" t="n"/>
      <c r="E240" s="15" t="n"/>
      <c r="F240" s="16" t="n"/>
      <c r="G240" s="17">
        <f>G241+G244</f>
        <v/>
      </c>
      <c r="H240" s="636" t="n"/>
      <c r="I240" s="17" t="n"/>
      <c r="J240" s="24" t="inlineStr">
        <is>
          <t>тыс.т</t>
        </is>
      </c>
    </row>
    <row r="241" hidden="1" outlineLevel="1" ht="20.1" customHeight="1" s="904">
      <c r="B241" s="909" t="n"/>
      <c r="C241" s="25" t="inlineStr">
        <is>
          <t>Газпром добыча Астрахань</t>
        </is>
      </c>
      <c r="D241" s="15" t="n"/>
      <c r="E241" s="15" t="n"/>
      <c r="F241" s="16" t="n"/>
      <c r="G241" s="17">
        <f>G242</f>
        <v/>
      </c>
      <c r="H241" s="636" t="n"/>
      <c r="I241" s="17" t="n"/>
      <c r="J241" s="24" t="inlineStr">
        <is>
          <t>тыс.т</t>
        </is>
      </c>
    </row>
    <row r="242" hidden="1" outlineLevel="1" ht="20.1" customHeight="1" s="904">
      <c r="B242" s="909" t="n"/>
      <c r="C242" s="29" t="inlineStr">
        <is>
          <t>Астраханский ГПЗ</t>
        </is>
      </c>
      <c r="D242" s="15" t="n"/>
      <c r="E242" s="15" t="n"/>
      <c r="F242" s="16" t="n"/>
      <c r="G242" s="17" t="n"/>
      <c r="H242" s="636" t="n"/>
      <c r="I242" s="17" t="n"/>
      <c r="J242" s="549" t="inlineStr">
        <is>
          <t>тыс.т</t>
        </is>
      </c>
    </row>
    <row r="243" hidden="1" outlineLevel="1" ht="20.1" customHeight="1" s="904">
      <c r="B243" s="909" t="n"/>
      <c r="C243" s="26" t="inlineStr">
        <is>
          <t xml:space="preserve">        в т.ч. стабильный конденсат</t>
        </is>
      </c>
      <c r="D243" s="15" t="n"/>
      <c r="E243" s="15" t="n"/>
      <c r="F243" s="16" t="n"/>
      <c r="G243" s="17" t="n"/>
      <c r="H243" s="636" t="n"/>
      <c r="I243" s="17" t="n"/>
      <c r="J243" s="554" t="inlineStr">
        <is>
          <t>тыс.т</t>
        </is>
      </c>
    </row>
    <row r="244" collapsed="1" ht="20.1" customHeight="1" s="904">
      <c r="B244" s="909" t="n"/>
      <c r="C244" s="781" t="inlineStr">
        <is>
          <t xml:space="preserve">   Газпром переработка</t>
        </is>
      </c>
      <c r="D244" s="15" t="n"/>
      <c r="E244" s="15" t="n"/>
      <c r="F244" s="16" t="n"/>
      <c r="G244" s="17">
        <f>G245</f>
        <v/>
      </c>
      <c r="H244" s="636" t="n"/>
      <c r="I244" s="17" t="n"/>
      <c r="J244" s="24" t="inlineStr">
        <is>
          <t>тыс.т</t>
        </is>
      </c>
    </row>
    <row r="245" ht="20.1" customHeight="1" s="904">
      <c r="B245" s="909" t="n"/>
      <c r="C245" s="27" t="inlineStr">
        <is>
          <t xml:space="preserve"> Оренбургский ГХК</t>
        </is>
      </c>
      <c r="D245" s="15" t="n"/>
      <c r="E245" s="15" t="n"/>
      <c r="F245" s="16" t="n"/>
      <c r="G245" s="17">
        <f>G246+G247+G248</f>
        <v/>
      </c>
      <c r="H245" s="636" t="n"/>
      <c r="I245" s="17" t="n"/>
      <c r="J245" s="549" t="inlineStr">
        <is>
          <t>тыс.т</t>
        </is>
      </c>
    </row>
    <row r="246" ht="20.1" customHeight="1" s="904">
      <c r="B246" s="909" t="n"/>
      <c r="C246" s="737" t="inlineStr">
        <is>
          <t>Газпром добыча Оренбург</t>
        </is>
      </c>
      <c r="D246" s="15" t="n"/>
      <c r="E246" s="15" t="n"/>
      <c r="F246" s="16" t="n"/>
      <c r="G246" s="17" t="inlineStr">
        <is>
          <t>2_100332207</t>
        </is>
      </c>
      <c r="H246" s="636" t="n"/>
      <c r="I246" s="17" t="n"/>
      <c r="J246" s="554" t="inlineStr">
        <is>
          <t>тыс.т</t>
        </is>
      </c>
    </row>
    <row r="247" ht="20.1" customHeight="1" s="904">
      <c r="B247" s="909" t="n"/>
      <c r="C247" s="737" t="inlineStr">
        <is>
          <t>Газпром нефть</t>
        </is>
      </c>
      <c r="D247" s="15" t="n"/>
      <c r="E247" s="15" t="n"/>
      <c r="F247" s="16" t="n"/>
      <c r="G247" s="17" t="inlineStr">
        <is>
          <t>2_100332208</t>
        </is>
      </c>
      <c r="H247" s="636" t="n"/>
      <c r="I247" s="17" t="n"/>
      <c r="J247" s="554" t="inlineStr">
        <is>
          <t>тыс.т</t>
        </is>
      </c>
    </row>
    <row r="248" ht="20.1" customHeight="1" s="904">
      <c r="B248" s="909" t="n"/>
      <c r="C248" s="553" t="inlineStr">
        <is>
          <t>прочие поставщики (ГПНЗ, УНГП, и.т.д.)</t>
        </is>
      </c>
      <c r="D248" s="15" t="n"/>
      <c r="E248" s="15" t="n"/>
      <c r="F248" s="16" t="n"/>
      <c r="G248" s="17" t="inlineStr">
        <is>
          <t>2_100335144</t>
        </is>
      </c>
      <c r="H248" s="636" t="n"/>
      <c r="I248" s="17" t="n"/>
      <c r="J248" s="554" t="inlineStr">
        <is>
          <t>тыс.т</t>
        </is>
      </c>
    </row>
    <row r="249" ht="20.1" customHeight="1" s="904">
      <c r="B249" s="909" t="n"/>
      <c r="C249" s="735" t="inlineStr">
        <is>
          <t>Переработка ШФЛУ, всего</t>
        </is>
      </c>
      <c r="D249" s="15" t="n"/>
      <c r="E249" s="15" t="n"/>
      <c r="F249" s="16" t="n"/>
      <c r="G249" s="17" t="n"/>
      <c r="H249" s="636" t="n"/>
      <c r="I249" s="17" t="n"/>
      <c r="J249" s="24" t="n"/>
    </row>
    <row r="250" ht="20.1" customHeight="1" s="904">
      <c r="B250" s="909" t="n"/>
      <c r="C250" s="28" t="inlineStr">
        <is>
          <t>Газпром</t>
        </is>
      </c>
      <c r="D250" s="15" t="n"/>
      <c r="E250" s="15" t="n"/>
      <c r="F250" s="16" t="n"/>
      <c r="G250" s="17">
        <f>G251</f>
        <v/>
      </c>
      <c r="H250" s="636" t="n"/>
      <c r="I250" s="17" t="n"/>
      <c r="J250" s="24" t="inlineStr">
        <is>
          <t>тыс.т</t>
        </is>
      </c>
    </row>
    <row r="251" ht="20.1" customHeight="1" s="904">
      <c r="B251" s="909" t="n"/>
      <c r="C251" s="781" t="inlineStr">
        <is>
          <t xml:space="preserve">   Газпром переработка</t>
        </is>
      </c>
      <c r="D251" s="15" t="n"/>
      <c r="E251" s="15" t="n"/>
      <c r="F251" s="16" t="n"/>
      <c r="G251" s="17">
        <f>G252+G254+G258+G259</f>
        <v/>
      </c>
      <c r="H251" s="636" t="n"/>
      <c r="I251" s="17" t="n"/>
      <c r="J251" s="24" t="inlineStr">
        <is>
          <t>тыс.т</t>
        </is>
      </c>
    </row>
    <row r="252" ht="20.1" customHeight="1" s="904">
      <c r="B252" s="909" t="n"/>
      <c r="C252" s="27" t="inlineStr">
        <is>
          <t>Астраханский ГПЗ</t>
        </is>
      </c>
      <c r="D252" s="15" t="n"/>
      <c r="E252" s="15" t="n"/>
      <c r="F252" s="16" t="n"/>
      <c r="G252" s="17" t="inlineStr">
        <is>
          <t>1_100332008</t>
        </is>
      </c>
      <c r="H252" s="636" t="n"/>
      <c r="I252" s="17" t="n"/>
      <c r="J252" s="549" t="inlineStr">
        <is>
          <t>тыс.т</t>
        </is>
      </c>
    </row>
    <row r="253" ht="20.1" customHeight="1" s="904">
      <c r="B253" s="909" t="n"/>
      <c r="C253" s="737" t="inlineStr">
        <is>
          <t>с уч. содержания комп. стабильного конденсата</t>
        </is>
      </c>
      <c r="D253" s="15" t="n"/>
      <c r="E253" s="15" t="n"/>
      <c r="F253" s="16" t="n"/>
      <c r="G253" s="17" t="inlineStr">
        <is>
          <t>1_100332009</t>
        </is>
      </c>
      <c r="H253" s="636" t="n"/>
      <c r="I253" s="17" t="n"/>
      <c r="J253" s="554" t="inlineStr">
        <is>
          <t>тыс.т</t>
        </is>
      </c>
    </row>
    <row r="254" ht="20.1" customHeight="1" s="904">
      <c r="B254" s="909" t="n"/>
      <c r="C254" s="27" t="inlineStr">
        <is>
          <t xml:space="preserve"> Оренбургский ГХК</t>
        </is>
      </c>
      <c r="D254" s="15" t="n"/>
      <c r="E254" s="15" t="n"/>
      <c r="F254" s="16" t="n"/>
      <c r="G254" s="17">
        <f>G255+G256+G257</f>
        <v/>
      </c>
      <c r="H254" s="636" t="n"/>
      <c r="I254" s="17" t="n"/>
      <c r="J254" s="549" t="inlineStr">
        <is>
          <t>тыс.т</t>
        </is>
      </c>
    </row>
    <row r="255" ht="20.1" customHeight="1" s="904">
      <c r="B255" s="909" t="n"/>
      <c r="C255" s="737" t="inlineStr">
        <is>
          <t>Газпром добыча Оренбург</t>
        </is>
      </c>
      <c r="D255" s="15" t="n"/>
      <c r="E255" s="15" t="n"/>
      <c r="F255" s="16" t="n"/>
      <c r="G255" s="17" t="inlineStr">
        <is>
          <t>2_100332211</t>
        </is>
      </c>
      <c r="H255" s="636" t="n"/>
      <c r="I255" s="17" t="n"/>
      <c r="J255" s="554" t="inlineStr">
        <is>
          <t>тыс.т</t>
        </is>
      </c>
    </row>
    <row r="256" ht="20.1" customHeight="1" s="904">
      <c r="B256" s="909" t="n"/>
      <c r="C256" s="737" t="inlineStr">
        <is>
          <t>Газпром нефть</t>
        </is>
      </c>
      <c r="D256" s="15" t="n"/>
      <c r="E256" s="15" t="n"/>
      <c r="F256" s="16" t="n"/>
      <c r="G256" s="17" t="inlineStr">
        <is>
          <t>2_100332212</t>
        </is>
      </c>
      <c r="H256" s="636" t="n"/>
      <c r="I256" s="17" t="n"/>
      <c r="J256" s="554" t="inlineStr">
        <is>
          <t>тыс.т</t>
        </is>
      </c>
    </row>
    <row r="257" ht="20.1" customHeight="1" s="904">
      <c r="B257" s="909" t="n"/>
      <c r="C257" s="553" t="inlineStr">
        <is>
          <t>прочие поставщики (ГПНЗ, УНГП, и.т.д.)</t>
        </is>
      </c>
      <c r="D257" s="15" t="n"/>
      <c r="E257" s="15" t="n"/>
      <c r="F257" s="16" t="n"/>
      <c r="G257" s="17" t="inlineStr">
        <is>
          <t>2_100335145</t>
        </is>
      </c>
      <c r="H257" s="636" t="n"/>
      <c r="I257" s="17" t="n"/>
      <c r="J257" s="554" t="inlineStr">
        <is>
          <t>тыс.т</t>
        </is>
      </c>
    </row>
    <row r="258" ht="20.1" customHeight="1" s="904">
      <c r="B258" s="909" t="n"/>
      <c r="C258" s="27" t="inlineStr">
        <is>
          <t>Уренгойский ЗПКТ</t>
        </is>
      </c>
      <c r="D258" s="15" t="n"/>
      <c r="E258" s="15" t="n"/>
      <c r="F258" s="16" t="n"/>
      <c r="G258" s="17" t="inlineStr">
        <is>
          <t>4_100331896</t>
        </is>
      </c>
      <c r="H258" s="636" t="n"/>
      <c r="I258" s="17" t="n"/>
      <c r="J258" s="549" t="inlineStr">
        <is>
          <t>тыс.т</t>
        </is>
      </c>
    </row>
    <row r="259" ht="20.1" customHeight="1" s="904">
      <c r="B259" s="909" t="n"/>
      <c r="C259" s="27" t="inlineStr">
        <is>
          <t xml:space="preserve">                Сургутский ЗСК</t>
        </is>
      </c>
      <c r="D259" s="15" t="n"/>
      <c r="E259" s="15" t="n"/>
      <c r="F259" s="16" t="n"/>
      <c r="G259" s="17" t="inlineStr">
        <is>
          <t>4_100331897</t>
        </is>
      </c>
      <c r="H259" s="636" t="n"/>
      <c r="I259" s="17" t="n"/>
      <c r="J259" s="549" t="inlineStr">
        <is>
          <t>тыс.т</t>
        </is>
      </c>
    </row>
    <row r="260" ht="20.1" customHeight="1" s="904">
      <c r="B260" s="909" t="n"/>
      <c r="C260" s="28" t="inlineStr">
        <is>
          <t>Дочерние общества</t>
        </is>
      </c>
      <c r="D260" s="15" t="n"/>
      <c r="E260" s="15" t="n"/>
      <c r="F260" s="16" t="n"/>
      <c r="G260" s="17">
        <f>0</f>
        <v/>
      </c>
      <c r="H260" s="636" t="n"/>
      <c r="I260" s="17" t="n"/>
      <c r="J260" s="24" t="inlineStr">
        <is>
          <t>тыс.т</t>
        </is>
      </c>
    </row>
    <row r="261" ht="20.1" customHeight="1" s="904">
      <c r="B261" s="735" t="n"/>
      <c r="C261" s="735" t="inlineStr">
        <is>
          <t xml:space="preserve">ПРОДУКЦИЯ    </t>
        </is>
      </c>
      <c r="D261" s="15" t="n"/>
      <c r="E261" s="15" t="n"/>
      <c r="F261" s="16" t="n"/>
      <c r="G261" s="17" t="n"/>
      <c r="H261" s="636" t="n"/>
      <c r="I261" s="17" t="n"/>
      <c r="J261" s="24" t="n"/>
    </row>
    <row r="262" ht="32.25" customHeight="1" s="904">
      <c r="B262" s="909" t="inlineStr">
        <is>
          <t>1.</t>
        </is>
      </c>
      <c r="C262" s="30" t="inlineStr">
        <is>
          <t>Газ горючий природный сухой  отбензиненный  с перерабатывающих предприятий - всего</t>
        </is>
      </c>
      <c r="D262" s="15" t="n"/>
      <c r="E262" s="15" t="n"/>
      <c r="F262" s="16" t="n"/>
      <c r="G262" s="17">
        <f>G263+G269+G270</f>
        <v/>
      </c>
      <c r="H262" s="636" t="n"/>
      <c r="I262" s="17" t="n"/>
      <c r="J262" s="24" t="inlineStr">
        <is>
          <t>млн куб.м.</t>
        </is>
      </c>
    </row>
    <row r="263" ht="20.1" customHeight="1" s="904">
      <c r="B263" s="909" t="n"/>
      <c r="C263" s="781" t="inlineStr">
        <is>
          <t xml:space="preserve">   Газпром переработка</t>
        </is>
      </c>
      <c r="D263" s="15" t="n"/>
      <c r="E263" s="15" t="n"/>
      <c r="F263" s="16" t="n"/>
      <c r="G263" s="17">
        <f>G265+G264+G266+G267</f>
        <v/>
      </c>
      <c r="H263" s="636" t="n"/>
      <c r="I263" s="17" t="n"/>
      <c r="J263" s="24" t="inlineStr">
        <is>
          <t>млн куб.м.</t>
        </is>
      </c>
    </row>
    <row r="264" ht="20.1" customHeight="1" s="904">
      <c r="B264" s="909" t="n"/>
      <c r="C264" s="27" t="inlineStr">
        <is>
          <t>Астраханский ГПЗ</t>
        </is>
      </c>
      <c r="D264" s="15" t="n"/>
      <c r="E264" s="15" t="n"/>
      <c r="F264" s="16" t="n"/>
      <c r="G264" s="17">
        <f>G274</f>
        <v/>
      </c>
      <c r="H264" s="636" t="n"/>
      <c r="I264" s="17" t="n"/>
      <c r="J264" s="549" t="inlineStr">
        <is>
          <t>млн куб.м.</t>
        </is>
      </c>
    </row>
    <row r="265" ht="20.1" customHeight="1" s="904">
      <c r="B265" s="909" t="n"/>
      <c r="C265" s="27" t="inlineStr">
        <is>
          <t>Оренбургский ГХК</t>
        </is>
      </c>
      <c r="D265" s="15" t="n"/>
      <c r="E265" s="15" t="n"/>
      <c r="F265" s="16" t="n"/>
      <c r="G265" s="17">
        <f>G304+G314</f>
        <v/>
      </c>
      <c r="H265" s="636" t="n"/>
      <c r="I265" s="17" t="n"/>
      <c r="J265" s="549" t="inlineStr">
        <is>
          <t>млн куб.м.</t>
        </is>
      </c>
    </row>
    <row r="266" ht="20.1" customHeight="1" s="904">
      <c r="B266" s="909" t="n"/>
      <c r="C266" s="27" t="inlineStr">
        <is>
          <t xml:space="preserve">  Сосногорский ГПЗ </t>
        </is>
      </c>
      <c r="D266" s="15" t="n"/>
      <c r="E266" s="15" t="n"/>
      <c r="F266" s="16" t="n"/>
      <c r="G266" s="17">
        <f>G278+G319</f>
        <v/>
      </c>
      <c r="H266" s="636" t="n"/>
      <c r="I266" s="17" t="n"/>
      <c r="J266" s="549" t="inlineStr">
        <is>
          <t>млн куб.м.</t>
        </is>
      </c>
    </row>
    <row r="267" ht="20.1" customHeight="1" s="904">
      <c r="B267" s="909" t="n"/>
      <c r="C267" s="548" t="inlineStr">
        <is>
          <t xml:space="preserve">               Уренгойский ЗПКТ с учетом привлеченных мощностей</t>
        </is>
      </c>
      <c r="D267" s="15" t="n"/>
      <c r="E267" s="15" t="n"/>
      <c r="F267" s="16" t="n"/>
      <c r="G267" s="17">
        <f>G283+G312</f>
        <v/>
      </c>
      <c r="H267" s="636" t="n"/>
      <c r="I267" s="17" t="n"/>
      <c r="J267" s="549" t="inlineStr">
        <is>
          <t>млн куб.м.</t>
        </is>
      </c>
    </row>
    <row r="268" ht="20.1" customHeight="1" s="904">
      <c r="B268" s="909" t="n"/>
      <c r="C268" s="31" t="n"/>
      <c r="D268" s="15" t="n"/>
      <c r="E268" s="15" t="n"/>
      <c r="F268" s="16" t="n"/>
      <c r="G268" s="17">
        <f>G284+G313</f>
        <v/>
      </c>
      <c r="H268" s="636" t="n"/>
      <c r="I268" s="17" t="n"/>
      <c r="J268" s="549" t="inlineStr">
        <is>
          <t>тыс.т</t>
        </is>
      </c>
    </row>
    <row r="269" ht="20.1" customHeight="1" s="904">
      <c r="B269" s="909" t="n"/>
      <c r="C269" s="567" t="inlineStr">
        <is>
          <t>Газпром добыча Уренгой</t>
        </is>
      </c>
      <c r="D269" s="15" t="n"/>
      <c r="E269" s="15" t="n"/>
      <c r="F269" s="16" t="n"/>
      <c r="G269" s="17">
        <f>G316</f>
        <v/>
      </c>
      <c r="H269" s="636" t="n"/>
      <c r="I269" s="17" t="n"/>
      <c r="J269" s="32" t="inlineStr">
        <is>
          <t>млн куб.м.</t>
        </is>
      </c>
    </row>
    <row r="270" ht="20.1" customHeight="1" s="904">
      <c r="B270" s="909" t="n"/>
      <c r="C270" s="781" t="inlineStr">
        <is>
          <t xml:space="preserve"> Газпром переработка Благовещенск</t>
        </is>
      </c>
      <c r="D270" s="15" t="n"/>
      <c r="E270" s="15" t="n"/>
      <c r="F270" s="16" t="n"/>
      <c r="G270" s="17">
        <f>G271</f>
        <v/>
      </c>
      <c r="H270" s="636" t="n"/>
      <c r="I270" s="17" t="n"/>
      <c r="J270" s="24" t="inlineStr">
        <is>
          <t>млн куб.м.</t>
        </is>
      </c>
    </row>
    <row r="271" ht="20.1" customHeight="1" s="904">
      <c r="B271" s="909" t="n"/>
      <c r="C271" s="27" t="inlineStr">
        <is>
          <t xml:space="preserve"> Амурский ГПЗ</t>
        </is>
      </c>
      <c r="D271" s="15" t="n"/>
      <c r="E271" s="15" t="n"/>
      <c r="F271" s="16" t="n"/>
      <c r="G271" s="17">
        <f>G296+G322</f>
        <v/>
      </c>
      <c r="H271" s="636" t="n"/>
      <c r="I271" s="17" t="n"/>
      <c r="J271" s="549" t="inlineStr">
        <is>
          <t>млн куб.м.</t>
        </is>
      </c>
    </row>
    <row r="272" ht="20.1" customHeight="1" s="904">
      <c r="B272" s="20" t="inlineStr">
        <is>
          <t>1.1.</t>
        </is>
      </c>
      <c r="C272" s="28" t="inlineStr">
        <is>
          <t>Газпром</t>
        </is>
      </c>
      <c r="D272" s="15" t="n"/>
      <c r="E272" s="15" t="n"/>
      <c r="F272" s="16" t="n"/>
      <c r="G272" s="17">
        <f>G273+G295</f>
        <v/>
      </c>
      <c r="H272" s="636" t="n"/>
      <c r="I272" s="17" t="n"/>
      <c r="J272" s="24" t="inlineStr">
        <is>
          <t>млн куб.м.</t>
        </is>
      </c>
    </row>
    <row r="273" ht="20.1" customHeight="1" s="904">
      <c r="B273" s="909" t="n"/>
      <c r="C273" s="781" t="inlineStr">
        <is>
          <t xml:space="preserve">   Газпром переработка</t>
        </is>
      </c>
      <c r="D273" s="15" t="n"/>
      <c r="E273" s="15" t="n"/>
      <c r="F273" s="16" t="n"/>
      <c r="G273" s="17">
        <f>G278+G283+G274</f>
        <v/>
      </c>
      <c r="H273" s="636" t="n"/>
      <c r="I273" s="17" t="n"/>
      <c r="J273" s="24" t="inlineStr">
        <is>
          <t>млн куб.м.</t>
        </is>
      </c>
    </row>
    <row r="274" ht="20.1" customHeight="1" s="904">
      <c r="B274" s="909" t="n"/>
      <c r="C274" s="27" t="inlineStr">
        <is>
          <t>Астраханский ГПЗ</t>
        </is>
      </c>
      <c r="D274" s="15" t="n"/>
      <c r="E274" s="15" t="n"/>
      <c r="F274" s="16" t="n"/>
      <c r="G274" s="17" t="inlineStr">
        <is>
          <t>1_100331993</t>
        </is>
      </c>
      <c r="H274" s="636" t="n"/>
      <c r="I274" s="17" t="n"/>
      <c r="J274" s="549" t="inlineStr">
        <is>
          <t>млн куб.м.</t>
        </is>
      </c>
    </row>
    <row r="275" ht="20.1" customHeight="1" s="904">
      <c r="B275" s="909" t="n"/>
      <c r="C275" s="737" t="inlineStr">
        <is>
          <t>в т.ч. в  газотранспортную систему</t>
        </is>
      </c>
      <c r="D275" s="15" t="n"/>
      <c r="E275" s="15" t="n"/>
      <c r="F275" s="16" t="n"/>
      <c r="G275" s="17" t="inlineStr">
        <is>
          <t>1_100331995</t>
        </is>
      </c>
      <c r="H275" s="636" t="n"/>
      <c r="I275" s="17" t="n"/>
      <c r="J275" s="554" t="inlineStr">
        <is>
          <t>млн куб.м.</t>
        </is>
      </c>
    </row>
    <row r="276" ht="20.1" customHeight="1" s="904">
      <c r="B276" s="909" t="n"/>
      <c r="C276" s="737" t="inlineStr">
        <is>
          <t>газ на стн ГПП</t>
        </is>
      </c>
      <c r="D276" s="15" t="n"/>
      <c r="E276" s="15" t="n"/>
      <c r="F276" s="16" t="n"/>
      <c r="G276" s="17" t="inlineStr">
        <is>
          <t>1_100331999</t>
        </is>
      </c>
      <c r="H276" s="636" t="n"/>
      <c r="I276" s="17" t="n"/>
      <c r="J276" s="554" t="inlineStr">
        <is>
          <t>млн куб.м.</t>
        </is>
      </c>
    </row>
    <row r="277" ht="20.1" customHeight="1" s="904">
      <c r="B277" s="909" t="n"/>
      <c r="C277" s="737" t="inlineStr">
        <is>
          <t>газ на стн газодобывающих обществ</t>
        </is>
      </c>
      <c r="D277" s="15" t="n"/>
      <c r="E277" s="15" t="n"/>
      <c r="F277" s="16" t="n"/>
      <c r="G277" s="17" t="inlineStr">
        <is>
          <t>1_100331997</t>
        </is>
      </c>
      <c r="H277" s="636" t="n"/>
      <c r="I277" s="17" t="n"/>
      <c r="J277" s="554" t="inlineStr">
        <is>
          <t>млн куб.м.</t>
        </is>
      </c>
    </row>
    <row r="278" ht="20.1" customHeight="1" s="904">
      <c r="B278" s="909" t="n"/>
      <c r="C278" s="27" t="inlineStr">
        <is>
          <t xml:space="preserve">Сосногорский ГПЗ </t>
        </is>
      </c>
      <c r="D278" s="15" t="n"/>
      <c r="E278" s="15" t="n"/>
      <c r="F278" s="16" t="n"/>
      <c r="G278" s="17">
        <f>G279</f>
        <v/>
      </c>
      <c r="H278" s="636" t="n"/>
      <c r="I278" s="17" t="n"/>
      <c r="J278" s="549" t="inlineStr">
        <is>
          <t>млн куб.м.</t>
        </is>
      </c>
    </row>
    <row r="279" ht="20.1" customHeight="1" s="904">
      <c r="B279" s="909" t="n"/>
      <c r="C279" s="737" t="inlineStr">
        <is>
          <t>Газпром добыча Краснодар</t>
        </is>
      </c>
      <c r="D279" s="15" t="n"/>
      <c r="E279" s="15" t="n"/>
      <c r="F279" s="16" t="n"/>
      <c r="G279" s="17" t="inlineStr">
        <is>
          <t>3_100330564</t>
        </is>
      </c>
      <c r="H279" s="636" t="n"/>
      <c r="I279" s="17" t="n"/>
      <c r="J279" s="32" t="inlineStr">
        <is>
          <t>млн куб.м.</t>
        </is>
      </c>
    </row>
    <row r="280" ht="20.1" customHeight="1" s="904">
      <c r="B280" s="909" t="n"/>
      <c r="C280" s="737" t="inlineStr">
        <is>
          <t>в т. ч. собственная потребность ГПП</t>
        </is>
      </c>
      <c r="D280" s="15" t="n"/>
      <c r="E280" s="15" t="n"/>
      <c r="F280" s="16" t="n"/>
      <c r="G280" s="17" t="inlineStr">
        <is>
          <t>3_100330566</t>
        </is>
      </c>
      <c r="H280" s="636" t="n"/>
      <c r="I280" s="17" t="n"/>
      <c r="J280" s="554" t="inlineStr">
        <is>
          <t>млн куб.м.</t>
        </is>
      </c>
    </row>
    <row r="281" ht="20.1" customHeight="1" s="904">
      <c r="B281" s="909" t="n"/>
      <c r="C281" s="737" t="inlineStr">
        <is>
          <t>в газотранспортную систему</t>
        </is>
      </c>
      <c r="D281" s="15" t="n"/>
      <c r="E281" s="15" t="n"/>
      <c r="F281" s="16" t="n"/>
      <c r="G281" s="17" t="inlineStr">
        <is>
          <t>3_100330570</t>
        </is>
      </c>
      <c r="H281" s="636" t="n"/>
      <c r="I281" s="17" t="n"/>
      <c r="J281" s="554" t="inlineStr">
        <is>
          <t>млн куб.м.</t>
        </is>
      </c>
    </row>
    <row r="282" ht="20.1" customHeight="1" s="904">
      <c r="B282" s="909" t="n"/>
      <c r="C282" s="737" t="inlineStr">
        <is>
          <t>на Сосногорскую ТЭЦ</t>
        </is>
      </c>
      <c r="D282" s="15" t="n"/>
      <c r="E282" s="15" t="n"/>
      <c r="F282" s="16" t="n"/>
      <c r="G282" s="17" t="inlineStr">
        <is>
          <t>3_100330568</t>
        </is>
      </c>
      <c r="H282" s="636" t="n"/>
      <c r="I282" s="17" t="n"/>
      <c r="J282" s="554" t="inlineStr">
        <is>
          <t>млн куб.м.</t>
        </is>
      </c>
    </row>
    <row r="283" ht="20.1" customHeight="1" s="904">
      <c r="B283" s="909" t="n"/>
      <c r="C283" s="923" t="inlineStr">
        <is>
          <t xml:space="preserve">               Уренгойский ЗПКТ и привлеченные мощности</t>
        </is>
      </c>
      <c r="D283" s="15" t="n"/>
      <c r="E283" s="15" t="n"/>
      <c r="F283" s="16" t="n"/>
      <c r="G283" s="17">
        <f>G285+G287+G289+G291+G293</f>
        <v/>
      </c>
      <c r="H283" s="636" t="n"/>
      <c r="I283" s="17" t="n"/>
      <c r="J283" s="549" t="inlineStr">
        <is>
          <t>млн куб.м.</t>
        </is>
      </c>
    </row>
    <row r="284" ht="20.1" customHeight="1" s="904">
      <c r="B284" s="909" t="n"/>
      <c r="C284" s="906" t="n"/>
      <c r="D284" s="15" t="n"/>
      <c r="E284" s="15" t="n"/>
      <c r="F284" s="16" t="n"/>
      <c r="G284" s="17">
        <f>G286+G288+G290+G292+G294</f>
        <v/>
      </c>
      <c r="H284" s="636" t="n"/>
      <c r="I284" s="17" t="n"/>
      <c r="J284" s="549" t="inlineStr">
        <is>
          <t>тыс.т</t>
        </is>
      </c>
    </row>
    <row r="285" ht="20.1" customHeight="1" s="904">
      <c r="B285" s="909" t="n"/>
      <c r="C285" s="905" t="inlineStr">
        <is>
          <t xml:space="preserve"> в т.ч. газ горючий природный</t>
        </is>
      </c>
      <c r="D285" s="15" t="n"/>
      <c r="E285" s="15" t="n"/>
      <c r="F285" s="16" t="n"/>
      <c r="G285" s="17" t="inlineStr">
        <is>
          <t>4_100331871</t>
        </is>
      </c>
      <c r="H285" s="636" t="n"/>
      <c r="I285" s="17" t="n"/>
      <c r="J285" s="554" t="inlineStr">
        <is>
          <t>млн куб.м.</t>
        </is>
      </c>
    </row>
    <row r="286" ht="20.1" customHeight="1" s="904">
      <c r="B286" s="909" t="n"/>
      <c r="C286" s="906" t="n"/>
      <c r="D286" s="15" t="n"/>
      <c r="E286" s="15" t="n"/>
      <c r="F286" s="16" t="n"/>
      <c r="G286" s="17" t="inlineStr">
        <is>
          <t>4_100331870</t>
        </is>
      </c>
      <c r="H286" s="636" t="n"/>
      <c r="I286" s="17" t="n"/>
      <c r="J286" s="554" t="inlineStr">
        <is>
          <t>тыс.т</t>
        </is>
      </c>
    </row>
    <row r="287" ht="20.1" customHeight="1" s="904">
      <c r="B287" s="909" t="n"/>
      <c r="C287" s="905" t="inlineStr">
        <is>
          <t xml:space="preserve"> газ деэтанизации собств. потребность ГПП</t>
        </is>
      </c>
      <c r="D287" s="15" t="n"/>
      <c r="E287" s="15" t="n"/>
      <c r="F287" s="16" t="n"/>
      <c r="G287" s="17" t="inlineStr">
        <is>
          <t>4_100331859</t>
        </is>
      </c>
      <c r="H287" s="636" t="n"/>
      <c r="I287" s="17" t="n"/>
      <c r="J287" s="554" t="inlineStr">
        <is>
          <t>млн куб.м.</t>
        </is>
      </c>
    </row>
    <row r="288" ht="20.1" customHeight="1" s="904">
      <c r="B288" s="909" t="n"/>
      <c r="C288" s="906" t="n"/>
      <c r="D288" s="15" t="n"/>
      <c r="E288" s="15" t="n"/>
      <c r="F288" s="16" t="n"/>
      <c r="G288" s="17" t="inlineStr">
        <is>
          <t>4_100331858</t>
        </is>
      </c>
      <c r="H288" s="636" t="n"/>
      <c r="I288" s="17" t="n"/>
      <c r="J288" s="554" t="inlineStr">
        <is>
          <t>тыс.т</t>
        </is>
      </c>
    </row>
    <row r="289" ht="20.1" customHeight="1" s="904">
      <c r="B289" s="909" t="n"/>
      <c r="C289" s="905" t="inlineStr">
        <is>
          <t>газ деэтанизации в адрес ГДУ по договору поставки</t>
        </is>
      </c>
      <c r="D289" s="15" t="n"/>
      <c r="E289" s="15" t="n"/>
      <c r="F289" s="16" t="n"/>
      <c r="G289" s="17" t="inlineStr">
        <is>
          <t>4_100331857</t>
        </is>
      </c>
      <c r="H289" s="636" t="n"/>
      <c r="I289" s="17" t="n"/>
      <c r="J289" s="554" t="inlineStr">
        <is>
          <t>млн куб.м.</t>
        </is>
      </c>
    </row>
    <row r="290" ht="20.1" customHeight="1" s="904">
      <c r="B290" s="909" t="n"/>
      <c r="C290" s="906" t="n"/>
      <c r="D290" s="15" t="n"/>
      <c r="E290" s="15" t="n"/>
      <c r="F290" s="16" t="n"/>
      <c r="G290" s="17" t="inlineStr">
        <is>
          <t>4_100331856</t>
        </is>
      </c>
      <c r="H290" s="636" t="n"/>
      <c r="I290" s="17" t="n"/>
      <c r="J290" s="554" t="inlineStr">
        <is>
          <t>тыс.т</t>
        </is>
      </c>
    </row>
    <row r="291" ht="20.1" customHeight="1" s="904">
      <c r="B291" s="909" t="n"/>
      <c r="C291" s="913" t="inlineStr">
        <is>
          <t xml:space="preserve"> газ деэтанизации на подготовку на мощностях ГДУ, собственность ПАО "Газпром"</t>
        </is>
      </c>
      <c r="D291" s="15" t="n"/>
      <c r="E291" s="15" t="n"/>
      <c r="F291" s="16" t="n"/>
      <c r="G291" s="17" t="inlineStr">
        <is>
          <t>4_100337119</t>
        </is>
      </c>
      <c r="H291" s="636" t="n"/>
      <c r="I291" s="17" t="n"/>
      <c r="J291" s="554" t="inlineStr">
        <is>
          <t>млн куб.м.</t>
        </is>
      </c>
    </row>
    <row r="292" ht="20.1" customHeight="1" s="904">
      <c r="B292" s="909" t="n"/>
      <c r="C292" s="906" t="n"/>
      <c r="D292" s="15" t="n"/>
      <c r="E292" s="15" t="n"/>
      <c r="F292" s="16" t="n"/>
      <c r="G292" s="17" t="inlineStr">
        <is>
          <t>4_100337118</t>
        </is>
      </c>
      <c r="H292" s="636" t="n"/>
      <c r="I292" s="17" t="n"/>
      <c r="J292" s="554" t="inlineStr">
        <is>
          <t>тыс.т</t>
        </is>
      </c>
    </row>
    <row r="293" ht="20.1" customHeight="1" s="904">
      <c r="B293" s="909" t="n"/>
      <c r="C293" s="905" t="inlineStr">
        <is>
          <t>газ деэтанизации на Новоуренгойский ГХК</t>
        </is>
      </c>
      <c r="D293" s="15" t="n"/>
      <c r="E293" s="15" t="n"/>
      <c r="F293" s="16" t="n"/>
      <c r="G293" s="17" t="inlineStr">
        <is>
          <t>4_100337121</t>
        </is>
      </c>
      <c r="H293" s="636" t="n"/>
      <c r="I293" s="17" t="n"/>
      <c r="J293" s="554" t="inlineStr">
        <is>
          <t>млн куб.м.</t>
        </is>
      </c>
    </row>
    <row r="294" ht="20.1" customHeight="1" s="904">
      <c r="B294" s="909" t="n"/>
      <c r="C294" s="906" t="n"/>
      <c r="D294" s="15" t="n"/>
      <c r="E294" s="15" t="n"/>
      <c r="F294" s="16" t="n"/>
      <c r="G294" s="17" t="inlineStr">
        <is>
          <t>4_100337120</t>
        </is>
      </c>
      <c r="H294" s="636" t="n"/>
      <c r="I294" s="17" t="n"/>
      <c r="J294" s="554" t="inlineStr">
        <is>
          <t>тыс.т</t>
        </is>
      </c>
    </row>
    <row r="295" ht="20.1" customHeight="1" s="904">
      <c r="B295" s="909" t="n"/>
      <c r="C295" s="781" t="inlineStr">
        <is>
          <t xml:space="preserve"> Газпром переработка Благовещенск</t>
        </is>
      </c>
      <c r="D295" s="15" t="n"/>
      <c r="E295" s="15" t="n"/>
      <c r="F295" s="16" t="n"/>
      <c r="G295" s="17">
        <f>G296</f>
        <v/>
      </c>
      <c r="H295" s="636" t="n"/>
      <c r="I295" s="17" t="n"/>
      <c r="J295" s="24" t="inlineStr">
        <is>
          <t>млн куб.м.</t>
        </is>
      </c>
    </row>
    <row r="296" ht="20.1" customHeight="1" s="904">
      <c r="B296" s="909" t="n"/>
      <c r="C296" s="27" t="inlineStr">
        <is>
          <t xml:space="preserve"> Амурский ГПЗ</t>
        </is>
      </c>
      <c r="D296" s="15" t="n"/>
      <c r="E296" s="15" t="n"/>
      <c r="F296" s="16" t="n"/>
      <c r="G296" s="17" t="inlineStr">
        <is>
          <t>14_100332359</t>
        </is>
      </c>
      <c r="H296" s="636" t="n"/>
      <c r="I296" s="17" t="n"/>
      <c r="J296" s="549" t="inlineStr">
        <is>
          <t>млн куб.м.</t>
        </is>
      </c>
    </row>
    <row r="297" ht="20.1" customHeight="1" s="904">
      <c r="B297" s="20" t="inlineStr">
        <is>
          <t>1.2.</t>
        </is>
      </c>
      <c r="C297" s="28" t="inlineStr">
        <is>
          <t>Дочерние общества</t>
        </is>
      </c>
      <c r="D297" s="15" t="n"/>
      <c r="E297" s="15" t="n"/>
      <c r="F297" s="16" t="n"/>
      <c r="G297" s="17">
        <f>G303+G318+G321+G314</f>
        <v/>
      </c>
      <c r="H297" s="636" t="n"/>
      <c r="I297" s="17" t="n"/>
      <c r="J297" s="24" t="inlineStr">
        <is>
          <t>млн куб.м.</t>
        </is>
      </c>
    </row>
    <row r="298" hidden="1" outlineLevel="1" ht="20.1" customHeight="1" s="904">
      <c r="B298" s="909" t="n"/>
      <c r="C298" s="25" t="inlineStr">
        <is>
          <t>Газпром добыча Астрахань</t>
        </is>
      </c>
      <c r="D298" s="15" t="n"/>
      <c r="E298" s="15" t="n"/>
      <c r="F298" s="16" t="n"/>
      <c r="G298" s="17">
        <f>G299</f>
        <v/>
      </c>
      <c r="H298" s="636" t="n"/>
      <c r="I298" s="17" t="n"/>
      <c r="J298" s="24" t="inlineStr">
        <is>
          <t>млн куб.м.</t>
        </is>
      </c>
    </row>
    <row r="299" hidden="1" outlineLevel="1" ht="20.1" customHeight="1" s="904">
      <c r="B299" s="909" t="n"/>
      <c r="C299" s="29" t="inlineStr">
        <is>
          <t>Астраханский ГПЗ</t>
        </is>
      </c>
      <c r="D299" s="15" t="n"/>
      <c r="E299" s="15" t="n"/>
      <c r="F299" s="16" t="n"/>
      <c r="G299" s="17" t="n"/>
      <c r="H299" s="636" t="n"/>
      <c r="I299" s="17" t="n"/>
      <c r="J299" s="549" t="inlineStr">
        <is>
          <t>млн куб.м.</t>
        </is>
      </c>
    </row>
    <row r="300" hidden="1" outlineLevel="1" ht="20.1" customHeight="1" s="904">
      <c r="B300" s="909" t="n"/>
      <c r="C300" s="26" t="inlineStr">
        <is>
          <t>в т.ч. в  газотранспортную систему</t>
        </is>
      </c>
      <c r="D300" s="15" t="n"/>
      <c r="E300" s="15" t="n"/>
      <c r="F300" s="16" t="n"/>
      <c r="G300" s="17" t="n"/>
      <c r="H300" s="636" t="n"/>
      <c r="I300" s="17" t="n"/>
      <c r="J300" s="554" t="inlineStr">
        <is>
          <t>млн куб.м.</t>
        </is>
      </c>
    </row>
    <row r="301" hidden="1" outlineLevel="1" ht="20.1" customHeight="1" s="904">
      <c r="B301" s="909" t="n"/>
      <c r="C301" s="26" t="inlineStr">
        <is>
          <t>газ на стн ГПП</t>
        </is>
      </c>
      <c r="D301" s="15" t="n"/>
      <c r="E301" s="15" t="n"/>
      <c r="F301" s="16" t="n"/>
      <c r="G301" s="17" t="n"/>
      <c r="H301" s="636" t="n"/>
      <c r="I301" s="17" t="n"/>
      <c r="J301" s="554" t="inlineStr">
        <is>
          <t>млн куб.м.</t>
        </is>
      </c>
    </row>
    <row r="302" hidden="1" outlineLevel="1" ht="20.1" customHeight="1" s="904">
      <c r="B302" s="909" t="n"/>
      <c r="C302" s="26" t="inlineStr">
        <is>
          <t>газ на стн газодобывающих обществ</t>
        </is>
      </c>
      <c r="D302" s="15" t="n"/>
      <c r="E302" s="15" t="n"/>
      <c r="F302" s="16" t="n"/>
      <c r="G302" s="17" t="n"/>
      <c r="H302" s="636" t="n"/>
      <c r="I302" s="17" t="n"/>
      <c r="J302" s="554" t="inlineStr">
        <is>
          <t>млн куб.м.</t>
        </is>
      </c>
    </row>
    <row r="303" collapsed="1" ht="20.1" customHeight="1" s="904">
      <c r="B303" s="909" t="n"/>
      <c r="C303" s="781" t="inlineStr">
        <is>
          <t>Газпром переработка</t>
        </is>
      </c>
      <c r="D303" s="15" t="n"/>
      <c r="E303" s="15" t="n"/>
      <c r="F303" s="16" t="n"/>
      <c r="G303" s="17">
        <f>G304+G310</f>
        <v/>
      </c>
      <c r="H303" s="636" t="n"/>
      <c r="I303" s="17" t="n"/>
      <c r="J303" s="24" t="inlineStr">
        <is>
          <t>млн куб.м.</t>
        </is>
      </c>
    </row>
    <row r="304" ht="20.1" customHeight="1" s="904">
      <c r="B304" s="909" t="n"/>
      <c r="C304" s="27" t="inlineStr">
        <is>
          <t xml:space="preserve"> Оренбургский ГХК</t>
        </is>
      </c>
      <c r="D304" s="15" t="n"/>
      <c r="E304" s="15" t="n"/>
      <c r="F304" s="16" t="n"/>
      <c r="G304" s="17">
        <f>G307+G308+G309</f>
        <v/>
      </c>
      <c r="H304" s="636" t="n"/>
      <c r="I304" s="17" t="n"/>
      <c r="J304" s="549" t="inlineStr">
        <is>
          <t>млн куб.м.</t>
        </is>
      </c>
    </row>
    <row r="305" ht="20.1" customHeight="1" s="904">
      <c r="B305" s="909" t="n"/>
      <c r="C305" s="33" t="inlineStr">
        <is>
          <t>в т.ч. на стн ГПП</t>
        </is>
      </c>
      <c r="D305" s="15" t="n"/>
      <c r="E305" s="15" t="n"/>
      <c r="F305" s="16" t="n"/>
      <c r="G305" s="17" t="inlineStr">
        <is>
          <t>2_100335015+2_100335017</t>
        </is>
      </c>
      <c r="H305" s="636" t="n"/>
      <c r="I305" s="17" t="n"/>
      <c r="J305" s="554" t="inlineStr">
        <is>
          <t>млн куб.м.</t>
        </is>
      </c>
    </row>
    <row r="306" ht="20.1" customHeight="1" s="904">
      <c r="B306" s="909" t="n"/>
      <c r="C306" s="33" t="inlineStr">
        <is>
          <t>на стн газодобывающих обществ</t>
        </is>
      </c>
      <c r="D306" s="15" t="n"/>
      <c r="E306" s="15" t="n"/>
      <c r="F306" s="16" t="n"/>
      <c r="G306" s="17" t="inlineStr">
        <is>
          <t>2_100335019</t>
        </is>
      </c>
      <c r="H306" s="636" t="n"/>
      <c r="I306" s="17" t="n"/>
      <c r="J306" s="554" t="inlineStr">
        <is>
          <t>млн куб.м.</t>
        </is>
      </c>
    </row>
    <row r="307" ht="20.1" customHeight="1" s="904">
      <c r="B307" s="909" t="n"/>
      <c r="C307" s="737" t="inlineStr">
        <is>
          <t>в т.ч. Газпром добыча Оренбург</t>
        </is>
      </c>
      <c r="D307" s="15" t="n"/>
      <c r="E307" s="15" t="n"/>
      <c r="F307" s="16" t="n"/>
      <c r="G307" s="17" t="inlineStr">
        <is>
          <t>2_100332111</t>
        </is>
      </c>
      <c r="H307" s="636" t="n"/>
      <c r="I307" s="17" t="n"/>
      <c r="J307" s="554" t="inlineStr">
        <is>
          <t>млн куб.м.</t>
        </is>
      </c>
    </row>
    <row r="308" ht="20.1" customHeight="1" s="904">
      <c r="B308" s="909" t="n"/>
      <c r="C308" s="737" t="inlineStr">
        <is>
          <t>Газпром нефть</t>
        </is>
      </c>
      <c r="D308" s="15" t="n"/>
      <c r="E308" s="15" t="n"/>
      <c r="F308" s="16" t="n"/>
      <c r="G308" s="17" t="inlineStr">
        <is>
          <t>2_100332113</t>
        </is>
      </c>
      <c r="H308" s="636" t="n"/>
      <c r="I308" s="17" t="n"/>
      <c r="J308" s="554" t="inlineStr">
        <is>
          <t>млн куб.м.</t>
        </is>
      </c>
    </row>
    <row r="309" ht="20.1" customHeight="1" s="904">
      <c r="B309" s="909" t="n"/>
      <c r="C309" s="553" t="inlineStr">
        <is>
          <t>прочие поставщики (ГПНЗ, УНГП, и.т.д.)</t>
        </is>
      </c>
      <c r="D309" s="15" t="n"/>
      <c r="E309" s="15" t="n"/>
      <c r="F309" s="16" t="n"/>
      <c r="G309" s="17" t="inlineStr">
        <is>
          <t>2_100335135</t>
        </is>
      </c>
      <c r="H309" s="636" t="n"/>
      <c r="I309" s="17" t="n"/>
      <c r="J309" s="554" t="inlineStr">
        <is>
          <t>млн куб.м.</t>
        </is>
      </c>
    </row>
    <row r="310" hidden="1" outlineLevel="1" ht="20.1" customHeight="1" s="904">
      <c r="B310" s="909" t="n"/>
      <c r="C310" s="34" t="inlineStr">
        <is>
          <t xml:space="preserve"> Уренгойский ЗПКТ</t>
        </is>
      </c>
      <c r="D310" s="15" t="n"/>
      <c r="E310" s="15" t="n"/>
      <c r="F310" s="16" t="n"/>
      <c r="G310" s="17">
        <f>G312</f>
        <v/>
      </c>
      <c r="H310" s="636" t="n"/>
      <c r="I310" s="17" t="n"/>
      <c r="J310" s="549" t="inlineStr">
        <is>
          <t>млн куб.м.</t>
        </is>
      </c>
    </row>
    <row r="311" hidden="1" outlineLevel="1" ht="20.1" customHeight="1" s="904">
      <c r="B311" s="909" t="n"/>
      <c r="C311" s="34" t="n"/>
      <c r="D311" s="15" t="n"/>
      <c r="E311" s="15" t="n"/>
      <c r="F311" s="16" t="n"/>
      <c r="G311" s="17">
        <f>G313</f>
        <v/>
      </c>
      <c r="H311" s="636" t="n"/>
      <c r="I311" s="17" t="n"/>
      <c r="J311" s="554" t="inlineStr">
        <is>
          <t>млн куб.м.</t>
        </is>
      </c>
    </row>
    <row r="312" hidden="1" outlineLevel="1" ht="20.1" customHeight="1" s="904">
      <c r="B312" s="909" t="n"/>
      <c r="C312" s="35" t="inlineStr">
        <is>
          <t xml:space="preserve"> (газ деэтанизации)/природный газ</t>
        </is>
      </c>
      <c r="D312" s="15" t="n"/>
      <c r="E312" s="15" t="n"/>
      <c r="F312" s="16" t="n"/>
      <c r="G312" s="17" t="n"/>
      <c r="H312" s="636" t="n"/>
      <c r="I312" s="17" t="n"/>
      <c r="J312" s="554" t="inlineStr">
        <is>
          <t>млн куб.м.</t>
        </is>
      </c>
    </row>
    <row r="313" hidden="1" outlineLevel="1" ht="20.1" customHeight="1" s="904">
      <c r="B313" s="909" t="n"/>
      <c r="C313" s="26" t="n"/>
      <c r="D313" s="15" t="n"/>
      <c r="E313" s="15" t="n"/>
      <c r="F313" s="16" t="n"/>
      <c r="G313" s="17" t="n"/>
      <c r="H313" s="636" t="n"/>
      <c r="I313" s="17" t="n"/>
      <c r="J313" s="554" t="inlineStr">
        <is>
          <t>млн куб.м.</t>
        </is>
      </c>
    </row>
    <row r="314" collapsed="1" ht="20.1" customHeight="1" s="904">
      <c r="B314" s="909" t="n"/>
      <c r="C314" s="781" t="inlineStr">
        <is>
          <t xml:space="preserve">Сервиснефтегаз </t>
        </is>
      </c>
      <c r="D314" s="15" t="n"/>
      <c r="E314" s="15" t="n"/>
      <c r="F314" s="16" t="n"/>
      <c r="G314" s="17">
        <f>G315</f>
        <v/>
      </c>
      <c r="H314" s="636" t="n"/>
      <c r="I314" s="17" t="n"/>
      <c r="J314" s="24" t="inlineStr">
        <is>
          <t>млн куб.м.</t>
        </is>
      </c>
    </row>
    <row r="315" ht="20.1" customHeight="1" s="904">
      <c r="B315" s="909" t="n"/>
      <c r="C315" s="737" t="inlineStr">
        <is>
          <t xml:space="preserve">                в т.ч.Оренбургский ГХК на стн ГПП</t>
        </is>
      </c>
      <c r="D315" s="15" t="n"/>
      <c r="E315" s="15" t="n"/>
      <c r="F315" s="16" t="n"/>
      <c r="G315" s="17" t="inlineStr">
        <is>
          <t>2_100335692</t>
        </is>
      </c>
      <c r="H315" s="636" t="n"/>
      <c r="I315" s="17" t="n"/>
      <c r="J315" s="554" t="inlineStr">
        <is>
          <t>млн куб.м.</t>
        </is>
      </c>
    </row>
    <row r="316" ht="20.1" customHeight="1" s="904">
      <c r="B316" s="909" t="n"/>
      <c r="C316" s="570" t="inlineStr">
        <is>
          <t>Газпром добыча Уренгой</t>
        </is>
      </c>
      <c r="D316" s="15" t="n"/>
      <c r="E316" s="15" t="n"/>
      <c r="F316" s="16" t="n"/>
      <c r="G316" s="17">
        <f>G317</f>
        <v/>
      </c>
      <c r="H316" s="636" t="n"/>
      <c r="I316" s="17" t="n"/>
      <c r="J316" s="24" t="inlineStr">
        <is>
          <t>млн куб.м.</t>
        </is>
      </c>
    </row>
    <row r="317" ht="20.1" customHeight="1" s="904">
      <c r="B317" s="909" t="n"/>
      <c r="C317" s="36" t="inlineStr">
        <is>
          <t xml:space="preserve">в т.ч. ДРОД </t>
        </is>
      </c>
      <c r="D317" s="15" t="n"/>
      <c r="E317" s="15" t="n"/>
      <c r="F317" s="16" t="n"/>
      <c r="G317" s="17" t="inlineStr">
        <is>
          <t>8_100335493</t>
        </is>
      </c>
      <c r="H317" s="636" t="n"/>
      <c r="I317" s="17" t="n"/>
      <c r="J317" s="554" t="inlineStr">
        <is>
          <t>млн куб.м.</t>
        </is>
      </c>
    </row>
    <row r="318" ht="20.1" customHeight="1" s="904">
      <c r="B318" s="909" t="n"/>
      <c r="C318" s="781" t="inlineStr">
        <is>
          <t>Газпром ГНП холдинг</t>
        </is>
      </c>
      <c r="D318" s="15" t="n"/>
      <c r="E318" s="15" t="n"/>
      <c r="F318" s="16" t="n"/>
      <c r="G318" s="17">
        <f>G319</f>
        <v/>
      </c>
      <c r="H318" s="636" t="n"/>
      <c r="I318" s="17" t="n"/>
      <c r="J318" s="24" t="inlineStr">
        <is>
          <t>млн куб.м.</t>
        </is>
      </c>
    </row>
    <row r="319" ht="20.1" customHeight="1" s="904">
      <c r="B319" s="909" t="n"/>
      <c r="C319" s="27" t="inlineStr">
        <is>
          <t>Сосногорский ГПЗ</t>
        </is>
      </c>
      <c r="D319" s="15" t="n"/>
      <c r="E319" s="15" t="n"/>
      <c r="F319" s="16" t="n"/>
      <c r="G319" s="17">
        <f>G320</f>
        <v/>
      </c>
      <c r="H319" s="636" t="n"/>
      <c r="I319" s="17" t="n"/>
      <c r="J319" s="549" t="inlineStr">
        <is>
          <t>млн куб.м.</t>
        </is>
      </c>
    </row>
    <row r="320" ht="20.1" customHeight="1" s="904">
      <c r="B320" s="909" t="n"/>
      <c r="C320" s="737" t="inlineStr">
        <is>
          <t>ЛУКОЙЛ-Коми</t>
        </is>
      </c>
      <c r="D320" s="15" t="n"/>
      <c r="E320" s="15" t="n"/>
      <c r="F320" s="16" t="n"/>
      <c r="G320" s="17" t="inlineStr">
        <is>
          <t>3_100330574</t>
        </is>
      </c>
      <c r="H320" s="636" t="n"/>
      <c r="I320" s="17" t="n"/>
      <c r="J320" s="554" t="inlineStr">
        <is>
          <t>млн куб.м.</t>
        </is>
      </c>
    </row>
    <row r="321" ht="20.1" customHeight="1" s="904">
      <c r="B321" s="909" t="n"/>
      <c r="C321" s="781" t="inlineStr">
        <is>
          <t xml:space="preserve"> Газпром переработка Благовещенск</t>
        </is>
      </c>
      <c r="D321" s="15" t="n"/>
      <c r="E321" s="15" t="n"/>
      <c r="F321" s="16" t="n"/>
      <c r="G321" s="17">
        <f>G322</f>
        <v/>
      </c>
      <c r="H321" s="636" t="n"/>
      <c r="I321" s="17" t="n"/>
      <c r="J321" s="24" t="inlineStr">
        <is>
          <t>млн куб.м.</t>
        </is>
      </c>
    </row>
    <row r="322" ht="20.1" customHeight="1" s="904">
      <c r="B322" s="909" t="n"/>
      <c r="C322" s="27" t="inlineStr">
        <is>
          <t xml:space="preserve"> Амурский ГПЗ</t>
        </is>
      </c>
      <c r="D322" s="15" t="n"/>
      <c r="E322" s="15" t="n"/>
      <c r="F322" s="16" t="n"/>
      <c r="G322" s="17" t="inlineStr">
        <is>
          <t>14_100335312</t>
        </is>
      </c>
      <c r="H322" s="636" t="n"/>
      <c r="I322" s="17" t="n"/>
      <c r="J322" s="549" t="inlineStr">
        <is>
          <t>млн куб.м.</t>
        </is>
      </c>
    </row>
    <row r="323" ht="20.1" customHeight="1" s="904">
      <c r="B323" s="909" t="inlineStr">
        <is>
          <t>2.</t>
        </is>
      </c>
      <c r="C323" s="569" t="inlineStr">
        <is>
          <t>Транзит газа через Амурский ГПЗ</t>
        </is>
      </c>
      <c r="D323" s="15" t="n"/>
      <c r="E323" s="15" t="n"/>
      <c r="F323" s="16" t="n"/>
      <c r="G323" s="17" t="n"/>
      <c r="H323" s="636" t="n"/>
      <c r="I323" s="17" t="n"/>
      <c r="J323" s="546" t="n"/>
    </row>
    <row r="324" ht="20.1" customHeight="1" s="904">
      <c r="B324" s="909" t="n"/>
      <c r="C324" s="547" t="inlineStr">
        <is>
          <t>Газпром переработка Благовещенск</t>
        </is>
      </c>
      <c r="D324" s="15" t="n"/>
      <c r="E324" s="15" t="n"/>
      <c r="F324" s="16" t="n"/>
      <c r="G324" s="17">
        <f>G325</f>
        <v/>
      </c>
      <c r="H324" s="636" t="n"/>
      <c r="I324" s="17" t="n"/>
      <c r="J324" s="546" t="inlineStr">
        <is>
          <t>млн куб.м.</t>
        </is>
      </c>
    </row>
    <row r="325" ht="20.1" customHeight="1" s="904">
      <c r="B325" s="909" t="n"/>
      <c r="C325" s="548" t="inlineStr">
        <is>
          <t>Амурский ГПЗ</t>
        </is>
      </c>
      <c r="D325" s="15" t="n"/>
      <c r="E325" s="15" t="n"/>
      <c r="F325" s="16" t="n"/>
      <c r="G325" s="17">
        <f>G328+G331</f>
        <v/>
      </c>
      <c r="H325" s="636" t="n"/>
      <c r="I325" s="17" t="n"/>
      <c r="J325" s="549" t="inlineStr">
        <is>
          <t>млн куб.м.</t>
        </is>
      </c>
    </row>
    <row r="326" ht="20.1" customHeight="1" s="904">
      <c r="B326" s="20" t="inlineStr">
        <is>
          <t>2.1.</t>
        </is>
      </c>
      <c r="C326" s="552" t="inlineStr">
        <is>
          <t>Газпром</t>
        </is>
      </c>
      <c r="D326" s="15" t="n"/>
      <c r="E326" s="15" t="n"/>
      <c r="F326" s="16" t="n"/>
      <c r="G326" s="17" t="n"/>
      <c r="H326" s="636" t="n"/>
      <c r="I326" s="17" t="n"/>
      <c r="J326" s="546" t="n"/>
    </row>
    <row r="327" ht="20.1" customHeight="1" s="904">
      <c r="B327" s="909" t="n"/>
      <c r="C327" s="547" t="inlineStr">
        <is>
          <t>Газпром переработка Благовещенск</t>
        </is>
      </c>
      <c r="D327" s="15" t="n"/>
      <c r="E327" s="15" t="n"/>
      <c r="F327" s="16" t="n"/>
      <c r="G327" s="17">
        <f>G328</f>
        <v/>
      </c>
      <c r="H327" s="636" t="n"/>
      <c r="I327" s="17" t="n"/>
      <c r="J327" s="546" t="inlineStr">
        <is>
          <t>млн куб.м.</t>
        </is>
      </c>
    </row>
    <row r="328" ht="20.1" customHeight="1" s="904">
      <c r="B328" s="909" t="n"/>
      <c r="C328" s="548" t="inlineStr">
        <is>
          <t>Амурский ГПЗ</t>
        </is>
      </c>
      <c r="D328" s="15" t="n"/>
      <c r="E328" s="15" t="n"/>
      <c r="F328" s="16" t="n"/>
      <c r="G328" s="17" t="inlineStr">
        <is>
          <t>14_100335159</t>
        </is>
      </c>
      <c r="H328" s="636" t="n"/>
      <c r="I328" s="17" t="n"/>
      <c r="J328" s="549" t="inlineStr">
        <is>
          <t>млн куб.м.</t>
        </is>
      </c>
    </row>
    <row r="329" ht="20.1" customHeight="1" s="904">
      <c r="B329" s="20" t="inlineStr">
        <is>
          <t>2.2.</t>
        </is>
      </c>
      <c r="C329" s="552" t="inlineStr">
        <is>
          <t>Дочерние общества</t>
        </is>
      </c>
      <c r="D329" s="15" t="n"/>
      <c r="E329" s="15" t="n"/>
      <c r="F329" s="16" t="n"/>
      <c r="G329" s="17" t="n"/>
      <c r="H329" s="636" t="n"/>
      <c r="I329" s="17" t="n"/>
      <c r="J329" s="546" t="n"/>
    </row>
    <row r="330" ht="20.1" customHeight="1" s="904">
      <c r="B330" s="909" t="n"/>
      <c r="C330" s="547" t="inlineStr">
        <is>
          <t>Газпром переработка Благовещенск</t>
        </is>
      </c>
      <c r="D330" s="15" t="n"/>
      <c r="E330" s="15" t="n"/>
      <c r="F330" s="16" t="n"/>
      <c r="G330" s="17">
        <f>G331</f>
        <v/>
      </c>
      <c r="H330" s="636" t="n"/>
      <c r="I330" s="17" t="n"/>
      <c r="J330" s="546" t="inlineStr">
        <is>
          <t>млн куб.м.</t>
        </is>
      </c>
    </row>
    <row r="331" ht="20.1" customHeight="1" s="904">
      <c r="B331" s="909" t="n"/>
      <c r="C331" s="548" t="inlineStr">
        <is>
          <t>Амурский ГПЗ</t>
        </is>
      </c>
      <c r="D331" s="15" t="n"/>
      <c r="E331" s="15" t="n"/>
      <c r="F331" s="16" t="n"/>
      <c r="G331" s="17" t="inlineStr">
        <is>
          <t>14_100335425</t>
        </is>
      </c>
      <c r="H331" s="636" t="n"/>
      <c r="I331" s="17" t="n"/>
      <c r="J331" s="549" t="inlineStr">
        <is>
          <t>млн куб.м.</t>
        </is>
      </c>
    </row>
    <row r="332" hidden="1" outlineLevel="1" ht="20.1" customHeight="1" s="904">
      <c r="B332" s="909" t="inlineStr">
        <is>
          <t>3.</t>
        </is>
      </c>
      <c r="C332" s="37" t="inlineStr">
        <is>
          <t>Сжиженный природный газ  (СПГ) - всего</t>
        </is>
      </c>
      <c r="D332" s="15" t="n"/>
      <c r="E332" s="15" t="n"/>
      <c r="F332" s="16" t="n"/>
      <c r="G332" s="17" t="n"/>
      <c r="H332" s="636" t="n"/>
      <c r="I332" s="17" t="n"/>
      <c r="J332" s="38" t="inlineStr">
        <is>
          <t>тыс.т</t>
        </is>
      </c>
    </row>
    <row r="333" hidden="1" outlineLevel="1" ht="20.1" customHeight="1" s="904">
      <c r="B333" s="909" t="n"/>
      <c r="C333" s="25" t="inlineStr">
        <is>
          <t>Газпром СПГ Портовая</t>
        </is>
      </c>
      <c r="D333" s="15" t="n"/>
      <c r="E333" s="15" t="n"/>
      <c r="F333" s="16" t="n"/>
      <c r="G333" s="17" t="n"/>
      <c r="H333" s="636" t="n"/>
      <c r="I333" s="17" t="n"/>
      <c r="J333" s="38" t="inlineStr">
        <is>
          <t>тыс.т</t>
        </is>
      </c>
    </row>
    <row r="334" hidden="1" outlineLevel="1" ht="20.1" customHeight="1" s="904">
      <c r="B334" s="909" t="n"/>
      <c r="C334" s="29" t="inlineStr">
        <is>
          <t>КСПГ Портовая</t>
        </is>
      </c>
      <c r="D334" s="15" t="n"/>
      <c r="E334" s="15" t="n"/>
      <c r="F334" s="16" t="n"/>
      <c r="G334" s="17" t="n"/>
      <c r="H334" s="636" t="n"/>
      <c r="I334" s="17" t="n"/>
      <c r="J334" s="556" t="inlineStr">
        <is>
          <t>млн куб.м.</t>
        </is>
      </c>
    </row>
    <row r="335" hidden="1" outlineLevel="1" ht="20.1" customHeight="1" s="904">
      <c r="B335" s="909" t="n"/>
      <c r="C335" s="29" t="n"/>
      <c r="D335" s="15" t="n"/>
      <c r="E335" s="15" t="n"/>
      <c r="F335" s="16" t="n"/>
      <c r="G335" s="17" t="n"/>
      <c r="H335" s="636" t="n"/>
      <c r="I335" s="17" t="n"/>
      <c r="J335" s="556" t="inlineStr">
        <is>
          <t>тыс.т</t>
        </is>
      </c>
    </row>
    <row r="336" hidden="1" outlineLevel="1" ht="20.1" customHeight="1" s="904">
      <c r="B336" s="20" t="inlineStr">
        <is>
          <t>3.1.</t>
        </is>
      </c>
      <c r="C336" s="39" t="inlineStr">
        <is>
          <t>Газпром</t>
        </is>
      </c>
      <c r="D336" s="15" t="n"/>
      <c r="E336" s="15" t="n"/>
      <c r="F336" s="16" t="n"/>
      <c r="G336" s="17" t="n"/>
      <c r="H336" s="636" t="n"/>
      <c r="I336" s="17" t="n"/>
      <c r="J336" s="38" t="inlineStr">
        <is>
          <t>тыс.т</t>
        </is>
      </c>
    </row>
    <row r="337" hidden="1" outlineLevel="1" ht="20.1" customHeight="1" s="904">
      <c r="B337" s="909" t="n"/>
      <c r="C337" s="25" t="inlineStr">
        <is>
          <t>Газпром СПГ Портовая</t>
        </is>
      </c>
      <c r="D337" s="15" t="n"/>
      <c r="E337" s="15" t="n"/>
      <c r="F337" s="16" t="n"/>
      <c r="G337" s="17" t="n"/>
      <c r="H337" s="636" t="n"/>
      <c r="I337" s="17" t="n"/>
      <c r="J337" s="38" t="inlineStr">
        <is>
          <t>тыс.т</t>
        </is>
      </c>
    </row>
    <row r="338" hidden="1" outlineLevel="1" ht="20.1" customHeight="1" s="904">
      <c r="B338" s="909" t="n"/>
      <c r="C338" s="29" t="inlineStr">
        <is>
          <t>КСПГ Портовая</t>
        </is>
      </c>
      <c r="D338" s="15" t="n"/>
      <c r="E338" s="15" t="n"/>
      <c r="F338" s="16" t="n"/>
      <c r="G338" s="17" t="n"/>
      <c r="H338" s="636" t="n"/>
      <c r="I338" s="17" t="n"/>
      <c r="J338" s="556" t="inlineStr">
        <is>
          <t>млн куб.м.</t>
        </is>
      </c>
    </row>
    <row r="339" hidden="1" outlineLevel="1" ht="20.1" customHeight="1" s="904">
      <c r="B339" s="909" t="n"/>
      <c r="C339" s="29" t="n"/>
      <c r="D339" s="15" t="n"/>
      <c r="E339" s="15" t="n"/>
      <c r="F339" s="16" t="n"/>
      <c r="G339" s="17" t="n"/>
      <c r="H339" s="636" t="n"/>
      <c r="I339" s="17" t="n"/>
      <c r="J339" s="556" t="inlineStr">
        <is>
          <t>тыс.т</t>
        </is>
      </c>
    </row>
    <row r="340" hidden="1" outlineLevel="1" ht="20.1" customHeight="1" s="904">
      <c r="B340" s="20" t="inlineStr">
        <is>
          <t>3.2.</t>
        </is>
      </c>
      <c r="C340" s="39" t="inlineStr">
        <is>
          <t>Дочерние общества</t>
        </is>
      </c>
      <c r="D340" s="15" t="n"/>
      <c r="E340" s="15" t="n"/>
      <c r="F340" s="16" t="n"/>
      <c r="G340" s="17" t="n"/>
      <c r="H340" s="636" t="n"/>
      <c r="I340" s="17" t="n"/>
      <c r="J340" s="38" t="inlineStr">
        <is>
          <t>тыс.т</t>
        </is>
      </c>
    </row>
    <row r="341" hidden="1" outlineLevel="1" ht="20.1" customHeight="1" s="904">
      <c r="B341" s="909" t="n"/>
      <c r="C341" s="37" t="n"/>
      <c r="D341" s="15" t="n"/>
      <c r="E341" s="15" t="n"/>
      <c r="F341" s="16" t="n"/>
      <c r="G341" s="17" t="n"/>
      <c r="H341" s="636" t="n"/>
      <c r="I341" s="17" t="n"/>
      <c r="J341" s="38" t="n"/>
    </row>
    <row r="342" collapsed="1" ht="20.1" customHeight="1" s="904">
      <c r="B342" s="909" t="inlineStr">
        <is>
          <t>4.</t>
        </is>
      </c>
      <c r="C342" s="735" t="inlineStr">
        <is>
          <t>Сера техническая - всего</t>
        </is>
      </c>
      <c r="D342" s="15" t="n"/>
      <c r="E342" s="15" t="n"/>
      <c r="F342" s="16" t="n"/>
      <c r="G342" s="17" t="n"/>
      <c r="H342" s="636" t="n"/>
      <c r="I342" s="17" t="n"/>
      <c r="J342" s="24" t="n"/>
    </row>
    <row r="343" ht="20.1" customHeight="1" s="904">
      <c r="B343" s="909" t="n"/>
      <c r="C343" s="781" t="inlineStr">
        <is>
          <t>Газпром переработка</t>
        </is>
      </c>
      <c r="D343" s="15" t="n"/>
      <c r="E343" s="15" t="n"/>
      <c r="F343" s="16" t="n"/>
      <c r="G343" s="17">
        <f>G344+G345</f>
        <v/>
      </c>
      <c r="H343" s="636" t="n"/>
      <c r="I343" s="17" t="n"/>
      <c r="J343" s="24" t="inlineStr">
        <is>
          <t>тыс.т</t>
        </is>
      </c>
    </row>
    <row r="344" ht="20.1" customHeight="1" s="904">
      <c r="B344" s="909" t="n"/>
      <c r="C344" s="27" t="inlineStr">
        <is>
          <t>Оренбургский ГХК</t>
        </is>
      </c>
      <c r="D344" s="15" t="n"/>
      <c r="E344" s="15" t="n"/>
      <c r="F344" s="16" t="n"/>
      <c r="G344" s="17">
        <f>G348+G362</f>
        <v/>
      </c>
      <c r="H344" s="636" t="n"/>
      <c r="I344" s="17" t="n"/>
      <c r="J344" s="549" t="inlineStr">
        <is>
          <t>тыс.т</t>
        </is>
      </c>
    </row>
    <row r="345" ht="20.1" customHeight="1" s="904">
      <c r="B345" s="909" t="n"/>
      <c r="C345" s="27" t="inlineStr">
        <is>
          <t>Астраханский ГПЗ</t>
        </is>
      </c>
      <c r="D345" s="15" t="n"/>
      <c r="E345" s="15" t="n"/>
      <c r="F345" s="16" t="n"/>
      <c r="G345" s="17">
        <f>G351+G360</f>
        <v/>
      </c>
      <c r="H345" s="636" t="n"/>
      <c r="I345" s="17" t="n"/>
      <c r="J345" s="549" t="inlineStr">
        <is>
          <t>тыс.т</t>
        </is>
      </c>
    </row>
    <row r="346" ht="20.1" customHeight="1" s="904">
      <c r="B346" s="20" t="inlineStr">
        <is>
          <t>4.1.</t>
        </is>
      </c>
      <c r="C346" s="28" t="inlineStr">
        <is>
          <t>Газпром</t>
        </is>
      </c>
      <c r="D346" s="15" t="n"/>
      <c r="E346" s="15" t="n"/>
      <c r="F346" s="16" t="n"/>
      <c r="G346" s="17" t="n"/>
      <c r="H346" s="636" t="n"/>
      <c r="I346" s="17" t="n"/>
      <c r="J346" s="24" t="n"/>
    </row>
    <row r="347" ht="20.1" customHeight="1" s="904">
      <c r="B347" s="909" t="n"/>
      <c r="C347" s="781" t="inlineStr">
        <is>
          <t>Газпром переработка</t>
        </is>
      </c>
      <c r="D347" s="15" t="n"/>
      <c r="E347" s="15" t="n"/>
      <c r="F347" s="16" t="n"/>
      <c r="G347" s="17">
        <f>G348+G351</f>
        <v/>
      </c>
      <c r="H347" s="636" t="n"/>
      <c r="I347" s="17" t="n"/>
      <c r="J347" s="24" t="inlineStr">
        <is>
          <t>тыс.т</t>
        </is>
      </c>
    </row>
    <row r="348" ht="20.1" customHeight="1" s="904">
      <c r="B348" s="909" t="n"/>
      <c r="C348" s="27" t="inlineStr">
        <is>
          <t>Оренбургский ГХК</t>
        </is>
      </c>
      <c r="D348" s="15" t="n"/>
      <c r="E348" s="15" t="n"/>
      <c r="F348" s="16" t="n"/>
      <c r="G348" s="17">
        <f>G349+G350</f>
        <v/>
      </c>
      <c r="H348" s="636" t="n"/>
      <c r="I348" s="17" t="n"/>
      <c r="J348" s="549" t="inlineStr">
        <is>
          <t>тыс.т</t>
        </is>
      </c>
    </row>
    <row r="349" ht="20.1" customHeight="1" s="904">
      <c r="B349" s="909" t="n"/>
      <c r="C349" s="737" t="inlineStr">
        <is>
          <t>Газпром добыча Оренбург</t>
        </is>
      </c>
      <c r="D349" s="15" t="n"/>
      <c r="E349" s="15" t="n"/>
      <c r="F349" s="16" t="n"/>
      <c r="G349" s="17" t="inlineStr">
        <is>
          <t>2_100332189</t>
        </is>
      </c>
      <c r="H349" s="636" t="n"/>
      <c r="I349" s="17" t="n"/>
      <c r="J349" s="554" t="inlineStr">
        <is>
          <t>тыс.т</t>
        </is>
      </c>
    </row>
    <row r="350" ht="20.1" customHeight="1" s="904">
      <c r="B350" s="909" t="n"/>
      <c r="C350" s="737" t="inlineStr">
        <is>
          <t>Газпром нефть</t>
        </is>
      </c>
      <c r="D350" s="15" t="n"/>
      <c r="E350" s="15" t="n"/>
      <c r="F350" s="16" t="n"/>
      <c r="G350" s="17" t="inlineStr">
        <is>
          <t>2_100332190</t>
        </is>
      </c>
      <c r="H350" s="636" t="n"/>
      <c r="I350" s="17" t="n"/>
      <c r="J350" s="554" t="inlineStr">
        <is>
          <t>тыс.т</t>
        </is>
      </c>
    </row>
    <row r="351" ht="20.1" customHeight="1" s="904">
      <c r="B351" s="909" t="n"/>
      <c r="C351" s="27" t="inlineStr">
        <is>
          <t>Астраханский ГПЗ</t>
        </is>
      </c>
      <c r="D351" s="15" t="n"/>
      <c r="E351" s="15" t="n"/>
      <c r="F351" s="16" t="n"/>
      <c r="G351" s="17">
        <f>G352+G353+G354</f>
        <v/>
      </c>
      <c r="H351" s="636" t="n"/>
      <c r="I351" s="17" t="n"/>
      <c r="J351" s="549" t="inlineStr">
        <is>
          <t>тыс.т</t>
        </is>
      </c>
    </row>
    <row r="352" ht="20.1" customHeight="1" s="904">
      <c r="B352" s="909" t="n"/>
      <c r="C352" s="737" t="inlineStr">
        <is>
          <t>жидкая</t>
        </is>
      </c>
      <c r="D352" s="15" t="n"/>
      <c r="E352" s="15" t="n"/>
      <c r="F352" s="16" t="n"/>
      <c r="G352" s="17" t="inlineStr">
        <is>
          <t>1_100330068</t>
        </is>
      </c>
      <c r="H352" s="636" t="n"/>
      <c r="I352" s="17" t="n"/>
      <c r="J352" s="554" t="inlineStr">
        <is>
          <t>тыс.т</t>
        </is>
      </c>
    </row>
    <row r="353" ht="20.1" customHeight="1" s="904">
      <c r="B353" s="909" t="n"/>
      <c r="C353" s="737" t="inlineStr">
        <is>
          <t>комовая</t>
        </is>
      </c>
      <c r="D353" s="15" t="n"/>
      <c r="E353" s="15" t="n"/>
      <c r="F353" s="16" t="n"/>
      <c r="G353" s="17" t="inlineStr">
        <is>
          <t>1_100330069</t>
        </is>
      </c>
      <c r="H353" s="636" t="n"/>
      <c r="I353" s="17" t="n"/>
      <c r="J353" s="554" t="inlineStr">
        <is>
          <t>тыс.т</t>
        </is>
      </c>
    </row>
    <row r="354" ht="20.1" customHeight="1" s="904">
      <c r="B354" s="909" t="n"/>
      <c r="C354" s="737" t="inlineStr">
        <is>
          <t>гранулированная</t>
        </is>
      </c>
      <c r="D354" s="15" t="n"/>
      <c r="E354" s="15" t="n"/>
      <c r="F354" s="16" t="n"/>
      <c r="G354" s="17">
        <f>G355+G356+G357</f>
        <v/>
      </c>
      <c r="H354" s="636" t="n"/>
      <c r="I354" s="17" t="n"/>
      <c r="J354" s="554" t="inlineStr">
        <is>
          <t>тыс.т</t>
        </is>
      </c>
    </row>
    <row r="355" ht="20.1" customHeight="1" s="904">
      <c r="B355" s="909" t="n"/>
      <c r="C355" s="737" t="inlineStr">
        <is>
          <t>в т.ч. марка М</t>
        </is>
      </c>
      <c r="D355" s="15" t="n"/>
      <c r="E355" s="15" t="n"/>
      <c r="F355" s="16" t="n"/>
      <c r="G355" s="17" t="inlineStr">
        <is>
          <t>1_100330071</t>
        </is>
      </c>
      <c r="H355" s="636" t="n"/>
      <c r="I355" s="17" t="n"/>
      <c r="J355" s="554" t="inlineStr">
        <is>
          <t>тыс.т</t>
        </is>
      </c>
    </row>
    <row r="356" ht="20.1" customHeight="1" s="904">
      <c r="B356" s="909" t="n"/>
      <c r="C356" s="737" t="inlineStr">
        <is>
          <t>марка С</t>
        </is>
      </c>
      <c r="D356" s="15" t="n"/>
      <c r="E356" s="15" t="n"/>
      <c r="F356" s="16" t="n"/>
      <c r="G356" s="17" t="inlineStr">
        <is>
          <t>1_100330070</t>
        </is>
      </c>
      <c r="H356" s="636" t="n"/>
      <c r="I356" s="17" t="n"/>
      <c r="J356" s="554" t="inlineStr">
        <is>
          <t>тыс.т</t>
        </is>
      </c>
    </row>
    <row r="357" ht="20.1" customHeight="1" s="904">
      <c r="B357" s="909" t="n"/>
      <c r="C357" s="737" t="inlineStr">
        <is>
          <t>марка СМ</t>
        </is>
      </c>
      <c r="D357" s="15" t="n"/>
      <c r="E357" s="15" t="n"/>
      <c r="F357" s="16" t="n"/>
      <c r="G357" s="17" t="inlineStr">
        <is>
          <t>1_100337112</t>
        </is>
      </c>
      <c r="H357" s="636" t="n"/>
      <c r="I357" s="17" t="n"/>
      <c r="J357" s="554" t="inlineStr">
        <is>
          <t>тыс.т</t>
        </is>
      </c>
    </row>
    <row r="358" ht="20.1" customHeight="1" s="904">
      <c r="B358" s="20" t="inlineStr">
        <is>
          <t>4.2.</t>
        </is>
      </c>
      <c r="C358" s="28" t="inlineStr">
        <is>
          <t>Дочерние общества</t>
        </is>
      </c>
      <c r="D358" s="15" t="n"/>
      <c r="E358" s="15" t="n"/>
      <c r="F358" s="16" t="n"/>
      <c r="G358" s="17" t="n"/>
      <c r="H358" s="636" t="n"/>
      <c r="I358" s="17" t="n"/>
      <c r="J358" s="24" t="n"/>
    </row>
    <row r="359" ht="20.1" customHeight="1" s="904">
      <c r="B359" s="909" t="n"/>
      <c r="C359" s="781" t="inlineStr">
        <is>
          <t>Газпром переработка</t>
        </is>
      </c>
      <c r="D359" s="15" t="n"/>
      <c r="E359" s="15" t="n"/>
      <c r="F359" s="16" t="n"/>
      <c r="G359" s="17">
        <f>G360+G362</f>
        <v/>
      </c>
      <c r="H359" s="636" t="n"/>
      <c r="I359" s="17" t="n"/>
      <c r="J359" s="24" t="inlineStr">
        <is>
          <t>тыс.т</t>
        </is>
      </c>
    </row>
    <row r="360" ht="20.1" customHeight="1" s="904">
      <c r="B360" s="909" t="n"/>
      <c r="C360" s="27" t="inlineStr">
        <is>
          <t>Астраханский ГПЗ</t>
        </is>
      </c>
      <c r="D360" s="15" t="n"/>
      <c r="E360" s="15" t="n"/>
      <c r="F360" s="16" t="n"/>
      <c r="G360" s="17">
        <f>G361</f>
        <v/>
      </c>
      <c r="H360" s="636" t="n"/>
      <c r="I360" s="17" t="n"/>
      <c r="J360" s="549" t="inlineStr">
        <is>
          <t>тыс.т</t>
        </is>
      </c>
    </row>
    <row r="361" ht="20.1" customHeight="1" s="904">
      <c r="B361" s="909" t="n"/>
      <c r="C361" s="737" t="inlineStr">
        <is>
          <t>в т.ч. на стн ГПП</t>
        </is>
      </c>
      <c r="D361" s="15" t="n"/>
      <c r="E361" s="15" t="n"/>
      <c r="F361" s="16" t="n"/>
      <c r="G361" s="17" t="n"/>
      <c r="H361" s="636" t="n"/>
      <c r="I361" s="17" t="n"/>
      <c r="J361" s="554" t="inlineStr">
        <is>
          <t>тыс.т</t>
        </is>
      </c>
    </row>
    <row r="362" ht="20.1" customHeight="1" s="904">
      <c r="B362" s="909" t="n"/>
      <c r="C362" s="27" t="inlineStr">
        <is>
          <t xml:space="preserve"> Оренбургский ГХК</t>
        </is>
      </c>
      <c r="D362" s="15" t="n"/>
      <c r="E362" s="15" t="n"/>
      <c r="F362" s="16" t="n"/>
      <c r="G362" s="17">
        <f>G364+G365+G366</f>
        <v/>
      </c>
      <c r="H362" s="636" t="n"/>
      <c r="I362" s="17" t="n"/>
      <c r="J362" s="549" t="inlineStr">
        <is>
          <t>тыс.т</t>
        </is>
      </c>
    </row>
    <row r="363" ht="20.1" customHeight="1" s="904">
      <c r="B363" s="909" t="n"/>
      <c r="C363" s="737" t="inlineStr">
        <is>
          <t>из нее гранулированная</t>
        </is>
      </c>
      <c r="D363" s="15" t="n"/>
      <c r="E363" s="15" t="n"/>
      <c r="F363" s="16" t="n"/>
      <c r="G363" s="17" t="inlineStr">
        <is>
          <t>2_100332193</t>
        </is>
      </c>
      <c r="H363" s="636" t="n"/>
      <c r="I363" s="17" t="n"/>
      <c r="J363" s="554" t="inlineStr">
        <is>
          <t>тыс.т</t>
        </is>
      </c>
    </row>
    <row r="364" ht="20.1" customHeight="1" s="904">
      <c r="B364" s="909" t="n"/>
      <c r="C364" s="737" t="inlineStr">
        <is>
          <t>в т. ч. Газпром добыча Оренбург</t>
        </is>
      </c>
      <c r="D364" s="15" t="n"/>
      <c r="E364" s="15" t="n"/>
      <c r="F364" s="16" t="n"/>
      <c r="G364" s="17" t="inlineStr">
        <is>
          <t>2_100332192</t>
        </is>
      </c>
      <c r="H364" s="636" t="n"/>
      <c r="I364" s="17" t="n"/>
      <c r="J364" s="554" t="inlineStr">
        <is>
          <t>тыс.т</t>
        </is>
      </c>
    </row>
    <row r="365" ht="20.1" customHeight="1" s="904">
      <c r="B365" s="909" t="n"/>
      <c r="C365" s="737" t="inlineStr">
        <is>
          <t>Газпром нефть</t>
        </is>
      </c>
      <c r="D365" s="15" t="n"/>
      <c r="E365" s="15" t="n"/>
      <c r="F365" s="16" t="n"/>
      <c r="G365" s="17" t="inlineStr">
        <is>
          <t>2_100332194</t>
        </is>
      </c>
      <c r="H365" s="636" t="n"/>
      <c r="I365" s="17" t="n"/>
      <c r="J365" s="554" t="inlineStr">
        <is>
          <t>тыс.т</t>
        </is>
      </c>
    </row>
    <row r="366" ht="20.1" customHeight="1" s="904">
      <c r="B366" s="909" t="n"/>
      <c r="C366" s="553" t="inlineStr">
        <is>
          <t>прочие поставщики (ГПНЗ, УНГП, и.т.д.)</t>
        </is>
      </c>
      <c r="D366" s="15" t="n"/>
      <c r="E366" s="15" t="n"/>
      <c r="F366" s="16" t="n"/>
      <c r="G366" s="17" t="inlineStr">
        <is>
          <t>2_100332195</t>
        </is>
      </c>
      <c r="H366" s="636" t="n"/>
      <c r="I366" s="17" t="n"/>
      <c r="J366" s="554" t="inlineStr">
        <is>
          <t>тыс.т</t>
        </is>
      </c>
    </row>
    <row r="367" ht="20.1" customHeight="1" s="904">
      <c r="B367" s="909" t="inlineStr">
        <is>
          <t>5.</t>
        </is>
      </c>
      <c r="C367" s="735" t="inlineStr">
        <is>
          <t>Широкая фракция легких углеводоров товарная</t>
        </is>
      </c>
      <c r="D367" s="15" t="n"/>
      <c r="E367" s="15" t="n"/>
      <c r="F367" s="16" t="n"/>
      <c r="G367" s="17" t="n"/>
      <c r="H367" s="636" t="n"/>
      <c r="I367" s="17" t="n"/>
      <c r="J367" s="24" t="n"/>
    </row>
    <row r="368" ht="20.1" customHeight="1" s="904">
      <c r="B368" s="909" t="n"/>
      <c r="C368" s="781" t="inlineStr">
        <is>
          <t xml:space="preserve">   Газпром переработка</t>
        </is>
      </c>
      <c r="D368" s="15" t="n"/>
      <c r="E368" s="15" t="n"/>
      <c r="F368" s="16" t="n"/>
      <c r="G368" s="17">
        <f>G369+G371+G372+G370</f>
        <v/>
      </c>
      <c r="H368" s="636" t="n"/>
      <c r="I368" s="17" t="n"/>
      <c r="J368" s="24" t="inlineStr">
        <is>
          <t>тыс.т</t>
        </is>
      </c>
    </row>
    <row r="369" ht="20.1" customHeight="1" s="904">
      <c r="B369" s="909" t="n"/>
      <c r="C369" s="27" t="inlineStr">
        <is>
          <t>Астраханский ГПЗ</t>
        </is>
      </c>
      <c r="D369" s="15" t="n"/>
      <c r="E369" s="15" t="n"/>
      <c r="F369" s="16" t="n"/>
      <c r="G369" s="17">
        <f>G375</f>
        <v/>
      </c>
      <c r="H369" s="636" t="n"/>
      <c r="I369" s="17" t="n"/>
      <c r="J369" s="549" t="inlineStr">
        <is>
          <t>тыс.т</t>
        </is>
      </c>
    </row>
    <row r="370" ht="20.1" customHeight="1" s="904">
      <c r="B370" s="909" t="n"/>
      <c r="C370" s="27" t="inlineStr">
        <is>
          <t>Оренбургский ГХК</t>
        </is>
      </c>
      <c r="D370" s="15" t="n"/>
      <c r="E370" s="15" t="n"/>
      <c r="F370" s="16" t="n"/>
      <c r="G370" s="17">
        <f>G377</f>
        <v/>
      </c>
      <c r="H370" s="636" t="n"/>
      <c r="I370" s="17" t="n"/>
      <c r="J370" s="549" t="inlineStr">
        <is>
          <t>тыс.т</t>
        </is>
      </c>
    </row>
    <row r="371" ht="20.1" customHeight="1" s="904">
      <c r="B371" s="909" t="n"/>
      <c r="C371" s="27" t="inlineStr">
        <is>
          <t xml:space="preserve">                Уренгойский ЗПКТ</t>
        </is>
      </c>
      <c r="D371" s="15" t="n"/>
      <c r="E371" s="15" t="n"/>
      <c r="F371" s="16" t="n"/>
      <c r="G371" s="17">
        <f>G381</f>
        <v/>
      </c>
      <c r="H371" s="636" t="n"/>
      <c r="I371" s="17" t="n"/>
      <c r="J371" s="549" t="inlineStr">
        <is>
          <t>тыс.т</t>
        </is>
      </c>
    </row>
    <row r="372" ht="20.1" customHeight="1" s="904">
      <c r="B372" s="909" t="n"/>
      <c r="C372" s="27" t="inlineStr">
        <is>
          <t xml:space="preserve">    Сургутский ЗСК</t>
        </is>
      </c>
      <c r="D372" s="15" t="n"/>
      <c r="E372" s="15" t="n"/>
      <c r="F372" s="16" t="n"/>
      <c r="G372" s="17">
        <f>G382</f>
        <v/>
      </c>
      <c r="H372" s="636" t="n"/>
      <c r="I372" s="17" t="n"/>
      <c r="J372" s="549" t="inlineStr">
        <is>
          <t>тыс.т</t>
        </is>
      </c>
    </row>
    <row r="373" ht="20.1" customHeight="1" s="904">
      <c r="B373" s="20" t="inlineStr">
        <is>
          <t>5.1.</t>
        </is>
      </c>
      <c r="C373" s="28" t="inlineStr">
        <is>
          <t>Газпром</t>
        </is>
      </c>
      <c r="D373" s="15" t="n"/>
      <c r="E373" s="15" t="n"/>
      <c r="F373" s="16" t="n"/>
      <c r="G373" s="17" t="n"/>
      <c r="H373" s="636" t="n"/>
      <c r="I373" s="17" t="n"/>
      <c r="J373" s="24" t="n"/>
    </row>
    <row r="374" ht="20.1" customHeight="1" s="904">
      <c r="B374" s="909" t="n"/>
      <c r="C374" s="781" t="inlineStr">
        <is>
          <t xml:space="preserve">   Газпром переработка</t>
        </is>
      </c>
      <c r="D374" s="15" t="n"/>
      <c r="E374" s="15" t="n"/>
      <c r="F374" s="16" t="n"/>
      <c r="G374" s="17">
        <f>G375+G381+G382+G377</f>
        <v/>
      </c>
      <c r="H374" s="636" t="n"/>
      <c r="I374" s="17" t="n"/>
      <c r="J374" s="24" t="inlineStr">
        <is>
          <t>тыс.т</t>
        </is>
      </c>
    </row>
    <row r="375" ht="20.1" customHeight="1" s="904">
      <c r="B375" s="909" t="n"/>
      <c r="C375" s="27" t="inlineStr">
        <is>
          <t>Астраханский ГПЗ</t>
        </is>
      </c>
      <c r="D375" s="15" t="n"/>
      <c r="E375" s="15" t="n"/>
      <c r="F375" s="16" t="n"/>
      <c r="G375" s="17" t="inlineStr">
        <is>
          <t>1_100332005</t>
        </is>
      </c>
      <c r="H375" s="636" t="n"/>
      <c r="I375" s="17" t="n"/>
      <c r="J375" s="549" t="inlineStr">
        <is>
          <t>тыс.т</t>
        </is>
      </c>
    </row>
    <row r="376" ht="20.1" customHeight="1" s="904">
      <c r="B376" s="909" t="n"/>
      <c r="C376" s="737" t="inlineStr">
        <is>
          <t>с уч. содержания комп. стабильного конденсата</t>
        </is>
      </c>
      <c r="D376" s="15" t="n"/>
      <c r="E376" s="15" t="n"/>
      <c r="F376" s="16" t="n"/>
      <c r="G376" s="17">
        <f>G253</f>
        <v/>
      </c>
      <c r="H376" s="636" t="n"/>
      <c r="I376" s="17" t="n"/>
      <c r="J376" s="554" t="inlineStr">
        <is>
          <t>тыс.т</t>
        </is>
      </c>
    </row>
    <row r="377" ht="20.1" customHeight="1" s="904">
      <c r="B377" s="909" t="n"/>
      <c r="C377" s="27" t="inlineStr">
        <is>
          <t xml:space="preserve"> Оренбургский ГХК</t>
        </is>
      </c>
      <c r="D377" s="15" t="n"/>
      <c r="E377" s="15" t="n"/>
      <c r="F377" s="16" t="n"/>
      <c r="G377" s="17">
        <f>G378+G379+G380</f>
        <v/>
      </c>
      <c r="H377" s="636" t="n"/>
      <c r="I377" s="17" t="n"/>
      <c r="J377" s="549" t="inlineStr">
        <is>
          <t>тыс.т</t>
        </is>
      </c>
    </row>
    <row r="378" ht="20.1" customHeight="1" s="904">
      <c r="B378" s="909" t="n"/>
      <c r="C378" s="737" t="inlineStr">
        <is>
          <t>Газпром добыча Оренбург</t>
        </is>
      </c>
      <c r="D378" s="15" t="n"/>
      <c r="E378" s="15" t="n"/>
      <c r="F378" s="16" t="n"/>
      <c r="G378" s="17">
        <f>G246-G255</f>
        <v/>
      </c>
      <c r="H378" s="636" t="n"/>
      <c r="I378" s="17" t="n"/>
      <c r="J378" s="554" t="inlineStr">
        <is>
          <t>тыс.т</t>
        </is>
      </c>
    </row>
    <row r="379" ht="20.1" customHeight="1" s="904">
      <c r="B379" s="909" t="n"/>
      <c r="C379" s="40" t="inlineStr">
        <is>
          <t>Газпром нефть</t>
        </is>
      </c>
      <c r="D379" s="15" t="n"/>
      <c r="E379" s="15" t="n"/>
      <c r="F379" s="16" t="n"/>
      <c r="G379" s="17">
        <f>G247-G256</f>
        <v/>
      </c>
      <c r="H379" s="636" t="n"/>
      <c r="I379" s="17" t="n"/>
      <c r="J379" s="554" t="inlineStr">
        <is>
          <t>тыс.т</t>
        </is>
      </c>
    </row>
    <row r="380" ht="20.1" customHeight="1" s="904">
      <c r="B380" s="909" t="n"/>
      <c r="C380" s="553" t="inlineStr">
        <is>
          <t>прочие поставщики (ГПНЗ, УНГП, и.т.д.)</t>
        </is>
      </c>
      <c r="D380" s="15" t="n"/>
      <c r="E380" s="15" t="n"/>
      <c r="F380" s="16" t="n"/>
      <c r="G380" s="17" t="inlineStr">
        <is>
          <t>2_100335143</t>
        </is>
      </c>
      <c r="H380" s="636" t="n"/>
      <c r="I380" s="17" t="n"/>
      <c r="J380" s="554" t="inlineStr">
        <is>
          <t>тыс.т</t>
        </is>
      </c>
    </row>
    <row r="381" ht="20.1" customHeight="1" s="904">
      <c r="B381" s="909" t="n"/>
      <c r="C381" s="27" t="inlineStr">
        <is>
          <t>Уренгойский ЗПКТ</t>
        </is>
      </c>
      <c r="D381" s="15" t="n"/>
      <c r="E381" s="15" t="n"/>
      <c r="F381" s="16" t="n"/>
      <c r="G381" s="17" t="inlineStr">
        <is>
          <t>4_100331888</t>
        </is>
      </c>
      <c r="H381" s="636" t="n"/>
      <c r="I381" s="17" t="n"/>
      <c r="J381" s="549" t="inlineStr">
        <is>
          <t>тыс.т</t>
        </is>
      </c>
    </row>
    <row r="382" ht="20.1" customHeight="1" s="904">
      <c r="B382" s="909" t="n"/>
      <c r="C382" s="27" t="inlineStr">
        <is>
          <t xml:space="preserve">    Сургутский ЗСК</t>
        </is>
      </c>
      <c r="D382" s="15" t="n"/>
      <c r="E382" s="15" t="n"/>
      <c r="F382" s="16" t="n"/>
      <c r="G382" s="17" t="inlineStr">
        <is>
          <t>4_100331889</t>
        </is>
      </c>
      <c r="H382" s="636" t="n"/>
      <c r="I382" s="17" t="n"/>
      <c r="J382" s="549" t="inlineStr">
        <is>
          <t>тыс.т</t>
        </is>
      </c>
    </row>
    <row r="383" ht="20.1" customHeight="1" s="904">
      <c r="B383" s="20" t="inlineStr">
        <is>
          <t>5.2.</t>
        </is>
      </c>
      <c r="C383" s="28" t="inlineStr">
        <is>
          <t>Дочерние общества</t>
        </is>
      </c>
      <c r="D383" s="15" t="n"/>
      <c r="E383" s="15" t="n"/>
      <c r="F383" s="16" t="n"/>
      <c r="G383" s="17">
        <f>0</f>
        <v/>
      </c>
      <c r="H383" s="636" t="n"/>
      <c r="I383" s="17" t="n"/>
      <c r="J383" s="24" t="inlineStr">
        <is>
          <t>тыс.т</t>
        </is>
      </c>
    </row>
    <row r="384" ht="20.1" customHeight="1" s="904">
      <c r="B384" s="909" t="inlineStr">
        <is>
          <t>6.</t>
        </is>
      </c>
      <c r="C384" s="735" t="inlineStr">
        <is>
          <t xml:space="preserve">Газы углеводородные сжиженные </t>
        </is>
      </c>
      <c r="D384" s="15" t="n"/>
      <c r="E384" s="15" t="n"/>
      <c r="F384" s="16" t="n"/>
      <c r="G384" s="17">
        <f>G385+G393+G395+G396</f>
        <v/>
      </c>
      <c r="H384" s="636" t="n"/>
      <c r="I384" s="17" t="n"/>
      <c r="J384" s="24" t="inlineStr">
        <is>
          <t>тыс.т</t>
        </is>
      </c>
    </row>
    <row r="385" ht="20.1" customHeight="1" s="904">
      <c r="B385" s="909" t="n"/>
      <c r="C385" s="781" t="inlineStr">
        <is>
          <t xml:space="preserve">   Газпром переработка</t>
        </is>
      </c>
      <c r="D385" s="15" t="n"/>
      <c r="E385" s="15" t="n"/>
      <c r="F385" s="16" t="n"/>
      <c r="G385" s="17">
        <f>G387+G390+G391+G392+G386</f>
        <v/>
      </c>
      <c r="H385" s="636" t="n"/>
      <c r="I385" s="17" t="n"/>
      <c r="J385" s="24" t="inlineStr">
        <is>
          <t>тыс.т</t>
        </is>
      </c>
    </row>
    <row r="386" ht="20.1" customHeight="1" s="904">
      <c r="B386" s="909" t="n"/>
      <c r="C386" s="27" t="inlineStr">
        <is>
          <t xml:space="preserve">Астраханский ГПЗ </t>
        </is>
      </c>
      <c r="D386" s="15" t="n"/>
      <c r="E386" s="15" t="n"/>
      <c r="F386" s="16" t="n"/>
      <c r="G386" s="17">
        <f>G399</f>
        <v/>
      </c>
      <c r="H386" s="636" t="n"/>
      <c r="I386" s="17" t="n"/>
      <c r="J386" s="549" t="inlineStr">
        <is>
          <t>тыс.т</t>
        </is>
      </c>
    </row>
    <row r="387" ht="20.1" customHeight="1" s="904">
      <c r="B387" s="909" t="n"/>
      <c r="C387" s="27" t="inlineStr">
        <is>
          <t>Оренбургский ГХК</t>
        </is>
      </c>
      <c r="D387" s="15" t="n"/>
      <c r="E387" s="15" t="n"/>
      <c r="F387" s="16" t="n"/>
      <c r="G387" s="17">
        <f>G400+G426+G434</f>
        <v/>
      </c>
      <c r="H387" s="636" t="n"/>
      <c r="I387" s="17" t="n"/>
      <c r="J387" s="549" t="inlineStr">
        <is>
          <t>тыс.т</t>
        </is>
      </c>
    </row>
    <row r="388" ht="20.1" customHeight="1" s="904">
      <c r="B388" s="909" t="n"/>
      <c r="C388" s="738" t="inlineStr">
        <is>
          <t>ГПЗ</t>
        </is>
      </c>
      <c r="D388" s="15" t="n"/>
      <c r="E388" s="15" t="n"/>
      <c r="F388" s="16" t="n"/>
      <c r="G388" s="17" t="inlineStr">
        <is>
          <t>2_100332217+2_100332219+2_100335147+2_100332220+2_100332226</t>
        </is>
      </c>
      <c r="H388" s="636" t="n"/>
      <c r="I388" s="17" t="n"/>
      <c r="J388" s="554" t="inlineStr">
        <is>
          <t>тыс.т</t>
        </is>
      </c>
    </row>
    <row r="389" ht="20.1" customHeight="1" s="904">
      <c r="B389" s="909" t="n"/>
      <c r="C389" s="738" t="inlineStr">
        <is>
          <t>ГЗ</t>
        </is>
      </c>
      <c r="D389" s="15" t="n"/>
      <c r="E389" s="15" t="n"/>
      <c r="F389" s="16" t="n"/>
      <c r="G389" s="17" t="inlineStr">
        <is>
          <t>2_100330955+2_100330956+2_100335148</t>
        </is>
      </c>
      <c r="H389" s="636" t="n"/>
      <c r="I389" s="17" t="n"/>
      <c r="J389" s="554" t="inlineStr">
        <is>
          <t>тыс.т</t>
        </is>
      </c>
    </row>
    <row r="390" ht="20.1" customHeight="1" s="904">
      <c r="B390" s="909" t="n"/>
      <c r="C390" s="27" t="inlineStr">
        <is>
          <t xml:space="preserve">   Сосногорский ГПЗ</t>
        </is>
      </c>
      <c r="D390" s="15" t="n"/>
      <c r="E390" s="15" t="n"/>
      <c r="F390" s="16" t="n"/>
      <c r="G390" s="17">
        <f>G409+G437</f>
        <v/>
      </c>
      <c r="H390" s="636" t="n"/>
      <c r="I390" s="17" t="n"/>
      <c r="J390" s="549" t="inlineStr">
        <is>
          <t>тыс.т</t>
        </is>
      </c>
    </row>
    <row r="391" ht="20.1" customHeight="1" s="904">
      <c r="B391" s="909" t="n"/>
      <c r="C391" s="27" t="inlineStr">
        <is>
          <t>Уренгойский ЗПКТ</t>
        </is>
      </c>
      <c r="D391" s="15" t="n"/>
      <c r="E391" s="15" t="n"/>
      <c r="F391" s="16" t="n"/>
      <c r="G391" s="17">
        <f>G410</f>
        <v/>
      </c>
      <c r="H391" s="636" t="n"/>
      <c r="I391" s="17" t="n"/>
      <c r="J391" s="549" t="inlineStr">
        <is>
          <t>тыс.т</t>
        </is>
      </c>
    </row>
    <row r="392" ht="20.1" customHeight="1" s="904">
      <c r="B392" s="909" t="n"/>
      <c r="C392" s="27" t="inlineStr">
        <is>
          <t xml:space="preserve">                Сургутский ЗСК</t>
        </is>
      </c>
      <c r="D392" s="15" t="n"/>
      <c r="E392" s="15" t="n"/>
      <c r="F392" s="16" t="n"/>
      <c r="G392" s="17">
        <f>G413</f>
        <v/>
      </c>
      <c r="H392" s="636" t="n"/>
      <c r="I392" s="17" t="n"/>
      <c r="J392" s="549" t="inlineStr">
        <is>
          <t>тыс.т</t>
        </is>
      </c>
    </row>
    <row r="393" ht="20.1" customHeight="1" s="904">
      <c r="B393" s="909" t="n"/>
      <c r="C393" s="781" t="inlineStr">
        <is>
          <t xml:space="preserve"> Газпром переработка Благовещенск</t>
        </is>
      </c>
      <c r="D393" s="15" t="n"/>
      <c r="E393" s="15" t="n"/>
      <c r="F393" s="16" t="n"/>
      <c r="G393" s="17">
        <f>G394</f>
        <v/>
      </c>
      <c r="H393" s="636" t="n"/>
      <c r="I393" s="17" t="n"/>
      <c r="J393" s="24" t="inlineStr">
        <is>
          <t>тыс.т</t>
        </is>
      </c>
    </row>
    <row r="394" ht="20.1" customHeight="1" s="904">
      <c r="B394" s="909" t="n"/>
      <c r="C394" s="27" t="inlineStr">
        <is>
          <t xml:space="preserve"> Амурский ГПЗ</t>
        </is>
      </c>
      <c r="D394" s="15" t="n"/>
      <c r="E394" s="15" t="n"/>
      <c r="F394" s="16" t="n"/>
      <c r="G394" s="17">
        <f>G418</f>
        <v/>
      </c>
      <c r="H394" s="636" t="n"/>
      <c r="I394" s="17" t="n"/>
      <c r="J394" s="549" t="inlineStr">
        <is>
          <t>тыс.т</t>
        </is>
      </c>
    </row>
    <row r="395" ht="20.1" customHeight="1" s="904">
      <c r="B395" s="909" t="n"/>
      <c r="C395" s="781" t="inlineStr">
        <is>
          <t xml:space="preserve">   Газпром добыча Ямбург</t>
        </is>
      </c>
      <c r="D395" s="15" t="n"/>
      <c r="E395" s="15" t="n"/>
      <c r="F395" s="16" t="n"/>
      <c r="G395" s="17">
        <f>G432</f>
        <v/>
      </c>
      <c r="H395" s="636" t="n"/>
      <c r="I395" s="17" t="n"/>
      <c r="J395" s="24" t="inlineStr">
        <is>
          <t>тыс.т</t>
        </is>
      </c>
    </row>
    <row r="396" ht="20.1" customHeight="1" s="904">
      <c r="B396" s="909" t="n"/>
      <c r="C396" s="781" t="inlineStr">
        <is>
          <t>Газпром добыча Иркутск (ПБТ/ПБА)</t>
        </is>
      </c>
      <c r="D396" s="15" t="n"/>
      <c r="E396" s="15" t="n"/>
      <c r="F396" s="16" t="n"/>
      <c r="G396" s="17">
        <f>G422</f>
        <v/>
      </c>
      <c r="H396" s="636" t="n"/>
      <c r="I396" s="17" t="n"/>
      <c r="J396" s="24" t="inlineStr">
        <is>
          <t>тыс.т</t>
        </is>
      </c>
    </row>
    <row r="397" ht="20.1" customHeight="1" s="904">
      <c r="B397" s="20" t="inlineStr">
        <is>
          <t>6.1.</t>
        </is>
      </c>
      <c r="C397" s="28" t="inlineStr">
        <is>
          <t>Газпром</t>
        </is>
      </c>
      <c r="D397" s="15" t="n"/>
      <c r="E397" s="15" t="n"/>
      <c r="F397" s="16" t="n"/>
      <c r="G397" s="17">
        <f>G398+G422+G417</f>
        <v/>
      </c>
      <c r="H397" s="636" t="n"/>
      <c r="I397" s="17" t="n"/>
      <c r="J397" s="24" t="inlineStr">
        <is>
          <t>тыс.т</t>
        </is>
      </c>
    </row>
    <row r="398" ht="20.1" customHeight="1" s="904">
      <c r="B398" s="909" t="n"/>
      <c r="C398" s="781" t="inlineStr">
        <is>
          <t xml:space="preserve">   Газпром переработка</t>
        </is>
      </c>
      <c r="D398" s="15" t="n"/>
      <c r="E398" s="15" t="n"/>
      <c r="F398" s="16" t="n"/>
      <c r="G398" s="17">
        <f>G399+G400+G409+G410+G413</f>
        <v/>
      </c>
      <c r="H398" s="636" t="n"/>
      <c r="I398" s="17" t="n"/>
      <c r="J398" s="24" t="inlineStr">
        <is>
          <t>тыс.т</t>
        </is>
      </c>
    </row>
    <row r="399" ht="20.1" customHeight="1" s="904">
      <c r="B399" s="909" t="n"/>
      <c r="C399" s="27" t="inlineStr">
        <is>
          <t>Астраханский ГПЗ (ПБТ/ПБА)</t>
        </is>
      </c>
      <c r="D399" s="15" t="n"/>
      <c r="E399" s="15" t="n"/>
      <c r="F399" s="16" t="n"/>
      <c r="G399" s="17" t="inlineStr">
        <is>
          <t>1_100332010</t>
        </is>
      </c>
      <c r="H399" s="636" t="n"/>
      <c r="I399" s="17" t="n"/>
      <c r="J399" s="549" t="inlineStr">
        <is>
          <t>тыс.т</t>
        </is>
      </c>
    </row>
    <row r="400" ht="20.1" customHeight="1" s="904">
      <c r="B400" s="909" t="n"/>
      <c r="C400" s="27" t="inlineStr">
        <is>
          <t xml:space="preserve"> Оренбургский ГХК (ПБТ/ПБА)</t>
        </is>
      </c>
      <c r="D400" s="15" t="n"/>
      <c r="E400" s="15" t="n"/>
      <c r="F400" s="16" t="n"/>
      <c r="G400" s="17">
        <f>G401+G404+G407</f>
        <v/>
      </c>
      <c r="H400" s="636" t="n"/>
      <c r="I400" s="17" t="n"/>
      <c r="J400" s="549" t="inlineStr">
        <is>
          <t>тыс.т</t>
        </is>
      </c>
    </row>
    <row r="401" ht="20.1" customHeight="1" s="904">
      <c r="B401" s="909" t="n"/>
      <c r="C401" s="737" t="inlineStr">
        <is>
          <t>Газпром добыча Оренбург</t>
        </is>
      </c>
      <c r="D401" s="15" t="n"/>
      <c r="E401" s="15" t="n"/>
      <c r="F401" s="16" t="n"/>
      <c r="G401" s="17">
        <f>G402+G403</f>
        <v/>
      </c>
      <c r="H401" s="636" t="n"/>
      <c r="I401" s="17" t="n"/>
      <c r="J401" s="554" t="inlineStr">
        <is>
          <t>тыс.т</t>
        </is>
      </c>
    </row>
    <row r="402" ht="20.1" customHeight="1" s="904">
      <c r="B402" s="909" t="n"/>
      <c r="C402" s="737" t="inlineStr">
        <is>
          <t>в т.ч. ПБТ/ПБА</t>
        </is>
      </c>
      <c r="D402" s="15" t="n"/>
      <c r="E402" s="15" t="n"/>
      <c r="F402" s="16" t="n"/>
      <c r="G402" s="17" t="inlineStr">
        <is>
          <t>2_100332216</t>
        </is>
      </c>
      <c r="H402" s="636" t="n"/>
      <c r="I402" s="17" t="n"/>
      <c r="J402" s="554" t="inlineStr">
        <is>
          <t>тыс.т</t>
        </is>
      </c>
    </row>
    <row r="403" ht="20.1" customHeight="1" s="904">
      <c r="B403" s="909" t="n"/>
      <c r="C403" s="737" t="inlineStr">
        <is>
          <t>бутан</t>
        </is>
      </c>
      <c r="D403" s="15" t="n"/>
      <c r="E403" s="15" t="n"/>
      <c r="F403" s="16" t="n"/>
      <c r="G403" s="17" t="n"/>
      <c r="H403" s="636" t="n"/>
      <c r="I403" s="17" t="n"/>
      <c r="J403" s="554" t="inlineStr">
        <is>
          <t>тыс.т</t>
        </is>
      </c>
    </row>
    <row r="404" ht="20.1" customHeight="1" s="904">
      <c r="B404" s="909" t="n"/>
      <c r="C404" s="737" t="inlineStr">
        <is>
          <t>Газпром нефть</t>
        </is>
      </c>
      <c r="D404" s="15" t="n"/>
      <c r="E404" s="15" t="n"/>
      <c r="F404" s="16" t="n"/>
      <c r="G404" s="17">
        <f>G405+G406</f>
        <v/>
      </c>
      <c r="H404" s="636" t="n"/>
      <c r="I404" s="17" t="n"/>
      <c r="J404" s="554" t="inlineStr">
        <is>
          <t>тыс.т</t>
        </is>
      </c>
    </row>
    <row r="405" ht="20.1" customHeight="1" s="904">
      <c r="B405" s="909" t="n"/>
      <c r="C405" s="737" t="inlineStr">
        <is>
          <t>в т.ч. ПБТ/ПБА</t>
        </is>
      </c>
      <c r="D405" s="15" t="n"/>
      <c r="E405" s="15" t="n"/>
      <c r="F405" s="16" t="n"/>
      <c r="G405" s="17" t="inlineStr">
        <is>
          <t>2_100332218</t>
        </is>
      </c>
      <c r="H405" s="636" t="n"/>
      <c r="I405" s="17" t="n"/>
      <c r="J405" s="554" t="inlineStr">
        <is>
          <t>тыс.т</t>
        </is>
      </c>
    </row>
    <row r="406" ht="20.1" customHeight="1" s="904">
      <c r="B406" s="909" t="n"/>
      <c r="C406" s="737" t="inlineStr">
        <is>
          <t>бутан</t>
        </is>
      </c>
      <c r="D406" s="15" t="n"/>
      <c r="E406" s="15" t="n"/>
      <c r="F406" s="16" t="n"/>
      <c r="G406" s="17" t="n"/>
      <c r="H406" s="636" t="n"/>
      <c r="I406" s="17" t="n"/>
      <c r="J406" s="554" t="inlineStr">
        <is>
          <t>тыс.т</t>
        </is>
      </c>
    </row>
    <row r="407" ht="20.1" customHeight="1" s="904">
      <c r="B407" s="909" t="n"/>
      <c r="C407" s="553" t="inlineStr">
        <is>
          <t>прочие поставщики (ГПНЗ, УНГП, и.т.д.)</t>
        </is>
      </c>
      <c r="D407" s="15" t="n"/>
      <c r="E407" s="15" t="n"/>
      <c r="F407" s="16" t="n"/>
      <c r="G407" s="17">
        <f>G408</f>
        <v/>
      </c>
      <c r="H407" s="636" t="n"/>
      <c r="I407" s="17" t="n"/>
      <c r="J407" s="554" t="inlineStr">
        <is>
          <t>тыс.т</t>
        </is>
      </c>
    </row>
    <row r="408" ht="20.1" customHeight="1" s="904">
      <c r="B408" s="909" t="n"/>
      <c r="C408" s="737" t="inlineStr">
        <is>
          <t>в т.ч. ПБТ/ПБА</t>
        </is>
      </c>
      <c r="D408" s="15" t="n"/>
      <c r="E408" s="15" t="n"/>
      <c r="F408" s="16" t="n"/>
      <c r="G408" s="17" t="inlineStr">
        <is>
          <t>2_100335146</t>
        </is>
      </c>
      <c r="H408" s="636" t="n"/>
      <c r="I408" s="17" t="n"/>
      <c r="J408" s="554" t="inlineStr">
        <is>
          <t>тыс.т</t>
        </is>
      </c>
    </row>
    <row r="409" ht="20.1" customHeight="1" s="904">
      <c r="B409" s="909" t="n"/>
      <c r="C409" s="27" t="inlineStr">
        <is>
          <t xml:space="preserve">   Сосногорский ГПЗ (ПБТ/ПБА)</t>
        </is>
      </c>
      <c r="D409" s="15" t="n"/>
      <c r="E409" s="15" t="n"/>
      <c r="F409" s="16" t="n"/>
      <c r="G409" s="17" t="inlineStr">
        <is>
          <t>3_100332287</t>
        </is>
      </c>
      <c r="H409" s="636" t="n"/>
      <c r="I409" s="17" t="n"/>
      <c r="J409" s="549" t="inlineStr">
        <is>
          <t>тыс.т</t>
        </is>
      </c>
    </row>
    <row r="410" ht="20.1" customHeight="1" s="904">
      <c r="B410" s="909" t="n"/>
      <c r="C410" s="27" t="inlineStr">
        <is>
          <t>Уренгойский ЗПКТ</t>
        </is>
      </c>
      <c r="D410" s="15" t="n"/>
      <c r="E410" s="15" t="n"/>
      <c r="F410" s="16" t="n"/>
      <c r="G410" s="17" t="inlineStr">
        <is>
          <t>4_100331900</t>
        </is>
      </c>
      <c r="H410" s="636" t="n"/>
      <c r="I410" s="17" t="n"/>
      <c r="J410" s="549" t="inlineStr">
        <is>
          <t>тыс.т</t>
        </is>
      </c>
    </row>
    <row r="411" ht="20.1" customHeight="1" s="904">
      <c r="B411" s="909" t="n"/>
      <c r="C411" s="737" t="inlineStr">
        <is>
          <t xml:space="preserve">   в т. ч. фракция пропановая </t>
        </is>
      </c>
      <c r="D411" s="15" t="n"/>
      <c r="E411" s="15" t="n"/>
      <c r="F411" s="16" t="n"/>
      <c r="G411" s="17" t="inlineStr">
        <is>
          <t>4_100332910</t>
        </is>
      </c>
      <c r="H411" s="636" t="n"/>
      <c r="I411" s="17" t="n"/>
      <c r="J411" s="554" t="inlineStr">
        <is>
          <t>тыс.т</t>
        </is>
      </c>
    </row>
    <row r="412" ht="20.1" customHeight="1" s="904">
      <c r="B412" s="909" t="n"/>
      <c r="C412" s="737" t="inlineStr">
        <is>
          <t>ПБТ/ПБА</t>
        </is>
      </c>
      <c r="D412" s="15" t="n"/>
      <c r="E412" s="15" t="n"/>
      <c r="F412" s="16" t="n"/>
      <c r="G412" s="17" t="inlineStr">
        <is>
          <t>4_100335420</t>
        </is>
      </c>
      <c r="H412" s="636" t="n"/>
      <c r="I412" s="17" t="n"/>
      <c r="J412" s="554" t="inlineStr">
        <is>
          <t>тыс.т</t>
        </is>
      </c>
    </row>
    <row r="413" ht="20.1" customHeight="1" s="904">
      <c r="B413" s="909" t="n"/>
      <c r="C413" s="27" t="inlineStr">
        <is>
          <t xml:space="preserve">                Сургутский ЗСК</t>
        </is>
      </c>
      <c r="D413" s="15" t="n"/>
      <c r="E413" s="15" t="n"/>
      <c r="F413" s="16" t="n"/>
      <c r="G413" s="17" t="inlineStr">
        <is>
          <t>4_100331901</t>
        </is>
      </c>
      <c r="H413" s="636" t="n"/>
      <c r="I413" s="17" t="n"/>
      <c r="J413" s="549" t="inlineStr">
        <is>
          <t>тыс.т</t>
        </is>
      </c>
    </row>
    <row r="414" ht="20.1" customHeight="1" s="904">
      <c r="B414" s="909" t="n"/>
      <c r="C414" s="737" t="inlineStr">
        <is>
          <t xml:space="preserve">   в т.ч. ПБТ</t>
        </is>
      </c>
      <c r="D414" s="15" t="n"/>
      <c r="E414" s="15" t="n"/>
      <c r="F414" s="16" t="n"/>
      <c r="G414" s="17" t="inlineStr">
        <is>
          <t>4_100332911</t>
        </is>
      </c>
      <c r="H414" s="636" t="n"/>
      <c r="I414" s="17" t="n"/>
      <c r="J414" s="554" t="inlineStr">
        <is>
          <t>тыс.т</t>
        </is>
      </c>
    </row>
    <row r="415" ht="20.1" customHeight="1" s="904">
      <c r="B415" s="909" t="n"/>
      <c r="C415" s="737" t="inlineStr">
        <is>
          <t>пропан</t>
        </is>
      </c>
      <c r="D415" s="15" t="n"/>
      <c r="E415" s="15" t="n"/>
      <c r="F415" s="16" t="n"/>
      <c r="G415" s="17" t="inlineStr">
        <is>
          <t>4_100332912</t>
        </is>
      </c>
      <c r="H415" s="636" t="n"/>
      <c r="I415" s="17" t="n"/>
      <c r="J415" s="554" t="inlineStr">
        <is>
          <t>тыс.т</t>
        </is>
      </c>
    </row>
    <row r="416" ht="20.1" customHeight="1" s="904">
      <c r="B416" s="909" t="n"/>
      <c r="C416" s="737" t="inlineStr">
        <is>
          <t xml:space="preserve">              бутан</t>
        </is>
      </c>
      <c r="D416" s="15" t="n"/>
      <c r="E416" s="15" t="n"/>
      <c r="F416" s="16" t="n"/>
      <c r="G416" s="17" t="inlineStr">
        <is>
          <t>4_100332913</t>
        </is>
      </c>
      <c r="H416" s="636" t="n"/>
      <c r="I416" s="17" t="n"/>
      <c r="J416" s="554" t="inlineStr">
        <is>
          <t>тыс.т</t>
        </is>
      </c>
    </row>
    <row r="417" ht="20.1" customHeight="1" s="904">
      <c r="B417" s="909" t="n"/>
      <c r="C417" s="781" t="inlineStr">
        <is>
          <t xml:space="preserve"> Газпром переработка Благовещенск</t>
        </is>
      </c>
      <c r="D417" s="15" t="n"/>
      <c r="E417" s="15" t="n"/>
      <c r="F417" s="16" t="n"/>
      <c r="G417" s="17">
        <f>G418</f>
        <v/>
      </c>
      <c r="H417" s="636" t="n"/>
      <c r="I417" s="17" t="n"/>
      <c r="J417" s="24" t="inlineStr">
        <is>
          <t>тыс.т</t>
        </is>
      </c>
    </row>
    <row r="418" ht="20.1" customHeight="1" s="904">
      <c r="B418" s="909" t="n"/>
      <c r="C418" s="27" t="inlineStr">
        <is>
          <t xml:space="preserve"> Амурский ГПЗ</t>
        </is>
      </c>
      <c r="D418" s="15" t="n"/>
      <c r="E418" s="15" t="n"/>
      <c r="F418" s="16" t="n"/>
      <c r="G418" s="17">
        <f>G419+G420+G421</f>
        <v/>
      </c>
      <c r="H418" s="636" t="n"/>
      <c r="I418" s="17" t="n"/>
      <c r="J418" s="549" t="inlineStr">
        <is>
          <t>тыс.т</t>
        </is>
      </c>
    </row>
    <row r="419" ht="20.1" customHeight="1" s="904">
      <c r="B419" s="909" t="n"/>
      <c r="C419" s="737" t="inlineStr">
        <is>
          <t xml:space="preserve">   в т.ч. пропан</t>
        </is>
      </c>
      <c r="D419" s="15" t="n"/>
      <c r="E419" s="15" t="n"/>
      <c r="F419" s="16" t="n"/>
      <c r="G419" s="17" t="inlineStr">
        <is>
          <t>14_100332363</t>
        </is>
      </c>
      <c r="H419" s="636" t="n"/>
      <c r="I419" s="17" t="n"/>
      <c r="J419" s="554" t="inlineStr">
        <is>
          <t>тыс.т</t>
        </is>
      </c>
    </row>
    <row r="420" ht="20.1" customHeight="1" s="904">
      <c r="B420" s="909" t="n"/>
      <c r="C420" s="737" t="inlineStr">
        <is>
          <t xml:space="preserve">              бутан</t>
        </is>
      </c>
      <c r="D420" s="15" t="n"/>
      <c r="E420" s="15" t="n"/>
      <c r="F420" s="16" t="n"/>
      <c r="G420" s="17" t="inlineStr">
        <is>
          <t>14_100332364</t>
        </is>
      </c>
      <c r="H420" s="636" t="n"/>
      <c r="I420" s="17" t="n"/>
      <c r="J420" s="554" t="inlineStr">
        <is>
          <t>тыс.т</t>
        </is>
      </c>
    </row>
    <row r="421" ht="20.1" customHeight="1" s="904">
      <c r="B421" s="909" t="n"/>
      <c r="C421" s="737" t="inlineStr">
        <is>
          <t>ПБТ</t>
        </is>
      </c>
      <c r="D421" s="15" t="n"/>
      <c r="E421" s="15" t="n"/>
      <c r="F421" s="16" t="n"/>
      <c r="G421" s="17" t="inlineStr">
        <is>
          <t>14_100332365</t>
        </is>
      </c>
      <c r="H421" s="636" t="n"/>
      <c r="I421" s="17" t="n"/>
      <c r="J421" s="554" t="inlineStr">
        <is>
          <t>тыс.т</t>
        </is>
      </c>
    </row>
    <row r="422" ht="20.1" customHeight="1" s="904">
      <c r="B422" s="909" t="n"/>
      <c r="C422" s="781" t="inlineStr">
        <is>
          <t>Газпром добыча Иркутск (ПБТ)</t>
        </is>
      </c>
      <c r="D422" s="15" t="n"/>
      <c r="E422" s="15" t="n"/>
      <c r="F422" s="16" t="n"/>
      <c r="G422" s="17">
        <f>G423</f>
        <v/>
      </c>
      <c r="H422" s="636" t="n"/>
      <c r="I422" s="17" t="n"/>
      <c r="J422" s="24" t="inlineStr">
        <is>
          <t>тыс.т</t>
        </is>
      </c>
    </row>
    <row r="423" ht="20.1" customHeight="1" s="904">
      <c r="B423" s="909" t="n"/>
      <c r="C423" s="737" t="inlineStr">
        <is>
          <t>в т.ч. Ковыктинское ГКМ</t>
        </is>
      </c>
      <c r="D423" s="15" t="n"/>
      <c r="E423" s="15" t="n"/>
      <c r="F423" s="16" t="n"/>
      <c r="G423" s="17" t="inlineStr">
        <is>
          <t>12_100330866</t>
        </is>
      </c>
      <c r="H423" s="636" t="n"/>
      <c r="I423" s="17" t="n"/>
      <c r="J423" s="554" t="inlineStr">
        <is>
          <t>тыс.т</t>
        </is>
      </c>
    </row>
    <row r="424" ht="20.1" customHeight="1" s="904">
      <c r="B424" s="20" t="inlineStr">
        <is>
          <t>6.2.</t>
        </is>
      </c>
      <c r="C424" s="28" t="inlineStr">
        <is>
          <t>Дочерние общества</t>
        </is>
      </c>
      <c r="D424" s="15" t="n"/>
      <c r="E424" s="15" t="n"/>
      <c r="F424" s="16" t="n"/>
      <c r="G424" s="17">
        <f>G425+G432+G434+G436</f>
        <v/>
      </c>
      <c r="H424" s="636" t="n"/>
      <c r="I424" s="17" t="n"/>
      <c r="J424" s="24" t="inlineStr">
        <is>
          <t>тыс.т</t>
        </is>
      </c>
    </row>
    <row r="425" ht="20.1" customHeight="1" s="904">
      <c r="B425" s="909" t="n"/>
      <c r="C425" s="781" t="inlineStr">
        <is>
          <t xml:space="preserve">   Газпром переработка</t>
        </is>
      </c>
      <c r="D425" s="15" t="n"/>
      <c r="E425" s="15" t="n"/>
      <c r="F425" s="16" t="n"/>
      <c r="G425" s="17">
        <f>G426</f>
        <v/>
      </c>
      <c r="H425" s="636" t="n"/>
      <c r="I425" s="17" t="n"/>
      <c r="J425" s="24" t="inlineStr">
        <is>
          <t>тыс.т</t>
        </is>
      </c>
    </row>
    <row r="426" ht="20.1" customHeight="1" s="904">
      <c r="B426" s="909" t="n"/>
      <c r="C426" s="27" t="inlineStr">
        <is>
          <t xml:space="preserve"> Оренбургский ГХК (ПБТ/ПБА)</t>
        </is>
      </c>
      <c r="D426" s="15" t="n"/>
      <c r="E426" s="15" t="n"/>
      <c r="F426" s="16" t="n"/>
      <c r="G426" s="17">
        <f>G427+G430+G431</f>
        <v/>
      </c>
      <c r="H426" s="636" t="n"/>
      <c r="I426" s="17" t="n"/>
      <c r="J426" s="549" t="inlineStr">
        <is>
          <t>тыс.т</t>
        </is>
      </c>
    </row>
    <row r="427" ht="20.1" customHeight="1" s="904">
      <c r="B427" s="909" t="n"/>
      <c r="C427" s="737" t="inlineStr">
        <is>
          <t>в т. ч. Газпром добыча Оренбург</t>
        </is>
      </c>
      <c r="D427" s="15" t="n"/>
      <c r="E427" s="15" t="n"/>
      <c r="F427" s="16" t="n"/>
      <c r="G427" s="17" t="inlineStr">
        <is>
          <t>2_100332221</t>
        </is>
      </c>
      <c r="H427" s="636" t="n"/>
      <c r="I427" s="17" t="n"/>
      <c r="J427" s="554" t="inlineStr">
        <is>
          <t>тыс.т</t>
        </is>
      </c>
    </row>
    <row r="428" ht="20.1" customHeight="1" s="904">
      <c r="B428" s="909" t="n"/>
      <c r="C428" s="737" t="inlineStr">
        <is>
          <t xml:space="preserve"> в т.ч. собственная потребность ГПП</t>
        </is>
      </c>
      <c r="D428" s="15" t="n"/>
      <c r="E428" s="15" t="n"/>
      <c r="F428" s="16" t="n"/>
      <c r="G428" s="17" t="inlineStr">
        <is>
          <t>2_100332222</t>
        </is>
      </c>
      <c r="H428" s="636" t="n"/>
      <c r="I428" s="17" t="n"/>
      <c r="J428" s="554" t="inlineStr">
        <is>
          <t>тыс.т</t>
        </is>
      </c>
    </row>
    <row r="429" ht="20.1" customHeight="1" s="904">
      <c r="B429" s="909" t="n"/>
      <c r="C429" s="737" t="inlineStr">
        <is>
          <t xml:space="preserve"> собственная потребность ГДО</t>
        </is>
      </c>
      <c r="D429" s="15" t="n"/>
      <c r="E429" s="15" t="n"/>
      <c r="F429" s="16" t="n"/>
      <c r="G429" s="17">
        <f>0</f>
        <v/>
      </c>
      <c r="H429" s="636" t="n"/>
      <c r="I429" s="17" t="n"/>
      <c r="J429" s="554" t="inlineStr">
        <is>
          <t>тыс.т</t>
        </is>
      </c>
    </row>
    <row r="430" ht="20.1" customHeight="1" s="904">
      <c r="B430" s="909" t="n"/>
      <c r="C430" s="737" t="inlineStr">
        <is>
          <t>Газпром нефть</t>
        </is>
      </c>
      <c r="D430" s="15" t="n"/>
      <c r="E430" s="15" t="n"/>
      <c r="F430" s="16" t="n"/>
      <c r="G430" s="17" t="inlineStr">
        <is>
          <t>2_100332223</t>
        </is>
      </c>
      <c r="H430" s="636" t="n"/>
      <c r="I430" s="17" t="n"/>
      <c r="J430" s="554" t="inlineStr">
        <is>
          <t>тыс.т</t>
        </is>
      </c>
    </row>
    <row r="431" ht="20.1" customHeight="1" s="904">
      <c r="B431" s="909" t="n"/>
      <c r="C431" s="553" t="inlineStr">
        <is>
          <t>прочие поставщики (ГПНЗ, УНГП, и.т.д.)</t>
        </is>
      </c>
      <c r="D431" s="15" t="n"/>
      <c r="E431" s="15" t="n"/>
      <c r="F431" s="16" t="n"/>
      <c r="G431" s="17" t="inlineStr">
        <is>
          <t>2_100332224</t>
        </is>
      </c>
      <c r="H431" s="636" t="n"/>
      <c r="I431" s="17" t="n"/>
      <c r="J431" s="554" t="inlineStr">
        <is>
          <t>тыс.т</t>
        </is>
      </c>
    </row>
    <row r="432" ht="20.1" customHeight="1" s="904">
      <c r="B432" s="909" t="n"/>
      <c r="C432" s="781" t="inlineStr">
        <is>
          <t xml:space="preserve">   Газпром добыча Ямбург</t>
        </is>
      </c>
      <c r="D432" s="15" t="n"/>
      <c r="E432" s="15" t="n"/>
      <c r="F432" s="16" t="n"/>
      <c r="G432" s="17">
        <f>G433</f>
        <v/>
      </c>
      <c r="H432" s="636" t="n"/>
      <c r="I432" s="17" t="n"/>
      <c r="J432" s="24" t="inlineStr">
        <is>
          <t>тыс.т</t>
        </is>
      </c>
    </row>
    <row r="433" ht="20.1" customHeight="1" s="904">
      <c r="B433" s="909" t="n"/>
      <c r="C433" s="737" t="inlineStr">
        <is>
          <t xml:space="preserve">              фракция пропан-бутановая</t>
        </is>
      </c>
      <c r="D433" s="15" t="n"/>
      <c r="E433" s="15" t="n"/>
      <c r="F433" s="16" t="n"/>
      <c r="G433" s="17" t="inlineStr">
        <is>
          <t>7_100330609</t>
        </is>
      </c>
      <c r="H433" s="636" t="n"/>
      <c r="I433" s="17" t="n"/>
      <c r="J433" s="554" t="inlineStr">
        <is>
          <t>тыс.т</t>
        </is>
      </c>
    </row>
    <row r="434" ht="20.1" customHeight="1" s="904">
      <c r="B434" s="909" t="n"/>
      <c r="C434" s="781" t="inlineStr">
        <is>
          <t>Сервиснефтегаз</t>
        </is>
      </c>
      <c r="D434" s="15" t="n"/>
      <c r="E434" s="15" t="n"/>
      <c r="F434" s="16" t="n"/>
      <c r="G434" s="17">
        <f>G435</f>
        <v/>
      </c>
      <c r="H434" s="636" t="n"/>
      <c r="I434" s="17" t="n"/>
      <c r="J434" s="24" t="inlineStr">
        <is>
          <t>тыс.т</t>
        </is>
      </c>
    </row>
    <row r="435" ht="20.1" customHeight="1" s="904">
      <c r="B435" s="909" t="n"/>
      <c r="C435" s="27" t="inlineStr">
        <is>
          <t>Оренбургский ГХК</t>
        </is>
      </c>
      <c r="D435" s="15" t="n"/>
      <c r="E435" s="15" t="n"/>
      <c r="F435" s="16" t="n"/>
      <c r="G435" s="17" t="inlineStr">
        <is>
          <t>2_100332226</t>
        </is>
      </c>
      <c r="H435" s="636" t="n"/>
      <c r="I435" s="17" t="n"/>
      <c r="J435" s="549" t="inlineStr">
        <is>
          <t>тыс.т</t>
        </is>
      </c>
    </row>
    <row r="436" ht="20.1" customHeight="1" s="904">
      <c r="B436" s="909" t="n"/>
      <c r="C436" s="781" t="inlineStr">
        <is>
          <t>Газпром ГНП холдинг</t>
        </is>
      </c>
      <c r="D436" s="15" t="n"/>
      <c r="E436" s="15" t="n"/>
      <c r="F436" s="16" t="n"/>
      <c r="G436" s="17">
        <f>G437</f>
        <v/>
      </c>
      <c r="H436" s="636" t="n"/>
      <c r="I436" s="17" t="n"/>
      <c r="J436" s="41" t="inlineStr">
        <is>
          <t>тыс.т</t>
        </is>
      </c>
    </row>
    <row r="437" ht="20.1" customHeight="1" s="904">
      <c r="B437" s="909" t="n"/>
      <c r="C437" s="27" t="inlineStr">
        <is>
          <t>Сосногорский ГПЗ</t>
        </is>
      </c>
      <c r="D437" s="15" t="n"/>
      <c r="E437" s="15" t="n"/>
      <c r="F437" s="16" t="n"/>
      <c r="G437" s="17">
        <f>G438</f>
        <v/>
      </c>
      <c r="H437" s="636" t="n"/>
      <c r="I437" s="17" t="n"/>
      <c r="J437" s="549" t="inlineStr">
        <is>
          <t>тыс.т</t>
        </is>
      </c>
    </row>
    <row r="438" ht="20.1" customHeight="1" s="904">
      <c r="B438" s="909" t="n"/>
      <c r="C438" s="737" t="inlineStr">
        <is>
          <t>ЛУКОЙЛ-Коми</t>
        </is>
      </c>
      <c r="D438" s="15" t="n"/>
      <c r="E438" s="15" t="n"/>
      <c r="F438" s="16" t="n"/>
      <c r="G438" s="17" t="inlineStr">
        <is>
          <t>3_100332288</t>
        </is>
      </c>
      <c r="H438" s="636" t="n"/>
      <c r="I438" s="17" t="n"/>
      <c r="J438" s="554" t="inlineStr">
        <is>
          <t>тыс.т</t>
        </is>
      </c>
    </row>
    <row r="439" ht="20.1" customHeight="1" s="904">
      <c r="B439" s="909" t="inlineStr">
        <is>
          <t>7.</t>
        </is>
      </c>
      <c r="C439" s="735" t="inlineStr">
        <is>
          <t>Углеводородная фракция / ПГФ - всего</t>
        </is>
      </c>
      <c r="D439" s="15" t="n"/>
      <c r="E439" s="15" t="n"/>
      <c r="F439" s="16" t="n"/>
      <c r="G439" s="17">
        <f>G440+G443</f>
        <v/>
      </c>
      <c r="H439" s="636" t="n"/>
      <c r="I439" s="17" t="n"/>
      <c r="J439" s="24" t="inlineStr">
        <is>
          <t>тыс.т</t>
        </is>
      </c>
    </row>
    <row r="440" ht="20.1" customHeight="1" s="904">
      <c r="B440" s="909" t="n"/>
      <c r="C440" s="781" t="inlineStr">
        <is>
          <t xml:space="preserve">   Газпром переработка</t>
        </is>
      </c>
      <c r="D440" s="15" t="n"/>
      <c r="E440" s="15" t="n"/>
      <c r="F440" s="16" t="n"/>
      <c r="G440" s="17">
        <f>G441+G442</f>
        <v/>
      </c>
      <c r="H440" s="636" t="n"/>
      <c r="I440" s="17" t="n"/>
      <c r="J440" s="24" t="inlineStr">
        <is>
          <t>тыс.т</t>
        </is>
      </c>
    </row>
    <row r="441" ht="20.1" customHeight="1" s="904">
      <c r="B441" s="909" t="n"/>
      <c r="C441" s="27" t="inlineStr">
        <is>
          <t xml:space="preserve"> Оренбургский ГХК</t>
        </is>
      </c>
      <c r="D441" s="15" t="n"/>
      <c r="E441" s="15" t="n"/>
      <c r="F441" s="16" t="n"/>
      <c r="G441" s="17">
        <f>G447</f>
        <v/>
      </c>
      <c r="H441" s="636" t="n"/>
      <c r="I441" s="17" t="n"/>
      <c r="J441" s="549" t="inlineStr">
        <is>
          <t>тыс.т</t>
        </is>
      </c>
    </row>
    <row r="442" ht="20.1" customHeight="1" s="904">
      <c r="B442" s="909" t="n"/>
      <c r="C442" s="27" t="inlineStr">
        <is>
          <t xml:space="preserve">   Сургутский ЗСК</t>
        </is>
      </c>
      <c r="D442" s="15" t="n"/>
      <c r="E442" s="15" t="n"/>
      <c r="F442" s="16" t="n"/>
      <c r="G442" s="17">
        <f>G451</f>
        <v/>
      </c>
      <c r="H442" s="636" t="n"/>
      <c r="I442" s="17" t="n"/>
      <c r="J442" s="549" t="inlineStr">
        <is>
          <t>тыс.т</t>
        </is>
      </c>
    </row>
    <row r="443" ht="20.1" customHeight="1" s="904">
      <c r="B443" s="909" t="n"/>
      <c r="C443" s="781" t="inlineStr">
        <is>
          <t xml:space="preserve"> Газпром переработка Благовещенск</t>
        </is>
      </c>
      <c r="D443" s="15" t="n"/>
      <c r="E443" s="15" t="n"/>
      <c r="F443" s="16" t="n"/>
      <c r="G443" s="17">
        <f>G452+G455</f>
        <v/>
      </c>
      <c r="H443" s="636" t="n"/>
      <c r="I443" s="17" t="n"/>
      <c r="J443" s="24" t="inlineStr">
        <is>
          <t>тыс.т</t>
        </is>
      </c>
    </row>
    <row r="444" ht="20.1" customHeight="1" s="904">
      <c r="B444" s="909" t="n"/>
      <c r="C444" s="27" t="inlineStr">
        <is>
          <t xml:space="preserve"> Амурский ГПЗ</t>
        </is>
      </c>
      <c r="D444" s="15" t="n"/>
      <c r="E444" s="15" t="n"/>
      <c r="F444" s="16" t="n"/>
      <c r="G444" s="17">
        <f>G453+G456</f>
        <v/>
      </c>
      <c r="H444" s="636" t="n"/>
      <c r="I444" s="17" t="n"/>
      <c r="J444" s="549" t="inlineStr">
        <is>
          <t>тыс.т</t>
        </is>
      </c>
    </row>
    <row r="445" ht="20.1" customHeight="1" s="904">
      <c r="B445" s="20" t="inlineStr">
        <is>
          <t>7.1.</t>
        </is>
      </c>
      <c r="C445" s="28" t="inlineStr">
        <is>
          <t>Газпром</t>
        </is>
      </c>
      <c r="D445" s="15" t="n"/>
      <c r="E445" s="15" t="n"/>
      <c r="F445" s="16" t="n"/>
      <c r="G445" s="17">
        <f>G446+G452</f>
        <v/>
      </c>
      <c r="H445" s="636" t="n"/>
      <c r="I445" s="17" t="n"/>
      <c r="J445" s="24" t="inlineStr">
        <is>
          <t>тыс.т</t>
        </is>
      </c>
    </row>
    <row r="446" ht="20.1" customHeight="1" s="904">
      <c r="B446" s="909" t="n"/>
      <c r="C446" s="781" t="inlineStr">
        <is>
          <t xml:space="preserve">   Газпром переработка</t>
        </is>
      </c>
      <c r="D446" s="15" t="n"/>
      <c r="E446" s="15" t="n"/>
      <c r="F446" s="16" t="n"/>
      <c r="G446" s="17">
        <f>G447+G451</f>
        <v/>
      </c>
      <c r="H446" s="636" t="n"/>
      <c r="I446" s="17" t="n"/>
      <c r="J446" s="24" t="inlineStr">
        <is>
          <t>тыс.т</t>
        </is>
      </c>
    </row>
    <row r="447" ht="20.1" customHeight="1" s="904">
      <c r="B447" s="909" t="n"/>
      <c r="C447" s="27" t="inlineStr">
        <is>
          <t xml:space="preserve"> Оренбургский ГХК</t>
        </is>
      </c>
      <c r="D447" s="15" t="n"/>
      <c r="E447" s="15" t="n"/>
      <c r="F447" s="16" t="n"/>
      <c r="G447" s="17">
        <f>G448+G449+G450</f>
        <v/>
      </c>
      <c r="H447" s="636" t="n"/>
      <c r="I447" s="17" t="n"/>
      <c r="J447" s="549" t="inlineStr">
        <is>
          <t>тыс.т</t>
        </is>
      </c>
    </row>
    <row r="448" ht="20.1" customHeight="1" s="904">
      <c r="B448" s="909" t="n"/>
      <c r="C448" s="737" t="inlineStr">
        <is>
          <t>Газпром добыча Оренбург</t>
        </is>
      </c>
      <c r="D448" s="15" t="n"/>
      <c r="E448" s="15" t="n"/>
      <c r="F448" s="16" t="n"/>
      <c r="G448" s="17" t="inlineStr">
        <is>
          <t>2_100332234</t>
        </is>
      </c>
      <c r="H448" s="636" t="n"/>
      <c r="I448" s="17" t="n"/>
      <c r="J448" s="554" t="inlineStr">
        <is>
          <t>тыс.т</t>
        </is>
      </c>
    </row>
    <row r="449" ht="20.1" customHeight="1" s="904">
      <c r="B449" s="909" t="n"/>
      <c r="C449" s="737" t="inlineStr">
        <is>
          <t>Газпром нефть</t>
        </is>
      </c>
      <c r="D449" s="15" t="n"/>
      <c r="E449" s="15" t="n"/>
      <c r="F449" s="16" t="n"/>
      <c r="G449" s="17" t="inlineStr">
        <is>
          <t>2_100332235</t>
        </is>
      </c>
      <c r="H449" s="636" t="n"/>
      <c r="I449" s="17" t="n"/>
      <c r="J449" s="554" t="inlineStr">
        <is>
          <t>тыс.т</t>
        </is>
      </c>
    </row>
    <row r="450" ht="20.1" customHeight="1" s="904">
      <c r="B450" s="909" t="n"/>
      <c r="C450" s="553" t="inlineStr">
        <is>
          <t>прочие поставщики (ГПНЗ, УНГП, и.т.д.)</t>
        </is>
      </c>
      <c r="D450" s="15" t="n"/>
      <c r="E450" s="15" t="n"/>
      <c r="F450" s="16" t="n"/>
      <c r="G450" s="17" t="inlineStr">
        <is>
          <t>2_100335150</t>
        </is>
      </c>
      <c r="H450" s="636" t="n"/>
      <c r="I450" s="17" t="n"/>
      <c r="J450" s="554" t="inlineStr">
        <is>
          <t>тыс.т</t>
        </is>
      </c>
    </row>
    <row r="451" ht="20.1" customHeight="1" s="904">
      <c r="B451" s="909" t="n"/>
      <c r="C451" s="27" t="inlineStr">
        <is>
          <t>Сургутский ЗСК</t>
        </is>
      </c>
      <c r="D451" s="15" t="n"/>
      <c r="E451" s="15" t="n"/>
      <c r="F451" s="16" t="n"/>
      <c r="G451" s="17" t="inlineStr">
        <is>
          <t>4_100331904</t>
        </is>
      </c>
      <c r="H451" s="636" t="n"/>
      <c r="I451" s="17" t="n"/>
      <c r="J451" s="549" t="inlineStr">
        <is>
          <t>тыс.т</t>
        </is>
      </c>
    </row>
    <row r="452" ht="20.1" customHeight="1" s="904">
      <c r="B452" s="909" t="n"/>
      <c r="C452" s="781" t="inlineStr">
        <is>
          <t xml:space="preserve"> Газпром переработка Благовещенск</t>
        </is>
      </c>
      <c r="D452" s="15" t="n"/>
      <c r="E452" s="15" t="n"/>
      <c r="F452" s="16" t="n"/>
      <c r="G452" s="17">
        <f>G453</f>
        <v/>
      </c>
      <c r="H452" s="636" t="n"/>
      <c r="I452" s="17" t="n"/>
      <c r="J452" s="24" t="inlineStr">
        <is>
          <t>тыс.т</t>
        </is>
      </c>
    </row>
    <row r="453" ht="20.1" customHeight="1" s="904">
      <c r="B453" s="909" t="n"/>
      <c r="C453" s="27" t="inlineStr">
        <is>
          <t xml:space="preserve"> Амурский ГПЗ</t>
        </is>
      </c>
      <c r="D453" s="15" t="n"/>
      <c r="E453" s="15" t="n"/>
      <c r="F453" s="16" t="n"/>
      <c r="G453" s="17" t="inlineStr">
        <is>
          <t>14_100332366</t>
        </is>
      </c>
      <c r="H453" s="636" t="n"/>
      <c r="I453" s="17" t="n"/>
      <c r="J453" s="549" t="inlineStr">
        <is>
          <t>тыс.т</t>
        </is>
      </c>
    </row>
    <row r="454" ht="20.1" customHeight="1" s="904">
      <c r="B454" s="20" t="inlineStr">
        <is>
          <t>7.2.</t>
        </is>
      </c>
      <c r="C454" s="28" t="inlineStr">
        <is>
          <t>Дочерние общества</t>
        </is>
      </c>
      <c r="D454" s="15" t="n"/>
      <c r="E454" s="15" t="n"/>
      <c r="F454" s="16" t="n"/>
      <c r="G454" s="17">
        <f>0</f>
        <v/>
      </c>
      <c r="H454" s="636" t="n"/>
      <c r="I454" s="17" t="n"/>
      <c r="J454" s="24" t="inlineStr">
        <is>
          <t>тыс.т</t>
        </is>
      </c>
    </row>
    <row r="455" ht="20.1" customHeight="1" s="904">
      <c r="B455" s="909" t="n"/>
      <c r="C455" s="781" t="inlineStr">
        <is>
          <t xml:space="preserve"> Газпром переработка Благовещенск</t>
        </is>
      </c>
      <c r="D455" s="15" t="n"/>
      <c r="E455" s="15" t="n"/>
      <c r="F455" s="16" t="n"/>
      <c r="G455" s="17">
        <f>G456</f>
        <v/>
      </c>
      <c r="H455" s="636" t="n"/>
      <c r="I455" s="17" t="n"/>
      <c r="J455" s="24" t="inlineStr">
        <is>
          <t>тыс.т</t>
        </is>
      </c>
    </row>
    <row r="456" ht="20.1" customHeight="1" s="904">
      <c r="B456" s="909" t="n"/>
      <c r="C456" s="27" t="inlineStr">
        <is>
          <t xml:space="preserve"> Амурский ГПЗ</t>
        </is>
      </c>
      <c r="D456" s="15" t="n"/>
      <c r="E456" s="15" t="n"/>
      <c r="F456" s="16" t="n"/>
      <c r="G456" s="17" t="inlineStr">
        <is>
          <t>14_100335088</t>
        </is>
      </c>
      <c r="H456" s="636" t="n"/>
      <c r="I456" s="17" t="n"/>
      <c r="J456" s="549" t="inlineStr">
        <is>
          <t>тыс.т</t>
        </is>
      </c>
    </row>
    <row r="457" ht="20.1" customHeight="1" s="904">
      <c r="B457" s="909" t="inlineStr">
        <is>
          <t>8.</t>
        </is>
      </c>
      <c r="C457" s="735" t="inlineStr">
        <is>
          <t>Стабильный газовый конденсат и нефть-всего</t>
        </is>
      </c>
      <c r="D457" s="15" t="n"/>
      <c r="E457" s="15" t="n"/>
      <c r="F457" s="16" t="n"/>
      <c r="G457" s="17">
        <f>G458+G465+G467+G468+G469+G470+G471+G472+G474+G475+G464</f>
        <v/>
      </c>
      <c r="H457" s="636" t="n"/>
      <c r="I457" s="17" t="n"/>
      <c r="J457" s="24" t="n"/>
    </row>
    <row r="458" ht="20.1" customHeight="1" s="904">
      <c r="B458" s="909" t="n"/>
      <c r="C458" s="781" t="inlineStr">
        <is>
          <t xml:space="preserve">   Газпром переработка</t>
        </is>
      </c>
      <c r="D458" s="15" t="n"/>
      <c r="E458" s="15" t="n"/>
      <c r="F458" s="16" t="n"/>
      <c r="G458" s="17">
        <f>G459+G460+G461+G462+G463</f>
        <v/>
      </c>
      <c r="H458" s="636" t="n"/>
      <c r="I458" s="17" t="n"/>
      <c r="J458" s="24" t="inlineStr">
        <is>
          <t>тыс.т</t>
        </is>
      </c>
    </row>
    <row r="459" ht="20.1" customHeight="1" s="904">
      <c r="B459" s="909" t="n"/>
      <c r="C459" s="27" t="inlineStr">
        <is>
          <t>Астраханский ГПЗ</t>
        </is>
      </c>
      <c r="D459" s="15" t="n"/>
      <c r="E459" s="15" t="n"/>
      <c r="F459" s="16" t="n"/>
      <c r="G459" s="17">
        <f>G478</f>
        <v/>
      </c>
      <c r="H459" s="636" t="n"/>
      <c r="I459" s="17" t="n"/>
      <c r="J459" s="549" t="inlineStr">
        <is>
          <t>тыс.т</t>
        </is>
      </c>
    </row>
    <row r="460" ht="20.1" customHeight="1" s="904">
      <c r="B460" s="909" t="n"/>
      <c r="C460" s="27" t="inlineStr">
        <is>
          <t>Оренбургский ГХК</t>
        </is>
      </c>
      <c r="D460" s="15" t="n"/>
      <c r="E460" s="15" t="n"/>
      <c r="F460" s="16" t="n"/>
      <c r="G460" s="17">
        <f>G479+G509+G524</f>
        <v/>
      </c>
      <c r="H460" s="636" t="n"/>
      <c r="I460" s="17" t="n"/>
      <c r="J460" s="549" t="inlineStr">
        <is>
          <t>тыс.т</t>
        </is>
      </c>
    </row>
    <row r="461" ht="20.1" customHeight="1" s="904">
      <c r="B461" s="909" t="n"/>
      <c r="C461" s="27" t="inlineStr">
        <is>
          <t xml:space="preserve">   Сосногорский ГПЗ</t>
        </is>
      </c>
      <c r="D461" s="15" t="n"/>
      <c r="E461" s="15" t="n"/>
      <c r="F461" s="16" t="n"/>
      <c r="G461" s="17">
        <f>G483+G537</f>
        <v/>
      </c>
      <c r="H461" s="636" t="n"/>
      <c r="I461" s="17" t="n"/>
      <c r="J461" s="549" t="inlineStr">
        <is>
          <t>тыс.т</t>
        </is>
      </c>
    </row>
    <row r="462" ht="20.1" customHeight="1" s="904">
      <c r="B462" s="909" t="n"/>
      <c r="C462" s="27" t="inlineStr">
        <is>
          <t xml:space="preserve">              Уренгойский ЗПКТ</t>
        </is>
      </c>
      <c r="D462" s="15" t="n"/>
      <c r="E462" s="15" t="n"/>
      <c r="F462" s="16" t="n"/>
      <c r="G462" s="17">
        <f>G485</f>
        <v/>
      </c>
      <c r="H462" s="636" t="n"/>
      <c r="I462" s="17" t="n"/>
      <c r="J462" s="549" t="inlineStr">
        <is>
          <t>тыс.т</t>
        </is>
      </c>
    </row>
    <row r="463" ht="20.1" customHeight="1" s="904">
      <c r="B463" s="909" t="n"/>
      <c r="C463" s="27" t="inlineStr">
        <is>
          <t xml:space="preserve">                Сургутский ЗСК</t>
        </is>
      </c>
      <c r="D463" s="15" t="n"/>
      <c r="E463" s="15" t="n"/>
      <c r="F463" s="16" t="n"/>
      <c r="G463" s="17">
        <f>G489</f>
        <v/>
      </c>
      <c r="H463" s="636" t="n"/>
      <c r="I463" s="17" t="n"/>
      <c r="J463" s="549" t="inlineStr">
        <is>
          <t>тыс.т</t>
        </is>
      </c>
    </row>
    <row r="464" ht="20.1" customHeight="1" s="904">
      <c r="B464" s="909" t="n"/>
      <c r="C464" s="781" t="inlineStr">
        <is>
          <t>Газпром добыча Уренгой</t>
        </is>
      </c>
      <c r="D464" s="15" t="n"/>
      <c r="E464" s="15" t="n"/>
      <c r="F464" s="16" t="n"/>
      <c r="G464" s="17">
        <f>G490+G515</f>
        <v/>
      </c>
      <c r="H464" s="636" t="n"/>
      <c r="I464" s="17" t="n"/>
      <c r="J464" s="24" t="inlineStr">
        <is>
          <t>тыс. т</t>
        </is>
      </c>
    </row>
    <row r="465" ht="20.1" customHeight="1" s="904">
      <c r="B465" s="909" t="n"/>
      <c r="C465" s="781" t="inlineStr">
        <is>
          <t>Газпром добыча Краснодар</t>
        </is>
      </c>
      <c r="D465" s="15" t="n"/>
      <c r="E465" s="15" t="n"/>
      <c r="F465" s="16" t="n"/>
      <c r="G465" s="17">
        <f>G518</f>
        <v/>
      </c>
      <c r="H465" s="636" t="n"/>
      <c r="I465" s="17" t="n"/>
      <c r="J465" s="24" t="inlineStr">
        <is>
          <t>тыс.т</t>
        </is>
      </c>
    </row>
    <row r="466" ht="20.1" customHeight="1" s="904">
      <c r="B466" s="909" t="n"/>
      <c r="C466" s="27" t="inlineStr">
        <is>
          <t xml:space="preserve">     в т. ч. НГКС</t>
        </is>
      </c>
      <c r="D466" s="15" t="n"/>
      <c r="E466" s="15" t="n"/>
      <c r="F466" s="16" t="n"/>
      <c r="G466" s="17">
        <f>G519</f>
        <v/>
      </c>
      <c r="H466" s="636" t="n"/>
      <c r="I466" s="17" t="n"/>
      <c r="J466" s="549" t="inlineStr">
        <is>
          <t>тыс.т</t>
        </is>
      </c>
    </row>
    <row r="467" ht="20.1" customHeight="1" s="904">
      <c r="B467" s="909" t="n"/>
      <c r="C467" s="781" t="inlineStr">
        <is>
          <t xml:space="preserve">   Газпром добыча Ямбург</t>
        </is>
      </c>
      <c r="D467" s="15" t="n"/>
      <c r="E467" s="15" t="n"/>
      <c r="F467" s="16" t="n"/>
      <c r="G467" s="17">
        <f>G521</f>
        <v/>
      </c>
      <c r="H467" s="636" t="n"/>
      <c r="I467" s="17" t="n"/>
      <c r="J467" s="24" t="inlineStr">
        <is>
          <t>тыс.т</t>
        </is>
      </c>
    </row>
    <row r="468" ht="20.1" customHeight="1" s="904">
      <c r="B468" s="909" t="n"/>
      <c r="C468" s="781" t="inlineStr">
        <is>
          <t>Газпром добыча Иркутск</t>
        </is>
      </c>
      <c r="D468" s="15" t="n"/>
      <c r="E468" s="15" t="n"/>
      <c r="F468" s="16" t="n"/>
      <c r="G468" s="17">
        <f>G492</f>
        <v/>
      </c>
      <c r="H468" s="636" t="n"/>
      <c r="I468" s="17" t="n"/>
      <c r="J468" s="24" t="inlineStr">
        <is>
          <t>тыс. т</t>
        </is>
      </c>
    </row>
    <row r="469" ht="20.1" customHeight="1" s="904">
      <c r="B469" s="909" t="n"/>
      <c r="C469" s="781" t="inlineStr">
        <is>
          <t>Газпром добыча шельф Южно-Сахалинск</t>
        </is>
      </c>
      <c r="D469" s="15" t="n"/>
      <c r="E469" s="15" t="n"/>
      <c r="F469" s="16" t="n"/>
      <c r="G469" s="17">
        <f>G495</f>
        <v/>
      </c>
      <c r="H469" s="636" t="n"/>
      <c r="I469" s="17" t="n"/>
      <c r="J469" s="24" t="inlineStr">
        <is>
          <t>тыс. т</t>
        </is>
      </c>
    </row>
    <row r="470" ht="20.1" customHeight="1" s="904">
      <c r="B470" s="909" t="n"/>
      <c r="C470" s="781" t="inlineStr">
        <is>
          <t>Газпром добыча Ноябрьск</t>
        </is>
      </c>
      <c r="D470" s="15" t="n"/>
      <c r="E470" s="15" t="n"/>
      <c r="F470" s="16" t="n"/>
      <c r="G470" s="17">
        <f>G497+G526</f>
        <v/>
      </c>
      <c r="H470" s="636" t="n"/>
      <c r="I470" s="17" t="n"/>
      <c r="J470" s="24" t="inlineStr">
        <is>
          <t>тыс. т</t>
        </is>
      </c>
    </row>
    <row r="471" ht="20.1" customHeight="1" s="904">
      <c r="B471" s="909" t="n"/>
      <c r="C471" s="781" t="inlineStr">
        <is>
          <t>Газпром добыча Надым</t>
        </is>
      </c>
      <c r="D471" s="15" t="n"/>
      <c r="E471" s="15" t="n"/>
      <c r="F471" s="16" t="n"/>
      <c r="G471" s="17">
        <f>G531</f>
        <v/>
      </c>
      <c r="H471" s="636" t="n"/>
      <c r="I471" s="17" t="n"/>
      <c r="J471" s="24" t="inlineStr">
        <is>
          <t>тыс. т</t>
        </is>
      </c>
    </row>
    <row r="472" ht="20.1" customHeight="1" s="904">
      <c r="B472" s="909" t="n"/>
      <c r="C472" s="781" t="inlineStr">
        <is>
          <t>Газпром СПГ Портовая</t>
        </is>
      </c>
      <c r="D472" s="15" t="n"/>
      <c r="E472" s="15" t="n"/>
      <c r="F472" s="16" t="n"/>
      <c r="G472" s="17">
        <f>G473</f>
        <v/>
      </c>
      <c r="H472" s="636" t="n"/>
      <c r="I472" s="17" t="n"/>
      <c r="J472" s="24" t="inlineStr">
        <is>
          <t>тыс. т</t>
        </is>
      </c>
    </row>
    <row r="473" ht="20.1" customHeight="1" s="904">
      <c r="B473" s="909" t="n"/>
      <c r="C473" s="27" t="inlineStr">
        <is>
          <t>КСПГ Портовая</t>
        </is>
      </c>
      <c r="D473" s="15" t="n"/>
      <c r="E473" s="15" t="n"/>
      <c r="F473" s="16" t="n"/>
      <c r="G473" s="17">
        <f>G502</f>
        <v/>
      </c>
      <c r="H473" s="636" t="n"/>
      <c r="I473" s="17" t="n"/>
      <c r="J473" s="549" t="inlineStr">
        <is>
          <t>тыс. т</t>
        </is>
      </c>
    </row>
    <row r="474" ht="20.1" customHeight="1" s="904">
      <c r="B474" s="909" t="n"/>
      <c r="C474" s="781" t="inlineStr">
        <is>
          <t>Газпром трансгаз Санкт-Петербург*</t>
        </is>
      </c>
      <c r="D474" s="15" t="n"/>
      <c r="E474" s="15" t="n"/>
      <c r="F474" s="16" t="n"/>
      <c r="G474" s="17">
        <f>0</f>
        <v/>
      </c>
      <c r="H474" s="636" t="n"/>
      <c r="I474" s="17" t="n"/>
      <c r="J474" s="24" t="inlineStr">
        <is>
          <t>тыс. т</t>
        </is>
      </c>
    </row>
    <row r="475" ht="20.1" customHeight="1" s="904">
      <c r="B475" s="909" t="n"/>
      <c r="C475" s="781" t="inlineStr">
        <is>
          <t>Газпром трансгаз Краснодар*</t>
        </is>
      </c>
      <c r="D475" s="15" t="n"/>
      <c r="E475" s="15" t="n"/>
      <c r="F475" s="16" t="n"/>
      <c r="G475" s="17">
        <f>0</f>
        <v/>
      </c>
      <c r="H475" s="636" t="n"/>
      <c r="I475" s="17" t="n"/>
      <c r="J475" s="24" t="inlineStr">
        <is>
          <t>тыс. т</t>
        </is>
      </c>
    </row>
    <row r="476" ht="20.1" customHeight="1" s="904">
      <c r="B476" s="20" t="inlineStr">
        <is>
          <t>8.1.</t>
        </is>
      </c>
      <c r="C476" s="28" t="inlineStr">
        <is>
          <t>Газпром</t>
        </is>
      </c>
      <c r="D476" s="15" t="n"/>
      <c r="E476" s="15" t="n"/>
      <c r="F476" s="16" t="n"/>
      <c r="G476" s="17">
        <f>G477+G490+G492+G495+G497+G501+G503+G504</f>
        <v/>
      </c>
      <c r="H476" s="636" t="n"/>
      <c r="I476" s="17" t="n"/>
      <c r="J476" s="24" t="inlineStr">
        <is>
          <t>тыс.т</t>
        </is>
      </c>
    </row>
    <row r="477" ht="20.1" customHeight="1" s="904">
      <c r="B477" s="909" t="n"/>
      <c r="C477" s="781" t="inlineStr">
        <is>
          <t xml:space="preserve">   Газпром переработка</t>
        </is>
      </c>
      <c r="D477" s="15" t="n"/>
      <c r="E477" s="15" t="n"/>
      <c r="F477" s="16" t="n"/>
      <c r="G477" s="17">
        <f>G479+G483+G485+G489+G478</f>
        <v/>
      </c>
      <c r="H477" s="636" t="n"/>
      <c r="I477" s="17" t="n"/>
      <c r="J477" s="24" t="inlineStr">
        <is>
          <t>тыс.т</t>
        </is>
      </c>
    </row>
    <row r="478" ht="20.1" customHeight="1" s="904">
      <c r="B478" s="909" t="n"/>
      <c r="C478" s="27" t="inlineStr">
        <is>
          <t>Астраханский ГПЗ</t>
        </is>
      </c>
      <c r="D478" s="15" t="n"/>
      <c r="E478" s="15" t="n"/>
      <c r="F478" s="16" t="n"/>
      <c r="G478" s="17" t="inlineStr">
        <is>
          <t>1_100332014</t>
        </is>
      </c>
      <c r="H478" s="636" t="n"/>
      <c r="I478" s="17" t="n"/>
      <c r="J478" s="549" t="inlineStr">
        <is>
          <t>тыс.т</t>
        </is>
      </c>
    </row>
    <row r="479" ht="20.1" customHeight="1" s="904">
      <c r="B479" s="909" t="n"/>
      <c r="C479" s="27" t="inlineStr">
        <is>
          <t>Оренбургский ГХК</t>
        </is>
      </c>
      <c r="D479" s="15" t="n"/>
      <c r="E479" s="15" t="n"/>
      <c r="F479" s="16" t="n"/>
      <c r="G479" s="17">
        <f>G480+G481+G482</f>
        <v/>
      </c>
      <c r="H479" s="636" t="n"/>
      <c r="I479" s="17" t="n"/>
      <c r="J479" s="549" t="inlineStr">
        <is>
          <t>тыс.т</t>
        </is>
      </c>
    </row>
    <row r="480" ht="20.1" customHeight="1" s="904">
      <c r="B480" s="909" t="n"/>
      <c r="C480" s="737" t="inlineStr">
        <is>
          <t>Газпром добыча Оренбург</t>
        </is>
      </c>
      <c r="D480" s="15" t="n"/>
      <c r="E480" s="15" t="n"/>
      <c r="F480" s="16" t="n"/>
      <c r="G480" s="17" t="inlineStr">
        <is>
          <t>2_100332266</t>
        </is>
      </c>
      <c r="H480" s="636" t="n"/>
      <c r="I480" s="17" t="n"/>
      <c r="J480" s="554" t="inlineStr">
        <is>
          <t>тыс.т</t>
        </is>
      </c>
    </row>
    <row r="481" ht="20.1" customHeight="1" s="904">
      <c r="B481" s="909" t="n"/>
      <c r="C481" s="737" t="inlineStr">
        <is>
          <t>Газпром нефть</t>
        </is>
      </c>
      <c r="D481" s="15" t="n"/>
      <c r="E481" s="15" t="n"/>
      <c r="F481" s="16" t="n"/>
      <c r="G481" s="17" t="inlineStr">
        <is>
          <t>2_100332267</t>
        </is>
      </c>
      <c r="H481" s="636" t="n"/>
      <c r="I481" s="17" t="n"/>
      <c r="J481" s="554" t="inlineStr">
        <is>
          <t>тыс.т</t>
        </is>
      </c>
    </row>
    <row r="482" ht="20.1" customHeight="1" s="904">
      <c r="B482" s="909" t="n"/>
      <c r="C482" s="737" t="inlineStr">
        <is>
          <t>прочие поставщики (ГПНЗ, УНГП, и.т.д.)</t>
        </is>
      </c>
      <c r="D482" s="15" t="n"/>
      <c r="E482" s="15" t="n"/>
      <c r="F482" s="16" t="n"/>
      <c r="G482" s="17" t="inlineStr">
        <is>
          <t>2_100335669</t>
        </is>
      </c>
      <c r="H482" s="636" t="n"/>
      <c r="I482" s="17" t="n"/>
      <c r="J482" s="554" t="inlineStr">
        <is>
          <t>тыс.т</t>
        </is>
      </c>
    </row>
    <row r="483" ht="20.1" customHeight="1" s="904">
      <c r="B483" s="909" t="n"/>
      <c r="C483" s="27" t="inlineStr">
        <is>
          <t>Сосногорский ГПЗ</t>
        </is>
      </c>
      <c r="D483" s="15" t="n"/>
      <c r="E483" s="15" t="n"/>
      <c r="F483" s="16" t="n"/>
      <c r="G483" s="17">
        <f>G484</f>
        <v/>
      </c>
      <c r="H483" s="636" t="n"/>
      <c r="I483" s="17" t="n"/>
      <c r="J483" s="549" t="inlineStr">
        <is>
          <t>тыс.т</t>
        </is>
      </c>
    </row>
    <row r="484" ht="20.1" customHeight="1" s="904">
      <c r="B484" s="909" t="n"/>
      <c r="C484" s="737" t="inlineStr">
        <is>
          <t>Газпром добыча Краснодар</t>
        </is>
      </c>
      <c r="D484" s="15" t="n"/>
      <c r="E484" s="15" t="n"/>
      <c r="F484" s="16" t="n"/>
      <c r="G484" s="17" t="inlineStr">
        <is>
          <t>3_100330098</t>
        </is>
      </c>
      <c r="H484" s="636" t="n"/>
      <c r="I484" s="17" t="n"/>
      <c r="J484" s="554" t="inlineStr">
        <is>
          <t>тыс.т</t>
        </is>
      </c>
    </row>
    <row r="485" ht="20.1" customHeight="1" s="904">
      <c r="B485" s="909" t="n"/>
      <c r="C485" s="27" t="inlineStr">
        <is>
          <t xml:space="preserve">              Уренгойский ЗПКТ</t>
        </is>
      </c>
      <c r="D485" s="15" t="n"/>
      <c r="E485" s="15" t="n"/>
      <c r="F485" s="16" t="n"/>
      <c r="G485" s="17">
        <f>G486+G487+G488</f>
        <v/>
      </c>
      <c r="H485" s="636" t="n"/>
      <c r="I485" s="17" t="n"/>
      <c r="J485" s="549" t="inlineStr">
        <is>
          <t>тыс.т</t>
        </is>
      </c>
    </row>
    <row r="486" ht="20.1" customHeight="1" s="904">
      <c r="B486" s="909" t="n"/>
      <c r="C486" s="737" t="inlineStr">
        <is>
          <t>от переработки на УДК/УСК</t>
        </is>
      </c>
      <c r="D486" s="15" t="n"/>
      <c r="E486" s="15" t="n"/>
      <c r="F486" s="16" t="n"/>
      <c r="G486" s="17" t="inlineStr">
        <is>
          <t>4_100331927</t>
        </is>
      </c>
      <c r="H486" s="636" t="n"/>
      <c r="I486" s="17" t="n"/>
      <c r="J486" s="554" t="inlineStr">
        <is>
          <t>тыс. т</t>
        </is>
      </c>
    </row>
    <row r="487" ht="20.1" customHeight="1" s="904">
      <c r="B487" s="909" t="n"/>
      <c r="C487" s="737" t="inlineStr">
        <is>
          <t>от переработки на УСК-2</t>
        </is>
      </c>
      <c r="D487" s="15" t="n"/>
      <c r="E487" s="15" t="n"/>
      <c r="F487" s="16" t="n"/>
      <c r="G487" s="17" t="inlineStr">
        <is>
          <t>4_100331928</t>
        </is>
      </c>
      <c r="H487" s="636" t="n"/>
      <c r="I487" s="17" t="n"/>
      <c r="J487" s="554" t="inlineStr">
        <is>
          <t>тыс. т</t>
        </is>
      </c>
    </row>
    <row r="488" ht="20.1" customHeight="1" s="904">
      <c r="B488" s="909" t="n"/>
      <c r="C488" s="40" t="inlineStr">
        <is>
          <t>нефть с НПС</t>
        </is>
      </c>
      <c r="D488" s="15" t="n"/>
      <c r="E488" s="15" t="n"/>
      <c r="F488" s="16" t="n"/>
      <c r="G488" s="17" t="inlineStr">
        <is>
          <t>4_100335100</t>
        </is>
      </c>
      <c r="H488" s="636" t="n"/>
      <c r="I488" s="17" t="n"/>
      <c r="J488" s="554" t="inlineStr">
        <is>
          <t>тыс. т</t>
        </is>
      </c>
    </row>
    <row r="489" ht="20.1" customHeight="1" s="904">
      <c r="B489" s="909" t="n"/>
      <c r="C489" s="27" t="inlineStr">
        <is>
          <t xml:space="preserve">                Сургутский ЗСК</t>
        </is>
      </c>
      <c r="D489" s="15" t="n"/>
      <c r="E489" s="15" t="n"/>
      <c r="F489" s="16" t="n"/>
      <c r="G489" s="17" t="inlineStr">
        <is>
          <t>4_100331929</t>
        </is>
      </c>
      <c r="H489" s="636" t="n"/>
      <c r="I489" s="17" t="n"/>
      <c r="J489" s="549" t="inlineStr">
        <is>
          <t>тыс.т</t>
        </is>
      </c>
    </row>
    <row r="490" ht="20.1" customHeight="1" s="904">
      <c r="B490" s="909" t="n"/>
      <c r="C490" s="781" t="inlineStr">
        <is>
          <t>Газпром добыча Уренгой</t>
        </is>
      </c>
      <c r="D490" s="15" t="n"/>
      <c r="E490" s="15" t="n"/>
      <c r="F490" s="16" t="n"/>
      <c r="G490" s="17">
        <f>G491</f>
        <v/>
      </c>
      <c r="H490" s="636" t="n"/>
      <c r="I490" s="17" t="n"/>
      <c r="J490" s="24" t="inlineStr">
        <is>
          <t>тыс. т</t>
        </is>
      </c>
    </row>
    <row r="491" ht="20.1" customHeight="1" s="904">
      <c r="B491" s="909" t="n"/>
      <c r="C491" s="737" t="inlineStr">
        <is>
          <t>нефть</t>
        </is>
      </c>
      <c r="D491" s="15" t="n"/>
      <c r="E491" s="15" t="n"/>
      <c r="F491" s="16" t="n"/>
      <c r="G491" s="17">
        <f>0</f>
        <v/>
      </c>
      <c r="H491" s="636" t="n"/>
      <c r="I491" s="17" t="n"/>
      <c r="J491" s="554" t="inlineStr">
        <is>
          <t>тыс.т</t>
        </is>
      </c>
    </row>
    <row r="492" ht="20.1" customHeight="1" s="904">
      <c r="B492" s="909" t="n"/>
      <c r="C492" s="781" t="inlineStr">
        <is>
          <t>Газпром добыча Иркутск</t>
        </is>
      </c>
      <c r="D492" s="15" t="n"/>
      <c r="E492" s="15" t="n"/>
      <c r="F492" s="16" t="n"/>
      <c r="G492" s="17">
        <f>G493+G494</f>
        <v/>
      </c>
      <c r="H492" s="636" t="n"/>
      <c r="I492" s="17" t="n"/>
      <c r="J492" s="24" t="inlineStr">
        <is>
          <t>тыс. т</t>
        </is>
      </c>
    </row>
    <row r="493" ht="20.1" customHeight="1" s="904">
      <c r="B493" s="909" t="n"/>
      <c r="C493" s="737" t="inlineStr">
        <is>
          <t>Ковыктинское ГКМ</t>
        </is>
      </c>
      <c r="D493" s="15" t="n"/>
      <c r="E493" s="15" t="n"/>
      <c r="F493" s="16" t="n"/>
      <c r="G493" s="17" t="inlineStr">
        <is>
          <t>12_100335331</t>
        </is>
      </c>
      <c r="H493" s="636" t="n"/>
      <c r="I493" s="17" t="n"/>
      <c r="J493" s="554" t="inlineStr">
        <is>
          <t>тыс.т</t>
        </is>
      </c>
    </row>
    <row r="494" ht="20.1" customHeight="1" s="904">
      <c r="B494" s="909" t="n"/>
      <c r="C494" s="737" t="inlineStr">
        <is>
          <t>Чиканское ГКМ</t>
        </is>
      </c>
      <c r="D494" s="15" t="n"/>
      <c r="E494" s="15" t="n"/>
      <c r="F494" s="16" t="n"/>
      <c r="G494" s="17">
        <f>0</f>
        <v/>
      </c>
      <c r="H494" s="636" t="n"/>
      <c r="I494" s="17" t="n"/>
      <c r="J494" s="554" t="inlineStr">
        <is>
          <t>тыс.т</t>
        </is>
      </c>
    </row>
    <row r="495" ht="20.1" customHeight="1" s="904">
      <c r="B495" s="909" t="n"/>
      <c r="C495" s="781" t="inlineStr">
        <is>
          <t>Газпром добыча шельф Южно-Сахалинск</t>
        </is>
      </c>
      <c r="D495" s="15" t="n"/>
      <c r="E495" s="15" t="n"/>
      <c r="F495" s="16" t="n"/>
      <c r="G495" s="17">
        <f>G496</f>
        <v/>
      </c>
      <c r="H495" s="636" t="n"/>
      <c r="I495" s="17" t="n"/>
      <c r="J495" s="24" t="inlineStr">
        <is>
          <t>тыс. т</t>
        </is>
      </c>
    </row>
    <row r="496" ht="20.1" customHeight="1" s="904">
      <c r="B496" s="909" t="n"/>
      <c r="C496" s="737" t="inlineStr">
        <is>
          <t>конденсат (Киринское ГКМ)</t>
        </is>
      </c>
      <c r="D496" s="15" t="n"/>
      <c r="E496" s="15" t="n"/>
      <c r="F496" s="16" t="n"/>
      <c r="G496" s="17" t="inlineStr">
        <is>
          <t>13_100330880</t>
        </is>
      </c>
      <c r="H496" s="636" t="n"/>
      <c r="I496" s="17" t="n"/>
      <c r="J496" s="554" t="inlineStr">
        <is>
          <t>тыс.т</t>
        </is>
      </c>
    </row>
    <row r="497" ht="20.1" customHeight="1" s="904">
      <c r="B497" s="909" t="n"/>
      <c r="C497" s="781" t="inlineStr">
        <is>
          <t>Газпром добыча Ноябрьск</t>
        </is>
      </c>
      <c r="D497" s="15" t="n"/>
      <c r="E497" s="15" t="n"/>
      <c r="F497" s="16" t="n"/>
      <c r="G497" s="17">
        <f>G498+G499</f>
        <v/>
      </c>
      <c r="H497" s="636" t="n"/>
      <c r="I497" s="17" t="n"/>
      <c r="J497" s="24" t="inlineStr">
        <is>
          <t>тыс. т</t>
        </is>
      </c>
    </row>
    <row r="498" ht="20.1" customHeight="1" s="904">
      <c r="B498" s="909" t="n"/>
      <c r="C498" s="737" t="inlineStr">
        <is>
          <t>конденсат (Чаяндинское НГКМ)</t>
        </is>
      </c>
      <c r="D498" s="15" t="n"/>
      <c r="E498" s="15" t="n"/>
      <c r="F498" s="16" t="n"/>
      <c r="G498" s="17" t="inlineStr">
        <is>
          <t>10_100335094</t>
        </is>
      </c>
      <c r="H498" s="636" t="n"/>
      <c r="I498" s="17" t="n"/>
      <c r="J498" s="554" t="inlineStr">
        <is>
          <t>тыс.т</t>
        </is>
      </c>
    </row>
    <row r="499" ht="20.1" customHeight="1" s="904">
      <c r="B499" s="909" t="n"/>
      <c r="C499" s="737" t="inlineStr">
        <is>
          <t>нефть (Чаяндинское НГКМ)</t>
        </is>
      </c>
      <c r="D499" s="15" t="n"/>
      <c r="E499" s="15" t="n"/>
      <c r="F499" s="16" t="n"/>
      <c r="G499" s="17" t="inlineStr">
        <is>
          <t>10_100335047</t>
        </is>
      </c>
      <c r="H499" s="636" t="n"/>
      <c r="I499" s="17" t="n"/>
      <c r="J499" s="554" t="inlineStr">
        <is>
          <t>тыс.т</t>
        </is>
      </c>
    </row>
    <row r="500" ht="20.1" customHeight="1" s="904">
      <c r="B500" s="909" t="n"/>
      <c r="C500" s="737" t="inlineStr">
        <is>
          <t>в т.ч. собственные нужды</t>
        </is>
      </c>
      <c r="D500" s="15" t="n"/>
      <c r="E500" s="15" t="n"/>
      <c r="F500" s="16" t="n"/>
      <c r="G500" s="17" t="inlineStr">
        <is>
          <t>10_100335048</t>
        </is>
      </c>
      <c r="H500" s="636" t="n"/>
      <c r="I500" s="17" t="n"/>
      <c r="J500" s="554" t="inlineStr">
        <is>
          <t>тыс.т</t>
        </is>
      </c>
    </row>
    <row r="501" ht="20.1" customHeight="1" s="904">
      <c r="B501" s="909" t="n"/>
      <c r="C501" s="781" t="inlineStr">
        <is>
          <t>Газпром СПГ Портовая</t>
        </is>
      </c>
      <c r="D501" s="15" t="n"/>
      <c r="E501" s="15" t="n"/>
      <c r="F501" s="16" t="n"/>
      <c r="G501" s="17">
        <f>G502</f>
        <v/>
      </c>
      <c r="H501" s="636" t="n"/>
      <c r="I501" s="17" t="n"/>
      <c r="J501" s="24" t="inlineStr">
        <is>
          <t>тыс. т</t>
        </is>
      </c>
    </row>
    <row r="502" ht="20.1" customHeight="1" s="904">
      <c r="B502" s="909" t="n"/>
      <c r="C502" s="27" t="inlineStr">
        <is>
          <t>КСПГ Портовая</t>
        </is>
      </c>
      <c r="D502" s="15" t="n"/>
      <c r="E502" s="15" t="n"/>
      <c r="F502" s="16" t="n"/>
      <c r="G502" s="17" t="inlineStr">
        <is>
          <t>15_100335852+15_100335474</t>
        </is>
      </c>
      <c r="H502" s="636" t="n"/>
      <c r="I502" s="17" t="n"/>
      <c r="J502" s="549" t="inlineStr">
        <is>
          <t>тыс. т</t>
        </is>
      </c>
    </row>
    <row r="503" ht="20.1" customHeight="1" s="904">
      <c r="B503" s="909" t="n"/>
      <c r="C503" s="781" t="inlineStr">
        <is>
          <t>Газпром трансгаз Санкт-Петербург*</t>
        </is>
      </c>
      <c r="D503" s="15" t="n"/>
      <c r="E503" s="15" t="n"/>
      <c r="F503" s="16" t="n"/>
      <c r="G503" s="17">
        <f>0</f>
        <v/>
      </c>
      <c r="H503" s="636" t="n"/>
      <c r="I503" s="17" t="n"/>
      <c r="J503" s="24" t="inlineStr">
        <is>
          <t>тыс.т</t>
        </is>
      </c>
    </row>
    <row r="504" ht="20.1" customHeight="1" s="904">
      <c r="B504" s="909" t="n"/>
      <c r="C504" s="781" t="inlineStr">
        <is>
          <t>Газпром трансгаз Краснодар*</t>
        </is>
      </c>
      <c r="D504" s="15" t="n"/>
      <c r="E504" s="15" t="n"/>
      <c r="F504" s="16" t="n"/>
      <c r="G504" s="17">
        <f>0</f>
        <v/>
      </c>
      <c r="H504" s="636" t="n"/>
      <c r="I504" s="17" t="n"/>
      <c r="J504" s="24" t="inlineStr">
        <is>
          <t>тыс. т</t>
        </is>
      </c>
    </row>
    <row r="505" ht="20.1" customHeight="1" s="904">
      <c r="B505" s="20" t="inlineStr">
        <is>
          <t>8.2.</t>
        </is>
      </c>
      <c r="C505" s="28" t="inlineStr">
        <is>
          <t>Дочерние общества</t>
        </is>
      </c>
      <c r="D505" s="15" t="n"/>
      <c r="E505" s="15" t="n"/>
      <c r="F505" s="16" t="n"/>
      <c r="G505" s="17">
        <f>G508+G518+G521+G524+G515+G526+G531+G536</f>
        <v/>
      </c>
      <c r="H505" s="636" t="n"/>
      <c r="I505" s="17" t="n"/>
      <c r="J505" s="24" t="inlineStr">
        <is>
          <t>тыс.т</t>
        </is>
      </c>
    </row>
    <row r="506" hidden="1" outlineLevel="1" ht="20.1" customHeight="1" s="904">
      <c r="B506" s="909" t="n"/>
      <c r="C506" s="25" t="inlineStr">
        <is>
          <t>Газпром добыча Астрахань</t>
        </is>
      </c>
      <c r="D506" s="15" t="n"/>
      <c r="E506" s="15" t="n"/>
      <c r="F506" s="16" t="n"/>
      <c r="G506" s="17" t="n"/>
      <c r="H506" s="636" t="n"/>
      <c r="I506" s="17" t="n"/>
      <c r="J506" s="24" t="inlineStr">
        <is>
          <t>тыс.т</t>
        </is>
      </c>
    </row>
    <row r="507" hidden="1" outlineLevel="1" ht="20.1" customHeight="1" s="904">
      <c r="B507" s="909" t="n"/>
      <c r="C507" s="29" t="inlineStr">
        <is>
          <t>Астраханский ГПЗ</t>
        </is>
      </c>
      <c r="D507" s="15" t="n"/>
      <c r="E507" s="15" t="n"/>
      <c r="F507" s="16" t="n"/>
      <c r="G507" s="17" t="n"/>
      <c r="H507" s="636" t="n"/>
      <c r="I507" s="17" t="n"/>
      <c r="J507" s="549" t="inlineStr">
        <is>
          <t>тыс.т</t>
        </is>
      </c>
    </row>
    <row r="508" collapsed="1" ht="20.1" customHeight="1" s="904">
      <c r="B508" s="909" t="n"/>
      <c r="C508" s="781" t="inlineStr">
        <is>
          <t xml:space="preserve">   Газпром переработка</t>
        </is>
      </c>
      <c r="D508" s="15" t="n"/>
      <c r="E508" s="15" t="n"/>
      <c r="F508" s="16" t="n"/>
      <c r="G508" s="17">
        <f>G509</f>
        <v/>
      </c>
      <c r="H508" s="636" t="n"/>
      <c r="I508" s="17" t="n"/>
      <c r="J508" s="24" t="inlineStr">
        <is>
          <t>тыс.т</t>
        </is>
      </c>
    </row>
    <row r="509" ht="20.1" customHeight="1" s="904">
      <c r="B509" s="909" t="n"/>
      <c r="C509" s="27" t="inlineStr">
        <is>
          <t xml:space="preserve"> Оренбургский ГХК</t>
        </is>
      </c>
      <c r="D509" s="15" t="n"/>
      <c r="E509" s="15" t="n"/>
      <c r="F509" s="16" t="n"/>
      <c r="G509" s="17">
        <f>G510+G513+G514</f>
        <v/>
      </c>
      <c r="H509" s="636" t="n"/>
      <c r="I509" s="17" t="n"/>
      <c r="J509" s="549" t="inlineStr">
        <is>
          <t>тыс.т</t>
        </is>
      </c>
    </row>
    <row r="510" ht="20.1" customHeight="1" s="904">
      <c r="B510" s="909" t="n"/>
      <c r="C510" s="737" t="inlineStr">
        <is>
          <t>Газпром добыча Оренбург</t>
        </is>
      </c>
      <c r="D510" s="15" t="n"/>
      <c r="E510" s="15" t="n"/>
      <c r="F510" s="16" t="n"/>
      <c r="G510" s="17" t="inlineStr">
        <is>
          <t>2_100332269</t>
        </is>
      </c>
      <c r="H510" s="636" t="n"/>
      <c r="I510" s="17" t="n"/>
      <c r="J510" s="554" t="inlineStr">
        <is>
          <t>тыс.т</t>
        </is>
      </c>
    </row>
    <row r="511" ht="20.1" customHeight="1" s="904">
      <c r="B511" s="909" t="n"/>
      <c r="C511" s="737" t="inlineStr">
        <is>
          <t xml:space="preserve"> в т.ч. собственная потребность ГПП</t>
        </is>
      </c>
      <c r="D511" s="15" t="n"/>
      <c r="E511" s="15" t="n"/>
      <c r="F511" s="16" t="n"/>
      <c r="G511" s="17">
        <f>0</f>
        <v/>
      </c>
      <c r="H511" s="636" t="n"/>
      <c r="I511" s="17" t="n"/>
      <c r="J511" s="554" t="inlineStr">
        <is>
          <t>тыс.т</t>
        </is>
      </c>
    </row>
    <row r="512" ht="20.1" customHeight="1" s="904">
      <c r="B512" s="909" t="n"/>
      <c r="C512" s="737" t="inlineStr">
        <is>
          <t xml:space="preserve"> собственная потребность ГДО</t>
        </is>
      </c>
      <c r="D512" s="15" t="n"/>
      <c r="E512" s="15" t="n"/>
      <c r="F512" s="16" t="n"/>
      <c r="G512" s="17" t="inlineStr">
        <is>
          <t>2_100332270</t>
        </is>
      </c>
      <c r="H512" s="636" t="n"/>
      <c r="I512" s="17" t="n"/>
      <c r="J512" s="554" t="inlineStr">
        <is>
          <t>тыс.т</t>
        </is>
      </c>
    </row>
    <row r="513" ht="20.1" customHeight="1" s="904">
      <c r="B513" s="909" t="n"/>
      <c r="C513" s="737" t="inlineStr">
        <is>
          <t>Газпром нефть</t>
        </is>
      </c>
      <c r="D513" s="15" t="n"/>
      <c r="E513" s="15" t="n"/>
      <c r="F513" s="16" t="n"/>
      <c r="G513" s="17" t="inlineStr">
        <is>
          <t>2_100332271</t>
        </is>
      </c>
      <c r="H513" s="636" t="n"/>
      <c r="I513" s="17" t="n"/>
      <c r="J513" s="554" t="inlineStr">
        <is>
          <t>тыс.т</t>
        </is>
      </c>
    </row>
    <row r="514" ht="20.1" customHeight="1" s="904">
      <c r="B514" s="909" t="n"/>
      <c r="C514" s="40" t="inlineStr">
        <is>
          <t>прочие поставщики (ГПНЗ, УНГП, и.т.д.)</t>
        </is>
      </c>
      <c r="D514" s="15" t="n"/>
      <c r="E514" s="15" t="n"/>
      <c r="F514" s="16" t="n"/>
      <c r="G514" s="17" t="inlineStr">
        <is>
          <t>2_100332959</t>
        </is>
      </c>
      <c r="H514" s="636" t="n"/>
      <c r="I514" s="17" t="n"/>
      <c r="J514" s="554" t="inlineStr">
        <is>
          <t>тыс.т</t>
        </is>
      </c>
    </row>
    <row r="515" ht="20.1" customHeight="1" s="904">
      <c r="B515" s="909" t="n"/>
      <c r="C515" s="781" t="inlineStr">
        <is>
          <t>Газпром добыча Уренгой</t>
        </is>
      </c>
      <c r="D515" s="15" t="n"/>
      <c r="E515" s="15" t="n"/>
      <c r="F515" s="16" t="n"/>
      <c r="G515" s="17">
        <f>G516+G517</f>
        <v/>
      </c>
      <c r="H515" s="636" t="n"/>
      <c r="I515" s="17" t="n"/>
      <c r="J515" s="24" t="inlineStr">
        <is>
          <t>тыс. т</t>
        </is>
      </c>
    </row>
    <row r="516" ht="20.1" customHeight="1" s="904">
      <c r="B516" s="909" t="n"/>
      <c r="C516" s="567" t="inlineStr">
        <is>
          <t xml:space="preserve">               нефть (Уренгойское НГКМ)</t>
        </is>
      </c>
      <c r="D516" s="15" t="n"/>
      <c r="E516" s="15" t="n"/>
      <c r="F516" s="16" t="n"/>
      <c r="G516" s="17" t="inlineStr">
        <is>
          <t>8_100333681+8_100335156</t>
        </is>
      </c>
      <c r="H516" s="636" t="n"/>
      <c r="I516" s="17" t="n"/>
      <c r="J516" s="549" t="inlineStr">
        <is>
          <t>тыс.т</t>
        </is>
      </c>
    </row>
    <row r="517" ht="20.1" customHeight="1" s="904">
      <c r="B517" s="909" t="n"/>
      <c r="C517" s="736" t="inlineStr">
        <is>
          <t xml:space="preserve">стаб. газ. конденсат, нефть ДРОД </t>
        </is>
      </c>
      <c r="D517" s="15" t="n"/>
      <c r="E517" s="15" t="n"/>
      <c r="F517" s="16" t="n"/>
      <c r="G517" s="17" t="inlineStr">
        <is>
          <t>8_100335917+8_100335916+8_100335911</t>
        </is>
      </c>
      <c r="H517" s="636" t="n"/>
      <c r="I517" s="17" t="n"/>
      <c r="J517" s="554" t="inlineStr">
        <is>
          <t>тыс.т</t>
        </is>
      </c>
    </row>
    <row r="518" ht="20.1" customHeight="1" s="904">
      <c r="B518" s="909" t="n"/>
      <c r="C518" s="781" t="inlineStr">
        <is>
          <t>Газпром добыча Краснодар</t>
        </is>
      </c>
      <c r="D518" s="15" t="n"/>
      <c r="E518" s="15" t="n"/>
      <c r="F518" s="16" t="n"/>
      <c r="G518" s="17">
        <f>G519+G520</f>
        <v/>
      </c>
      <c r="H518" s="636" t="n"/>
      <c r="I518" s="17" t="n"/>
      <c r="J518" s="24" t="inlineStr">
        <is>
          <t>тыс.т</t>
        </is>
      </c>
    </row>
    <row r="519" ht="20.1" customHeight="1" s="904">
      <c r="B519" s="909" t="n"/>
      <c r="C519" s="737" t="inlineStr">
        <is>
          <t xml:space="preserve">     в т. ч. НГКС</t>
        </is>
      </c>
      <c r="D519" s="15" t="n"/>
      <c r="E519" s="15" t="n"/>
      <c r="F519" s="16" t="n"/>
      <c r="G519" s="17" t="inlineStr">
        <is>
          <t>9_100330684</t>
        </is>
      </c>
      <c r="H519" s="636" t="n"/>
      <c r="I519" s="17" t="n"/>
      <c r="J519" s="554" t="inlineStr">
        <is>
          <t>тыс.т</t>
        </is>
      </c>
    </row>
    <row r="520" ht="20.1" customHeight="1" s="904">
      <c r="B520" s="909" t="n"/>
      <c r="C520" s="737" t="inlineStr">
        <is>
          <t>стаб. газовый конденсат</t>
        </is>
      </c>
      <c r="D520" s="15" t="n"/>
      <c r="E520" s="15" t="n"/>
      <c r="F520" s="16" t="n"/>
      <c r="G520" s="17" t="inlineStr">
        <is>
          <t>9_100330879</t>
        </is>
      </c>
      <c r="H520" s="636" t="n"/>
      <c r="I520" s="17" t="n"/>
      <c r="J520" s="554" t="inlineStr">
        <is>
          <t>тыс.т</t>
        </is>
      </c>
    </row>
    <row r="521" ht="20.1" customHeight="1" s="904">
      <c r="B521" s="909" t="n"/>
      <c r="C521" s="781" t="inlineStr">
        <is>
          <t xml:space="preserve">   Газпром добыча Ямбург</t>
        </is>
      </c>
      <c r="D521" s="15" t="n"/>
      <c r="E521" s="15" t="n"/>
      <c r="F521" s="16" t="n"/>
      <c r="G521" s="17">
        <f>G522+G523</f>
        <v/>
      </c>
      <c r="H521" s="636" t="n"/>
      <c r="I521" s="17" t="n"/>
      <c r="J521" s="24" t="inlineStr">
        <is>
          <t>тыс.т</t>
        </is>
      </c>
    </row>
    <row r="522" ht="20.1" customHeight="1" s="904">
      <c r="B522" s="909" t="n"/>
      <c r="C522" s="42" t="inlineStr">
        <is>
          <t>стаб. газовый конденсат (Заполярное НГКМ, Ямбургское НГКМ)</t>
        </is>
      </c>
      <c r="D522" s="15" t="n"/>
      <c r="E522" s="15" t="n"/>
      <c r="F522" s="16" t="n"/>
      <c r="G522" s="17" t="inlineStr">
        <is>
          <t>7_100330626</t>
        </is>
      </c>
      <c r="H522" s="636" t="n"/>
      <c r="I522" s="17" t="n"/>
      <c r="J522" s="554" t="inlineStr">
        <is>
          <t>тыс.т</t>
        </is>
      </c>
    </row>
    <row r="523" ht="20.1" customHeight="1" s="904">
      <c r="B523" s="909" t="n"/>
      <c r="C523" s="737" t="inlineStr">
        <is>
          <t>нефть (Заполярное НГКМ, Ямбургское НГКМ)</t>
        </is>
      </c>
      <c r="D523" s="15" t="n"/>
      <c r="E523" s="15" t="n"/>
      <c r="F523" s="16" t="n"/>
      <c r="G523" s="17" t="inlineStr">
        <is>
          <t>7_100330593+7_100330591</t>
        </is>
      </c>
      <c r="H523" s="636" t="n"/>
      <c r="I523" s="17" t="n"/>
      <c r="J523" s="554" t="inlineStr">
        <is>
          <t>тыс.т</t>
        </is>
      </c>
    </row>
    <row r="524" ht="20.1" customHeight="1" s="904">
      <c r="B524" s="909" t="n"/>
      <c r="C524" s="781" t="inlineStr">
        <is>
          <t>Сервиснефтегаз</t>
        </is>
      </c>
      <c r="D524" s="15" t="n"/>
      <c r="E524" s="15" t="n"/>
      <c r="F524" s="16" t="n"/>
      <c r="G524" s="17">
        <f>G525</f>
        <v/>
      </c>
      <c r="H524" s="636" t="n"/>
      <c r="I524" s="17" t="n"/>
      <c r="J524" s="24" t="inlineStr">
        <is>
          <t>тыс.т</t>
        </is>
      </c>
    </row>
    <row r="525" ht="20.1" customHeight="1" s="904">
      <c r="B525" s="909" t="n"/>
      <c r="C525" s="27" t="inlineStr">
        <is>
          <t>Оренбургский ГХК</t>
        </is>
      </c>
      <c r="D525" s="15" t="n"/>
      <c r="E525" s="15" t="n"/>
      <c r="F525" s="16" t="n"/>
      <c r="G525" s="17" t="inlineStr">
        <is>
          <t>2_100332273</t>
        </is>
      </c>
      <c r="H525" s="636" t="n"/>
      <c r="I525" s="17" t="n"/>
      <c r="J525" s="549" t="inlineStr">
        <is>
          <t>тыс.т</t>
        </is>
      </c>
    </row>
    <row r="526" ht="20.1" customHeight="1" s="904">
      <c r="B526" s="909" t="n"/>
      <c r="C526" s="781" t="inlineStr">
        <is>
          <t>Газпром добыча Ноябрьск</t>
        </is>
      </c>
      <c r="D526" s="15" t="n"/>
      <c r="E526" s="15" t="n"/>
      <c r="F526" s="16" t="n"/>
      <c r="G526" s="17">
        <f>G527+G528+G529+G530</f>
        <v/>
      </c>
      <c r="H526" s="636" t="n"/>
      <c r="I526" s="17" t="n"/>
      <c r="J526" s="24" t="inlineStr">
        <is>
          <t>тыс. т</t>
        </is>
      </c>
    </row>
    <row r="527" ht="20.1" customHeight="1" s="904">
      <c r="B527" s="909" t="n"/>
      <c r="C527" s="43" t="inlineStr">
        <is>
          <t>конденсат (Камчат. ГПУ - Кшукское ГКМ, Нижне-Квакчикское ГКМ)</t>
        </is>
      </c>
      <c r="D527" s="15" t="n"/>
      <c r="E527" s="15" t="n"/>
      <c r="F527" s="16" t="n"/>
      <c r="G527" s="17" t="inlineStr">
        <is>
          <t>10_100330725</t>
        </is>
      </c>
      <c r="H527" s="636" t="n"/>
      <c r="I527" s="17" t="n"/>
      <c r="J527" s="554" t="inlineStr">
        <is>
          <t>тыс.т</t>
        </is>
      </c>
    </row>
    <row r="528" ht="20.1" customHeight="1" s="904">
      <c r="B528" s="909" t="n"/>
      <c r="C528" s="737" t="inlineStr">
        <is>
          <t>нефть (Западно-Таркосалинское НГКМ)</t>
        </is>
      </c>
      <c r="D528" s="15" t="n"/>
      <c r="E528" s="15" t="n"/>
      <c r="F528" s="16" t="n"/>
      <c r="G528" s="17" t="inlineStr">
        <is>
          <t>10_100330862</t>
        </is>
      </c>
      <c r="H528" s="636" t="n"/>
      <c r="I528" s="17" t="n"/>
      <c r="J528" s="554" t="inlineStr">
        <is>
          <t>тыс.т</t>
        </is>
      </c>
    </row>
    <row r="529" ht="20.1" customHeight="1" s="904">
      <c r="B529" s="909" t="n"/>
      <c r="C529" s="737" t="inlineStr">
        <is>
          <t>НГКС (Тас-Юряхское НГКМ)</t>
        </is>
      </c>
      <c r="D529" s="15" t="n"/>
      <c r="E529" s="15" t="n"/>
      <c r="F529" s="16" t="n"/>
      <c r="G529" s="17" t="inlineStr">
        <is>
          <t>10_100336142</t>
        </is>
      </c>
      <c r="H529" s="636" t="n"/>
      <c r="I529" s="17" t="n"/>
      <c r="J529" s="554" t="inlineStr">
        <is>
          <t>тыс.т</t>
        </is>
      </c>
    </row>
    <row r="530" ht="20.1" customHeight="1" s="904">
      <c r="B530" s="909" t="n"/>
      <c r="C530" s="779" t="inlineStr">
        <is>
          <t>НГКС (Верхневилючанское НГКМ)</t>
        </is>
      </c>
      <c r="D530" s="15" t="n"/>
      <c r="E530" s="15" t="n"/>
      <c r="F530" s="16" t="n"/>
      <c r="G530" s="17" t="inlineStr">
        <is>
          <t>10_100337134</t>
        </is>
      </c>
      <c r="H530" s="636" t="n"/>
      <c r="I530" s="17" t="n"/>
      <c r="J530" s="554" t="n"/>
    </row>
    <row r="531" ht="20.1" customHeight="1" s="904">
      <c r="B531" s="909" t="n"/>
      <c r="C531" s="781" t="inlineStr">
        <is>
          <t>Газпром добыча Надым</t>
        </is>
      </c>
      <c r="D531" s="15" t="n"/>
      <c r="E531" s="15" t="n"/>
      <c r="F531" s="16" t="n"/>
      <c r="G531" s="17" t="inlineStr">
        <is>
          <t>11_100330100</t>
        </is>
      </c>
      <c r="H531" s="636" t="n"/>
      <c r="I531" s="17" t="n"/>
      <c r="J531" s="24" t="inlineStr">
        <is>
          <t>тыс. т</t>
        </is>
      </c>
    </row>
    <row r="532" ht="20.1" customHeight="1" s="904">
      <c r="B532" s="909" t="n"/>
      <c r="C532" s="738" t="inlineStr">
        <is>
          <t>в т.ч. Медвежье НКГМ</t>
        </is>
      </c>
      <c r="D532" s="15" t="n"/>
      <c r="E532" s="15" t="n"/>
      <c r="F532" s="16" t="n"/>
      <c r="G532" s="17" t="inlineStr">
        <is>
          <t>11_100330702</t>
        </is>
      </c>
      <c r="H532" s="636" t="n"/>
      <c r="I532" s="17" t="n"/>
      <c r="J532" s="554" t="inlineStr">
        <is>
          <t>тыс.т</t>
        </is>
      </c>
    </row>
    <row r="533" ht="20.1" customHeight="1" s="904">
      <c r="B533" s="909" t="n"/>
      <c r="C533" s="738" t="inlineStr">
        <is>
          <t>в т.ч. Юбилейное НГКМ</t>
        </is>
      </c>
      <c r="D533" s="15" t="n"/>
      <c r="E533" s="15" t="n"/>
      <c r="F533" s="16" t="n"/>
      <c r="G533" s="17" t="inlineStr">
        <is>
          <t>11_100330703</t>
        </is>
      </c>
      <c r="H533" s="636" t="n"/>
      <c r="I533" s="17" t="n"/>
      <c r="J533" s="554" t="inlineStr">
        <is>
          <t>тыс.т</t>
        </is>
      </c>
    </row>
    <row r="534" ht="20.1" customHeight="1" s="904">
      <c r="B534" s="909" t="n"/>
      <c r="C534" s="738" t="inlineStr">
        <is>
          <t>в т.ч. Бованенковское НГКМ</t>
        </is>
      </c>
      <c r="D534" s="15" t="n"/>
      <c r="E534" s="15" t="n"/>
      <c r="F534" s="16" t="n"/>
      <c r="G534" s="17" t="inlineStr">
        <is>
          <t>11_100330704</t>
        </is>
      </c>
      <c r="H534" s="636" t="n"/>
      <c r="I534" s="17" t="n"/>
      <c r="J534" s="554" t="inlineStr">
        <is>
          <t>тыс.т</t>
        </is>
      </c>
    </row>
    <row r="535" ht="20.1" customHeight="1" s="904">
      <c r="B535" s="909" t="n"/>
      <c r="C535" s="738" t="inlineStr">
        <is>
          <t>в т.ч. Харасавейское ГКМ</t>
        </is>
      </c>
      <c r="D535" s="15" t="n"/>
      <c r="E535" s="15" t="n"/>
      <c r="F535" s="16" t="n"/>
      <c r="G535" s="17" t="inlineStr">
        <is>
          <t>11_100333688</t>
        </is>
      </c>
      <c r="H535" s="636" t="n"/>
      <c r="I535" s="17" t="n"/>
      <c r="J535" s="554" t="inlineStr">
        <is>
          <t>тыс.т</t>
        </is>
      </c>
    </row>
    <row r="536" ht="20.1" customHeight="1" s="904">
      <c r="B536" s="909" t="n"/>
      <c r="C536" s="781" t="inlineStr">
        <is>
          <t>Газпром ГНП холдинг</t>
        </is>
      </c>
      <c r="D536" s="15" t="n"/>
      <c r="E536" s="15" t="n"/>
      <c r="F536" s="16" t="n"/>
      <c r="G536" s="17">
        <f>G537</f>
        <v/>
      </c>
      <c r="H536" s="636" t="n"/>
      <c r="I536" s="17" t="n"/>
      <c r="J536" s="24" t="inlineStr">
        <is>
          <t>тыс.т</t>
        </is>
      </c>
    </row>
    <row r="537" ht="20.1" customHeight="1" s="904">
      <c r="B537" s="909" t="n"/>
      <c r="C537" s="27" t="inlineStr">
        <is>
          <t>Сосногорский ГПЗ</t>
        </is>
      </c>
      <c r="D537" s="15" t="n"/>
      <c r="E537" s="15" t="n"/>
      <c r="F537" s="16" t="n"/>
      <c r="G537" s="17">
        <f>G538</f>
        <v/>
      </c>
      <c r="H537" s="636" t="n"/>
      <c r="I537" s="17" t="n"/>
      <c r="J537" s="549" t="inlineStr">
        <is>
          <t>тыс.т</t>
        </is>
      </c>
    </row>
    <row r="538" ht="20.1" customHeight="1" s="904">
      <c r="B538" s="909" t="n"/>
      <c r="C538" s="737" t="inlineStr">
        <is>
          <t>ЛУКОЙЛ-Коми</t>
        </is>
      </c>
      <c r="D538" s="15" t="n"/>
      <c r="E538" s="15" t="n"/>
      <c r="F538" s="16" t="n"/>
      <c r="G538" s="17" t="inlineStr">
        <is>
          <t>3_100330582</t>
        </is>
      </c>
      <c r="H538" s="636" t="n"/>
      <c r="I538" s="17" t="n"/>
      <c r="J538" s="554" t="inlineStr">
        <is>
          <t>тыс.т</t>
        </is>
      </c>
    </row>
    <row r="539" ht="20.1" customHeight="1" s="904">
      <c r="B539" s="909" t="inlineStr">
        <is>
          <t>9.</t>
        </is>
      </c>
      <c r="C539" s="735" t="inlineStr">
        <is>
          <t>Стабильный газовый конденсат и нефть товарные-всего</t>
        </is>
      </c>
      <c r="D539" s="15" t="n"/>
      <c r="E539" s="15" t="n"/>
      <c r="F539" s="16" t="n"/>
      <c r="G539" s="17">
        <f>G540+G546+G547+G550+G551+G552+G553+G554+G555+G557+G558</f>
        <v/>
      </c>
      <c r="H539" s="636" t="n"/>
      <c r="I539" s="17" t="n"/>
      <c r="J539" s="24" t="n"/>
    </row>
    <row r="540" ht="20.1" customHeight="1" s="904">
      <c r="B540" s="909" t="n"/>
      <c r="C540" s="781" t="inlineStr">
        <is>
          <t xml:space="preserve">   Газпром переработка</t>
        </is>
      </c>
      <c r="D540" s="15" t="n"/>
      <c r="E540" s="15" t="n"/>
      <c r="F540" s="16" t="n"/>
      <c r="G540" s="17">
        <f>G541+G542+G543+G544+G545</f>
        <v/>
      </c>
      <c r="H540" s="636" t="n"/>
      <c r="I540" s="17" t="n"/>
      <c r="J540" s="24" t="inlineStr">
        <is>
          <t>тыс.т</t>
        </is>
      </c>
    </row>
    <row r="541" ht="20.1" customHeight="1" s="904">
      <c r="B541" s="909" t="n"/>
      <c r="C541" s="27" t="inlineStr">
        <is>
          <t>Астраханский ГПЗ</t>
        </is>
      </c>
      <c r="D541" s="15" t="n"/>
      <c r="E541" s="15" t="n"/>
      <c r="F541" s="16" t="n"/>
      <c r="G541" s="17">
        <f>G561+G591</f>
        <v/>
      </c>
      <c r="H541" s="636" t="n"/>
      <c r="I541" s="17" t="n"/>
      <c r="J541" s="549" t="inlineStr">
        <is>
          <t>тыс.т</t>
        </is>
      </c>
    </row>
    <row r="542" ht="20.1" customHeight="1" s="904">
      <c r="B542" s="909" t="n"/>
      <c r="C542" s="27" t="inlineStr">
        <is>
          <t>Оренбургский ГХК</t>
        </is>
      </c>
      <c r="D542" s="15" t="n"/>
      <c r="E542" s="15" t="n"/>
      <c r="F542" s="16" t="n"/>
      <c r="G542" s="17">
        <f>G563+G601</f>
        <v/>
      </c>
      <c r="H542" s="636" t="n"/>
      <c r="I542" s="17" t="n"/>
      <c r="J542" s="549" t="inlineStr">
        <is>
          <t>тыс.т</t>
        </is>
      </c>
    </row>
    <row r="543" ht="20.1" customHeight="1" s="904">
      <c r="B543" s="909" t="n"/>
      <c r="C543" s="27" t="inlineStr">
        <is>
          <t>Сосногорский ГПЗ</t>
        </is>
      </c>
      <c r="D543" s="15" t="n"/>
      <c r="E543" s="15" t="n"/>
      <c r="F543" s="16" t="n"/>
      <c r="G543" s="17">
        <f>G567+G613</f>
        <v/>
      </c>
      <c r="H543" s="636" t="n"/>
      <c r="I543" s="17" t="n"/>
      <c r="J543" s="549" t="inlineStr">
        <is>
          <t>тыс.т</t>
        </is>
      </c>
    </row>
    <row r="544" ht="20.1" customHeight="1" s="904">
      <c r="B544" s="909" t="n"/>
      <c r="C544" s="27" t="inlineStr">
        <is>
          <t xml:space="preserve">              Уренгойский ЗПКТ</t>
        </is>
      </c>
      <c r="D544" s="15" t="n"/>
      <c r="E544" s="15" t="n"/>
      <c r="F544" s="16" t="n"/>
      <c r="G544" s="17">
        <f>G568</f>
        <v/>
      </c>
      <c r="H544" s="636" t="n"/>
      <c r="I544" s="17" t="n"/>
      <c r="J544" s="549" t="inlineStr">
        <is>
          <t>тыс.т</t>
        </is>
      </c>
    </row>
    <row r="545" ht="20.1" customHeight="1" s="904">
      <c r="B545" s="909" t="n"/>
      <c r="C545" s="27" t="inlineStr">
        <is>
          <t xml:space="preserve">                Сургутский ЗСК</t>
        </is>
      </c>
      <c r="D545" s="15" t="n"/>
      <c r="E545" s="15" t="n"/>
      <c r="F545" s="16" t="n"/>
      <c r="G545" s="17">
        <f>G571</f>
        <v/>
      </c>
      <c r="H545" s="636" t="n"/>
      <c r="I545" s="17" t="n"/>
      <c r="J545" s="549" t="inlineStr">
        <is>
          <t>тыс.т</t>
        </is>
      </c>
    </row>
    <row r="546" ht="20.1" customHeight="1" s="904">
      <c r="B546" s="909" t="n"/>
      <c r="C546" s="781" t="inlineStr">
        <is>
          <t>Газпром добыча Уренгой</t>
        </is>
      </c>
      <c r="D546" s="15" t="n"/>
      <c r="E546" s="15" t="n"/>
      <c r="F546" s="16" t="n"/>
      <c r="G546" s="17">
        <f>G572+G592</f>
        <v/>
      </c>
      <c r="H546" s="636" t="n"/>
      <c r="I546" s="17" t="n"/>
      <c r="J546" s="24" t="inlineStr">
        <is>
          <t>тыс. т</t>
        </is>
      </c>
    </row>
    <row r="547" ht="20.1" customHeight="1" s="904">
      <c r="B547" s="909" t="n"/>
      <c r="C547" s="781" t="inlineStr">
        <is>
          <t>Газпром добыча Краснодар</t>
        </is>
      </c>
      <c r="D547" s="15" t="n"/>
      <c r="E547" s="15" t="n"/>
      <c r="F547" s="16" t="n"/>
      <c r="G547" s="17">
        <f>G548+G549</f>
        <v/>
      </c>
      <c r="H547" s="636" t="n"/>
      <c r="I547" s="17" t="n"/>
      <c r="J547" s="24" t="inlineStr">
        <is>
          <t>тыс.т</t>
        </is>
      </c>
    </row>
    <row r="548" ht="20.1" customHeight="1" s="904">
      <c r="B548" s="909" t="n"/>
      <c r="C548" s="737" t="inlineStr">
        <is>
          <t xml:space="preserve">     в т. ч. НГКС</t>
        </is>
      </c>
      <c r="D548" s="15" t="n"/>
      <c r="E548" s="15" t="n"/>
      <c r="F548" s="16" t="n"/>
      <c r="G548" s="17">
        <f>G595</f>
        <v/>
      </c>
      <c r="H548" s="636" t="n"/>
      <c r="I548" s="17" t="n"/>
      <c r="J548" s="554" t="inlineStr">
        <is>
          <t>тыс.т</t>
        </is>
      </c>
    </row>
    <row r="549" ht="20.1" customHeight="1" s="904">
      <c r="B549" s="909" t="n"/>
      <c r="C549" s="737" t="inlineStr">
        <is>
          <t>стаб. газовый конденсат</t>
        </is>
      </c>
      <c r="D549" s="15" t="n"/>
      <c r="E549" s="15" t="n"/>
      <c r="F549" s="16" t="n"/>
      <c r="G549" s="17">
        <f>G596</f>
        <v/>
      </c>
      <c r="H549" s="636" t="n"/>
      <c r="I549" s="17" t="n"/>
      <c r="J549" s="554" t="inlineStr">
        <is>
          <t>тыс.т</t>
        </is>
      </c>
    </row>
    <row r="550" ht="20.1" customHeight="1" s="904">
      <c r="B550" s="909" t="n"/>
      <c r="C550" s="781" t="inlineStr">
        <is>
          <t xml:space="preserve">   Газпром добыча Ямбург</t>
        </is>
      </c>
      <c r="D550" s="15" t="n"/>
      <c r="E550" s="15" t="n"/>
      <c r="F550" s="16" t="n"/>
      <c r="G550" s="17">
        <f>G581+G597</f>
        <v/>
      </c>
      <c r="H550" s="636" t="n"/>
      <c r="I550" s="17" t="n"/>
      <c r="J550" s="24" t="inlineStr">
        <is>
          <t>тыс.т</t>
        </is>
      </c>
    </row>
    <row r="551" ht="20.1" customHeight="1" s="904">
      <c r="B551" s="909" t="n"/>
      <c r="C551" s="781" t="inlineStr">
        <is>
          <t>Газпром добыча Иркутск</t>
        </is>
      </c>
      <c r="D551" s="15" t="n"/>
      <c r="E551" s="15" t="n"/>
      <c r="F551" s="16" t="n"/>
      <c r="G551" s="17">
        <f>G574</f>
        <v/>
      </c>
      <c r="H551" s="636" t="n"/>
      <c r="I551" s="17" t="n"/>
      <c r="J551" s="24" t="inlineStr">
        <is>
          <t>тыс. т</t>
        </is>
      </c>
    </row>
    <row r="552" ht="20.1" customHeight="1" s="904">
      <c r="B552" s="909" t="n"/>
      <c r="C552" s="781" t="inlineStr">
        <is>
          <t>Газпром добыча шельф Южно-Сахалинск</t>
        </is>
      </c>
      <c r="D552" s="15" t="n"/>
      <c r="E552" s="15" t="n"/>
      <c r="F552" s="16" t="n"/>
      <c r="G552" s="17">
        <f>G579</f>
        <v/>
      </c>
      <c r="H552" s="636" t="n"/>
      <c r="I552" s="17" t="n"/>
      <c r="J552" s="24" t="inlineStr">
        <is>
          <t>тыс. т</t>
        </is>
      </c>
    </row>
    <row r="553" ht="20.1" customHeight="1" s="904">
      <c r="B553" s="909" t="n"/>
      <c r="C553" s="781" t="inlineStr">
        <is>
          <t>Газпром добыча Ноябрьск</t>
        </is>
      </c>
      <c r="D553" s="15" t="n"/>
      <c r="E553" s="15" t="n"/>
      <c r="F553" s="16" t="n"/>
      <c r="G553" s="17">
        <f>G583+G607</f>
        <v/>
      </c>
      <c r="H553" s="636" t="n"/>
      <c r="I553" s="17" t="n"/>
      <c r="J553" s="24" t="inlineStr">
        <is>
          <t>тыс. т</t>
        </is>
      </c>
    </row>
    <row r="554" ht="20.1" customHeight="1" s="904">
      <c r="B554" s="909" t="n"/>
      <c r="C554" s="781" t="inlineStr">
        <is>
          <t>Газпром добыча Надым</t>
        </is>
      </c>
      <c r="D554" s="15" t="n"/>
      <c r="E554" s="15" t="n"/>
      <c r="F554" s="16" t="n"/>
      <c r="G554" s="17">
        <f>G602</f>
        <v/>
      </c>
      <c r="H554" s="636" t="n"/>
      <c r="I554" s="17" t="n"/>
      <c r="J554" s="24" t="inlineStr">
        <is>
          <t>тыс. т</t>
        </is>
      </c>
    </row>
    <row r="555" ht="20.1" customHeight="1" s="904">
      <c r="B555" s="909" t="n"/>
      <c r="C555" s="781" t="inlineStr">
        <is>
          <t>Газпром СПГ Портовая</t>
        </is>
      </c>
      <c r="D555" s="15" t="n"/>
      <c r="E555" s="15" t="n"/>
      <c r="F555" s="16" t="n"/>
      <c r="G555" s="17">
        <f>G556</f>
        <v/>
      </c>
      <c r="H555" s="636" t="n"/>
      <c r="I555" s="17" t="n"/>
      <c r="J555" s="24" t="inlineStr">
        <is>
          <t>тыс. т</t>
        </is>
      </c>
    </row>
    <row r="556" ht="20.1" customHeight="1" s="904">
      <c r="B556" s="909" t="n"/>
      <c r="C556" s="27" t="inlineStr">
        <is>
          <t>КСПГ Портовая</t>
        </is>
      </c>
      <c r="D556" s="15" t="n"/>
      <c r="E556" s="15" t="n"/>
      <c r="F556" s="16" t="n"/>
      <c r="G556" s="17">
        <f>G586</f>
        <v/>
      </c>
      <c r="H556" s="636" t="n"/>
      <c r="I556" s="17" t="n"/>
      <c r="J556" s="549" t="inlineStr">
        <is>
          <t>тыс. т</t>
        </is>
      </c>
    </row>
    <row r="557" ht="20.1" customHeight="1" s="904">
      <c r="B557" s="909" t="n"/>
      <c r="C557" s="781" t="inlineStr">
        <is>
          <t>Газпром трансгаз Санкт-Петербург*</t>
        </is>
      </c>
      <c r="D557" s="15" t="n"/>
      <c r="E557" s="15" t="n"/>
      <c r="F557" s="16" t="n"/>
      <c r="G557" s="17">
        <f>0</f>
        <v/>
      </c>
      <c r="H557" s="636" t="n"/>
      <c r="I557" s="17" t="n"/>
      <c r="J557" s="24" t="inlineStr">
        <is>
          <t>тыс. т</t>
        </is>
      </c>
    </row>
    <row r="558" ht="20.1" customHeight="1" s="904">
      <c r="B558" s="909" t="n"/>
      <c r="C558" s="781" t="inlineStr">
        <is>
          <t>Газпром трансгаз Краснодар*</t>
        </is>
      </c>
      <c r="D558" s="15" t="n"/>
      <c r="E558" s="15" t="n"/>
      <c r="F558" s="16" t="n"/>
      <c r="G558" s="17">
        <f>0</f>
        <v/>
      </c>
      <c r="H558" s="636" t="n"/>
      <c r="I558" s="17" t="n"/>
      <c r="J558" s="24" t="inlineStr">
        <is>
          <t>тыс. т</t>
        </is>
      </c>
    </row>
    <row r="559" ht="20.1" customHeight="1" s="904">
      <c r="B559" s="20" t="inlineStr">
        <is>
          <t>9.1.</t>
        </is>
      </c>
      <c r="C559" s="28" t="inlineStr">
        <is>
          <t>Газпром</t>
        </is>
      </c>
      <c r="D559" s="15" t="n"/>
      <c r="E559" s="15" t="n"/>
      <c r="F559" s="16" t="n"/>
      <c r="G559" s="17">
        <f>G560+G572+G574+G579+G581+G583+G585+G587+G588</f>
        <v/>
      </c>
      <c r="H559" s="636" t="n"/>
      <c r="I559" s="17" t="n"/>
      <c r="J559" s="24" t="inlineStr">
        <is>
          <t>тыс.т</t>
        </is>
      </c>
    </row>
    <row r="560" ht="20.1" customHeight="1" s="904">
      <c r="B560" s="909" t="n"/>
      <c r="C560" s="781" t="inlineStr">
        <is>
          <t xml:space="preserve">   Газпром переработка</t>
        </is>
      </c>
      <c r="D560" s="15" t="n"/>
      <c r="E560" s="15" t="n"/>
      <c r="F560" s="16" t="n"/>
      <c r="G560" s="17">
        <f>G561+G563+G567+G568+G571</f>
        <v/>
      </c>
      <c r="H560" s="636" t="n"/>
      <c r="I560" s="17" t="n"/>
      <c r="J560" s="24" t="inlineStr">
        <is>
          <t>тыс.т</t>
        </is>
      </c>
    </row>
    <row r="561" ht="20.1" customHeight="1" s="904">
      <c r="B561" s="909" t="n"/>
      <c r="C561" s="27" t="inlineStr">
        <is>
          <t>Астраханский ГПЗ</t>
        </is>
      </c>
      <c r="D561" s="15" t="n"/>
      <c r="E561" s="15" t="n"/>
      <c r="F561" s="16" t="n"/>
      <c r="G561" s="17" t="inlineStr">
        <is>
          <t>1_100332012</t>
        </is>
      </c>
      <c r="H561" s="636" t="n"/>
      <c r="I561" s="17" t="n"/>
      <c r="J561" s="549" t="inlineStr">
        <is>
          <t>тыс.т</t>
        </is>
      </c>
    </row>
    <row r="562" ht="20.1" customHeight="1" s="904">
      <c r="B562" s="909" t="n"/>
      <c r="C562" s="27" t="inlineStr">
        <is>
          <t>отгрузка с учетом изменения остатков</t>
        </is>
      </c>
      <c r="D562" s="15" t="n"/>
      <c r="E562" s="15" t="n"/>
      <c r="F562" s="16" t="n"/>
      <c r="G562" s="17" t="inlineStr">
        <is>
          <t>1_100332013</t>
        </is>
      </c>
      <c r="H562" s="636" t="n"/>
      <c r="I562" s="17" t="n"/>
      <c r="J562" s="24" t="inlineStr">
        <is>
          <t>тыс.т</t>
        </is>
      </c>
    </row>
    <row r="563" ht="20.1" customHeight="1" s="904">
      <c r="B563" s="909" t="n"/>
      <c r="C563" s="27" t="inlineStr">
        <is>
          <t>Оренбургский ГХК</t>
        </is>
      </c>
      <c r="D563" s="15" t="n"/>
      <c r="E563" s="15" t="n"/>
      <c r="F563" s="16" t="n"/>
      <c r="G563" s="17">
        <f>G564+G565+G566</f>
        <v/>
      </c>
      <c r="H563" s="636" t="n"/>
      <c r="I563" s="17" t="n"/>
      <c r="J563" s="549" t="inlineStr">
        <is>
          <t>тыс.т</t>
        </is>
      </c>
    </row>
    <row r="564" ht="20.1" customHeight="1" s="904">
      <c r="B564" s="909" t="n"/>
      <c r="C564" s="737" t="inlineStr">
        <is>
          <t>Газпром добыча Оренбург</t>
        </is>
      </c>
      <c r="D564" s="15" t="n"/>
      <c r="E564" s="15" t="n"/>
      <c r="F564" s="16" t="n"/>
      <c r="G564" s="17" t="inlineStr">
        <is>
          <t>2_100332255</t>
        </is>
      </c>
      <c r="H564" s="636" t="n"/>
      <c r="I564" s="17" t="n"/>
      <c r="J564" s="554" t="inlineStr">
        <is>
          <t>тыс.т</t>
        </is>
      </c>
    </row>
    <row r="565" ht="20.1" customHeight="1" s="904">
      <c r="B565" s="909" t="n"/>
      <c r="C565" s="737" t="inlineStr">
        <is>
          <t>Газпром нефть</t>
        </is>
      </c>
      <c r="D565" s="15" t="n"/>
      <c r="E565" s="15" t="n"/>
      <c r="F565" s="16" t="n"/>
      <c r="G565" s="17">
        <f>G513+G481</f>
        <v/>
      </c>
      <c r="H565" s="636" t="n"/>
      <c r="I565" s="17" t="n"/>
      <c r="J565" s="554" t="inlineStr">
        <is>
          <t>тыс.т</t>
        </is>
      </c>
    </row>
    <row r="566" ht="20.1" customHeight="1" s="904">
      <c r="B566" s="909" t="n"/>
      <c r="C566" s="562" t="inlineStr">
        <is>
          <t>прочие поставщики (ГПНЗ, УНГП, и.т.д.)</t>
        </is>
      </c>
      <c r="D566" s="15" t="n"/>
      <c r="E566" s="15" t="n"/>
      <c r="F566" s="16" t="n"/>
      <c r="G566" s="17">
        <f>G514+G482</f>
        <v/>
      </c>
      <c r="H566" s="636" t="n"/>
      <c r="I566" s="17" t="n"/>
      <c r="J566" s="554" t="inlineStr">
        <is>
          <t>тыс.т</t>
        </is>
      </c>
    </row>
    <row r="567" ht="20.1" customHeight="1" s="904">
      <c r="B567" s="909" t="n"/>
      <c r="C567" s="27" t="inlineStr">
        <is>
          <t xml:space="preserve">   Сосногорский ГПЗ</t>
        </is>
      </c>
      <c r="D567" s="15" t="n"/>
      <c r="E567" s="15" t="n"/>
      <c r="F567" s="16" t="n"/>
      <c r="G567" s="17">
        <f>G483</f>
        <v/>
      </c>
      <c r="H567" s="636" t="n"/>
      <c r="I567" s="17" t="n"/>
      <c r="J567" s="549" t="inlineStr">
        <is>
          <t>тыс.т</t>
        </is>
      </c>
    </row>
    <row r="568" ht="20.1" customHeight="1" s="904">
      <c r="B568" s="909" t="n"/>
      <c r="C568" s="27" t="inlineStr">
        <is>
          <t xml:space="preserve">              Уренгойский ЗПКТ</t>
        </is>
      </c>
      <c r="D568" s="15" t="n"/>
      <c r="E568" s="15" t="n"/>
      <c r="F568" s="16" t="n"/>
      <c r="G568" s="17">
        <f>G569+G570</f>
        <v/>
      </c>
      <c r="H568" s="636" t="n"/>
      <c r="I568" s="17" t="n"/>
      <c r="J568" s="549" t="inlineStr">
        <is>
          <t>тыс.т</t>
        </is>
      </c>
    </row>
    <row r="569" ht="20.1" customHeight="1" s="904">
      <c r="B569" s="909" t="n"/>
      <c r="C569" s="737" t="inlineStr">
        <is>
          <t>от переработки на УДК</t>
        </is>
      </c>
      <c r="D569" s="15" t="n"/>
      <c r="E569" s="15" t="n"/>
      <c r="F569" s="16" t="n"/>
      <c r="G569" s="17" t="inlineStr">
        <is>
          <t>4_100331921</t>
        </is>
      </c>
      <c r="H569" s="636" t="n"/>
      <c r="I569" s="17" t="n"/>
      <c r="J569" s="554" t="inlineStr">
        <is>
          <t>тыс.т</t>
        </is>
      </c>
    </row>
    <row r="570" ht="20.1" customHeight="1" s="904">
      <c r="B570" s="909" t="n"/>
      <c r="C570" s="737" t="inlineStr">
        <is>
          <t>от переработки на УСК-2</t>
        </is>
      </c>
      <c r="D570" s="15" t="n"/>
      <c r="E570" s="15" t="n"/>
      <c r="F570" s="16" t="n"/>
      <c r="G570" s="17" t="inlineStr">
        <is>
          <t>4_100331924</t>
        </is>
      </c>
      <c r="H570" s="636" t="n"/>
      <c r="I570" s="17" t="n"/>
      <c r="J570" s="554" t="inlineStr">
        <is>
          <t>тыс.т</t>
        </is>
      </c>
    </row>
    <row r="571" ht="20.1" customHeight="1" s="904">
      <c r="B571" s="909" t="n"/>
      <c r="C571" s="27" t="inlineStr">
        <is>
          <t xml:space="preserve">                Сургутский ЗСК</t>
        </is>
      </c>
      <c r="D571" s="15" t="n"/>
      <c r="E571" s="15" t="n"/>
      <c r="F571" s="16" t="n"/>
      <c r="G571" s="17" t="inlineStr">
        <is>
          <t>4_100331922+4_100331925</t>
        </is>
      </c>
      <c r="H571" s="636" t="n"/>
      <c r="I571" s="17" t="n"/>
      <c r="J571" s="549" t="inlineStr">
        <is>
          <t>тыс.т</t>
        </is>
      </c>
    </row>
    <row r="572" ht="20.1" customHeight="1" s="904">
      <c r="B572" s="909" t="n"/>
      <c r="C572" s="781" t="inlineStr">
        <is>
          <t>Газпром добыча Уренгой</t>
        </is>
      </c>
      <c r="D572" s="15" t="n"/>
      <c r="E572" s="15" t="n"/>
      <c r="F572" s="16" t="n"/>
      <c r="G572" s="17">
        <f>G573</f>
        <v/>
      </c>
      <c r="H572" s="636" t="n"/>
      <c r="I572" s="17" t="n"/>
      <c r="J572" s="24" t="inlineStr">
        <is>
          <t>тыс. т</t>
        </is>
      </c>
    </row>
    <row r="573" ht="20.1" customHeight="1" s="904">
      <c r="B573" s="909" t="n"/>
      <c r="C573" s="27" t="inlineStr">
        <is>
          <t>нефть</t>
        </is>
      </c>
      <c r="D573" s="15" t="n"/>
      <c r="E573" s="15" t="n"/>
      <c r="F573" s="16" t="n"/>
      <c r="G573" s="17">
        <f>0</f>
        <v/>
      </c>
      <c r="H573" s="636" t="n"/>
      <c r="I573" s="17" t="n"/>
      <c r="J573" s="549" t="inlineStr">
        <is>
          <t>тыс.т</t>
        </is>
      </c>
    </row>
    <row r="574" ht="20.1" customHeight="1" s="904">
      <c r="B574" s="909" t="n"/>
      <c r="C574" s="781" t="inlineStr">
        <is>
          <t>Газпром добыча Иркутск</t>
        </is>
      </c>
      <c r="D574" s="15" t="n"/>
      <c r="E574" s="15" t="n"/>
      <c r="F574" s="16" t="n"/>
      <c r="G574" s="17" t="inlineStr">
        <is>
          <t>12_100330867+12_100336113+12_100330737</t>
        </is>
      </c>
      <c r="H574" s="636" t="n"/>
      <c r="I574" s="17" t="n"/>
      <c r="J574" s="24" t="inlineStr">
        <is>
          <t>тыс. т</t>
        </is>
      </c>
    </row>
    <row r="575" ht="20.1" customHeight="1" s="904">
      <c r="B575" s="909" t="n"/>
      <c r="C575" s="737" t="inlineStr">
        <is>
          <t>СК</t>
        </is>
      </c>
      <c r="D575" s="15" t="n"/>
      <c r="E575" s="15" t="n"/>
      <c r="F575" s="16" t="n"/>
      <c r="G575" s="17" t="inlineStr">
        <is>
          <t>12_100336107+12_100336110+12_100336164+12_100330737</t>
        </is>
      </c>
      <c r="H575" s="636" t="n"/>
      <c r="I575" s="17" t="n"/>
      <c r="J575" s="24" t="inlineStr">
        <is>
          <t>тыс.т</t>
        </is>
      </c>
    </row>
    <row r="576" ht="20.1" customHeight="1" s="904">
      <c r="B576" s="909" t="n"/>
      <c r="C576" s="737" t="inlineStr">
        <is>
          <t>в т.ч. на стн Газпром добыча Иркутск</t>
        </is>
      </c>
      <c r="D576" s="15" t="n"/>
      <c r="E576" s="15" t="n"/>
      <c r="F576" s="16" t="n"/>
      <c r="G576" s="17" t="inlineStr">
        <is>
          <t>12_100330737</t>
        </is>
      </c>
      <c r="H576" s="636" t="n"/>
      <c r="I576" s="17" t="n"/>
      <c r="J576" s="554" t="inlineStr">
        <is>
          <t>тыс.т</t>
        </is>
      </c>
    </row>
    <row r="577" ht="20.1" customHeight="1" s="904">
      <c r="B577" s="909" t="n"/>
      <c r="C577" s="737" t="inlineStr">
        <is>
          <t>СК (нефть)</t>
        </is>
      </c>
      <c r="D577" s="15" t="n"/>
      <c r="E577" s="15" t="n"/>
      <c r="F577" s="16" t="n"/>
      <c r="G577" s="17" t="inlineStr">
        <is>
          <t>12_100336112</t>
        </is>
      </c>
      <c r="H577" s="636" t="n"/>
      <c r="I577" s="17" t="n"/>
      <c r="J577" s="554" t="inlineStr">
        <is>
          <t>тыс.т</t>
        </is>
      </c>
    </row>
    <row r="578" ht="20.1" customHeight="1" s="904">
      <c r="B578" s="909" t="n"/>
      <c r="C578" s="737" t="inlineStr">
        <is>
          <t>в т.ч. нефть покупка</t>
        </is>
      </c>
      <c r="D578" s="15" t="n"/>
      <c r="E578" s="15" t="n"/>
      <c r="F578" s="16" t="n"/>
      <c r="G578" s="17" t="inlineStr">
        <is>
          <t>12_100336113</t>
        </is>
      </c>
      <c r="H578" s="636" t="n"/>
      <c r="I578" s="17" t="n"/>
      <c r="J578" s="554" t="inlineStr">
        <is>
          <t>тыс.т</t>
        </is>
      </c>
    </row>
    <row r="579" ht="20.1" customHeight="1" s="904">
      <c r="B579" s="909" t="n"/>
      <c r="C579" s="781" t="inlineStr">
        <is>
          <t>Газпром добыча шельф Южно-Сахалинск</t>
        </is>
      </c>
      <c r="D579" s="15" t="n"/>
      <c r="E579" s="15" t="n"/>
      <c r="F579" s="16" t="n"/>
      <c r="G579" s="17">
        <f>G580</f>
        <v/>
      </c>
      <c r="H579" s="636" t="n"/>
      <c r="I579" s="17" t="n"/>
      <c r="J579" s="24" t="inlineStr">
        <is>
          <t>тыс. т</t>
        </is>
      </c>
    </row>
    <row r="580" ht="20.1" customHeight="1" s="904">
      <c r="B580" s="909" t="n"/>
      <c r="C580" s="737" t="inlineStr">
        <is>
          <t>конденсат (Киринское ГКМ)</t>
        </is>
      </c>
      <c r="D580" s="15" t="n"/>
      <c r="E580" s="15" t="n"/>
      <c r="F580" s="16" t="n"/>
      <c r="G580" s="17">
        <f>G496</f>
        <v/>
      </c>
      <c r="H580" s="636" t="n"/>
      <c r="I580" s="17" t="n"/>
      <c r="J580" s="554" t="inlineStr">
        <is>
          <t>тыс.т</t>
        </is>
      </c>
    </row>
    <row r="581" ht="20.1" customHeight="1" s="904">
      <c r="B581" s="909" t="n"/>
      <c r="C581" s="781" t="inlineStr">
        <is>
          <t>Газпром добыча Ямбург</t>
        </is>
      </c>
      <c r="D581" s="15" t="n"/>
      <c r="E581" s="15" t="n"/>
      <c r="F581" s="16" t="n"/>
      <c r="G581" s="17">
        <f>G582</f>
        <v/>
      </c>
      <c r="H581" s="636" t="n"/>
      <c r="I581" s="17" t="n"/>
      <c r="J581" s="24" t="inlineStr">
        <is>
          <t>тыс. т</t>
        </is>
      </c>
    </row>
    <row r="582" ht="20.1" customHeight="1" s="904">
      <c r="B582" s="909" t="n"/>
      <c r="C582" s="737" t="inlineStr">
        <is>
          <t>нефть (Заполярное НГКМ, Ямбургское НГКМ)</t>
        </is>
      </c>
      <c r="D582" s="15" t="n"/>
      <c r="E582" s="15" t="n"/>
      <c r="F582" s="16" t="n"/>
      <c r="G582" s="17" t="inlineStr">
        <is>
          <t>7_100330590+7_100330592</t>
        </is>
      </c>
      <c r="H582" s="636" t="n"/>
      <c r="I582" s="17" t="n"/>
      <c r="J582" s="554" t="inlineStr">
        <is>
          <t>тыс.т</t>
        </is>
      </c>
    </row>
    <row r="583" ht="20.1" customHeight="1" s="904">
      <c r="B583" s="909" t="n"/>
      <c r="C583" s="781" t="inlineStr">
        <is>
          <t>Газпром добыча Ноябрьск</t>
        </is>
      </c>
      <c r="D583" s="15" t="n"/>
      <c r="E583" s="15" t="n"/>
      <c r="F583" s="16" t="n"/>
      <c r="G583" s="17">
        <f>G584</f>
        <v/>
      </c>
      <c r="H583" s="636" t="n"/>
      <c r="I583" s="17" t="n"/>
      <c r="J583" s="24" t="inlineStr">
        <is>
          <t>тыс. т</t>
        </is>
      </c>
    </row>
    <row r="584" ht="20.1" customHeight="1" s="904">
      <c r="B584" s="909" t="n"/>
      <c r="C584" s="737" t="inlineStr">
        <is>
          <t>конденсат, нефть (Чаяндинское НГКМ)</t>
        </is>
      </c>
      <c r="D584" s="15" t="n"/>
      <c r="E584" s="15" t="n"/>
      <c r="F584" s="16" t="n"/>
      <c r="G584" s="17" t="inlineStr">
        <is>
          <t>10_100335045</t>
        </is>
      </c>
      <c r="H584" s="636" t="n"/>
      <c r="I584" s="17" t="n"/>
      <c r="J584" s="554" t="inlineStr">
        <is>
          <t>тыс.т</t>
        </is>
      </c>
    </row>
    <row r="585" ht="20.1" customHeight="1" s="904">
      <c r="B585" s="909" t="n"/>
      <c r="C585" s="781" t="inlineStr">
        <is>
          <t>Газпром СПГ Портовая</t>
        </is>
      </c>
      <c r="D585" s="15" t="n"/>
      <c r="E585" s="15" t="n"/>
      <c r="F585" s="16" t="n"/>
      <c r="G585" s="17">
        <f>G586</f>
        <v/>
      </c>
      <c r="H585" s="636" t="n"/>
      <c r="I585" s="17" t="n"/>
      <c r="J585" s="24" t="inlineStr">
        <is>
          <t>тыс. т</t>
        </is>
      </c>
    </row>
    <row r="586" ht="20.1" customHeight="1" s="904">
      <c r="B586" s="909" t="n"/>
      <c r="C586" s="27" t="inlineStr">
        <is>
          <t>КСПГ Портовая</t>
        </is>
      </c>
      <c r="D586" s="15" t="n"/>
      <c r="E586" s="15" t="n"/>
      <c r="F586" s="16" t="n"/>
      <c r="G586" s="17">
        <f>G502</f>
        <v/>
      </c>
      <c r="H586" s="636" t="n"/>
      <c r="I586" s="17" t="n"/>
      <c r="J586" s="549" t="inlineStr">
        <is>
          <t>тыс. т</t>
        </is>
      </c>
    </row>
    <row r="587" ht="20.1" customHeight="1" s="904">
      <c r="B587" s="909" t="n"/>
      <c r="C587" s="781" t="inlineStr">
        <is>
          <t>Газпром трансгаз Санкт-Петербург*</t>
        </is>
      </c>
      <c r="D587" s="15" t="n"/>
      <c r="E587" s="15" t="n"/>
      <c r="F587" s="16" t="n"/>
      <c r="G587" s="17">
        <f>0</f>
        <v/>
      </c>
      <c r="H587" s="636" t="n"/>
      <c r="I587" s="17" t="n"/>
      <c r="J587" s="24" t="inlineStr">
        <is>
          <t>тыс.т</t>
        </is>
      </c>
    </row>
    <row r="588" ht="20.1" customHeight="1" s="904">
      <c r="B588" s="909" t="n"/>
      <c r="C588" s="781" t="inlineStr">
        <is>
          <t>Газпром трансгаз Краснодар*</t>
        </is>
      </c>
      <c r="D588" s="15" t="n"/>
      <c r="E588" s="15" t="n"/>
      <c r="F588" s="16" t="n"/>
      <c r="G588" s="17">
        <f>0</f>
        <v/>
      </c>
      <c r="H588" s="636" t="n"/>
      <c r="I588" s="17" t="n"/>
      <c r="J588" s="24" t="inlineStr">
        <is>
          <t>тыс. т</t>
        </is>
      </c>
    </row>
    <row r="589" ht="20.1" customHeight="1" s="904">
      <c r="B589" s="20" t="inlineStr">
        <is>
          <t>9.2.</t>
        </is>
      </c>
      <c r="C589" s="28" t="inlineStr">
        <is>
          <t>Дочерние общества</t>
        </is>
      </c>
      <c r="D589" s="15" t="n"/>
      <c r="E589" s="15" t="n"/>
      <c r="F589" s="16" t="n"/>
      <c r="G589" s="17">
        <f>G594+G597+G590+G592+G600+G602+G607+G612</f>
        <v/>
      </c>
      <c r="H589" s="636" t="n"/>
      <c r="I589" s="17" t="n"/>
      <c r="J589" s="24" t="inlineStr">
        <is>
          <t>тыс.т</t>
        </is>
      </c>
    </row>
    <row r="590" ht="20.1" customHeight="1" s="904">
      <c r="B590" s="909" t="n"/>
      <c r="C590" s="781" t="inlineStr">
        <is>
          <t xml:space="preserve">   Газпром переработка</t>
        </is>
      </c>
      <c r="D590" s="15" t="n"/>
      <c r="E590" s="15" t="n"/>
      <c r="F590" s="16" t="n"/>
      <c r="G590" s="17">
        <f>G591</f>
        <v/>
      </c>
      <c r="H590" s="636" t="n"/>
      <c r="I590" s="17" t="n"/>
      <c r="J590" s="24" t="inlineStr">
        <is>
          <t>тыс.т</t>
        </is>
      </c>
    </row>
    <row r="591" ht="20.1" customHeight="1" s="904">
      <c r="B591" s="909" t="n"/>
      <c r="C591" s="27" t="inlineStr">
        <is>
          <t>Астраханский ГПЗ</t>
        </is>
      </c>
      <c r="D591" s="15" t="n"/>
      <c r="E591" s="15" t="n"/>
      <c r="F591" s="16" t="n"/>
      <c r="G591" s="17">
        <f>0</f>
        <v/>
      </c>
      <c r="H591" s="636" t="n"/>
      <c r="I591" s="17" t="n"/>
      <c r="J591" s="549" t="inlineStr">
        <is>
          <t>тыс.т</t>
        </is>
      </c>
    </row>
    <row r="592" ht="20.1" customHeight="1" s="904">
      <c r="B592" s="909" t="n"/>
      <c r="C592" s="781" t="inlineStr">
        <is>
          <t>Газпром добыча Уренгой</t>
        </is>
      </c>
      <c r="D592" s="15" t="n"/>
      <c r="E592" s="15" t="n"/>
      <c r="F592" s="16" t="n"/>
      <c r="G592" s="17" t="inlineStr">
        <is>
          <t>8_100335917+8_100335916+8_100335911</t>
        </is>
      </c>
      <c r="H592" s="636" t="n"/>
      <c r="I592" s="17" t="n"/>
      <c r="J592" s="24" t="inlineStr">
        <is>
          <t>тыс. т</t>
        </is>
      </c>
    </row>
    <row r="593" ht="20.1" customHeight="1" s="904">
      <c r="B593" s="909" t="n"/>
      <c r="C593" s="736" t="inlineStr">
        <is>
          <t xml:space="preserve">стаб. газ. конденсат, нефть ДРОД </t>
        </is>
      </c>
      <c r="D593" s="15" t="n"/>
      <c r="E593" s="15" t="n"/>
      <c r="F593" s="16" t="n"/>
      <c r="G593" s="17" t="inlineStr">
        <is>
          <t>8_100335917+8_100335916+8_100335911</t>
        </is>
      </c>
      <c r="H593" s="636" t="n"/>
      <c r="I593" s="17" t="n"/>
      <c r="J593" s="554" t="inlineStr">
        <is>
          <t>тыс.т</t>
        </is>
      </c>
    </row>
    <row r="594" ht="20.1" customHeight="1" s="904">
      <c r="B594" s="909" t="n"/>
      <c r="C594" s="781" t="inlineStr">
        <is>
          <t>Газпром добыча Краснодар</t>
        </is>
      </c>
      <c r="D594" s="15" t="n"/>
      <c r="E594" s="15" t="n"/>
      <c r="F594" s="16" t="n"/>
      <c r="G594" s="17">
        <f>G595+G596</f>
        <v/>
      </c>
      <c r="H594" s="636" t="n"/>
      <c r="I594" s="17" t="n"/>
      <c r="J594" s="24" t="inlineStr">
        <is>
          <t>тыс.т</t>
        </is>
      </c>
    </row>
    <row r="595" ht="20.1" customHeight="1" s="904">
      <c r="B595" s="909" t="n"/>
      <c r="C595" s="737" t="inlineStr">
        <is>
          <t xml:space="preserve">     в т. ч. НГКС</t>
        </is>
      </c>
      <c r="D595" s="15" t="n"/>
      <c r="E595" s="15" t="n"/>
      <c r="F595" s="16" t="n"/>
      <c r="G595" s="17" t="inlineStr">
        <is>
          <t>9_100330683</t>
        </is>
      </c>
      <c r="H595" s="636" t="n"/>
      <c r="I595" s="17" t="n"/>
      <c r="J595" s="554" t="inlineStr">
        <is>
          <t>тыс.т</t>
        </is>
      </c>
    </row>
    <row r="596" ht="20.1" customHeight="1" s="904">
      <c r="B596" s="909" t="n"/>
      <c r="C596" s="737" t="inlineStr">
        <is>
          <t>стаб. газовый конденсат</t>
        </is>
      </c>
      <c r="D596" s="15" t="n"/>
      <c r="E596" s="15" t="n"/>
      <c r="F596" s="16" t="n"/>
      <c r="G596" s="17" t="inlineStr">
        <is>
          <t>9_100335068</t>
        </is>
      </c>
      <c r="H596" s="636" t="n"/>
      <c r="I596" s="17" t="n"/>
      <c r="J596" s="554" t="inlineStr">
        <is>
          <t>тыс.т</t>
        </is>
      </c>
    </row>
    <row r="597" ht="20.1" customHeight="1" s="904">
      <c r="B597" s="909" t="n"/>
      <c r="C597" s="781" t="inlineStr">
        <is>
          <t xml:space="preserve">   Газпром добыча Ямбург</t>
        </is>
      </c>
      <c r="D597" s="15" t="n"/>
      <c r="E597" s="15" t="n"/>
      <c r="F597" s="16" t="n"/>
      <c r="G597" s="17">
        <f>G598+G599</f>
        <v/>
      </c>
      <c r="H597" s="636" t="n"/>
      <c r="I597" s="17" t="n"/>
      <c r="J597" s="24" t="inlineStr">
        <is>
          <t>тыс.т</t>
        </is>
      </c>
    </row>
    <row r="598" ht="20.1" customHeight="1" s="904">
      <c r="B598" s="909" t="n"/>
      <c r="C598" s="42" t="inlineStr">
        <is>
          <t>стаб. газовый конденсат (Заполярное НГКМ, Ямбургское НГКМ)</t>
        </is>
      </c>
      <c r="D598" s="15" t="n"/>
      <c r="E598" s="15" t="n"/>
      <c r="F598" s="16" t="n"/>
      <c r="G598" s="17" t="inlineStr">
        <is>
          <t>7_100330601</t>
        </is>
      </c>
      <c r="H598" s="636" t="n"/>
      <c r="I598" s="17" t="n"/>
      <c r="J598" s="554" t="inlineStr">
        <is>
          <t>тыс.т</t>
        </is>
      </c>
    </row>
    <row r="599" ht="20.1" customHeight="1" s="904">
      <c r="B599" s="909" t="n"/>
      <c r="C599" s="737" t="inlineStr">
        <is>
          <t>нефть (Заполярное НГКМ, Ямбургское НГКМ)</t>
        </is>
      </c>
      <c r="D599" s="15" t="n"/>
      <c r="E599" s="15" t="n"/>
      <c r="F599" s="16" t="n"/>
      <c r="G599" s="17">
        <f>G523</f>
        <v/>
      </c>
      <c r="H599" s="636" t="n"/>
      <c r="I599" s="17" t="n"/>
      <c r="J599" s="554" t="inlineStr">
        <is>
          <t>тыс.т</t>
        </is>
      </c>
    </row>
    <row r="600" ht="20.1" customHeight="1" s="904">
      <c r="B600" s="909" t="n"/>
      <c r="C600" s="781" t="inlineStr">
        <is>
          <t>Сервиснефтегаз</t>
        </is>
      </c>
      <c r="D600" s="15" t="n"/>
      <c r="E600" s="15" t="n"/>
      <c r="F600" s="16" t="n"/>
      <c r="G600" s="17">
        <f>G601</f>
        <v/>
      </c>
      <c r="H600" s="636" t="n"/>
      <c r="I600" s="17" t="n"/>
      <c r="J600" s="24" t="inlineStr">
        <is>
          <t>тыс.т</t>
        </is>
      </c>
    </row>
    <row r="601" ht="20.1" customHeight="1" s="904">
      <c r="B601" s="909" t="n"/>
      <c r="C601" s="27" t="inlineStr">
        <is>
          <t>Оренбургский ГХК</t>
        </is>
      </c>
      <c r="D601" s="15" t="n"/>
      <c r="E601" s="15" t="n"/>
      <c r="F601" s="16" t="n"/>
      <c r="G601" s="17">
        <f>G525</f>
        <v/>
      </c>
      <c r="H601" s="636" t="n"/>
      <c r="I601" s="17" t="n"/>
      <c r="J601" s="549" t="inlineStr">
        <is>
          <t>тыс.т</t>
        </is>
      </c>
    </row>
    <row r="602" ht="20.1" customHeight="1" s="904">
      <c r="B602" s="909" t="n"/>
      <c r="C602" s="781" t="inlineStr">
        <is>
          <t>Газпром добыча Надым</t>
        </is>
      </c>
      <c r="D602" s="15" t="n"/>
      <c r="E602" s="15" t="n"/>
      <c r="F602" s="16" t="n"/>
      <c r="G602" s="17">
        <f>G531</f>
        <v/>
      </c>
      <c r="H602" s="636" t="n"/>
      <c r="I602" s="17" t="n"/>
      <c r="J602" s="24" t="inlineStr">
        <is>
          <t>тыс. т</t>
        </is>
      </c>
    </row>
    <row r="603" ht="20.1" customHeight="1" s="904">
      <c r="B603" s="909" t="n"/>
      <c r="C603" s="738" t="inlineStr">
        <is>
          <t>в т.ч. Медвежье НКГМ</t>
        </is>
      </c>
      <c r="D603" s="15" t="n"/>
      <c r="E603" s="15" t="n"/>
      <c r="F603" s="16" t="n"/>
      <c r="G603" s="17">
        <f>G532</f>
        <v/>
      </c>
      <c r="H603" s="636" t="n"/>
      <c r="I603" s="17" t="n"/>
      <c r="J603" s="554" t="inlineStr">
        <is>
          <t>тыс.т</t>
        </is>
      </c>
    </row>
    <row r="604" ht="20.1" customHeight="1" s="904">
      <c r="B604" s="909" t="n"/>
      <c r="C604" s="738" t="inlineStr">
        <is>
          <t>в т.ч. Юбилейное НГКМ</t>
        </is>
      </c>
      <c r="D604" s="15" t="n"/>
      <c r="E604" s="15" t="n"/>
      <c r="F604" s="16" t="n"/>
      <c r="G604" s="17">
        <f>G533</f>
        <v/>
      </c>
      <c r="H604" s="636" t="n"/>
      <c r="I604" s="17" t="n"/>
      <c r="J604" s="554" t="inlineStr">
        <is>
          <t>тыс.т</t>
        </is>
      </c>
    </row>
    <row r="605" ht="20.1" customHeight="1" s="904">
      <c r="B605" s="909" t="n"/>
      <c r="C605" s="738" t="inlineStr">
        <is>
          <t>в т.ч. Бованенковское НГКМ</t>
        </is>
      </c>
      <c r="D605" s="15" t="n"/>
      <c r="E605" s="15" t="n"/>
      <c r="F605" s="16" t="n"/>
      <c r="G605" s="17">
        <f>G534</f>
        <v/>
      </c>
      <c r="H605" s="636" t="n"/>
      <c r="I605" s="17" t="n"/>
      <c r="J605" s="554" t="inlineStr">
        <is>
          <t>тыс.т</t>
        </is>
      </c>
    </row>
    <row r="606" ht="20.1" customHeight="1" s="904">
      <c r="B606" s="909" t="n"/>
      <c r="C606" s="738" t="inlineStr">
        <is>
          <t>в т.ч. Харасавейское ГКМ</t>
        </is>
      </c>
      <c r="D606" s="15" t="n"/>
      <c r="E606" s="15" t="n"/>
      <c r="F606" s="16" t="n"/>
      <c r="G606" s="17">
        <f>G535</f>
        <v/>
      </c>
      <c r="H606" s="636" t="n"/>
      <c r="I606" s="17" t="n"/>
      <c r="J606" s="554" t="inlineStr">
        <is>
          <t>тыс.т</t>
        </is>
      </c>
    </row>
    <row r="607" ht="20.1" customHeight="1" s="904">
      <c r="B607" s="909" t="n"/>
      <c r="C607" s="781" t="inlineStr">
        <is>
          <t>Газпром добыча Ноябрьск</t>
        </is>
      </c>
      <c r="D607" s="15" t="n"/>
      <c r="E607" s="15" t="n"/>
      <c r="F607" s="16" t="n"/>
      <c r="G607" s="17">
        <f>G608+G609+G610+G611</f>
        <v/>
      </c>
      <c r="H607" s="636" t="n"/>
      <c r="I607" s="17" t="n"/>
      <c r="J607" s="24" t="inlineStr">
        <is>
          <t>тыс. т</t>
        </is>
      </c>
    </row>
    <row r="608" ht="20.1" customHeight="1" s="904">
      <c r="B608" s="909" t="n"/>
      <c r="C608" s="44" t="inlineStr">
        <is>
          <t>конденсат (Камчатское ГПУ -Кшукское ГКМ, Нижне-Квакчикское ГКМ)</t>
        </is>
      </c>
      <c r="D608" s="15" t="n"/>
      <c r="E608" s="15" t="n"/>
      <c r="F608" s="16" t="n"/>
      <c r="G608" s="17">
        <f>G527</f>
        <v/>
      </c>
      <c r="H608" s="636" t="n"/>
      <c r="I608" s="17" t="n"/>
      <c r="J608" s="554" t="inlineStr">
        <is>
          <t>тыс.т</t>
        </is>
      </c>
    </row>
    <row r="609" ht="20.1" customHeight="1" s="904">
      <c r="B609" s="909" t="n"/>
      <c r="C609" s="737" t="inlineStr">
        <is>
          <t>нефть (Западно-Таркосалинское НГКМ)</t>
        </is>
      </c>
      <c r="D609" s="15" t="n"/>
      <c r="E609" s="15" t="n"/>
      <c r="F609" s="16" t="n"/>
      <c r="G609" s="17">
        <f>G528</f>
        <v/>
      </c>
      <c r="H609" s="636" t="n"/>
      <c r="I609" s="17" t="n"/>
      <c r="J609" s="554" t="inlineStr">
        <is>
          <t>тыс.т</t>
        </is>
      </c>
    </row>
    <row r="610" ht="20.1" customHeight="1" s="904">
      <c r="B610" s="909" t="n"/>
      <c r="C610" s="738" t="inlineStr">
        <is>
          <t>НГКС (Тас-Юряхское НГКМ)</t>
        </is>
      </c>
      <c r="D610" s="15" t="n"/>
      <c r="E610" s="15" t="n"/>
      <c r="F610" s="16" t="n"/>
      <c r="G610" s="17">
        <f>G529</f>
        <v/>
      </c>
      <c r="H610" s="636" t="n"/>
      <c r="I610" s="17" t="n"/>
      <c r="J610" s="554" t="inlineStr">
        <is>
          <t>тыс.т</t>
        </is>
      </c>
    </row>
    <row r="611" ht="20.1" customHeight="1" s="904">
      <c r="B611" s="909" t="n"/>
      <c r="C611" s="779" t="inlineStr">
        <is>
          <t>НГКС (Верхневилючанское НГКМ)</t>
        </is>
      </c>
      <c r="D611" s="15" t="n"/>
      <c r="E611" s="15" t="n"/>
      <c r="F611" s="16" t="n"/>
      <c r="G611" s="17" t="inlineStr">
        <is>
          <t>10_100337134</t>
        </is>
      </c>
      <c r="H611" s="636" t="n"/>
      <c r="I611" s="17" t="n"/>
      <c r="J611" s="554" t="n"/>
    </row>
    <row r="612" ht="19.5" customHeight="1" s="904">
      <c r="B612" s="909" t="n"/>
      <c r="C612" s="781" t="inlineStr">
        <is>
          <t>Газпром ГНП холдинг</t>
        </is>
      </c>
      <c r="D612" s="15" t="n"/>
      <c r="E612" s="15" t="n"/>
      <c r="F612" s="16" t="n"/>
      <c r="G612" s="17">
        <f>G613</f>
        <v/>
      </c>
      <c r="H612" s="636" t="n"/>
      <c r="I612" s="17" t="n"/>
      <c r="J612" s="24" t="inlineStr">
        <is>
          <t>тыс.т</t>
        </is>
      </c>
    </row>
    <row r="613" ht="20.1" customHeight="1" s="904">
      <c r="B613" s="909" t="n"/>
      <c r="C613" s="27" t="inlineStr">
        <is>
          <t>Сосногорский ГПЗ</t>
        </is>
      </c>
      <c r="D613" s="15" t="n"/>
      <c r="E613" s="15" t="n"/>
      <c r="F613" s="16" t="n"/>
      <c r="G613" s="17">
        <f>G614</f>
        <v/>
      </c>
      <c r="H613" s="636" t="n"/>
      <c r="I613" s="17" t="n"/>
      <c r="J613" s="549" t="inlineStr">
        <is>
          <t>тыс.т</t>
        </is>
      </c>
    </row>
    <row r="614" ht="20.1" customHeight="1" s="904">
      <c r="B614" s="909" t="n"/>
      <c r="C614" s="737" t="inlineStr">
        <is>
          <t>ЛУКОЙЛ-Коми</t>
        </is>
      </c>
      <c r="D614" s="15" t="n"/>
      <c r="E614" s="15" t="n"/>
      <c r="F614" s="16" t="n"/>
      <c r="G614" s="17">
        <f>G538</f>
        <v/>
      </c>
      <c r="H614" s="636" t="n"/>
      <c r="I614" s="17" t="n"/>
      <c r="J614" s="554" t="inlineStr">
        <is>
          <t>тыс.т</t>
        </is>
      </c>
    </row>
    <row r="615" ht="20.1" customHeight="1" s="904">
      <c r="B615" s="909" t="inlineStr">
        <is>
          <t>10.</t>
        </is>
      </c>
      <c r="C615" s="735" t="inlineStr">
        <is>
          <t>Бензин автомобильный-всего</t>
        </is>
      </c>
      <c r="D615" s="15" t="n"/>
      <c r="E615" s="15" t="n"/>
      <c r="F615" s="16" t="n"/>
      <c r="G615" s="17">
        <f>G616</f>
        <v/>
      </c>
      <c r="H615" s="636" t="n"/>
      <c r="I615" s="17" t="n"/>
      <c r="J615" s="24" t="inlineStr">
        <is>
          <t>тыс.т</t>
        </is>
      </c>
    </row>
    <row r="616" ht="20.1" customHeight="1" s="904">
      <c r="B616" s="909" t="n"/>
      <c r="C616" s="781" t="inlineStr">
        <is>
          <t xml:space="preserve">   Газпром переработка</t>
        </is>
      </c>
      <c r="D616" s="15" t="n"/>
      <c r="E616" s="15" t="n"/>
      <c r="F616" s="16" t="n"/>
      <c r="G616" s="17">
        <f>G617+G618</f>
        <v/>
      </c>
      <c r="H616" s="636" t="n"/>
      <c r="I616" s="17" t="n"/>
      <c r="J616" s="24" t="inlineStr">
        <is>
          <t>тыс.т</t>
        </is>
      </c>
    </row>
    <row r="617" ht="20.1" customHeight="1" s="904">
      <c r="B617" s="909" t="n"/>
      <c r="C617" s="27" t="inlineStr">
        <is>
          <t>Астраханский ГПЗ</t>
        </is>
      </c>
      <c r="D617" s="15" t="n"/>
      <c r="E617" s="15" t="n"/>
      <c r="F617" s="16" t="n"/>
      <c r="G617" s="17">
        <f>G621+G630</f>
        <v/>
      </c>
      <c r="H617" s="636" t="n"/>
      <c r="I617" s="17" t="n"/>
      <c r="J617" s="549" t="inlineStr">
        <is>
          <t>тыс.т</t>
        </is>
      </c>
    </row>
    <row r="618" ht="20.1" customHeight="1" s="904">
      <c r="B618" s="909" t="n"/>
      <c r="C618" s="27" t="inlineStr">
        <is>
          <t xml:space="preserve">                Сургутский ЗСК</t>
        </is>
      </c>
      <c r="D618" s="15" t="n"/>
      <c r="E618" s="15" t="n"/>
      <c r="F618" s="16" t="n"/>
      <c r="G618" s="17">
        <f>G625</f>
        <v/>
      </c>
      <c r="H618" s="636" t="n"/>
      <c r="I618" s="17" t="n"/>
      <c r="J618" s="549" t="inlineStr">
        <is>
          <t>тыс.т</t>
        </is>
      </c>
    </row>
    <row r="619" ht="20.1" customHeight="1" s="904">
      <c r="B619" s="20" t="inlineStr">
        <is>
          <t>10.1.</t>
        </is>
      </c>
      <c r="C619" s="28" t="inlineStr">
        <is>
          <t>Газпром</t>
        </is>
      </c>
      <c r="D619" s="15" t="n"/>
      <c r="E619" s="15" t="n"/>
      <c r="F619" s="16" t="n"/>
      <c r="G619" s="17" t="n"/>
      <c r="H619" s="636" t="n"/>
      <c r="I619" s="17" t="n"/>
      <c r="J619" s="24" t="n"/>
    </row>
    <row r="620" ht="20.1" customHeight="1" s="904">
      <c r="B620" s="909" t="n"/>
      <c r="C620" s="781" t="inlineStr">
        <is>
          <t xml:space="preserve">   Газпром переработка</t>
        </is>
      </c>
      <c r="D620" s="15" t="n"/>
      <c r="E620" s="15" t="n"/>
      <c r="F620" s="16" t="n"/>
      <c r="G620" s="17">
        <f>G621+G625</f>
        <v/>
      </c>
      <c r="H620" s="636" t="n"/>
      <c r="I620" s="17" t="n"/>
      <c r="J620" s="24" t="inlineStr">
        <is>
          <t>тыс.т</t>
        </is>
      </c>
    </row>
    <row r="621" ht="20.1" customHeight="1" s="904">
      <c r="B621" s="909" t="n"/>
      <c r="C621" s="27" t="inlineStr">
        <is>
          <t>Астраханский ГПЗ</t>
        </is>
      </c>
      <c r="D621" s="15" t="n"/>
      <c r="E621" s="15" t="n"/>
      <c r="F621" s="16" t="n"/>
      <c r="G621" s="17">
        <f>G623+G624+G622</f>
        <v/>
      </c>
      <c r="H621" s="636" t="n"/>
      <c r="I621" s="17" t="n"/>
      <c r="J621" s="549" t="inlineStr">
        <is>
          <t>тыс.т</t>
        </is>
      </c>
    </row>
    <row r="622" ht="20.1" customHeight="1" s="904">
      <c r="B622" s="909" t="n"/>
      <c r="C622" s="737" t="inlineStr">
        <is>
          <t>ОЧ-80</t>
        </is>
      </c>
      <c r="D622" s="15" t="n"/>
      <c r="E622" s="15" t="n"/>
      <c r="F622" s="16" t="n"/>
      <c r="G622" s="17" t="inlineStr">
        <is>
          <t>1_100335688</t>
        </is>
      </c>
      <c r="H622" s="636" t="n"/>
      <c r="I622" s="17" t="n"/>
      <c r="J622" s="554" t="inlineStr">
        <is>
          <t>тыс.т</t>
        </is>
      </c>
    </row>
    <row r="623" ht="20.1" customHeight="1" s="904">
      <c r="B623" s="909" t="n"/>
      <c r="C623" s="737" t="inlineStr">
        <is>
          <t>ОЧ-92</t>
        </is>
      </c>
      <c r="D623" s="15" t="n"/>
      <c r="E623" s="15" t="n"/>
      <c r="F623" s="16" t="n"/>
      <c r="G623" s="17" t="inlineStr">
        <is>
          <t>1_100332018</t>
        </is>
      </c>
      <c r="H623" s="636" t="n"/>
      <c r="I623" s="17" t="n"/>
      <c r="J623" s="554" t="inlineStr">
        <is>
          <t>тыс.т</t>
        </is>
      </c>
    </row>
    <row r="624" ht="20.1" customHeight="1" s="904">
      <c r="B624" s="909" t="n"/>
      <c r="C624" s="737" t="inlineStr">
        <is>
          <t xml:space="preserve">   ОЧ-95</t>
        </is>
      </c>
      <c r="D624" s="15" t="n"/>
      <c r="E624" s="15" t="n"/>
      <c r="F624" s="16" t="n"/>
      <c r="G624" s="17" t="inlineStr">
        <is>
          <t>1_100332019</t>
        </is>
      </c>
      <c r="H624" s="636" t="n"/>
      <c r="I624" s="17" t="n"/>
      <c r="J624" s="554" t="inlineStr">
        <is>
          <t>тыс.т</t>
        </is>
      </c>
    </row>
    <row r="625" ht="20.1" customHeight="1" s="904">
      <c r="B625" s="909" t="n"/>
      <c r="C625" s="27" t="inlineStr">
        <is>
          <t xml:space="preserve">                Сургутский ЗСК</t>
        </is>
      </c>
      <c r="D625" s="15" t="n"/>
      <c r="E625" s="15" t="n"/>
      <c r="F625" s="16" t="n"/>
      <c r="G625" s="17">
        <f>G626+G627</f>
        <v/>
      </c>
      <c r="H625" s="636" t="n"/>
      <c r="I625" s="17" t="n"/>
      <c r="J625" s="549" t="inlineStr">
        <is>
          <t>тыс.т</t>
        </is>
      </c>
    </row>
    <row r="626" ht="20.1" customHeight="1" s="904">
      <c r="B626" s="909" t="n"/>
      <c r="C626" s="737" t="inlineStr">
        <is>
          <t xml:space="preserve"> ОЧ-92</t>
        </is>
      </c>
      <c r="D626" s="15" t="n"/>
      <c r="E626" s="15" t="n"/>
      <c r="F626" s="16" t="n"/>
      <c r="G626" s="17" t="inlineStr">
        <is>
          <t>4_100331906</t>
        </is>
      </c>
      <c r="H626" s="636" t="n"/>
      <c r="I626" s="17" t="n"/>
      <c r="J626" s="554" t="inlineStr">
        <is>
          <t>тыс.т</t>
        </is>
      </c>
    </row>
    <row r="627" ht="20.1" customHeight="1" s="904">
      <c r="B627" s="909" t="n"/>
      <c r="C627" s="737" t="inlineStr">
        <is>
          <t xml:space="preserve">   ОЧ-95</t>
        </is>
      </c>
      <c r="D627" s="15" t="n"/>
      <c r="E627" s="15" t="n"/>
      <c r="F627" s="16" t="n"/>
      <c r="G627" s="17" t="inlineStr">
        <is>
          <t>4_100331907</t>
        </is>
      </c>
      <c r="H627" s="636" t="n"/>
      <c r="I627" s="17" t="n"/>
      <c r="J627" s="554" t="inlineStr">
        <is>
          <t>тыс.т</t>
        </is>
      </c>
    </row>
    <row r="628" ht="20.1" customHeight="1" s="904">
      <c r="B628" s="20" t="inlineStr">
        <is>
          <t>10.2.</t>
        </is>
      </c>
      <c r="C628" s="28" t="inlineStr">
        <is>
          <t>Дочерние общества</t>
        </is>
      </c>
      <c r="D628" s="15" t="n"/>
      <c r="E628" s="15" t="n"/>
      <c r="F628" s="16" t="n"/>
      <c r="G628" s="17">
        <f>G629</f>
        <v/>
      </c>
      <c r="H628" s="636" t="n"/>
      <c r="I628" s="17" t="n"/>
      <c r="J628" s="24" t="inlineStr">
        <is>
          <t>тыс.т</t>
        </is>
      </c>
    </row>
    <row r="629" ht="20.1" customHeight="1" s="904">
      <c r="B629" s="909" t="n"/>
      <c r="C629" s="781" t="inlineStr">
        <is>
          <t xml:space="preserve">   Газпром переработка</t>
        </is>
      </c>
      <c r="D629" s="15" t="n"/>
      <c r="E629" s="15" t="n"/>
      <c r="F629" s="16" t="n"/>
      <c r="G629" s="17">
        <f>G630</f>
        <v/>
      </c>
      <c r="H629" s="636" t="n"/>
      <c r="I629" s="17" t="n"/>
      <c r="J629" s="24" t="inlineStr">
        <is>
          <t>тыс.т</t>
        </is>
      </c>
    </row>
    <row r="630" ht="20.1" customHeight="1" s="904">
      <c r="B630" s="909" t="n"/>
      <c r="C630" s="27" t="inlineStr">
        <is>
          <t>Астраханский ГПЗ</t>
        </is>
      </c>
      <c r="D630" s="15" t="n"/>
      <c r="E630" s="15" t="n"/>
      <c r="F630" s="16" t="n"/>
      <c r="G630" s="17">
        <f>G631+G632</f>
        <v/>
      </c>
      <c r="H630" s="636" t="n"/>
      <c r="I630" s="17" t="n"/>
      <c r="J630" s="549" t="inlineStr">
        <is>
          <t>тыс.т</t>
        </is>
      </c>
    </row>
    <row r="631" ht="20.1" customHeight="1" s="904">
      <c r="B631" s="909" t="n"/>
      <c r="C631" s="737" t="inlineStr">
        <is>
          <t>ОЧ-92</t>
        </is>
      </c>
      <c r="D631" s="15" t="n"/>
      <c r="E631" s="15" t="n"/>
      <c r="F631" s="16" t="n"/>
      <c r="G631" s="17">
        <f>0</f>
        <v/>
      </c>
      <c r="H631" s="636" t="n"/>
      <c r="I631" s="17" t="n"/>
      <c r="J631" s="554" t="inlineStr">
        <is>
          <t>тыс.т</t>
        </is>
      </c>
    </row>
    <row r="632" ht="20.1" customHeight="1" s="904">
      <c r="B632" s="909" t="n"/>
      <c r="C632" s="737" t="inlineStr">
        <is>
          <t>ОЧ-95</t>
        </is>
      </c>
      <c r="D632" s="15" t="n"/>
      <c r="E632" s="15" t="n"/>
      <c r="F632" s="16" t="n"/>
      <c r="G632" s="17">
        <f>0</f>
        <v/>
      </c>
      <c r="H632" s="636" t="n"/>
      <c r="I632" s="17" t="n"/>
      <c r="J632" s="554" t="inlineStr">
        <is>
          <t>тыс.т</t>
        </is>
      </c>
    </row>
    <row r="633" ht="20.1" customHeight="1" s="904">
      <c r="B633" s="909" t="inlineStr">
        <is>
          <t>11.</t>
        </is>
      </c>
      <c r="C633" s="735" t="inlineStr">
        <is>
          <t>Топливо для реактивных двигателей марки ТС-1-всего</t>
        </is>
      </c>
      <c r="D633" s="15" t="n"/>
      <c r="E633" s="15" t="n"/>
      <c r="F633" s="16" t="n"/>
      <c r="G633" s="17">
        <f>G634</f>
        <v/>
      </c>
      <c r="H633" s="636" t="n"/>
      <c r="I633" s="17" t="n"/>
      <c r="J633" s="24" t="n"/>
    </row>
    <row r="634" ht="20.1" customHeight="1" s="904">
      <c r="B634" s="909" t="n"/>
      <c r="C634" s="781" t="inlineStr">
        <is>
          <t xml:space="preserve">   Газпром переработка</t>
        </is>
      </c>
      <c r="D634" s="15" t="n"/>
      <c r="E634" s="15" t="n"/>
      <c r="F634" s="16" t="n"/>
      <c r="G634" s="17">
        <f>G635+G636</f>
        <v/>
      </c>
      <c r="H634" s="636" t="n"/>
      <c r="I634" s="17" t="n"/>
      <c r="J634" s="24" t="inlineStr">
        <is>
          <t>тыс.т</t>
        </is>
      </c>
    </row>
    <row r="635" ht="20.1" customHeight="1" s="904">
      <c r="B635" s="909" t="n"/>
      <c r="C635" s="27" t="inlineStr">
        <is>
          <t xml:space="preserve">               Уренгойский ЗПКТ</t>
        </is>
      </c>
      <c r="D635" s="15" t="n"/>
      <c r="E635" s="15" t="n"/>
      <c r="F635" s="16" t="n"/>
      <c r="G635" s="17">
        <f>G639</f>
        <v/>
      </c>
      <c r="H635" s="636" t="n"/>
      <c r="I635" s="17" t="n"/>
      <c r="J635" s="549" t="inlineStr">
        <is>
          <t>тыс.т</t>
        </is>
      </c>
    </row>
    <row r="636" ht="20.1" customHeight="1" s="904">
      <c r="B636" s="909" t="n"/>
      <c r="C636" s="27" t="inlineStr">
        <is>
          <t xml:space="preserve">    Сургутский ЗСК</t>
        </is>
      </c>
      <c r="D636" s="15" t="n"/>
      <c r="E636" s="15" t="n"/>
      <c r="F636" s="16" t="n"/>
      <c r="G636" s="17">
        <f>G640</f>
        <v/>
      </c>
      <c r="H636" s="636" t="n"/>
      <c r="I636" s="17" t="n"/>
      <c r="J636" s="549" t="inlineStr">
        <is>
          <t>тыс.т</t>
        </is>
      </c>
    </row>
    <row r="637" ht="20.1" customHeight="1" s="904">
      <c r="B637" s="20" t="inlineStr">
        <is>
          <t>11.1.</t>
        </is>
      </c>
      <c r="C637" s="28" t="inlineStr">
        <is>
          <t>Газпром</t>
        </is>
      </c>
      <c r="D637" s="15" t="n"/>
      <c r="E637" s="15" t="n"/>
      <c r="F637" s="16" t="n"/>
      <c r="G637" s="17">
        <f>G638</f>
        <v/>
      </c>
      <c r="H637" s="636" t="n"/>
      <c r="I637" s="17" t="n"/>
      <c r="J637" s="24" t="inlineStr">
        <is>
          <t>тыс.т</t>
        </is>
      </c>
    </row>
    <row r="638" ht="20.1" customHeight="1" s="904">
      <c r="B638" s="909" t="n"/>
      <c r="C638" s="781" t="inlineStr">
        <is>
          <t xml:space="preserve">   Газпром переработка</t>
        </is>
      </c>
      <c r="D638" s="15" t="n"/>
      <c r="E638" s="15" t="n"/>
      <c r="F638" s="16" t="n"/>
      <c r="G638" s="17">
        <f>G639+G640</f>
        <v/>
      </c>
      <c r="H638" s="636" t="n"/>
      <c r="I638" s="17" t="n"/>
      <c r="J638" s="24" t="inlineStr">
        <is>
          <t>тыс.т</t>
        </is>
      </c>
    </row>
    <row r="639" ht="20.1" customHeight="1" s="904">
      <c r="B639" s="909" t="n"/>
      <c r="C639" s="27" t="inlineStr">
        <is>
          <t>Уренгойский ЗПКТ</t>
        </is>
      </c>
      <c r="D639" s="15" t="n"/>
      <c r="E639" s="15" t="n"/>
      <c r="F639" s="16" t="n"/>
      <c r="G639" s="17" t="inlineStr">
        <is>
          <t>4_100331909</t>
        </is>
      </c>
      <c r="H639" s="636" t="n"/>
      <c r="I639" s="17" t="n"/>
      <c r="J639" s="549" t="inlineStr">
        <is>
          <t>тыс.т</t>
        </is>
      </c>
    </row>
    <row r="640" ht="20.1" customHeight="1" s="904">
      <c r="B640" s="909" t="n"/>
      <c r="C640" s="27" t="inlineStr">
        <is>
          <t xml:space="preserve">    Сургутский ЗСК</t>
        </is>
      </c>
      <c r="D640" s="15" t="n"/>
      <c r="E640" s="15" t="n"/>
      <c r="F640" s="16" t="n"/>
      <c r="G640" s="17" t="inlineStr">
        <is>
          <t>4_100331910</t>
        </is>
      </c>
      <c r="H640" s="636" t="n"/>
      <c r="I640" s="17" t="n"/>
      <c r="J640" s="549" t="inlineStr">
        <is>
          <t>тыс.т</t>
        </is>
      </c>
    </row>
    <row r="641" ht="20.1" customHeight="1" s="904">
      <c r="B641" s="20" t="inlineStr">
        <is>
          <t>11.2.</t>
        </is>
      </c>
      <c r="C641" s="28" t="inlineStr">
        <is>
          <t>Дочерние общества</t>
        </is>
      </c>
      <c r="D641" s="15" t="n"/>
      <c r="E641" s="15" t="n"/>
      <c r="F641" s="16" t="n"/>
      <c r="G641" s="17">
        <f>0</f>
        <v/>
      </c>
      <c r="H641" s="636" t="n"/>
      <c r="I641" s="17" t="n"/>
      <c r="J641" s="24" t="inlineStr">
        <is>
          <t>тыс.т</t>
        </is>
      </c>
    </row>
    <row r="642" ht="20.1" customHeight="1" s="904">
      <c r="B642" s="909" t="inlineStr">
        <is>
          <t>12.</t>
        </is>
      </c>
      <c r="C642" s="735" t="inlineStr">
        <is>
          <t>Дизельное топливо-всего</t>
        </is>
      </c>
      <c r="D642" s="15" t="n"/>
      <c r="E642" s="15" t="n"/>
      <c r="F642" s="16" t="n"/>
      <c r="G642" s="17">
        <f>G643+G647</f>
        <v/>
      </c>
      <c r="H642" s="636" t="n"/>
      <c r="I642" s="17" t="n"/>
      <c r="J642" s="24" t="inlineStr">
        <is>
          <t>тыс.т</t>
        </is>
      </c>
    </row>
    <row r="643" ht="20.1" customHeight="1" s="904">
      <c r="B643" s="909" t="n"/>
      <c r="C643" s="781" t="inlineStr">
        <is>
          <t xml:space="preserve">   Газпром переработка</t>
        </is>
      </c>
      <c r="D643" s="15" t="n"/>
      <c r="E643" s="15" t="n"/>
      <c r="F643" s="16" t="n"/>
      <c r="G643" s="17">
        <f>G644+G645+G646</f>
        <v/>
      </c>
      <c r="H643" s="636" t="n"/>
      <c r="I643" s="17" t="n"/>
      <c r="J643" s="24" t="inlineStr">
        <is>
          <t>тыс.т</t>
        </is>
      </c>
    </row>
    <row r="644" ht="20.1" customHeight="1" s="904">
      <c r="B644" s="909" t="n"/>
      <c r="C644" s="27" t="inlineStr">
        <is>
          <t>Астраханский ГПЗ</t>
        </is>
      </c>
      <c r="D644" s="15" t="n"/>
      <c r="E644" s="15" t="n"/>
      <c r="F644" s="16" t="n"/>
      <c r="G644" s="17">
        <f>G650+G655</f>
        <v/>
      </c>
      <c r="H644" s="636" t="n"/>
      <c r="I644" s="17" t="n"/>
      <c r="J644" s="549" t="inlineStr">
        <is>
          <t>тыс.т</t>
        </is>
      </c>
    </row>
    <row r="645" ht="20.1" customHeight="1" s="904">
      <c r="B645" s="909" t="n"/>
      <c r="C645" s="27" t="inlineStr">
        <is>
          <t>Уренгойский ЗПКТ</t>
        </is>
      </c>
      <c r="D645" s="15" t="n"/>
      <c r="E645" s="15" t="n"/>
      <c r="F645" s="16" t="n"/>
      <c r="G645" s="17">
        <f>G651</f>
        <v/>
      </c>
      <c r="H645" s="636" t="n"/>
      <c r="I645" s="17" t="n"/>
      <c r="J645" s="549" t="inlineStr">
        <is>
          <t>тыс.т</t>
        </is>
      </c>
    </row>
    <row r="646" ht="20.1" customHeight="1" s="904">
      <c r="B646" s="909" t="n"/>
      <c r="C646" s="27" t="inlineStr">
        <is>
          <t xml:space="preserve">                Сургутский ЗСК</t>
        </is>
      </c>
      <c r="D646" s="15" t="n"/>
      <c r="E646" s="15" t="n"/>
      <c r="F646" s="16" t="n"/>
      <c r="G646" s="17">
        <f>G652</f>
        <v/>
      </c>
      <c r="H646" s="636" t="n"/>
      <c r="I646" s="17" t="n"/>
      <c r="J646" s="549" t="inlineStr">
        <is>
          <t>тыс.т</t>
        </is>
      </c>
    </row>
    <row r="647" ht="20.1" customHeight="1" s="904">
      <c r="B647" s="909" t="n"/>
      <c r="C647" s="781" t="inlineStr">
        <is>
          <t xml:space="preserve">   Газпром добыча Ямбург</t>
        </is>
      </c>
      <c r="D647" s="15" t="n"/>
      <c r="E647" s="15" t="n"/>
      <c r="F647" s="16" t="n"/>
      <c r="G647" s="17">
        <f>G656</f>
        <v/>
      </c>
      <c r="H647" s="636" t="n"/>
      <c r="I647" s="17" t="n"/>
      <c r="J647" s="24" t="inlineStr">
        <is>
          <t>тыс.т</t>
        </is>
      </c>
    </row>
    <row r="648" ht="20.1" customHeight="1" s="904">
      <c r="B648" s="20" t="inlineStr">
        <is>
          <t>12.1.</t>
        </is>
      </c>
      <c r="C648" s="28" t="inlineStr">
        <is>
          <t>Газпром</t>
        </is>
      </c>
      <c r="D648" s="15" t="n"/>
      <c r="E648" s="15" t="n"/>
      <c r="F648" s="16" t="n"/>
      <c r="G648" s="17">
        <f>G649</f>
        <v/>
      </c>
      <c r="H648" s="636" t="n"/>
      <c r="I648" s="17" t="n"/>
      <c r="J648" s="24" t="inlineStr">
        <is>
          <t>тыс.т</t>
        </is>
      </c>
    </row>
    <row r="649" ht="20.1" customHeight="1" s="904">
      <c r="B649" s="909" t="n"/>
      <c r="C649" s="781" t="inlineStr">
        <is>
          <t xml:space="preserve">   Газпром переработка</t>
        </is>
      </c>
      <c r="D649" s="15" t="n"/>
      <c r="E649" s="15" t="n"/>
      <c r="F649" s="16" t="n"/>
      <c r="G649" s="17">
        <f>G650+G651+G652</f>
        <v/>
      </c>
      <c r="H649" s="636" t="n"/>
      <c r="I649" s="17" t="n"/>
      <c r="J649" s="24" t="inlineStr">
        <is>
          <t>тыс.т</t>
        </is>
      </c>
    </row>
    <row r="650" ht="20.1" customHeight="1" s="904">
      <c r="B650" s="909" t="n"/>
      <c r="C650" s="27" t="inlineStr">
        <is>
          <t>Астраханский ГПЗ</t>
        </is>
      </c>
      <c r="D650" s="15" t="n"/>
      <c r="E650" s="15" t="n"/>
      <c r="F650" s="16" t="n"/>
      <c r="G650" s="17" t="inlineStr">
        <is>
          <t>1_100332023</t>
        </is>
      </c>
      <c r="H650" s="636" t="n"/>
      <c r="I650" s="17" t="n"/>
      <c r="J650" s="549" t="inlineStr">
        <is>
          <t>тыс.т</t>
        </is>
      </c>
    </row>
    <row r="651" ht="20.1" customHeight="1" s="904">
      <c r="B651" s="909" t="n"/>
      <c r="C651" s="27" t="inlineStr">
        <is>
          <t>Уренгойский ЗПКТ</t>
        </is>
      </c>
      <c r="D651" s="15" t="n"/>
      <c r="E651" s="15" t="n"/>
      <c r="F651" s="16" t="n"/>
      <c r="G651" s="17" t="inlineStr">
        <is>
          <t>4_100331912</t>
        </is>
      </c>
      <c r="H651" s="636" t="n"/>
      <c r="I651" s="17" t="n"/>
      <c r="J651" s="549" t="inlineStr">
        <is>
          <t>тыс.т</t>
        </is>
      </c>
    </row>
    <row r="652" ht="20.1" customHeight="1" s="904">
      <c r="B652" s="909" t="n"/>
      <c r="C652" s="27" t="inlineStr">
        <is>
          <t xml:space="preserve">                Сургутский ЗСК</t>
        </is>
      </c>
      <c r="D652" s="15" t="n"/>
      <c r="E652" s="15" t="n"/>
      <c r="F652" s="16" t="n"/>
      <c r="G652" s="17" t="inlineStr">
        <is>
          <t>4_100331913</t>
        </is>
      </c>
      <c r="H652" s="636" t="n"/>
      <c r="I652" s="17" t="n"/>
      <c r="J652" s="549" t="inlineStr">
        <is>
          <t>тыс.т</t>
        </is>
      </c>
    </row>
    <row r="653" ht="20.1" customHeight="1" s="904">
      <c r="B653" s="20" t="inlineStr">
        <is>
          <t>12.2.</t>
        </is>
      </c>
      <c r="C653" s="28" t="inlineStr">
        <is>
          <t>Дочерние общества</t>
        </is>
      </c>
      <c r="D653" s="15" t="n"/>
      <c r="E653" s="15" t="n"/>
      <c r="F653" s="16" t="n"/>
      <c r="G653" s="17">
        <f>G654+G656</f>
        <v/>
      </c>
      <c r="H653" s="636" t="n"/>
      <c r="I653" s="17" t="n"/>
      <c r="J653" s="24" t="inlineStr">
        <is>
          <t>тыс.т</t>
        </is>
      </c>
    </row>
    <row r="654" ht="20.1" customHeight="1" s="904">
      <c r="B654" s="909" t="n"/>
      <c r="C654" s="781" t="inlineStr">
        <is>
          <t xml:space="preserve">   Газпром переработка</t>
        </is>
      </c>
      <c r="D654" s="15" t="n"/>
      <c r="E654" s="15" t="n"/>
      <c r="F654" s="16" t="n"/>
      <c r="G654" s="17">
        <f>G655</f>
        <v/>
      </c>
      <c r="H654" s="636" t="n"/>
      <c r="I654" s="17" t="n"/>
      <c r="J654" s="24" t="inlineStr">
        <is>
          <t>тыс.т</t>
        </is>
      </c>
    </row>
    <row r="655" ht="20.1" customHeight="1" s="904">
      <c r="B655" s="909" t="n"/>
      <c r="C655" s="27" t="inlineStr">
        <is>
          <t>Астраханский ГПЗ</t>
        </is>
      </c>
      <c r="D655" s="15" t="n"/>
      <c r="E655" s="15" t="n"/>
      <c r="F655" s="16" t="n"/>
      <c r="G655" s="17">
        <f>0</f>
        <v/>
      </c>
      <c r="H655" s="636" t="n"/>
      <c r="I655" s="17" t="n"/>
      <c r="J655" s="549" t="inlineStr">
        <is>
          <t>тыс.т</t>
        </is>
      </c>
    </row>
    <row r="656" ht="20.1" customHeight="1" s="904">
      <c r="B656" s="909" t="n"/>
      <c r="C656" s="781" t="inlineStr">
        <is>
          <t xml:space="preserve">   Газпром добыча Ямбург</t>
        </is>
      </c>
      <c r="D656" s="15" t="n"/>
      <c r="E656" s="15" t="n"/>
      <c r="F656" s="16" t="n"/>
      <c r="G656" s="17" t="inlineStr">
        <is>
          <t>7_100330605</t>
        </is>
      </c>
      <c r="H656" s="636" t="n"/>
      <c r="I656" s="17" t="n"/>
      <c r="J656" s="24" t="inlineStr">
        <is>
          <t>тыс.т</t>
        </is>
      </c>
    </row>
    <row r="657" ht="20.1" customHeight="1" s="904">
      <c r="B657" s="909" t="inlineStr">
        <is>
          <t>13.</t>
        </is>
      </c>
      <c r="C657" s="735" t="inlineStr">
        <is>
          <t>Мазут - всего</t>
        </is>
      </c>
      <c r="D657" s="15" t="n"/>
      <c r="E657" s="15" t="n"/>
      <c r="F657" s="16" t="n"/>
      <c r="G657" s="17">
        <f>G659</f>
        <v/>
      </c>
      <c r="H657" s="636" t="n"/>
      <c r="I657" s="17" t="n"/>
      <c r="J657" s="24" t="inlineStr">
        <is>
          <t>тыс.т</t>
        </is>
      </c>
    </row>
    <row r="658" ht="20.1" customHeight="1" s="904">
      <c r="B658" s="909" t="n"/>
      <c r="C658" s="781" t="inlineStr">
        <is>
          <t xml:space="preserve">   Газпром переработка</t>
        </is>
      </c>
      <c r="D658" s="15" t="n"/>
      <c r="E658" s="15" t="n"/>
      <c r="F658" s="16" t="n"/>
      <c r="G658" s="17">
        <f>G659</f>
        <v/>
      </c>
      <c r="H658" s="636" t="n"/>
      <c r="I658" s="17" t="n"/>
      <c r="J658" s="24" t="inlineStr">
        <is>
          <t>тыс.т</t>
        </is>
      </c>
    </row>
    <row r="659" ht="20.1" customHeight="1" s="904">
      <c r="B659" s="909" t="n"/>
      <c r="C659" s="27" t="inlineStr">
        <is>
          <t>Астраханский ГПЗ</t>
        </is>
      </c>
      <c r="D659" s="15" t="n"/>
      <c r="E659" s="15" t="n"/>
      <c r="F659" s="16" t="n"/>
      <c r="G659" s="17">
        <f>G662</f>
        <v/>
      </c>
      <c r="H659" s="636" t="n"/>
      <c r="I659" s="17" t="n"/>
      <c r="J659" s="549" t="inlineStr">
        <is>
          <t>тыс.т</t>
        </is>
      </c>
    </row>
    <row r="660" ht="20.1" customHeight="1" s="904">
      <c r="B660" s="20" t="inlineStr">
        <is>
          <t>13.1.</t>
        </is>
      </c>
      <c r="C660" s="28" t="inlineStr">
        <is>
          <t>Газпром</t>
        </is>
      </c>
      <c r="D660" s="15" t="n"/>
      <c r="E660" s="15" t="n"/>
      <c r="F660" s="16" t="n"/>
      <c r="G660" s="17">
        <f>G662</f>
        <v/>
      </c>
      <c r="H660" s="636" t="n"/>
      <c r="I660" s="17" t="n"/>
      <c r="J660" s="24" t="inlineStr">
        <is>
          <t>тыс.т</t>
        </is>
      </c>
    </row>
    <row r="661" ht="20.1" customHeight="1" s="904">
      <c r="B661" s="909" t="n"/>
      <c r="C661" s="781" t="inlineStr">
        <is>
          <t xml:space="preserve">   Газпром переработка</t>
        </is>
      </c>
      <c r="D661" s="15" t="n"/>
      <c r="E661" s="15" t="n"/>
      <c r="F661" s="16" t="n"/>
      <c r="G661" s="17">
        <f>G662</f>
        <v/>
      </c>
      <c r="H661" s="636" t="n"/>
      <c r="I661" s="17" t="n"/>
      <c r="J661" s="24" t="inlineStr">
        <is>
          <t>тыс.т</t>
        </is>
      </c>
    </row>
    <row r="662" ht="20.1" customHeight="1" s="904">
      <c r="B662" s="909" t="n"/>
      <c r="C662" s="27" t="inlineStr">
        <is>
          <t>Астраханский ГПЗ</t>
        </is>
      </c>
      <c r="D662" s="15" t="n"/>
      <c r="E662" s="15" t="n"/>
      <c r="F662" s="16" t="n"/>
      <c r="G662" s="17" t="inlineStr">
        <is>
          <t>1_100332024</t>
        </is>
      </c>
      <c r="H662" s="636" t="n"/>
      <c r="I662" s="17" t="n"/>
      <c r="J662" s="549" t="inlineStr">
        <is>
          <t>тыс.т</t>
        </is>
      </c>
    </row>
    <row r="663" ht="20.1" customHeight="1" s="904">
      <c r="B663" s="20" t="inlineStr">
        <is>
          <t>13.2.</t>
        </is>
      </c>
      <c r="C663" s="28" t="inlineStr">
        <is>
          <t>Дочерние общества</t>
        </is>
      </c>
      <c r="D663" s="15" t="n"/>
      <c r="E663" s="15" t="n"/>
      <c r="F663" s="16" t="n"/>
      <c r="G663" s="17">
        <f>0</f>
        <v/>
      </c>
      <c r="H663" s="636" t="n"/>
      <c r="I663" s="17" t="n"/>
      <c r="J663" s="24" t="inlineStr">
        <is>
          <t>тыс.т</t>
        </is>
      </c>
    </row>
    <row r="664" ht="20.1" customHeight="1" s="904">
      <c r="B664" s="909" t="inlineStr">
        <is>
          <t>14.</t>
        </is>
      </c>
      <c r="C664" s="735" t="inlineStr">
        <is>
          <t xml:space="preserve">Дистиллят газового конденсата легкий - всего  </t>
        </is>
      </c>
      <c r="D664" s="15" t="n"/>
      <c r="E664" s="15" t="n"/>
      <c r="F664" s="16" t="n"/>
      <c r="G664" s="17">
        <f>G665</f>
        <v/>
      </c>
      <c r="H664" s="636" t="n"/>
      <c r="I664" s="17" t="n"/>
      <c r="J664" s="24" t="inlineStr">
        <is>
          <t>тыс.т</t>
        </is>
      </c>
    </row>
    <row r="665" ht="20.1" customHeight="1" s="904">
      <c r="B665" s="909" t="n"/>
      <c r="C665" s="781" t="inlineStr">
        <is>
          <t xml:space="preserve">   Газпром переработка</t>
        </is>
      </c>
      <c r="D665" s="15" t="n"/>
      <c r="E665" s="15" t="n"/>
      <c r="F665" s="16" t="n"/>
      <c r="G665" s="17">
        <f>G666+G667+G668</f>
        <v/>
      </c>
      <c r="H665" s="636" t="n"/>
      <c r="I665" s="17" t="n"/>
      <c r="J665" s="24" t="inlineStr">
        <is>
          <t>тыс.т</t>
        </is>
      </c>
    </row>
    <row r="666" ht="20.1" customHeight="1" s="904">
      <c r="B666" s="909" t="n"/>
      <c r="C666" s="27" t="inlineStr">
        <is>
          <t>Астраханский ГПЗ</t>
        </is>
      </c>
      <c r="D666" s="15" t="n"/>
      <c r="E666" s="15" t="n"/>
      <c r="F666" s="16" t="n"/>
      <c r="G666" s="17">
        <f>G671+G678</f>
        <v/>
      </c>
      <c r="H666" s="636" t="n"/>
      <c r="I666" s="17" t="n"/>
      <c r="J666" s="549" t="inlineStr">
        <is>
          <t>тыс.т</t>
        </is>
      </c>
    </row>
    <row r="667" ht="20.1" customHeight="1" s="904">
      <c r="B667" s="909" t="n"/>
      <c r="C667" s="27" t="inlineStr">
        <is>
          <t>Уренгойский ЗПКТ</t>
        </is>
      </c>
      <c r="D667" s="15" t="n"/>
      <c r="E667" s="15" t="n"/>
      <c r="F667" s="16" t="n"/>
      <c r="G667" s="17">
        <f>G672+G676</f>
        <v/>
      </c>
      <c r="H667" s="636" t="n"/>
      <c r="I667" s="17" t="n"/>
      <c r="J667" s="549" t="inlineStr">
        <is>
          <t>тыс.т</t>
        </is>
      </c>
    </row>
    <row r="668" ht="20.1" customHeight="1" s="904">
      <c r="B668" s="909" t="n"/>
      <c r="C668" s="27" t="inlineStr">
        <is>
          <t xml:space="preserve">                Сургутский ЗСК</t>
        </is>
      </c>
      <c r="D668" s="15" t="n"/>
      <c r="E668" s="15" t="n"/>
      <c r="F668" s="16" t="n"/>
      <c r="G668" s="17">
        <f>G673</f>
        <v/>
      </c>
      <c r="H668" s="636" t="n"/>
      <c r="I668" s="17" t="n"/>
      <c r="J668" s="549" t="inlineStr">
        <is>
          <t>тыс.т</t>
        </is>
      </c>
    </row>
    <row r="669" ht="20.1" customHeight="1" s="904">
      <c r="B669" s="20" t="inlineStr">
        <is>
          <t>14.1.</t>
        </is>
      </c>
      <c r="C669" s="28" t="inlineStr">
        <is>
          <t>Газпром</t>
        </is>
      </c>
      <c r="D669" s="15" t="n"/>
      <c r="E669" s="15" t="n"/>
      <c r="F669" s="16" t="n"/>
      <c r="G669" s="17">
        <f>G670</f>
        <v/>
      </c>
      <c r="H669" s="636" t="n"/>
      <c r="I669" s="17" t="n"/>
      <c r="J669" s="24" t="inlineStr">
        <is>
          <t>тыс.т</t>
        </is>
      </c>
    </row>
    <row r="670" ht="20.1" customHeight="1" s="904">
      <c r="B670" s="909" t="n"/>
      <c r="C670" s="781" t="inlineStr">
        <is>
          <t xml:space="preserve">   Газпром переработка</t>
        </is>
      </c>
      <c r="D670" s="15" t="n"/>
      <c r="E670" s="15" t="n"/>
      <c r="F670" s="16" t="n"/>
      <c r="G670" s="17">
        <f>G671+G672+G673</f>
        <v/>
      </c>
      <c r="H670" s="636" t="n"/>
      <c r="I670" s="17" t="n"/>
      <c r="J670" s="24" t="inlineStr">
        <is>
          <t>тыс.т</t>
        </is>
      </c>
    </row>
    <row r="671" ht="20.1" customHeight="1" s="904">
      <c r="B671" s="909" t="n"/>
      <c r="C671" s="27" t="inlineStr">
        <is>
          <t>Астраханский ГПЗ</t>
        </is>
      </c>
      <c r="D671" s="15" t="n"/>
      <c r="E671" s="15" t="n"/>
      <c r="F671" s="16" t="n"/>
      <c r="G671" s="17" t="inlineStr">
        <is>
          <t>1_100332020</t>
        </is>
      </c>
      <c r="H671" s="636" t="n"/>
      <c r="I671" s="17" t="n"/>
      <c r="J671" s="549" t="inlineStr">
        <is>
          <t>тыс.т</t>
        </is>
      </c>
    </row>
    <row r="672" ht="20.1" customHeight="1" s="904">
      <c r="B672" s="909" t="n"/>
      <c r="C672" s="27" t="inlineStr">
        <is>
          <t>Уренгойский ЗПКТ</t>
        </is>
      </c>
      <c r="D672" s="15" t="n"/>
      <c r="E672" s="15" t="n"/>
      <c r="F672" s="16" t="n"/>
      <c r="G672" s="17" t="inlineStr">
        <is>
          <t>4_100331916</t>
        </is>
      </c>
      <c r="H672" s="636" t="n"/>
      <c r="I672" s="17" t="n"/>
      <c r="J672" s="549" t="inlineStr">
        <is>
          <t>тыс.т</t>
        </is>
      </c>
    </row>
    <row r="673" ht="20.1" customHeight="1" s="904">
      <c r="B673" s="909" t="n"/>
      <c r="C673" s="27" t="inlineStr">
        <is>
          <t xml:space="preserve">               Сургутский ЗСК</t>
        </is>
      </c>
      <c r="D673" s="15" t="n"/>
      <c r="E673" s="15" t="n"/>
      <c r="F673" s="16" t="n"/>
      <c r="G673" s="17" t="inlineStr">
        <is>
          <t>4_100331917</t>
        </is>
      </c>
      <c r="H673" s="636" t="n"/>
      <c r="I673" s="17" t="n"/>
      <c r="J673" s="549" t="inlineStr">
        <is>
          <t>тыс.т</t>
        </is>
      </c>
    </row>
    <row r="674" ht="20.1" customHeight="1" s="904">
      <c r="B674" s="20" t="inlineStr">
        <is>
          <t>14.2.</t>
        </is>
      </c>
      <c r="C674" s="28" t="inlineStr">
        <is>
          <t>Дочерние общества</t>
        </is>
      </c>
      <c r="D674" s="15" t="n"/>
      <c r="E674" s="15" t="n"/>
      <c r="F674" s="16" t="n"/>
      <c r="G674" s="17">
        <f>G675+G677</f>
        <v/>
      </c>
      <c r="H674" s="636" t="n"/>
      <c r="I674" s="17" t="n"/>
      <c r="J674" s="24" t="inlineStr">
        <is>
          <t>тыс.т</t>
        </is>
      </c>
    </row>
    <row r="675" ht="20.1" customHeight="1" s="904">
      <c r="B675" s="909" t="n"/>
      <c r="C675" s="781" t="inlineStr">
        <is>
          <t xml:space="preserve">   Газпром добыча Уренгой</t>
        </is>
      </c>
      <c r="D675" s="15" t="n"/>
      <c r="E675" s="15" t="n"/>
      <c r="F675" s="16" t="n"/>
      <c r="G675" s="17">
        <f>G676</f>
        <v/>
      </c>
      <c r="H675" s="636" t="n"/>
      <c r="I675" s="17" t="n"/>
      <c r="J675" s="24" t="inlineStr">
        <is>
          <t>тыс.т</t>
        </is>
      </c>
    </row>
    <row r="676" ht="20.1" customHeight="1" s="904">
      <c r="B676" s="909" t="n"/>
      <c r="C676" s="27" t="inlineStr">
        <is>
          <t>Уренгойский ЗПКТ</t>
        </is>
      </c>
      <c r="D676" s="15" t="n"/>
      <c r="E676" s="15" t="n"/>
      <c r="F676" s="16" t="n"/>
      <c r="G676" s="17">
        <f>0</f>
        <v/>
      </c>
      <c r="H676" s="636" t="n"/>
      <c r="I676" s="17" t="n"/>
      <c r="J676" s="549" t="inlineStr">
        <is>
          <t>тыс.т</t>
        </is>
      </c>
    </row>
    <row r="677" ht="20.1" customHeight="1" s="904">
      <c r="B677" s="909" t="n"/>
      <c r="C677" s="781" t="inlineStr">
        <is>
          <t xml:space="preserve">   Газпром переработка</t>
        </is>
      </c>
      <c r="D677" s="15" t="n"/>
      <c r="E677" s="15" t="n"/>
      <c r="F677" s="16" t="n"/>
      <c r="G677" s="17">
        <f>G678</f>
        <v/>
      </c>
      <c r="H677" s="636" t="n"/>
      <c r="I677" s="17" t="n"/>
      <c r="J677" s="24" t="inlineStr">
        <is>
          <t>тыс.т</t>
        </is>
      </c>
    </row>
    <row r="678" ht="20.1" customHeight="1" s="904">
      <c r="B678" s="909" t="n"/>
      <c r="C678" s="27" t="inlineStr">
        <is>
          <t>Астраханский ГПЗ</t>
        </is>
      </c>
      <c r="D678" s="15" t="n"/>
      <c r="E678" s="15" t="n"/>
      <c r="F678" s="16" t="n"/>
      <c r="G678" s="17">
        <f>0</f>
        <v/>
      </c>
      <c r="H678" s="636" t="n"/>
      <c r="I678" s="17" t="n"/>
      <c r="J678" s="549" t="inlineStr">
        <is>
          <t>тыс.т</t>
        </is>
      </c>
    </row>
    <row r="679" ht="20.1" customHeight="1" s="904">
      <c r="B679" s="909" t="inlineStr">
        <is>
          <t>15.</t>
        </is>
      </c>
      <c r="C679" s="735" t="inlineStr">
        <is>
          <t>Дистиллят газового конденсата средний - всего</t>
        </is>
      </c>
      <c r="D679" s="15" t="n"/>
      <c r="E679" s="15" t="n"/>
      <c r="F679" s="16" t="n"/>
      <c r="G679" s="17">
        <f>G680</f>
        <v/>
      </c>
      <c r="H679" s="636" t="n"/>
      <c r="I679" s="17" t="n"/>
      <c r="J679" s="24" t="inlineStr">
        <is>
          <t>тыс.т</t>
        </is>
      </c>
    </row>
    <row r="680" ht="20.1" customHeight="1" s="904">
      <c r="B680" s="909" t="n"/>
      <c r="C680" s="781" t="inlineStr">
        <is>
          <t xml:space="preserve">   Газпром переработка</t>
        </is>
      </c>
      <c r="D680" s="15" t="n"/>
      <c r="E680" s="15" t="n"/>
      <c r="F680" s="16" t="n"/>
      <c r="G680" s="17">
        <f>G681</f>
        <v/>
      </c>
      <c r="H680" s="636" t="n"/>
      <c r="I680" s="17" t="n"/>
      <c r="J680" s="24" t="inlineStr">
        <is>
          <t>тыс.т</t>
        </is>
      </c>
    </row>
    <row r="681" ht="20.1" customHeight="1" s="904">
      <c r="B681" s="909" t="n"/>
      <c r="C681" s="27" t="inlineStr">
        <is>
          <t>Астраханский ГПЗ</t>
        </is>
      </c>
      <c r="D681" s="15" t="n"/>
      <c r="E681" s="15" t="n"/>
      <c r="F681" s="16" t="n"/>
      <c r="G681" s="17">
        <f>G684+G687</f>
        <v/>
      </c>
      <c r="H681" s="636" t="n"/>
      <c r="I681" s="17" t="n"/>
      <c r="J681" s="549" t="inlineStr">
        <is>
          <t>тыс.т</t>
        </is>
      </c>
    </row>
    <row r="682" ht="20.1" customHeight="1" s="904">
      <c r="B682" s="20" t="inlineStr">
        <is>
          <t>15.1.</t>
        </is>
      </c>
      <c r="C682" s="28" t="inlineStr">
        <is>
          <t>Газпром</t>
        </is>
      </c>
      <c r="D682" s="15" t="n"/>
      <c r="E682" s="15" t="n"/>
      <c r="F682" s="16" t="n"/>
      <c r="G682" s="17">
        <f>G684</f>
        <v/>
      </c>
      <c r="H682" s="636" t="n"/>
      <c r="I682" s="17" t="n"/>
      <c r="J682" s="24" t="inlineStr">
        <is>
          <t>тыс.т</t>
        </is>
      </c>
    </row>
    <row r="683" ht="20.1" customHeight="1" s="904">
      <c r="B683" s="909" t="n"/>
      <c r="C683" s="781" t="inlineStr">
        <is>
          <t xml:space="preserve">   Газпром переработка</t>
        </is>
      </c>
      <c r="D683" s="15" t="n"/>
      <c r="E683" s="15" t="n"/>
      <c r="F683" s="16" t="n"/>
      <c r="G683" s="17">
        <f>G684</f>
        <v/>
      </c>
      <c r="H683" s="636" t="n"/>
      <c r="I683" s="17" t="n"/>
      <c r="J683" s="24" t="inlineStr">
        <is>
          <t>тыс.т</t>
        </is>
      </c>
    </row>
    <row r="684" ht="20.1" customHeight="1" s="904">
      <c r="B684" s="909" t="n"/>
      <c r="C684" s="27" t="inlineStr">
        <is>
          <t>Астраханский ГПЗ</t>
        </is>
      </c>
      <c r="D684" s="15" t="n"/>
      <c r="E684" s="15" t="n"/>
      <c r="F684" s="16" t="n"/>
      <c r="G684" s="17" t="inlineStr">
        <is>
          <t>1_100332021</t>
        </is>
      </c>
      <c r="H684" s="636" t="n"/>
      <c r="I684" s="17" t="n"/>
      <c r="J684" s="549" t="inlineStr">
        <is>
          <t>тыс.т</t>
        </is>
      </c>
    </row>
    <row r="685" ht="20.1" customHeight="1" s="904">
      <c r="B685" s="20" t="inlineStr">
        <is>
          <t>15.2.</t>
        </is>
      </c>
      <c r="C685" s="28" t="inlineStr">
        <is>
          <t>Дочерние общества</t>
        </is>
      </c>
      <c r="D685" s="15" t="n"/>
      <c r="E685" s="15" t="n"/>
      <c r="F685" s="16" t="n"/>
      <c r="G685" s="17">
        <f>G687</f>
        <v/>
      </c>
      <c r="H685" s="636" t="n"/>
      <c r="I685" s="17" t="n"/>
      <c r="J685" s="24" t="inlineStr">
        <is>
          <t>тыс.т</t>
        </is>
      </c>
    </row>
    <row r="686" ht="20.1" customHeight="1" s="904">
      <c r="B686" s="909" t="n"/>
      <c r="C686" s="781" t="inlineStr">
        <is>
          <t xml:space="preserve">   Газпром переработка</t>
        </is>
      </c>
      <c r="D686" s="15" t="n"/>
      <c r="E686" s="15" t="n"/>
      <c r="F686" s="16" t="n"/>
      <c r="G686" s="17">
        <f>G687</f>
        <v/>
      </c>
      <c r="H686" s="636" t="n"/>
      <c r="I686" s="17" t="n"/>
      <c r="J686" s="24" t="inlineStr">
        <is>
          <t>тыс.т</t>
        </is>
      </c>
    </row>
    <row r="687" ht="20.1" customHeight="1" s="904">
      <c r="B687" s="909" t="n"/>
      <c r="C687" s="27" t="inlineStr">
        <is>
          <t>Астраханский ГПЗ</t>
        </is>
      </c>
      <c r="D687" s="15" t="n"/>
      <c r="E687" s="15" t="n"/>
      <c r="F687" s="16" t="n"/>
      <c r="G687" s="17">
        <f>0</f>
        <v/>
      </c>
      <c r="H687" s="636" t="n"/>
      <c r="I687" s="17" t="n"/>
      <c r="J687" s="549" t="inlineStr">
        <is>
          <t>тыс.т</t>
        </is>
      </c>
    </row>
    <row r="688" ht="20.1" customHeight="1" s="904">
      <c r="B688" s="909" t="inlineStr">
        <is>
          <t>16.</t>
        </is>
      </c>
      <c r="C688" s="735" t="inlineStr">
        <is>
          <t>Дистиллят газового конденсата тяжелый - всего</t>
        </is>
      </c>
      <c r="D688" s="15" t="n"/>
      <c r="E688" s="15" t="n"/>
      <c r="F688" s="16" t="n"/>
      <c r="G688" s="17">
        <f>G689</f>
        <v/>
      </c>
      <c r="H688" s="636" t="n"/>
      <c r="I688" s="17" t="n"/>
      <c r="J688" s="24" t="inlineStr">
        <is>
          <t>тыс.т</t>
        </is>
      </c>
    </row>
    <row r="689" ht="20.1" customHeight="1" s="904">
      <c r="B689" s="909" t="n"/>
      <c r="C689" s="781" t="inlineStr">
        <is>
          <t xml:space="preserve">   Газпром переработка</t>
        </is>
      </c>
      <c r="D689" s="15" t="n"/>
      <c r="E689" s="15" t="n"/>
      <c r="F689" s="16" t="n"/>
      <c r="G689" s="17">
        <f>G690</f>
        <v/>
      </c>
      <c r="H689" s="636" t="n"/>
      <c r="I689" s="17" t="n"/>
      <c r="J689" s="24" t="inlineStr">
        <is>
          <t>тыс.т</t>
        </is>
      </c>
    </row>
    <row r="690" ht="20.1" customHeight="1" s="904">
      <c r="B690" s="909" t="n"/>
      <c r="C690" s="27" t="inlineStr">
        <is>
          <t>Астраханский ГПЗ</t>
        </is>
      </c>
      <c r="D690" s="15" t="n"/>
      <c r="E690" s="15" t="n"/>
      <c r="F690" s="16" t="n"/>
      <c r="G690" s="17">
        <f>G693+G696</f>
        <v/>
      </c>
      <c r="H690" s="636" t="n"/>
      <c r="I690" s="17" t="n"/>
      <c r="J690" s="549" t="inlineStr">
        <is>
          <t>тыс.т</t>
        </is>
      </c>
    </row>
    <row r="691" ht="20.1" customHeight="1" s="904">
      <c r="B691" s="20" t="inlineStr">
        <is>
          <t>16.1.</t>
        </is>
      </c>
      <c r="C691" s="28" t="inlineStr">
        <is>
          <t>Газпром</t>
        </is>
      </c>
      <c r="D691" s="15" t="n"/>
      <c r="E691" s="15" t="n"/>
      <c r="F691" s="16" t="n"/>
      <c r="G691" s="17">
        <f>G693</f>
        <v/>
      </c>
      <c r="H691" s="636" t="n"/>
      <c r="I691" s="17" t="n"/>
      <c r="J691" s="24" t="inlineStr">
        <is>
          <t>тыс.т</t>
        </is>
      </c>
    </row>
    <row r="692" ht="20.1" customHeight="1" s="904">
      <c r="B692" s="909" t="n"/>
      <c r="C692" s="781" t="inlineStr">
        <is>
          <t xml:space="preserve">   Газпром переработка</t>
        </is>
      </c>
      <c r="D692" s="15" t="n"/>
      <c r="E692" s="15" t="n"/>
      <c r="F692" s="16" t="n"/>
      <c r="G692" s="17">
        <f>G693</f>
        <v/>
      </c>
      <c r="H692" s="636" t="n"/>
      <c r="I692" s="17" t="n"/>
      <c r="J692" s="24" t="inlineStr">
        <is>
          <t>тыс.т</t>
        </is>
      </c>
    </row>
    <row r="693" ht="20.1" customHeight="1" s="904">
      <c r="B693" s="909" t="n"/>
      <c r="C693" s="27" t="inlineStr">
        <is>
          <t>Астраханский ГПЗ</t>
        </is>
      </c>
      <c r="D693" s="15" t="n"/>
      <c r="E693" s="15" t="n"/>
      <c r="F693" s="16" t="n"/>
      <c r="G693" s="17" t="inlineStr">
        <is>
          <t>1_100332022</t>
        </is>
      </c>
      <c r="H693" s="636" t="n"/>
      <c r="I693" s="17" t="n"/>
      <c r="J693" s="549" t="inlineStr">
        <is>
          <t>тыс.т</t>
        </is>
      </c>
    </row>
    <row r="694" ht="20.1" customHeight="1" s="904">
      <c r="B694" s="20" t="inlineStr">
        <is>
          <t>16.2.</t>
        </is>
      </c>
      <c r="C694" s="28" t="inlineStr">
        <is>
          <t>Дочерние общества</t>
        </is>
      </c>
      <c r="D694" s="15" t="n"/>
      <c r="E694" s="15" t="n"/>
      <c r="F694" s="16" t="n"/>
      <c r="G694" s="17">
        <f>G696</f>
        <v/>
      </c>
      <c r="H694" s="636" t="n"/>
      <c r="I694" s="17" t="n"/>
      <c r="J694" s="24" t="inlineStr">
        <is>
          <t>тыс.т</t>
        </is>
      </c>
    </row>
    <row r="695" ht="20.1" customHeight="1" s="904">
      <c r="B695" s="909" t="n"/>
      <c r="C695" s="781" t="inlineStr">
        <is>
          <t xml:space="preserve">   Газпром переработка</t>
        </is>
      </c>
      <c r="D695" s="15" t="n"/>
      <c r="E695" s="15" t="n"/>
      <c r="F695" s="16" t="n"/>
      <c r="G695" s="17">
        <f>G696</f>
        <v/>
      </c>
      <c r="H695" s="636" t="n"/>
      <c r="I695" s="17" t="n"/>
      <c r="J695" s="24" t="inlineStr">
        <is>
          <t>тыс.т</t>
        </is>
      </c>
    </row>
    <row r="696" ht="20.1" customHeight="1" s="904">
      <c r="B696" s="909" t="n"/>
      <c r="C696" s="27" t="inlineStr">
        <is>
          <t>Астраханский ГПЗ</t>
        </is>
      </c>
      <c r="D696" s="15" t="n"/>
      <c r="E696" s="15" t="n"/>
      <c r="F696" s="16" t="n"/>
      <c r="G696" s="17">
        <f>0</f>
        <v/>
      </c>
      <c r="H696" s="636" t="n"/>
      <c r="I696" s="17" t="n"/>
      <c r="J696" s="549" t="inlineStr">
        <is>
          <t>тыс.т</t>
        </is>
      </c>
    </row>
    <row r="697" ht="20.1" customHeight="1" s="904">
      <c r="B697" s="909" t="inlineStr">
        <is>
          <t>17.</t>
        </is>
      </c>
      <c r="C697" s="735" t="inlineStr">
        <is>
          <t>Этановая фракция-всего</t>
        </is>
      </c>
      <c r="D697" s="15" t="n"/>
      <c r="E697" s="15" t="n"/>
      <c r="F697" s="16" t="n"/>
      <c r="G697" s="17">
        <f>G698+G700</f>
        <v/>
      </c>
      <c r="H697" s="636" t="n"/>
      <c r="I697" s="17" t="n"/>
      <c r="J697" s="24" t="inlineStr">
        <is>
          <t>тыс.т</t>
        </is>
      </c>
    </row>
    <row r="698" ht="20.1" customHeight="1" s="904">
      <c r="B698" s="909" t="n"/>
      <c r="C698" s="781" t="inlineStr">
        <is>
          <t xml:space="preserve">   Газпром переработка</t>
        </is>
      </c>
      <c r="D698" s="15" t="n"/>
      <c r="E698" s="15" t="n"/>
      <c r="F698" s="16" t="n"/>
      <c r="G698" s="17">
        <f>G699</f>
        <v/>
      </c>
      <c r="H698" s="636" t="n"/>
      <c r="I698" s="17" t="n"/>
      <c r="J698" s="24" t="inlineStr">
        <is>
          <t>тыс.т</t>
        </is>
      </c>
    </row>
    <row r="699" ht="20.1" customHeight="1" s="904">
      <c r="B699" s="909" t="n"/>
      <c r="C699" s="27" t="inlineStr">
        <is>
          <t>Оренбургский ГХК</t>
        </is>
      </c>
      <c r="D699" s="15" t="n"/>
      <c r="E699" s="15" t="n"/>
      <c r="F699" s="16" t="n"/>
      <c r="G699" s="17">
        <f>G707</f>
        <v/>
      </c>
      <c r="H699" s="636" t="n"/>
      <c r="I699" s="17" t="n"/>
      <c r="J699" s="24" t="inlineStr">
        <is>
          <t>тыс.т</t>
        </is>
      </c>
    </row>
    <row r="700" ht="20.1" customHeight="1" s="904">
      <c r="B700" s="909" t="n"/>
      <c r="C700" s="781" t="inlineStr">
        <is>
          <t xml:space="preserve"> Газпром переработка Благовещенск</t>
        </is>
      </c>
      <c r="D700" s="15" t="n"/>
      <c r="E700" s="15" t="n"/>
      <c r="F700" s="16" t="n"/>
      <c r="G700" s="17">
        <f>G701</f>
        <v/>
      </c>
      <c r="H700" s="636" t="n"/>
      <c r="I700" s="17" t="n"/>
      <c r="J700" s="24" t="inlineStr">
        <is>
          <t>тыс.т</t>
        </is>
      </c>
    </row>
    <row r="701" ht="20.1" customHeight="1" s="904">
      <c r="B701" s="909" t="n"/>
      <c r="C701" s="27" t="inlineStr">
        <is>
          <t xml:space="preserve"> Амурский ГПЗ</t>
        </is>
      </c>
      <c r="D701" s="15" t="n"/>
      <c r="E701" s="15" t="n"/>
      <c r="F701" s="16" t="n"/>
      <c r="G701" s="17">
        <f>G704</f>
        <v/>
      </c>
      <c r="H701" s="636" t="n"/>
      <c r="I701" s="17" t="n"/>
      <c r="J701" s="24" t="inlineStr">
        <is>
          <t>тыс.т</t>
        </is>
      </c>
    </row>
    <row r="702" ht="20.1" customHeight="1" s="904">
      <c r="B702" s="20" t="inlineStr">
        <is>
          <t>17.1.</t>
        </is>
      </c>
      <c r="C702" s="28" t="inlineStr">
        <is>
          <t>Газпром</t>
        </is>
      </c>
      <c r="D702" s="15" t="n"/>
      <c r="E702" s="15" t="n"/>
      <c r="F702" s="16" t="n"/>
      <c r="G702" s="17">
        <f>G703</f>
        <v/>
      </c>
      <c r="H702" s="636" t="n"/>
      <c r="I702" s="17" t="n"/>
      <c r="J702" s="24" t="inlineStr">
        <is>
          <t>тыс.т</t>
        </is>
      </c>
    </row>
    <row r="703" ht="20.1" customHeight="1" s="904">
      <c r="B703" s="909" t="n"/>
      <c r="C703" s="781" t="inlineStr">
        <is>
          <t xml:space="preserve"> Газпром переработка Благовещенск</t>
        </is>
      </c>
      <c r="D703" s="15" t="n"/>
      <c r="E703" s="15" t="n"/>
      <c r="F703" s="16" t="n"/>
      <c r="G703" s="17">
        <f>G704</f>
        <v/>
      </c>
      <c r="H703" s="636" t="n"/>
      <c r="I703" s="17" t="n"/>
      <c r="J703" s="24" t="inlineStr">
        <is>
          <t>тыс.т</t>
        </is>
      </c>
    </row>
    <row r="704" ht="20.1" customHeight="1" s="904">
      <c r="B704" s="909" t="n"/>
      <c r="C704" s="27" t="inlineStr">
        <is>
          <t xml:space="preserve"> Амурский ГПЗ</t>
        </is>
      </c>
      <c r="D704" s="15" t="n"/>
      <c r="E704" s="15" t="n"/>
      <c r="F704" s="16" t="n"/>
      <c r="G704" s="17" t="inlineStr">
        <is>
          <t>14_100332362</t>
        </is>
      </c>
      <c r="H704" s="636" t="n"/>
      <c r="I704" s="17" t="n"/>
      <c r="J704" s="24" t="inlineStr">
        <is>
          <t>тыс.т</t>
        </is>
      </c>
    </row>
    <row r="705" ht="20.1" customHeight="1" s="904">
      <c r="B705" s="20" t="inlineStr">
        <is>
          <t>17.2.</t>
        </is>
      </c>
      <c r="C705" s="28" t="inlineStr">
        <is>
          <t>Дочерние общества</t>
        </is>
      </c>
      <c r="D705" s="15" t="n"/>
      <c r="E705" s="15" t="n"/>
      <c r="F705" s="16" t="n"/>
      <c r="G705" s="17" t="n"/>
      <c r="H705" s="636" t="n"/>
      <c r="I705" s="17" t="n"/>
      <c r="J705" s="24" t="n"/>
    </row>
    <row r="706" ht="20.1" customHeight="1" s="904">
      <c r="B706" s="909" t="n"/>
      <c r="C706" s="781" t="inlineStr">
        <is>
          <t xml:space="preserve">   Газпром переработка</t>
        </is>
      </c>
      <c r="D706" s="15" t="n"/>
      <c r="E706" s="15" t="n"/>
      <c r="F706" s="16" t="n"/>
      <c r="G706" s="17">
        <f>G707</f>
        <v/>
      </c>
      <c r="H706" s="636" t="n"/>
      <c r="I706" s="17" t="n"/>
      <c r="J706" s="24" t="inlineStr">
        <is>
          <t>тыс.т</t>
        </is>
      </c>
    </row>
    <row r="707" ht="20.1" customHeight="1" s="904">
      <c r="B707" s="909" t="n"/>
      <c r="C707" s="27" t="inlineStr">
        <is>
          <t>Оренбургский ГХК</t>
        </is>
      </c>
      <c r="D707" s="15" t="n"/>
      <c r="E707" s="15" t="n"/>
      <c r="F707" s="16" t="n"/>
      <c r="G707" s="17">
        <f>G708+G709+G710</f>
        <v/>
      </c>
      <c r="H707" s="636" t="n"/>
      <c r="I707" s="17" t="n"/>
      <c r="J707" s="549" t="inlineStr">
        <is>
          <t>тыс.т</t>
        </is>
      </c>
    </row>
    <row r="708" ht="20.1" customHeight="1" s="904">
      <c r="B708" s="909" t="n"/>
      <c r="C708" s="737" t="inlineStr">
        <is>
          <t>Газпром добыча Оренбург</t>
        </is>
      </c>
      <c r="D708" s="15" t="n"/>
      <c r="E708" s="15" t="n"/>
      <c r="F708" s="16" t="n"/>
      <c r="G708" s="17" t="inlineStr">
        <is>
          <t>2_100332242</t>
        </is>
      </c>
      <c r="H708" s="636" t="n"/>
      <c r="I708" s="17" t="n"/>
      <c r="J708" s="24" t="inlineStr">
        <is>
          <t>тыс.т</t>
        </is>
      </c>
    </row>
    <row r="709" ht="20.1" customHeight="1" s="904">
      <c r="B709" s="909" t="n"/>
      <c r="C709" s="737" t="inlineStr">
        <is>
          <t>Газпром нефть</t>
        </is>
      </c>
      <c r="D709" s="15" t="n"/>
      <c r="E709" s="15" t="n"/>
      <c r="F709" s="16" t="n"/>
      <c r="G709" s="17" t="inlineStr">
        <is>
          <t>2_100332243</t>
        </is>
      </c>
      <c r="H709" s="636" t="n"/>
      <c r="I709" s="17" t="n"/>
      <c r="J709" s="24" t="inlineStr">
        <is>
          <t>тыс.т</t>
        </is>
      </c>
    </row>
    <row r="710" ht="20.1" customHeight="1" s="904">
      <c r="B710" s="909" t="n"/>
      <c r="C710" s="553" t="inlineStr">
        <is>
          <t>прочие поставщики (ГПНЗ, УНГП, и.т.д.)</t>
        </is>
      </c>
      <c r="D710" s="15" t="n"/>
      <c r="E710" s="15" t="n"/>
      <c r="F710" s="16" t="n"/>
      <c r="G710" s="17" t="inlineStr">
        <is>
          <t>2_100335151</t>
        </is>
      </c>
      <c r="H710" s="636" t="n"/>
      <c r="I710" s="17" t="n"/>
      <c r="J710" s="24" t="inlineStr">
        <is>
          <t>тыс.т</t>
        </is>
      </c>
    </row>
    <row r="711" ht="20.1" customHeight="1" s="904">
      <c r="B711" s="909" t="inlineStr">
        <is>
          <t>18.</t>
        </is>
      </c>
      <c r="C711" s="45" t="inlineStr">
        <is>
          <t>Гелий-всего</t>
        </is>
      </c>
      <c r="D711" s="15" t="n"/>
      <c r="E711" s="15" t="n"/>
      <c r="F711" s="16" t="n"/>
      <c r="G711" s="17">
        <f>G713+G716</f>
        <v/>
      </c>
      <c r="H711" s="636" t="n"/>
      <c r="I711" s="17" t="n"/>
      <c r="J711" s="46" t="inlineStr">
        <is>
          <t>тыс. куб.м.</t>
        </is>
      </c>
    </row>
    <row r="712" ht="20.1" customHeight="1" s="904">
      <c r="B712" s="909" t="n"/>
      <c r="C712" s="735" t="n"/>
      <c r="D712" s="15" t="n"/>
      <c r="E712" s="15" t="n"/>
      <c r="F712" s="16" t="n"/>
      <c r="G712" s="17">
        <f>G723+G728+G732+G736</f>
        <v/>
      </c>
      <c r="H712" s="636" t="n"/>
      <c r="I712" s="17" t="n"/>
      <c r="J712" s="24" t="inlineStr">
        <is>
          <t>тонн</t>
        </is>
      </c>
    </row>
    <row r="713" ht="20.1" customHeight="1" s="904">
      <c r="B713" s="909" t="n"/>
      <c r="C713" s="781" t="inlineStr">
        <is>
          <t xml:space="preserve">   Газпром переработка</t>
        </is>
      </c>
      <c r="D713" s="15" t="n"/>
      <c r="E713" s="15" t="n"/>
      <c r="F713" s="16" t="n"/>
      <c r="G713" s="17">
        <f>G714</f>
        <v/>
      </c>
      <c r="H713" s="636" t="n"/>
      <c r="I713" s="17" t="n"/>
      <c r="J713" s="24" t="inlineStr">
        <is>
          <t>тыс. куб.м.</t>
        </is>
      </c>
    </row>
    <row r="714" ht="20.1" customHeight="1" s="904">
      <c r="B714" s="909" t="n"/>
      <c r="C714" s="47" t="inlineStr">
        <is>
          <t>Оренбургский ГХК</t>
        </is>
      </c>
      <c r="D714" s="15" t="n"/>
      <c r="E714" s="15" t="n"/>
      <c r="F714" s="16" t="n"/>
      <c r="G714" s="17">
        <f>G726</f>
        <v/>
      </c>
      <c r="H714" s="636" t="n"/>
      <c r="I714" s="17" t="n"/>
      <c r="J714" s="48" t="inlineStr">
        <is>
          <t>тыс. куб.м.</t>
        </is>
      </c>
    </row>
    <row r="715" ht="20.1" customHeight="1" s="904">
      <c r="B715" s="909" t="n"/>
      <c r="C715" s="27" t="n"/>
      <c r="D715" s="15" t="n"/>
      <c r="E715" s="15" t="n"/>
      <c r="F715" s="16" t="n"/>
      <c r="G715" s="17">
        <f>G728+G732</f>
        <v/>
      </c>
      <c r="H715" s="636" t="n"/>
      <c r="I715" s="17" t="n"/>
      <c r="J715" s="32" t="inlineStr">
        <is>
          <t>тонн</t>
        </is>
      </c>
    </row>
    <row r="716" ht="20.1" customHeight="1" s="904">
      <c r="B716" s="909" t="n"/>
      <c r="C716" s="781" t="inlineStr">
        <is>
          <t>Газпром переработка Благовещенск</t>
        </is>
      </c>
      <c r="D716" s="15" t="n"/>
      <c r="E716" s="15" t="n"/>
      <c r="F716" s="16" t="n"/>
      <c r="G716" s="17">
        <f>G717</f>
        <v/>
      </c>
      <c r="H716" s="636" t="n"/>
      <c r="I716" s="17" t="n"/>
      <c r="J716" s="24" t="inlineStr">
        <is>
          <t>тыс. куб.м.</t>
        </is>
      </c>
    </row>
    <row r="717" ht="20.1" customHeight="1" s="904">
      <c r="B717" s="909" t="n"/>
      <c r="C717" s="47" t="inlineStr">
        <is>
          <t xml:space="preserve"> Амурский ГПЗ </t>
        </is>
      </c>
      <c r="D717" s="15" t="n"/>
      <c r="E717" s="15" t="n"/>
      <c r="F717" s="16" t="n"/>
      <c r="G717" s="17">
        <f>G721+G734</f>
        <v/>
      </c>
      <c r="H717" s="636" t="n"/>
      <c r="I717" s="17" t="n"/>
      <c r="J717" s="48" t="inlineStr">
        <is>
          <t>тыс. куб.м.</t>
        </is>
      </c>
    </row>
    <row r="718" ht="20.1" customHeight="1" s="904">
      <c r="B718" s="909" t="n"/>
      <c r="C718" s="27" t="n"/>
      <c r="D718" s="15" t="n"/>
      <c r="E718" s="15" t="n"/>
      <c r="F718" s="16" t="n"/>
      <c r="G718" s="17">
        <f>G723+G736</f>
        <v/>
      </c>
      <c r="H718" s="636" t="n"/>
      <c r="I718" s="17" t="n"/>
      <c r="J718" s="32" t="inlineStr">
        <is>
          <t>тонн</t>
        </is>
      </c>
    </row>
    <row r="719" ht="20.1" customHeight="1" s="904">
      <c r="B719" s="20" t="inlineStr">
        <is>
          <t>18.1.</t>
        </is>
      </c>
      <c r="C719" s="28" t="inlineStr">
        <is>
          <t>Газпром</t>
        </is>
      </c>
      <c r="D719" s="15" t="n"/>
      <c r="E719" s="15" t="n"/>
      <c r="F719" s="16" t="n"/>
      <c r="G719" s="17">
        <f>G720</f>
        <v/>
      </c>
      <c r="H719" s="636" t="n"/>
      <c r="I719" s="17" t="n"/>
      <c r="J719" s="24" t="inlineStr">
        <is>
          <t>тыс. куб.м.</t>
        </is>
      </c>
    </row>
    <row r="720" ht="20.1" customHeight="1" s="904">
      <c r="B720" s="909" t="n"/>
      <c r="C720" s="781" t="inlineStr">
        <is>
          <t>Газпром переработка Благовещенск</t>
        </is>
      </c>
      <c r="D720" s="15" t="n"/>
      <c r="E720" s="15" t="n"/>
      <c r="F720" s="16" t="n"/>
      <c r="G720" s="17">
        <f>G721</f>
        <v/>
      </c>
      <c r="H720" s="636" t="n"/>
      <c r="I720" s="17" t="n"/>
      <c r="J720" s="24" t="inlineStr">
        <is>
          <t>тыс. куб.м.</t>
        </is>
      </c>
    </row>
    <row r="721" ht="20.1" customHeight="1" s="904">
      <c r="B721" s="909" t="n"/>
      <c r="C721" s="27" t="inlineStr">
        <is>
          <t xml:space="preserve"> Амурский ГПЗ </t>
        </is>
      </c>
      <c r="D721" s="15" t="n"/>
      <c r="E721" s="15" t="n"/>
      <c r="F721" s="16" t="n"/>
      <c r="G721" s="17">
        <f>G722</f>
        <v/>
      </c>
      <c r="H721" s="636" t="n"/>
      <c r="I721" s="17" t="n"/>
      <c r="J721" s="549" t="inlineStr">
        <is>
          <t>тыс. куб.м.</t>
        </is>
      </c>
    </row>
    <row r="722" ht="20.1" customHeight="1" s="904">
      <c r="B722" s="909" t="n"/>
      <c r="C722" s="737" t="inlineStr">
        <is>
          <t>жидкий</t>
        </is>
      </c>
      <c r="D722" s="15" t="n"/>
      <c r="E722" s="15" t="n"/>
      <c r="F722" s="16" t="n"/>
      <c r="G722" s="17" t="inlineStr">
        <is>
          <t>14_100332361</t>
        </is>
      </c>
      <c r="H722" s="636" t="n"/>
      <c r="I722" s="17" t="n"/>
      <c r="J722" s="49" t="inlineStr">
        <is>
          <t>тыс. куб.м.</t>
        </is>
      </c>
    </row>
    <row r="723" ht="20.1" customHeight="1" s="904">
      <c r="B723" s="909" t="n"/>
      <c r="C723" s="737" t="n"/>
      <c r="D723" s="15" t="n"/>
      <c r="E723" s="15" t="n"/>
      <c r="F723" s="16" t="n"/>
      <c r="G723" s="17" t="inlineStr">
        <is>
          <t>14_100332360</t>
        </is>
      </c>
      <c r="H723" s="636" t="n"/>
      <c r="I723" s="17" t="n"/>
      <c r="J723" s="50" t="inlineStr">
        <is>
          <t>тонн</t>
        </is>
      </c>
    </row>
    <row r="724" ht="20.1" customHeight="1" s="904">
      <c r="B724" s="20" t="inlineStr">
        <is>
          <t>18.2.</t>
        </is>
      </c>
      <c r="C724" s="28" t="inlineStr">
        <is>
          <t>Дочерние общества</t>
        </is>
      </c>
      <c r="D724" s="15" t="n"/>
      <c r="E724" s="15" t="n"/>
      <c r="F724" s="16" t="n"/>
      <c r="G724" s="17">
        <f>G725+G733</f>
        <v/>
      </c>
      <c r="H724" s="636" t="n"/>
      <c r="I724" s="17" t="n"/>
      <c r="J724" s="24" t="inlineStr">
        <is>
          <t>тыс. куб.м.</t>
        </is>
      </c>
    </row>
    <row r="725" ht="20.1" customHeight="1" s="904">
      <c r="B725" s="909" t="n"/>
      <c r="C725" s="781" t="inlineStr">
        <is>
          <t xml:space="preserve">   Газпром переработка</t>
        </is>
      </c>
      <c r="D725" s="15" t="n"/>
      <c r="E725" s="15" t="n"/>
      <c r="F725" s="16" t="n"/>
      <c r="G725" s="17">
        <f>G726</f>
        <v/>
      </c>
      <c r="H725" s="636" t="n"/>
      <c r="I725" s="17" t="n"/>
      <c r="J725" s="24" t="inlineStr">
        <is>
          <t>тыс. куб.м.</t>
        </is>
      </c>
    </row>
    <row r="726" ht="20.1" customHeight="1" s="904">
      <c r="B726" s="909" t="n"/>
      <c r="C726" s="27" t="inlineStr">
        <is>
          <t>Оренбургский ГХК</t>
        </is>
      </c>
      <c r="D726" s="15" t="n"/>
      <c r="E726" s="15" t="n"/>
      <c r="F726" s="16" t="n"/>
      <c r="G726" s="17">
        <f>G727+G731</f>
        <v/>
      </c>
      <c r="H726" s="636" t="n"/>
      <c r="I726" s="17" t="n"/>
      <c r="J726" s="549" t="inlineStr">
        <is>
          <t>тыс. куб.м.</t>
        </is>
      </c>
    </row>
    <row r="727" ht="20.1" customHeight="1" s="904">
      <c r="B727" s="909" t="n"/>
      <c r="C727" s="737" t="inlineStr">
        <is>
          <t>в т.ч. газообразный</t>
        </is>
      </c>
      <c r="D727" s="15" t="n"/>
      <c r="E727" s="15" t="n"/>
      <c r="F727" s="16" t="n"/>
      <c r="G727" s="17" t="inlineStr">
        <is>
          <t>2_100332248</t>
        </is>
      </c>
      <c r="H727" s="636" t="n"/>
      <c r="I727" s="17" t="n"/>
      <c r="J727" s="49" t="inlineStr">
        <is>
          <t>тыс. куб.м.</t>
        </is>
      </c>
    </row>
    <row r="728" ht="20.1" customHeight="1" s="904">
      <c r="B728" s="909" t="n"/>
      <c r="C728" s="737" t="n"/>
      <c r="D728" s="15" t="n"/>
      <c r="E728" s="15" t="n"/>
      <c r="F728" s="16" t="n"/>
      <c r="G728" s="17" t="inlineStr">
        <is>
          <t>2_100335422</t>
        </is>
      </c>
      <c r="H728" s="636" t="n"/>
      <c r="I728" s="17" t="n"/>
      <c r="J728" s="50" t="inlineStr">
        <is>
          <t>тонн</t>
        </is>
      </c>
    </row>
    <row r="729" ht="20.1" customHeight="1" s="904">
      <c r="B729" s="909" t="n"/>
      <c r="C729" s="737" t="inlineStr">
        <is>
          <t>в т.ч. собственная потребность ГПП</t>
        </is>
      </c>
      <c r="D729" s="15" t="n"/>
      <c r="E729" s="15" t="n"/>
      <c r="F729" s="16" t="n"/>
      <c r="G729" s="17" t="inlineStr">
        <is>
          <t>2_100332249</t>
        </is>
      </c>
      <c r="H729" s="636" t="n"/>
      <c r="I729" s="17" t="n"/>
      <c r="J729" s="50" t="inlineStr">
        <is>
          <t>тыс. куб.м.</t>
        </is>
      </c>
    </row>
    <row r="730" ht="20.1" customHeight="1" s="904">
      <c r="B730" s="909" t="n"/>
      <c r="C730" s="737" t="inlineStr">
        <is>
          <t xml:space="preserve"> собственная потребность ГДО</t>
        </is>
      </c>
      <c r="D730" s="15" t="n"/>
      <c r="E730" s="15" t="n"/>
      <c r="F730" s="16" t="n"/>
      <c r="G730" s="17">
        <f>0</f>
        <v/>
      </c>
      <c r="H730" s="636" t="n"/>
      <c r="I730" s="17" t="n"/>
      <c r="J730" s="50" t="inlineStr">
        <is>
          <t>тыс. куб.м.</t>
        </is>
      </c>
    </row>
    <row r="731" ht="20.1" customHeight="1" s="904">
      <c r="B731" s="909" t="n"/>
      <c r="C731" s="737" t="inlineStr">
        <is>
          <t>жидкий</t>
        </is>
      </c>
      <c r="D731" s="15" t="n"/>
      <c r="E731" s="15" t="n"/>
      <c r="F731" s="16" t="n"/>
      <c r="G731" s="17" t="inlineStr">
        <is>
          <t>2_100332250</t>
        </is>
      </c>
      <c r="H731" s="636" t="n"/>
      <c r="I731" s="17" t="n"/>
      <c r="J731" s="49" t="inlineStr">
        <is>
          <t>тыс. куб.м.</t>
        </is>
      </c>
    </row>
    <row r="732" ht="20.1" customHeight="1" s="904">
      <c r="B732" s="909" t="n"/>
      <c r="C732" s="737" t="n"/>
      <c r="D732" s="15" t="n"/>
      <c r="E732" s="15" t="n"/>
      <c r="F732" s="16" t="n"/>
      <c r="G732" s="17" t="inlineStr">
        <is>
          <t>2_100332251</t>
        </is>
      </c>
      <c r="H732" s="636" t="n"/>
      <c r="I732" s="17" t="n"/>
      <c r="J732" s="50" t="inlineStr">
        <is>
          <t>тонн</t>
        </is>
      </c>
    </row>
    <row r="733" ht="20.1" customHeight="1" s="904">
      <c r="B733" s="909" t="n"/>
      <c r="C733" s="22" t="inlineStr">
        <is>
          <t>Газпром переработка Благовещенск</t>
        </is>
      </c>
      <c r="D733" s="15" t="n"/>
      <c r="E733" s="15" t="n"/>
      <c r="F733" s="16" t="n"/>
      <c r="G733" s="17">
        <f>G734</f>
        <v/>
      </c>
      <c r="H733" s="636" t="n"/>
      <c r="I733" s="17" t="n"/>
      <c r="J733" s="24" t="inlineStr">
        <is>
          <t>тыс. куб.м.</t>
        </is>
      </c>
    </row>
    <row r="734" ht="20.1" customHeight="1" s="904">
      <c r="B734" s="909" t="n"/>
      <c r="C734" s="51" t="inlineStr">
        <is>
          <t xml:space="preserve"> Амурский ГПЗ </t>
        </is>
      </c>
      <c r="D734" s="15" t="n"/>
      <c r="E734" s="15" t="n"/>
      <c r="F734" s="16" t="n"/>
      <c r="G734" s="17">
        <f>G735</f>
        <v/>
      </c>
      <c r="H734" s="636" t="n"/>
      <c r="I734" s="17" t="n"/>
      <c r="J734" s="549" t="inlineStr">
        <is>
          <t>тыс. куб.м.</t>
        </is>
      </c>
    </row>
    <row r="735" ht="20.1" customHeight="1" s="904">
      <c r="B735" s="909" t="n"/>
      <c r="C735" s="40" t="inlineStr">
        <is>
          <t>жидкий</t>
        </is>
      </c>
      <c r="D735" s="15" t="n"/>
      <c r="E735" s="15" t="n"/>
      <c r="F735" s="16" t="n"/>
      <c r="G735" s="17" t="inlineStr">
        <is>
          <t>14_100335082</t>
        </is>
      </c>
      <c r="H735" s="636" t="n"/>
      <c r="I735" s="17" t="n"/>
      <c r="J735" s="49" t="inlineStr">
        <is>
          <t>тыс. куб.м.</t>
        </is>
      </c>
    </row>
    <row r="736" ht="20.1" customHeight="1" s="904">
      <c r="B736" s="909" t="n"/>
      <c r="C736" s="40" t="n"/>
      <c r="D736" s="15" t="n"/>
      <c r="E736" s="15" t="n"/>
      <c r="F736" s="16" t="n"/>
      <c r="G736" s="17" t="inlineStr">
        <is>
          <t>14_100335083</t>
        </is>
      </c>
      <c r="H736" s="636" t="n"/>
      <c r="I736" s="17" t="n"/>
      <c r="J736" s="50" t="inlineStr">
        <is>
          <t>тонн</t>
        </is>
      </c>
    </row>
    <row r="737" ht="20.1" customHeight="1" s="904">
      <c r="B737" s="909" t="inlineStr">
        <is>
          <t>19.</t>
        </is>
      </c>
      <c r="C737" s="735" t="inlineStr">
        <is>
          <t>Одорант-всего</t>
        </is>
      </c>
      <c r="D737" s="15" t="n"/>
      <c r="E737" s="15" t="n"/>
      <c r="F737" s="16" t="n"/>
      <c r="G737" s="17" t="n"/>
      <c r="H737" s="636" t="n"/>
      <c r="I737" s="17" t="n"/>
      <c r="J737" s="24" t="n"/>
    </row>
    <row r="738" ht="20.1" customHeight="1" s="904">
      <c r="B738" s="909" t="n"/>
      <c r="C738" s="781" t="inlineStr">
        <is>
          <t xml:space="preserve">   Газпром переработка</t>
        </is>
      </c>
      <c r="D738" s="15" t="n"/>
      <c r="E738" s="15" t="n"/>
      <c r="F738" s="16" t="n"/>
      <c r="G738" s="17">
        <f>G739</f>
        <v/>
      </c>
      <c r="H738" s="636" t="n"/>
      <c r="I738" s="17" t="n"/>
      <c r="J738" s="24" t="inlineStr">
        <is>
          <t>тонн</t>
        </is>
      </c>
    </row>
    <row r="739" ht="20.1" customHeight="1" s="904">
      <c r="B739" s="909" t="n"/>
      <c r="C739" s="27" t="inlineStr">
        <is>
          <t>Оренбургский ГХК</t>
        </is>
      </c>
      <c r="D739" s="15" t="n"/>
      <c r="E739" s="15" t="n"/>
      <c r="F739" s="16" t="n"/>
      <c r="G739" s="17">
        <f>G743</f>
        <v/>
      </c>
      <c r="H739" s="636" t="n"/>
      <c r="I739" s="17" t="n"/>
      <c r="J739" s="549" t="inlineStr">
        <is>
          <t>тонн</t>
        </is>
      </c>
    </row>
    <row r="740" ht="20.1" customHeight="1" s="904">
      <c r="B740" s="20" t="inlineStr">
        <is>
          <t>19.1</t>
        </is>
      </c>
      <c r="C740" s="28" t="inlineStr">
        <is>
          <t>Газпром</t>
        </is>
      </c>
      <c r="D740" s="15" t="n"/>
      <c r="E740" s="15" t="n"/>
      <c r="F740" s="16" t="n"/>
      <c r="G740" s="17">
        <f>0</f>
        <v/>
      </c>
      <c r="H740" s="636" t="n"/>
      <c r="I740" s="17" t="n"/>
      <c r="J740" s="24" t="inlineStr">
        <is>
          <t>тонн</t>
        </is>
      </c>
    </row>
    <row r="741" ht="20.1" customHeight="1" s="904">
      <c r="B741" s="20" t="inlineStr">
        <is>
          <t>19.2.</t>
        </is>
      </c>
      <c r="C741" s="28" t="inlineStr">
        <is>
          <t>Дочерние общества</t>
        </is>
      </c>
      <c r="D741" s="15" t="n"/>
      <c r="E741" s="15" t="n"/>
      <c r="F741" s="16" t="n"/>
      <c r="G741" s="17">
        <f>G742</f>
        <v/>
      </c>
      <c r="H741" s="636" t="n"/>
      <c r="I741" s="17" t="n"/>
      <c r="J741" s="24" t="inlineStr">
        <is>
          <t>тонн</t>
        </is>
      </c>
    </row>
    <row r="742" ht="20.1" customHeight="1" s="904">
      <c r="B742" s="909" t="n"/>
      <c r="C742" s="781" t="inlineStr">
        <is>
          <t xml:space="preserve">   Газпром переработка</t>
        </is>
      </c>
      <c r="D742" s="15" t="n"/>
      <c r="E742" s="15" t="n"/>
      <c r="F742" s="16" t="n"/>
      <c r="G742" s="17">
        <f>G743</f>
        <v/>
      </c>
      <c r="H742" s="636" t="n"/>
      <c r="I742" s="17" t="n"/>
      <c r="J742" s="24" t="inlineStr">
        <is>
          <t>тонн</t>
        </is>
      </c>
    </row>
    <row r="743" ht="20.1" customHeight="1" s="904">
      <c r="B743" s="909" t="n"/>
      <c r="C743" s="27" t="inlineStr">
        <is>
          <t>Оренбургский ГХК</t>
        </is>
      </c>
      <c r="D743" s="15" t="n"/>
      <c r="E743" s="15" t="n"/>
      <c r="F743" s="16" t="n"/>
      <c r="G743" s="17" t="inlineStr">
        <is>
          <t>2_100332239</t>
        </is>
      </c>
      <c r="H743" s="636" t="n"/>
      <c r="I743" s="17" t="n"/>
      <c r="J743" s="549" t="inlineStr">
        <is>
          <t>тонн</t>
        </is>
      </c>
    </row>
    <row r="744" ht="20.1" customHeight="1" s="904">
      <c r="B744" s="909" t="n"/>
      <c r="C744" s="737" t="inlineStr">
        <is>
          <t xml:space="preserve"> в т.ч. собственная потребность ГПП</t>
        </is>
      </c>
      <c r="D744" s="15" t="n"/>
      <c r="E744" s="15" t="n"/>
      <c r="F744" s="16" t="n"/>
      <c r="G744" s="17">
        <f>0</f>
        <v/>
      </c>
      <c r="H744" s="636" t="n"/>
      <c r="I744" s="17" t="n"/>
      <c r="J744" s="554" t="inlineStr">
        <is>
          <t>тонн</t>
        </is>
      </c>
    </row>
    <row r="745" ht="20.1" customHeight="1" s="904">
      <c r="B745" s="909" t="inlineStr">
        <is>
          <t>20.</t>
        </is>
      </c>
      <c r="C745" s="735" t="inlineStr">
        <is>
          <t>Техуглерод-всего</t>
        </is>
      </c>
      <c r="D745" s="15" t="n"/>
      <c r="E745" s="15" t="n"/>
      <c r="F745" s="16" t="n"/>
      <c r="G745" s="17" t="n"/>
      <c r="H745" s="636" t="n"/>
      <c r="I745" s="17" t="n"/>
      <c r="J745" s="24" t="n"/>
    </row>
    <row r="746" ht="20.1" customHeight="1" s="904">
      <c r="B746" s="909" t="n"/>
      <c r="C746" s="781" t="inlineStr">
        <is>
          <t xml:space="preserve">   Газпром переработка</t>
        </is>
      </c>
      <c r="D746" s="15" t="n"/>
      <c r="E746" s="15" t="n"/>
      <c r="F746" s="16" t="n"/>
      <c r="G746" s="17">
        <f>G747</f>
        <v/>
      </c>
      <c r="H746" s="636" t="n"/>
      <c r="I746" s="17" t="n"/>
      <c r="J746" s="24" t="inlineStr">
        <is>
          <t>тонн</t>
        </is>
      </c>
    </row>
    <row r="747" ht="20.1" customHeight="1" s="904">
      <c r="B747" s="909" t="n"/>
      <c r="C747" s="27" t="inlineStr">
        <is>
          <t xml:space="preserve">  Сосногорский ГПЗ </t>
        </is>
      </c>
      <c r="D747" s="15" t="n"/>
      <c r="E747" s="15" t="n"/>
      <c r="F747" s="16" t="n"/>
      <c r="G747" s="17">
        <f>G750</f>
        <v/>
      </c>
      <c r="H747" s="636" t="n"/>
      <c r="I747" s="17" t="n"/>
      <c r="J747" s="549" t="inlineStr">
        <is>
          <t>тонн</t>
        </is>
      </c>
    </row>
    <row r="748" ht="20.1" customHeight="1" s="904">
      <c r="B748" s="20" t="inlineStr">
        <is>
          <t>20.1.</t>
        </is>
      </c>
      <c r="C748" s="28" t="inlineStr">
        <is>
          <t>Газпром</t>
        </is>
      </c>
      <c r="D748" s="15" t="n"/>
      <c r="E748" s="15" t="n"/>
      <c r="F748" s="16" t="n"/>
      <c r="G748" s="17" t="n"/>
      <c r="H748" s="636" t="n"/>
      <c r="I748" s="17" t="n"/>
      <c r="J748" s="24" t="n"/>
    </row>
    <row r="749" ht="20.1" customHeight="1" s="904">
      <c r="B749" s="909" t="n"/>
      <c r="C749" s="781" t="inlineStr">
        <is>
          <t xml:space="preserve">   Газпром переработка</t>
        </is>
      </c>
      <c r="D749" s="15" t="n"/>
      <c r="E749" s="15" t="n"/>
      <c r="F749" s="16" t="n"/>
      <c r="G749" s="17">
        <f>G750</f>
        <v/>
      </c>
      <c r="H749" s="636" t="n"/>
      <c r="I749" s="17" t="n"/>
      <c r="J749" s="24" t="inlineStr">
        <is>
          <t>тонн</t>
        </is>
      </c>
    </row>
    <row r="750" ht="20.1" customHeight="1" s="904">
      <c r="B750" s="909" t="n"/>
      <c r="C750" s="27" t="inlineStr">
        <is>
          <t xml:space="preserve">Сосногорский ГПЗ </t>
        </is>
      </c>
      <c r="D750" s="15" t="n"/>
      <c r="E750" s="15" t="n"/>
      <c r="F750" s="16" t="n"/>
      <c r="G750" s="17">
        <f>G751+G752</f>
        <v/>
      </c>
      <c r="H750" s="636" t="n"/>
      <c r="I750" s="17" t="n"/>
      <c r="J750" s="549" t="inlineStr">
        <is>
          <t>тонн</t>
        </is>
      </c>
    </row>
    <row r="751" ht="20.1" customHeight="1" s="904">
      <c r="B751" s="909" t="n"/>
      <c r="C751" s="737" t="inlineStr">
        <is>
          <t xml:space="preserve">   в т.ч. турбулентный (П-701)</t>
        </is>
      </c>
      <c r="D751" s="15" t="n"/>
      <c r="E751" s="15" t="n"/>
      <c r="F751" s="16" t="n"/>
      <c r="G751" s="17" t="inlineStr">
        <is>
          <t>3_100330580</t>
        </is>
      </c>
      <c r="H751" s="636" t="n"/>
      <c r="I751" s="17" t="n"/>
      <c r="J751" s="554" t="inlineStr">
        <is>
          <t>тонн</t>
        </is>
      </c>
    </row>
    <row r="752" ht="20.1" customHeight="1" s="904">
      <c r="B752" s="909" t="n"/>
      <c r="C752" s="737" t="inlineStr">
        <is>
          <t xml:space="preserve">   термический (Т-900)</t>
        </is>
      </c>
      <c r="D752" s="15" t="n"/>
      <c r="E752" s="15" t="n"/>
      <c r="F752" s="16" t="n"/>
      <c r="G752" s="17" t="inlineStr">
        <is>
          <t>3_100330581</t>
        </is>
      </c>
      <c r="H752" s="636" t="n"/>
      <c r="I752" s="17" t="n"/>
      <c r="J752" s="554" t="inlineStr">
        <is>
          <t>тонн</t>
        </is>
      </c>
    </row>
    <row r="753" ht="20.1" customHeight="1" s="904">
      <c r="B753" s="20" t="inlineStr">
        <is>
          <t>20.2.</t>
        </is>
      </c>
      <c r="C753" s="28" t="inlineStr">
        <is>
          <t>Дочерние общества</t>
        </is>
      </c>
      <c r="D753" s="15" t="n"/>
      <c r="E753" s="15" t="n"/>
      <c r="F753" s="16" t="n"/>
      <c r="G753" s="17">
        <f>0</f>
        <v/>
      </c>
      <c r="H753" s="636" t="n"/>
      <c r="I753" s="17" t="n"/>
      <c r="J753" s="24" t="inlineStr">
        <is>
          <t>тонн</t>
        </is>
      </c>
    </row>
    <row r="754" ht="20.1" customHeight="1" s="904">
      <c r="B754" s="909" t="inlineStr">
        <is>
          <t>21.</t>
        </is>
      </c>
      <c r="C754" s="735" t="inlineStr">
        <is>
          <t>Газ стабилизации на собств. нужды-всего</t>
        </is>
      </c>
      <c r="D754" s="15" t="n"/>
      <c r="E754" s="15" t="n"/>
      <c r="F754" s="16" t="n"/>
      <c r="G754" s="17" t="n"/>
      <c r="H754" s="636" t="n"/>
      <c r="I754" s="17" t="n"/>
      <c r="J754" s="24" t="n"/>
    </row>
    <row r="755" ht="20.1" customHeight="1" s="904">
      <c r="B755" s="909" t="n"/>
      <c r="C755" s="781" t="inlineStr">
        <is>
          <t>Газпром переработка</t>
        </is>
      </c>
      <c r="D755" s="15" t="n"/>
      <c r="E755" s="15" t="n"/>
      <c r="F755" s="16" t="n"/>
      <c r="G755" s="17">
        <f>G757</f>
        <v/>
      </c>
      <c r="H755" s="636" t="n"/>
      <c r="I755" s="17" t="n"/>
      <c r="J755" s="46" t="inlineStr">
        <is>
          <t>млн куб.м.</t>
        </is>
      </c>
    </row>
    <row r="756" ht="20.1" customHeight="1" s="904">
      <c r="B756" s="909" t="n"/>
      <c r="C756" s="781" t="n"/>
      <c r="D756" s="15" t="n"/>
      <c r="E756" s="15" t="n"/>
      <c r="F756" s="16" t="n"/>
      <c r="G756" s="17">
        <f>G758</f>
        <v/>
      </c>
      <c r="H756" s="636" t="n"/>
      <c r="I756" s="17" t="n"/>
      <c r="J756" s="24" t="inlineStr">
        <is>
          <t>тыс.т</t>
        </is>
      </c>
    </row>
    <row r="757" ht="20.1" customHeight="1" s="904">
      <c r="B757" s="909" t="n"/>
      <c r="C757" s="27" t="inlineStr">
        <is>
          <t>Астраханский ГПЗ</t>
        </is>
      </c>
      <c r="D757" s="15" t="n"/>
      <c r="E757" s="15" t="n"/>
      <c r="F757" s="16" t="n"/>
      <c r="G757" s="17">
        <f>G762</f>
        <v/>
      </c>
      <c r="H757" s="636" t="n"/>
      <c r="I757" s="17" t="n"/>
      <c r="J757" s="46" t="inlineStr">
        <is>
          <t>млн куб.м.</t>
        </is>
      </c>
    </row>
    <row r="758" ht="20.1" customHeight="1" s="904">
      <c r="B758" s="909" t="n"/>
      <c r="C758" s="735" t="n"/>
      <c r="D758" s="15" t="n"/>
      <c r="E758" s="15" t="n"/>
      <c r="F758" s="16" t="n"/>
      <c r="G758" s="17">
        <f>G763</f>
        <v/>
      </c>
      <c r="H758" s="636" t="n"/>
      <c r="I758" s="17" t="n"/>
      <c r="J758" s="24" t="inlineStr">
        <is>
          <t>тыс.т</t>
        </is>
      </c>
    </row>
    <row r="759" ht="20.1" customHeight="1" s="904">
      <c r="B759" s="20" t="inlineStr">
        <is>
          <t>21.1.</t>
        </is>
      </c>
      <c r="C759" s="28" t="inlineStr">
        <is>
          <t>Газпром</t>
        </is>
      </c>
      <c r="D759" s="15" t="n"/>
      <c r="E759" s="15" t="n"/>
      <c r="F759" s="16" t="n"/>
      <c r="G759" s="17" t="n"/>
      <c r="H759" s="636" t="n"/>
      <c r="I759" s="17" t="n"/>
      <c r="J759" s="24" t="n"/>
    </row>
    <row r="760" ht="20.1" customHeight="1" s="904">
      <c r="B760" s="909" t="n"/>
      <c r="C760" s="781" t="inlineStr">
        <is>
          <t>Газпром переработка</t>
        </is>
      </c>
      <c r="D760" s="15" t="n"/>
      <c r="E760" s="15" t="n"/>
      <c r="F760" s="16" t="n"/>
      <c r="G760" s="17">
        <f>G762</f>
        <v/>
      </c>
      <c r="H760" s="636" t="n"/>
      <c r="I760" s="17" t="n"/>
      <c r="J760" s="46" t="inlineStr">
        <is>
          <t>млн куб.м.</t>
        </is>
      </c>
    </row>
    <row r="761" ht="20.1" customHeight="1" s="904">
      <c r="B761" s="909" t="n"/>
      <c r="C761" s="781" t="n"/>
      <c r="D761" s="15" t="n"/>
      <c r="E761" s="15" t="n"/>
      <c r="F761" s="16" t="n"/>
      <c r="G761" s="17">
        <f>G763</f>
        <v/>
      </c>
      <c r="H761" s="636" t="n"/>
      <c r="I761" s="17" t="n"/>
      <c r="J761" s="24" t="inlineStr">
        <is>
          <t>тыс.т</t>
        </is>
      </c>
    </row>
    <row r="762" ht="20.1" customHeight="1" s="904">
      <c r="B762" s="909" t="n"/>
      <c r="C762" s="27" t="inlineStr">
        <is>
          <t>Астраханский ГПЗ</t>
        </is>
      </c>
      <c r="D762" s="15" t="n"/>
      <c r="E762" s="15" t="n"/>
      <c r="F762" s="16" t="n"/>
      <c r="G762" s="17" t="inlineStr">
        <is>
          <t>1_100332026</t>
        </is>
      </c>
      <c r="H762" s="636" t="n"/>
      <c r="I762" s="17" t="n"/>
      <c r="J762" s="48" t="inlineStr">
        <is>
          <t>млн куб.м.</t>
        </is>
      </c>
    </row>
    <row r="763" ht="20.1" customHeight="1" s="904">
      <c r="B763" s="909" t="n"/>
      <c r="C763" s="735" t="n"/>
      <c r="D763" s="15" t="n"/>
      <c r="E763" s="15" t="n"/>
      <c r="F763" s="16" t="n"/>
      <c r="G763" s="17" t="inlineStr">
        <is>
          <t>1_100332025</t>
        </is>
      </c>
      <c r="H763" s="636" t="n"/>
      <c r="I763" s="17" t="n"/>
      <c r="J763" s="32" t="inlineStr">
        <is>
          <t>тыс.т</t>
        </is>
      </c>
    </row>
    <row r="764" ht="20.1" customHeight="1" s="904">
      <c r="B764" s="20" t="inlineStr">
        <is>
          <t>21.2.</t>
        </is>
      </c>
      <c r="C764" s="28" t="inlineStr">
        <is>
          <t>Дочерние общества</t>
        </is>
      </c>
      <c r="D764" s="15" t="n"/>
      <c r="E764" s="15" t="n"/>
      <c r="F764" s="16" t="n"/>
      <c r="G764" s="17">
        <f>0</f>
        <v/>
      </c>
      <c r="H764" s="636" t="n"/>
      <c r="I764" s="17" t="n"/>
      <c r="J764" s="46" t="inlineStr">
        <is>
          <t>млн куб.м.</t>
        </is>
      </c>
    </row>
    <row r="765" ht="20.1" customHeight="1" s="904">
      <c r="B765" s="909" t="n"/>
      <c r="C765" s="735" t="n"/>
      <c r="D765" s="15" t="n"/>
      <c r="E765" s="15" t="n"/>
      <c r="F765" s="16" t="n"/>
      <c r="G765" s="17">
        <f>0</f>
        <v/>
      </c>
      <c r="H765" s="636" t="n"/>
      <c r="I765" s="17" t="n"/>
      <c r="J765" s="24" t="inlineStr">
        <is>
          <t>тыс.т</t>
        </is>
      </c>
    </row>
    <row r="766" ht="20.1" customHeight="1" s="904">
      <c r="B766" s="909" t="inlineStr">
        <is>
          <t>22.</t>
        </is>
      </c>
      <c r="C766" s="735" t="inlineStr">
        <is>
          <t>Топливный газ-всего</t>
        </is>
      </c>
      <c r="D766" s="15" t="n"/>
      <c r="E766" s="15" t="n"/>
      <c r="F766" s="16" t="n"/>
      <c r="G766" s="17">
        <f>G768+G772</f>
        <v/>
      </c>
      <c r="H766" s="636" t="n"/>
      <c r="I766" s="17" t="n"/>
      <c r="J766" s="46" t="inlineStr">
        <is>
          <t>млн куб.м.</t>
        </is>
      </c>
    </row>
    <row r="767" ht="20.1" customHeight="1" s="904">
      <c r="B767" s="909" t="n"/>
      <c r="C767" s="31" t="n"/>
      <c r="D767" s="15" t="n"/>
      <c r="E767" s="15" t="n"/>
      <c r="F767" s="16" t="n"/>
      <c r="G767" s="17">
        <f>G769+G773</f>
        <v/>
      </c>
      <c r="H767" s="636" t="n"/>
      <c r="I767" s="17" t="n"/>
      <c r="J767" s="24" t="inlineStr">
        <is>
          <t>тыс.т</t>
        </is>
      </c>
    </row>
    <row r="768" ht="20.1" customHeight="1" s="904">
      <c r="B768" s="909" t="n"/>
      <c r="C768" s="781" t="inlineStr">
        <is>
          <t>Газпром переработка</t>
        </is>
      </c>
      <c r="D768" s="15" t="n"/>
      <c r="E768" s="15" t="n"/>
      <c r="F768" s="16" t="n"/>
      <c r="G768" s="17">
        <f>G770</f>
        <v/>
      </c>
      <c r="H768" s="636" t="n"/>
      <c r="I768" s="17" t="n"/>
      <c r="J768" s="46" t="inlineStr">
        <is>
          <t>млн куб.м.</t>
        </is>
      </c>
    </row>
    <row r="769" ht="20.1" customHeight="1" s="904">
      <c r="B769" s="909" t="n"/>
      <c r="C769" s="781" t="n"/>
      <c r="D769" s="15" t="n"/>
      <c r="E769" s="15" t="n"/>
      <c r="F769" s="16" t="n"/>
      <c r="G769" s="17">
        <f>G771</f>
        <v/>
      </c>
      <c r="H769" s="636" t="n"/>
      <c r="I769" s="17" t="n"/>
      <c r="J769" s="24" t="inlineStr">
        <is>
          <t>тыс.т</t>
        </is>
      </c>
    </row>
    <row r="770" ht="20.1" customHeight="1" s="904">
      <c r="B770" s="909" t="n"/>
      <c r="C770" s="27" t="inlineStr">
        <is>
          <t>Оренбургский ГХК</t>
        </is>
      </c>
      <c r="D770" s="15" t="n"/>
      <c r="E770" s="15" t="n"/>
      <c r="F770" s="16" t="n"/>
      <c r="G770" s="17">
        <f>G780+G794</f>
        <v/>
      </c>
      <c r="H770" s="636" t="n"/>
      <c r="I770" s="17" t="n"/>
      <c r="J770" s="48" t="inlineStr">
        <is>
          <t>млн куб.м.</t>
        </is>
      </c>
    </row>
    <row r="771" ht="20.1" customHeight="1" s="904">
      <c r="B771" s="909" t="n"/>
      <c r="C771" s="781" t="n"/>
      <c r="D771" s="15" t="n"/>
      <c r="E771" s="15" t="n"/>
      <c r="F771" s="16" t="n"/>
      <c r="G771" s="17">
        <f>G781+G795</f>
        <v/>
      </c>
      <c r="H771" s="636" t="n"/>
      <c r="I771" s="17" t="n"/>
      <c r="J771" s="32" t="inlineStr">
        <is>
          <t>тыс.т</t>
        </is>
      </c>
    </row>
    <row r="772" ht="20.1" customHeight="1" s="904">
      <c r="B772" s="909" t="n"/>
      <c r="C772" s="781" t="inlineStr">
        <is>
          <t xml:space="preserve"> Газпром переработка Благовещенск</t>
        </is>
      </c>
      <c r="D772" s="15" t="n"/>
      <c r="E772" s="15" t="n"/>
      <c r="F772" s="16" t="n"/>
      <c r="G772" s="17">
        <f>G774</f>
        <v/>
      </c>
      <c r="H772" s="636" t="n"/>
      <c r="I772" s="17" t="n"/>
      <c r="J772" s="46" t="inlineStr">
        <is>
          <t>млн куб.м.</t>
        </is>
      </c>
    </row>
    <row r="773" ht="20.1" customHeight="1" s="904">
      <c r="B773" s="909" t="n"/>
      <c r="C773" s="781" t="n"/>
      <c r="D773" s="15" t="n"/>
      <c r="E773" s="15" t="n"/>
      <c r="F773" s="16" t="n"/>
      <c r="G773" s="17">
        <f>G775</f>
        <v/>
      </c>
      <c r="H773" s="636" t="n"/>
      <c r="I773" s="17" t="n"/>
      <c r="J773" s="24" t="inlineStr">
        <is>
          <t>тыс.т</t>
        </is>
      </c>
    </row>
    <row r="774" ht="20.1" customHeight="1" s="904">
      <c r="B774" s="909" t="n"/>
      <c r="C774" s="27" t="inlineStr">
        <is>
          <t xml:space="preserve"> Амурский ГПЗ</t>
        </is>
      </c>
      <c r="D774" s="15" t="n"/>
      <c r="E774" s="15" t="n"/>
      <c r="F774" s="16" t="n"/>
      <c r="G774" s="17">
        <f>G788+G804</f>
        <v/>
      </c>
      <c r="H774" s="636" t="n"/>
      <c r="I774" s="17" t="n"/>
      <c r="J774" s="48" t="inlineStr">
        <is>
          <t>млн куб.м.</t>
        </is>
      </c>
    </row>
    <row r="775" ht="20.1" customHeight="1" s="904">
      <c r="B775" s="909" t="n"/>
      <c r="C775" s="27" t="n"/>
      <c r="D775" s="15" t="n"/>
      <c r="E775" s="15" t="n"/>
      <c r="F775" s="16" t="n"/>
      <c r="G775" s="17">
        <f>G789+G805</f>
        <v/>
      </c>
      <c r="H775" s="636" t="n"/>
      <c r="I775" s="17" t="n"/>
      <c r="J775" s="32" t="inlineStr">
        <is>
          <t>тыс.т</t>
        </is>
      </c>
    </row>
    <row r="776" ht="20.1" customHeight="1" s="904">
      <c r="B776" s="20" t="inlineStr">
        <is>
          <t>22.1.</t>
        </is>
      </c>
      <c r="C776" s="28" t="inlineStr">
        <is>
          <t>Газпром</t>
        </is>
      </c>
      <c r="D776" s="15" t="n"/>
      <c r="E776" s="15" t="n"/>
      <c r="F776" s="16" t="n"/>
      <c r="G776" s="17">
        <f>G778+G786</f>
        <v/>
      </c>
      <c r="H776" s="636" t="n"/>
      <c r="I776" s="17" t="n"/>
      <c r="J776" s="46" t="inlineStr">
        <is>
          <t>млн куб.м.</t>
        </is>
      </c>
    </row>
    <row r="777" ht="20.1" customHeight="1" s="904">
      <c r="B777" s="909" t="n"/>
      <c r="C777" s="735" t="n"/>
      <c r="D777" s="15" t="n"/>
      <c r="E777" s="15" t="n"/>
      <c r="F777" s="16" t="n"/>
      <c r="G777" s="17">
        <f>G779+G787</f>
        <v/>
      </c>
      <c r="H777" s="636" t="n"/>
      <c r="I777" s="17" t="n"/>
      <c r="J777" s="24" t="inlineStr">
        <is>
          <t>тыс.т</t>
        </is>
      </c>
    </row>
    <row r="778" ht="20.1" customHeight="1" s="904">
      <c r="B778" s="909" t="n"/>
      <c r="C778" s="781" t="inlineStr">
        <is>
          <t>Газпром переработка</t>
        </is>
      </c>
      <c r="D778" s="15" t="n"/>
      <c r="E778" s="15" t="n"/>
      <c r="F778" s="16" t="n"/>
      <c r="G778" s="17">
        <f>G780</f>
        <v/>
      </c>
      <c r="H778" s="636" t="n"/>
      <c r="I778" s="17" t="n"/>
      <c r="J778" s="46" t="inlineStr">
        <is>
          <t>млн куб.м.</t>
        </is>
      </c>
    </row>
    <row r="779" ht="20.1" customHeight="1" s="904">
      <c r="B779" s="909" t="n"/>
      <c r="C779" s="735" t="n"/>
      <c r="D779" s="15" t="n"/>
      <c r="E779" s="15" t="n"/>
      <c r="F779" s="16" t="n"/>
      <c r="G779" s="17">
        <f>G781</f>
        <v/>
      </c>
      <c r="H779" s="636" t="n"/>
      <c r="I779" s="17" t="n"/>
      <c r="J779" s="24" t="inlineStr">
        <is>
          <t>тыс.т</t>
        </is>
      </c>
    </row>
    <row r="780" ht="20.1" customHeight="1" s="904">
      <c r="B780" s="909" t="n"/>
      <c r="C780" s="27" t="inlineStr">
        <is>
          <t>Оренбургский ГХК</t>
        </is>
      </c>
      <c r="D780" s="15" t="n"/>
      <c r="E780" s="15" t="n"/>
      <c r="F780" s="16" t="n"/>
      <c r="G780" s="17">
        <f>G782+G784</f>
        <v/>
      </c>
      <c r="H780" s="636" t="n"/>
      <c r="I780" s="17" t="n"/>
      <c r="J780" s="48" t="inlineStr">
        <is>
          <t>млн куб.м.</t>
        </is>
      </c>
    </row>
    <row r="781" ht="20.1" customHeight="1" s="904">
      <c r="B781" s="909" t="n"/>
      <c r="C781" s="781" t="n"/>
      <c r="D781" s="15" t="n"/>
      <c r="E781" s="15" t="n"/>
      <c r="F781" s="16" t="n"/>
      <c r="G781" s="17">
        <f>G783+G785</f>
        <v/>
      </c>
      <c r="H781" s="636" t="n"/>
      <c r="I781" s="17" t="n"/>
      <c r="J781" s="50" t="inlineStr">
        <is>
          <t>тыс.т</t>
        </is>
      </c>
    </row>
    <row r="782" ht="20.1" customHeight="1" s="904">
      <c r="B782" s="909" t="n"/>
      <c r="C782" s="737" t="inlineStr">
        <is>
          <t>Газпром добыча Оренбург</t>
        </is>
      </c>
      <c r="D782" s="15" t="n"/>
      <c r="E782" s="15" t="n"/>
      <c r="F782" s="16" t="n"/>
      <c r="G782" s="17" t="inlineStr">
        <is>
          <t>2_100332171</t>
        </is>
      </c>
      <c r="H782" s="636" t="n"/>
      <c r="I782" s="17" t="n"/>
      <c r="J782" s="49" t="inlineStr">
        <is>
          <t>млн куб.м.</t>
        </is>
      </c>
    </row>
    <row r="783" ht="20.1" customHeight="1" s="904">
      <c r="B783" s="909" t="n"/>
      <c r="C783" s="27" t="n"/>
      <c r="D783" s="15" t="n"/>
      <c r="E783" s="15" t="n"/>
      <c r="F783" s="16" t="n"/>
      <c r="G783" s="17" t="inlineStr">
        <is>
          <t>2_100332170</t>
        </is>
      </c>
      <c r="H783" s="636" t="n"/>
      <c r="I783" s="17" t="n"/>
      <c r="J783" s="50" t="inlineStr">
        <is>
          <t>тыс.т</t>
        </is>
      </c>
    </row>
    <row r="784" ht="20.1" customHeight="1" s="904">
      <c r="B784" s="909" t="n"/>
      <c r="C784" s="737" t="inlineStr">
        <is>
          <t>Газпром нефть</t>
        </is>
      </c>
      <c r="D784" s="15" t="n"/>
      <c r="E784" s="15" t="n"/>
      <c r="F784" s="16" t="n"/>
      <c r="G784" s="17" t="inlineStr">
        <is>
          <t>2_100332173</t>
        </is>
      </c>
      <c r="H784" s="636" t="n"/>
      <c r="I784" s="17" t="n"/>
      <c r="J784" s="49" t="inlineStr">
        <is>
          <t>млн куб.м.</t>
        </is>
      </c>
    </row>
    <row r="785" ht="20.1" customHeight="1" s="904">
      <c r="B785" s="909" t="n"/>
      <c r="C785" s="781" t="n"/>
      <c r="D785" s="15" t="n"/>
      <c r="E785" s="15" t="n"/>
      <c r="F785" s="16" t="n"/>
      <c r="G785" s="17" t="inlineStr">
        <is>
          <t>2_100332172</t>
        </is>
      </c>
      <c r="H785" s="636" t="n"/>
      <c r="I785" s="17" t="n"/>
      <c r="J785" s="50" t="inlineStr">
        <is>
          <t>тыс.т</t>
        </is>
      </c>
    </row>
    <row r="786" ht="20.1" customHeight="1" s="904">
      <c r="B786" s="909" t="n"/>
      <c r="C786" s="781" t="inlineStr">
        <is>
          <t xml:space="preserve"> Газпром переработка Благовещенск</t>
        </is>
      </c>
      <c r="D786" s="15" t="n"/>
      <c r="E786" s="15" t="n"/>
      <c r="F786" s="16" t="n"/>
      <c r="G786" s="17">
        <f>G788</f>
        <v/>
      </c>
      <c r="H786" s="636" t="n"/>
      <c r="I786" s="17" t="n"/>
      <c r="J786" s="46" t="inlineStr">
        <is>
          <t>млн куб.м.</t>
        </is>
      </c>
    </row>
    <row r="787" ht="20.1" customHeight="1" s="904">
      <c r="B787" s="909" t="n"/>
      <c r="C787" s="781" t="n"/>
      <c r="D787" s="15" t="n"/>
      <c r="E787" s="15" t="n"/>
      <c r="F787" s="16" t="n"/>
      <c r="G787" s="17">
        <f>G789</f>
        <v/>
      </c>
      <c r="H787" s="636" t="n"/>
      <c r="I787" s="17" t="n"/>
      <c r="J787" s="24" t="inlineStr">
        <is>
          <t>тыс.т</t>
        </is>
      </c>
    </row>
    <row r="788" ht="20.1" customHeight="1" s="904">
      <c r="B788" s="909" t="n"/>
      <c r="C788" s="27" t="inlineStr">
        <is>
          <t xml:space="preserve"> Амурский ГПЗ</t>
        </is>
      </c>
      <c r="D788" s="15" t="n"/>
      <c r="E788" s="15" t="n"/>
      <c r="F788" s="16" t="n"/>
      <c r="G788" s="17" t="inlineStr">
        <is>
          <t>14_100332368</t>
        </is>
      </c>
      <c r="H788" s="636" t="n"/>
      <c r="I788" s="17" t="n"/>
      <c r="J788" s="48" t="inlineStr">
        <is>
          <t>млн куб.м.</t>
        </is>
      </c>
    </row>
    <row r="789" ht="20.1" customHeight="1" s="904">
      <c r="B789" s="909" t="n"/>
      <c r="C789" s="27" t="n"/>
      <c r="D789" s="15" t="n"/>
      <c r="E789" s="15" t="n"/>
      <c r="F789" s="16" t="n"/>
      <c r="G789" s="17" t="inlineStr">
        <is>
          <t>14_100332367</t>
        </is>
      </c>
      <c r="H789" s="636" t="n"/>
      <c r="I789" s="17" t="n"/>
      <c r="J789" s="32" t="inlineStr">
        <is>
          <t>тыс.т</t>
        </is>
      </c>
    </row>
    <row r="790" ht="20.1" customHeight="1" s="904">
      <c r="B790" s="20" t="inlineStr">
        <is>
          <t>22.2</t>
        </is>
      </c>
      <c r="C790" s="28" t="inlineStr">
        <is>
          <t>Дочерние общества</t>
        </is>
      </c>
      <c r="D790" s="15" t="n"/>
      <c r="E790" s="15" t="n"/>
      <c r="F790" s="16" t="n"/>
      <c r="G790" s="17">
        <f>G792+G802</f>
        <v/>
      </c>
      <c r="H790" s="636" t="n"/>
      <c r="I790" s="17" t="n"/>
      <c r="J790" s="46" t="inlineStr">
        <is>
          <t>млн куб.м.</t>
        </is>
      </c>
    </row>
    <row r="791" ht="20.1" customHeight="1" s="904">
      <c r="B791" s="909" t="n"/>
      <c r="C791" s="735" t="n"/>
      <c r="D791" s="15" t="n"/>
      <c r="E791" s="15" t="n"/>
      <c r="F791" s="16" t="n"/>
      <c r="G791" s="17">
        <f>G793+G803</f>
        <v/>
      </c>
      <c r="H791" s="636" t="n"/>
      <c r="I791" s="17" t="n"/>
      <c r="J791" s="24" t="inlineStr">
        <is>
          <t>тыс.т</t>
        </is>
      </c>
    </row>
    <row r="792" ht="20.1" customHeight="1" s="904">
      <c r="B792" s="909" t="n"/>
      <c r="C792" s="781" t="inlineStr">
        <is>
          <t>Газпром переработка</t>
        </is>
      </c>
      <c r="D792" s="15" t="n"/>
      <c r="E792" s="15" t="n"/>
      <c r="F792" s="16" t="n"/>
      <c r="G792" s="17">
        <f>G794</f>
        <v/>
      </c>
      <c r="H792" s="636" t="n"/>
      <c r="I792" s="17" t="n"/>
      <c r="J792" s="46" t="inlineStr">
        <is>
          <t>млн куб.м.</t>
        </is>
      </c>
    </row>
    <row r="793" ht="20.1" customHeight="1" s="904">
      <c r="B793" s="909" t="n"/>
      <c r="C793" s="735" t="n"/>
      <c r="D793" s="15" t="n"/>
      <c r="E793" s="15" t="n"/>
      <c r="F793" s="16" t="n"/>
      <c r="G793" s="17">
        <f>G795</f>
        <v/>
      </c>
      <c r="H793" s="636" t="n"/>
      <c r="I793" s="17" t="n"/>
      <c r="J793" s="24" t="inlineStr">
        <is>
          <t>тыс.т</t>
        </is>
      </c>
    </row>
    <row r="794" ht="20.1" customHeight="1" s="904">
      <c r="B794" s="909" t="n"/>
      <c r="C794" s="27" t="inlineStr">
        <is>
          <t>Оренбургский ГХК</t>
        </is>
      </c>
      <c r="D794" s="15" t="n"/>
      <c r="E794" s="15" t="n"/>
      <c r="F794" s="16" t="n"/>
      <c r="G794" s="17">
        <f>G796+G798+G800</f>
        <v/>
      </c>
      <c r="H794" s="636" t="n"/>
      <c r="I794" s="17" t="n"/>
      <c r="J794" s="48" t="inlineStr">
        <is>
          <t>млн куб.м.</t>
        </is>
      </c>
    </row>
    <row r="795" ht="20.1" customHeight="1" s="904">
      <c r="B795" s="909" t="n"/>
      <c r="C795" s="781" t="n"/>
      <c r="D795" s="15" t="n"/>
      <c r="E795" s="15" t="n"/>
      <c r="F795" s="16" t="n"/>
      <c r="G795" s="17">
        <f>G797+G799+G801</f>
        <v/>
      </c>
      <c r="H795" s="636" t="n"/>
      <c r="I795" s="17" t="n"/>
      <c r="J795" s="32" t="inlineStr">
        <is>
          <t>тыс.т</t>
        </is>
      </c>
    </row>
    <row r="796" ht="20.1" customHeight="1" s="904">
      <c r="B796" s="909" t="n"/>
      <c r="C796" s="737" t="inlineStr">
        <is>
          <t>Газпром добыча Оренбург</t>
        </is>
      </c>
      <c r="D796" s="15" t="n"/>
      <c r="E796" s="15" t="n"/>
      <c r="F796" s="16" t="n"/>
      <c r="G796" s="17" t="inlineStr">
        <is>
          <t>2_100332177</t>
        </is>
      </c>
      <c r="H796" s="636" t="n"/>
      <c r="I796" s="17" t="n"/>
      <c r="J796" s="49" t="inlineStr">
        <is>
          <t>млн куб.м.</t>
        </is>
      </c>
    </row>
    <row r="797" ht="20.1" customHeight="1" s="904">
      <c r="B797" s="909" t="n"/>
      <c r="C797" s="737" t="n"/>
      <c r="D797" s="15" t="n"/>
      <c r="E797" s="15" t="n"/>
      <c r="F797" s="16" t="n"/>
      <c r="G797" s="17" t="inlineStr">
        <is>
          <t>2_100332176</t>
        </is>
      </c>
      <c r="H797" s="636" t="n"/>
      <c r="I797" s="17" t="n"/>
      <c r="J797" s="50" t="inlineStr">
        <is>
          <t>тыс.т</t>
        </is>
      </c>
    </row>
    <row r="798" ht="20.1" customHeight="1" s="904">
      <c r="B798" s="909" t="n"/>
      <c r="C798" s="737" t="inlineStr">
        <is>
          <t>Газпром нефть</t>
        </is>
      </c>
      <c r="D798" s="15" t="n"/>
      <c r="E798" s="15" t="n"/>
      <c r="F798" s="16" t="n"/>
      <c r="G798" s="17" t="inlineStr">
        <is>
          <t>2_100332179</t>
        </is>
      </c>
      <c r="H798" s="636" t="n"/>
      <c r="I798" s="17" t="n"/>
      <c r="J798" s="49" t="inlineStr">
        <is>
          <t>млн куб.м.</t>
        </is>
      </c>
    </row>
    <row r="799" ht="20.1" customHeight="1" s="904">
      <c r="B799" s="909" t="n"/>
      <c r="C799" s="52" t="n"/>
      <c r="D799" s="15" t="n"/>
      <c r="E799" s="15" t="n"/>
      <c r="F799" s="16" t="n"/>
      <c r="G799" s="17" t="inlineStr">
        <is>
          <t>2_100332178</t>
        </is>
      </c>
      <c r="H799" s="636" t="n"/>
      <c r="I799" s="17" t="n"/>
      <c r="J799" s="50" t="inlineStr">
        <is>
          <t>тыс.т</t>
        </is>
      </c>
    </row>
    <row r="800" ht="20.1" customHeight="1" s="904">
      <c r="B800" s="909" t="n"/>
      <c r="C800" s="553" t="inlineStr">
        <is>
          <t>прочие поставщики (ГПНЗ, УНГП, и.т.д.)</t>
        </is>
      </c>
      <c r="D800" s="15" t="n"/>
      <c r="E800" s="15" t="n"/>
      <c r="F800" s="16" t="n"/>
      <c r="G800" s="17" t="inlineStr">
        <is>
          <t>2_100335141</t>
        </is>
      </c>
      <c r="H800" s="636" t="n"/>
      <c r="I800" s="17" t="n"/>
      <c r="J800" s="49" t="inlineStr">
        <is>
          <t>млн куб.м.</t>
        </is>
      </c>
    </row>
    <row r="801" ht="20.1" customHeight="1" s="904">
      <c r="B801" s="909" t="n"/>
      <c r="C801" s="737" t="n"/>
      <c r="D801" s="15" t="n"/>
      <c r="E801" s="15" t="n"/>
      <c r="F801" s="16" t="n"/>
      <c r="G801" s="17" t="inlineStr">
        <is>
          <t>2_100335140</t>
        </is>
      </c>
      <c r="H801" s="636" t="n"/>
      <c r="I801" s="17" t="n"/>
      <c r="J801" s="50" t="inlineStr">
        <is>
          <t>тыс.т</t>
        </is>
      </c>
    </row>
    <row r="802" ht="20.1" customHeight="1" s="904">
      <c r="B802" s="909" t="n"/>
      <c r="C802" s="781" t="inlineStr">
        <is>
          <t xml:space="preserve"> Газпром переработка Благовещенск</t>
        </is>
      </c>
      <c r="D802" s="15" t="n"/>
      <c r="E802" s="15" t="n"/>
      <c r="F802" s="16" t="n"/>
      <c r="G802" s="17">
        <f>G804</f>
        <v/>
      </c>
      <c r="H802" s="636" t="n"/>
      <c r="I802" s="17" t="n"/>
      <c r="J802" s="46" t="inlineStr">
        <is>
          <t>млн куб.м.</t>
        </is>
      </c>
    </row>
    <row r="803" ht="20.1" customHeight="1" s="904">
      <c r="B803" s="909" t="n"/>
      <c r="C803" s="781" t="n"/>
      <c r="D803" s="15" t="n"/>
      <c r="E803" s="15" t="n"/>
      <c r="F803" s="16" t="n"/>
      <c r="G803" s="17">
        <f>G805</f>
        <v/>
      </c>
      <c r="H803" s="636" t="n"/>
      <c r="I803" s="17" t="n"/>
      <c r="J803" s="24" t="inlineStr">
        <is>
          <t>тыс.т</t>
        </is>
      </c>
    </row>
    <row r="804" ht="20.1" customHeight="1" s="904">
      <c r="B804" s="909" t="n"/>
      <c r="C804" s="27" t="inlineStr">
        <is>
          <t xml:space="preserve"> Амурский ГПЗ</t>
        </is>
      </c>
      <c r="D804" s="15" t="n"/>
      <c r="E804" s="15" t="n"/>
      <c r="F804" s="16" t="n"/>
      <c r="G804" s="17" t="inlineStr">
        <is>
          <t>14_100335465</t>
        </is>
      </c>
      <c r="H804" s="636" t="n"/>
      <c r="I804" s="17" t="n"/>
      <c r="J804" s="48" t="inlineStr">
        <is>
          <t>млн куб.м.</t>
        </is>
      </c>
    </row>
    <row r="805" ht="20.1" customHeight="1" s="904">
      <c r="B805" s="909" t="n"/>
      <c r="C805" s="27" t="n"/>
      <c r="D805" s="15" t="n"/>
      <c r="E805" s="15" t="n"/>
      <c r="F805" s="16" t="n"/>
      <c r="G805" s="17" t="inlineStr">
        <is>
          <t>14_100335464</t>
        </is>
      </c>
      <c r="H805" s="636" t="n"/>
      <c r="I805" s="17" t="n"/>
      <c r="J805" s="32" t="inlineStr">
        <is>
          <t>тыс.т</t>
        </is>
      </c>
    </row>
    <row r="806" ht="20.1" customHeight="1" s="904">
      <c r="B806" s="909" t="inlineStr">
        <is>
          <t>23.</t>
        </is>
      </c>
      <c r="C806" s="735" t="inlineStr">
        <is>
          <t>Газ сбросной технологическийн на собств. нужды-всего</t>
        </is>
      </c>
      <c r="D806" s="15" t="n"/>
      <c r="E806" s="15" t="n"/>
      <c r="F806" s="16" t="n"/>
      <c r="G806" s="17" t="n"/>
      <c r="H806" s="636" t="n"/>
      <c r="I806" s="17" t="n"/>
      <c r="J806" s="24" t="n"/>
    </row>
    <row r="807" ht="20.1" customHeight="1" s="904">
      <c r="B807" s="909" t="n"/>
      <c r="C807" s="781" t="inlineStr">
        <is>
          <t xml:space="preserve">   Газпром переработка</t>
        </is>
      </c>
      <c r="D807" s="15" t="n"/>
      <c r="E807" s="15" t="n"/>
      <c r="F807" s="16" t="n"/>
      <c r="G807" s="17">
        <f>G809</f>
        <v/>
      </c>
      <c r="H807" s="636" t="n"/>
      <c r="I807" s="17" t="n"/>
      <c r="J807" s="46" t="inlineStr">
        <is>
          <t>млн куб.м.</t>
        </is>
      </c>
    </row>
    <row r="808" ht="20.1" customHeight="1" s="904">
      <c r="B808" s="909" t="n"/>
      <c r="C808" s="781" t="n"/>
      <c r="D808" s="15" t="n"/>
      <c r="E808" s="15" t="n"/>
      <c r="F808" s="16" t="n"/>
      <c r="G808" s="17">
        <f>G810</f>
        <v/>
      </c>
      <c r="H808" s="636" t="n"/>
      <c r="I808" s="17" t="n"/>
      <c r="J808" s="24" t="inlineStr">
        <is>
          <t>тыс.т</t>
        </is>
      </c>
    </row>
    <row r="809" ht="20.1" customHeight="1" s="904">
      <c r="B809" s="909" t="n"/>
      <c r="C809" s="27" t="inlineStr">
        <is>
          <t xml:space="preserve"> Сургутский ЗСК</t>
        </is>
      </c>
      <c r="D809" s="15" t="n"/>
      <c r="E809" s="15" t="n"/>
      <c r="F809" s="16" t="n"/>
      <c r="G809" s="17">
        <f>G814</f>
        <v/>
      </c>
      <c r="H809" s="636" t="n"/>
      <c r="I809" s="17" t="n"/>
      <c r="J809" s="48" t="inlineStr">
        <is>
          <t>млн куб.м.</t>
        </is>
      </c>
    </row>
    <row r="810" ht="20.1" customHeight="1" s="904">
      <c r="B810" s="909" t="n"/>
      <c r="C810" s="735" t="n"/>
      <c r="D810" s="15" t="n"/>
      <c r="E810" s="15" t="n"/>
      <c r="F810" s="16" t="n"/>
      <c r="G810" s="17">
        <f>G815</f>
        <v/>
      </c>
      <c r="H810" s="636" t="n"/>
      <c r="I810" s="17" t="n"/>
      <c r="J810" s="32" t="inlineStr">
        <is>
          <t>тыс.т</t>
        </is>
      </c>
    </row>
    <row r="811" ht="20.1" customHeight="1" s="904">
      <c r="B811" s="20" t="inlineStr">
        <is>
          <t>23.1.</t>
        </is>
      </c>
      <c r="C811" s="28" t="inlineStr">
        <is>
          <t>Газпром</t>
        </is>
      </c>
      <c r="D811" s="15" t="n"/>
      <c r="E811" s="15" t="n"/>
      <c r="F811" s="16" t="n"/>
      <c r="G811" s="17" t="n"/>
      <c r="H811" s="636" t="n"/>
      <c r="I811" s="17" t="n"/>
      <c r="J811" s="46" t="n"/>
    </row>
    <row r="812" ht="20.1" customHeight="1" s="904">
      <c r="B812" s="909" t="n"/>
      <c r="C812" s="781" t="inlineStr">
        <is>
          <t xml:space="preserve">   Газпром переработка</t>
        </is>
      </c>
      <c r="D812" s="15" t="n"/>
      <c r="E812" s="15" t="n"/>
      <c r="F812" s="16" t="n"/>
      <c r="G812" s="17">
        <f>G814</f>
        <v/>
      </c>
      <c r="H812" s="636" t="n"/>
      <c r="I812" s="17" t="n"/>
      <c r="J812" s="46" t="inlineStr">
        <is>
          <t>млн куб.м.</t>
        </is>
      </c>
    </row>
    <row r="813" ht="20.1" customHeight="1" s="904">
      <c r="B813" s="909" t="n"/>
      <c r="C813" s="781" t="n"/>
      <c r="D813" s="15" t="n"/>
      <c r="E813" s="15" t="n"/>
      <c r="F813" s="16" t="n"/>
      <c r="G813" s="17">
        <f>G815</f>
        <v/>
      </c>
      <c r="H813" s="636" t="n"/>
      <c r="I813" s="17" t="n"/>
      <c r="J813" s="24" t="inlineStr">
        <is>
          <t>тыс.т</t>
        </is>
      </c>
    </row>
    <row r="814" ht="20.1" customHeight="1" s="904">
      <c r="B814" s="909" t="n"/>
      <c r="C814" s="27" t="inlineStr">
        <is>
          <t>Сургутский ЗСК</t>
        </is>
      </c>
      <c r="D814" s="15" t="n"/>
      <c r="E814" s="15" t="n"/>
      <c r="F814" s="16" t="n"/>
      <c r="G814" s="17" t="inlineStr">
        <is>
          <t>4_100331879</t>
        </is>
      </c>
      <c r="H814" s="636" t="n"/>
      <c r="I814" s="17" t="n"/>
      <c r="J814" s="48" t="inlineStr">
        <is>
          <t>млн куб.м.</t>
        </is>
      </c>
    </row>
    <row r="815" ht="20.1" customHeight="1" s="904">
      <c r="B815" s="909" t="n"/>
      <c r="C815" s="735" t="n"/>
      <c r="D815" s="15" t="n"/>
      <c r="E815" s="15" t="n"/>
      <c r="F815" s="16" t="n"/>
      <c r="G815" s="17" t="inlineStr">
        <is>
          <t>4_100331878</t>
        </is>
      </c>
      <c r="H815" s="636" t="n"/>
      <c r="I815" s="17" t="n"/>
      <c r="J815" s="32" t="inlineStr">
        <is>
          <t>тыс.т</t>
        </is>
      </c>
    </row>
    <row r="816" ht="20.1" customHeight="1" s="904">
      <c r="B816" s="20" t="inlineStr">
        <is>
          <t>23.2.</t>
        </is>
      </c>
      <c r="C816" s="28" t="inlineStr">
        <is>
          <t>Дочерние общества</t>
        </is>
      </c>
      <c r="D816" s="15" t="n"/>
      <c r="E816" s="15" t="n"/>
      <c r="F816" s="16" t="n"/>
      <c r="G816" s="17">
        <f>0</f>
        <v/>
      </c>
      <c r="H816" s="636" t="n"/>
      <c r="I816" s="17" t="n"/>
      <c r="J816" s="46" t="inlineStr">
        <is>
          <t>млн куб.м.</t>
        </is>
      </c>
    </row>
    <row r="817" ht="20.1" customHeight="1" s="904">
      <c r="B817" s="909" t="n"/>
      <c r="C817" s="735" t="n"/>
      <c r="D817" s="15" t="n"/>
      <c r="E817" s="15" t="n"/>
      <c r="F817" s="16" t="n"/>
      <c r="G817" s="17">
        <f>0</f>
        <v/>
      </c>
      <c r="H817" s="636" t="n"/>
      <c r="I817" s="17" t="n"/>
      <c r="J817" s="24" t="inlineStr">
        <is>
          <t>тыс.т</t>
        </is>
      </c>
    </row>
    <row r="818" ht="20.1" customHeight="1" s="904">
      <c r="B818" s="909" t="inlineStr">
        <is>
          <t>24.</t>
        </is>
      </c>
      <c r="C818" s="735" t="inlineStr">
        <is>
          <t>Газ деэтанизации и стабилизации-всего</t>
        </is>
      </c>
      <c r="D818" s="15" t="n"/>
      <c r="E818" s="15" t="n"/>
      <c r="F818" s="16" t="n"/>
      <c r="G818" s="17">
        <f>G820+G822+G824+G826+G828</f>
        <v/>
      </c>
      <c r="H818" s="636" t="n"/>
      <c r="I818" s="17" t="n"/>
      <c r="J818" s="46" t="inlineStr">
        <is>
          <t>млн куб.м.</t>
        </is>
      </c>
    </row>
    <row r="819" ht="20.1" customHeight="1" s="904">
      <c r="B819" s="909" t="n"/>
      <c r="C819" s="735" t="n"/>
      <c r="D819" s="15" t="n"/>
      <c r="E819" s="15" t="n"/>
      <c r="F819" s="16" t="n"/>
      <c r="G819" s="17">
        <f>G821+G823+G825+G827+G829</f>
        <v/>
      </c>
      <c r="H819" s="636" t="n"/>
      <c r="I819" s="17" t="n"/>
      <c r="J819" s="24" t="inlineStr">
        <is>
          <t>тыс.т</t>
        </is>
      </c>
    </row>
    <row r="820" ht="20.1" customHeight="1" s="904">
      <c r="B820" s="909" t="n"/>
      <c r="C820" s="781" t="inlineStr">
        <is>
          <t xml:space="preserve">   Газпром добыча Ямбург</t>
        </is>
      </c>
      <c r="D820" s="15" t="n"/>
      <c r="E820" s="15" t="n"/>
      <c r="F820" s="16" t="n"/>
      <c r="G820" s="17">
        <f>G840</f>
        <v/>
      </c>
      <c r="H820" s="636" t="n"/>
      <c r="I820" s="17" t="n"/>
      <c r="J820" s="46" t="inlineStr">
        <is>
          <t>млн куб.м.</t>
        </is>
      </c>
    </row>
    <row r="821" ht="20.1" customHeight="1" s="904">
      <c r="B821" s="909" t="n"/>
      <c r="C821" s="735" t="n"/>
      <c r="D821" s="15" t="n"/>
      <c r="E821" s="15" t="n"/>
      <c r="F821" s="16" t="n"/>
      <c r="G821" s="17">
        <f>G841</f>
        <v/>
      </c>
      <c r="H821" s="636" t="n"/>
      <c r="I821" s="17" t="n"/>
      <c r="J821" s="24" t="inlineStr">
        <is>
          <t>тыс.т</t>
        </is>
      </c>
    </row>
    <row r="822" ht="20.1" customHeight="1" s="904">
      <c r="B822" s="909" t="n"/>
      <c r="C822" s="781" t="inlineStr">
        <is>
          <t>Газпром добыча Ноябрьск</t>
        </is>
      </c>
      <c r="D822" s="15" t="n"/>
      <c r="E822" s="15" t="n"/>
      <c r="F822" s="16" t="n"/>
      <c r="G822" s="17">
        <f>G832+G842</f>
        <v/>
      </c>
      <c r="H822" s="636" t="n"/>
      <c r="I822" s="17" t="n"/>
      <c r="J822" s="46" t="inlineStr">
        <is>
          <t>млн куб.м.</t>
        </is>
      </c>
    </row>
    <row r="823" ht="20.1" customHeight="1" s="904">
      <c r="B823" s="909" t="n"/>
      <c r="C823" s="735" t="n"/>
      <c r="D823" s="15" t="n"/>
      <c r="E823" s="15" t="n"/>
      <c r="F823" s="16" t="n"/>
      <c r="G823" s="17">
        <f>G833+G843</f>
        <v/>
      </c>
      <c r="H823" s="636" t="n"/>
      <c r="I823" s="17" t="n"/>
      <c r="J823" s="24" t="inlineStr">
        <is>
          <t>тыс.т</t>
        </is>
      </c>
    </row>
    <row r="824" ht="20.1" customHeight="1" s="904">
      <c r="B824" s="909" t="n"/>
      <c r="C824" s="781" t="inlineStr">
        <is>
          <t>Газпром добыча Иркутск</t>
        </is>
      </c>
      <c r="D824" s="15" t="n"/>
      <c r="E824" s="15" t="n"/>
      <c r="F824" s="16" t="n"/>
      <c r="G824" s="17">
        <f>G834</f>
        <v/>
      </c>
      <c r="H824" s="636" t="n"/>
      <c r="I824" s="17" t="n"/>
      <c r="J824" s="46" t="inlineStr">
        <is>
          <t>млн куб.м.</t>
        </is>
      </c>
    </row>
    <row r="825" ht="20.1" customHeight="1" s="904">
      <c r="B825" s="909" t="n"/>
      <c r="C825" s="735" t="n"/>
      <c r="D825" s="15" t="n"/>
      <c r="E825" s="15" t="n"/>
      <c r="F825" s="16" t="n"/>
      <c r="G825" s="17">
        <f>G835</f>
        <v/>
      </c>
      <c r="H825" s="636" t="n"/>
      <c r="I825" s="17" t="n"/>
      <c r="J825" s="24" t="inlineStr">
        <is>
          <t>тыс.т</t>
        </is>
      </c>
    </row>
    <row r="826" ht="20.1" customHeight="1" s="904">
      <c r="B826" s="909" t="n"/>
      <c r="C826" s="547" t="inlineStr">
        <is>
          <t>Газпром добыча шельф Южно-Сахалинск</t>
        </is>
      </c>
      <c r="D826" s="15" t="n"/>
      <c r="E826" s="15" t="n"/>
      <c r="F826" s="16" t="n"/>
      <c r="G826" s="17">
        <f>G836</f>
        <v/>
      </c>
      <c r="H826" s="636" t="n"/>
      <c r="I826" s="17" t="n"/>
      <c r="J826" s="46" t="inlineStr">
        <is>
          <t>млн куб.м.</t>
        </is>
      </c>
    </row>
    <row r="827" ht="20.1" customHeight="1" s="904">
      <c r="B827" s="909" t="n"/>
      <c r="C827" s="735" t="n"/>
      <c r="D827" s="15" t="n"/>
      <c r="E827" s="15" t="n"/>
      <c r="F827" s="16" t="n"/>
      <c r="G827" s="17">
        <f>G837</f>
        <v/>
      </c>
      <c r="H827" s="636" t="n"/>
      <c r="I827" s="17" t="n"/>
      <c r="J827" s="24" t="inlineStr">
        <is>
          <t>тыс.т</t>
        </is>
      </c>
    </row>
    <row r="828" ht="20.1" customHeight="1" s="904">
      <c r="B828" s="909" t="n"/>
      <c r="C828" s="781" t="inlineStr">
        <is>
          <t>Газпром добыча Уренгой</t>
        </is>
      </c>
      <c r="D828" s="15" t="n"/>
      <c r="E828" s="15" t="n"/>
      <c r="F828" s="16" t="n"/>
      <c r="G828" s="17">
        <f>G844</f>
        <v/>
      </c>
      <c r="H828" s="636" t="n"/>
      <c r="I828" s="17" t="n"/>
      <c r="J828" s="46" t="inlineStr">
        <is>
          <t>млн куб.м.</t>
        </is>
      </c>
    </row>
    <row r="829" ht="20.1" customHeight="1" s="904">
      <c r="B829" s="909" t="n"/>
      <c r="C829" s="736" t="n"/>
      <c r="D829" s="15" t="n"/>
      <c r="E829" s="15" t="n"/>
      <c r="F829" s="16" t="n"/>
      <c r="G829" s="17">
        <f>G845</f>
        <v/>
      </c>
      <c r="H829" s="636" t="n"/>
      <c r="I829" s="17" t="n"/>
      <c r="J829" s="24" t="inlineStr">
        <is>
          <t>тыс.т</t>
        </is>
      </c>
    </row>
    <row r="830" ht="20.1" customHeight="1" s="904">
      <c r="B830" s="20" t="inlineStr">
        <is>
          <t>24.1.</t>
        </is>
      </c>
      <c r="C830" s="28" t="inlineStr">
        <is>
          <t>Газпром</t>
        </is>
      </c>
      <c r="D830" s="15" t="n"/>
      <c r="E830" s="15" t="n"/>
      <c r="F830" s="16" t="n"/>
      <c r="G830" s="17">
        <f>G832+G834+G836</f>
        <v/>
      </c>
      <c r="H830" s="636" t="n"/>
      <c r="I830" s="17" t="n"/>
      <c r="J830" s="46" t="inlineStr">
        <is>
          <t>млн куб.м.</t>
        </is>
      </c>
    </row>
    <row r="831" ht="20.1" customHeight="1" s="904">
      <c r="B831" s="909" t="n"/>
      <c r="C831" s="735" t="n"/>
      <c r="D831" s="15" t="n"/>
      <c r="E831" s="15" t="n"/>
      <c r="F831" s="16" t="n"/>
      <c r="G831" s="17">
        <f>G833+G835+G837</f>
        <v/>
      </c>
      <c r="H831" s="636" t="n"/>
      <c r="I831" s="17" t="n"/>
      <c r="J831" s="24" t="inlineStr">
        <is>
          <t>тыс.т</t>
        </is>
      </c>
    </row>
    <row r="832" ht="20.1" customHeight="1" s="904">
      <c r="B832" s="909" t="n"/>
      <c r="C832" s="781" t="inlineStr">
        <is>
          <t>Газпром добыча Ноябрьск</t>
        </is>
      </c>
      <c r="D832" s="15" t="n"/>
      <c r="E832" s="15" t="n"/>
      <c r="F832" s="16" t="n"/>
      <c r="G832" s="17" t="inlineStr">
        <is>
          <t>10_100330726</t>
        </is>
      </c>
      <c r="H832" s="636" t="n"/>
      <c r="I832" s="17" t="n"/>
      <c r="J832" s="46" t="inlineStr">
        <is>
          <t>млн куб.м.</t>
        </is>
      </c>
    </row>
    <row r="833" ht="20.1" customHeight="1" s="904">
      <c r="B833" s="909" t="n"/>
      <c r="C833" s="735" t="n"/>
      <c r="D833" s="15" t="n"/>
      <c r="E833" s="15" t="n"/>
      <c r="F833" s="16" t="n"/>
      <c r="G833" s="17" t="inlineStr">
        <is>
          <t>10_100330727</t>
        </is>
      </c>
      <c r="H833" s="636" t="n"/>
      <c r="I833" s="17" t="n"/>
      <c r="J833" s="24" t="inlineStr">
        <is>
          <t>тыс.т</t>
        </is>
      </c>
    </row>
    <row r="834" ht="20.1" customHeight="1" s="904">
      <c r="B834" s="909" t="n"/>
      <c r="C834" s="781" t="inlineStr">
        <is>
          <t>Газпром добыча Иркутск</t>
        </is>
      </c>
      <c r="D834" s="15" t="n"/>
      <c r="E834" s="15" t="n"/>
      <c r="F834" s="16" t="n"/>
      <c r="G834" s="17" t="inlineStr">
        <is>
          <t>12_100330680</t>
        </is>
      </c>
      <c r="H834" s="636" t="n"/>
      <c r="I834" s="17" t="n"/>
      <c r="J834" s="46" t="inlineStr">
        <is>
          <t>млн куб.м.</t>
        </is>
      </c>
    </row>
    <row r="835" ht="20.1" customHeight="1" s="904">
      <c r="B835" s="909" t="n"/>
      <c r="C835" s="735" t="n"/>
      <c r="D835" s="15" t="n"/>
      <c r="E835" s="15" t="n"/>
      <c r="F835" s="16" t="n"/>
      <c r="G835" s="17" t="inlineStr">
        <is>
          <t>12_100330679</t>
        </is>
      </c>
      <c r="H835" s="636" t="n"/>
      <c r="I835" s="17" t="n"/>
      <c r="J835" s="24" t="inlineStr">
        <is>
          <t>тыс.т</t>
        </is>
      </c>
    </row>
    <row r="836" ht="20.1" customHeight="1" s="904">
      <c r="B836" s="909" t="n"/>
      <c r="C836" s="547" t="inlineStr">
        <is>
          <t>Газпром добыча шельф Южно-Сахалинск</t>
        </is>
      </c>
      <c r="D836" s="15" t="n"/>
      <c r="E836" s="15" t="n"/>
      <c r="F836" s="16" t="n"/>
      <c r="G836" s="17" t="inlineStr">
        <is>
          <t>13_100330680</t>
        </is>
      </c>
      <c r="H836" s="636" t="n"/>
      <c r="I836" s="17" t="n"/>
      <c r="J836" s="46" t="inlineStr">
        <is>
          <t>млн куб.м.</t>
        </is>
      </c>
    </row>
    <row r="837" ht="20.1" customHeight="1" s="904">
      <c r="B837" s="909" t="n"/>
      <c r="C837" s="735" t="n"/>
      <c r="D837" s="15" t="n"/>
      <c r="E837" s="15" t="n"/>
      <c r="F837" s="16" t="n"/>
      <c r="G837" s="17" t="inlineStr">
        <is>
          <t>13_100335781</t>
        </is>
      </c>
      <c r="H837" s="636" t="n"/>
      <c r="I837" s="17" t="n"/>
      <c r="J837" s="24" t="inlineStr">
        <is>
          <t>тыс.т</t>
        </is>
      </c>
    </row>
    <row r="838" ht="20.1" customHeight="1" s="904">
      <c r="B838" s="20" t="inlineStr">
        <is>
          <t>24.2.</t>
        </is>
      </c>
      <c r="C838" s="28" t="inlineStr">
        <is>
          <t>Дочерние общества</t>
        </is>
      </c>
      <c r="D838" s="15" t="n"/>
      <c r="E838" s="15" t="n"/>
      <c r="F838" s="16" t="n"/>
      <c r="G838" s="17">
        <f>G840+G842+G844</f>
        <v/>
      </c>
      <c r="H838" s="636" t="n"/>
      <c r="I838" s="17" t="n"/>
      <c r="J838" s="46" t="inlineStr">
        <is>
          <t>млн куб.м.</t>
        </is>
      </c>
    </row>
    <row r="839" ht="20.1" customHeight="1" s="904">
      <c r="B839" s="909" t="n"/>
      <c r="C839" s="735" t="n"/>
      <c r="D839" s="15" t="n"/>
      <c r="E839" s="15" t="n"/>
      <c r="F839" s="16" t="n"/>
      <c r="G839" s="17">
        <f>G841+G843+G845</f>
        <v/>
      </c>
      <c r="H839" s="636" t="n"/>
      <c r="I839" s="17" t="n"/>
      <c r="J839" s="24" t="inlineStr">
        <is>
          <t>тыс.т</t>
        </is>
      </c>
    </row>
    <row r="840" ht="20.1" customHeight="1" s="904">
      <c r="B840" s="909" t="n"/>
      <c r="C840" s="781" t="inlineStr">
        <is>
          <t xml:space="preserve">   Газпром добыча Ямбург</t>
        </is>
      </c>
      <c r="D840" s="15" t="n"/>
      <c r="E840" s="15" t="n"/>
      <c r="F840" s="16" t="n"/>
      <c r="G840" s="17" t="inlineStr">
        <is>
          <t>7_100330612</t>
        </is>
      </c>
      <c r="H840" s="636" t="n"/>
      <c r="I840" s="17" t="n"/>
      <c r="J840" s="46" t="inlineStr">
        <is>
          <t>млн куб.м.</t>
        </is>
      </c>
    </row>
    <row r="841" ht="20.1" customHeight="1" s="904">
      <c r="B841" s="909" t="n"/>
      <c r="C841" s="735" t="n"/>
      <c r="D841" s="15" t="n"/>
      <c r="E841" s="15" t="n"/>
      <c r="F841" s="16" t="n"/>
      <c r="G841" s="17" t="inlineStr">
        <is>
          <t>7_100330611</t>
        </is>
      </c>
      <c r="H841" s="636" t="n"/>
      <c r="I841" s="17" t="n"/>
      <c r="J841" s="24" t="inlineStr">
        <is>
          <t>тыс.т</t>
        </is>
      </c>
    </row>
    <row r="842" ht="20.1" customHeight="1" s="904">
      <c r="B842" s="909" t="n"/>
      <c r="C842" s="781" t="inlineStr">
        <is>
          <t>Газпром добыча Ноябрьск</t>
        </is>
      </c>
      <c r="D842" s="15" t="n"/>
      <c r="E842" s="15" t="n"/>
      <c r="F842" s="16" t="n"/>
      <c r="G842" s="17" t="inlineStr">
        <is>
          <t>10_100330729+10_100336328+10_100337132</t>
        </is>
      </c>
      <c r="H842" s="636" t="n"/>
      <c r="I842" s="17" t="n"/>
      <c r="J842" s="24" t="inlineStr">
        <is>
          <t>млн куб.м.</t>
        </is>
      </c>
    </row>
    <row r="843" ht="20.1" customHeight="1" s="904">
      <c r="B843" s="909" t="n"/>
      <c r="C843" s="735" t="n"/>
      <c r="D843" s="15" t="n"/>
      <c r="E843" s="15" t="n"/>
      <c r="F843" s="16" t="n"/>
      <c r="G843" s="17" t="inlineStr">
        <is>
          <t>10_100330728+10_100336329+10_100337133</t>
        </is>
      </c>
      <c r="H843" s="636" t="n"/>
      <c r="I843" s="17" t="n"/>
      <c r="J843" s="24" t="inlineStr">
        <is>
          <t>тыс.т</t>
        </is>
      </c>
    </row>
    <row r="844" hidden="1" outlineLevel="2" ht="20.1" customHeight="1" s="904">
      <c r="B844" s="909" t="n"/>
      <c r="C844" s="25" t="inlineStr">
        <is>
          <t>Газпром добыча Уренгой (ДРОД )</t>
        </is>
      </c>
      <c r="D844" s="15" t="n"/>
      <c r="E844" s="15" t="n"/>
      <c r="F844" s="16" t="n"/>
      <c r="G844" s="17" t="n"/>
      <c r="H844" s="636" t="n"/>
      <c r="I844" s="17" t="n"/>
      <c r="J844" s="46" t="inlineStr">
        <is>
          <t>млн куб.м.</t>
        </is>
      </c>
    </row>
    <row r="845" hidden="1" outlineLevel="2" ht="20.1" customHeight="1" s="904">
      <c r="B845" s="909" t="n"/>
      <c r="C845" s="53" t="n"/>
      <c r="D845" s="15" t="n"/>
      <c r="E845" s="15" t="n"/>
      <c r="F845" s="16" t="n"/>
      <c r="G845" s="17" t="n"/>
      <c r="H845" s="636" t="n"/>
      <c r="I845" s="17" t="n"/>
      <c r="J845" s="24" t="inlineStr">
        <is>
          <t>тыс.т</t>
        </is>
      </c>
    </row>
    <row r="846" collapsed="1" ht="20.1" customHeight="1" s="904">
      <c r="B846" s="909" t="inlineStr">
        <is>
          <t>25.</t>
        </is>
      </c>
      <c r="C846" s="735" t="inlineStr">
        <is>
          <t>Метанол - всего</t>
        </is>
      </c>
      <c r="D846" s="15" t="n"/>
      <c r="E846" s="15" t="n"/>
      <c r="F846" s="16" t="n"/>
      <c r="G846" s="17">
        <f>G847</f>
        <v/>
      </c>
      <c r="H846" s="636" t="n"/>
      <c r="I846" s="17" t="n"/>
      <c r="J846" s="24" t="inlineStr">
        <is>
          <t>тыс.т</t>
        </is>
      </c>
    </row>
    <row r="847" ht="20.1" customHeight="1" s="904">
      <c r="B847" s="909" t="n"/>
      <c r="C847" s="781" t="inlineStr">
        <is>
          <t xml:space="preserve">   Газпром переработка</t>
        </is>
      </c>
      <c r="D847" s="15" t="n"/>
      <c r="E847" s="15" t="n"/>
      <c r="F847" s="16" t="n"/>
      <c r="G847" s="17">
        <f>G848+G849+G850</f>
        <v/>
      </c>
      <c r="H847" s="636" t="n"/>
      <c r="I847" s="17" t="n"/>
      <c r="J847" s="24" t="inlineStr">
        <is>
          <t>тыс.т</t>
        </is>
      </c>
    </row>
    <row r="848" ht="20.1" customHeight="1" s="904">
      <c r="B848" s="909" t="n"/>
      <c r="C848" s="27" t="inlineStr">
        <is>
          <t>Уренгойский ЗПКТ</t>
        </is>
      </c>
      <c r="D848" s="15" t="n"/>
      <c r="E848" s="15" t="n"/>
      <c r="F848" s="16" t="n"/>
      <c r="G848" s="17">
        <f>G853+G858</f>
        <v/>
      </c>
      <c r="H848" s="636" t="n"/>
      <c r="I848" s="17" t="n"/>
      <c r="J848" s="549" t="inlineStr">
        <is>
          <t>тыс.т</t>
        </is>
      </c>
    </row>
    <row r="849" ht="20.1" customHeight="1" s="904">
      <c r="B849" s="909" t="n"/>
      <c r="C849" s="27" t="inlineStr">
        <is>
          <t xml:space="preserve">   Сургутский ЗСК</t>
        </is>
      </c>
      <c r="D849" s="15" t="n"/>
      <c r="E849" s="15" t="n"/>
      <c r="F849" s="16" t="n"/>
      <c r="G849" s="17">
        <f>G854</f>
        <v/>
      </c>
      <c r="H849" s="636" t="n"/>
      <c r="I849" s="17" t="n"/>
      <c r="J849" s="549" t="inlineStr">
        <is>
          <t>тыс.т</t>
        </is>
      </c>
    </row>
    <row r="850" ht="20.1" customHeight="1" s="904">
      <c r="B850" s="909" t="n"/>
      <c r="C850" s="27" t="inlineStr">
        <is>
          <t>Сосногорский ГПЗ</t>
        </is>
      </c>
      <c r="D850" s="15" t="n"/>
      <c r="E850" s="15" t="n"/>
      <c r="F850" s="16" t="n"/>
      <c r="G850" s="17">
        <f>G855</f>
        <v/>
      </c>
      <c r="H850" s="636" t="n"/>
      <c r="I850" s="17" t="n"/>
      <c r="J850" s="549" t="inlineStr">
        <is>
          <t>тыс.т</t>
        </is>
      </c>
    </row>
    <row r="851" ht="20.1" customHeight="1" s="904">
      <c r="B851" s="20" t="inlineStr">
        <is>
          <t>25.1.</t>
        </is>
      </c>
      <c r="C851" s="28" t="inlineStr">
        <is>
          <t>Газпром</t>
        </is>
      </c>
      <c r="D851" s="15" t="n"/>
      <c r="E851" s="15" t="n"/>
      <c r="F851" s="16" t="n"/>
      <c r="G851" s="17">
        <f>G852</f>
        <v/>
      </c>
      <c r="H851" s="636" t="n"/>
      <c r="I851" s="17" t="n"/>
      <c r="J851" s="24" t="inlineStr">
        <is>
          <t>тыс.т</t>
        </is>
      </c>
    </row>
    <row r="852" ht="20.1" customHeight="1" s="904">
      <c r="B852" s="909" t="n"/>
      <c r="C852" s="781" t="inlineStr">
        <is>
          <t xml:space="preserve">   Газпром переработка</t>
        </is>
      </c>
      <c r="D852" s="15" t="n"/>
      <c r="E852" s="15" t="n"/>
      <c r="F852" s="16" t="n"/>
      <c r="G852" s="17">
        <f>G853+G854+G855</f>
        <v/>
      </c>
      <c r="H852" s="636" t="n"/>
      <c r="I852" s="17" t="n"/>
      <c r="J852" s="24" t="inlineStr">
        <is>
          <t>тыс.т</t>
        </is>
      </c>
    </row>
    <row r="853" ht="20.1" customHeight="1" s="904">
      <c r="B853" s="909" t="n"/>
      <c r="C853" s="27" t="inlineStr">
        <is>
          <t xml:space="preserve"> Уренгойский ЗПКТ</t>
        </is>
      </c>
      <c r="D853" s="15" t="n"/>
      <c r="E853" s="15" t="n"/>
      <c r="F853" s="16" t="n"/>
      <c r="G853" s="17" t="inlineStr">
        <is>
          <t>4_100335444/1000</t>
        </is>
      </c>
      <c r="H853" s="636" t="n"/>
      <c r="I853" s="17" t="n"/>
      <c r="J853" s="549" t="inlineStr">
        <is>
          <t>тыс.т</t>
        </is>
      </c>
    </row>
    <row r="854" ht="20.1" customHeight="1" s="904">
      <c r="B854" s="909" t="n"/>
      <c r="C854" s="27" t="inlineStr">
        <is>
          <t xml:space="preserve">   Сургутский ЗСК</t>
        </is>
      </c>
      <c r="D854" s="15" t="n"/>
      <c r="E854" s="15" t="n"/>
      <c r="F854" s="16" t="n"/>
      <c r="G854" s="17" t="inlineStr">
        <is>
          <t>4_100335445/1000</t>
        </is>
      </c>
      <c r="H854" s="636" t="n"/>
      <c r="I854" s="17" t="n"/>
      <c r="J854" s="549" t="inlineStr">
        <is>
          <t>тыс.т</t>
        </is>
      </c>
    </row>
    <row r="855" ht="20.1" customHeight="1" s="904">
      <c r="B855" s="909" t="n"/>
      <c r="C855" s="27" t="inlineStr">
        <is>
          <t>Сосногорский ГПЗ</t>
        </is>
      </c>
      <c r="D855" s="15" t="n"/>
      <c r="E855" s="15" t="n"/>
      <c r="F855" s="16" t="n"/>
      <c r="G855" s="17" t="inlineStr">
        <is>
          <t>3_100335432/1000</t>
        </is>
      </c>
      <c r="H855" s="636" t="n"/>
      <c r="I855" s="17" t="n"/>
      <c r="J855" s="549" t="inlineStr">
        <is>
          <t>тыс.т</t>
        </is>
      </c>
    </row>
    <row r="856" ht="20.1" customHeight="1" s="904">
      <c r="B856" s="20" t="inlineStr">
        <is>
          <t>25.2.</t>
        </is>
      </c>
      <c r="C856" s="28" t="inlineStr">
        <is>
          <t>Дочерние общества</t>
        </is>
      </c>
      <c r="D856" s="15" t="n"/>
      <c r="E856" s="15" t="n"/>
      <c r="F856" s="16" t="n"/>
      <c r="G856" s="17">
        <f>G857</f>
        <v/>
      </c>
      <c r="H856" s="636" t="n"/>
      <c r="I856" s="17" t="n"/>
      <c r="J856" s="24" t="inlineStr">
        <is>
          <t>тыс.т</t>
        </is>
      </c>
    </row>
    <row r="857" ht="20.1" customHeight="1" s="904">
      <c r="B857" s="909" t="n"/>
      <c r="C857" s="781" t="inlineStr">
        <is>
          <t>Газпро добыча Уренгой</t>
        </is>
      </c>
      <c r="D857" s="15" t="n"/>
      <c r="E857" s="15" t="n"/>
      <c r="F857" s="16" t="n"/>
      <c r="G857" s="17">
        <f>G858</f>
        <v/>
      </c>
      <c r="H857" s="636" t="n"/>
      <c r="I857" s="17" t="n"/>
      <c r="J857" s="24" t="inlineStr">
        <is>
          <t>тыс.т</t>
        </is>
      </c>
    </row>
    <row r="858" ht="20.1" customHeight="1" s="904">
      <c r="B858" s="909" t="n"/>
      <c r="C858" s="27" t="inlineStr">
        <is>
          <t xml:space="preserve"> Уренгойский ЗПКТ</t>
        </is>
      </c>
      <c r="D858" s="15" t="n"/>
      <c r="E858" s="15" t="n"/>
      <c r="F858" s="16" t="n"/>
      <c r="G858" s="17" t="n"/>
      <c r="H858" s="636" t="n"/>
      <c r="I858" s="17" t="n"/>
      <c r="J858" s="549" t="inlineStr">
        <is>
          <t>тыс.т</t>
        </is>
      </c>
    </row>
    <row r="859" ht="20.1" customHeight="1" s="904">
      <c r="B859" s="909" t="n"/>
      <c r="C859" s="54" t="inlineStr">
        <is>
          <t>Справочно:</t>
        </is>
      </c>
      <c r="D859" s="15" t="n"/>
      <c r="E859" s="15" t="n"/>
      <c r="F859" s="16" t="n"/>
      <c r="G859" s="17" t="n"/>
      <c r="H859" s="636" t="n"/>
      <c r="I859" s="17" t="n"/>
      <c r="J859" s="24" t="n"/>
    </row>
    <row r="860" ht="20.1" customHeight="1" s="904">
      <c r="B860" s="909" t="n"/>
      <c r="C860" s="735" t="inlineStr">
        <is>
          <t>Нефть</t>
        </is>
      </c>
      <c r="D860" s="15" t="n"/>
      <c r="E860" s="15" t="n"/>
      <c r="F860" s="16" t="n"/>
      <c r="G860" s="17" t="n"/>
      <c r="H860" s="636" t="n"/>
      <c r="I860" s="17" t="n"/>
      <c r="J860" s="24" t="n"/>
    </row>
    <row r="861" ht="20.1" customHeight="1" s="904">
      <c r="B861" s="909" t="n"/>
      <c r="C861" s="781" t="inlineStr">
        <is>
          <t>Поставка от добычи Газпром нефть (Царичанское НМ)</t>
        </is>
      </c>
      <c r="D861" s="15" t="n"/>
      <c r="E861" s="15" t="n"/>
      <c r="F861" s="16" t="n"/>
      <c r="G861" s="17" t="inlineStr">
        <is>
          <t>6_100332312</t>
        </is>
      </c>
      <c r="H861" s="636" t="n"/>
      <c r="I861" s="17" t="n"/>
      <c r="J861" s="24" t="inlineStr">
        <is>
          <t>тыс.т</t>
        </is>
      </c>
    </row>
    <row r="862" ht="20.1" customHeight="1" s="904">
      <c r="B862" s="909" t="n"/>
      <c r="C862" s="27" t="inlineStr">
        <is>
          <t>(транспортировка, собственность Газпром нефтехим Салават )</t>
        </is>
      </c>
      <c r="D862" s="15" t="n"/>
      <c r="E862" s="15" t="n"/>
      <c r="F862" s="16" t="n"/>
      <c r="G862" s="17" t="n"/>
      <c r="H862" s="636" t="n"/>
      <c r="I862" s="17" t="n"/>
      <c r="J862" s="24" t="n"/>
    </row>
    <row r="863" ht="20.1" customHeight="1" s="904">
      <c r="B863" s="909" t="n"/>
      <c r="C863" s="55" t="inlineStr">
        <is>
          <t xml:space="preserve"> * данные показатели принимаются по факту и используются при формировании договоров</t>
        </is>
      </c>
      <c r="D863" s="15" t="n"/>
      <c r="E863" s="15" t="n"/>
      <c r="F863" s="16" t="n"/>
      <c r="G863" s="17" t="n"/>
      <c r="H863" s="636" t="n"/>
      <c r="I863" s="17" t="n"/>
      <c r="J863" s="56" t="n"/>
    </row>
    <row r="864" ht="20.1" customHeight="1" s="904">
      <c r="B864" s="909" t="n"/>
      <c r="C864" s="31" t="n"/>
      <c r="D864" s="15" t="n"/>
      <c r="E864" s="15" t="n"/>
      <c r="F864" s="16" t="n"/>
      <c r="G864" s="17" t="n"/>
      <c r="H864" s="636" t="n"/>
      <c r="I864" s="17" t="n"/>
      <c r="J864" s="56" t="n"/>
    </row>
    <row r="865" ht="20.1" customHeight="1" s="904">
      <c r="B865" s="735" t="inlineStr">
        <is>
          <t>Раздел 2. Прогнозные показатели по переработке углеводородного сырья и производству продукции других дочерних обществ</t>
        </is>
      </c>
      <c r="C865" s="735" t="n"/>
      <c r="D865" s="15" t="n"/>
      <c r="E865" s="15" t="n"/>
      <c r="F865" s="16" t="n"/>
      <c r="G865" s="17" t="n"/>
      <c r="H865" s="636" t="n"/>
      <c r="I865" s="17" t="n"/>
      <c r="J865" s="9" t="n"/>
    </row>
    <row r="866" ht="20.1" customHeight="1" s="904">
      <c r="B866" s="909" t="n"/>
      <c r="C866" s="735" t="inlineStr">
        <is>
          <t xml:space="preserve">ООО "Газпром СПГ Портовая" </t>
        </is>
      </c>
      <c r="D866" s="15" t="n"/>
      <c r="E866" s="15" t="n"/>
      <c r="F866" s="16" t="n"/>
      <c r="G866" s="17" t="n"/>
      <c r="H866" s="636" t="n"/>
      <c r="I866" s="17" t="n"/>
      <c r="J866" s="9" t="n"/>
    </row>
    <row r="867" hidden="1" outlineLevel="1" ht="20.1" customHeight="1" s="904">
      <c r="B867" s="909" t="n"/>
      <c r="C867" s="57" t="inlineStr">
        <is>
          <t>CЫРЬЕ</t>
        </is>
      </c>
      <c r="D867" s="15" t="n"/>
      <c r="E867" s="15" t="n"/>
      <c r="F867" s="16" t="n"/>
      <c r="G867" s="17" t="n"/>
      <c r="H867" s="636" t="n"/>
      <c r="I867" s="17" t="n"/>
      <c r="J867" s="9" t="n"/>
    </row>
    <row r="868" hidden="1" outlineLevel="1" ht="20.1" customHeight="1" s="904">
      <c r="B868" s="909" t="n"/>
      <c r="C868" s="57" t="inlineStr">
        <is>
          <t>Переработка газа</t>
        </is>
      </c>
      <c r="D868" s="15" t="n"/>
      <c r="E868" s="15" t="n"/>
      <c r="F868" s="16" t="n"/>
      <c r="G868" s="17" t="n"/>
      <c r="H868" s="636" t="n"/>
      <c r="I868" s="17" t="n"/>
      <c r="J868" s="9" t="n"/>
    </row>
    <row r="869" collapsed="1" ht="20.1" customHeight="1" s="904">
      <c r="B869" s="909" t="inlineStr">
        <is>
          <t>1.</t>
        </is>
      </c>
      <c r="C869" s="735" t="inlineStr">
        <is>
          <t xml:space="preserve">ПРОДУКЦИЯ    </t>
        </is>
      </c>
      <c r="D869" s="15" t="n"/>
      <c r="E869" s="15" t="n"/>
      <c r="F869" s="16" t="n"/>
      <c r="G869" s="17" t="n"/>
      <c r="H869" s="636" t="n"/>
      <c r="I869" s="17" t="n"/>
      <c r="J869" s="9" t="n"/>
    </row>
    <row r="870" hidden="1" outlineLevel="1" ht="20.1" customHeight="1" s="904">
      <c r="B870" s="909" t="n"/>
      <c r="C870" s="57" t="inlineStr">
        <is>
          <t>СПГ</t>
        </is>
      </c>
      <c r="D870" s="15" t="n"/>
      <c r="E870" s="15" t="n"/>
      <c r="F870" s="16" t="n"/>
      <c r="G870" s="17" t="n"/>
      <c r="H870" s="636" t="n"/>
      <c r="I870" s="17" t="n"/>
      <c r="J870" s="9" t="n"/>
    </row>
    <row r="871" hidden="1" outlineLevel="1" ht="19.5" customHeight="1" s="904">
      <c r="B871" s="909" t="n"/>
      <c r="C871" s="57" t="n"/>
      <c r="D871" s="15" t="n"/>
      <c r="E871" s="15" t="n"/>
      <c r="F871" s="16" t="n"/>
      <c r="G871" s="17" t="n"/>
      <c r="H871" s="636" t="n"/>
      <c r="I871" s="17" t="n"/>
      <c r="J871" s="24" t="n"/>
    </row>
    <row r="872" collapsed="1" ht="20.1" customHeight="1" s="904">
      <c r="B872" s="909" t="inlineStr">
        <is>
          <t>1.1</t>
        </is>
      </c>
      <c r="C872" s="909" t="inlineStr">
        <is>
          <t>Стабильный газовый конденсат товарный</t>
        </is>
      </c>
      <c r="D872" s="15" t="n"/>
      <c r="E872" s="15" t="n"/>
      <c r="F872" s="16" t="n"/>
      <c r="G872" s="17" t="inlineStr">
        <is>
          <t>15_100330867-15_100335852</t>
        </is>
      </c>
      <c r="H872" s="636" t="n"/>
      <c r="I872" s="17" t="n"/>
      <c r="J872" s="24" t="n"/>
    </row>
    <row r="873" ht="20.1" customHeight="1" s="904">
      <c r="B873" s="909" t="n"/>
      <c r="C873" s="13" t="n"/>
      <c r="D873" s="15" t="n"/>
      <c r="E873" s="15" t="n"/>
      <c r="F873" s="16" t="n"/>
      <c r="G873" s="17" t="n"/>
      <c r="H873" s="636" t="n"/>
      <c r="I873" s="17" t="n"/>
      <c r="J873" s="24" t="n"/>
    </row>
    <row r="874" ht="20.1" customHeight="1" s="904">
      <c r="B874" s="909" t="n"/>
      <c r="C874" s="9" t="inlineStr">
        <is>
          <t>ГРУППА ВОСТОКГАЗПРОМ</t>
        </is>
      </c>
      <c r="D874" s="15" t="n"/>
      <c r="E874" s="15" t="n"/>
      <c r="F874" s="16" t="n"/>
      <c r="G874" s="17" t="n"/>
      <c r="H874" s="636" t="n"/>
      <c r="I874" s="17" t="n"/>
      <c r="J874" s="24" t="n"/>
    </row>
    <row r="875" ht="34.5" customHeight="1" s="904">
      <c r="B875" s="909" t="inlineStr">
        <is>
          <t>1.</t>
        </is>
      </c>
      <c r="C875" s="58" t="inlineStr">
        <is>
          <t xml:space="preserve">ПЕРЕРАБОТКА СЫРЬЯ </t>
        </is>
      </c>
      <c r="D875" s="15" t="n"/>
      <c r="E875" s="15" t="n"/>
      <c r="F875" s="16" t="n"/>
      <c r="G875" s="17" t="inlineStr">
        <is>
          <t>16_100336330</t>
        </is>
      </c>
      <c r="H875" s="636" t="n"/>
      <c r="I875" s="17" t="n"/>
      <c r="J875" s="24" t="inlineStr">
        <is>
          <t>тыс.т.</t>
        </is>
      </c>
    </row>
    <row r="876" ht="35.1" customHeight="1" s="904">
      <c r="B876" s="909" t="inlineStr">
        <is>
          <t>1.1</t>
        </is>
      </c>
      <c r="C876" s="908" t="inlineStr">
        <is>
          <t>Переработка УВС от добычи АО "Газпром добыча Томск" всего:</t>
        </is>
      </c>
      <c r="D876" s="15" t="n"/>
      <c r="E876" s="15" t="n"/>
      <c r="F876" s="16" t="n"/>
      <c r="G876" s="17" t="inlineStr">
        <is>
          <t>16_100336331</t>
        </is>
      </c>
      <c r="H876" s="636" t="n"/>
      <c r="I876" s="17" t="n"/>
      <c r="J876" s="549" t="inlineStr">
        <is>
          <t>тыс.т.</t>
        </is>
      </c>
    </row>
    <row r="877" ht="20.1" customHeight="1" s="904">
      <c r="B877" s="909" t="n"/>
      <c r="C877" s="903" t="inlineStr">
        <is>
          <t>Попутный нефтяной газ</t>
        </is>
      </c>
      <c r="D877" s="15" t="n"/>
      <c r="E877" s="15" t="n"/>
      <c r="F877" s="16" t="n"/>
      <c r="G877" s="17" t="inlineStr">
        <is>
          <t>16_100332340</t>
        </is>
      </c>
      <c r="H877" s="636" t="n"/>
      <c r="I877" s="17" t="n"/>
      <c r="J877" s="549" t="inlineStr">
        <is>
          <t>тыс.т.</t>
        </is>
      </c>
    </row>
    <row r="878" ht="20.1" customHeight="1" s="904">
      <c r="B878" s="909" t="n"/>
      <c r="D878" s="15" t="n"/>
      <c r="E878" s="15" t="n"/>
      <c r="F878" s="16" t="n"/>
      <c r="G878" s="17" t="inlineStr">
        <is>
          <t>16_100330742</t>
        </is>
      </c>
      <c r="H878" s="636" t="n"/>
      <c r="I878" s="17" t="n"/>
      <c r="J878" s="549" t="inlineStr">
        <is>
          <t>млн куб.м</t>
        </is>
      </c>
    </row>
    <row r="879" ht="20.1" customHeight="1" s="904">
      <c r="B879" s="909" t="n"/>
      <c r="C879" s="903" t="inlineStr">
        <is>
          <t>Нестабильный газовый конденсат</t>
        </is>
      </c>
      <c r="D879" s="15" t="n"/>
      <c r="E879" s="15" t="n"/>
      <c r="F879" s="16" t="n"/>
      <c r="G879" s="17" t="inlineStr">
        <is>
          <t>16_100330865</t>
        </is>
      </c>
      <c r="H879" s="636" t="n"/>
      <c r="I879" s="17" t="n"/>
      <c r="J879" s="554" t="inlineStr">
        <is>
          <t>тыс.т.</t>
        </is>
      </c>
    </row>
    <row r="880" ht="20.1" customHeight="1" s="904">
      <c r="B880" s="909" t="n"/>
      <c r="C880" s="59" t="inlineStr">
        <is>
          <t>в т.ч. нестабильный газовый конденсат из СОГ</t>
        </is>
      </c>
      <c r="D880" s="15" t="n"/>
      <c r="E880" s="15" t="n"/>
      <c r="F880" s="16" t="n"/>
      <c r="G880" s="17" t="inlineStr">
        <is>
          <t>16_100337098</t>
        </is>
      </c>
      <c r="H880" s="636" t="n"/>
      <c r="I880" s="17" t="n"/>
      <c r="J880" s="549" t="inlineStr">
        <is>
          <t>тыс.т.</t>
        </is>
      </c>
    </row>
    <row r="881" ht="20.1" customHeight="1" s="904">
      <c r="B881" s="909" t="n"/>
      <c r="C881" s="903" t="inlineStr">
        <is>
          <t>Нефть</t>
        </is>
      </c>
      <c r="D881" s="15" t="n"/>
      <c r="E881" s="15" t="n"/>
      <c r="F881" s="16" t="n"/>
      <c r="G881" s="17" t="inlineStr">
        <is>
          <t>16_100336332</t>
        </is>
      </c>
      <c r="H881" s="636" t="n"/>
      <c r="I881" s="17" t="n"/>
      <c r="J881" s="554" t="inlineStr">
        <is>
          <t>тыс.т.</t>
        </is>
      </c>
    </row>
    <row r="882" ht="20.1" customHeight="1" s="904">
      <c r="B882" s="909" t="n"/>
      <c r="C882" s="59" t="inlineStr">
        <is>
          <t>в т.ч. нефть из ПНГ</t>
        </is>
      </c>
      <c r="D882" s="15" t="n"/>
      <c r="E882" s="15" t="n"/>
      <c r="F882" s="16" t="n"/>
      <c r="G882" s="17" t="inlineStr">
        <is>
          <t>16_100336333</t>
        </is>
      </c>
      <c r="H882" s="636" t="n"/>
      <c r="I882" s="17" t="n"/>
      <c r="J882" s="554" t="inlineStr">
        <is>
          <t>тыс.т.</t>
        </is>
      </c>
    </row>
    <row r="883" ht="20.1" customHeight="1" s="904">
      <c r="B883" s="909" t="n"/>
      <c r="C883" s="922" t="inlineStr">
        <is>
          <t>Справочно: СОГ на доппереработку с Казанского НГКМ на Мыльджинское НГКМ</t>
        </is>
      </c>
      <c r="D883" s="15" t="n"/>
      <c r="E883" s="15" t="n"/>
      <c r="F883" s="16" t="n"/>
      <c r="G883" s="17" t="inlineStr">
        <is>
          <t>16_100336369</t>
        </is>
      </c>
      <c r="H883" s="636" t="n"/>
      <c r="I883" s="17" t="n"/>
      <c r="J883" s="554" t="inlineStr">
        <is>
          <t>тыс.т.</t>
        </is>
      </c>
    </row>
    <row r="884" ht="20.1" customHeight="1" s="904">
      <c r="B884" s="909" t="n"/>
      <c r="D884" s="15" t="n"/>
      <c r="E884" s="15" t="n"/>
      <c r="F884" s="16" t="n"/>
      <c r="G884" s="17" t="inlineStr">
        <is>
          <t>16_100336370</t>
        </is>
      </c>
      <c r="H884" s="636" t="n"/>
      <c r="I884" s="17" t="n"/>
      <c r="J884" s="24" t="inlineStr">
        <is>
          <t>млн куб.м</t>
        </is>
      </c>
    </row>
    <row r="885" ht="20.1" customHeight="1" s="904">
      <c r="B885" s="909" t="inlineStr">
        <is>
          <t>1.2</t>
        </is>
      </c>
      <c r="C885" s="908" t="inlineStr">
        <is>
          <t>Покупка сырья  ПАО "Газпром нефть"</t>
        </is>
      </c>
      <c r="D885" s="15" t="n"/>
      <c r="E885" s="15" t="n"/>
      <c r="F885" s="16" t="n"/>
      <c r="G885" s="17" t="inlineStr">
        <is>
          <t>16_100332993</t>
        </is>
      </c>
      <c r="H885" s="636" t="n"/>
      <c r="I885" s="17" t="n"/>
      <c r="J885" s="578" t="inlineStr">
        <is>
          <t>тыс.т.</t>
        </is>
      </c>
    </row>
    <row r="886" ht="20.1" customHeight="1" s="904">
      <c r="D886" s="15" t="n"/>
      <c r="E886" s="15" t="n"/>
      <c r="F886" s="16" t="n"/>
      <c r="G886" s="17" t="inlineStr">
        <is>
          <t>16_100332994</t>
        </is>
      </c>
      <c r="H886" s="636" t="n"/>
      <c r="I886" s="17" t="n"/>
      <c r="J886" s="549" t="inlineStr">
        <is>
          <t>млн куб.м</t>
        </is>
      </c>
    </row>
    <row r="887" ht="20.1" customHeight="1" s="904">
      <c r="B887" s="909" t="n"/>
      <c r="C887" s="903" t="inlineStr">
        <is>
          <t>Попутный нефтяной газ</t>
        </is>
      </c>
      <c r="D887" s="15" t="n"/>
      <c r="E887" s="15" t="n"/>
      <c r="F887" s="16" t="n"/>
      <c r="G887" s="17" t="inlineStr">
        <is>
          <t>16_100336365</t>
        </is>
      </c>
      <c r="H887" s="636" t="n"/>
      <c r="I887" s="17" t="n"/>
      <c r="J887" s="549" t="inlineStr">
        <is>
          <t>тыс.т.</t>
        </is>
      </c>
    </row>
    <row r="888" ht="20.1" customHeight="1" s="904">
      <c r="B888" s="909" t="n"/>
      <c r="D888" s="15" t="n"/>
      <c r="E888" s="15" t="n"/>
      <c r="F888" s="16" t="n"/>
      <c r="G888" s="17" t="inlineStr">
        <is>
          <t>16_100336366</t>
        </is>
      </c>
      <c r="H888" s="636" t="n"/>
      <c r="I888" s="17" t="n"/>
      <c r="J888" s="24" t="inlineStr">
        <is>
          <t>млн куб.м</t>
        </is>
      </c>
    </row>
    <row r="889" ht="20.1" customHeight="1" s="904">
      <c r="B889" s="909" t="inlineStr">
        <is>
          <t>1.3</t>
        </is>
      </c>
      <c r="C889" s="908" t="inlineStr">
        <is>
          <t>Прием сырья на процессинг от ПАО "Газпром нефть"</t>
        </is>
      </c>
      <c r="D889" s="15" t="n"/>
      <c r="E889" s="15" t="n"/>
      <c r="F889" s="16" t="n"/>
      <c r="G889" s="17" t="inlineStr">
        <is>
          <t>16_100332341</t>
        </is>
      </c>
      <c r="H889" s="636" t="n"/>
      <c r="I889" s="17" t="n"/>
      <c r="J889" s="578" t="inlineStr">
        <is>
          <t>тыс.т.</t>
        </is>
      </c>
    </row>
    <row r="890" ht="20.1" customHeight="1" s="904">
      <c r="D890" s="15" t="n"/>
      <c r="E890" s="15" t="n"/>
      <c r="F890" s="16" t="n"/>
      <c r="G890" s="17" t="inlineStr">
        <is>
          <t>16_100330743</t>
        </is>
      </c>
      <c r="H890" s="636" t="n"/>
      <c r="I890" s="17" t="n"/>
      <c r="J890" s="549" t="inlineStr">
        <is>
          <t>млн куб.м</t>
        </is>
      </c>
    </row>
    <row r="891" ht="20.1" customHeight="1" s="904">
      <c r="B891" s="909" t="n"/>
      <c r="C891" s="903" t="inlineStr">
        <is>
          <t>Попутный нефтяной газ</t>
        </is>
      </c>
      <c r="D891" s="15" t="n"/>
      <c r="E891" s="15" t="n"/>
      <c r="F891" s="16" t="n"/>
      <c r="G891" s="17" t="inlineStr">
        <is>
          <t>16_100336367</t>
        </is>
      </c>
      <c r="H891" s="636" t="n"/>
      <c r="I891" s="17" t="n"/>
      <c r="J891" s="549" t="inlineStr">
        <is>
          <t>тыс.т.</t>
        </is>
      </c>
    </row>
    <row r="892" ht="20.1" customHeight="1" s="904">
      <c r="B892" s="909" t="n"/>
      <c r="D892" s="15" t="n"/>
      <c r="E892" s="15" t="n"/>
      <c r="F892" s="16" t="n"/>
      <c r="G892" s="17" t="inlineStr">
        <is>
          <t>16_100336368</t>
        </is>
      </c>
      <c r="H892" s="636" t="n"/>
      <c r="I892" s="17" t="n"/>
      <c r="J892" s="24" t="inlineStr">
        <is>
          <t>млн куб.м</t>
        </is>
      </c>
    </row>
    <row r="893" ht="20.1" customHeight="1" s="904">
      <c r="B893" s="909" t="inlineStr">
        <is>
          <t>1.4</t>
        </is>
      </c>
      <c r="C893" s="908" t="inlineStr">
        <is>
          <t>Технологические нужды</t>
        </is>
      </c>
      <c r="D893" s="15" t="n"/>
      <c r="E893" s="15" t="n"/>
      <c r="F893" s="16" t="n"/>
      <c r="G893" s="17" t="inlineStr">
        <is>
          <t>16_100336334</t>
        </is>
      </c>
      <c r="H893" s="636" t="n"/>
      <c r="I893" s="17" t="n"/>
      <c r="J893" s="549" t="inlineStr">
        <is>
          <t>тыс.т.</t>
        </is>
      </c>
    </row>
    <row r="894" ht="20.1" customHeight="1" s="904">
      <c r="B894" s="909" t="n"/>
      <c r="C894" s="903" t="inlineStr">
        <is>
          <t>Потери при хранении в РВС</t>
        </is>
      </c>
      <c r="D894" s="15" t="n"/>
      <c r="E894" s="15" t="n"/>
      <c r="F894" s="16" t="n"/>
      <c r="G894" s="17" t="inlineStr">
        <is>
          <t>16_100336335</t>
        </is>
      </c>
      <c r="H894" s="636" t="n"/>
      <c r="I894" s="17" t="n"/>
      <c r="J894" s="549" t="inlineStr">
        <is>
          <t>тыс.т.</t>
        </is>
      </c>
    </row>
    <row r="895" ht="20.1" customHeight="1" s="904">
      <c r="B895" s="909" t="n"/>
      <c r="C895" s="903" t="inlineStr">
        <is>
          <t>СТН газа</t>
        </is>
      </c>
      <c r="D895" s="15" t="n"/>
      <c r="E895" s="15" t="n"/>
      <c r="F895" s="16" t="n"/>
      <c r="G895" s="17" t="inlineStr">
        <is>
          <t>16_100336336</t>
        </is>
      </c>
      <c r="H895" s="636" t="n"/>
      <c r="I895" s="17" t="n"/>
      <c r="J895" s="549" t="inlineStr">
        <is>
          <t>тыс.т.</t>
        </is>
      </c>
    </row>
    <row r="896" ht="20.1" customHeight="1" s="904">
      <c r="B896" s="909" t="n"/>
      <c r="D896" s="15" t="n"/>
      <c r="E896" s="15" t="n"/>
      <c r="F896" s="16" t="n"/>
      <c r="G896" s="17" t="inlineStr">
        <is>
          <t>16_100336337</t>
        </is>
      </c>
      <c r="H896" s="636" t="n"/>
      <c r="I896" s="17" t="n"/>
      <c r="J896" s="24" t="inlineStr">
        <is>
          <t>млн куб.м</t>
        </is>
      </c>
    </row>
    <row r="897" ht="20.1" customHeight="1" s="904">
      <c r="B897" s="909" t="inlineStr">
        <is>
          <t>2</t>
        </is>
      </c>
      <c r="C897" s="58" t="inlineStr">
        <is>
          <t xml:space="preserve">ПРОДУКЦИЯ </t>
        </is>
      </c>
      <c r="D897" s="15" t="n"/>
      <c r="E897" s="15" t="n"/>
      <c r="F897" s="16" t="n"/>
      <c r="G897" s="17" t="inlineStr">
        <is>
          <t>16_100330049</t>
        </is>
      </c>
      <c r="H897" s="636" t="n"/>
      <c r="I897" s="17" t="n"/>
      <c r="J897" s="24" t="inlineStr">
        <is>
          <t>тыс.т.</t>
        </is>
      </c>
    </row>
    <row r="898" ht="20.1" customHeight="1" s="904">
      <c r="B898" s="909" t="inlineStr">
        <is>
          <t>2.1</t>
        </is>
      </c>
      <c r="C898" s="908" t="inlineStr">
        <is>
          <t>Стабильный конденсат и нефть, всего:</t>
        </is>
      </c>
      <c r="D898" s="15" t="n"/>
      <c r="E898" s="15" t="n"/>
      <c r="F898" s="16" t="n"/>
      <c r="G898" s="17" t="inlineStr">
        <is>
          <t>16_100330745</t>
        </is>
      </c>
      <c r="H898" s="636" t="n"/>
      <c r="I898" s="17" t="n"/>
      <c r="J898" s="549" t="inlineStr">
        <is>
          <t>тыс.т.</t>
        </is>
      </c>
    </row>
    <row r="899" ht="20.1" customHeight="1" s="904">
      <c r="B899" s="909" t="n"/>
      <c r="C899" s="903" t="inlineStr">
        <is>
          <t>нефть  АО "Газпром добыча Томск"</t>
        </is>
      </c>
      <c r="D899" s="15" t="n"/>
      <c r="E899" s="15" t="n"/>
      <c r="F899" s="16" t="n"/>
      <c r="G899" s="17" t="inlineStr">
        <is>
          <t>16_100336338</t>
        </is>
      </c>
      <c r="H899" s="636" t="n"/>
      <c r="I899" s="17" t="n"/>
      <c r="J899" s="549" t="inlineStr">
        <is>
          <t>тыс.т.</t>
        </is>
      </c>
    </row>
    <row r="900" ht="20.1" customHeight="1" s="904">
      <c r="B900" s="909" t="n"/>
      <c r="C900" s="903" t="inlineStr">
        <is>
          <t>стабильный конденсат АО "Газпром добыча Томск"</t>
        </is>
      </c>
      <c r="D900" s="15" t="n"/>
      <c r="E900" s="15" t="n"/>
      <c r="F900" s="16" t="n"/>
      <c r="G900" s="17" t="inlineStr">
        <is>
          <t>16_100330746</t>
        </is>
      </c>
      <c r="H900" s="636" t="n"/>
      <c r="I900" s="17" t="n"/>
      <c r="J900" s="549" t="inlineStr">
        <is>
          <t>тыс.т.</t>
        </is>
      </c>
    </row>
    <row r="901" ht="20.1" customHeight="1" s="904">
      <c r="B901" s="909" t="n"/>
      <c r="C901" s="903" t="inlineStr">
        <is>
          <t>в т.ч. из сырья ПАО "Газпром нефть" (покупка газа)</t>
        </is>
      </c>
      <c r="D901" s="15" t="n"/>
      <c r="E901" s="15" t="n"/>
      <c r="F901" s="16" t="n"/>
      <c r="G901" s="17" t="inlineStr">
        <is>
          <t>16_100332995</t>
        </is>
      </c>
      <c r="H901" s="636" t="n"/>
      <c r="I901" s="17" t="n"/>
      <c r="J901" s="549" t="inlineStr">
        <is>
          <t>тыс.т.</t>
        </is>
      </c>
    </row>
    <row r="902" ht="37.5" customHeight="1" s="904">
      <c r="B902" s="909" t="n"/>
      <c r="C902" s="903" t="inlineStr">
        <is>
          <t>в т.ч. из сырья ПАО "Газпром нефть" (переработка газа)</t>
        </is>
      </c>
      <c r="D902" s="15" t="n"/>
      <c r="E902" s="15" t="n"/>
      <c r="F902" s="16" t="n"/>
      <c r="G902" s="17" t="inlineStr">
        <is>
          <t>16_100332899</t>
        </is>
      </c>
      <c r="H902" s="636" t="n"/>
      <c r="I902" s="17" t="n"/>
      <c r="J902" s="615" t="inlineStr">
        <is>
          <t>тыс.т.</t>
        </is>
      </c>
    </row>
    <row r="903" ht="35.1" customHeight="1" s="904">
      <c r="B903" s="909" t="inlineStr">
        <is>
          <t>2.2</t>
        </is>
      </c>
      <c r="C903" s="912" t="inlineStr">
        <is>
          <t>Стабильный конденсат и нефть, товарные
 (собст. АО "Газпром добыча Томск")</t>
        </is>
      </c>
      <c r="D903" s="15" t="n"/>
      <c r="E903" s="15" t="n"/>
      <c r="F903" s="16" t="n"/>
      <c r="G903" s="17" t="inlineStr">
        <is>
          <t>16_100330747</t>
        </is>
      </c>
      <c r="H903" s="636" t="n"/>
      <c r="I903" s="17" t="n"/>
      <c r="J903" s="549" t="inlineStr">
        <is>
          <t>тыс.т.</t>
        </is>
      </c>
    </row>
    <row r="904" ht="20.1" customHeight="1" s="904">
      <c r="B904" s="909" t="n"/>
      <c r="C904" s="914" t="inlineStr">
        <is>
          <t>нефть  АО "Газпром добыча Томск"</t>
        </is>
      </c>
      <c r="D904" s="15" t="n"/>
      <c r="E904" s="15" t="n"/>
      <c r="F904" s="16" t="n"/>
      <c r="G904" s="17" t="inlineStr">
        <is>
          <t>16_100336339</t>
        </is>
      </c>
      <c r="H904" s="636" t="n"/>
      <c r="I904" s="17" t="n"/>
      <c r="J904" s="549" t="inlineStr">
        <is>
          <t>тыс.т.</t>
        </is>
      </c>
    </row>
    <row r="905" ht="20.1" customHeight="1" s="904">
      <c r="B905" s="909" t="n"/>
      <c r="C905" s="914" t="inlineStr">
        <is>
          <t>стабильный конденсат АО "Газпром добыча Томск"</t>
        </is>
      </c>
      <c r="D905" s="15" t="n"/>
      <c r="E905" s="15" t="n"/>
      <c r="F905" s="16" t="n"/>
      <c r="G905" s="17" t="inlineStr">
        <is>
          <t>16_100336340</t>
        </is>
      </c>
      <c r="H905" s="636" t="n"/>
      <c r="I905" s="17" t="n"/>
      <c r="J905" s="549" t="inlineStr">
        <is>
          <t>тыс.т.</t>
        </is>
      </c>
    </row>
    <row r="906" ht="20.1" customHeight="1" s="904">
      <c r="B906" s="909" t="n"/>
      <c r="C906" s="903" t="inlineStr">
        <is>
          <t>в т.ч. из сырья ПАО "Газпром нефть" (покупка газа)</t>
        </is>
      </c>
      <c r="D906" s="15" t="n"/>
      <c r="E906" s="15" t="n"/>
      <c r="F906" s="16" t="n"/>
      <c r="G906" s="17" t="inlineStr">
        <is>
          <t>16_100332996</t>
        </is>
      </c>
      <c r="H906" s="636" t="n"/>
      <c r="I906" s="17" t="n"/>
      <c r="J906" s="549" t="inlineStr">
        <is>
          <t>тыс.т.</t>
        </is>
      </c>
    </row>
    <row r="907" ht="20.1" customHeight="1" s="904">
      <c r="B907" s="909" t="n"/>
      <c r="C907" s="903" t="inlineStr">
        <is>
          <t>в т.ч. из сырья ПАО "Газпром нефть" (переработка газа)</t>
        </is>
      </c>
      <c r="D907" s="15" t="n"/>
      <c r="E907" s="15" t="n"/>
      <c r="F907" s="16" t="n"/>
      <c r="G907" s="17" t="inlineStr">
        <is>
          <t>16_100332900</t>
        </is>
      </c>
      <c r="H907" s="636" t="n"/>
      <c r="I907" s="17" t="n"/>
      <c r="J907" s="615" t="inlineStr">
        <is>
          <t>тыс.т.</t>
        </is>
      </c>
    </row>
    <row r="908" ht="20.1" customHeight="1" s="904">
      <c r="B908" s="909" t="inlineStr">
        <is>
          <t>2.3</t>
        </is>
      </c>
      <c r="C908" s="908" t="inlineStr">
        <is>
          <t xml:space="preserve">ШФЛУ валовая </t>
        </is>
      </c>
      <c r="D908" s="15" t="n"/>
      <c r="E908" s="15" t="n"/>
      <c r="F908" s="16" t="n"/>
      <c r="G908" s="17" t="inlineStr">
        <is>
          <t>16_100332901</t>
        </is>
      </c>
      <c r="H908" s="636" t="n"/>
      <c r="I908" s="17" t="n"/>
      <c r="J908" s="578" t="inlineStr">
        <is>
          <t>тыс.т.</t>
        </is>
      </c>
    </row>
    <row r="909" ht="20.1" customHeight="1" s="904">
      <c r="D909" s="15" t="n"/>
      <c r="E909" s="15" t="n"/>
      <c r="F909" s="16" t="n"/>
      <c r="G909" s="17" t="inlineStr">
        <is>
          <t>16_100336342</t>
        </is>
      </c>
      <c r="H909" s="636" t="n"/>
      <c r="I909" s="17" t="n"/>
      <c r="J909" s="549" t="inlineStr">
        <is>
          <t>млн куб.м</t>
        </is>
      </c>
    </row>
    <row r="910" ht="20.1" customHeight="1" s="904">
      <c r="B910" s="909" t="n"/>
      <c r="C910" s="903" t="inlineStr">
        <is>
          <t>в т.ч. из НГК</t>
        </is>
      </c>
      <c r="D910" s="15" t="n"/>
      <c r="E910" s="15" t="n"/>
      <c r="F910" s="16" t="n"/>
      <c r="G910" s="17" t="inlineStr">
        <is>
          <t>16_100336343</t>
        </is>
      </c>
      <c r="H910" s="636" t="n"/>
      <c r="I910" s="17" t="n"/>
      <c r="J910" s="549" t="inlineStr">
        <is>
          <t>тыс.т.</t>
        </is>
      </c>
    </row>
    <row r="911" ht="20.1" customHeight="1" s="904">
      <c r="B911" s="909" t="n"/>
      <c r="D911" s="15" t="n"/>
      <c r="E911" s="15" t="n"/>
      <c r="F911" s="16" t="n"/>
      <c r="G911" s="17" t="inlineStr">
        <is>
          <t>16_100336344</t>
        </is>
      </c>
      <c r="H911" s="636" t="n"/>
      <c r="I911" s="17" t="n"/>
      <c r="J911" s="549" t="inlineStr">
        <is>
          <t>млн куб.м</t>
        </is>
      </c>
    </row>
    <row r="912" ht="20.1" customHeight="1" s="904">
      <c r="B912" s="909" t="n"/>
      <c r="C912" s="903" t="inlineStr">
        <is>
          <t>в т.ч. из ПНГ</t>
        </is>
      </c>
      <c r="D912" s="15" t="n"/>
      <c r="E912" s="15" t="n"/>
      <c r="F912" s="16" t="n"/>
      <c r="G912" s="17" t="inlineStr">
        <is>
          <t>16_100336345</t>
        </is>
      </c>
      <c r="H912" s="636" t="n"/>
      <c r="I912" s="17" t="n"/>
      <c r="J912" s="549" t="inlineStr">
        <is>
          <t>тыс.т.</t>
        </is>
      </c>
    </row>
    <row r="913" ht="20.1" customHeight="1" s="904">
      <c r="B913" s="909" t="n"/>
      <c r="D913" s="15" t="n"/>
      <c r="E913" s="15" t="n"/>
      <c r="F913" s="16" t="n"/>
      <c r="G913" s="17" t="inlineStr">
        <is>
          <t>16_100336346</t>
        </is>
      </c>
      <c r="H913" s="636" t="n"/>
      <c r="I913" s="17" t="n"/>
      <c r="J913" s="549" t="inlineStr">
        <is>
          <t>млн куб.м</t>
        </is>
      </c>
    </row>
    <row r="914" ht="20.1" customHeight="1" s="904">
      <c r="B914" s="909" t="n"/>
      <c r="C914" s="903" t="inlineStr">
        <is>
          <t>в т.ч из сырья ПАО "Газпром нефть" (покупка газа)</t>
        </is>
      </c>
      <c r="D914" s="15" t="n"/>
      <c r="E914" s="15" t="n"/>
      <c r="F914" s="16" t="n"/>
      <c r="G914" s="17" t="inlineStr">
        <is>
          <t>16_100332997</t>
        </is>
      </c>
      <c r="H914" s="636" t="n"/>
      <c r="I914" s="17" t="n"/>
      <c r="J914" s="549" t="inlineStr">
        <is>
          <t>тыс.т.</t>
        </is>
      </c>
    </row>
    <row r="915" ht="20.1" customHeight="1" s="904">
      <c r="B915" s="909" t="n"/>
      <c r="D915" s="15" t="n"/>
      <c r="E915" s="15" t="n"/>
      <c r="F915" s="16" t="n"/>
      <c r="G915" s="17" t="inlineStr">
        <is>
          <t>16_100336348</t>
        </is>
      </c>
      <c r="H915" s="636" t="n"/>
      <c r="I915" s="17" t="n"/>
      <c r="J915" s="549" t="inlineStr">
        <is>
          <t>млн куб.м</t>
        </is>
      </c>
    </row>
    <row r="916" ht="20.1" customHeight="1" s="904">
      <c r="B916" s="909" t="n"/>
      <c r="C916" s="903" t="inlineStr">
        <is>
          <t>в т.ч. из сырья ПАО "Газпром нефть" (переработка газа)</t>
        </is>
      </c>
      <c r="D916" s="15" t="n"/>
      <c r="E916" s="15" t="n"/>
      <c r="F916" s="16" t="n"/>
      <c r="G916" s="17" t="inlineStr">
        <is>
          <t>16_100332902</t>
        </is>
      </c>
      <c r="H916" s="636" t="n"/>
      <c r="I916" s="17" t="n"/>
      <c r="J916" s="549" t="inlineStr">
        <is>
          <t>тыс.т.</t>
        </is>
      </c>
    </row>
    <row r="917" ht="20.1" customHeight="1" s="904">
      <c r="B917" s="909" t="n"/>
      <c r="D917" s="15" t="n"/>
      <c r="E917" s="15" t="n"/>
      <c r="F917" s="16" t="n"/>
      <c r="G917" s="17" t="inlineStr">
        <is>
          <t>16_100336347</t>
        </is>
      </c>
      <c r="H917" s="636" t="n"/>
      <c r="I917" s="17" t="n"/>
      <c r="J917" s="615" t="inlineStr">
        <is>
          <t>млн куб.м</t>
        </is>
      </c>
    </row>
    <row r="918" ht="20.1" customHeight="1" s="904">
      <c r="B918" s="909" t="inlineStr">
        <is>
          <t>2.4</t>
        </is>
      </c>
      <c r="C918" s="908" t="inlineStr">
        <is>
          <t>ШФЛУ, товарная в газопровод 
(собст. АО "Газпром добыча Томск")</t>
        </is>
      </c>
      <c r="D918" s="15" t="n"/>
      <c r="E918" s="15" t="n"/>
      <c r="F918" s="16" t="n"/>
      <c r="G918" s="17" t="inlineStr">
        <is>
          <t>16_100332904</t>
        </is>
      </c>
      <c r="H918" s="636" t="n"/>
      <c r="I918" s="17" t="n"/>
      <c r="J918" s="578" t="inlineStr">
        <is>
          <t>тыс.т.</t>
        </is>
      </c>
    </row>
    <row r="919" ht="20.1" customHeight="1" s="904">
      <c r="D919" s="15" t="n"/>
      <c r="E919" s="15" t="n"/>
      <c r="F919" s="16" t="n"/>
      <c r="G919" s="17" t="inlineStr">
        <is>
          <t>16_100332905</t>
        </is>
      </c>
      <c r="H919" s="636" t="n"/>
      <c r="I919" s="17" t="n"/>
      <c r="J919" s="549" t="inlineStr">
        <is>
          <t>млн куб.м</t>
        </is>
      </c>
    </row>
    <row r="920" ht="20.1" customHeight="1" s="904">
      <c r="B920" s="909" t="n"/>
      <c r="C920" s="903" t="inlineStr">
        <is>
          <t>в т.ч. из НГК</t>
        </is>
      </c>
      <c r="D920" s="15" t="n"/>
      <c r="E920" s="15" t="n"/>
      <c r="F920" s="16" t="n"/>
      <c r="G920" s="17" t="inlineStr">
        <is>
          <t>16_100336349</t>
        </is>
      </c>
      <c r="H920" s="636" t="n"/>
      <c r="I920" s="17" t="n"/>
      <c r="J920" s="549" t="inlineStr">
        <is>
          <t>тыс.т.</t>
        </is>
      </c>
    </row>
    <row r="921" ht="20.1" customHeight="1" s="904">
      <c r="B921" s="909" t="n"/>
      <c r="D921" s="15" t="n"/>
      <c r="E921" s="15" t="n"/>
      <c r="F921" s="16" t="n"/>
      <c r="G921" s="17" t="inlineStr">
        <is>
          <t>16_100336350</t>
        </is>
      </c>
      <c r="H921" s="636" t="n"/>
      <c r="I921" s="17" t="n"/>
      <c r="J921" s="549" t="inlineStr">
        <is>
          <t>млн куб.м</t>
        </is>
      </c>
    </row>
    <row r="922" ht="20.1" customHeight="1" s="904">
      <c r="B922" s="909" t="n"/>
      <c r="C922" s="903" t="inlineStr">
        <is>
          <t>в т.ч. из ПНГ</t>
        </is>
      </c>
      <c r="D922" s="15" t="n"/>
      <c r="E922" s="15" t="n"/>
      <c r="F922" s="16" t="n"/>
      <c r="G922" s="17" t="inlineStr">
        <is>
          <t>16_100336351</t>
        </is>
      </c>
      <c r="H922" s="636" t="n"/>
      <c r="I922" s="17" t="n"/>
      <c r="J922" s="549" t="inlineStr">
        <is>
          <t>тыс.т.</t>
        </is>
      </c>
    </row>
    <row r="923" ht="20.1" customHeight="1" s="904">
      <c r="B923" s="909" t="n"/>
      <c r="D923" s="15" t="n"/>
      <c r="E923" s="15" t="n"/>
      <c r="F923" s="16" t="n"/>
      <c r="G923" s="17" t="inlineStr">
        <is>
          <t>16_100336352</t>
        </is>
      </c>
      <c r="H923" s="636" t="n"/>
      <c r="I923" s="17" t="n"/>
      <c r="J923" s="549" t="inlineStr">
        <is>
          <t>млн куб.м</t>
        </is>
      </c>
    </row>
    <row r="924" ht="20.1" customHeight="1" s="904">
      <c r="B924" s="909" t="n"/>
      <c r="C924" s="903" t="inlineStr">
        <is>
          <t>в т.ч из сырья ПАО "Газпром нефть" (покупка газа)</t>
        </is>
      </c>
      <c r="D924" s="15" t="n"/>
      <c r="E924" s="15" t="n"/>
      <c r="F924" s="16" t="n"/>
      <c r="G924" s="17" t="inlineStr">
        <is>
          <t>16_100332999</t>
        </is>
      </c>
      <c r="H924" s="636" t="n"/>
      <c r="I924" s="17" t="n"/>
      <c r="J924" s="549" t="inlineStr">
        <is>
          <t>тыс.т.</t>
        </is>
      </c>
    </row>
    <row r="925" ht="20.1" customHeight="1" s="904">
      <c r="B925" s="909" t="n"/>
      <c r="D925" s="15" t="n"/>
      <c r="E925" s="15" t="n"/>
      <c r="F925" s="16" t="n"/>
      <c r="G925" s="17" t="inlineStr">
        <is>
          <t>16_100333000</t>
        </is>
      </c>
      <c r="H925" s="636" t="n"/>
      <c r="I925" s="17" t="n"/>
      <c r="J925" s="549" t="inlineStr">
        <is>
          <t>млн куб.м</t>
        </is>
      </c>
    </row>
    <row r="926" ht="20.1" customHeight="1" s="904">
      <c r="B926" s="909" t="n"/>
      <c r="C926" s="903" t="inlineStr">
        <is>
          <t>в т.ч. из сырья ПАО "Газпром нефть" (переработка газа)</t>
        </is>
      </c>
      <c r="D926" s="15" t="n"/>
      <c r="E926" s="15" t="n"/>
      <c r="F926" s="16" t="n"/>
      <c r="G926" s="17" t="inlineStr">
        <is>
          <t>16_100332934</t>
        </is>
      </c>
      <c r="H926" s="636" t="n"/>
      <c r="I926" s="17" t="n"/>
      <c r="J926" s="549" t="inlineStr">
        <is>
          <t>тыс.т.</t>
        </is>
      </c>
    </row>
    <row r="927" ht="42.75" customHeight="1" s="904">
      <c r="B927" s="909" t="n"/>
      <c r="D927" s="15" t="n"/>
      <c r="E927" s="15" t="n"/>
      <c r="F927" s="16" t="n"/>
      <c r="G927" s="17" t="inlineStr">
        <is>
          <t>16_100332935</t>
        </is>
      </c>
      <c r="H927" s="636" t="n"/>
      <c r="I927" s="17" t="n"/>
      <c r="J927" s="615" t="inlineStr">
        <is>
          <t>млн куб.м</t>
        </is>
      </c>
    </row>
    <row r="928" ht="39" customHeight="1" s="904">
      <c r="B928" s="909" t="inlineStr">
        <is>
          <t>2.5</t>
        </is>
      </c>
      <c r="C928" s="908" t="inlineStr">
        <is>
          <t>Расход ШФЛУ на СТН (собст. АО "Газпром добыча Томск")</t>
        </is>
      </c>
      <c r="D928" s="15" t="n"/>
      <c r="E928" s="15" t="n"/>
      <c r="F928" s="16" t="n"/>
      <c r="G928" s="17" t="inlineStr">
        <is>
          <t>16_100336353</t>
        </is>
      </c>
      <c r="H928" s="636" t="n"/>
      <c r="I928" s="17" t="n"/>
      <c r="J928" s="615" t="inlineStr">
        <is>
          <t>тыс.т.</t>
        </is>
      </c>
    </row>
    <row r="929" ht="35.1" customHeight="1" s="904">
      <c r="B929" s="909" t="inlineStr">
        <is>
          <t>2.6</t>
        </is>
      </c>
      <c r="C929" s="908" t="inlineStr">
        <is>
          <t>Газы углеводородные сжиженные (СПБТ) 
(собст. АО "Газпром добыча Томск")</t>
        </is>
      </c>
      <c r="D929" s="15" t="n"/>
      <c r="E929" s="15" t="n"/>
      <c r="F929" s="16" t="n"/>
      <c r="G929" s="17" t="inlineStr">
        <is>
          <t>16_100330748</t>
        </is>
      </c>
      <c r="H929" s="636" t="n"/>
      <c r="I929" s="17" t="n"/>
      <c r="J929" s="549" t="inlineStr">
        <is>
          <t>тыс.т.</t>
        </is>
      </c>
    </row>
    <row r="930" ht="20.1" customHeight="1" s="904">
      <c r="B930" s="909" t="n"/>
      <c r="C930" s="903" t="inlineStr">
        <is>
          <t>в т.ч. из НГК</t>
        </is>
      </c>
      <c r="D930" s="15" t="n"/>
      <c r="E930" s="15" t="n"/>
      <c r="F930" s="16" t="n"/>
      <c r="G930" s="17" t="inlineStr">
        <is>
          <t>16_100336354</t>
        </is>
      </c>
      <c r="H930" s="636" t="n"/>
      <c r="I930" s="17" t="n"/>
      <c r="J930" s="549" t="inlineStr">
        <is>
          <t>тыс.т.</t>
        </is>
      </c>
    </row>
    <row r="931" ht="20.1" customHeight="1" s="904">
      <c r="B931" s="909" t="n"/>
      <c r="C931" s="903" t="inlineStr">
        <is>
          <t>в т.ч. из ПНГ</t>
        </is>
      </c>
      <c r="D931" s="15" t="n"/>
      <c r="E931" s="15" t="n"/>
      <c r="F931" s="16" t="n"/>
      <c r="G931" s="17" t="inlineStr">
        <is>
          <t>16_100336355</t>
        </is>
      </c>
      <c r="H931" s="636" t="n"/>
      <c r="I931" s="17" t="n"/>
      <c r="J931" s="549" t="inlineStr">
        <is>
          <t>тыс.т.</t>
        </is>
      </c>
    </row>
    <row r="932" ht="20.1" customHeight="1" s="904">
      <c r="B932" s="909" t="n"/>
      <c r="C932" s="903" t="inlineStr">
        <is>
          <t>в т.ч. из сырья ПАО "Газпром нефть" (покупка газа)</t>
        </is>
      </c>
      <c r="D932" s="15" t="n"/>
      <c r="E932" s="15" t="n"/>
      <c r="F932" s="16" t="n"/>
      <c r="G932" s="17" t="inlineStr">
        <is>
          <t>16_100332998</t>
        </is>
      </c>
      <c r="H932" s="636" t="n"/>
      <c r="I932" s="17" t="n"/>
      <c r="J932" s="549" t="inlineStr">
        <is>
          <t>тыс.т.</t>
        </is>
      </c>
    </row>
    <row r="933" ht="20.1" customHeight="1" s="904">
      <c r="B933" s="909" t="n"/>
      <c r="C933" s="903" t="inlineStr">
        <is>
          <t>в т.ч. из сырья ПАО "Газпром нефть" (переработка газа)</t>
        </is>
      </c>
      <c r="D933" s="15" t="n"/>
      <c r="E933" s="15" t="n"/>
      <c r="F933" s="16" t="n"/>
      <c r="G933" s="17" t="inlineStr">
        <is>
          <t>16_100332903</t>
        </is>
      </c>
      <c r="H933" s="636" t="n"/>
      <c r="I933" s="17" t="n"/>
      <c r="J933" s="615" t="inlineStr">
        <is>
          <t>тыс.т.</t>
        </is>
      </c>
    </row>
    <row r="934" ht="20.1" customHeight="1" s="904">
      <c r="B934" s="909" t="inlineStr">
        <is>
          <t>2.7</t>
        </is>
      </c>
      <c r="C934" s="908" t="inlineStr">
        <is>
          <t>Газ деэтанизации (в газопровод)</t>
        </is>
      </c>
      <c r="D934" s="15" t="n"/>
      <c r="E934" s="15" t="n"/>
      <c r="F934" s="16" t="n"/>
      <c r="G934" s="17" t="inlineStr">
        <is>
          <t>16_100330749</t>
        </is>
      </c>
      <c r="H934" s="636" t="n"/>
      <c r="I934" s="17" t="n"/>
      <c r="J934" s="578" t="inlineStr">
        <is>
          <t>тыс.т.</t>
        </is>
      </c>
    </row>
    <row r="935" ht="20.1" customHeight="1" s="904">
      <c r="D935" s="15" t="n"/>
      <c r="E935" s="15" t="n"/>
      <c r="F935" s="16" t="n"/>
      <c r="G935" s="17" t="inlineStr">
        <is>
          <t>16_100330750</t>
        </is>
      </c>
      <c r="H935" s="636" t="n"/>
      <c r="I935" s="17" t="n"/>
      <c r="J935" s="615" t="inlineStr">
        <is>
          <t>млн куб.м</t>
        </is>
      </c>
    </row>
    <row r="936" ht="20.1" customHeight="1" s="904">
      <c r="B936" s="909" t="inlineStr">
        <is>
          <t>2.7.1</t>
        </is>
      </c>
      <c r="C936" s="907" t="inlineStr">
        <is>
          <t>собственность АО "Газпром добыча Томск"</t>
        </is>
      </c>
      <c r="D936" s="15" t="n"/>
      <c r="E936" s="15" t="n"/>
      <c r="F936" s="16" t="n"/>
      <c r="G936" s="17" t="inlineStr">
        <is>
          <t>16_100336371</t>
        </is>
      </c>
      <c r="H936" s="636" t="n"/>
      <c r="I936" s="17" t="n"/>
      <c r="J936" s="578" t="inlineStr">
        <is>
          <t>тыс.т.</t>
        </is>
      </c>
    </row>
    <row r="937" ht="20.1" customHeight="1" s="904">
      <c r="D937" s="15" t="n"/>
      <c r="E937" s="15" t="n"/>
      <c r="F937" s="16" t="n"/>
      <c r="G937" s="17" t="inlineStr">
        <is>
          <t>16_100336372</t>
        </is>
      </c>
      <c r="H937" s="636" t="n"/>
      <c r="I937" s="17" t="n"/>
      <c r="J937" s="549" t="inlineStr">
        <is>
          <t>млн куб.м</t>
        </is>
      </c>
    </row>
    <row r="938" ht="20.1" customHeight="1" s="904">
      <c r="B938" s="909" t="n"/>
      <c r="C938" s="914" t="inlineStr">
        <is>
          <t>в т.ч. из НГК</t>
        </is>
      </c>
      <c r="D938" s="15" t="n"/>
      <c r="E938" s="15" t="n"/>
      <c r="F938" s="16" t="n"/>
      <c r="G938" s="17" t="inlineStr">
        <is>
          <t>16_100336356</t>
        </is>
      </c>
      <c r="H938" s="636" t="n"/>
      <c r="I938" s="17" t="n"/>
      <c r="J938" s="549" t="inlineStr">
        <is>
          <t>тыс.т.</t>
        </is>
      </c>
    </row>
    <row r="939" ht="20.1" customHeight="1" s="904">
      <c r="B939" s="909" t="n"/>
      <c r="D939" s="15" t="n"/>
      <c r="E939" s="15" t="n"/>
      <c r="F939" s="16" t="n"/>
      <c r="G939" s="17" t="inlineStr">
        <is>
          <t>16_100336357</t>
        </is>
      </c>
      <c r="H939" s="636" t="n"/>
      <c r="I939" s="17" t="n"/>
      <c r="J939" s="549" t="inlineStr">
        <is>
          <t>млн куб.м</t>
        </is>
      </c>
    </row>
    <row r="940" ht="20.1" customHeight="1" s="904">
      <c r="B940" s="909" t="n"/>
      <c r="C940" s="914" t="inlineStr">
        <is>
          <t>в т.ч. из ПНГ</t>
        </is>
      </c>
      <c r="D940" s="15" t="n"/>
      <c r="E940" s="15" t="n"/>
      <c r="F940" s="16" t="n"/>
      <c r="G940" s="17" t="inlineStr">
        <is>
          <t>16_100336358</t>
        </is>
      </c>
      <c r="H940" s="636" t="n"/>
      <c r="I940" s="17" t="n"/>
      <c r="J940" s="549" t="inlineStr">
        <is>
          <t>тыс.т.</t>
        </is>
      </c>
    </row>
    <row r="941" ht="20.1" customHeight="1" s="904">
      <c r="B941" s="909" t="n"/>
      <c r="D941" s="15" t="n"/>
      <c r="E941" s="15" t="n"/>
      <c r="F941" s="16" t="n"/>
      <c r="G941" s="17" t="inlineStr">
        <is>
          <t>16_100336359</t>
        </is>
      </c>
      <c r="H941" s="636" t="n"/>
      <c r="I941" s="17" t="n"/>
      <c r="J941" s="615" t="inlineStr">
        <is>
          <t>млн куб.м</t>
        </is>
      </c>
    </row>
    <row r="942" ht="20.1" customHeight="1" s="904">
      <c r="B942" s="909" t="n"/>
      <c r="C942" s="914" t="inlineStr">
        <is>
          <t>в т.ч из сырья ПАО "Газпром нефть" (покупка газа)</t>
        </is>
      </c>
      <c r="D942" s="15" t="n"/>
      <c r="E942" s="15" t="n"/>
      <c r="F942" s="16" t="n"/>
      <c r="G942" s="17" t="inlineStr">
        <is>
          <t>16_100333001</t>
        </is>
      </c>
      <c r="H942" s="636" t="n"/>
      <c r="I942" s="17" t="n"/>
      <c r="J942" s="549" t="inlineStr">
        <is>
          <t>тыс.т.</t>
        </is>
      </c>
    </row>
    <row r="943" ht="20.1" customHeight="1" s="904">
      <c r="B943" s="909" t="n"/>
      <c r="D943" s="15" t="n"/>
      <c r="E943" s="15" t="n"/>
      <c r="F943" s="16" t="n"/>
      <c r="G943" s="17" t="inlineStr">
        <is>
          <t>16_100333002</t>
        </is>
      </c>
      <c r="H943" s="636" t="n"/>
      <c r="I943" s="17" t="n"/>
      <c r="J943" s="615" t="inlineStr">
        <is>
          <t>млн куб.м</t>
        </is>
      </c>
    </row>
    <row r="944" ht="20.1" customHeight="1" s="904">
      <c r="B944" s="909" t="inlineStr">
        <is>
          <t>2.7.2</t>
        </is>
      </c>
      <c r="C944" s="907" t="inlineStr">
        <is>
          <t>собственность ПАО "Газпром нефть"</t>
        </is>
      </c>
      <c r="D944" s="15" t="n"/>
      <c r="E944" s="15" t="n"/>
      <c r="F944" s="16" t="n"/>
      <c r="G944" s="17" t="inlineStr">
        <is>
          <t>16_100336373</t>
        </is>
      </c>
      <c r="H944" s="636" t="n"/>
      <c r="I944" s="17" t="n"/>
      <c r="J944" s="549" t="inlineStr">
        <is>
          <t>тыс.т.</t>
        </is>
      </c>
    </row>
    <row r="945" ht="20.1" customHeight="1" s="904">
      <c r="D945" s="15" t="n"/>
      <c r="E945" s="15" t="n"/>
      <c r="F945" s="16" t="n"/>
      <c r="G945" s="17" t="inlineStr">
        <is>
          <t>16_100336374</t>
        </is>
      </c>
      <c r="H945" s="636" t="n"/>
      <c r="I945" s="17" t="n"/>
      <c r="J945" s="549" t="inlineStr">
        <is>
          <t>млн куб.м</t>
        </is>
      </c>
    </row>
    <row r="946" ht="20.1" customHeight="1" s="904">
      <c r="B946" s="909" t="n"/>
      <c r="C946" s="914" t="inlineStr">
        <is>
          <t>в т.ч. из сырья ПАО "Газпром нефть" (переработка газа)</t>
        </is>
      </c>
      <c r="D946" s="15" t="n"/>
      <c r="E946" s="15" t="n"/>
      <c r="F946" s="16" t="n"/>
      <c r="G946" s="17" t="inlineStr">
        <is>
          <t>16_100332936</t>
        </is>
      </c>
      <c r="H946" s="636" t="n"/>
      <c r="I946" s="17" t="n"/>
      <c r="J946" s="549" t="inlineStr">
        <is>
          <t>тыс.т.</t>
        </is>
      </c>
    </row>
    <row r="947" ht="20.1" customHeight="1" s="904">
      <c r="B947" s="909" t="n"/>
      <c r="D947" s="15" t="n"/>
      <c r="E947" s="15" t="n"/>
      <c r="F947" s="16" t="n"/>
      <c r="G947" s="17" t="inlineStr">
        <is>
          <t>16_100332937</t>
        </is>
      </c>
      <c r="H947" s="636" t="n"/>
      <c r="I947" s="17" t="n"/>
      <c r="J947" s="615" t="inlineStr">
        <is>
          <t>млн куб.м</t>
        </is>
      </c>
    </row>
    <row r="948" ht="20.1" customHeight="1" s="904">
      <c r="B948" s="909" t="inlineStr">
        <is>
          <t>2.8</t>
        </is>
      </c>
      <c r="C948" s="912" t="inlineStr">
        <is>
          <t>Газ горючий природный сухой отбензиненный, всего:</t>
        </is>
      </c>
      <c r="D948" s="15" t="n"/>
      <c r="E948" s="15" t="n"/>
      <c r="F948" s="16" t="n"/>
      <c r="G948" s="17" t="inlineStr">
        <is>
          <t>16_100332342</t>
        </is>
      </c>
      <c r="H948" s="636" t="n"/>
      <c r="I948" s="17" t="n"/>
      <c r="J948" s="578" t="inlineStr">
        <is>
          <t>тыс.т.</t>
        </is>
      </c>
    </row>
    <row r="949" ht="20.1" customHeight="1" s="904">
      <c r="D949" s="15" t="n"/>
      <c r="E949" s="15" t="n"/>
      <c r="F949" s="16" t="n"/>
      <c r="G949" s="17" t="inlineStr">
        <is>
          <t>16_100330751</t>
        </is>
      </c>
      <c r="H949" s="636" t="n"/>
      <c r="I949" s="17" t="n"/>
      <c r="J949" s="24" t="inlineStr">
        <is>
          <t>млн куб.м</t>
        </is>
      </c>
    </row>
    <row r="950" ht="20.1" customHeight="1" s="904">
      <c r="B950" s="909" t="inlineStr">
        <is>
          <t>2.8.1</t>
        </is>
      </c>
      <c r="C950" s="907" t="inlineStr">
        <is>
          <t>собственность АО "Газпром добыча Томск"</t>
        </is>
      </c>
      <c r="D950" s="15" t="n"/>
      <c r="E950" s="15" t="n"/>
      <c r="F950" s="16" t="n"/>
      <c r="G950" s="17" t="inlineStr">
        <is>
          <t>16_100336375</t>
        </is>
      </c>
      <c r="H950" s="636" t="n"/>
      <c r="I950" s="17" t="n"/>
      <c r="J950" s="578" t="inlineStr">
        <is>
          <t>тыс.т.</t>
        </is>
      </c>
    </row>
    <row r="951" ht="20.1" customHeight="1" s="904">
      <c r="D951" s="15" t="n"/>
      <c r="E951" s="15" t="n"/>
      <c r="F951" s="16" t="n"/>
      <c r="G951" s="17" t="inlineStr">
        <is>
          <t>16_100336376</t>
        </is>
      </c>
      <c r="H951" s="636" t="n"/>
      <c r="I951" s="17" t="n"/>
      <c r="J951" s="549" t="inlineStr">
        <is>
          <t>млн куб.м</t>
        </is>
      </c>
    </row>
    <row r="952" ht="20.1" customHeight="1" s="904">
      <c r="B952" s="909" t="n"/>
      <c r="C952" s="903" t="inlineStr">
        <is>
          <t>в т.ч. из ПНГ</t>
        </is>
      </c>
      <c r="D952" s="15" t="n"/>
      <c r="E952" s="15" t="n"/>
      <c r="F952" s="16" t="n"/>
      <c r="G952" s="17" t="inlineStr">
        <is>
          <t>16_100336360</t>
        </is>
      </c>
      <c r="H952" s="636" t="n"/>
      <c r="I952" s="17" t="n"/>
      <c r="J952" s="549" t="inlineStr">
        <is>
          <t>тыс.т.</t>
        </is>
      </c>
    </row>
    <row r="953" ht="20.1" customHeight="1" s="904">
      <c r="B953" s="909" t="n"/>
      <c r="D953" s="15" t="n"/>
      <c r="E953" s="15" t="n"/>
      <c r="F953" s="16" t="n"/>
      <c r="G953" s="17" t="inlineStr">
        <is>
          <t>16_100336361</t>
        </is>
      </c>
      <c r="H953" s="636" t="n"/>
      <c r="I953" s="17" t="n"/>
      <c r="J953" s="549" t="inlineStr">
        <is>
          <t>млн куб.м</t>
        </is>
      </c>
    </row>
    <row r="954" ht="20.1" customHeight="1" s="904">
      <c r="B954" s="909" t="n"/>
      <c r="C954" s="903" t="inlineStr">
        <is>
          <t>в т.ч из сырья ПАО "Газпром нефть" (покупка газа)</t>
        </is>
      </c>
      <c r="D954" s="15" t="n"/>
      <c r="E954" s="15" t="n"/>
      <c r="F954" s="16" t="n"/>
      <c r="G954" s="17" t="inlineStr">
        <is>
          <t>16_100333003</t>
        </is>
      </c>
      <c r="H954" s="636" t="n"/>
      <c r="I954" s="17" t="n"/>
      <c r="J954" s="549" t="inlineStr">
        <is>
          <t>тыс.т.</t>
        </is>
      </c>
    </row>
    <row r="955" ht="20.1" customHeight="1" s="904">
      <c r="B955" s="909" t="n"/>
      <c r="D955" s="15" t="n"/>
      <c r="E955" s="15" t="n"/>
      <c r="F955" s="16" t="n"/>
      <c r="G955" s="17" t="inlineStr">
        <is>
          <t>16_100333004</t>
        </is>
      </c>
      <c r="H955" s="636" t="n"/>
      <c r="I955" s="17" t="n"/>
      <c r="J955" s="24" t="inlineStr">
        <is>
          <t>млн куб.м</t>
        </is>
      </c>
    </row>
    <row r="956" ht="20.1" customHeight="1" s="904">
      <c r="B956" s="909" t="inlineStr">
        <is>
          <t>2.8.2</t>
        </is>
      </c>
      <c r="C956" s="907" t="inlineStr">
        <is>
          <t>собственность ПАО "Газпром нефть"</t>
        </is>
      </c>
      <c r="D956" s="15" t="n"/>
      <c r="E956" s="15" t="n"/>
      <c r="F956" s="16" t="n"/>
      <c r="G956" s="17" t="inlineStr">
        <is>
          <t>16_100336377</t>
        </is>
      </c>
      <c r="H956" s="636" t="n"/>
      <c r="I956" s="17" t="n"/>
      <c r="J956" s="578" t="inlineStr">
        <is>
          <t>тыс.т.</t>
        </is>
      </c>
    </row>
    <row r="957" ht="20.1" customHeight="1" s="904">
      <c r="D957" s="15" t="n"/>
      <c r="E957" s="15" t="n"/>
      <c r="F957" s="16" t="n"/>
      <c r="G957" s="17" t="inlineStr">
        <is>
          <t>16_100336378</t>
        </is>
      </c>
      <c r="H957" s="636" t="n"/>
      <c r="I957" s="17" t="n"/>
      <c r="J957" s="549" t="inlineStr">
        <is>
          <t>млн куб.м</t>
        </is>
      </c>
    </row>
    <row r="958" ht="20.1" customHeight="1" s="904">
      <c r="B958" s="909" t="n"/>
      <c r="C958" s="903" t="inlineStr">
        <is>
          <t>в т.ч. из сырья ПАО "Газпром нефть" (переработка газа)</t>
        </is>
      </c>
      <c r="D958" s="15" t="n"/>
      <c r="E958" s="15" t="n"/>
      <c r="F958" s="16" t="n"/>
      <c r="G958" s="17" t="inlineStr">
        <is>
          <t>16_100332418</t>
        </is>
      </c>
      <c r="H958" s="636" t="n"/>
      <c r="I958" s="17" t="n"/>
      <c r="J958" s="549" t="inlineStr">
        <is>
          <t>тыс.т.</t>
        </is>
      </c>
    </row>
    <row r="959" ht="20.1" customHeight="1" s="904">
      <c r="B959" s="909" t="n"/>
      <c r="D959" s="15" t="n"/>
      <c r="E959" s="15" t="n"/>
      <c r="F959" s="16" t="n"/>
      <c r="G959" s="17" t="inlineStr">
        <is>
          <t>16_100330752</t>
        </is>
      </c>
      <c r="H959" s="636" t="n"/>
      <c r="I959" s="17" t="n"/>
      <c r="J959" s="56" t="inlineStr">
        <is>
          <t>млн куб.м</t>
        </is>
      </c>
    </row>
    <row r="960" ht="20.1" customHeight="1" s="904">
      <c r="B960" s="909" t="n"/>
      <c r="C960" s="60" t="n"/>
      <c r="D960" s="15" t="n"/>
      <c r="E960" s="15" t="n"/>
      <c r="F960" s="16" t="n"/>
      <c r="G960" s="17" t="n"/>
      <c r="H960" s="636" t="n"/>
      <c r="I960" s="17" t="n"/>
      <c r="J960" s="61" t="n"/>
    </row>
    <row r="961" ht="20.1" customHeight="1" s="904">
      <c r="B961" s="62" t="n"/>
      <c r="C961" s="63" t="inlineStr">
        <is>
          <t>ООО "Газпром метанол"</t>
        </is>
      </c>
      <c r="D961" s="15" t="n"/>
      <c r="E961" s="15" t="n"/>
      <c r="F961" s="16" t="n"/>
      <c r="G961" s="17" t="n"/>
      <c r="H961" s="636" t="n"/>
      <c r="I961" s="17" t="n"/>
      <c r="J961" s="546" t="n"/>
    </row>
    <row r="962" ht="33.75" customHeight="1" s="904">
      <c r="B962" s="62" t="inlineStr">
        <is>
          <t>1.</t>
        </is>
      </c>
      <c r="C962" s="64" t="inlineStr">
        <is>
          <t>CЫРЬЕ</t>
        </is>
      </c>
      <c r="D962" s="15" t="n"/>
      <c r="E962" s="15" t="n"/>
      <c r="F962" s="16" t="n"/>
      <c r="G962" s="17" t="n"/>
      <c r="H962" s="636" t="n"/>
      <c r="I962" s="17" t="n"/>
      <c r="J962" s="546" t="n"/>
    </row>
    <row r="963" ht="35.1" customHeight="1" s="904">
      <c r="B963" s="909" t="n"/>
      <c r="C963" s="914" t="inlineStr">
        <is>
          <t>Переработка природного газа 
(собственность ООО "Газпром метанол")</t>
        </is>
      </c>
      <c r="D963" s="15" t="n"/>
      <c r="E963" s="15" t="n"/>
      <c r="F963" s="16" t="n"/>
      <c r="G963" s="17" t="inlineStr">
        <is>
          <t>16_100330740</t>
        </is>
      </c>
      <c r="H963" s="636" t="n"/>
      <c r="I963" s="17" t="n"/>
      <c r="J963" s="546" t="inlineStr">
        <is>
          <t>млн куб.м</t>
        </is>
      </c>
    </row>
    <row r="964" ht="20.1" customHeight="1" s="904">
      <c r="B964" s="62" t="inlineStr">
        <is>
          <t>2.</t>
        </is>
      </c>
      <c r="C964" s="64" t="inlineStr">
        <is>
          <t xml:space="preserve">ПРОДУКЦИЯ    </t>
        </is>
      </c>
      <c r="D964" s="15" t="n"/>
      <c r="E964" s="15" t="n"/>
      <c r="F964" s="16" t="n"/>
      <c r="G964" s="17" t="n"/>
      <c r="H964" s="636" t="n"/>
      <c r="I964" s="17" t="n"/>
      <c r="J964" s="24" t="n"/>
    </row>
    <row r="965" ht="35.1" customHeight="1" s="904">
      <c r="B965" s="909" t="n"/>
      <c r="C965" s="914" t="inlineStr">
        <is>
          <t>Метанол (собственность ООО "Газпром метанол")</t>
        </is>
      </c>
      <c r="D965" s="15" t="n"/>
      <c r="E965" s="15" t="n"/>
      <c r="F965" s="16" t="n"/>
      <c r="G965" s="17" t="inlineStr">
        <is>
          <t>16_100330753</t>
        </is>
      </c>
      <c r="H965" s="636" t="n"/>
      <c r="I965" s="17" t="n"/>
      <c r="J965" s="24" t="inlineStr">
        <is>
          <t>тыс.т.</t>
        </is>
      </c>
    </row>
    <row r="966" ht="20.1" customHeight="1" s="904">
      <c r="B966" s="909" t="n"/>
      <c r="C966" s="31" t="n"/>
      <c r="D966" s="15" t="n"/>
      <c r="E966" s="15" t="n"/>
      <c r="F966" s="16" t="n"/>
      <c r="G966" s="17" t="n"/>
      <c r="H966" s="636" t="n"/>
      <c r="I966" s="17" t="n"/>
      <c r="J966" s="65" t="n"/>
    </row>
    <row r="967" ht="20.1" customHeight="1" s="904">
      <c r="B967" s="62" t="n"/>
      <c r="C967" s="66" t="inlineStr">
        <is>
          <t>ГРУППА ГАЗПРОМ НЕФТЬ</t>
        </is>
      </c>
      <c r="D967" s="15" t="n"/>
      <c r="E967" s="15" t="n"/>
      <c r="F967" s="16" t="n"/>
      <c r="G967" s="17" t="n"/>
      <c r="H967" s="636" t="n"/>
      <c r="I967" s="17" t="n"/>
      <c r="J967" s="24" t="n"/>
    </row>
    <row r="968" ht="20.1" customHeight="1" s="904">
      <c r="B968" s="909" t="inlineStr">
        <is>
          <t>1.</t>
        </is>
      </c>
      <c r="C968" s="9" t="inlineStr">
        <is>
          <t>CЫРЬЕ</t>
        </is>
      </c>
      <c r="D968" s="15" t="n"/>
      <c r="E968" s="15" t="n"/>
      <c r="F968" s="16" t="n"/>
      <c r="G968" s="17" t="n"/>
      <c r="H968" s="636" t="n"/>
      <c r="I968" s="17" t="n"/>
      <c r="J968" s="24" t="n"/>
    </row>
    <row r="969" ht="20.1" customHeight="1" s="904">
      <c r="B969" s="909" t="inlineStr">
        <is>
          <t>1.1</t>
        </is>
      </c>
      <c r="C969" s="64" t="inlineStr">
        <is>
          <t>Переработка сырья:</t>
        </is>
      </c>
      <c r="D969" s="15" t="n"/>
      <c r="E969" s="15" t="n"/>
      <c r="F969" s="16" t="n"/>
      <c r="G969" s="17" t="n"/>
      <c r="H969" s="636" t="n"/>
      <c r="I969" s="17" t="n"/>
      <c r="J969" s="549" t="n"/>
    </row>
    <row r="970" ht="20.1" customHeight="1" s="904">
      <c r="B970" s="909" t="n"/>
      <c r="C970" s="67" t="inlineStr">
        <is>
          <t>Омский НПЗ</t>
        </is>
      </c>
      <c r="D970" s="15" t="n"/>
      <c r="E970" s="15" t="n"/>
      <c r="F970" s="16" t="n"/>
      <c r="G970" s="17" t="inlineStr">
        <is>
          <t>18_100330758</t>
        </is>
      </c>
      <c r="H970" s="636" t="n"/>
      <c r="I970" s="17" t="n"/>
      <c r="J970" s="549" t="inlineStr">
        <is>
          <t>тыс.т.</t>
        </is>
      </c>
    </row>
    <row r="971" ht="20.1" customHeight="1" s="904">
      <c r="B971" s="909" t="n"/>
      <c r="C971" s="67" t="inlineStr">
        <is>
          <t>Московский НПЗ</t>
        </is>
      </c>
      <c r="D971" s="15" t="n"/>
      <c r="E971" s="15" t="n"/>
      <c r="F971" s="16" t="n"/>
      <c r="G971" s="17" t="inlineStr">
        <is>
          <t>18_100330759</t>
        </is>
      </c>
      <c r="H971" s="636" t="n"/>
      <c r="I971" s="17" t="n"/>
      <c r="J971" s="549" t="inlineStr">
        <is>
          <t>тыс.т.</t>
        </is>
      </c>
    </row>
    <row r="972" ht="20.1" customHeight="1" s="904">
      <c r="B972" s="909" t="n"/>
      <c r="C972" s="67" t="inlineStr">
        <is>
          <t>Славнефть-ЯНОС</t>
        </is>
      </c>
      <c r="D972" s="15" t="n"/>
      <c r="E972" s="15" t="n"/>
      <c r="F972" s="16" t="n"/>
      <c r="G972" s="17" t="inlineStr">
        <is>
          <t>18_100330760</t>
        </is>
      </c>
      <c r="H972" s="636" t="n"/>
      <c r="I972" s="17" t="n"/>
      <c r="J972" s="24" t="inlineStr">
        <is>
          <t>тыс.т.</t>
        </is>
      </c>
    </row>
    <row r="973" ht="20.1" customHeight="1" s="904">
      <c r="B973" s="909" t="inlineStr">
        <is>
          <t>1.2</t>
        </is>
      </c>
      <c r="C973" s="64" t="inlineStr">
        <is>
          <t>Переработка газа:</t>
        </is>
      </c>
      <c r="D973" s="15" t="n"/>
      <c r="E973" s="15" t="n"/>
      <c r="F973" s="16" t="n"/>
      <c r="G973" s="17" t="n"/>
      <c r="H973" s="636" t="n"/>
      <c r="I973" s="17" t="n"/>
      <c r="J973" s="549" t="n"/>
    </row>
    <row r="974" ht="20.1" customHeight="1" s="904">
      <c r="B974" s="909" t="n"/>
      <c r="C974" s="67" t="inlineStr">
        <is>
          <t>Южно-Приобский ГПЗ</t>
        </is>
      </c>
      <c r="D974" s="15" t="n"/>
      <c r="E974" s="15" t="n"/>
      <c r="F974" s="16" t="n"/>
      <c r="G974" s="17" t="inlineStr">
        <is>
          <t>18_100335374</t>
        </is>
      </c>
      <c r="H974" s="636" t="n"/>
      <c r="I974" s="17" t="n"/>
      <c r="J974" s="24" t="inlineStr">
        <is>
          <t>млн куб.м</t>
        </is>
      </c>
    </row>
    <row r="975" ht="20.1" customHeight="1" s="904">
      <c r="B975" s="909" t="inlineStr">
        <is>
          <t>2.</t>
        </is>
      </c>
      <c r="C975" s="68" t="inlineStr">
        <is>
          <t xml:space="preserve">ПРОДУКЦИЯ    </t>
        </is>
      </c>
      <c r="D975" s="15" t="n"/>
      <c r="E975" s="15" t="n"/>
      <c r="F975" s="16" t="n"/>
      <c r="G975" s="17" t="n"/>
      <c r="H975" s="636" t="n"/>
      <c r="I975" s="17" t="n"/>
      <c r="J975" s="549" t="n"/>
    </row>
    <row r="976" ht="20.1" customHeight="1" s="904">
      <c r="B976" s="909" t="n"/>
      <c r="C976" s="67" t="inlineStr">
        <is>
          <t>Омский НПЗ</t>
        </is>
      </c>
      <c r="D976" s="15" t="n"/>
      <c r="E976" s="15" t="n"/>
      <c r="F976" s="16" t="n"/>
      <c r="G976" s="17" t="inlineStr">
        <is>
          <t>18_100330761</t>
        </is>
      </c>
      <c r="H976" s="636" t="n"/>
      <c r="I976" s="17" t="n"/>
      <c r="J976" s="549" t="inlineStr">
        <is>
          <t>тыс.т.</t>
        </is>
      </c>
    </row>
    <row r="977" ht="20.1" customHeight="1" s="904">
      <c r="B977" s="909" t="n"/>
      <c r="C977" s="67" t="inlineStr">
        <is>
          <t>Московский НПЗ</t>
        </is>
      </c>
      <c r="D977" s="15" t="n"/>
      <c r="E977" s="15" t="n"/>
      <c r="F977" s="16" t="n"/>
      <c r="G977" s="17" t="inlineStr">
        <is>
          <t>18_100330762</t>
        </is>
      </c>
      <c r="H977" s="636" t="n"/>
      <c r="I977" s="17" t="n"/>
      <c r="J977" s="549" t="inlineStr">
        <is>
          <t>тыс.т.</t>
        </is>
      </c>
    </row>
    <row r="978" ht="20.1" customHeight="1" s="904">
      <c r="B978" s="909" t="n"/>
      <c r="C978" s="67" t="inlineStr">
        <is>
          <t>Славнефть-ЯНОС</t>
        </is>
      </c>
      <c r="D978" s="15" t="n"/>
      <c r="E978" s="15" t="n"/>
      <c r="F978" s="16" t="n"/>
      <c r="G978" s="17" t="inlineStr">
        <is>
          <t>18_100330763</t>
        </is>
      </c>
      <c r="H978" s="636" t="n"/>
      <c r="I978" s="17" t="n"/>
      <c r="J978" s="549" t="inlineStr">
        <is>
          <t>тыс.т.</t>
        </is>
      </c>
    </row>
    <row r="979" ht="20.1" customHeight="1" s="904">
      <c r="B979" s="909" t="inlineStr">
        <is>
          <t>2.1</t>
        </is>
      </c>
      <c r="C979" s="68" t="inlineStr">
        <is>
          <t>Сухой газ:</t>
        </is>
      </c>
      <c r="D979" s="15" t="n"/>
      <c r="E979" s="15" t="n"/>
      <c r="F979" s="16" t="n"/>
      <c r="G979" s="17" t="n"/>
      <c r="H979" s="636" t="n"/>
      <c r="I979" s="17" t="n"/>
      <c r="J979" s="549" t="n"/>
    </row>
    <row r="980" ht="20.1" customHeight="1" s="904">
      <c r="B980" s="909" t="n"/>
      <c r="C980" s="67" t="inlineStr">
        <is>
          <t>Южно-Приобский ГПЗ</t>
        </is>
      </c>
      <c r="D980" s="15" t="n"/>
      <c r="E980" s="15" t="n"/>
      <c r="F980" s="16" t="n"/>
      <c r="G980" s="17" t="inlineStr">
        <is>
          <t>18_100335379</t>
        </is>
      </c>
      <c r="H980" s="636" t="n"/>
      <c r="I980" s="17" t="n"/>
      <c r="J980" s="24" t="inlineStr">
        <is>
          <t>млн куб.м</t>
        </is>
      </c>
    </row>
    <row r="981" ht="20.1" customHeight="1" s="904">
      <c r="B981" s="909" t="inlineStr">
        <is>
          <t>2.2</t>
        </is>
      </c>
      <c r="C981" s="68" t="inlineStr">
        <is>
          <t>Широкая фракция легких углеводородов:</t>
        </is>
      </c>
      <c r="D981" s="15" t="n"/>
      <c r="E981" s="15" t="n"/>
      <c r="F981" s="16" t="n"/>
      <c r="G981" s="17" t="n"/>
      <c r="H981" s="636" t="n"/>
      <c r="I981" s="17" t="n"/>
      <c r="J981" s="549" t="n"/>
    </row>
    <row r="982" ht="20.1" customHeight="1" s="904">
      <c r="B982" s="909" t="n"/>
      <c r="C982" s="67" t="inlineStr">
        <is>
          <t>Южно-Приобский ГПЗ</t>
        </is>
      </c>
      <c r="D982" s="15" t="n"/>
      <c r="E982" s="15" t="n"/>
      <c r="F982" s="16" t="n"/>
      <c r="G982" s="17" t="inlineStr">
        <is>
          <t>18_100335381</t>
        </is>
      </c>
      <c r="H982" s="636" t="n"/>
      <c r="I982" s="17" t="n"/>
      <c r="J982" s="24" t="inlineStr">
        <is>
          <t>тыс.т.</t>
        </is>
      </c>
    </row>
    <row r="983" ht="20.1" customHeight="1" s="904">
      <c r="B983" s="909" t="inlineStr">
        <is>
          <t>2.3</t>
        </is>
      </c>
      <c r="C983" s="68" t="inlineStr">
        <is>
          <t>Бензин автомобильный:</t>
        </is>
      </c>
      <c r="D983" s="15" t="n"/>
      <c r="E983" s="15" t="n"/>
      <c r="F983" s="16" t="n"/>
      <c r="G983" s="17" t="n"/>
      <c r="H983" s="636" t="n"/>
      <c r="I983" s="17" t="n"/>
      <c r="J983" s="549" t="n"/>
    </row>
    <row r="984" ht="20.1" customHeight="1" s="904">
      <c r="B984" s="909" t="n"/>
      <c r="C984" s="67" t="inlineStr">
        <is>
          <t>Омский НПЗ</t>
        </is>
      </c>
      <c r="D984" s="15" t="n"/>
      <c r="E984" s="15" t="n"/>
      <c r="F984" s="16" t="n"/>
      <c r="G984" s="17" t="inlineStr">
        <is>
          <t>18_100330764</t>
        </is>
      </c>
      <c r="H984" s="636" t="n"/>
      <c r="I984" s="17" t="n"/>
      <c r="J984" s="549" t="inlineStr">
        <is>
          <t>тыс.т.</t>
        </is>
      </c>
    </row>
    <row r="985" ht="20.1" customHeight="1" s="904">
      <c r="B985" s="909" t="n"/>
      <c r="C985" s="67" t="inlineStr">
        <is>
          <t>Московский НПЗ</t>
        </is>
      </c>
      <c r="D985" s="15" t="n"/>
      <c r="E985" s="15" t="n"/>
      <c r="F985" s="16" t="n"/>
      <c r="G985" s="17" t="inlineStr">
        <is>
          <t>18_100330765</t>
        </is>
      </c>
      <c r="H985" s="636" t="n"/>
      <c r="I985" s="17" t="n"/>
      <c r="J985" s="549" t="inlineStr">
        <is>
          <t>тыс.т.</t>
        </is>
      </c>
    </row>
    <row r="986" ht="20.1" customHeight="1" s="904">
      <c r="B986" s="909" t="n"/>
      <c r="C986" s="67" t="inlineStr">
        <is>
          <t>Славнефть-ЯНОС</t>
        </is>
      </c>
      <c r="D986" s="15" t="n"/>
      <c r="E986" s="15" t="n"/>
      <c r="F986" s="16" t="n"/>
      <c r="G986" s="17" t="inlineStr">
        <is>
          <t>18_100330766</t>
        </is>
      </c>
      <c r="H986" s="636" t="n"/>
      <c r="I986" s="17" t="n"/>
      <c r="J986" s="24" t="inlineStr">
        <is>
          <t>тыс.т.</t>
        </is>
      </c>
    </row>
    <row r="987" ht="20.1" customHeight="1" s="904">
      <c r="B987" s="909" t="inlineStr">
        <is>
          <t>2.4</t>
        </is>
      </c>
      <c r="C987" s="68" t="inlineStr">
        <is>
          <t>Бензин технологический:</t>
        </is>
      </c>
      <c r="D987" s="15" t="n"/>
      <c r="E987" s="15" t="n"/>
      <c r="F987" s="16" t="n"/>
      <c r="G987" s="17" t="n"/>
      <c r="H987" s="636" t="n"/>
      <c r="I987" s="17" t="n"/>
      <c r="J987" s="549" t="n"/>
    </row>
    <row r="988" ht="20.1" customHeight="1" s="904">
      <c r="B988" s="909" t="n"/>
      <c r="C988" s="67" t="inlineStr">
        <is>
          <t>Омский НПЗ</t>
        </is>
      </c>
      <c r="D988" s="15" t="n"/>
      <c r="E988" s="15" t="n"/>
      <c r="F988" s="16" t="n"/>
      <c r="G988" s="17" t="inlineStr">
        <is>
          <t>18_100330768</t>
        </is>
      </c>
      <c r="H988" s="636" t="n"/>
      <c r="I988" s="17" t="n"/>
      <c r="J988" s="549" t="inlineStr">
        <is>
          <t>тыс.т.</t>
        </is>
      </c>
    </row>
    <row r="989" ht="20.1" customHeight="1" s="904">
      <c r="B989" s="909" t="n"/>
      <c r="C989" s="67" t="inlineStr">
        <is>
          <t>Московский НПЗ</t>
        </is>
      </c>
      <c r="D989" s="15" t="n"/>
      <c r="E989" s="15" t="n"/>
      <c r="F989" s="16" t="n"/>
      <c r="G989" s="17" t="inlineStr">
        <is>
          <t>18_100330769</t>
        </is>
      </c>
      <c r="H989" s="636" t="n"/>
      <c r="I989" s="17" t="n"/>
      <c r="J989" s="549" t="inlineStr">
        <is>
          <t>тыс.т.</t>
        </is>
      </c>
    </row>
    <row r="990" ht="20.1" customHeight="1" s="904">
      <c r="B990" s="909" t="n"/>
      <c r="C990" s="67" t="inlineStr">
        <is>
          <t>Славнефть-ЯНОС</t>
        </is>
      </c>
      <c r="D990" s="15" t="n"/>
      <c r="E990" s="15" t="n"/>
      <c r="F990" s="16" t="n"/>
      <c r="G990" s="17" t="inlineStr">
        <is>
          <t>18_100330770</t>
        </is>
      </c>
      <c r="H990" s="636" t="n"/>
      <c r="I990" s="17" t="n"/>
      <c r="J990" s="24" t="inlineStr">
        <is>
          <t>тыс.т.</t>
        </is>
      </c>
    </row>
    <row r="991" ht="20.1" customHeight="1" s="904">
      <c r="B991" s="909" t="inlineStr">
        <is>
          <t>2.5</t>
        </is>
      </c>
      <c r="C991" s="68" t="inlineStr">
        <is>
          <t>Дизельное топливо:</t>
        </is>
      </c>
      <c r="D991" s="15" t="n"/>
      <c r="E991" s="15" t="n"/>
      <c r="F991" s="16" t="n"/>
      <c r="G991" s="17" t="n"/>
      <c r="H991" s="636" t="n"/>
      <c r="I991" s="17" t="n"/>
      <c r="J991" s="549" t="n"/>
    </row>
    <row r="992" ht="20.1" customHeight="1" s="904">
      <c r="B992" s="909" t="n"/>
      <c r="C992" s="67" t="inlineStr">
        <is>
          <t>Омский НПЗ</t>
        </is>
      </c>
      <c r="D992" s="15" t="n"/>
      <c r="E992" s="15" t="n"/>
      <c r="F992" s="16" t="n"/>
      <c r="G992" s="17" t="inlineStr">
        <is>
          <t>18_100330771</t>
        </is>
      </c>
      <c r="H992" s="636" t="n"/>
      <c r="I992" s="17" t="n"/>
      <c r="J992" s="549" t="inlineStr">
        <is>
          <t>тыс.т.</t>
        </is>
      </c>
    </row>
    <row r="993" ht="20.1" customHeight="1" s="904">
      <c r="B993" s="909" t="n"/>
      <c r="C993" s="67" t="inlineStr">
        <is>
          <t>Московский НПЗ</t>
        </is>
      </c>
      <c r="D993" s="15" t="n"/>
      <c r="E993" s="15" t="n"/>
      <c r="F993" s="16" t="n"/>
      <c r="G993" s="17" t="inlineStr">
        <is>
          <t>18_100330772</t>
        </is>
      </c>
      <c r="H993" s="636" t="n"/>
      <c r="I993" s="17" t="n"/>
      <c r="J993" s="549" t="inlineStr">
        <is>
          <t>тыс.т.</t>
        </is>
      </c>
    </row>
    <row r="994" ht="20.1" customHeight="1" s="904">
      <c r="B994" s="909" t="n"/>
      <c r="C994" s="67" t="inlineStr">
        <is>
          <t>Славнефть-ЯНОС</t>
        </is>
      </c>
      <c r="D994" s="15" t="n"/>
      <c r="E994" s="15" t="n"/>
      <c r="F994" s="16" t="n"/>
      <c r="G994" s="17" t="inlineStr">
        <is>
          <t>18_100330773</t>
        </is>
      </c>
      <c r="H994" s="636" t="n"/>
      <c r="I994" s="17" t="n"/>
      <c r="J994" s="24" t="inlineStr">
        <is>
          <t>тыс.т.</t>
        </is>
      </c>
    </row>
    <row r="995" ht="20.1" customHeight="1" s="904">
      <c r="B995" s="909" t="inlineStr">
        <is>
          <t>2.6</t>
        </is>
      </c>
      <c r="C995" s="68" t="inlineStr">
        <is>
          <t>Мазут топочный:</t>
        </is>
      </c>
      <c r="D995" s="15" t="n"/>
      <c r="E995" s="15" t="n"/>
      <c r="F995" s="16" t="n"/>
      <c r="G995" s="17" t="n"/>
      <c r="H995" s="636" t="n"/>
      <c r="I995" s="17" t="n"/>
      <c r="J995" s="549" t="n"/>
    </row>
    <row r="996" ht="20.1" customHeight="1" s="904">
      <c r="B996" s="909" t="n"/>
      <c r="C996" s="67" t="inlineStr">
        <is>
          <t>Омский НПЗ</t>
        </is>
      </c>
      <c r="D996" s="15" t="n"/>
      <c r="E996" s="15" t="n"/>
      <c r="F996" s="16" t="n"/>
      <c r="G996" s="17" t="inlineStr">
        <is>
          <t>18_100330775</t>
        </is>
      </c>
      <c r="H996" s="636" t="n"/>
      <c r="I996" s="17" t="n"/>
      <c r="J996" s="549" t="inlineStr">
        <is>
          <t>тыс.т.</t>
        </is>
      </c>
    </row>
    <row r="997" ht="20.1" customHeight="1" s="904">
      <c r="B997" s="909" t="n"/>
      <c r="C997" s="67" t="inlineStr">
        <is>
          <t>Московский НПЗ</t>
        </is>
      </c>
      <c r="D997" s="15" t="n"/>
      <c r="E997" s="15" t="n"/>
      <c r="F997" s="16" t="n"/>
      <c r="G997" s="17" t="inlineStr">
        <is>
          <t>18_100330776</t>
        </is>
      </c>
      <c r="H997" s="636" t="n"/>
      <c r="I997" s="17" t="n"/>
      <c r="J997" s="549" t="inlineStr">
        <is>
          <t>тыс.т.</t>
        </is>
      </c>
    </row>
    <row r="998" ht="20.1" customHeight="1" s="904">
      <c r="B998" s="909" t="n"/>
      <c r="C998" s="67" t="inlineStr">
        <is>
          <t>Славнефть-ЯНОС</t>
        </is>
      </c>
      <c r="D998" s="15" t="n"/>
      <c r="E998" s="15" t="n"/>
      <c r="F998" s="16" t="n"/>
      <c r="G998" s="17" t="inlineStr">
        <is>
          <t>18_100330777</t>
        </is>
      </c>
      <c r="H998" s="636" t="n"/>
      <c r="I998" s="17" t="n"/>
      <c r="J998" s="24" t="inlineStr">
        <is>
          <t>тыс.т.</t>
        </is>
      </c>
    </row>
    <row r="999" ht="20.1" customHeight="1" s="904">
      <c r="B999" s="909" t="inlineStr">
        <is>
          <t>2.7</t>
        </is>
      </c>
      <c r="C999" s="68" t="inlineStr">
        <is>
          <t>Авиакеросин:</t>
        </is>
      </c>
      <c r="D999" s="15" t="n"/>
      <c r="E999" s="15" t="n"/>
      <c r="F999" s="16" t="n"/>
      <c r="G999" s="17" t="n"/>
      <c r="H999" s="636" t="n"/>
      <c r="I999" s="17" t="n"/>
      <c r="J999" s="549" t="n"/>
    </row>
    <row r="1000" ht="20.1" customHeight="1" s="904">
      <c r="B1000" s="909" t="n"/>
      <c r="C1000" s="67" t="inlineStr">
        <is>
          <t>Омский НПЗ</t>
        </is>
      </c>
      <c r="D1000" s="15" t="n"/>
      <c r="E1000" s="15" t="n"/>
      <c r="F1000" s="16" t="n"/>
      <c r="G1000" s="17" t="inlineStr">
        <is>
          <t>18_100330779</t>
        </is>
      </c>
      <c r="H1000" s="636" t="n"/>
      <c r="I1000" s="17" t="n"/>
      <c r="J1000" s="549" t="inlineStr">
        <is>
          <t>тыс.т.</t>
        </is>
      </c>
    </row>
    <row r="1001" ht="20.1" customHeight="1" s="904">
      <c r="B1001" s="909" t="n"/>
      <c r="C1001" s="67" t="inlineStr">
        <is>
          <t>Московский НПЗ</t>
        </is>
      </c>
      <c r="D1001" s="15" t="n"/>
      <c r="E1001" s="15" t="n"/>
      <c r="F1001" s="16" t="n"/>
      <c r="G1001" s="17" t="inlineStr">
        <is>
          <t>18_100330780</t>
        </is>
      </c>
      <c r="H1001" s="636" t="n"/>
      <c r="I1001" s="17" t="n"/>
      <c r="J1001" s="549" t="inlineStr">
        <is>
          <t>тыс.т.</t>
        </is>
      </c>
    </row>
    <row r="1002" ht="20.1" customHeight="1" s="904">
      <c r="B1002" s="909" t="n"/>
      <c r="C1002" s="67" t="inlineStr">
        <is>
          <t>Славнефть-ЯНОС</t>
        </is>
      </c>
      <c r="D1002" s="15" t="n"/>
      <c r="E1002" s="15" t="n"/>
      <c r="F1002" s="16" t="n"/>
      <c r="G1002" s="17" t="inlineStr">
        <is>
          <t>18_100330781</t>
        </is>
      </c>
      <c r="H1002" s="636" t="n"/>
      <c r="I1002" s="17" t="n"/>
      <c r="J1002" s="24" t="inlineStr">
        <is>
          <t>тыс.т.</t>
        </is>
      </c>
    </row>
    <row r="1003" ht="20.1" customHeight="1" s="904">
      <c r="B1003" s="909" t="inlineStr">
        <is>
          <t>2.8</t>
        </is>
      </c>
      <c r="C1003" s="68" t="inlineStr">
        <is>
          <t>Судовое топливо:</t>
        </is>
      </c>
      <c r="D1003" s="15" t="n"/>
      <c r="E1003" s="15" t="n"/>
      <c r="F1003" s="16" t="n"/>
      <c r="G1003" s="17" t="n"/>
      <c r="H1003" s="636" t="n"/>
      <c r="I1003" s="17" t="n"/>
      <c r="J1003" s="549" t="n"/>
    </row>
    <row r="1004" ht="20.1" customHeight="1" s="904">
      <c r="B1004" s="909" t="n"/>
      <c r="C1004" s="67" t="inlineStr">
        <is>
          <t>Омский НПЗ</t>
        </is>
      </c>
      <c r="D1004" s="15" t="n"/>
      <c r="E1004" s="15" t="n"/>
      <c r="F1004" s="16" t="n"/>
      <c r="G1004" s="17" t="inlineStr">
        <is>
          <t>18_100335388</t>
        </is>
      </c>
      <c r="H1004" s="636" t="n"/>
      <c r="I1004" s="17" t="n"/>
      <c r="J1004" s="549" t="inlineStr">
        <is>
          <t>тыс.т.</t>
        </is>
      </c>
    </row>
    <row r="1005" ht="20.1" customHeight="1" s="904">
      <c r="B1005" s="909" t="n"/>
      <c r="C1005" s="67" t="inlineStr">
        <is>
          <t>Московский НПЗ</t>
        </is>
      </c>
      <c r="D1005" s="15" t="n"/>
      <c r="E1005" s="15" t="n"/>
      <c r="F1005" s="16" t="n"/>
      <c r="G1005" s="17" t="inlineStr">
        <is>
          <t>18_100335389</t>
        </is>
      </c>
      <c r="H1005" s="636" t="n"/>
      <c r="I1005" s="17" t="n"/>
      <c r="J1005" s="549" t="inlineStr">
        <is>
          <t>тыс.т.</t>
        </is>
      </c>
    </row>
    <row r="1006" ht="20.1" customHeight="1" s="904">
      <c r="B1006" s="909" t="n"/>
      <c r="C1006" s="67" t="inlineStr">
        <is>
          <t>Славнефть-ЯНОС</t>
        </is>
      </c>
      <c r="D1006" s="15" t="n"/>
      <c r="E1006" s="15" t="n"/>
      <c r="F1006" s="16" t="n"/>
      <c r="G1006" s="17" t="inlineStr">
        <is>
          <t>18_100335390</t>
        </is>
      </c>
      <c r="H1006" s="636" t="n"/>
      <c r="I1006" s="17" t="n"/>
      <c r="J1006" s="24" t="inlineStr">
        <is>
          <t>тыс.т.</t>
        </is>
      </c>
    </row>
    <row r="1007" ht="20.1" customHeight="1" s="904">
      <c r="B1007" s="909" t="inlineStr">
        <is>
          <t>2.9</t>
        </is>
      </c>
      <c r="C1007" s="68" t="inlineStr">
        <is>
          <t>Масла:</t>
        </is>
      </c>
      <c r="D1007" s="15" t="n"/>
      <c r="E1007" s="15" t="n"/>
      <c r="F1007" s="16" t="n"/>
      <c r="G1007" s="17" t="n"/>
      <c r="H1007" s="636" t="n"/>
      <c r="I1007" s="17" t="n"/>
      <c r="J1007" s="549" t="n"/>
    </row>
    <row r="1008" ht="20.1" customHeight="1" s="904">
      <c r="B1008" s="909" t="n"/>
      <c r="C1008" s="67" t="inlineStr">
        <is>
          <t>Омский НПЗ</t>
        </is>
      </c>
      <c r="D1008" s="15" t="n"/>
      <c r="E1008" s="15" t="n"/>
      <c r="F1008" s="16" t="n"/>
      <c r="G1008" s="17" t="inlineStr">
        <is>
          <t>18_100335392</t>
        </is>
      </c>
      <c r="H1008" s="636" t="n"/>
      <c r="I1008" s="17" t="n"/>
      <c r="J1008" s="549" t="inlineStr">
        <is>
          <t>тыс.т.</t>
        </is>
      </c>
    </row>
    <row r="1009" ht="20.1" customHeight="1" s="904">
      <c r="B1009" s="909" t="n"/>
      <c r="C1009" s="67" t="inlineStr">
        <is>
          <t>Славнефть-ЯНОС</t>
        </is>
      </c>
      <c r="D1009" s="15" t="n"/>
      <c r="E1009" s="15" t="n"/>
      <c r="F1009" s="16" t="n"/>
      <c r="G1009" s="17" t="inlineStr">
        <is>
          <t>18_100330783</t>
        </is>
      </c>
      <c r="H1009" s="636" t="n"/>
      <c r="I1009" s="17" t="n"/>
      <c r="J1009" s="24" t="inlineStr">
        <is>
          <t>тыс.т.</t>
        </is>
      </c>
    </row>
    <row r="1010" ht="20.1" customHeight="1" s="904">
      <c r="B1010" s="909" t="inlineStr">
        <is>
          <t>2.10</t>
        </is>
      </c>
      <c r="C1010" s="68" t="inlineStr">
        <is>
          <t>Газы углеводородные сжиженные:</t>
        </is>
      </c>
      <c r="D1010" s="15" t="n"/>
      <c r="E1010" s="15" t="n"/>
      <c r="F1010" s="16" t="n"/>
      <c r="G1010" s="17" t="n"/>
      <c r="H1010" s="636" t="n"/>
      <c r="I1010" s="17" t="n"/>
      <c r="J1010" s="549" t="n"/>
    </row>
    <row r="1011" ht="20.1" customHeight="1" s="904">
      <c r="B1011" s="909" t="n"/>
      <c r="C1011" s="67" t="inlineStr">
        <is>
          <t>Омский НПЗ</t>
        </is>
      </c>
      <c r="D1011" s="15" t="n"/>
      <c r="E1011" s="15" t="n"/>
      <c r="F1011" s="16" t="n"/>
      <c r="G1011" s="17" t="inlineStr">
        <is>
          <t>18_100330784</t>
        </is>
      </c>
      <c r="H1011" s="636" t="n"/>
      <c r="I1011" s="17" t="n"/>
      <c r="J1011" s="549" t="inlineStr">
        <is>
          <t>тыс.т.</t>
        </is>
      </c>
    </row>
    <row r="1012" ht="20.1" customHeight="1" s="904">
      <c r="B1012" s="909" t="n"/>
      <c r="C1012" s="67" t="inlineStr">
        <is>
          <t>Московский НПЗ</t>
        </is>
      </c>
      <c r="D1012" s="15" t="n"/>
      <c r="E1012" s="15" t="n"/>
      <c r="F1012" s="16" t="n"/>
      <c r="G1012" s="17" t="inlineStr">
        <is>
          <t>18_100330785</t>
        </is>
      </c>
      <c r="H1012" s="636" t="n"/>
      <c r="I1012" s="17" t="n"/>
      <c r="J1012" s="549" t="inlineStr">
        <is>
          <t>тыс.т.</t>
        </is>
      </c>
    </row>
    <row r="1013" ht="20.1" customHeight="1" s="904">
      <c r="B1013" s="909" t="n"/>
      <c r="C1013" s="67" t="inlineStr">
        <is>
          <t>Славнефть-ЯНОС</t>
        </is>
      </c>
      <c r="D1013" s="15" t="n"/>
      <c r="E1013" s="15" t="n"/>
      <c r="F1013" s="16" t="n"/>
      <c r="G1013" s="17" t="inlineStr">
        <is>
          <t>18_100330786</t>
        </is>
      </c>
      <c r="H1013" s="636" t="n"/>
      <c r="I1013" s="17" t="n"/>
      <c r="J1013" s="24" t="inlineStr">
        <is>
          <t>тыс.т.</t>
        </is>
      </c>
    </row>
    <row r="1014" ht="20.1" customHeight="1" s="904">
      <c r="B1014" s="909" t="inlineStr">
        <is>
          <t>2.11</t>
        </is>
      </c>
      <c r="C1014" s="68" t="inlineStr">
        <is>
          <t>Битумы:</t>
        </is>
      </c>
      <c r="D1014" s="15" t="n"/>
      <c r="E1014" s="15" t="n"/>
      <c r="F1014" s="16" t="n"/>
      <c r="G1014" s="17" t="n"/>
      <c r="H1014" s="636" t="n"/>
      <c r="I1014" s="17" t="n"/>
      <c r="J1014" s="549" t="n"/>
    </row>
    <row r="1015" ht="20.1" customHeight="1" s="904">
      <c r="B1015" s="909" t="n"/>
      <c r="C1015" s="67" t="inlineStr">
        <is>
          <t>Омский НПЗ</t>
        </is>
      </c>
      <c r="D1015" s="15" t="n"/>
      <c r="E1015" s="15" t="n"/>
      <c r="F1015" s="16" t="n"/>
      <c r="G1015" s="17" t="inlineStr">
        <is>
          <t>18_100335397</t>
        </is>
      </c>
      <c r="H1015" s="636" t="n"/>
      <c r="I1015" s="17" t="n"/>
      <c r="J1015" s="549" t="inlineStr">
        <is>
          <t>тыс.т.</t>
        </is>
      </c>
    </row>
    <row r="1016" ht="20.1" customHeight="1" s="904">
      <c r="B1016" s="909" t="n"/>
      <c r="C1016" s="67" t="inlineStr">
        <is>
          <t>Московский НПЗ</t>
        </is>
      </c>
      <c r="D1016" s="15" t="n"/>
      <c r="E1016" s="15" t="n"/>
      <c r="F1016" s="16" t="n"/>
      <c r="G1016" s="17" t="inlineStr">
        <is>
          <t>18_100335398</t>
        </is>
      </c>
      <c r="H1016" s="636" t="n"/>
      <c r="I1016" s="17" t="n"/>
      <c r="J1016" s="549" t="inlineStr">
        <is>
          <t>тыс.т.</t>
        </is>
      </c>
    </row>
    <row r="1017" ht="20.1" customHeight="1" s="904">
      <c r="B1017" s="909" t="n"/>
      <c r="C1017" s="67" t="inlineStr">
        <is>
          <t>Славнефть-ЯНОС</t>
        </is>
      </c>
      <c r="D1017" s="15" t="n"/>
      <c r="E1017" s="15" t="n"/>
      <c r="F1017" s="16" t="n"/>
      <c r="G1017" s="17" t="inlineStr">
        <is>
          <t>18_100335399</t>
        </is>
      </c>
      <c r="H1017" s="636" t="n"/>
      <c r="I1017" s="17" t="n"/>
      <c r="J1017" s="24" t="inlineStr">
        <is>
          <t>тыс.т.</t>
        </is>
      </c>
    </row>
    <row r="1018" ht="20.1" customHeight="1" s="904">
      <c r="B1018" s="909" t="inlineStr">
        <is>
          <t>2.12</t>
        </is>
      </c>
      <c r="C1018" s="68" t="inlineStr">
        <is>
          <t>Сера:</t>
        </is>
      </c>
      <c r="D1018" s="15" t="n"/>
      <c r="E1018" s="15" t="n"/>
      <c r="F1018" s="16" t="n"/>
      <c r="G1018" s="17" t="n"/>
      <c r="H1018" s="636" t="n"/>
      <c r="I1018" s="17" t="n"/>
      <c r="J1018" s="549" t="n"/>
    </row>
    <row r="1019" ht="20.1" customHeight="1" s="904">
      <c r="B1019" s="909" t="n"/>
      <c r="C1019" s="67" t="inlineStr">
        <is>
          <t>Омский НПЗ</t>
        </is>
      </c>
      <c r="D1019" s="15" t="n"/>
      <c r="E1019" s="15" t="n"/>
      <c r="F1019" s="16" t="n"/>
      <c r="G1019" s="17" t="inlineStr">
        <is>
          <t>18_100335402</t>
        </is>
      </c>
      <c r="H1019" s="636" t="n"/>
      <c r="I1019" s="17" t="n"/>
      <c r="J1019" s="549" t="inlineStr">
        <is>
          <t>тыс.т.</t>
        </is>
      </c>
    </row>
    <row r="1020" ht="20.1" customHeight="1" s="904">
      <c r="B1020" s="909" t="n"/>
      <c r="C1020" s="67" t="inlineStr">
        <is>
          <t>Московский НПЗ</t>
        </is>
      </c>
      <c r="D1020" s="15" t="n"/>
      <c r="E1020" s="15" t="n"/>
      <c r="F1020" s="16" t="n"/>
      <c r="G1020" s="17" t="inlineStr">
        <is>
          <t>18_100335403</t>
        </is>
      </c>
      <c r="H1020" s="636" t="n"/>
      <c r="I1020" s="17" t="n"/>
      <c r="J1020" s="549" t="inlineStr">
        <is>
          <t>тыс.т.</t>
        </is>
      </c>
    </row>
    <row r="1021" ht="20.1" customHeight="1" s="904">
      <c r="B1021" s="909" t="n"/>
      <c r="C1021" s="67" t="inlineStr">
        <is>
          <t>Славнефть-ЯНОС</t>
        </is>
      </c>
      <c r="D1021" s="15" t="n"/>
      <c r="E1021" s="15" t="n"/>
      <c r="F1021" s="16" t="n"/>
      <c r="G1021" s="17" t="inlineStr">
        <is>
          <t>18_100335404</t>
        </is>
      </c>
      <c r="H1021" s="636" t="n"/>
      <c r="I1021" s="17" t="n"/>
      <c r="J1021" s="24" t="inlineStr">
        <is>
          <t>тыс.т.</t>
        </is>
      </c>
    </row>
    <row r="1022" ht="20.1" customHeight="1" s="904">
      <c r="B1022" s="909" t="inlineStr">
        <is>
          <t>2.13</t>
        </is>
      </c>
      <c r="C1022" s="68" t="inlineStr">
        <is>
          <t>Прочие нефтепродукты:</t>
        </is>
      </c>
      <c r="D1022" s="15" t="n"/>
      <c r="E1022" s="15" t="n"/>
      <c r="F1022" s="16" t="n"/>
      <c r="G1022" s="17" t="n"/>
      <c r="H1022" s="636" t="n"/>
      <c r="I1022" s="17" t="n"/>
      <c r="J1022" s="549" t="n"/>
    </row>
    <row r="1023" ht="20.1" customHeight="1" s="904">
      <c r="B1023" s="909" t="n"/>
      <c r="C1023" s="67" t="inlineStr">
        <is>
          <t>Омский НПЗ</t>
        </is>
      </c>
      <c r="D1023" s="15" t="n"/>
      <c r="E1023" s="15" t="n"/>
      <c r="F1023" s="16" t="n"/>
      <c r="G1023" s="17" t="inlineStr">
        <is>
          <t>18_100330788</t>
        </is>
      </c>
      <c r="H1023" s="636" t="n"/>
      <c r="I1023" s="17" t="n"/>
      <c r="J1023" s="549" t="inlineStr">
        <is>
          <t>тыс.т.</t>
        </is>
      </c>
    </row>
    <row r="1024" ht="20.1" customHeight="1" s="904">
      <c r="B1024" s="909" t="n"/>
      <c r="C1024" s="67" t="inlineStr">
        <is>
          <t>Московский НПЗ</t>
        </is>
      </c>
      <c r="D1024" s="15" t="n"/>
      <c r="E1024" s="15" t="n"/>
      <c r="F1024" s="16" t="n"/>
      <c r="G1024" s="17" t="inlineStr">
        <is>
          <t>18_100330789</t>
        </is>
      </c>
      <c r="H1024" s="636" t="n"/>
      <c r="I1024" s="17" t="n"/>
      <c r="J1024" s="549" t="inlineStr">
        <is>
          <t>тыс.т.</t>
        </is>
      </c>
    </row>
    <row r="1025" ht="20.1" customHeight="1" s="904">
      <c r="B1025" s="909" t="n"/>
      <c r="C1025" s="67" t="inlineStr">
        <is>
          <t>Славнефть-ЯНОС</t>
        </is>
      </c>
      <c r="D1025" s="15" t="n"/>
      <c r="E1025" s="15" t="n"/>
      <c r="F1025" s="16" t="n"/>
      <c r="G1025" s="17" t="inlineStr">
        <is>
          <t>18_100330790</t>
        </is>
      </c>
      <c r="H1025" s="636" t="n"/>
      <c r="I1025" s="17" t="n"/>
      <c r="J1025" s="24" t="inlineStr">
        <is>
          <t>тыс.т.</t>
        </is>
      </c>
    </row>
    <row r="1026" ht="20.1" customHeight="1" s="904">
      <c r="B1026" s="909" t="n"/>
      <c r="C1026" s="31" t="n"/>
      <c r="D1026" s="15" t="n"/>
      <c r="E1026" s="15" t="n"/>
      <c r="F1026" s="16" t="n"/>
      <c r="G1026" s="17" t="n"/>
      <c r="H1026" s="636" t="n"/>
      <c r="I1026" s="17" t="n"/>
      <c r="J1026" s="24" t="n"/>
    </row>
    <row r="1027" ht="20.1" customHeight="1" s="904">
      <c r="B1027" s="909" t="n"/>
      <c r="C1027" s="69" t="inlineStr">
        <is>
          <t>Группа Газпром нефтехим Салават</t>
        </is>
      </c>
      <c r="D1027" s="15" t="n"/>
      <c r="E1027" s="15" t="n"/>
      <c r="F1027" s="16" t="n"/>
      <c r="G1027" s="17" t="n"/>
      <c r="H1027" s="636" t="n"/>
      <c r="I1027" s="17" t="n"/>
      <c r="J1027" s="70" t="n"/>
    </row>
    <row r="1028" ht="30.75" customHeight="1" s="904">
      <c r="B1028" s="909" t="n"/>
      <c r="C1028" s="71" t="inlineStr">
        <is>
          <t>НЕФТЕПЕРЕРАБАТЫВАЮЩИЙ ЗАВОД (НПЗ)</t>
        </is>
      </c>
      <c r="D1028" s="15" t="n"/>
      <c r="E1028" s="15" t="n"/>
      <c r="F1028" s="16" t="n"/>
      <c r="G1028" s="17" t="n"/>
      <c r="H1028" s="636" t="n"/>
      <c r="I1028" s="17" t="n"/>
      <c r="J1028" s="615" t="n"/>
    </row>
    <row r="1029" ht="35.1" customHeight="1" s="904">
      <c r="B1029" s="909" t="inlineStr">
        <is>
          <t>1.</t>
        </is>
      </c>
      <c r="C1029" s="58" t="inlineStr">
        <is>
          <t>ПОСТАВКА (ПОКУПКА) СЫРЬЯ  
ООО "ГАЗПРОМ НЕФТЕХИМ САЛАВАТ":</t>
        </is>
      </c>
      <c r="D1029" s="15" t="n"/>
      <c r="E1029" s="15" t="n"/>
      <c r="F1029" s="16" t="n"/>
      <c r="G1029" s="17" t="inlineStr">
        <is>
          <t>17_100335977</t>
        </is>
      </c>
      <c r="H1029" s="636" t="n"/>
      <c r="I1029" s="17" t="n"/>
      <c r="J1029" s="615" t="inlineStr">
        <is>
          <t>тыс.т.</t>
        </is>
      </c>
    </row>
    <row r="1030" ht="20.1" customHeight="1" s="904">
      <c r="B1030" s="909" t="inlineStr">
        <is>
          <t>1.1</t>
        </is>
      </c>
      <c r="C1030" s="72" t="inlineStr">
        <is>
          <t>Конденсат газовый стабильный</t>
        </is>
      </c>
      <c r="D1030" s="15" t="n"/>
      <c r="E1030" s="15" t="n"/>
      <c r="F1030" s="16" t="n"/>
      <c r="G1030" s="17" t="inlineStr">
        <is>
          <t>17_100335978</t>
        </is>
      </c>
      <c r="H1030" s="636" t="n"/>
      <c r="I1030" s="17" t="n"/>
      <c r="J1030" s="615" t="inlineStr">
        <is>
          <t>тыс.т.</t>
        </is>
      </c>
    </row>
    <row r="1031" ht="20.1" customHeight="1" s="904">
      <c r="B1031" s="909" t="n"/>
      <c r="C1031" s="72" t="inlineStr">
        <is>
          <t>ПАО "Газпром":</t>
        </is>
      </c>
      <c r="D1031" s="15" t="n"/>
      <c r="E1031" s="15" t="n"/>
      <c r="F1031" s="16" t="n"/>
      <c r="G1031" s="17" t="inlineStr">
        <is>
          <t>17_100335979</t>
        </is>
      </c>
      <c r="H1031" s="636" t="n"/>
      <c r="I1031" s="17" t="n"/>
      <c r="J1031" s="549" t="inlineStr">
        <is>
          <t>тыс.т.</t>
        </is>
      </c>
    </row>
    <row r="1032" ht="20.1" customHeight="1" s="904">
      <c r="B1032" s="909" t="n"/>
      <c r="C1032" s="73" t="inlineStr">
        <is>
          <t>Астраханский ГПЗ</t>
        </is>
      </c>
      <c r="D1032" s="15" t="n"/>
      <c r="E1032" s="15" t="n"/>
      <c r="F1032" s="16" t="n"/>
      <c r="G1032" s="17" t="inlineStr">
        <is>
          <t>17_100335980</t>
        </is>
      </c>
      <c r="H1032" s="636" t="n"/>
      <c r="I1032" s="17" t="n"/>
      <c r="J1032" s="549" t="inlineStr">
        <is>
          <t>тыс.т.</t>
        </is>
      </c>
    </row>
    <row r="1033" ht="20.1" customHeight="1" s="904">
      <c r="B1033" s="909" t="n"/>
      <c r="C1033" s="73" t="inlineStr">
        <is>
          <t>Сургутский ЗСК</t>
        </is>
      </c>
      <c r="D1033" s="15" t="n"/>
      <c r="E1033" s="15" t="n"/>
      <c r="F1033" s="16" t="n"/>
      <c r="G1033" s="17" t="inlineStr">
        <is>
          <t>17_100335981</t>
        </is>
      </c>
      <c r="H1033" s="636" t="n"/>
      <c r="I1033" s="17" t="n"/>
      <c r="J1033" s="549" t="inlineStr">
        <is>
          <t>тыс.т.</t>
        </is>
      </c>
    </row>
    <row r="1034" ht="20.1" customHeight="1" s="904">
      <c r="B1034" s="909" t="n"/>
      <c r="C1034" s="73" t="inlineStr">
        <is>
          <t>Сосногорский ГПЗ</t>
        </is>
      </c>
      <c r="D1034" s="15" t="n"/>
      <c r="E1034" s="15" t="n"/>
      <c r="F1034" s="16" t="n"/>
      <c r="G1034" s="17" t="inlineStr">
        <is>
          <t>17_100335982</t>
        </is>
      </c>
      <c r="H1034" s="636" t="n"/>
      <c r="I1034" s="17" t="n"/>
      <c r="J1034" s="549" t="inlineStr">
        <is>
          <t>тыс.т.</t>
        </is>
      </c>
    </row>
    <row r="1035" ht="20.1" customHeight="1" s="904">
      <c r="B1035" s="909" t="n"/>
      <c r="C1035" s="72" t="inlineStr">
        <is>
          <t>ООО "Газпром добыча Иркутск"</t>
        </is>
      </c>
      <c r="D1035" s="15" t="n"/>
      <c r="E1035" s="15" t="n"/>
      <c r="F1035" s="16" t="n"/>
      <c r="G1035" s="17" t="inlineStr">
        <is>
          <t>17_100335983</t>
        </is>
      </c>
      <c r="H1035" s="636" t="n"/>
      <c r="I1035" s="17" t="n"/>
      <c r="J1035" s="615" t="inlineStr">
        <is>
          <t>тыс.т.</t>
        </is>
      </c>
    </row>
    <row r="1036" ht="20.1" customHeight="1" s="904">
      <c r="B1036" s="909" t="n"/>
      <c r="C1036" s="72" t="inlineStr">
        <is>
          <t xml:space="preserve">ПАО "НОВАТЭК" </t>
        </is>
      </c>
      <c r="D1036" s="15" t="n"/>
      <c r="E1036" s="15" t="n"/>
      <c r="F1036" s="16" t="n"/>
      <c r="G1036" s="17" t="inlineStr">
        <is>
          <t>17_100335984</t>
        </is>
      </c>
      <c r="H1036" s="636" t="n"/>
      <c r="I1036" s="17" t="n"/>
      <c r="J1036" s="615" t="inlineStr">
        <is>
          <t>тыс.т.</t>
        </is>
      </c>
    </row>
    <row r="1037" ht="20.1" customHeight="1" s="904">
      <c r="B1037" s="909" t="n"/>
      <c r="C1037" s="72" t="inlineStr">
        <is>
          <t>Прочие поставщики</t>
        </is>
      </c>
      <c r="D1037" s="15" t="n"/>
      <c r="E1037" s="15" t="n"/>
      <c r="F1037" s="16" t="n"/>
      <c r="G1037" s="17" t="inlineStr">
        <is>
          <t>17_100335985</t>
        </is>
      </c>
      <c r="H1037" s="636" t="n"/>
      <c r="I1037" s="17" t="n"/>
      <c r="J1037" s="615" t="inlineStr">
        <is>
          <t>тыс.т.</t>
        </is>
      </c>
    </row>
    <row r="1038" ht="20.1" customHeight="1" s="904">
      <c r="B1038" s="909" t="inlineStr">
        <is>
          <t>1.2</t>
        </is>
      </c>
      <c r="C1038" s="72" t="inlineStr">
        <is>
          <t>Нефть</t>
        </is>
      </c>
      <c r="D1038" s="15" t="n"/>
      <c r="E1038" s="15" t="n"/>
      <c r="F1038" s="16" t="n"/>
      <c r="G1038" s="17" t="inlineStr">
        <is>
          <t>17_100335986</t>
        </is>
      </c>
      <c r="H1038" s="636" t="n"/>
      <c r="I1038" s="17" t="n"/>
      <c r="J1038" s="549" t="inlineStr">
        <is>
          <t>тыс.т.</t>
        </is>
      </c>
    </row>
    <row r="1039" ht="20.1" customHeight="1" s="904">
      <c r="B1039" s="909" t="n"/>
      <c r="C1039" s="72" t="inlineStr">
        <is>
          <t>ПАО "Газпром" (Оренбургский ГПЗ)</t>
        </is>
      </c>
      <c r="D1039" s="15" t="n"/>
      <c r="E1039" s="15" t="n"/>
      <c r="F1039" s="16" t="n"/>
      <c r="G1039" s="17" t="inlineStr">
        <is>
          <t>17_100335987</t>
        </is>
      </c>
      <c r="H1039" s="636" t="n"/>
      <c r="I1039" s="17" t="n"/>
      <c r="J1039" s="549" t="inlineStr">
        <is>
          <t>тыс.т.</t>
        </is>
      </c>
    </row>
    <row r="1040" ht="20.1" customHeight="1" s="904">
      <c r="B1040" s="909" t="n"/>
      <c r="C1040" s="72" t="inlineStr">
        <is>
          <t>ООО "Сервиснефтегаз" (Оренбургский ГПЗ)</t>
        </is>
      </c>
      <c r="D1040" s="15" t="n"/>
      <c r="E1040" s="15" t="n"/>
      <c r="F1040" s="16" t="n"/>
      <c r="G1040" s="17" t="inlineStr">
        <is>
          <t>17_100335989</t>
        </is>
      </c>
      <c r="H1040" s="636" t="n"/>
      <c r="I1040" s="17" t="n"/>
      <c r="J1040" s="549" t="inlineStr">
        <is>
          <t>тыс.т.</t>
        </is>
      </c>
    </row>
    <row r="1041" ht="20.1" customHeight="1" s="904">
      <c r="B1041" s="909" t="n"/>
      <c r="C1041" s="72" t="inlineStr">
        <is>
          <t>ТОО "КазРосГаз" (Оренбургский ГПЗ)</t>
        </is>
      </c>
      <c r="D1041" s="15" t="n"/>
      <c r="E1041" s="15" t="n"/>
      <c r="F1041" s="16" t="n"/>
      <c r="G1041" s="17" t="inlineStr">
        <is>
          <t>17_100335990</t>
        </is>
      </c>
      <c r="H1041" s="636" t="n"/>
      <c r="I1041" s="17" t="n"/>
      <c r="J1041" s="549" t="inlineStr">
        <is>
          <t>тыс.т.</t>
        </is>
      </c>
    </row>
    <row r="1042" ht="20.1" customHeight="1" s="904">
      <c r="B1042" s="909" t="n"/>
      <c r="C1042" s="72" t="inlineStr">
        <is>
          <t>ООО "ГПН-Трейд Оренбург" (Оренбургский ГПЗ)</t>
        </is>
      </c>
      <c r="D1042" s="15" t="n"/>
      <c r="E1042" s="15" t="n"/>
      <c r="F1042" s="16" t="n"/>
      <c r="G1042" s="17" t="inlineStr">
        <is>
          <t>17_100336105</t>
        </is>
      </c>
      <c r="H1042" s="636" t="n"/>
      <c r="I1042" s="17" t="n"/>
      <c r="J1042" s="549" t="inlineStr">
        <is>
          <t>тыс.т.</t>
        </is>
      </c>
    </row>
    <row r="1043" ht="20.1" customHeight="1" s="904">
      <c r="B1043" s="909" t="n"/>
      <c r="C1043" s="72" t="inlineStr">
        <is>
          <t>ООО "Газпром нефть Оренбург" Царичанская нефть</t>
        </is>
      </c>
      <c r="D1043" s="15" t="n"/>
      <c r="E1043" s="15" t="n"/>
      <c r="F1043" s="16" t="n"/>
      <c r="G1043" s="17" t="inlineStr">
        <is>
          <t>17_100335991</t>
        </is>
      </c>
      <c r="H1043" s="636" t="n"/>
      <c r="I1043" s="17" t="n"/>
      <c r="J1043" s="549" t="inlineStr">
        <is>
          <t>тыс.т.</t>
        </is>
      </c>
    </row>
    <row r="1044" ht="20.1" customHeight="1" s="904">
      <c r="B1044" s="909" t="n"/>
      <c r="C1044" s="72" t="inlineStr">
        <is>
          <t>ПАО "Газпром нефть и пр. Западно-Сибирская нефть</t>
        </is>
      </c>
      <c r="D1044" s="15" t="n"/>
      <c r="E1044" s="15" t="n"/>
      <c r="F1044" s="16" t="n"/>
      <c r="G1044" s="17" t="inlineStr">
        <is>
          <t>17_100335992</t>
        </is>
      </c>
      <c r="H1044" s="636" t="n"/>
      <c r="I1044" s="17" t="n"/>
      <c r="J1044" s="549" t="inlineStr">
        <is>
          <t>тыс.т.</t>
        </is>
      </c>
    </row>
    <row r="1045" ht="20.1" customHeight="1" s="904">
      <c r="B1045" s="909" t="n"/>
      <c r="C1045" s="72" t="inlineStr">
        <is>
          <t>Прочие поставщики</t>
        </is>
      </c>
      <c r="D1045" s="15" t="n"/>
      <c r="E1045" s="15" t="n"/>
      <c r="F1045" s="16" t="n"/>
      <c r="G1045" s="17" t="inlineStr">
        <is>
          <t>17_100335993</t>
        </is>
      </c>
      <c r="H1045" s="636" t="n"/>
      <c r="I1045" s="17" t="n"/>
      <c r="J1045" s="615" t="inlineStr">
        <is>
          <t>тыс.т.</t>
        </is>
      </c>
    </row>
    <row r="1046" ht="20.1" customHeight="1" s="904">
      <c r="B1046" s="909" t="inlineStr">
        <is>
          <t>1.3</t>
        </is>
      </c>
      <c r="C1046" s="72" t="inlineStr">
        <is>
          <t>Мазут</t>
        </is>
      </c>
      <c r="D1046" s="15" t="n"/>
      <c r="E1046" s="15" t="n"/>
      <c r="F1046" s="16" t="n"/>
      <c r="G1046" s="17" t="inlineStr">
        <is>
          <t>17_100335994</t>
        </is>
      </c>
      <c r="H1046" s="636" t="n"/>
      <c r="I1046" s="17" t="n"/>
      <c r="J1046" s="549" t="inlineStr">
        <is>
          <t>тыс.т.</t>
        </is>
      </c>
    </row>
    <row r="1047" ht="20.1" customHeight="1" s="904">
      <c r="B1047" s="909" t="n"/>
      <c r="C1047" s="73" t="inlineStr">
        <is>
          <t>ПАО "Газпром" (Астраханский ГПЗ)</t>
        </is>
      </c>
      <c r="D1047" s="15" t="n"/>
      <c r="E1047" s="15" t="n"/>
      <c r="F1047" s="16" t="n"/>
      <c r="G1047" s="17" t="inlineStr">
        <is>
          <t>17_100335995</t>
        </is>
      </c>
      <c r="H1047" s="636" t="n"/>
      <c r="I1047" s="17" t="n"/>
      <c r="J1047" s="615" t="inlineStr">
        <is>
          <t>тыс.т.</t>
        </is>
      </c>
    </row>
    <row r="1048" ht="31.5" customHeight="1" s="904">
      <c r="B1048" s="909" t="inlineStr">
        <is>
          <t>1.4</t>
        </is>
      </c>
      <c r="C1048" s="71" t="inlineStr">
        <is>
          <t>Прочее углеводородное сырье (вакуумный газойль)</t>
        </is>
      </c>
      <c r="D1048" s="15" t="n"/>
      <c r="E1048" s="15" t="n"/>
      <c r="F1048" s="16" t="n"/>
      <c r="G1048" s="17" t="inlineStr">
        <is>
          <t>17_100335997</t>
        </is>
      </c>
      <c r="H1048" s="636" t="n"/>
      <c r="I1048" s="17" t="n"/>
      <c r="J1048" s="615" t="inlineStr">
        <is>
          <t>тыс.т.</t>
        </is>
      </c>
    </row>
    <row r="1049" ht="35.1" customHeight="1" s="904">
      <c r="B1049" s="909" t="inlineStr">
        <is>
          <t>2.</t>
        </is>
      </c>
      <c r="C1049" s="58" t="inlineStr">
        <is>
          <t>ПЕРЕРАБОТКА СЫРЬЯ 
ООО "ГАЗПРОМ НЕФТЕХИМ САЛАВАТ":</t>
        </is>
      </c>
      <c r="D1049" s="15" t="n"/>
      <c r="E1049" s="15" t="n"/>
      <c r="F1049" s="16" t="n"/>
      <c r="G1049" s="17" t="inlineStr">
        <is>
          <t>17_100330802</t>
        </is>
      </c>
      <c r="H1049" s="636" t="n"/>
      <c r="I1049" s="17" t="n"/>
      <c r="J1049" s="615" t="inlineStr">
        <is>
          <t>тыс.т.</t>
        </is>
      </c>
    </row>
    <row r="1050" ht="20.1" customHeight="1" s="904">
      <c r="B1050" s="909" t="inlineStr">
        <is>
          <t>2.1</t>
        </is>
      </c>
      <c r="C1050" s="72" t="inlineStr">
        <is>
          <t>Конденсат газовый стабильный</t>
        </is>
      </c>
      <c r="D1050" s="15" t="n"/>
      <c r="E1050" s="15" t="n"/>
      <c r="F1050" s="16" t="n"/>
      <c r="G1050" s="17" t="inlineStr">
        <is>
          <t>17_100330804</t>
        </is>
      </c>
      <c r="H1050" s="636" t="n"/>
      <c r="I1050" s="17" t="n"/>
      <c r="J1050" s="549" t="inlineStr">
        <is>
          <t>тыс.т.</t>
        </is>
      </c>
    </row>
    <row r="1051" ht="20.1" customHeight="1" s="904">
      <c r="B1051" s="909" t="n"/>
      <c r="C1051" s="72" t="inlineStr">
        <is>
          <t>ПАО "Газпром":</t>
        </is>
      </c>
      <c r="D1051" s="15" t="n"/>
      <c r="E1051" s="15" t="n"/>
      <c r="F1051" s="16" t="n"/>
      <c r="G1051" s="17" t="inlineStr">
        <is>
          <t>17_100335998</t>
        </is>
      </c>
      <c r="H1051" s="636" t="n"/>
      <c r="I1051" s="17" t="n"/>
      <c r="J1051" s="549" t="inlineStr">
        <is>
          <t>тыс.т.</t>
        </is>
      </c>
    </row>
    <row r="1052" ht="20.1" customHeight="1" s="904">
      <c r="B1052" s="909" t="n"/>
      <c r="C1052" s="73" t="inlineStr">
        <is>
          <t xml:space="preserve"> Астраханский ГПЗ</t>
        </is>
      </c>
      <c r="D1052" s="15" t="n"/>
      <c r="E1052" s="15" t="n"/>
      <c r="F1052" s="16" t="n"/>
      <c r="G1052" s="17" t="inlineStr">
        <is>
          <t>17_100335999</t>
        </is>
      </c>
      <c r="H1052" s="636" t="n"/>
      <c r="I1052" s="17" t="n"/>
      <c r="J1052" s="549" t="inlineStr">
        <is>
          <t>тыс.т.</t>
        </is>
      </c>
    </row>
    <row r="1053" ht="20.1" customHeight="1" s="904">
      <c r="B1053" s="909" t="n"/>
      <c r="C1053" s="73" t="inlineStr">
        <is>
          <t xml:space="preserve"> Сургутский ЗСК</t>
        </is>
      </c>
      <c r="D1053" s="15" t="n"/>
      <c r="E1053" s="15" t="n"/>
      <c r="F1053" s="16" t="n"/>
      <c r="G1053" s="17" t="inlineStr">
        <is>
          <t>17_100336000</t>
        </is>
      </c>
      <c r="H1053" s="636" t="n"/>
      <c r="I1053" s="17" t="n"/>
      <c r="J1053" s="549" t="inlineStr">
        <is>
          <t>тыс.т.</t>
        </is>
      </c>
    </row>
    <row r="1054" ht="20.1" customHeight="1" s="904">
      <c r="B1054" s="909" t="n"/>
      <c r="C1054" s="73" t="inlineStr">
        <is>
          <t xml:space="preserve"> Сосногорский ГПЗ</t>
        </is>
      </c>
      <c r="D1054" s="15" t="n"/>
      <c r="E1054" s="15" t="n"/>
      <c r="F1054" s="16" t="n"/>
      <c r="G1054" s="17" t="inlineStr">
        <is>
          <t>17_100336001</t>
        </is>
      </c>
      <c r="H1054" s="636" t="n"/>
      <c r="I1054" s="17" t="n"/>
      <c r="J1054" s="549" t="inlineStr">
        <is>
          <t>тыс.т.</t>
        </is>
      </c>
    </row>
    <row r="1055" ht="20.1" customHeight="1" s="904">
      <c r="B1055" s="909" t="n"/>
      <c r="C1055" s="72" t="inlineStr">
        <is>
          <t>ООО "Газпром добыча Иркутск"</t>
        </is>
      </c>
      <c r="D1055" s="15" t="n"/>
      <c r="E1055" s="15" t="n"/>
      <c r="F1055" s="16" t="n"/>
      <c r="G1055" s="17" t="inlineStr">
        <is>
          <t>17_100336002</t>
        </is>
      </c>
      <c r="H1055" s="636" t="n"/>
      <c r="I1055" s="17" t="n"/>
      <c r="J1055" s="549" t="inlineStr">
        <is>
          <t>тыс.т.</t>
        </is>
      </c>
    </row>
    <row r="1056" ht="20.1" customHeight="1" s="904">
      <c r="B1056" s="909" t="n"/>
      <c r="C1056" s="72" t="inlineStr">
        <is>
          <t xml:space="preserve">ПАО "НОВАТЭК" </t>
        </is>
      </c>
      <c r="D1056" s="15" t="n"/>
      <c r="E1056" s="15" t="n"/>
      <c r="F1056" s="16" t="n"/>
      <c r="G1056" s="17" t="inlineStr">
        <is>
          <t>17_100336003</t>
        </is>
      </c>
      <c r="H1056" s="636" t="n"/>
      <c r="I1056" s="17" t="n"/>
      <c r="J1056" s="549" t="inlineStr">
        <is>
          <t>тыс.т.</t>
        </is>
      </c>
    </row>
    <row r="1057" ht="20.1" customHeight="1" s="904">
      <c r="B1057" s="909" t="n"/>
      <c r="C1057" s="72" t="inlineStr">
        <is>
          <t>Прочие поставщики</t>
        </is>
      </c>
      <c r="D1057" s="15" t="n"/>
      <c r="E1057" s="15" t="n"/>
      <c r="F1057" s="16" t="n"/>
      <c r="G1057" s="17" t="inlineStr">
        <is>
          <t>17_100336004</t>
        </is>
      </c>
      <c r="H1057" s="636" t="n"/>
      <c r="I1057" s="17" t="n"/>
      <c r="J1057" s="615" t="inlineStr">
        <is>
          <t>тыс.т.</t>
        </is>
      </c>
    </row>
    <row r="1058" ht="20.1" customHeight="1" s="904">
      <c r="B1058" s="909" t="inlineStr">
        <is>
          <t>2.2</t>
        </is>
      </c>
      <c r="C1058" s="72" t="inlineStr">
        <is>
          <t>Нефть</t>
        </is>
      </c>
      <c r="D1058" s="15" t="n"/>
      <c r="E1058" s="15" t="n"/>
      <c r="F1058" s="16" t="n"/>
      <c r="G1058" s="17" t="inlineStr">
        <is>
          <t>17_100330803</t>
        </is>
      </c>
      <c r="H1058" s="636" t="n"/>
      <c r="I1058" s="17" t="n"/>
      <c r="J1058" s="549" t="inlineStr">
        <is>
          <t>тыс.т.</t>
        </is>
      </c>
    </row>
    <row r="1059" ht="20.1" customHeight="1" s="904">
      <c r="B1059" s="909" t="n"/>
      <c r="C1059" s="72" t="inlineStr">
        <is>
          <t>ПАО "Газпром" (Оренбургский ГПЗ)</t>
        </is>
      </c>
      <c r="D1059" s="15" t="n"/>
      <c r="E1059" s="15" t="n"/>
      <c r="F1059" s="16" t="n"/>
      <c r="G1059" s="17" t="inlineStr">
        <is>
          <t>17_100336005</t>
        </is>
      </c>
      <c r="H1059" s="636" t="n"/>
      <c r="I1059" s="17" t="n"/>
      <c r="J1059" s="549" t="inlineStr">
        <is>
          <t>тыс.т.</t>
        </is>
      </c>
    </row>
    <row r="1060" ht="20.1" customHeight="1" s="904">
      <c r="B1060" s="909" t="n"/>
      <c r="C1060" s="72" t="inlineStr">
        <is>
          <t>ООО "Сервиснефтегаз" (Оренбургский ГПЗ)</t>
        </is>
      </c>
      <c r="D1060" s="15" t="n"/>
      <c r="E1060" s="15" t="n"/>
      <c r="F1060" s="16" t="n"/>
      <c r="G1060" s="17" t="inlineStr">
        <is>
          <t>17_100336007</t>
        </is>
      </c>
      <c r="H1060" s="636" t="n"/>
      <c r="I1060" s="17" t="n"/>
      <c r="J1060" s="549" t="inlineStr">
        <is>
          <t>тыс.т.</t>
        </is>
      </c>
    </row>
    <row r="1061" ht="20.1" customHeight="1" s="904">
      <c r="B1061" s="909" t="n"/>
      <c r="C1061" s="72" t="inlineStr">
        <is>
          <t>ТОО "КазРосГаз" (Оренбургский ГПЗ)</t>
        </is>
      </c>
      <c r="D1061" s="15" t="n"/>
      <c r="E1061" s="15" t="n"/>
      <c r="F1061" s="16" t="n"/>
      <c r="G1061" s="17" t="inlineStr">
        <is>
          <t>17_100336008</t>
        </is>
      </c>
      <c r="H1061" s="636" t="n"/>
      <c r="I1061" s="17" t="n"/>
      <c r="J1061" s="549" t="inlineStr">
        <is>
          <t>тыс.т.</t>
        </is>
      </c>
    </row>
    <row r="1062" ht="20.1" customHeight="1" s="904">
      <c r="B1062" s="909" t="n"/>
      <c r="C1062" s="72" t="inlineStr">
        <is>
          <t>ООО "ГПН-Трейд Оренбург" (Оренбургский ГПЗ)</t>
        </is>
      </c>
      <c r="D1062" s="15" t="n"/>
      <c r="E1062" s="15" t="n"/>
      <c r="F1062" s="16" t="n"/>
      <c r="G1062" s="17" t="inlineStr">
        <is>
          <t>17_100336106</t>
        </is>
      </c>
      <c r="H1062" s="636" t="n"/>
      <c r="I1062" s="17" t="n"/>
      <c r="J1062" s="549" t="inlineStr">
        <is>
          <t>тыс.т.</t>
        </is>
      </c>
    </row>
    <row r="1063" ht="20.1" customHeight="1" s="904">
      <c r="B1063" s="909" t="n"/>
      <c r="C1063" s="72" t="inlineStr">
        <is>
          <t>ООО "Газпром нефть Оренбург" Царичанская нефть</t>
        </is>
      </c>
      <c r="D1063" s="15" t="n"/>
      <c r="E1063" s="15" t="n"/>
      <c r="F1063" s="16" t="n"/>
      <c r="G1063" s="17" t="inlineStr">
        <is>
          <t>17_100336009</t>
        </is>
      </c>
      <c r="H1063" s="636" t="n"/>
      <c r="I1063" s="17" t="n"/>
      <c r="J1063" s="549" t="inlineStr">
        <is>
          <t>тыс.т.</t>
        </is>
      </c>
    </row>
    <row r="1064" ht="20.1" customHeight="1" s="904">
      <c r="B1064" s="909" t="n"/>
      <c r="C1064" s="72" t="inlineStr">
        <is>
          <t>ПАО "Газпром нефть и пр. Западно-Сибирская нефть</t>
        </is>
      </c>
      <c r="D1064" s="15" t="n"/>
      <c r="E1064" s="15" t="n"/>
      <c r="F1064" s="16" t="n"/>
      <c r="G1064" s="17" t="inlineStr">
        <is>
          <t>17_100336010</t>
        </is>
      </c>
      <c r="H1064" s="636" t="n"/>
      <c r="I1064" s="17" t="n"/>
      <c r="J1064" s="549" t="inlineStr">
        <is>
          <t>тыс.т.</t>
        </is>
      </c>
    </row>
    <row r="1065" ht="20.1" customHeight="1" s="904">
      <c r="B1065" s="909" t="inlineStr">
        <is>
          <t>2.3</t>
        </is>
      </c>
      <c r="C1065" s="72" t="inlineStr">
        <is>
          <t>Прочие поставщики</t>
        </is>
      </c>
      <c r="D1065" s="15" t="n"/>
      <c r="E1065" s="15" t="n"/>
      <c r="F1065" s="16" t="n"/>
      <c r="G1065" s="17" t="inlineStr">
        <is>
          <t>17_100336011</t>
        </is>
      </c>
      <c r="H1065" s="636" t="n"/>
      <c r="I1065" s="17" t="n"/>
      <c r="J1065" s="615" t="inlineStr">
        <is>
          <t>тыс.т.</t>
        </is>
      </c>
    </row>
    <row r="1066" ht="20.1" customHeight="1" s="904">
      <c r="B1066" s="909" t="inlineStr">
        <is>
          <t>2.4</t>
        </is>
      </c>
      <c r="C1066" s="72" t="inlineStr">
        <is>
          <t>Мазут</t>
        </is>
      </c>
      <c r="D1066" s="15" t="n"/>
      <c r="E1066" s="15" t="n"/>
      <c r="F1066" s="16" t="n"/>
      <c r="G1066" s="17" t="inlineStr">
        <is>
          <t>17_100330807</t>
        </is>
      </c>
      <c r="H1066" s="636" t="n"/>
      <c r="I1066" s="17" t="n"/>
      <c r="J1066" s="549" t="inlineStr">
        <is>
          <t>тыс.т.</t>
        </is>
      </c>
    </row>
    <row r="1067" ht="20.1" customHeight="1" s="904">
      <c r="B1067" s="909" t="n"/>
      <c r="C1067" s="74" t="inlineStr">
        <is>
          <t>ПАО "Газпром" (Астраханский ГПЗ)</t>
        </is>
      </c>
      <c r="D1067" s="15" t="n"/>
      <c r="E1067" s="15" t="n"/>
      <c r="F1067" s="16" t="n"/>
      <c r="G1067" s="17" t="inlineStr">
        <is>
          <t>17_100336012</t>
        </is>
      </c>
      <c r="H1067" s="636" t="n"/>
      <c r="I1067" s="17" t="n"/>
      <c r="J1067" s="549" t="inlineStr">
        <is>
          <t>тыс.т.</t>
        </is>
      </c>
    </row>
    <row r="1068" ht="20.1" customHeight="1" s="904">
      <c r="B1068" s="909" t="n"/>
      <c r="C1068" s="74" t="inlineStr">
        <is>
          <t>Астраханский ГПЗ</t>
        </is>
      </c>
      <c r="D1068" s="15" t="n"/>
      <c r="E1068" s="15" t="n"/>
      <c r="F1068" s="16" t="n"/>
      <c r="G1068" s="17" t="inlineStr">
        <is>
          <t>17_100336013</t>
        </is>
      </c>
      <c r="H1068" s="636" t="n"/>
      <c r="I1068" s="17" t="n"/>
      <c r="J1068" s="615" t="inlineStr">
        <is>
          <t>тыс.т.</t>
        </is>
      </c>
    </row>
    <row r="1069" ht="20.1" customHeight="1" s="904">
      <c r="B1069" s="909" t="inlineStr">
        <is>
          <t>2.5</t>
        </is>
      </c>
      <c r="C1069" s="71" t="inlineStr">
        <is>
          <t>Прочее углеводородное сырье (вакуумный газойль)</t>
        </is>
      </c>
      <c r="D1069" s="15" t="n"/>
      <c r="E1069" s="15" t="n"/>
      <c r="F1069" s="16" t="n"/>
      <c r="G1069" s="17" t="inlineStr">
        <is>
          <t>17_100336014</t>
        </is>
      </c>
      <c r="H1069" s="636" t="n"/>
      <c r="I1069" s="17" t="n"/>
      <c r="J1069" s="615" t="inlineStr">
        <is>
          <t>тыс.т.</t>
        </is>
      </c>
    </row>
    <row r="1070" ht="20.1" customHeight="1" s="904">
      <c r="B1070" s="909" t="inlineStr">
        <is>
          <t>2.6</t>
        </is>
      </c>
      <c r="C1070" s="75" t="inlineStr">
        <is>
          <t xml:space="preserve">Продукция (сырье) с завода "Мономер" </t>
        </is>
      </c>
      <c r="D1070" s="15" t="n"/>
      <c r="E1070" s="15" t="n"/>
      <c r="F1070" s="16" t="n"/>
      <c r="G1070" s="17" t="inlineStr">
        <is>
          <t>17_100336015</t>
        </is>
      </c>
      <c r="H1070" s="636" t="n"/>
      <c r="I1070" s="17" t="n"/>
      <c r="J1070" s="615" t="inlineStr">
        <is>
          <t>тыс.т.</t>
        </is>
      </c>
    </row>
    <row r="1071" ht="20.1" customHeight="1" s="904">
      <c r="B1071" s="909" t="inlineStr">
        <is>
          <t>2.7</t>
        </is>
      </c>
      <c r="C1071" s="71" t="inlineStr">
        <is>
          <t>Присадки (добавки)</t>
        </is>
      </c>
      <c r="D1071" s="15" t="n"/>
      <c r="E1071" s="15" t="n"/>
      <c r="F1071" s="16" t="n"/>
      <c r="G1071" s="17" t="inlineStr">
        <is>
          <t>17_100336016</t>
        </is>
      </c>
      <c r="H1071" s="636" t="n"/>
      <c r="I1071" s="17" t="n"/>
      <c r="J1071" s="549" t="inlineStr">
        <is>
          <t>тыс.т.</t>
        </is>
      </c>
    </row>
    <row r="1072" ht="20.1" customHeight="1" s="904">
      <c r="B1072" s="909" t="n"/>
      <c r="C1072" s="76" t="inlineStr">
        <is>
          <t xml:space="preserve"> в т.ч. МТБЭ</t>
        </is>
      </c>
      <c r="D1072" s="15" t="n"/>
      <c r="E1072" s="15" t="n"/>
      <c r="F1072" s="16" t="n"/>
      <c r="G1072" s="17" t="inlineStr">
        <is>
          <t>17_100330805</t>
        </is>
      </c>
      <c r="H1072" s="636" t="n"/>
      <c r="I1072" s="17" t="n"/>
      <c r="J1072" s="615" t="inlineStr">
        <is>
          <t>тыс.т.</t>
        </is>
      </c>
    </row>
    <row r="1073" ht="20.1" customHeight="1" s="904">
      <c r="B1073" s="909" t="inlineStr">
        <is>
          <t>2.8</t>
        </is>
      </c>
      <c r="C1073" s="71" t="inlineStr">
        <is>
          <t>Прочее сырье (ХОВ, природный газ)</t>
        </is>
      </c>
      <c r="D1073" s="15" t="n"/>
      <c r="E1073" s="15" t="n"/>
      <c r="F1073" s="16" t="n"/>
      <c r="G1073" s="17" t="inlineStr">
        <is>
          <t>17_100336017</t>
        </is>
      </c>
      <c r="H1073" s="636" t="n"/>
      <c r="I1073" s="17" t="n"/>
      <c r="J1073" s="615" t="inlineStr">
        <is>
          <t>тыс.т.</t>
        </is>
      </c>
    </row>
    <row r="1074" ht="20.1" customHeight="1" s="904">
      <c r="B1074" s="909" t="inlineStr">
        <is>
          <t>2.9</t>
        </is>
      </c>
      <c r="C1074" s="72" t="inlineStr">
        <is>
          <t>Продукция (сырье) со склада</t>
        </is>
      </c>
      <c r="D1074" s="15" t="n"/>
      <c r="E1074" s="15" t="n"/>
      <c r="F1074" s="16" t="n"/>
      <c r="G1074" s="17" t="inlineStr">
        <is>
          <t>17_100336018</t>
        </is>
      </c>
      <c r="H1074" s="636" t="n"/>
      <c r="I1074" s="17" t="n"/>
      <c r="J1074" s="615" t="inlineStr">
        <is>
          <t>тыс.т.</t>
        </is>
      </c>
    </row>
    <row r="1075" ht="20.1" customHeight="1" s="904">
      <c r="B1075" s="909" t="inlineStr">
        <is>
          <t>3.</t>
        </is>
      </c>
      <c r="C1075" s="58" t="inlineStr">
        <is>
          <t xml:space="preserve">ПРОДУКЦИЯ </t>
        </is>
      </c>
      <c r="D1075" s="15" t="n"/>
      <c r="E1075" s="15" t="n"/>
      <c r="F1075" s="16" t="n"/>
      <c r="G1075" s="17" t="n"/>
      <c r="H1075" s="636" t="n"/>
      <c r="I1075" s="17" t="n"/>
      <c r="J1075" s="615" t="n"/>
    </row>
    <row r="1076" ht="20.1" customHeight="1" s="904">
      <c r="B1076" s="909" t="inlineStr">
        <is>
          <t>3.1</t>
        </is>
      </c>
      <c r="C1076" s="58" t="inlineStr">
        <is>
          <t>Бензин автомобильный (товарный)</t>
        </is>
      </c>
      <c r="D1076" s="15" t="n"/>
      <c r="E1076" s="15" t="n"/>
      <c r="F1076" s="16" t="n"/>
      <c r="G1076" s="17" t="inlineStr">
        <is>
          <t>17_100330107</t>
        </is>
      </c>
      <c r="H1076" s="636" t="n"/>
      <c r="I1076" s="17" t="n"/>
      <c r="J1076" s="549" t="inlineStr">
        <is>
          <t>тыс.т.</t>
        </is>
      </c>
    </row>
    <row r="1077" ht="20.1" customHeight="1" s="904">
      <c r="B1077" s="909" t="n"/>
      <c r="C1077" s="77" t="inlineStr">
        <is>
          <t>Бензин с ОЧ 92 (К5)</t>
        </is>
      </c>
      <c r="D1077" s="15" t="n"/>
      <c r="E1077" s="15" t="n"/>
      <c r="F1077" s="16" t="n"/>
      <c r="G1077" s="17" t="inlineStr">
        <is>
          <t>17_100331906</t>
        </is>
      </c>
      <c r="H1077" s="636" t="n"/>
      <c r="I1077" s="17" t="n"/>
      <c r="J1077" s="549" t="inlineStr">
        <is>
          <t>тыс.т.</t>
        </is>
      </c>
    </row>
    <row r="1078" ht="20.1" customHeight="1" s="904">
      <c r="B1078" s="909" t="n"/>
      <c r="C1078" s="77" t="inlineStr">
        <is>
          <t>Бензин с ОЧ 95 (К5)</t>
        </is>
      </c>
      <c r="D1078" s="15" t="n"/>
      <c r="E1078" s="15" t="n"/>
      <c r="F1078" s="16" t="n"/>
      <c r="G1078" s="17" t="inlineStr">
        <is>
          <t>17_100331907</t>
        </is>
      </c>
      <c r="H1078" s="636" t="n"/>
      <c r="I1078" s="17" t="n"/>
      <c r="J1078" s="615" t="inlineStr">
        <is>
          <t>тыс.т.</t>
        </is>
      </c>
    </row>
    <row r="1079" ht="20.1" customHeight="1" s="904">
      <c r="B1079" s="909" t="inlineStr">
        <is>
          <t>3.2</t>
        </is>
      </c>
      <c r="C1079" s="58" t="inlineStr">
        <is>
          <t>Бензин на завод "Мономер"</t>
        </is>
      </c>
      <c r="D1079" s="15" t="n"/>
      <c r="E1079" s="15" t="n"/>
      <c r="F1079" s="16" t="n"/>
      <c r="G1079" s="17" t="inlineStr">
        <is>
          <t>17_100336019</t>
        </is>
      </c>
      <c r="H1079" s="636" t="n"/>
      <c r="I1079" s="17" t="n"/>
      <c r="J1079" s="615" t="inlineStr">
        <is>
          <t>тыс.т.</t>
        </is>
      </c>
    </row>
    <row r="1080" ht="20.1" customHeight="1" s="904">
      <c r="B1080" s="909" t="inlineStr">
        <is>
          <t>3.3</t>
        </is>
      </c>
      <c r="C1080" s="58" t="inlineStr">
        <is>
          <t>Дистиллят газового конденсата легкий (товарный)</t>
        </is>
      </c>
      <c r="D1080" s="15" t="n"/>
      <c r="E1080" s="15" t="n"/>
      <c r="F1080" s="16" t="n"/>
      <c r="G1080" s="17" t="inlineStr">
        <is>
          <t>17_100330815</t>
        </is>
      </c>
      <c r="H1080" s="636" t="n"/>
      <c r="I1080" s="17" t="n"/>
      <c r="J1080" s="549" t="inlineStr">
        <is>
          <t>тыс.т.</t>
        </is>
      </c>
    </row>
    <row r="1081" ht="20.1" customHeight="1" s="904">
      <c r="B1081" s="909" t="n"/>
      <c r="C1081" s="77" t="inlineStr">
        <is>
          <t>ДГКл марки А</t>
        </is>
      </c>
      <c r="D1081" s="15" t="n"/>
      <c r="E1081" s="15" t="n"/>
      <c r="F1081" s="16" t="n"/>
      <c r="G1081" s="17" t="inlineStr">
        <is>
          <t>17_100336020</t>
        </is>
      </c>
      <c r="H1081" s="636" t="n"/>
      <c r="I1081" s="17" t="n"/>
      <c r="J1081" s="549" t="inlineStr">
        <is>
          <t>тыс.т.</t>
        </is>
      </c>
    </row>
    <row r="1082" ht="20.1" customHeight="1" s="904">
      <c r="B1082" s="909" t="n"/>
      <c r="C1082" s="77" t="inlineStr">
        <is>
          <t>ДГКл марки Б</t>
        </is>
      </c>
      <c r="D1082" s="15" t="n"/>
      <c r="E1082" s="15" t="n"/>
      <c r="F1082" s="16" t="n"/>
      <c r="G1082" s="17" t="inlineStr">
        <is>
          <t>17_100336021</t>
        </is>
      </c>
      <c r="H1082" s="636" t="n"/>
      <c r="I1082" s="17" t="n"/>
      <c r="J1082" s="615" t="inlineStr">
        <is>
          <t>тыс.т.</t>
        </is>
      </c>
    </row>
    <row r="1083" ht="20.1" customHeight="1" s="904">
      <c r="B1083" s="909" t="inlineStr">
        <is>
          <t>3.4</t>
        </is>
      </c>
      <c r="C1083" s="58" t="inlineStr">
        <is>
          <t xml:space="preserve">Бензин технический (товарный) </t>
        </is>
      </c>
      <c r="D1083" s="15" t="n"/>
      <c r="E1083" s="15" t="n"/>
      <c r="F1083" s="16" t="n"/>
      <c r="G1083" s="17" t="inlineStr">
        <is>
          <t>17_100335765</t>
        </is>
      </c>
      <c r="H1083" s="636" t="n"/>
      <c r="I1083" s="17" t="n"/>
      <c r="J1083" s="615" t="inlineStr">
        <is>
          <t>тыс.т.</t>
        </is>
      </c>
    </row>
    <row r="1084" ht="20.1" customHeight="1" s="904">
      <c r="B1084" s="909" t="inlineStr">
        <is>
          <t>3.5</t>
        </is>
      </c>
      <c r="C1084" s="58" t="inlineStr">
        <is>
          <t>ШФЛУ</t>
        </is>
      </c>
      <c r="D1084" s="15" t="n"/>
      <c r="E1084" s="15" t="n"/>
      <c r="F1084" s="16" t="n"/>
      <c r="G1084" s="17" t="inlineStr">
        <is>
          <t>17_100330817</t>
        </is>
      </c>
      <c r="H1084" s="636" t="n"/>
      <c r="I1084" s="17" t="n"/>
      <c r="J1084" s="549" t="inlineStr">
        <is>
          <t>тыс.т.</t>
        </is>
      </c>
    </row>
    <row r="1085" ht="20.1" customHeight="1" s="904">
      <c r="B1085" s="909" t="n"/>
      <c r="C1085" s="77" t="inlineStr">
        <is>
          <t>в т.ч. товарная</t>
        </is>
      </c>
      <c r="D1085" s="15" t="n"/>
      <c r="E1085" s="15" t="n"/>
      <c r="F1085" s="16" t="n"/>
      <c r="G1085" s="17" t="inlineStr">
        <is>
          <t>17_100336022</t>
        </is>
      </c>
      <c r="H1085" s="636" t="n"/>
      <c r="I1085" s="17" t="n"/>
      <c r="J1085" s="549" t="inlineStr">
        <is>
          <t>тыс.т.</t>
        </is>
      </c>
    </row>
    <row r="1086" ht="20.1" customHeight="1" s="904">
      <c r="B1086" s="909" t="n"/>
      <c r="C1086" s="77" t="inlineStr">
        <is>
          <t>На завод "Мономер"</t>
        </is>
      </c>
      <c r="D1086" s="15" t="n"/>
      <c r="E1086" s="15" t="n"/>
      <c r="F1086" s="16" t="n"/>
      <c r="G1086" s="17" t="inlineStr">
        <is>
          <t>17_100336023</t>
        </is>
      </c>
      <c r="H1086" s="636" t="n"/>
      <c r="I1086" s="17" t="n"/>
      <c r="J1086" s="615" t="inlineStr">
        <is>
          <t>тыс.т.</t>
        </is>
      </c>
    </row>
    <row r="1087" ht="20.1" customHeight="1" s="904">
      <c r="B1087" s="909" t="inlineStr">
        <is>
          <t>3.6</t>
        </is>
      </c>
      <c r="C1087" s="58" t="inlineStr">
        <is>
          <t>Фракция изопентановая (товарная)</t>
        </is>
      </c>
      <c r="D1087" s="15" t="n"/>
      <c r="E1087" s="15" t="n"/>
      <c r="F1087" s="16" t="n"/>
      <c r="G1087" s="17" t="inlineStr">
        <is>
          <t>17_100330944</t>
        </is>
      </c>
      <c r="H1087" s="636" t="n"/>
      <c r="I1087" s="17" t="n"/>
      <c r="J1087" s="615" t="inlineStr">
        <is>
          <t>тыс.т.</t>
        </is>
      </c>
    </row>
    <row r="1088" ht="20.1" customHeight="1" s="904">
      <c r="B1088" s="909" t="inlineStr">
        <is>
          <t>3.7</t>
        </is>
      </c>
      <c r="C1088" s="58" t="inlineStr">
        <is>
          <t>Дизельное топливо (товарное)</t>
        </is>
      </c>
      <c r="D1088" s="15" t="n"/>
      <c r="E1088" s="15" t="n"/>
      <c r="F1088" s="16" t="n"/>
      <c r="G1088" s="17" t="inlineStr">
        <is>
          <t>17_100330123</t>
        </is>
      </c>
      <c r="H1088" s="636" t="n"/>
      <c r="I1088" s="17" t="n"/>
      <c r="J1088" s="549" t="inlineStr">
        <is>
          <t>тыс.т.</t>
        </is>
      </c>
    </row>
    <row r="1089" ht="20.1" customHeight="1" s="904">
      <c r="B1089" s="909" t="n"/>
      <c r="C1089" s="77" t="inlineStr">
        <is>
          <t>ДТ летнее</t>
        </is>
      </c>
      <c r="D1089" s="15" t="n"/>
      <c r="E1089" s="15" t="n"/>
      <c r="F1089" s="16" t="n"/>
      <c r="G1089" s="17" t="inlineStr">
        <is>
          <t>17_100330812</t>
        </is>
      </c>
      <c r="H1089" s="636" t="n"/>
      <c r="I1089" s="17" t="n"/>
      <c r="J1089" s="549" t="inlineStr">
        <is>
          <t>тыс.т.</t>
        </is>
      </c>
    </row>
    <row r="1090" ht="20.1" customHeight="1" s="904">
      <c r="B1090" s="909" t="n"/>
      <c r="C1090" s="77" t="inlineStr">
        <is>
          <t>ДТ зимнее</t>
        </is>
      </c>
      <c r="D1090" s="15" t="n"/>
      <c r="E1090" s="15" t="n"/>
      <c r="F1090" s="16" t="n"/>
      <c r="G1090" s="17" t="inlineStr">
        <is>
          <t>17_100330813</t>
        </is>
      </c>
      <c r="H1090" s="636" t="n"/>
      <c r="I1090" s="17" t="n"/>
      <c r="J1090" s="549" t="inlineStr">
        <is>
          <t>тыс.т.</t>
        </is>
      </c>
    </row>
    <row r="1091" ht="20.1" customHeight="1" s="904">
      <c r="B1091" s="909" t="n"/>
      <c r="C1091" s="77" t="inlineStr">
        <is>
          <t>ДТ арктическое</t>
        </is>
      </c>
      <c r="D1091" s="15" t="n"/>
      <c r="E1091" s="15" t="n"/>
      <c r="F1091" s="16" t="n"/>
      <c r="G1091" s="17" t="inlineStr">
        <is>
          <t>17_100330814</t>
        </is>
      </c>
      <c r="H1091" s="636" t="n"/>
      <c r="I1091" s="17" t="n"/>
      <c r="J1091" s="615" t="inlineStr">
        <is>
          <t>тыс.т.</t>
        </is>
      </c>
    </row>
    <row r="1092" ht="20.1" customHeight="1" s="904">
      <c r="B1092" s="909" t="inlineStr">
        <is>
          <t>3.8</t>
        </is>
      </c>
      <c r="C1092" s="58" t="inlineStr">
        <is>
          <t>Газойль (товарный)</t>
        </is>
      </c>
      <c r="D1092" s="15" t="n"/>
      <c r="E1092" s="15" t="n"/>
      <c r="F1092" s="16" t="n"/>
      <c r="G1092" s="17" t="inlineStr">
        <is>
          <t>17_100335767</t>
        </is>
      </c>
      <c r="H1092" s="636" t="n"/>
      <c r="I1092" s="17" t="n"/>
      <c r="J1092" s="549" t="inlineStr">
        <is>
          <t>тыс.т.</t>
        </is>
      </c>
    </row>
    <row r="1093" ht="20.1" customHeight="1" s="904">
      <c r="B1093" s="909" t="n"/>
      <c r="C1093" s="77" t="inlineStr">
        <is>
          <t>в т.ч. товарная</t>
        </is>
      </c>
      <c r="D1093" s="15" t="n"/>
      <c r="E1093" s="15" t="n"/>
      <c r="F1093" s="16" t="n"/>
      <c r="G1093" s="17" t="inlineStr">
        <is>
          <t>17_100337107</t>
        </is>
      </c>
      <c r="H1093" s="636" t="n"/>
      <c r="I1093" s="17" t="n"/>
      <c r="J1093" s="549" t="inlineStr">
        <is>
          <t>тыс.т.</t>
        </is>
      </c>
    </row>
    <row r="1094" ht="20.1" customHeight="1" s="904">
      <c r="B1094" s="909" t="n"/>
      <c r="C1094" s="77" t="inlineStr">
        <is>
          <t>На завод "Мономер"</t>
        </is>
      </c>
      <c r="D1094" s="15" t="n"/>
      <c r="E1094" s="15" t="n"/>
      <c r="F1094" s="16" t="n"/>
      <c r="G1094" s="17" t="inlineStr">
        <is>
          <t>17_100337108</t>
        </is>
      </c>
      <c r="H1094" s="636" t="n"/>
      <c r="I1094" s="17" t="n"/>
      <c r="J1094" s="615" t="inlineStr">
        <is>
          <t>тыс.т.</t>
        </is>
      </c>
    </row>
    <row r="1095" ht="20.1" customHeight="1" s="904">
      <c r="B1095" s="909" t="inlineStr">
        <is>
          <t>3.9</t>
        </is>
      </c>
      <c r="C1095" s="58" t="inlineStr">
        <is>
          <t>Топливо нефтяное АВТ</t>
        </is>
      </c>
      <c r="D1095" s="15" t="n"/>
      <c r="E1095" s="15" t="n"/>
      <c r="F1095" s="16" t="n"/>
      <c r="G1095" s="17" t="inlineStr">
        <is>
          <t>17_100330819</t>
        </is>
      </c>
      <c r="H1095" s="636" t="n"/>
      <c r="I1095" s="17" t="n"/>
      <c r="J1095" s="549" t="inlineStr">
        <is>
          <t>тыс.т.</t>
        </is>
      </c>
    </row>
    <row r="1096" ht="20.1" customHeight="1" s="904">
      <c r="B1096" s="909" t="n"/>
      <c r="C1096" s="77" t="inlineStr">
        <is>
          <t>в т.ч. товарный</t>
        </is>
      </c>
      <c r="D1096" s="15" t="n"/>
      <c r="E1096" s="15" t="n"/>
      <c r="F1096" s="16" t="n"/>
      <c r="G1096" s="17" t="inlineStr">
        <is>
          <t>17_100336024</t>
        </is>
      </c>
      <c r="H1096" s="636" t="n"/>
      <c r="I1096" s="17" t="n"/>
      <c r="J1096" s="549" t="inlineStr">
        <is>
          <t>тыс.т.</t>
        </is>
      </c>
    </row>
    <row r="1097" ht="20.1" customHeight="1" s="904">
      <c r="B1097" s="909" t="n"/>
      <c r="C1097" s="77" t="inlineStr">
        <is>
          <t>На завод "Мономер"</t>
        </is>
      </c>
      <c r="D1097" s="15" t="n"/>
      <c r="E1097" s="15" t="n"/>
      <c r="F1097" s="16" t="n"/>
      <c r="G1097" s="17" t="inlineStr">
        <is>
          <t>17_100336025</t>
        </is>
      </c>
      <c r="H1097" s="636" t="n"/>
      <c r="I1097" s="17" t="n"/>
      <c r="J1097" s="615" t="inlineStr">
        <is>
          <t>тыс.т.</t>
        </is>
      </c>
    </row>
    <row r="1098" ht="20.1" customHeight="1" s="904">
      <c r="B1098" s="909" t="inlineStr">
        <is>
          <t>3.10</t>
        </is>
      </c>
      <c r="C1098" s="58" t="inlineStr">
        <is>
          <t>Мазут топочный (товарный)</t>
        </is>
      </c>
      <c r="D1098" s="15" t="n"/>
      <c r="E1098" s="15" t="n"/>
      <c r="F1098" s="16" t="n"/>
      <c r="G1098" s="17" t="inlineStr">
        <is>
          <t>17_100330822</t>
        </is>
      </c>
      <c r="H1098" s="636" t="n"/>
      <c r="I1098" s="17" t="n"/>
      <c r="J1098" s="615" t="inlineStr">
        <is>
          <t>тыс.т.</t>
        </is>
      </c>
    </row>
    <row r="1099" ht="20.1" customHeight="1" s="904">
      <c r="B1099" s="909" t="inlineStr">
        <is>
          <t>3.11</t>
        </is>
      </c>
      <c r="C1099" s="58" t="inlineStr">
        <is>
          <t>Сырье для битума/гудрон (товарный)</t>
        </is>
      </c>
      <c r="D1099" s="15" t="n"/>
      <c r="E1099" s="15" t="n"/>
      <c r="F1099" s="16" t="n"/>
      <c r="G1099" s="17" t="inlineStr">
        <is>
          <t>17_100330820</t>
        </is>
      </c>
      <c r="H1099" s="636" t="n"/>
      <c r="I1099" s="17" t="n"/>
      <c r="J1099" s="615" t="inlineStr">
        <is>
          <t>тыс.т.</t>
        </is>
      </c>
    </row>
    <row r="1100" ht="20.1" customHeight="1" s="904">
      <c r="B1100" s="909" t="inlineStr">
        <is>
          <t>3.12</t>
        </is>
      </c>
      <c r="C1100" s="58" t="inlineStr">
        <is>
          <t>Нефтебитум дорожный (товарный)</t>
        </is>
      </c>
      <c r="D1100" s="15" t="n"/>
      <c r="E1100" s="15" t="n"/>
      <c r="F1100" s="16" t="n"/>
      <c r="G1100" s="17" t="inlineStr">
        <is>
          <t>17_100330821</t>
        </is>
      </c>
      <c r="H1100" s="636" t="n"/>
      <c r="I1100" s="17" t="n"/>
      <c r="J1100" s="615" t="inlineStr">
        <is>
          <t>тыс.т.</t>
        </is>
      </c>
    </row>
    <row r="1101" ht="20.1" customHeight="1" s="904">
      <c r="B1101" s="909" t="inlineStr">
        <is>
          <t>3.13</t>
        </is>
      </c>
      <c r="C1101" s="58" t="inlineStr">
        <is>
          <t>Толуол</t>
        </is>
      </c>
      <c r="D1101" s="15" t="n"/>
      <c r="E1101" s="15" t="n"/>
      <c r="F1101" s="16" t="n"/>
      <c r="G1101" s="17" t="inlineStr">
        <is>
          <t>17_100335766</t>
        </is>
      </c>
      <c r="H1101" s="636" t="n"/>
      <c r="I1101" s="17" t="n"/>
      <c r="J1101" s="549" t="inlineStr">
        <is>
          <t>тыс.т.</t>
        </is>
      </c>
    </row>
    <row r="1102" ht="20.1" customHeight="1" s="904">
      <c r="B1102" s="909" t="n"/>
      <c r="C1102" s="77" t="inlineStr">
        <is>
          <t>в т.ч. товарный</t>
        </is>
      </c>
      <c r="D1102" s="15" t="n"/>
      <c r="E1102" s="15" t="n"/>
      <c r="F1102" s="16" t="n"/>
      <c r="G1102" s="17" t="inlineStr">
        <is>
          <t>17_100336026</t>
        </is>
      </c>
      <c r="H1102" s="636" t="n"/>
      <c r="I1102" s="17" t="n"/>
      <c r="J1102" s="549" t="inlineStr">
        <is>
          <t>тыс.т.</t>
        </is>
      </c>
    </row>
    <row r="1103" ht="20.1" customHeight="1" s="904">
      <c r="B1103" s="909" t="n"/>
      <c r="C1103" s="77" t="inlineStr">
        <is>
          <t>На завод "Мономер"</t>
        </is>
      </c>
      <c r="D1103" s="15" t="n"/>
      <c r="E1103" s="15" t="n"/>
      <c r="F1103" s="16" t="n"/>
      <c r="G1103" s="17" t="inlineStr">
        <is>
          <t>17_100336027</t>
        </is>
      </c>
      <c r="H1103" s="636" t="n"/>
      <c r="I1103" s="17" t="n"/>
      <c r="J1103" s="549" t="inlineStr">
        <is>
          <t>тыс.т.</t>
        </is>
      </c>
    </row>
    <row r="1104" ht="20.1" customHeight="1" s="904">
      <c r="B1104" s="909" t="n"/>
      <c r="C1104" s="77" t="inlineStr">
        <is>
          <t>На ООО "Акрил-Салават"</t>
        </is>
      </c>
      <c r="D1104" s="15" t="n"/>
      <c r="E1104" s="15" t="n"/>
      <c r="F1104" s="16" t="n"/>
      <c r="G1104" s="17" t="inlineStr">
        <is>
          <t>17_100336028</t>
        </is>
      </c>
      <c r="H1104" s="636" t="n"/>
      <c r="I1104" s="17" t="n"/>
      <c r="J1104" s="615" t="inlineStr">
        <is>
          <t>тыс.т.</t>
        </is>
      </c>
    </row>
    <row r="1105" ht="20.1" customHeight="1" s="904">
      <c r="B1105" s="909" t="inlineStr">
        <is>
          <t>3.14</t>
        </is>
      </c>
      <c r="C1105" s="58" t="inlineStr">
        <is>
          <t>Бензол</t>
        </is>
      </c>
      <c r="D1105" s="15" t="n"/>
      <c r="E1105" s="15" t="n"/>
      <c r="F1105" s="16" t="n"/>
      <c r="G1105" s="17" t="inlineStr">
        <is>
          <t>17_100336029</t>
        </is>
      </c>
      <c r="H1105" s="636" t="n"/>
      <c r="I1105" s="17" t="n"/>
      <c r="J1105" s="549" t="inlineStr">
        <is>
          <t>тыс.т.</t>
        </is>
      </c>
    </row>
    <row r="1106" ht="20.1" customHeight="1" s="904">
      <c r="B1106" s="909" t="n"/>
      <c r="C1106" s="77" t="inlineStr">
        <is>
          <t>На завод "Мономер"</t>
        </is>
      </c>
      <c r="D1106" s="15" t="n"/>
      <c r="E1106" s="15" t="n"/>
      <c r="F1106" s="16" t="n"/>
      <c r="G1106" s="17" t="inlineStr">
        <is>
          <t>17_100336030</t>
        </is>
      </c>
      <c r="H1106" s="636" t="n"/>
      <c r="I1106" s="17" t="n"/>
      <c r="J1106" s="615" t="inlineStr">
        <is>
          <t>тыс.т.</t>
        </is>
      </c>
    </row>
    <row r="1107" ht="20.1" customHeight="1" s="904">
      <c r="B1107" s="909" t="inlineStr">
        <is>
          <t>3.15</t>
        </is>
      </c>
      <c r="C1107" s="58" t="inlineStr">
        <is>
          <t>Сольвент</t>
        </is>
      </c>
      <c r="D1107" s="15" t="n"/>
      <c r="E1107" s="15" t="n"/>
      <c r="F1107" s="16" t="n"/>
      <c r="G1107" s="17" t="inlineStr">
        <is>
          <t>17_100336031</t>
        </is>
      </c>
      <c r="H1107" s="636" t="n"/>
      <c r="I1107" s="17" t="n"/>
      <c r="J1107" s="549" t="inlineStr">
        <is>
          <t>тыс.т.</t>
        </is>
      </c>
    </row>
    <row r="1108" ht="20.1" customHeight="1" s="904">
      <c r="B1108" s="909" t="n"/>
      <c r="C1108" s="77" t="inlineStr">
        <is>
          <t>На завод "Мономер"</t>
        </is>
      </c>
      <c r="D1108" s="15" t="n"/>
      <c r="E1108" s="15" t="n"/>
      <c r="F1108" s="16" t="n"/>
      <c r="G1108" s="17" t="inlineStr">
        <is>
          <t>17_100336032</t>
        </is>
      </c>
      <c r="H1108" s="636" t="n"/>
      <c r="I1108" s="17" t="n"/>
      <c r="J1108" s="615" t="inlineStr">
        <is>
          <t>тыс.т.</t>
        </is>
      </c>
    </row>
    <row r="1109" ht="20.1" customHeight="1" s="904">
      <c r="B1109" s="909" t="inlineStr">
        <is>
          <t>3.16</t>
        </is>
      </c>
      <c r="C1109" s="58" t="inlineStr">
        <is>
          <t>Фракция пропан-пропиленовая ККФ</t>
        </is>
      </c>
      <c r="D1109" s="15" t="n"/>
      <c r="E1109" s="15" t="n"/>
      <c r="F1109" s="16" t="n"/>
      <c r="G1109" s="17" t="inlineStr">
        <is>
          <t>17_100335102</t>
        </is>
      </c>
      <c r="H1109" s="636" t="n"/>
      <c r="I1109" s="17" t="n"/>
      <c r="J1109" s="549" t="inlineStr">
        <is>
          <t>тыс.т.</t>
        </is>
      </c>
    </row>
    <row r="1110" ht="20.1" customHeight="1" s="904">
      <c r="B1110" s="909" t="n"/>
      <c r="C1110" s="77" t="inlineStr">
        <is>
          <t>в т.ч. товарный</t>
        </is>
      </c>
      <c r="D1110" s="15" t="n"/>
      <c r="E1110" s="15" t="n"/>
      <c r="F1110" s="16" t="n"/>
      <c r="G1110" s="17" t="inlineStr">
        <is>
          <t>17_100336033</t>
        </is>
      </c>
      <c r="H1110" s="636" t="n"/>
      <c r="I1110" s="17" t="n"/>
      <c r="J1110" s="549" t="inlineStr">
        <is>
          <t>тыс.т.</t>
        </is>
      </c>
    </row>
    <row r="1111" ht="20.1" customHeight="1" s="904">
      <c r="B1111" s="909" t="n"/>
      <c r="C1111" s="77" t="inlineStr">
        <is>
          <t>На завод "Мономер" (производство бутиловых спиртов)</t>
        </is>
      </c>
      <c r="D1111" s="15" t="n"/>
      <c r="E1111" s="15" t="n"/>
      <c r="F1111" s="16" t="n"/>
      <c r="G1111" s="17" t="inlineStr">
        <is>
          <t>17_100336034</t>
        </is>
      </c>
      <c r="H1111" s="636" t="n"/>
      <c r="I1111" s="17" t="n"/>
      <c r="J1111" s="549" t="inlineStr">
        <is>
          <t>тыс.т.</t>
        </is>
      </c>
    </row>
    <row r="1112" ht="20.1" customHeight="1" s="904">
      <c r="B1112" s="909" t="n"/>
      <c r="C1112" s="77" t="inlineStr">
        <is>
          <t>На завод "Мономер" (производство ЭП-355)</t>
        </is>
      </c>
      <c r="D1112" s="15" t="n"/>
      <c r="E1112" s="15" t="n"/>
      <c r="F1112" s="16" t="n"/>
      <c r="G1112" s="17" t="inlineStr">
        <is>
          <t>17_100336035</t>
        </is>
      </c>
      <c r="H1112" s="636" t="n"/>
      <c r="I1112" s="17" t="n"/>
      <c r="J1112" s="615" t="inlineStr">
        <is>
          <t>тыс.т.</t>
        </is>
      </c>
    </row>
    <row r="1113" ht="20.1" customHeight="1" s="904">
      <c r="B1113" s="909" t="inlineStr">
        <is>
          <t>3.17</t>
        </is>
      </c>
      <c r="C1113" s="58" t="inlineStr">
        <is>
          <t>Фракция бутан-бутиленовая ККФ</t>
        </is>
      </c>
      <c r="D1113" s="15" t="n"/>
      <c r="E1113" s="15" t="n"/>
      <c r="F1113" s="16" t="n"/>
      <c r="G1113" s="17" t="inlineStr">
        <is>
          <t>17_100335103</t>
        </is>
      </c>
      <c r="H1113" s="636" t="n"/>
      <c r="I1113" s="17" t="n"/>
      <c r="J1113" s="549" t="inlineStr">
        <is>
          <t>тыс.т.</t>
        </is>
      </c>
    </row>
    <row r="1114" ht="20.1" customHeight="1" s="904">
      <c r="B1114" s="909" t="n"/>
      <c r="C1114" s="77" t="inlineStr">
        <is>
          <t>в т.ч. товарный</t>
        </is>
      </c>
      <c r="D1114" s="15" t="n"/>
      <c r="E1114" s="15" t="n"/>
      <c r="F1114" s="16" t="n"/>
      <c r="G1114" s="17" t="inlineStr">
        <is>
          <t>17_100336036</t>
        </is>
      </c>
      <c r="H1114" s="636" t="n"/>
      <c r="I1114" s="17" t="n"/>
      <c r="J1114" s="549" t="inlineStr">
        <is>
          <t>тыс.т.</t>
        </is>
      </c>
    </row>
    <row r="1115" ht="20.1" customHeight="1" s="904">
      <c r="B1115" s="909" t="n"/>
      <c r="C1115" s="77" t="inlineStr">
        <is>
          <t xml:space="preserve">На завод "Мономер" </t>
        </is>
      </c>
      <c r="D1115" s="15" t="n"/>
      <c r="E1115" s="15" t="n"/>
      <c r="F1115" s="16" t="n"/>
      <c r="G1115" s="17" t="inlineStr">
        <is>
          <t>17_100336037</t>
        </is>
      </c>
      <c r="H1115" s="636" t="n"/>
      <c r="I1115" s="17" t="n"/>
      <c r="J1115" s="615" t="inlineStr">
        <is>
          <t>тыс.т.</t>
        </is>
      </c>
    </row>
    <row r="1116" ht="20.1" customHeight="1" s="904">
      <c r="B1116" s="909" t="inlineStr">
        <is>
          <t>3.18</t>
        </is>
      </c>
      <c r="C1116" s="75" t="inlineStr">
        <is>
          <t>Сероводород технический всего</t>
        </is>
      </c>
      <c r="D1116" s="15" t="n"/>
      <c r="E1116" s="15" t="n"/>
      <c r="F1116" s="16" t="n"/>
      <c r="G1116" s="17" t="inlineStr">
        <is>
          <t>17_100336038</t>
        </is>
      </c>
      <c r="H1116" s="636" t="n"/>
      <c r="I1116" s="17" t="n"/>
      <c r="J1116" s="549" t="inlineStr">
        <is>
          <t>тыс.т.</t>
        </is>
      </c>
    </row>
    <row r="1117" ht="20.1" customHeight="1" s="904">
      <c r="B1117" s="909" t="n"/>
      <c r="C1117" s="78" t="inlineStr">
        <is>
          <t>в т.ч. сера (товарная)</t>
        </is>
      </c>
      <c r="D1117" s="15" t="n"/>
      <c r="E1117" s="15" t="n"/>
      <c r="F1117" s="16" t="n"/>
      <c r="G1117" s="17" t="inlineStr">
        <is>
          <t>17_100330809</t>
        </is>
      </c>
      <c r="H1117" s="636" t="n"/>
      <c r="I1117" s="17" t="n"/>
      <c r="J1117" s="615" t="inlineStr">
        <is>
          <t>тыс.т.</t>
        </is>
      </c>
    </row>
    <row r="1118" ht="20.1" customHeight="1" s="904">
      <c r="B1118" s="909" t="inlineStr">
        <is>
          <t>3.19</t>
        </is>
      </c>
      <c r="C1118" s="58" t="inlineStr">
        <is>
          <t>Керосин гидроочищенный</t>
        </is>
      </c>
      <c r="D1118" s="15" t="n"/>
      <c r="E1118" s="15" t="n"/>
      <c r="F1118" s="16" t="n"/>
      <c r="G1118" s="17" t="inlineStr">
        <is>
          <t>17_100336039</t>
        </is>
      </c>
      <c r="H1118" s="636" t="n"/>
      <c r="I1118" s="17" t="n"/>
      <c r="J1118" s="549" t="inlineStr">
        <is>
          <t>тыс.т.</t>
        </is>
      </c>
    </row>
    <row r="1119" ht="20.1" customHeight="1" s="904">
      <c r="B1119" s="909" t="n"/>
      <c r="C1119" s="77" t="inlineStr">
        <is>
          <t>в т.ч. товарный</t>
        </is>
      </c>
      <c r="D1119" s="15" t="n"/>
      <c r="E1119" s="15" t="n"/>
      <c r="F1119" s="16" t="n"/>
      <c r="G1119" s="17" t="inlineStr">
        <is>
          <t>17_100336040</t>
        </is>
      </c>
      <c r="H1119" s="636" t="n"/>
      <c r="I1119" s="17" t="n"/>
      <c r="J1119" s="615" t="inlineStr">
        <is>
          <t>тыс.т.</t>
        </is>
      </c>
    </row>
    <row r="1120" ht="20.1" customHeight="1" s="904">
      <c r="B1120" s="909" t="inlineStr">
        <is>
          <t>3.20</t>
        </is>
      </c>
      <c r="C1120" s="58" t="inlineStr">
        <is>
          <t>Топливо на собственные нужды</t>
        </is>
      </c>
      <c r="D1120" s="15" t="n"/>
      <c r="E1120" s="15" t="n"/>
      <c r="F1120" s="16" t="n"/>
      <c r="G1120" s="17" t="inlineStr">
        <is>
          <t>17_100336041</t>
        </is>
      </c>
      <c r="H1120" s="636" t="n"/>
      <c r="I1120" s="17" t="n"/>
      <c r="J1120" s="615" t="inlineStr">
        <is>
          <t>тыс.т.</t>
        </is>
      </c>
    </row>
    <row r="1121" ht="20.1" customHeight="1" s="904">
      <c r="B1121" s="909" t="inlineStr">
        <is>
          <t>3.21</t>
        </is>
      </c>
      <c r="C1121" s="79" t="inlineStr">
        <is>
          <t>Продукция (сырье) переданная на склад</t>
        </is>
      </c>
      <c r="D1121" s="15" t="n"/>
      <c r="E1121" s="15" t="n"/>
      <c r="F1121" s="16" t="n"/>
      <c r="G1121" s="17" t="inlineStr">
        <is>
          <t>17_100336042</t>
        </is>
      </c>
      <c r="H1121" s="636" t="n"/>
      <c r="I1121" s="17" t="n"/>
      <c r="J1121" s="24" t="inlineStr">
        <is>
          <t>тыс.т.</t>
        </is>
      </c>
    </row>
    <row r="1122" ht="20.1" customHeight="1" s="904">
      <c r="B1122" s="909" t="n"/>
      <c r="C1122" s="80" t="n"/>
      <c r="D1122" s="15" t="n"/>
      <c r="E1122" s="15" t="n"/>
      <c r="F1122" s="16" t="n"/>
      <c r="G1122" s="17" t="n"/>
      <c r="H1122" s="636" t="n"/>
      <c r="I1122" s="17" t="n"/>
      <c r="J1122" s="70" t="n"/>
    </row>
    <row r="1123" ht="32.25" customHeight="1" s="904">
      <c r="B1123" s="909" t="n"/>
      <c r="C1123" s="71" t="inlineStr">
        <is>
          <t>ЗАВОД "МОНОМЕР"</t>
        </is>
      </c>
      <c r="D1123" s="15" t="n"/>
      <c r="E1123" s="15" t="n"/>
      <c r="F1123" s="16" t="n"/>
      <c r="G1123" s="17" t="n"/>
      <c r="H1123" s="636" t="n"/>
      <c r="I1123" s="17" t="n"/>
      <c r="J1123" s="615" t="n"/>
    </row>
    <row r="1124" ht="35.1" customHeight="1" s="904">
      <c r="B1124" s="909" t="inlineStr">
        <is>
          <t>1.</t>
        </is>
      </c>
      <c r="C1124" s="58" t="inlineStr">
        <is>
          <t>ПОСТАВКА (ПОКУПКА) СЫРЬЯ  
ООО "ГАЗПРОМ НЕФТЕХИМ САЛАВАТ":</t>
        </is>
      </c>
      <c r="D1124" s="15" t="n"/>
      <c r="E1124" s="15" t="n"/>
      <c r="F1124" s="16" t="n"/>
      <c r="G1124" s="17" t="inlineStr">
        <is>
          <t>17_100336045</t>
        </is>
      </c>
      <c r="H1124" s="636" t="n"/>
      <c r="I1124" s="17" t="n"/>
      <c r="J1124" s="615" t="inlineStr">
        <is>
          <t>тыс.т.</t>
        </is>
      </c>
    </row>
    <row r="1125" ht="20.1" customHeight="1" s="904">
      <c r="B1125" s="909" t="inlineStr">
        <is>
          <t>1.1</t>
        </is>
      </c>
      <c r="C1125" s="72" t="inlineStr">
        <is>
          <t>Бензин</t>
        </is>
      </c>
      <c r="D1125" s="15" t="n"/>
      <c r="E1125" s="15" t="n"/>
      <c r="F1125" s="16" t="n"/>
      <c r="G1125" s="17" t="inlineStr">
        <is>
          <t>17_100336046</t>
        </is>
      </c>
      <c r="H1125" s="636" t="n"/>
      <c r="I1125" s="17" t="n"/>
      <c r="J1125" s="549" t="inlineStr">
        <is>
          <t>тыс.т.</t>
        </is>
      </c>
    </row>
    <row r="1126" ht="20.1" customHeight="1" s="904">
      <c r="B1126" s="909" t="n"/>
      <c r="C1126" s="74" t="inlineStr">
        <is>
          <t>НПЗ ООО "Газпром нефтехим Салават"</t>
        </is>
      </c>
      <c r="D1126" s="15" t="n"/>
      <c r="E1126" s="15" t="n"/>
      <c r="F1126" s="16" t="n"/>
      <c r="G1126" s="17" t="inlineStr">
        <is>
          <t>17_100336047</t>
        </is>
      </c>
      <c r="H1126" s="636" t="n"/>
      <c r="I1126" s="17" t="n"/>
      <c r="J1126" s="615" t="inlineStr">
        <is>
          <t>тыс.т.</t>
        </is>
      </c>
    </row>
    <row r="1127" ht="20.1" customHeight="1" s="904">
      <c r="B1127" s="909" t="inlineStr">
        <is>
          <t>1.2</t>
        </is>
      </c>
      <c r="C1127" s="72" t="inlineStr">
        <is>
          <t>ШФЛУ</t>
        </is>
      </c>
      <c r="D1127" s="15" t="n"/>
      <c r="E1127" s="15" t="n"/>
      <c r="F1127" s="16" t="n"/>
      <c r="G1127" s="17" t="inlineStr">
        <is>
          <t>17_100330826</t>
        </is>
      </c>
      <c r="H1127" s="636" t="n"/>
      <c r="I1127" s="17" t="n"/>
      <c r="J1127" s="549" t="inlineStr">
        <is>
          <t>тыс.т.</t>
        </is>
      </c>
    </row>
    <row r="1128" ht="20.1" customHeight="1" s="904">
      <c r="B1128" s="909" t="n"/>
      <c r="C1128" s="72" t="inlineStr">
        <is>
          <t>ПАО "Газпром":</t>
        </is>
      </c>
      <c r="D1128" s="15" t="n"/>
      <c r="E1128" s="15" t="n"/>
      <c r="F1128" s="16" t="n"/>
      <c r="G1128" s="17" t="inlineStr">
        <is>
          <t>17_100336048</t>
        </is>
      </c>
      <c r="H1128" s="636" t="n"/>
      <c r="I1128" s="17" t="n"/>
      <c r="J1128" s="549" t="inlineStr">
        <is>
          <t>тыс.т.</t>
        </is>
      </c>
    </row>
    <row r="1129" ht="20.1" customHeight="1" s="904">
      <c r="B1129" s="909" t="n"/>
      <c r="C1129" s="73" t="inlineStr">
        <is>
          <t>Астраханский ГПЗ</t>
        </is>
      </c>
      <c r="D1129" s="15" t="n"/>
      <c r="E1129" s="15" t="n"/>
      <c r="F1129" s="16" t="n"/>
      <c r="G1129" s="17" t="inlineStr">
        <is>
          <t>17_100336049</t>
        </is>
      </c>
      <c r="H1129" s="636" t="n"/>
      <c r="I1129" s="17" t="n"/>
      <c r="J1129" s="549" t="inlineStr">
        <is>
          <t>тыс.т.</t>
        </is>
      </c>
    </row>
    <row r="1130" ht="20.1" customHeight="1" s="904">
      <c r="B1130" s="909" t="n"/>
      <c r="C1130" s="73" t="inlineStr">
        <is>
          <t>Оренбургский ГПЗ</t>
        </is>
      </c>
      <c r="D1130" s="15" t="n"/>
      <c r="E1130" s="15" t="n"/>
      <c r="F1130" s="16" t="n"/>
      <c r="G1130" s="17" t="inlineStr">
        <is>
          <t>17_100336050</t>
        </is>
      </c>
      <c r="H1130" s="636" t="n"/>
      <c r="I1130" s="17" t="n"/>
      <c r="J1130" s="549" t="inlineStr">
        <is>
          <t>тыс.т.</t>
        </is>
      </c>
    </row>
    <row r="1131" ht="20.1" customHeight="1" s="904">
      <c r="B1131" s="909" t="n"/>
      <c r="C1131" s="72" t="inlineStr">
        <is>
          <t>НПЗ ООО "Газпром нефтехим Салават"</t>
        </is>
      </c>
      <c r="D1131" s="15" t="n"/>
      <c r="E1131" s="15" t="n"/>
      <c r="F1131" s="16" t="n"/>
      <c r="G1131" s="17" t="inlineStr">
        <is>
          <t>17_100336051</t>
        </is>
      </c>
      <c r="H1131" s="636" t="n"/>
      <c r="I1131" s="17" t="n"/>
      <c r="J1131" s="615" t="inlineStr">
        <is>
          <t>тыс.т.</t>
        </is>
      </c>
    </row>
    <row r="1132" ht="20.1" customHeight="1" s="904">
      <c r="B1132" s="909" t="inlineStr">
        <is>
          <t>1.3</t>
        </is>
      </c>
      <c r="C1132" s="79" t="inlineStr">
        <is>
          <t>Газы углеводородные сжиженные</t>
        </is>
      </c>
      <c r="D1132" s="15" t="n"/>
      <c r="E1132" s="15" t="n"/>
      <c r="F1132" s="16" t="n"/>
      <c r="G1132" s="17" t="inlineStr">
        <is>
          <t>17_100336052</t>
        </is>
      </c>
      <c r="H1132" s="636" t="n"/>
      <c r="I1132" s="17" t="n"/>
      <c r="J1132" s="549" t="inlineStr">
        <is>
          <t>тыс.т.</t>
        </is>
      </c>
    </row>
    <row r="1133" ht="20.1" customHeight="1" s="904">
      <c r="B1133" s="909" t="n"/>
      <c r="C1133" s="74" t="inlineStr">
        <is>
          <t>Сургутский ЗСК</t>
        </is>
      </c>
      <c r="D1133" s="15" t="n"/>
      <c r="E1133" s="15" t="n"/>
      <c r="F1133" s="16" t="n"/>
      <c r="G1133" s="17" t="inlineStr">
        <is>
          <t>17_100336053</t>
        </is>
      </c>
      <c r="H1133" s="636" t="n"/>
      <c r="I1133" s="17" t="n"/>
      <c r="J1133" s="615" t="inlineStr">
        <is>
          <t>тыс.т.</t>
        </is>
      </c>
    </row>
    <row r="1134" ht="20.1" customHeight="1" s="904">
      <c r="B1134" s="909" t="inlineStr">
        <is>
          <t>1.4</t>
        </is>
      </c>
      <c r="C1134" s="72" t="inlineStr">
        <is>
          <t>Фракция этановая</t>
        </is>
      </c>
      <c r="D1134" s="15" t="n"/>
      <c r="E1134" s="15" t="n"/>
      <c r="F1134" s="16" t="n"/>
      <c r="G1134" s="17" t="inlineStr">
        <is>
          <t>17_100330827</t>
        </is>
      </c>
      <c r="H1134" s="636" t="n"/>
      <c r="I1134" s="17" t="n"/>
      <c r="J1134" s="549" t="inlineStr">
        <is>
          <t>тыс.т.</t>
        </is>
      </c>
    </row>
    <row r="1135" ht="20.1" customHeight="1" s="904">
      <c r="B1135" s="909" t="n"/>
      <c r="C1135" s="76" t="inlineStr">
        <is>
          <t>ПАО "Газпром":</t>
        </is>
      </c>
      <c r="D1135" s="15" t="n"/>
      <c r="E1135" s="15" t="n"/>
      <c r="F1135" s="16" t="n"/>
      <c r="G1135" s="17" t="inlineStr">
        <is>
          <t>17_100336054</t>
        </is>
      </c>
      <c r="H1135" s="636" t="n"/>
      <c r="I1135" s="17" t="n"/>
      <c r="J1135" s="549" t="inlineStr">
        <is>
          <t>тыс.т.</t>
        </is>
      </c>
    </row>
    <row r="1136" ht="34.5" customHeight="1" s="904">
      <c r="B1136" s="909" t="n"/>
      <c r="C1136" s="73" t="inlineStr">
        <is>
          <t>Оренбургский ГЗ</t>
        </is>
      </c>
      <c r="D1136" s="15" t="n"/>
      <c r="E1136" s="15" t="n"/>
      <c r="F1136" s="16" t="n"/>
      <c r="G1136" s="17" t="inlineStr">
        <is>
          <t>17_100336055</t>
        </is>
      </c>
      <c r="H1136" s="636" t="n"/>
      <c r="I1136" s="17" t="n"/>
      <c r="J1136" s="615" t="inlineStr">
        <is>
          <t>тыс.т.</t>
        </is>
      </c>
    </row>
    <row r="1137" ht="35.1" customHeight="1" s="904">
      <c r="B1137" s="909" t="inlineStr">
        <is>
          <t>1.5</t>
        </is>
      </c>
      <c r="C1137" s="81" t="inlineStr">
        <is>
          <t xml:space="preserve">Продукция (сырье) с НПЗ ООО "Газпром нефтехим Салават" </t>
        </is>
      </c>
      <c r="D1137" s="15" t="n"/>
      <c r="E1137" s="15" t="n"/>
      <c r="F1137" s="16" t="n"/>
      <c r="G1137" s="17" t="inlineStr">
        <is>
          <t>17_100336056</t>
        </is>
      </c>
      <c r="H1137" s="636" t="n"/>
      <c r="I1137" s="17" t="n"/>
      <c r="J1137" s="615" t="inlineStr">
        <is>
          <t>тыс.т.</t>
        </is>
      </c>
    </row>
    <row r="1138" ht="20.1" customHeight="1" s="904">
      <c r="B1138" s="909" t="inlineStr">
        <is>
          <t>1.6</t>
        </is>
      </c>
      <c r="C1138" s="72" t="inlineStr">
        <is>
          <t>Пропилен</t>
        </is>
      </c>
      <c r="D1138" s="15" t="n"/>
      <c r="E1138" s="15" t="n"/>
      <c r="F1138" s="16" t="n"/>
      <c r="G1138" s="17" t="inlineStr">
        <is>
          <t>17_100336057</t>
        </is>
      </c>
      <c r="H1138" s="636" t="n"/>
      <c r="I1138" s="17" t="n"/>
      <c r="J1138" s="549" t="inlineStr">
        <is>
          <t>тыс.т.</t>
        </is>
      </c>
    </row>
    <row r="1139" ht="20.1" customHeight="1" s="904">
      <c r="B1139" s="909" t="n"/>
      <c r="C1139" s="74" t="inlineStr">
        <is>
          <t>Пропилен покупной</t>
        </is>
      </c>
      <c r="D1139" s="15" t="n"/>
      <c r="E1139" s="15" t="n"/>
      <c r="F1139" s="16" t="n"/>
      <c r="G1139" s="17" t="inlineStr">
        <is>
          <t>17_100336058</t>
        </is>
      </c>
      <c r="H1139" s="636" t="n"/>
      <c r="I1139" s="17" t="n"/>
      <c r="J1139" s="549" t="inlineStr">
        <is>
          <t>тыс.т.</t>
        </is>
      </c>
    </row>
    <row r="1140" ht="20.1" customHeight="1" s="904">
      <c r="B1140" s="909" t="n"/>
      <c r="C1140" s="74" t="inlineStr">
        <is>
          <t>Завод "Мономер" ООО "Газпром нефтехим Салават"</t>
        </is>
      </c>
      <c r="D1140" s="15" t="n"/>
      <c r="E1140" s="15" t="n"/>
      <c r="F1140" s="16" t="n"/>
      <c r="G1140" s="17" t="inlineStr">
        <is>
          <t>17_100336059</t>
        </is>
      </c>
      <c r="H1140" s="636" t="n"/>
      <c r="I1140" s="17" t="n"/>
      <c r="J1140" s="549" t="inlineStr">
        <is>
          <t>тыс.т.</t>
        </is>
      </c>
    </row>
    <row r="1141" ht="20.1" customHeight="1" s="904">
      <c r="B1141" s="909" t="n"/>
      <c r="C1141" s="82" t="inlineStr">
        <is>
          <t>НПЗ ООО "Газпром нефтехим Салават" (ККФ)</t>
        </is>
      </c>
      <c r="D1141" s="15" t="n"/>
      <c r="E1141" s="15" t="n"/>
      <c r="F1141" s="16" t="n"/>
      <c r="G1141" s="17" t="inlineStr">
        <is>
          <t>17_100336060</t>
        </is>
      </c>
      <c r="H1141" s="636" t="n"/>
      <c r="I1141" s="17" t="n"/>
      <c r="J1141" s="615" t="inlineStr">
        <is>
          <t>тыс.т.</t>
        </is>
      </c>
    </row>
    <row r="1142" ht="32.25" customHeight="1" s="904">
      <c r="B1142" s="909" t="inlineStr">
        <is>
          <t>1.7</t>
        </is>
      </c>
      <c r="C1142" s="79" t="inlineStr">
        <is>
          <t>Ортоксилол</t>
        </is>
      </c>
      <c r="D1142" s="15" t="n"/>
      <c r="E1142" s="15" t="n"/>
      <c r="F1142" s="16" t="n"/>
      <c r="G1142" s="17" t="inlineStr">
        <is>
          <t>17_100336061</t>
        </is>
      </c>
      <c r="H1142" s="636" t="n"/>
      <c r="I1142" s="17" t="n"/>
      <c r="J1142" s="615" t="inlineStr">
        <is>
          <t>тыс.т.</t>
        </is>
      </c>
    </row>
    <row r="1143" ht="35.1" customHeight="1" s="904">
      <c r="B1143" s="909" t="inlineStr">
        <is>
          <t>2.</t>
        </is>
      </c>
      <c r="C1143" s="58" t="inlineStr">
        <is>
          <t>ПЕРЕРАБОТКА СЫРЬЯ 
ООО "ГАЗПРОМ НЕФТЕХИМ САЛАВАТ":</t>
        </is>
      </c>
      <c r="D1143" s="15" t="n"/>
      <c r="E1143" s="15" t="n"/>
      <c r="F1143" s="16" t="n"/>
      <c r="G1143" s="17" t="inlineStr">
        <is>
          <t>17_100330823</t>
        </is>
      </c>
      <c r="H1143" s="636" t="n"/>
      <c r="I1143" s="17" t="n"/>
      <c r="J1143" s="615" t="inlineStr">
        <is>
          <t>тыс.т.</t>
        </is>
      </c>
    </row>
    <row r="1144" ht="20.1" customHeight="1" s="904">
      <c r="B1144" s="909" t="inlineStr">
        <is>
          <t>2.1</t>
        </is>
      </c>
      <c r="C1144" s="72" t="inlineStr">
        <is>
          <t>Бензин</t>
        </is>
      </c>
      <c r="D1144" s="15" t="n"/>
      <c r="E1144" s="15" t="n"/>
      <c r="F1144" s="16" t="n"/>
      <c r="G1144" s="17" t="inlineStr">
        <is>
          <t>17_100330824</t>
        </is>
      </c>
      <c r="H1144" s="636" t="n"/>
      <c r="I1144" s="17" t="n"/>
      <c r="J1144" s="549" t="inlineStr">
        <is>
          <t>тыс.т.</t>
        </is>
      </c>
    </row>
    <row r="1145" ht="20.1" customHeight="1" s="904">
      <c r="B1145" s="909" t="n"/>
      <c r="C1145" s="74" t="inlineStr">
        <is>
          <t>НПЗ ООО "Газпром нефтехим Салават"</t>
        </is>
      </c>
      <c r="D1145" s="15" t="n"/>
      <c r="E1145" s="15" t="n"/>
      <c r="F1145" s="16" t="n"/>
      <c r="G1145" s="17" t="inlineStr">
        <is>
          <t>17_100336062</t>
        </is>
      </c>
      <c r="H1145" s="636" t="n"/>
      <c r="I1145" s="17" t="n"/>
      <c r="J1145" s="615" t="inlineStr">
        <is>
          <t>тыс.т.</t>
        </is>
      </c>
    </row>
    <row r="1146" ht="20.1" customHeight="1" s="904">
      <c r="B1146" s="909" t="inlineStr">
        <is>
          <t>2.2</t>
        </is>
      </c>
      <c r="C1146" s="72" t="inlineStr">
        <is>
          <t>ШФЛУ</t>
        </is>
      </c>
      <c r="D1146" s="15" t="n"/>
      <c r="E1146" s="15" t="n"/>
      <c r="F1146" s="16" t="n"/>
      <c r="G1146" s="17" t="inlineStr">
        <is>
          <t>17_100330825</t>
        </is>
      </c>
      <c r="H1146" s="636" t="n"/>
      <c r="I1146" s="17" t="n"/>
      <c r="J1146" s="549" t="inlineStr">
        <is>
          <t>тыс.т.</t>
        </is>
      </c>
    </row>
    <row r="1147" ht="20.1" customHeight="1" s="904">
      <c r="B1147" s="909" t="n"/>
      <c r="C1147" s="74" t="inlineStr">
        <is>
          <t>ПАО "Газпром"</t>
        </is>
      </c>
      <c r="D1147" s="15" t="n"/>
      <c r="E1147" s="15" t="n"/>
      <c r="F1147" s="16" t="n"/>
      <c r="G1147" s="17" t="inlineStr">
        <is>
          <t>17_100336063</t>
        </is>
      </c>
      <c r="H1147" s="636" t="n"/>
      <c r="I1147" s="17" t="n"/>
      <c r="J1147" s="549" t="inlineStr">
        <is>
          <t>тыс.т.</t>
        </is>
      </c>
    </row>
    <row r="1148" ht="20.1" customHeight="1" s="904">
      <c r="B1148" s="909" t="n"/>
      <c r="C1148" s="74" t="inlineStr">
        <is>
          <t>Астраханский ГПЗ</t>
        </is>
      </c>
      <c r="D1148" s="15" t="n"/>
      <c r="E1148" s="15" t="n"/>
      <c r="F1148" s="16" t="n"/>
      <c r="G1148" s="17" t="inlineStr">
        <is>
          <t>17_100336064</t>
        </is>
      </c>
      <c r="H1148" s="636" t="n"/>
      <c r="I1148" s="17" t="n"/>
      <c r="J1148" s="549" t="inlineStr">
        <is>
          <t>тыс.т.</t>
        </is>
      </c>
    </row>
    <row r="1149" ht="20.1" customHeight="1" s="904">
      <c r="B1149" s="909" t="n"/>
      <c r="C1149" s="74" t="inlineStr">
        <is>
          <t>Оренбургский ГПЗ</t>
        </is>
      </c>
      <c r="D1149" s="15" t="n"/>
      <c r="E1149" s="15" t="n"/>
      <c r="F1149" s="16" t="n"/>
      <c r="G1149" s="17" t="inlineStr">
        <is>
          <t>17_100336065</t>
        </is>
      </c>
      <c r="H1149" s="636" t="n"/>
      <c r="I1149" s="17" t="n"/>
      <c r="J1149" s="615" t="inlineStr">
        <is>
          <t>тыс.т.</t>
        </is>
      </c>
    </row>
    <row r="1150" ht="20.1" customHeight="1" s="904">
      <c r="B1150" s="909" t="n"/>
      <c r="C1150" s="82" t="inlineStr">
        <is>
          <t xml:space="preserve">        НПЗ ООО "Газпром нефтехим Салават"</t>
        </is>
      </c>
      <c r="D1150" s="15" t="n"/>
      <c r="E1150" s="15" t="n"/>
      <c r="F1150" s="16" t="n"/>
      <c r="G1150" s="17" t="inlineStr">
        <is>
          <t>17_100336066</t>
        </is>
      </c>
      <c r="H1150" s="636" t="n"/>
      <c r="I1150" s="17" t="n"/>
      <c r="J1150" s="615" t="inlineStr">
        <is>
          <t>тыс.т.</t>
        </is>
      </c>
    </row>
    <row r="1151" ht="20.1" customHeight="1" s="904">
      <c r="B1151" s="909" t="inlineStr">
        <is>
          <t>2.3</t>
        </is>
      </c>
      <c r="C1151" s="72" t="inlineStr">
        <is>
          <t>Газы углеводородные сжиженные</t>
        </is>
      </c>
      <c r="D1151" s="15" t="n"/>
      <c r="E1151" s="15" t="n"/>
      <c r="F1151" s="16" t="n"/>
      <c r="G1151" s="17" t="inlineStr">
        <is>
          <t>17_100336067</t>
        </is>
      </c>
      <c r="H1151" s="636" t="n"/>
      <c r="I1151" s="17" t="n"/>
      <c r="J1151" s="549" t="inlineStr">
        <is>
          <t>тыс.т.</t>
        </is>
      </c>
    </row>
    <row r="1152" ht="20.1" customHeight="1" s="904">
      <c r="B1152" s="909" t="n"/>
      <c r="C1152" s="74" t="inlineStr">
        <is>
          <t>Сургутский ЗСК</t>
        </is>
      </c>
      <c r="D1152" s="15" t="n"/>
      <c r="E1152" s="15" t="n"/>
      <c r="F1152" s="16" t="n"/>
      <c r="G1152" s="17" t="inlineStr">
        <is>
          <t>17_100336068</t>
        </is>
      </c>
      <c r="H1152" s="636" t="n"/>
      <c r="I1152" s="17" t="n"/>
      <c r="J1152" s="615" t="inlineStr">
        <is>
          <t>тыс.т.</t>
        </is>
      </c>
    </row>
    <row r="1153" ht="20.1" customHeight="1" s="904">
      <c r="B1153" s="909" t="inlineStr">
        <is>
          <t>2.4</t>
        </is>
      </c>
      <c r="C1153" s="72" t="inlineStr">
        <is>
          <t>Фракция этановая</t>
        </is>
      </c>
      <c r="D1153" s="15" t="n"/>
      <c r="E1153" s="15" t="n"/>
      <c r="F1153" s="16" t="n"/>
      <c r="G1153" s="17" t="inlineStr">
        <is>
          <t>17_100336069</t>
        </is>
      </c>
      <c r="H1153" s="636" t="n"/>
      <c r="I1153" s="17" t="n"/>
      <c r="J1153" s="549" t="inlineStr">
        <is>
          <t>тыс.т.</t>
        </is>
      </c>
    </row>
    <row r="1154" ht="20.1" customHeight="1" s="904">
      <c r="B1154" s="909" t="n"/>
      <c r="C1154" s="74" t="inlineStr">
        <is>
          <t>ПАО "Газпром"</t>
        </is>
      </c>
      <c r="D1154" s="15" t="n"/>
      <c r="E1154" s="15" t="n"/>
      <c r="F1154" s="16" t="n"/>
      <c r="G1154" s="17" t="inlineStr">
        <is>
          <t>17_100336070</t>
        </is>
      </c>
      <c r="H1154" s="636" t="n"/>
      <c r="I1154" s="17" t="n"/>
      <c r="J1154" s="549" t="inlineStr">
        <is>
          <t>тыс.т.</t>
        </is>
      </c>
    </row>
    <row r="1155" ht="34.5" customHeight="1" s="904">
      <c r="B1155" s="909" t="n"/>
      <c r="C1155" s="74" t="inlineStr">
        <is>
          <t>Оренбургский ГЗ</t>
        </is>
      </c>
      <c r="D1155" s="15" t="n"/>
      <c r="E1155" s="15" t="n"/>
      <c r="F1155" s="16" t="n"/>
      <c r="G1155" s="17" t="inlineStr">
        <is>
          <t>17_100336071</t>
        </is>
      </c>
      <c r="H1155" s="636" t="n"/>
      <c r="I1155" s="17" t="n"/>
      <c r="J1155" s="615" t="inlineStr">
        <is>
          <t>тыс.т.</t>
        </is>
      </c>
    </row>
    <row r="1156" ht="35.1" customHeight="1" s="904">
      <c r="B1156" s="909" t="inlineStr">
        <is>
          <t>2.5</t>
        </is>
      </c>
      <c r="C1156" s="58" t="inlineStr">
        <is>
          <t>Продукция (сырье) с НПЗ 
ООО "Газпром нефтехим Салават"</t>
        </is>
      </c>
      <c r="D1156" s="15" t="n"/>
      <c r="E1156" s="15" t="n"/>
      <c r="F1156" s="16" t="n"/>
      <c r="G1156" s="17" t="inlineStr">
        <is>
          <t>17_100336072</t>
        </is>
      </c>
      <c r="H1156" s="636" t="n"/>
      <c r="I1156" s="17" t="n"/>
      <c r="J1156" s="615" t="inlineStr">
        <is>
          <t>тыс.т.</t>
        </is>
      </c>
    </row>
    <row r="1157" ht="20.1" customHeight="1" s="904">
      <c r="B1157" s="909" t="inlineStr">
        <is>
          <t>2.6</t>
        </is>
      </c>
      <c r="C1157" s="72" t="inlineStr">
        <is>
          <t>Пропилен</t>
        </is>
      </c>
      <c r="D1157" s="15" t="n"/>
      <c r="E1157" s="15" t="n"/>
      <c r="F1157" s="16" t="n"/>
      <c r="G1157" s="17" t="inlineStr">
        <is>
          <t>17_100336073</t>
        </is>
      </c>
      <c r="H1157" s="636" t="n"/>
      <c r="I1157" s="17" t="n"/>
      <c r="J1157" s="549" t="inlineStr">
        <is>
          <t>тыс.т.</t>
        </is>
      </c>
    </row>
    <row r="1158" ht="20.1" customHeight="1" s="904">
      <c r="B1158" s="909" t="n"/>
      <c r="C1158" s="74" t="inlineStr">
        <is>
          <t>Пропилен покупной</t>
        </is>
      </c>
      <c r="D1158" s="15" t="n"/>
      <c r="E1158" s="15" t="n"/>
      <c r="F1158" s="16" t="n"/>
      <c r="G1158" s="17" t="inlineStr">
        <is>
          <t>17_100336074</t>
        </is>
      </c>
      <c r="H1158" s="636" t="n"/>
      <c r="I1158" s="17" t="n"/>
      <c r="J1158" s="549" t="inlineStr">
        <is>
          <t>тыс.т.</t>
        </is>
      </c>
    </row>
    <row r="1159" ht="20.1" customHeight="1" s="904">
      <c r="B1159" s="909" t="n"/>
      <c r="C1159" s="74" t="inlineStr">
        <is>
          <t>Завод "Мономер" ООО "Газпром нефтехим Салават"</t>
        </is>
      </c>
      <c r="D1159" s="15" t="n"/>
      <c r="E1159" s="15" t="n"/>
      <c r="F1159" s="16" t="n"/>
      <c r="G1159" s="17" t="inlineStr">
        <is>
          <t>17_100336075</t>
        </is>
      </c>
      <c r="H1159" s="636" t="n"/>
      <c r="I1159" s="17" t="n"/>
      <c r="J1159" s="549" t="inlineStr">
        <is>
          <t>тыс.т.</t>
        </is>
      </c>
    </row>
    <row r="1160" ht="20.1" customHeight="1" s="904">
      <c r="B1160" s="909" t="n"/>
      <c r="C1160" s="82" t="inlineStr">
        <is>
          <t>НПЗ ООО "Газпром нефтехим Салават" (ККФ)</t>
        </is>
      </c>
      <c r="D1160" s="15" t="n"/>
      <c r="E1160" s="15" t="n"/>
      <c r="F1160" s="16" t="n"/>
      <c r="G1160" s="17" t="inlineStr">
        <is>
          <t>17_100336076</t>
        </is>
      </c>
      <c r="H1160" s="636" t="n"/>
      <c r="I1160" s="17" t="n"/>
      <c r="J1160" s="615" t="inlineStr">
        <is>
          <t>тыс.т.</t>
        </is>
      </c>
    </row>
    <row r="1161" ht="20.1" customHeight="1" s="904">
      <c r="B1161" s="909" t="inlineStr">
        <is>
          <t>2.7</t>
        </is>
      </c>
      <c r="C1161" s="72" t="inlineStr">
        <is>
          <t>Ортоксилол</t>
        </is>
      </c>
      <c r="D1161" s="15" t="n"/>
      <c r="E1161" s="15" t="n"/>
      <c r="F1161" s="16" t="n"/>
      <c r="G1161" s="17" t="inlineStr">
        <is>
          <t>17_100336077</t>
        </is>
      </c>
      <c r="H1161" s="636" t="n"/>
      <c r="I1161" s="17" t="n"/>
      <c r="J1161" s="615" t="inlineStr">
        <is>
          <t>тыс.т.</t>
        </is>
      </c>
    </row>
    <row r="1162" ht="20.1" customHeight="1" s="904">
      <c r="B1162" s="909" t="inlineStr">
        <is>
          <t>2.8</t>
        </is>
      </c>
      <c r="C1162" s="72" t="inlineStr">
        <is>
          <t xml:space="preserve">Природный газ </t>
        </is>
      </c>
      <c r="D1162" s="15" t="n"/>
      <c r="E1162" s="15" t="n"/>
      <c r="F1162" s="16" t="n"/>
      <c r="G1162" s="17" t="inlineStr">
        <is>
          <t>17_100335597</t>
        </is>
      </c>
      <c r="H1162" s="636" t="n"/>
      <c r="I1162" s="17" t="n"/>
      <c r="J1162" s="615" t="inlineStr">
        <is>
          <t>млн.м3</t>
        </is>
      </c>
    </row>
    <row r="1163" ht="20.1" customHeight="1" s="904">
      <c r="B1163" s="909" t="inlineStr">
        <is>
          <t>3.</t>
        </is>
      </c>
      <c r="C1163" s="58" t="inlineStr">
        <is>
          <t xml:space="preserve">ПРОДУКЦИЯ </t>
        </is>
      </c>
      <c r="D1163" s="15" t="n"/>
      <c r="E1163" s="15" t="n"/>
      <c r="F1163" s="16" t="n"/>
      <c r="G1163" s="17" t="n"/>
      <c r="H1163" s="636" t="n"/>
      <c r="I1163" s="17" t="n"/>
      <c r="J1163" s="615" t="n"/>
    </row>
    <row r="1164" ht="20.1" customHeight="1" s="904">
      <c r="B1164" s="909" t="inlineStr">
        <is>
          <t>3.1</t>
        </is>
      </c>
      <c r="C1164" s="72" t="inlineStr">
        <is>
          <t xml:space="preserve">Этилен </t>
        </is>
      </c>
      <c r="D1164" s="15" t="n"/>
      <c r="E1164" s="15" t="n"/>
      <c r="F1164" s="16" t="n"/>
      <c r="G1164" s="17" t="inlineStr">
        <is>
          <t>17_100330831</t>
        </is>
      </c>
      <c r="H1164" s="636" t="n"/>
      <c r="I1164" s="17" t="n"/>
      <c r="J1164" s="549" t="inlineStr">
        <is>
          <t>тыс.т.</t>
        </is>
      </c>
    </row>
    <row r="1165" ht="20.1" customHeight="1" s="904">
      <c r="B1165" s="909" t="n"/>
      <c r="C1165" s="83" t="inlineStr">
        <is>
          <t>в т.ч. товарный</t>
        </is>
      </c>
      <c r="D1165" s="15" t="n"/>
      <c r="E1165" s="15" t="n"/>
      <c r="F1165" s="16" t="n"/>
      <c r="G1165" s="17" t="inlineStr">
        <is>
          <t>17_100330832</t>
        </is>
      </c>
      <c r="H1165" s="636" t="n"/>
      <c r="I1165" s="17" t="n"/>
      <c r="J1165" s="615" t="inlineStr">
        <is>
          <t>тыс.т.</t>
        </is>
      </c>
    </row>
    <row r="1166" ht="20.1" customHeight="1" s="904">
      <c r="B1166" s="909" t="inlineStr">
        <is>
          <t>3.2</t>
        </is>
      </c>
      <c r="C1166" s="72" t="inlineStr">
        <is>
          <t xml:space="preserve">Пропилен </t>
        </is>
      </c>
      <c r="D1166" s="15" t="n"/>
      <c r="E1166" s="15" t="n"/>
      <c r="F1166" s="16" t="n"/>
      <c r="G1166" s="17" t="inlineStr">
        <is>
          <t>17_100330833</t>
        </is>
      </c>
      <c r="H1166" s="636" t="n"/>
      <c r="I1166" s="17" t="n"/>
      <c r="J1166" s="549" t="inlineStr">
        <is>
          <t>тыс.т.</t>
        </is>
      </c>
    </row>
    <row r="1167" ht="20.1" customHeight="1" s="904">
      <c r="B1167" s="909" t="n"/>
      <c r="C1167" s="83" t="inlineStr">
        <is>
          <t>в т.ч. товарный</t>
        </is>
      </c>
      <c r="D1167" s="15" t="n"/>
      <c r="E1167" s="15" t="n"/>
      <c r="F1167" s="16" t="n"/>
      <c r="G1167" s="17" t="inlineStr">
        <is>
          <t>17_100332346</t>
        </is>
      </c>
      <c r="H1167" s="636" t="n"/>
      <c r="I1167" s="17" t="n"/>
      <c r="J1167" s="549" t="inlineStr">
        <is>
          <t>тыс.т.</t>
        </is>
      </c>
    </row>
    <row r="1168" ht="20.1" customHeight="1" s="904">
      <c r="B1168" s="909" t="n"/>
      <c r="C1168" s="83" t="inlineStr">
        <is>
          <t>На ООО "Акрил-Салават"</t>
        </is>
      </c>
      <c r="D1168" s="15" t="n"/>
      <c r="E1168" s="15" t="n"/>
      <c r="F1168" s="16" t="n"/>
      <c r="G1168" s="17" t="inlineStr">
        <is>
          <t>17_100336079</t>
        </is>
      </c>
      <c r="H1168" s="636" t="n"/>
      <c r="I1168" s="17" t="n"/>
      <c r="J1168" s="615" t="inlineStr">
        <is>
          <t>тыс.т.</t>
        </is>
      </c>
    </row>
    <row r="1169" ht="20.1" customHeight="1" s="904">
      <c r="B1169" s="909" t="inlineStr">
        <is>
          <t>3.3</t>
        </is>
      </c>
      <c r="C1169" s="72" t="inlineStr">
        <is>
          <t xml:space="preserve">Бутилен-бутадиеновая фракция </t>
        </is>
      </c>
      <c r="D1169" s="15" t="n"/>
      <c r="E1169" s="15" t="n"/>
      <c r="F1169" s="16" t="n"/>
      <c r="G1169" s="17" t="inlineStr">
        <is>
          <t>17_100330835</t>
        </is>
      </c>
      <c r="H1169" s="636" t="n"/>
      <c r="I1169" s="17" t="n"/>
      <c r="J1169" s="549" t="inlineStr">
        <is>
          <t>тыс.т.</t>
        </is>
      </c>
    </row>
    <row r="1170" ht="20.1" customHeight="1" s="904">
      <c r="B1170" s="909" t="n"/>
      <c r="C1170" s="83" t="inlineStr">
        <is>
          <t>в т.ч. товарный</t>
        </is>
      </c>
      <c r="D1170" s="15" t="n"/>
      <c r="E1170" s="15" t="n"/>
      <c r="F1170" s="16" t="n"/>
      <c r="G1170" s="17" t="inlineStr">
        <is>
          <t>17_100335105</t>
        </is>
      </c>
      <c r="H1170" s="636" t="n"/>
      <c r="I1170" s="17" t="n"/>
      <c r="J1170" s="615" t="inlineStr">
        <is>
          <t>тыс.т.</t>
        </is>
      </c>
    </row>
    <row r="1171" ht="20.1" customHeight="1" s="904">
      <c r="B1171" s="909" t="inlineStr">
        <is>
          <t>3.4</t>
        </is>
      </c>
      <c r="C1171" s="72" t="inlineStr">
        <is>
          <t xml:space="preserve">Тяжелая смола </t>
        </is>
      </c>
      <c r="D1171" s="15" t="n"/>
      <c r="E1171" s="15" t="n"/>
      <c r="F1171" s="16" t="n"/>
      <c r="G1171" s="17" t="inlineStr">
        <is>
          <t>17_100330836</t>
        </is>
      </c>
      <c r="H1171" s="636" t="n"/>
      <c r="I1171" s="17" t="n"/>
      <c r="J1171" s="549" t="inlineStr">
        <is>
          <t>тыс.т.</t>
        </is>
      </c>
    </row>
    <row r="1172" ht="20.1" customHeight="1" s="904">
      <c r="B1172" s="909" t="n"/>
      <c r="C1172" s="83" t="inlineStr">
        <is>
          <t>в т.ч. товарный</t>
        </is>
      </c>
      <c r="D1172" s="15" t="n"/>
      <c r="E1172" s="15" t="n"/>
      <c r="F1172" s="16" t="n"/>
      <c r="G1172" s="17" t="inlineStr">
        <is>
          <t>17_100335106</t>
        </is>
      </c>
      <c r="H1172" s="636" t="n"/>
      <c r="I1172" s="17" t="n"/>
      <c r="J1172" s="615" t="inlineStr">
        <is>
          <t>тыс.т.</t>
        </is>
      </c>
    </row>
    <row r="1173" ht="20.1" customHeight="1" s="904">
      <c r="B1173" s="909" t="inlineStr">
        <is>
          <t>3.5</t>
        </is>
      </c>
      <c r="C1173" s="72" t="inlineStr">
        <is>
          <t xml:space="preserve">Пироконденсат  </t>
        </is>
      </c>
      <c r="D1173" s="15" t="n"/>
      <c r="E1173" s="15" t="n"/>
      <c r="F1173" s="16" t="n"/>
      <c r="G1173" s="17" t="inlineStr">
        <is>
          <t>17_100332907</t>
        </is>
      </c>
      <c r="H1173" s="636" t="n"/>
      <c r="I1173" s="17" t="n"/>
      <c r="J1173" s="549" t="inlineStr">
        <is>
          <t>тыс.т.</t>
        </is>
      </c>
    </row>
    <row r="1174" ht="20.1" customHeight="1" s="904">
      <c r="B1174" s="909" t="n"/>
      <c r="C1174" s="83" t="inlineStr">
        <is>
          <t>в т.ч. товарный</t>
        </is>
      </c>
      <c r="D1174" s="15" t="n"/>
      <c r="E1174" s="15" t="n"/>
      <c r="F1174" s="16" t="n"/>
      <c r="G1174" s="17" t="inlineStr">
        <is>
          <t>17_100335107</t>
        </is>
      </c>
      <c r="H1174" s="636" t="n"/>
      <c r="I1174" s="17" t="n"/>
      <c r="J1174" s="615" t="inlineStr">
        <is>
          <t>тыс.т.</t>
        </is>
      </c>
    </row>
    <row r="1175" ht="20.1" customHeight="1" s="904">
      <c r="B1175" s="909" t="inlineStr">
        <is>
          <t>3.6</t>
        </is>
      </c>
      <c r="C1175" s="72" t="inlineStr">
        <is>
          <t xml:space="preserve">Бензол </t>
        </is>
      </c>
      <c r="D1175" s="15" t="n"/>
      <c r="E1175" s="15" t="n"/>
      <c r="F1175" s="16" t="n"/>
      <c r="G1175" s="17" t="inlineStr">
        <is>
          <t>17_100335108</t>
        </is>
      </c>
      <c r="H1175" s="636" t="n"/>
      <c r="I1175" s="17" t="n"/>
      <c r="J1175" s="549" t="inlineStr">
        <is>
          <t>тыс.т.</t>
        </is>
      </c>
    </row>
    <row r="1176" ht="20.1" customHeight="1" s="904">
      <c r="B1176" s="909" t="n"/>
      <c r="C1176" s="83" t="inlineStr">
        <is>
          <t>в т.ч. товарный</t>
        </is>
      </c>
      <c r="D1176" s="15" t="n"/>
      <c r="E1176" s="15" t="n"/>
      <c r="F1176" s="16" t="n"/>
      <c r="G1176" s="17" t="inlineStr">
        <is>
          <t>17_100335109</t>
        </is>
      </c>
      <c r="H1176" s="636" t="n"/>
      <c r="I1176" s="17" t="n"/>
      <c r="J1176" s="615" t="inlineStr">
        <is>
          <t>тыс.т.</t>
        </is>
      </c>
    </row>
    <row r="1177" ht="20.1" customHeight="1" s="904">
      <c r="B1177" s="909" t="inlineStr">
        <is>
          <t>3.7</t>
        </is>
      </c>
      <c r="C1177" s="72" t="inlineStr">
        <is>
          <t xml:space="preserve">Кубовый Остаток Ректификации Бензола </t>
        </is>
      </c>
      <c r="D1177" s="15" t="n"/>
      <c r="E1177" s="15" t="n"/>
      <c r="F1177" s="16" t="n"/>
      <c r="G1177" s="17" t="inlineStr">
        <is>
          <t>17_100336080</t>
        </is>
      </c>
      <c r="H1177" s="636" t="n"/>
      <c r="I1177" s="17" t="n"/>
      <c r="J1177" s="549" t="inlineStr">
        <is>
          <t>тыс.т.</t>
        </is>
      </c>
    </row>
    <row r="1178" ht="20.1" customHeight="1" s="904">
      <c r="B1178" s="909" t="n"/>
      <c r="C1178" s="83" t="inlineStr">
        <is>
          <t>в т.ч. товарный</t>
        </is>
      </c>
      <c r="D1178" s="15" t="n"/>
      <c r="E1178" s="15" t="n"/>
      <c r="F1178" s="16" t="n"/>
      <c r="G1178" s="17" t="inlineStr">
        <is>
          <t>17_100336081</t>
        </is>
      </c>
      <c r="H1178" s="636" t="n"/>
      <c r="I1178" s="17" t="n"/>
      <c r="J1178" s="615" t="inlineStr">
        <is>
          <t>тыс.т.</t>
        </is>
      </c>
    </row>
    <row r="1179" ht="20.1" customHeight="1" s="904">
      <c r="B1179" s="909" t="inlineStr">
        <is>
          <t>3.8</t>
        </is>
      </c>
      <c r="C1179" s="72" t="inlineStr">
        <is>
          <t xml:space="preserve">Стирол </t>
        </is>
      </c>
      <c r="D1179" s="15" t="n"/>
      <c r="E1179" s="15" t="n"/>
      <c r="F1179" s="16" t="n"/>
      <c r="G1179" s="17" t="inlineStr">
        <is>
          <t>17_100330837</t>
        </is>
      </c>
      <c r="H1179" s="636" t="n"/>
      <c r="I1179" s="17" t="n"/>
      <c r="J1179" s="549" t="inlineStr">
        <is>
          <t>тыс.т.</t>
        </is>
      </c>
    </row>
    <row r="1180" ht="20.1" customHeight="1" s="904">
      <c r="B1180" s="909" t="n"/>
      <c r="C1180" s="83" t="inlineStr">
        <is>
          <t>в т.ч. товарный</t>
        </is>
      </c>
      <c r="D1180" s="15" t="n"/>
      <c r="E1180" s="15" t="n"/>
      <c r="F1180" s="16" t="n"/>
      <c r="G1180" s="17" t="inlineStr">
        <is>
          <t>17_100330838</t>
        </is>
      </c>
      <c r="H1180" s="636" t="n"/>
      <c r="I1180" s="17" t="n"/>
      <c r="J1180" s="615" t="inlineStr">
        <is>
          <t>тыс.т.</t>
        </is>
      </c>
    </row>
    <row r="1181" ht="20.1" customHeight="1" s="904">
      <c r="B1181" s="909" t="inlineStr">
        <is>
          <t>3.9</t>
        </is>
      </c>
      <c r="C1181" s="72" t="inlineStr">
        <is>
          <t xml:space="preserve">Кубовый Остаток Ректификации Стирола </t>
        </is>
      </c>
      <c r="D1181" s="15" t="n"/>
      <c r="E1181" s="15" t="n"/>
      <c r="F1181" s="16" t="n"/>
      <c r="G1181" s="17" t="inlineStr">
        <is>
          <t>17_100336082</t>
        </is>
      </c>
      <c r="H1181" s="636" t="n"/>
      <c r="I1181" s="17" t="n"/>
      <c r="J1181" s="549" t="inlineStr">
        <is>
          <t>тыс.т.</t>
        </is>
      </c>
    </row>
    <row r="1182" ht="20.1" customHeight="1" s="904">
      <c r="B1182" s="909" t="n"/>
      <c r="C1182" s="83" t="inlineStr">
        <is>
          <t>в т.ч. товарный</t>
        </is>
      </c>
      <c r="D1182" s="15" t="n"/>
      <c r="E1182" s="15" t="n"/>
      <c r="F1182" s="16" t="n"/>
      <c r="G1182" s="17" t="inlineStr">
        <is>
          <t>17_100336083</t>
        </is>
      </c>
      <c r="H1182" s="636" t="n"/>
      <c r="I1182" s="17" t="n"/>
      <c r="J1182" s="615" t="inlineStr">
        <is>
          <t>тыс.т.</t>
        </is>
      </c>
    </row>
    <row r="1183" ht="20.1" customHeight="1" s="904">
      <c r="B1183" s="909" t="inlineStr">
        <is>
          <t>3.10</t>
        </is>
      </c>
      <c r="C1183" s="72" t="inlineStr">
        <is>
          <t xml:space="preserve">Этилбензол </t>
        </is>
      </c>
      <c r="D1183" s="15" t="n"/>
      <c r="E1183" s="15" t="n"/>
      <c r="F1183" s="16" t="n"/>
      <c r="G1183" s="17" t="inlineStr">
        <is>
          <t>17_100336084</t>
        </is>
      </c>
      <c r="H1183" s="636" t="n"/>
      <c r="I1183" s="17" t="n"/>
      <c r="J1183" s="549" t="inlineStr">
        <is>
          <t>тыс.т.</t>
        </is>
      </c>
    </row>
    <row r="1184" ht="20.1" customHeight="1" s="904">
      <c r="B1184" s="909" t="n"/>
      <c r="C1184" s="83" t="inlineStr">
        <is>
          <t>в т.ч. товарный</t>
        </is>
      </c>
      <c r="D1184" s="15" t="n"/>
      <c r="E1184" s="15" t="n"/>
      <c r="F1184" s="16" t="n"/>
      <c r="G1184" s="17" t="inlineStr">
        <is>
          <t>17_100336085</t>
        </is>
      </c>
      <c r="H1184" s="636" t="n"/>
      <c r="I1184" s="17" t="n"/>
      <c r="J1184" s="615" t="inlineStr">
        <is>
          <t>тыс.т.</t>
        </is>
      </c>
    </row>
    <row r="1185" ht="20.1" customHeight="1" s="904">
      <c r="B1185" s="909" t="inlineStr">
        <is>
          <t>3.11</t>
        </is>
      </c>
      <c r="C1185" s="72" t="inlineStr">
        <is>
          <t xml:space="preserve">Полиэтилен высокого давления </t>
        </is>
      </c>
      <c r="D1185" s="15" t="n"/>
      <c r="E1185" s="15" t="n"/>
      <c r="F1185" s="16" t="n"/>
      <c r="G1185" s="17" t="inlineStr">
        <is>
          <t>17_100330840</t>
        </is>
      </c>
      <c r="H1185" s="636" t="n"/>
      <c r="I1185" s="17" t="n"/>
      <c r="J1185" s="549" t="inlineStr">
        <is>
          <t>тыс.т.</t>
        </is>
      </c>
    </row>
    <row r="1186" ht="20.1" customHeight="1" s="904">
      <c r="B1186" s="909" t="n"/>
      <c r="C1186" s="83" t="inlineStr">
        <is>
          <t>в т.ч. товарный</t>
        </is>
      </c>
      <c r="D1186" s="15" t="n"/>
      <c r="E1186" s="15" t="n"/>
      <c r="F1186" s="16" t="n"/>
      <c r="G1186" s="17" t="inlineStr">
        <is>
          <t>17_100335112</t>
        </is>
      </c>
      <c r="H1186" s="636" t="n"/>
      <c r="I1186" s="17" t="n"/>
      <c r="J1186" s="615" t="inlineStr">
        <is>
          <t>тыс.т.</t>
        </is>
      </c>
    </row>
    <row r="1187" ht="20.1" customHeight="1" s="904">
      <c r="B1187" s="909" t="inlineStr">
        <is>
          <t>3.12</t>
        </is>
      </c>
      <c r="C1187" s="72" t="inlineStr">
        <is>
          <t xml:space="preserve">Полиэтилен низкого давления </t>
        </is>
      </c>
      <c r="D1187" s="15" t="n"/>
      <c r="E1187" s="15" t="n"/>
      <c r="F1187" s="16" t="n"/>
      <c r="G1187" s="17" t="inlineStr">
        <is>
          <t>17_100330841</t>
        </is>
      </c>
      <c r="H1187" s="636" t="n"/>
      <c r="I1187" s="17" t="n"/>
      <c r="J1187" s="549" t="inlineStr">
        <is>
          <t>тыс.т.</t>
        </is>
      </c>
    </row>
    <row r="1188" ht="20.1" customHeight="1" s="904">
      <c r="B1188" s="909" t="n"/>
      <c r="C1188" s="83" t="inlineStr">
        <is>
          <t>в т.ч. товарный</t>
        </is>
      </c>
      <c r="D1188" s="15" t="n"/>
      <c r="E1188" s="15" t="n"/>
      <c r="F1188" s="16" t="n"/>
      <c r="G1188" s="17" t="inlineStr">
        <is>
          <t>17_100335113</t>
        </is>
      </c>
      <c r="H1188" s="636" t="n"/>
      <c r="I1188" s="17" t="n"/>
      <c r="J1188" s="615" t="inlineStr">
        <is>
          <t>тыс.т.</t>
        </is>
      </c>
    </row>
    <row r="1189" ht="20.1" customHeight="1" s="904">
      <c r="B1189" s="909" t="inlineStr">
        <is>
          <t>3.13</t>
        </is>
      </c>
      <c r="C1189" s="72" t="inlineStr">
        <is>
          <t xml:space="preserve">Полистирол (ПСМ) </t>
        </is>
      </c>
      <c r="D1189" s="15" t="n"/>
      <c r="E1189" s="15" t="n"/>
      <c r="F1189" s="16" t="n"/>
      <c r="G1189" s="17" t="inlineStr">
        <is>
          <t>17_100330839</t>
        </is>
      </c>
      <c r="H1189" s="636" t="n"/>
      <c r="I1189" s="17" t="n"/>
      <c r="J1189" s="549" t="inlineStr">
        <is>
          <t>тыс.т.</t>
        </is>
      </c>
    </row>
    <row r="1190" ht="20.1" customHeight="1" s="904">
      <c r="B1190" s="909" t="n"/>
      <c r="C1190" s="83" t="inlineStr">
        <is>
          <t>в т.ч. товарный</t>
        </is>
      </c>
      <c r="D1190" s="15" t="n"/>
      <c r="E1190" s="15" t="n"/>
      <c r="F1190" s="16" t="n"/>
      <c r="G1190" s="17" t="inlineStr">
        <is>
          <t>17_100335111</t>
        </is>
      </c>
      <c r="H1190" s="636" t="n"/>
      <c r="I1190" s="17" t="n"/>
      <c r="J1190" s="615" t="inlineStr">
        <is>
          <t>тыс.т.</t>
        </is>
      </c>
    </row>
    <row r="1191" ht="20.1" customHeight="1" s="904">
      <c r="B1191" s="909" t="n"/>
      <c r="C1191" s="72" t="inlineStr">
        <is>
          <t xml:space="preserve">Нормальный  бутанол </t>
        </is>
      </c>
      <c r="D1191" s="15" t="n"/>
      <c r="E1191" s="15" t="n"/>
      <c r="F1191" s="16" t="n"/>
      <c r="G1191" s="17" t="inlineStr">
        <is>
          <t>17_100330842</t>
        </is>
      </c>
      <c r="H1191" s="636" t="n"/>
      <c r="I1191" s="17" t="n"/>
      <c r="J1191" s="549" t="inlineStr">
        <is>
          <t>тыс.т.</t>
        </is>
      </c>
    </row>
    <row r="1192" ht="20.1" customHeight="1" s="904">
      <c r="B1192" s="909" t="n"/>
      <c r="C1192" s="83" t="inlineStr">
        <is>
          <t>в т.ч. товарный</t>
        </is>
      </c>
      <c r="D1192" s="15" t="n"/>
      <c r="E1192" s="15" t="n"/>
      <c r="F1192" s="16" t="n"/>
      <c r="G1192" s="17" t="inlineStr">
        <is>
          <t>17_100330843</t>
        </is>
      </c>
      <c r="H1192" s="636" t="n"/>
      <c r="I1192" s="17" t="n"/>
      <c r="J1192" s="549" t="inlineStr">
        <is>
          <t>тыс.т.</t>
        </is>
      </c>
    </row>
    <row r="1193" ht="20.1" customHeight="1" s="904">
      <c r="B1193" s="909" t="n"/>
      <c r="C1193" s="83" t="inlineStr">
        <is>
          <t>На ООО "Акрил-Салават"</t>
        </is>
      </c>
      <c r="D1193" s="15" t="n"/>
      <c r="E1193" s="15" t="n"/>
      <c r="F1193" s="16" t="n"/>
      <c r="G1193" s="17" t="inlineStr">
        <is>
          <t>17_100336086</t>
        </is>
      </c>
      <c r="H1193" s="636" t="n"/>
      <c r="I1193" s="17" t="n"/>
      <c r="J1193" s="549" t="inlineStr">
        <is>
          <t>тыс.т.</t>
        </is>
      </c>
    </row>
    <row r="1194" ht="20.1" customHeight="1" s="904">
      <c r="B1194" s="909" t="n"/>
      <c r="C1194" s="83" t="inlineStr">
        <is>
          <t>На Дмитриевский хим.завод (производство бутилацетата)</t>
        </is>
      </c>
      <c r="D1194" s="15" t="n"/>
      <c r="E1194" s="15" t="n"/>
      <c r="F1194" s="16" t="n"/>
      <c r="G1194" s="17" t="inlineStr">
        <is>
          <t>17_100336087</t>
        </is>
      </c>
      <c r="H1194" s="636" t="n"/>
      <c r="I1194" s="17" t="n"/>
      <c r="J1194" s="615" t="inlineStr">
        <is>
          <t>тыс.т.</t>
        </is>
      </c>
    </row>
    <row r="1195" ht="20.1" customHeight="1" s="904">
      <c r="B1195" s="909" t="inlineStr">
        <is>
          <t>3.14</t>
        </is>
      </c>
      <c r="C1195" s="72" t="inlineStr">
        <is>
          <t xml:space="preserve">Изобутанол </t>
        </is>
      </c>
      <c r="D1195" s="15" t="n"/>
      <c r="E1195" s="15" t="n"/>
      <c r="F1195" s="16" t="n"/>
      <c r="G1195" s="17" t="inlineStr">
        <is>
          <t>17_100330844</t>
        </is>
      </c>
      <c r="H1195" s="636" t="n"/>
      <c r="I1195" s="17" t="n"/>
      <c r="J1195" s="549" t="inlineStr">
        <is>
          <t>тыс.т.</t>
        </is>
      </c>
    </row>
    <row r="1196" ht="20.1" customHeight="1" s="904">
      <c r="B1196" s="909" t="n"/>
      <c r="C1196" s="83" t="inlineStr">
        <is>
          <t>в т.ч. товарный</t>
        </is>
      </c>
      <c r="D1196" s="15" t="n"/>
      <c r="E1196" s="15" t="n"/>
      <c r="F1196" s="16" t="n"/>
      <c r="G1196" s="17" t="inlineStr">
        <is>
          <t>17_100330845</t>
        </is>
      </c>
      <c r="H1196" s="636" t="n"/>
      <c r="I1196" s="17" t="n"/>
      <c r="J1196" s="615" t="inlineStr">
        <is>
          <t>тыс.т.</t>
        </is>
      </c>
    </row>
    <row r="1197" ht="21.75" customHeight="1" s="904">
      <c r="B1197" s="909" t="n"/>
      <c r="C1197" s="83" t="inlineStr">
        <is>
          <t>На НПЗ</t>
        </is>
      </c>
      <c r="D1197" s="15" t="n"/>
      <c r="E1197" s="15" t="n"/>
      <c r="F1197" s="16" t="n"/>
      <c r="G1197" s="17" t="inlineStr">
        <is>
          <t>17_100336088</t>
        </is>
      </c>
      <c r="H1197" s="636" t="n"/>
      <c r="I1197" s="17" t="n"/>
      <c r="J1197" s="615" t="inlineStr">
        <is>
          <t>тыс.т.</t>
        </is>
      </c>
    </row>
    <row r="1198" ht="20.1" customHeight="1" s="904">
      <c r="B1198" s="909" t="inlineStr">
        <is>
          <t>3.15</t>
        </is>
      </c>
      <c r="C1198" s="58" t="inlineStr">
        <is>
          <t>Кубовый остаток бутиловых спиртов (КОБС)</t>
        </is>
      </c>
      <c r="D1198" s="15" t="n"/>
      <c r="E1198" s="15" t="n"/>
      <c r="F1198" s="16" t="n"/>
      <c r="G1198" s="17" t="inlineStr">
        <is>
          <t>17_100336089</t>
        </is>
      </c>
      <c r="H1198" s="636" t="n"/>
      <c r="I1198" s="17" t="n"/>
      <c r="J1198" s="549" t="inlineStr">
        <is>
          <t>тыс.т.</t>
        </is>
      </c>
    </row>
    <row r="1199" ht="20.1" customHeight="1" s="904">
      <c r="B1199" s="909" t="n"/>
      <c r="C1199" s="83" t="inlineStr">
        <is>
          <t>в т.ч. товарный</t>
        </is>
      </c>
      <c r="D1199" s="15" t="n"/>
      <c r="E1199" s="15" t="n"/>
      <c r="F1199" s="16" t="n"/>
      <c r="G1199" s="17" t="inlineStr">
        <is>
          <t>17_100336090</t>
        </is>
      </c>
      <c r="H1199" s="636" t="n"/>
      <c r="I1199" s="17" t="n"/>
      <c r="J1199" s="549" t="inlineStr">
        <is>
          <t>тыс.т.</t>
        </is>
      </c>
    </row>
    <row r="1200" ht="20.1" customHeight="1" s="904">
      <c r="B1200" s="909" t="n"/>
      <c r="C1200" s="83" t="inlineStr">
        <is>
          <t>На НПЗ</t>
        </is>
      </c>
      <c r="D1200" s="15" t="n"/>
      <c r="E1200" s="15" t="n"/>
      <c r="F1200" s="16" t="n"/>
      <c r="G1200" s="17" t="inlineStr">
        <is>
          <t>17_100336091</t>
        </is>
      </c>
      <c r="H1200" s="636" t="n"/>
      <c r="I1200" s="17" t="n"/>
      <c r="J1200" s="615" t="inlineStr">
        <is>
          <t>тыс.т.</t>
        </is>
      </c>
    </row>
    <row r="1201" ht="20.1" customHeight="1" s="904">
      <c r="B1201" s="909" t="inlineStr">
        <is>
          <t>3.16</t>
        </is>
      </c>
      <c r="C1201" s="72" t="inlineStr">
        <is>
          <t xml:space="preserve">Фталевый ангидрид </t>
        </is>
      </c>
      <c r="D1201" s="15" t="n"/>
      <c r="E1201" s="15" t="n"/>
      <c r="F1201" s="16" t="n"/>
      <c r="G1201" s="17" t="inlineStr">
        <is>
          <t>17_100336092</t>
        </is>
      </c>
      <c r="H1201" s="636" t="n"/>
      <c r="I1201" s="17" t="n"/>
      <c r="J1201" s="549" t="inlineStr">
        <is>
          <t>тыс.т.</t>
        </is>
      </c>
    </row>
    <row r="1202" ht="20.1" customHeight="1" s="904">
      <c r="B1202" s="909" t="n"/>
      <c r="C1202" s="83" t="inlineStr">
        <is>
          <t>в т.ч. товарный</t>
        </is>
      </c>
      <c r="D1202" s="15" t="n"/>
      <c r="E1202" s="15" t="n"/>
      <c r="F1202" s="16" t="n"/>
      <c r="G1202" s="17" t="inlineStr">
        <is>
          <t>17_100336093</t>
        </is>
      </c>
      <c r="H1202" s="636" t="n"/>
      <c r="I1202" s="17" t="n"/>
      <c r="J1202" s="615" t="inlineStr">
        <is>
          <t>тыс.т.</t>
        </is>
      </c>
    </row>
    <row r="1203" ht="20.1" customHeight="1" s="904">
      <c r="B1203" s="909" t="inlineStr">
        <is>
          <t>3.17</t>
        </is>
      </c>
      <c r="C1203" s="72" t="inlineStr">
        <is>
          <t>Эфирная головка</t>
        </is>
      </c>
      <c r="D1203" s="15" t="n"/>
      <c r="E1203" s="15" t="n"/>
      <c r="F1203" s="16" t="n"/>
      <c r="G1203" s="17" t="inlineStr">
        <is>
          <t>17_100336094</t>
        </is>
      </c>
      <c r="H1203" s="636" t="n"/>
      <c r="I1203" s="17" t="n"/>
      <c r="J1203" s="549" t="inlineStr">
        <is>
          <t>тыс.т.</t>
        </is>
      </c>
    </row>
    <row r="1204" ht="20.1" customHeight="1" s="904">
      <c r="B1204" s="909" t="n"/>
      <c r="C1204" s="83" t="inlineStr">
        <is>
          <t>в т.ч. товарный</t>
        </is>
      </c>
      <c r="D1204" s="15" t="n"/>
      <c r="E1204" s="15" t="n"/>
      <c r="F1204" s="16" t="n"/>
      <c r="G1204" s="17" t="inlineStr">
        <is>
          <t>17_100336095</t>
        </is>
      </c>
      <c r="H1204" s="636" t="n"/>
      <c r="I1204" s="17" t="n"/>
      <c r="J1204" s="549" t="inlineStr">
        <is>
          <t>тыс.т.</t>
        </is>
      </c>
    </row>
    <row r="1205" ht="20.1" customHeight="1" s="904">
      <c r="B1205" s="909" t="n"/>
      <c r="C1205" s="83" t="inlineStr">
        <is>
          <t>На НПЗ</t>
        </is>
      </c>
      <c r="D1205" s="15" t="n"/>
      <c r="E1205" s="15" t="n"/>
      <c r="F1205" s="16" t="n"/>
      <c r="G1205" s="17" t="inlineStr">
        <is>
          <t>17_100336096</t>
        </is>
      </c>
      <c r="H1205" s="636" t="n"/>
      <c r="I1205" s="17" t="n"/>
      <c r="J1205" s="615" t="inlineStr">
        <is>
          <t>тыс.т.</t>
        </is>
      </c>
    </row>
    <row r="1206" ht="20.1" customHeight="1" s="904">
      <c r="B1206" s="909" t="inlineStr">
        <is>
          <t>3.18</t>
        </is>
      </c>
      <c r="C1206" s="72" t="inlineStr">
        <is>
          <t xml:space="preserve">Пластификаторы </t>
        </is>
      </c>
      <c r="D1206" s="15" t="n"/>
      <c r="E1206" s="15" t="n"/>
      <c r="F1206" s="16" t="n"/>
      <c r="G1206" s="17" t="inlineStr">
        <is>
          <t>17_100330846</t>
        </is>
      </c>
      <c r="H1206" s="636" t="n"/>
      <c r="I1206" s="17" t="n"/>
      <c r="J1206" s="549" t="inlineStr">
        <is>
          <t>тыс.т.</t>
        </is>
      </c>
    </row>
    <row r="1207" ht="20.1" customHeight="1" s="904">
      <c r="B1207" s="909" t="n"/>
      <c r="C1207" s="83" t="inlineStr">
        <is>
          <t>в т.ч. товарный</t>
        </is>
      </c>
      <c r="D1207" s="15" t="n"/>
      <c r="E1207" s="15" t="n"/>
      <c r="F1207" s="16" t="n"/>
      <c r="G1207" s="17" t="inlineStr">
        <is>
          <t>17_100336097</t>
        </is>
      </c>
      <c r="H1207" s="636" t="n"/>
      <c r="I1207" s="17" t="n"/>
      <c r="J1207" s="615" t="inlineStr">
        <is>
          <t>тыс.т.</t>
        </is>
      </c>
    </row>
    <row r="1208" ht="20.1" customHeight="1" s="904">
      <c r="B1208" s="909" t="inlineStr">
        <is>
          <t>3.19</t>
        </is>
      </c>
      <c r="C1208" s="72" t="inlineStr">
        <is>
          <t xml:space="preserve">Дваэтилгексанол </t>
        </is>
      </c>
      <c r="D1208" s="15" t="n"/>
      <c r="E1208" s="15" t="n"/>
      <c r="F1208" s="16" t="n"/>
      <c r="G1208" s="17" t="inlineStr">
        <is>
          <t>17_100336098</t>
        </is>
      </c>
      <c r="H1208" s="636" t="n"/>
      <c r="I1208" s="17" t="n"/>
      <c r="J1208" s="549" t="inlineStr">
        <is>
          <t>тыс.т.</t>
        </is>
      </c>
    </row>
    <row r="1209" ht="20.1" customHeight="1" s="904">
      <c r="B1209" s="909" t="n"/>
      <c r="C1209" s="83" t="inlineStr">
        <is>
          <t>в т.ч. товарный</t>
        </is>
      </c>
      <c r="D1209" s="15" t="n"/>
      <c r="E1209" s="15" t="n"/>
      <c r="F1209" s="16" t="n"/>
      <c r="G1209" s="17" t="inlineStr">
        <is>
          <t>17_100336099</t>
        </is>
      </c>
      <c r="H1209" s="636" t="n"/>
      <c r="I1209" s="17" t="n"/>
      <c r="J1209" s="615" t="inlineStr">
        <is>
          <t>тыс.т.</t>
        </is>
      </c>
    </row>
    <row r="1210" ht="20.1" customHeight="1" s="904">
      <c r="B1210" s="909" t="inlineStr">
        <is>
          <t>3.20</t>
        </is>
      </c>
      <c r="C1210" s="58" t="inlineStr">
        <is>
          <t xml:space="preserve">Кубовый остаток от дваэтилгексанола (КОРДЭГ) </t>
        </is>
      </c>
      <c r="D1210" s="15" t="n"/>
      <c r="E1210" s="15" t="n"/>
      <c r="F1210" s="16" t="n"/>
      <c r="G1210" s="17" t="inlineStr">
        <is>
          <t>17_100336100</t>
        </is>
      </c>
      <c r="H1210" s="636" t="n"/>
      <c r="I1210" s="17" t="n"/>
      <c r="J1210" s="549" t="inlineStr">
        <is>
          <t>тыс.т.</t>
        </is>
      </c>
    </row>
    <row r="1211" ht="20.1" customHeight="1" s="904">
      <c r="B1211" s="909" t="n"/>
      <c r="C1211" s="83" t="inlineStr">
        <is>
          <t>в т.ч. товарный</t>
        </is>
      </c>
      <c r="D1211" s="15" t="n"/>
      <c r="E1211" s="15" t="n"/>
      <c r="F1211" s="16" t="n"/>
      <c r="G1211" s="17" t="inlineStr">
        <is>
          <t>17_100336101</t>
        </is>
      </c>
      <c r="H1211" s="636" t="n"/>
      <c r="I1211" s="17" t="n"/>
      <c r="J1211" s="615" t="inlineStr">
        <is>
          <t>тыс.т.</t>
        </is>
      </c>
    </row>
    <row r="1212" ht="20.1" customHeight="1" s="904">
      <c r="B1212" s="909" t="n"/>
      <c r="C1212" s="83" t="n"/>
      <c r="D1212" s="15" t="n"/>
      <c r="E1212" s="15" t="n"/>
      <c r="F1212" s="16" t="n"/>
      <c r="G1212" s="17" t="n"/>
      <c r="H1212" s="636" t="n"/>
      <c r="I1212" s="17" t="n"/>
      <c r="J1212" s="615" t="n"/>
    </row>
    <row r="1213" ht="20.1" customHeight="1" s="904">
      <c r="B1213" s="909" t="n"/>
      <c r="C1213" s="71" t="inlineStr">
        <is>
          <t>ГАЗОХИМИЧЕСКИЙ ЗАВОД (ГХЗ)</t>
        </is>
      </c>
      <c r="D1213" s="15" t="n"/>
      <c r="E1213" s="15" t="n"/>
      <c r="F1213" s="16" t="n"/>
      <c r="G1213" s="17" t="n"/>
      <c r="H1213" s="636" t="n"/>
      <c r="I1213" s="17" t="n"/>
      <c r="J1213" s="615" t="n"/>
    </row>
    <row r="1214" ht="20.1" customHeight="1" s="904">
      <c r="B1214" s="909" t="inlineStr">
        <is>
          <t>1.</t>
        </is>
      </c>
      <c r="C1214" s="58" t="inlineStr">
        <is>
          <t xml:space="preserve">ПЕРЕРАБОТКА СЫРЬЯ </t>
        </is>
      </c>
      <c r="D1214" s="15" t="n"/>
      <c r="E1214" s="15" t="n"/>
      <c r="F1214" s="16" t="n"/>
      <c r="G1214" s="17" t="n"/>
      <c r="H1214" s="636" t="n"/>
      <c r="I1214" s="17" t="n"/>
      <c r="J1214" s="615" t="n"/>
    </row>
    <row r="1215" ht="20.1" customHeight="1" s="904">
      <c r="B1215" s="909" t="inlineStr">
        <is>
          <t>1.1</t>
        </is>
      </c>
      <c r="C1215" s="72" t="inlineStr">
        <is>
          <t>Природный газ</t>
        </is>
      </c>
      <c r="D1215" s="15" t="n"/>
      <c r="E1215" s="15" t="n"/>
      <c r="F1215" s="16" t="n"/>
      <c r="G1215" s="17" t="inlineStr">
        <is>
          <t>17_100330794</t>
        </is>
      </c>
      <c r="H1215" s="636" t="n"/>
      <c r="I1215" s="17" t="n"/>
      <c r="J1215" s="615" t="inlineStr">
        <is>
          <t>млн.м3</t>
        </is>
      </c>
    </row>
    <row r="1216" ht="20.1" customHeight="1" s="904">
      <c r="B1216" s="909" t="inlineStr">
        <is>
          <t>2.</t>
        </is>
      </c>
      <c r="C1216" s="58" t="inlineStr">
        <is>
          <t xml:space="preserve">ПРОДУКЦИЯ </t>
        </is>
      </c>
      <c r="D1216" s="15" t="n"/>
      <c r="E1216" s="15" t="n"/>
      <c r="F1216" s="16" t="n"/>
      <c r="G1216" s="17" t="n"/>
      <c r="H1216" s="636" t="n"/>
      <c r="I1216" s="17" t="n"/>
      <c r="J1216" s="615" t="n"/>
    </row>
    <row r="1217" ht="20.1" customHeight="1" s="904">
      <c r="B1217" s="909" t="inlineStr">
        <is>
          <t>2.1</t>
        </is>
      </c>
      <c r="C1217" s="72" t="inlineStr">
        <is>
          <t xml:space="preserve">Аммиак </t>
        </is>
      </c>
      <c r="D1217" s="15" t="n"/>
      <c r="E1217" s="15" t="n"/>
      <c r="F1217" s="16" t="n"/>
      <c r="G1217" s="17" t="inlineStr">
        <is>
          <t>17_100330798</t>
        </is>
      </c>
      <c r="H1217" s="636" t="n"/>
      <c r="I1217" s="17" t="n"/>
      <c r="J1217" s="549" t="inlineStr">
        <is>
          <t>тыс.т.</t>
        </is>
      </c>
    </row>
    <row r="1218" ht="20.1" customHeight="1" s="904">
      <c r="B1218" s="909" t="n"/>
      <c r="C1218" s="83" t="inlineStr">
        <is>
          <t>в т.ч. товарный</t>
        </is>
      </c>
      <c r="D1218" s="15" t="n"/>
      <c r="E1218" s="15" t="n"/>
      <c r="F1218" s="16" t="n"/>
      <c r="G1218" s="17" t="inlineStr">
        <is>
          <t>17_100330799</t>
        </is>
      </c>
      <c r="H1218" s="636" t="n"/>
      <c r="I1218" s="17" t="n"/>
      <c r="J1218" s="615" t="inlineStr">
        <is>
          <t>тыс.т.</t>
        </is>
      </c>
    </row>
    <row r="1219" ht="20.1" customHeight="1" s="904">
      <c r="B1219" s="909" t="inlineStr">
        <is>
          <t>2.2</t>
        </is>
      </c>
      <c r="C1219" s="72" t="inlineStr">
        <is>
          <t xml:space="preserve">Карбамид </t>
        </is>
      </c>
      <c r="D1219" s="15" t="n"/>
      <c r="E1219" s="15" t="n"/>
      <c r="F1219" s="16" t="n"/>
      <c r="G1219" s="17" t="inlineStr">
        <is>
          <t>17_100330796</t>
        </is>
      </c>
      <c r="H1219" s="636" t="n"/>
      <c r="I1219" s="17" t="n"/>
      <c r="J1219" s="549" t="inlineStr">
        <is>
          <t>тыс.т.</t>
        </is>
      </c>
    </row>
    <row r="1220" ht="20.1" customHeight="1" s="904">
      <c r="B1220" s="909" t="n"/>
      <c r="C1220" s="83" t="inlineStr">
        <is>
          <t>в т.ч. товарный</t>
        </is>
      </c>
      <c r="D1220" s="15" t="n"/>
      <c r="E1220" s="15" t="n"/>
      <c r="F1220" s="16" t="n"/>
      <c r="G1220" s="17" t="inlineStr">
        <is>
          <t>17_100336102</t>
        </is>
      </c>
      <c r="H1220" s="636" t="n"/>
      <c r="I1220" s="17" t="n"/>
      <c r="J1220" s="615" t="inlineStr">
        <is>
          <t>тыс.т.</t>
        </is>
      </c>
    </row>
    <row r="1221" ht="20.1" customHeight="1" s="904">
      <c r="B1221" s="909" t="inlineStr">
        <is>
          <t>2.3</t>
        </is>
      </c>
      <c r="C1221" s="72" t="inlineStr">
        <is>
          <t xml:space="preserve">Аммиачная вода </t>
        </is>
      </c>
      <c r="D1221" s="15" t="n"/>
      <c r="E1221" s="15" t="n"/>
      <c r="F1221" s="16" t="n"/>
      <c r="G1221" s="17" t="inlineStr">
        <is>
          <t>17_100330800</t>
        </is>
      </c>
      <c r="H1221" s="636" t="n"/>
      <c r="I1221" s="17" t="n"/>
      <c r="J1221" s="549" t="inlineStr">
        <is>
          <t>тыс.т.</t>
        </is>
      </c>
    </row>
    <row r="1222" ht="20.1" customHeight="1" s="904">
      <c r="B1222" s="909" t="n"/>
      <c r="C1222" s="83" t="inlineStr">
        <is>
          <t>в т.ч. товарный</t>
        </is>
      </c>
      <c r="D1222" s="15" t="n"/>
      <c r="E1222" s="15" t="n"/>
      <c r="F1222" s="16" t="n"/>
      <c r="G1222" s="17" t="inlineStr">
        <is>
          <t>17_100336103</t>
        </is>
      </c>
      <c r="H1222" s="636" t="n"/>
      <c r="I1222" s="17" t="n"/>
      <c r="J1222" s="615" t="inlineStr">
        <is>
          <t>тыс.т.</t>
        </is>
      </c>
    </row>
    <row r="1223" ht="20.1" customHeight="1" s="904">
      <c r="B1223" s="909" t="n"/>
      <c r="C1223" s="83" t="n"/>
      <c r="D1223" s="15" t="n"/>
      <c r="E1223" s="15" t="n"/>
      <c r="F1223" s="16" t="n"/>
      <c r="G1223" s="17" t="n"/>
      <c r="H1223" s="636" t="n"/>
      <c r="I1223" s="17" t="n"/>
      <c r="J1223" s="615" t="n"/>
    </row>
    <row r="1224" ht="20.1" customHeight="1" s="904">
      <c r="B1224" s="909" t="n"/>
      <c r="C1224" s="71" t="inlineStr">
        <is>
          <t>ООО "АКРИЛ-САЛАВАТ"</t>
        </is>
      </c>
      <c r="D1224" s="15" t="n"/>
      <c r="E1224" s="15" t="n"/>
      <c r="F1224" s="16" t="n"/>
      <c r="G1224" s="17" t="n"/>
      <c r="H1224" s="636" t="n"/>
      <c r="I1224" s="17" t="n"/>
      <c r="J1224" s="615" t="n"/>
    </row>
    <row r="1225" ht="31.5" customHeight="1" s="904">
      <c r="B1225" s="909" t="inlineStr">
        <is>
          <t>1.</t>
        </is>
      </c>
      <c r="C1225" s="58" t="inlineStr">
        <is>
          <t xml:space="preserve">ПЕРЕРАБОТКА СЫРЬЯ </t>
        </is>
      </c>
      <c r="D1225" s="15" t="n"/>
      <c r="E1225" s="15" t="n"/>
      <c r="F1225" s="16" t="n"/>
      <c r="G1225" s="17" t="inlineStr">
        <is>
          <t>17_100332347</t>
        </is>
      </c>
      <c r="H1225" s="636" t="n"/>
      <c r="I1225" s="17" t="n"/>
      <c r="J1225" s="615" t="inlineStr">
        <is>
          <t>тыс.т.</t>
        </is>
      </c>
    </row>
    <row r="1226" ht="35.1" customHeight="1" s="904">
      <c r="B1226" s="909" t="inlineStr">
        <is>
          <t>1.1</t>
        </is>
      </c>
      <c r="C1226" s="75" t="inlineStr">
        <is>
          <t>Пропилен с завода "Мономер" 
ООО "Газпром нефтехим Салават"</t>
        </is>
      </c>
      <c r="D1226" s="15" t="n"/>
      <c r="E1226" s="15" t="n"/>
      <c r="F1226" s="16" t="n"/>
      <c r="G1226" s="17" t="inlineStr">
        <is>
          <t>17_100332348</t>
        </is>
      </c>
      <c r="H1226" s="636" t="n"/>
      <c r="I1226" s="17" t="n"/>
      <c r="J1226" s="615" t="inlineStr">
        <is>
          <t>тыс.т.</t>
        </is>
      </c>
    </row>
    <row r="1227" ht="35.1" customHeight="1" s="904">
      <c r="B1227" s="909" t="inlineStr">
        <is>
          <t>1.2</t>
        </is>
      </c>
      <c r="C1227" s="75" t="inlineStr">
        <is>
          <t>Бутанол с завода "Мономер" 
ООО "Газпром нефтехим Салават"</t>
        </is>
      </c>
      <c r="D1227" s="15" t="n"/>
      <c r="E1227" s="15" t="n"/>
      <c r="F1227" s="16" t="n"/>
      <c r="G1227" s="17" t="inlineStr">
        <is>
          <t>17_100332349</t>
        </is>
      </c>
      <c r="H1227" s="636" t="n"/>
      <c r="I1227" s="17" t="n"/>
      <c r="J1227" s="615" t="inlineStr">
        <is>
          <t>тыс.т.</t>
        </is>
      </c>
    </row>
    <row r="1228" ht="20.1" customHeight="1" s="904">
      <c r="B1228" s="909" t="inlineStr">
        <is>
          <t>2.</t>
        </is>
      </c>
      <c r="C1228" s="58" t="inlineStr">
        <is>
          <t xml:space="preserve">ПРОДУКЦИЯ </t>
        </is>
      </c>
      <c r="D1228" s="15" t="n"/>
      <c r="E1228" s="15" t="n"/>
      <c r="F1228" s="16" t="n"/>
      <c r="G1228" s="17" t="n"/>
      <c r="H1228" s="636" t="n"/>
      <c r="I1228" s="17" t="n"/>
      <c r="J1228" s="615" t="n"/>
    </row>
    <row r="1229" ht="20.1" customHeight="1" s="904">
      <c r="B1229" s="909" t="inlineStr">
        <is>
          <t>2.1</t>
        </is>
      </c>
      <c r="C1229" s="72" t="inlineStr">
        <is>
          <t>Бутилакрилат (товарный)</t>
        </is>
      </c>
      <c r="D1229" s="15" t="n"/>
      <c r="E1229" s="15" t="n"/>
      <c r="F1229" s="16" t="n"/>
      <c r="G1229" s="17" t="inlineStr">
        <is>
          <t>17_100332352</t>
        </is>
      </c>
      <c r="H1229" s="636" t="n"/>
      <c r="I1229" s="17" t="n"/>
      <c r="J1229" s="615" t="inlineStr">
        <is>
          <t>тыс.т.</t>
        </is>
      </c>
    </row>
    <row r="1230" ht="20.1" customHeight="1" s="904">
      <c r="B1230" s="909" t="inlineStr">
        <is>
          <t>2.2</t>
        </is>
      </c>
      <c r="C1230" s="72" t="inlineStr">
        <is>
          <t>Ледяная акриловая кислота (товарный)</t>
        </is>
      </c>
      <c r="D1230" s="15" t="n"/>
      <c r="E1230" s="15" t="n"/>
      <c r="F1230" s="16" t="n"/>
      <c r="G1230" s="17" t="inlineStr">
        <is>
          <t>17_100332353</t>
        </is>
      </c>
      <c r="H1230" s="636" t="n"/>
      <c r="I1230" s="17" t="n"/>
      <c r="J1230" s="24" t="inlineStr">
        <is>
          <t>тыс.т.</t>
        </is>
      </c>
    </row>
    <row r="1231" ht="20.1" customHeight="1" s="904">
      <c r="B1231" s="909" t="n"/>
      <c r="C1231" s="84" t="n"/>
      <c r="D1231" s="15" t="n"/>
      <c r="E1231" s="15" t="n"/>
      <c r="F1231" s="16" t="n"/>
      <c r="G1231" s="17" t="n"/>
      <c r="H1231" s="636" t="n"/>
      <c r="I1231" s="17" t="n"/>
      <c r="J1231" s="63" t="n"/>
    </row>
    <row r="1232" ht="20.1" customHeight="1" s="904">
      <c r="B1232" s="735" t="inlineStr">
        <is>
          <t>Раздел 3. Прогноз  переработки давальческого углеводородного сырья ассоциированных обществ  и совместных предприятий на предприятиях Группы Газпром</t>
        </is>
      </c>
      <c r="C1232" s="63" t="n"/>
      <c r="D1232" s="15" t="n"/>
      <c r="E1232" s="15" t="n"/>
      <c r="F1232" s="16" t="n"/>
      <c r="G1232" s="17" t="n"/>
      <c r="H1232" s="636" t="n"/>
      <c r="I1232" s="17" t="n"/>
      <c r="J1232" s="24" t="n"/>
    </row>
    <row r="1233" ht="20.1" customHeight="1" s="904">
      <c r="B1233" s="909" t="n"/>
      <c r="C1233" s="735" t="inlineStr">
        <is>
          <t>ТОО "КазРосГаз" (Оренбургский ГПЗ)</t>
        </is>
      </c>
      <c r="D1233" s="15" t="n"/>
      <c r="E1233" s="15" t="n"/>
      <c r="F1233" s="16" t="n"/>
      <c r="G1233" s="17" t="n"/>
      <c r="H1233" s="636" t="n"/>
      <c r="I1233" s="17" t="n"/>
      <c r="J1233" s="24" t="n"/>
    </row>
    <row r="1234" ht="20.1" customHeight="1" s="904">
      <c r="B1234" s="14" t="inlineStr">
        <is>
          <t>1.</t>
        </is>
      </c>
      <c r="C1234" s="14" t="inlineStr">
        <is>
          <t>CЫРЬЕ</t>
        </is>
      </c>
      <c r="D1234" s="15" t="n"/>
      <c r="E1234" s="15" t="n"/>
      <c r="F1234" s="16" t="n"/>
      <c r="G1234" s="17" t="n"/>
      <c r="H1234" s="636" t="n"/>
      <c r="I1234" s="17" t="n"/>
      <c r="J1234" s="24" t="n"/>
    </row>
    <row r="1235" ht="20.1" customHeight="1" s="904">
      <c r="B1235" s="909" t="inlineStr">
        <is>
          <t>1.1</t>
        </is>
      </c>
      <c r="C1235" s="569" t="inlineStr">
        <is>
          <t>Переработка газа на Оренбургском ГПЗ</t>
        </is>
      </c>
      <c r="D1235" s="15" t="n"/>
      <c r="E1235" s="15" t="n"/>
      <c r="F1235" s="16" t="n"/>
      <c r="G1235" s="17">
        <f>G1236</f>
        <v/>
      </c>
      <c r="H1235" s="636" t="n"/>
      <c r="I1235" s="17" t="n"/>
      <c r="J1235" s="549" t="inlineStr">
        <is>
          <t>млн куб. м</t>
        </is>
      </c>
    </row>
    <row r="1236" ht="20.1" customHeight="1" s="904">
      <c r="B1236" s="909" t="n"/>
      <c r="C1236" s="51" t="inlineStr">
        <is>
          <t xml:space="preserve">   ТОО "КазРосГаз"(газ КГКМ)</t>
        </is>
      </c>
      <c r="D1236" s="15" t="n"/>
      <c r="E1236" s="15" t="n"/>
      <c r="F1236" s="16" t="n"/>
      <c r="G1236" s="17" t="inlineStr">
        <is>
          <t>2_100332046</t>
        </is>
      </c>
      <c r="H1236" s="636" t="n"/>
      <c r="I1236" s="17" t="n"/>
      <c r="J1236" s="549" t="inlineStr">
        <is>
          <t>млн куб. м</t>
        </is>
      </c>
    </row>
    <row r="1237" ht="20.1" customHeight="1" s="904">
      <c r="B1237" s="909" t="n"/>
      <c r="C1237" s="51" t="inlineStr">
        <is>
          <t>в т.ч. на У-01 АО "ЮУПК"</t>
        </is>
      </c>
      <c r="D1237" s="15" t="n"/>
      <c r="E1237" s="15" t="n"/>
      <c r="F1237" s="16" t="n"/>
      <c r="G1237" s="17" t="inlineStr">
        <is>
          <t>2_100332048</t>
        </is>
      </c>
      <c r="H1237" s="636" t="n"/>
      <c r="I1237" s="17" t="n"/>
      <c r="J1237" s="24" t="inlineStr">
        <is>
          <t>млн куб. м</t>
        </is>
      </c>
    </row>
    <row r="1238" ht="20.1" customHeight="1" s="904">
      <c r="B1238" s="909" t="inlineStr">
        <is>
          <t>1.2</t>
        </is>
      </c>
      <c r="C1238" s="9" t="inlineStr">
        <is>
          <t>Переработка газа на Оренбургском гелиевом заводе:</t>
        </is>
      </c>
      <c r="D1238" s="15" t="n"/>
      <c r="E1238" s="15" t="n"/>
      <c r="F1238" s="16" t="n"/>
      <c r="G1238" s="17">
        <f>G1239</f>
        <v/>
      </c>
      <c r="H1238" s="636" t="n"/>
      <c r="I1238" s="17" t="n"/>
      <c r="J1238" s="549" t="inlineStr">
        <is>
          <t>млн куб. м</t>
        </is>
      </c>
    </row>
    <row r="1239" ht="20.1" customHeight="1" s="904">
      <c r="B1239" s="909" t="n"/>
      <c r="C1239" s="51" t="inlineStr">
        <is>
          <t xml:space="preserve">   ТОО "КазРосГаз"(газ КГКМ)</t>
        </is>
      </c>
      <c r="D1239" s="15" t="n"/>
      <c r="E1239" s="15" t="n"/>
      <c r="F1239" s="16" t="n"/>
      <c r="G1239" s="17" t="inlineStr">
        <is>
          <t>2_100332058</t>
        </is>
      </c>
      <c r="H1239" s="636" t="n"/>
      <c r="I1239" s="17" t="n"/>
      <c r="J1239" s="24" t="inlineStr">
        <is>
          <t>млн куб. м</t>
        </is>
      </c>
    </row>
    <row r="1240" ht="20.1" customHeight="1" s="904">
      <c r="B1240" s="14" t="n"/>
      <c r="C1240" s="14" t="inlineStr">
        <is>
          <t xml:space="preserve">ПРОДУКЦИЯ    </t>
        </is>
      </c>
      <c r="D1240" s="15" t="n"/>
      <c r="E1240" s="15" t="n"/>
      <c r="F1240" s="16" t="n"/>
      <c r="G1240" s="17" t="n"/>
      <c r="H1240" s="636" t="n"/>
      <c r="I1240" s="17" t="n"/>
      <c r="J1240" s="24" t="n"/>
    </row>
    <row r="1241" ht="20.1" customHeight="1" s="904">
      <c r="B1241" s="909" t="inlineStr">
        <is>
          <t>2.</t>
        </is>
      </c>
      <c r="C1241" s="9" t="inlineStr">
        <is>
          <t>Сера техническая</t>
        </is>
      </c>
      <c r="D1241" s="15" t="n"/>
      <c r="E1241" s="15" t="n"/>
      <c r="F1241" s="16" t="n"/>
      <c r="G1241" s="17" t="n"/>
      <c r="H1241" s="636" t="n"/>
      <c r="I1241" s="17" t="n"/>
      <c r="J1241" s="24" t="n"/>
    </row>
    <row r="1242" ht="20.1" customHeight="1" s="904">
      <c r="B1242" s="909" t="n"/>
      <c r="C1242" s="85" t="inlineStr">
        <is>
          <t>Оренбургский ГХК:</t>
        </is>
      </c>
      <c r="D1242" s="15" t="n"/>
      <c r="E1242" s="15" t="n"/>
      <c r="F1242" s="16" t="n"/>
      <c r="G1242" s="17">
        <f>G1243</f>
        <v/>
      </c>
      <c r="H1242" s="636" t="n"/>
      <c r="I1242" s="17" t="n"/>
      <c r="J1242" s="549" t="inlineStr">
        <is>
          <t>тыс.т</t>
        </is>
      </c>
    </row>
    <row r="1243" ht="20.1" customHeight="1" s="904">
      <c r="B1243" s="909" t="n"/>
      <c r="C1243" s="51" t="inlineStr">
        <is>
          <t xml:space="preserve">   ТОО "КазРосГаз"(из газа КГКМ)</t>
        </is>
      </c>
      <c r="D1243" s="15" t="n"/>
      <c r="E1243" s="15" t="n"/>
      <c r="F1243" s="16" t="n"/>
      <c r="G1243" s="17" t="inlineStr">
        <is>
          <t>2_100332198</t>
        </is>
      </c>
      <c r="H1243" s="636" t="n"/>
      <c r="I1243" s="17" t="n"/>
      <c r="J1243" s="24" t="inlineStr">
        <is>
          <t>тыс.т</t>
        </is>
      </c>
    </row>
    <row r="1244" ht="20.1" customHeight="1" s="904">
      <c r="B1244" s="909" t="inlineStr">
        <is>
          <t>2.1</t>
        </is>
      </c>
      <c r="C1244" s="9" t="inlineStr">
        <is>
          <t>Стабильный газовый конденсат и нефть товарные</t>
        </is>
      </c>
      <c r="D1244" s="15" t="n"/>
      <c r="E1244" s="15" t="n"/>
      <c r="F1244" s="16" t="n"/>
      <c r="G1244" s="17" t="n"/>
      <c r="H1244" s="636" t="n"/>
      <c r="I1244" s="17" t="n"/>
      <c r="J1244" s="24" t="n"/>
    </row>
    <row r="1245" ht="20.1" customHeight="1" s="904">
      <c r="B1245" s="909" t="n"/>
      <c r="C1245" s="85" t="inlineStr">
        <is>
          <t>Оренбургский ГХК:</t>
        </is>
      </c>
      <c r="D1245" s="15" t="n"/>
      <c r="E1245" s="15" t="n"/>
      <c r="F1245" s="16" t="n"/>
      <c r="G1245" s="17">
        <f>G1246</f>
        <v/>
      </c>
      <c r="H1245" s="636" t="n"/>
      <c r="I1245" s="17" t="n"/>
      <c r="J1245" s="549" t="inlineStr">
        <is>
          <t>тыс.т</t>
        </is>
      </c>
    </row>
    <row r="1246" ht="20.1" customHeight="1" s="904">
      <c r="B1246" s="909" t="n"/>
      <c r="C1246" s="51" t="inlineStr">
        <is>
          <t xml:space="preserve">   ТОО "КазРосГаз"(из газа КГКМ)</t>
        </is>
      </c>
      <c r="D1246" s="15" t="n"/>
      <c r="E1246" s="15" t="n"/>
      <c r="F1246" s="16" t="n"/>
      <c r="G1246" s="17" t="inlineStr">
        <is>
          <t>2_100332259</t>
        </is>
      </c>
      <c r="H1246" s="636" t="n"/>
      <c r="I1246" s="17" t="n"/>
      <c r="J1246" s="24" t="inlineStr">
        <is>
          <t>тыс.т</t>
        </is>
      </c>
    </row>
    <row r="1247" ht="20.1" customHeight="1" s="904">
      <c r="B1247" s="909" t="inlineStr">
        <is>
          <t>2.2</t>
        </is>
      </c>
      <c r="C1247" s="9" t="inlineStr">
        <is>
          <t xml:space="preserve">Газы углеводородные сжиженные  </t>
        </is>
      </c>
      <c r="D1247" s="15" t="n"/>
      <c r="E1247" s="15" t="n"/>
      <c r="F1247" s="16" t="n"/>
      <c r="G1247" s="17" t="n"/>
      <c r="H1247" s="636" t="n"/>
      <c r="I1247" s="17" t="n"/>
      <c r="J1247" s="24" t="n"/>
    </row>
    <row r="1248" ht="20.1" customHeight="1" s="904">
      <c r="B1248" s="909" t="n"/>
      <c r="C1248" s="85" t="inlineStr">
        <is>
          <t>Оренбургский ГХК:</t>
        </is>
      </c>
      <c r="D1248" s="15" t="n"/>
      <c r="E1248" s="15" t="n"/>
      <c r="F1248" s="16" t="n"/>
      <c r="G1248" s="17">
        <f>G1249</f>
        <v/>
      </c>
      <c r="H1248" s="636" t="n"/>
      <c r="I1248" s="17" t="n"/>
      <c r="J1248" s="549" t="inlineStr">
        <is>
          <t>тыс.т</t>
        </is>
      </c>
    </row>
    <row r="1249" ht="20.1" customHeight="1" s="904">
      <c r="B1249" s="909" t="n"/>
      <c r="C1249" s="51" t="inlineStr">
        <is>
          <t xml:space="preserve">   ТОО "КазРосГаз"(из газа КГКМ)</t>
        </is>
      </c>
      <c r="D1249" s="15" t="n"/>
      <c r="E1249" s="15" t="n"/>
      <c r="F1249" s="16" t="n"/>
      <c r="G1249" s="17" t="inlineStr">
        <is>
          <t>2_100332227</t>
        </is>
      </c>
      <c r="H1249" s="636" t="n"/>
      <c r="I1249" s="17" t="n"/>
      <c r="J1249" s="24" t="inlineStr">
        <is>
          <t>тыс.т</t>
        </is>
      </c>
    </row>
    <row r="1250" ht="20.1" customHeight="1" s="904">
      <c r="B1250" s="909" t="inlineStr">
        <is>
          <t>2.3</t>
        </is>
      </c>
      <c r="C1250" s="9" t="inlineStr">
        <is>
          <t>ШФЛУ</t>
        </is>
      </c>
      <c r="D1250" s="15" t="n"/>
      <c r="E1250" s="15" t="n"/>
      <c r="F1250" s="16" t="n"/>
      <c r="G1250" s="17" t="n"/>
      <c r="H1250" s="636" t="n"/>
      <c r="I1250" s="17" t="n"/>
      <c r="J1250" s="24" t="n"/>
    </row>
    <row r="1251" ht="20.1" customHeight="1" s="904">
      <c r="B1251" s="909" t="n"/>
      <c r="C1251" s="85" t="inlineStr">
        <is>
          <t>Оренбургский ГХК:</t>
        </is>
      </c>
      <c r="D1251" s="15" t="n"/>
      <c r="E1251" s="15" t="n"/>
      <c r="F1251" s="16" t="n"/>
      <c r="G1251" s="17">
        <f>G1252</f>
        <v/>
      </c>
      <c r="H1251" s="636" t="n"/>
      <c r="I1251" s="17" t="n"/>
      <c r="J1251" s="549" t="inlineStr">
        <is>
          <t>тыс.т</t>
        </is>
      </c>
    </row>
    <row r="1252" ht="20.1" customHeight="1" s="904">
      <c r="B1252" s="909" t="n"/>
      <c r="C1252" s="51" t="inlineStr">
        <is>
          <t xml:space="preserve">   ТОО "КазРосГаз"(из газа КГКМ)</t>
        </is>
      </c>
      <c r="D1252" s="15" t="n"/>
      <c r="E1252" s="15" t="n"/>
      <c r="F1252" s="16" t="n"/>
      <c r="G1252" s="17" t="inlineStr">
        <is>
          <t>2_100336104</t>
        </is>
      </c>
      <c r="H1252" s="636" t="n"/>
      <c r="I1252" s="17" t="n"/>
      <c r="J1252" s="24" t="inlineStr">
        <is>
          <t>тыс.т</t>
        </is>
      </c>
    </row>
    <row r="1253" ht="20.1" customHeight="1" s="904">
      <c r="B1253" s="909" t="inlineStr">
        <is>
          <t>2.4</t>
        </is>
      </c>
      <c r="C1253" s="9" t="inlineStr">
        <is>
          <t>Этановая фракция</t>
        </is>
      </c>
      <c r="D1253" s="15" t="n"/>
      <c r="E1253" s="15" t="n"/>
      <c r="F1253" s="16" t="n"/>
      <c r="G1253" s="17" t="n"/>
      <c r="H1253" s="636" t="n"/>
      <c r="I1253" s="17" t="n"/>
      <c r="J1253" s="24" t="n"/>
    </row>
    <row r="1254" ht="20.1" customHeight="1" s="904">
      <c r="B1254" s="909" t="n"/>
      <c r="C1254" s="85" t="inlineStr">
        <is>
          <t>Оренбургский ГХК:</t>
        </is>
      </c>
      <c r="D1254" s="15" t="n"/>
      <c r="E1254" s="15" t="n"/>
      <c r="F1254" s="16" t="n"/>
      <c r="G1254" s="17">
        <f>G1255</f>
        <v/>
      </c>
      <c r="H1254" s="636" t="n"/>
      <c r="I1254" s="17" t="n"/>
      <c r="J1254" s="549" t="inlineStr">
        <is>
          <t>тыс.т</t>
        </is>
      </c>
    </row>
    <row r="1255" ht="20.1" customHeight="1" s="904">
      <c r="B1255" s="909" t="n"/>
      <c r="C1255" s="51" t="inlineStr">
        <is>
          <t xml:space="preserve">   ТОО "КазРосГаз"(из газа КГКМ)</t>
        </is>
      </c>
      <c r="D1255" s="15" t="n"/>
      <c r="E1255" s="15" t="n"/>
      <c r="F1255" s="16" t="n"/>
      <c r="G1255" s="17" t="inlineStr">
        <is>
          <t>2_100332244</t>
        </is>
      </c>
      <c r="H1255" s="636" t="n"/>
      <c r="I1255" s="17" t="n"/>
      <c r="J1255" s="24" t="inlineStr">
        <is>
          <t>тыс.т</t>
        </is>
      </c>
    </row>
    <row r="1256" ht="20.1" customHeight="1" s="904">
      <c r="B1256" s="909" t="inlineStr">
        <is>
          <t>2.5</t>
        </is>
      </c>
      <c r="C1256" s="9" t="inlineStr">
        <is>
          <t xml:space="preserve">Топливный газ </t>
        </is>
      </c>
      <c r="D1256" s="15" t="n"/>
      <c r="E1256" s="15" t="n"/>
      <c r="F1256" s="16" t="n"/>
      <c r="G1256" s="17" t="n"/>
      <c r="H1256" s="636" t="n"/>
      <c r="I1256" s="17" t="n"/>
      <c r="J1256" s="24" t="n"/>
    </row>
    <row r="1257" ht="20.1" customHeight="1" s="904">
      <c r="B1257" s="909" t="n"/>
      <c r="C1257" s="85" t="inlineStr">
        <is>
          <t>Оренбургский ГХК:</t>
        </is>
      </c>
      <c r="D1257" s="15" t="n"/>
      <c r="E1257" s="15" t="n"/>
      <c r="F1257" s="16" t="n"/>
      <c r="G1257" s="17">
        <f>G1258</f>
        <v/>
      </c>
      <c r="H1257" s="636" t="n"/>
      <c r="I1257" s="17" t="n"/>
      <c r="J1257" s="549" t="inlineStr">
        <is>
          <t>млн куб. м</t>
        </is>
      </c>
    </row>
    <row r="1258" ht="20.1" customHeight="1" s="904">
      <c r="B1258" s="909" t="n"/>
      <c r="C1258" s="51" t="inlineStr">
        <is>
          <t xml:space="preserve">   ТОО "КазРосГаз"(из газа КГКМ)</t>
        </is>
      </c>
      <c r="D1258" s="15" t="n"/>
      <c r="E1258" s="15" t="n"/>
      <c r="F1258" s="16" t="n"/>
      <c r="G1258" s="17" t="inlineStr">
        <is>
          <t>2_100332185</t>
        </is>
      </c>
      <c r="H1258" s="636" t="n"/>
      <c r="I1258" s="17" t="n"/>
      <c r="J1258" s="24" t="inlineStr">
        <is>
          <t>млн куб. м</t>
        </is>
      </c>
    </row>
    <row r="1259" ht="20.1" customHeight="1" s="904">
      <c r="B1259" s="909" t="inlineStr">
        <is>
          <t>2.6</t>
        </is>
      </c>
      <c r="C1259" s="9" t="inlineStr">
        <is>
          <t xml:space="preserve">Пентан-гексановая фракция </t>
        </is>
      </c>
      <c r="D1259" s="15" t="n"/>
      <c r="E1259" s="15" t="n"/>
      <c r="F1259" s="16" t="n"/>
      <c r="G1259" s="17" t="n"/>
      <c r="H1259" s="636" t="n"/>
      <c r="I1259" s="17" t="n"/>
      <c r="J1259" s="24" t="n"/>
    </row>
    <row r="1260" ht="20.1" customHeight="1" s="904">
      <c r="B1260" s="909" t="n"/>
      <c r="C1260" s="85" t="inlineStr">
        <is>
          <t>Оренбургский ГХК:</t>
        </is>
      </c>
      <c r="D1260" s="15" t="n"/>
      <c r="E1260" s="15" t="n"/>
      <c r="F1260" s="16" t="n"/>
      <c r="G1260" s="17">
        <f>G1261</f>
        <v/>
      </c>
      <c r="H1260" s="636" t="n"/>
      <c r="I1260" s="17" t="n"/>
      <c r="J1260" s="549" t="inlineStr">
        <is>
          <t>тыс.т</t>
        </is>
      </c>
    </row>
    <row r="1261" ht="20.1" customHeight="1" s="904">
      <c r="B1261" s="909" t="n"/>
      <c r="C1261" s="51" t="inlineStr">
        <is>
          <t xml:space="preserve">   ТОО "КазРосГаз"(из газа КГКМ)</t>
        </is>
      </c>
      <c r="D1261" s="15" t="n"/>
      <c r="E1261" s="15" t="n"/>
      <c r="F1261" s="16" t="n"/>
      <c r="G1261" s="17" t="inlineStr">
        <is>
          <t>2_100332236</t>
        </is>
      </c>
      <c r="H1261" s="636" t="n"/>
      <c r="I1261" s="17" t="n"/>
      <c r="J1261" s="24" t="inlineStr">
        <is>
          <t>тыс.т</t>
        </is>
      </c>
    </row>
    <row r="1262" ht="20.1" customHeight="1" s="904">
      <c r="B1262" s="909" t="inlineStr">
        <is>
          <t>2.7</t>
        </is>
      </c>
      <c r="C1262" s="9" t="inlineStr">
        <is>
          <t xml:space="preserve">Сухой отбензиненный газ </t>
        </is>
      </c>
      <c r="D1262" s="15" t="n"/>
      <c r="E1262" s="15" t="n"/>
      <c r="F1262" s="16" t="n"/>
      <c r="G1262" s="17" t="n"/>
      <c r="H1262" s="636" t="n"/>
      <c r="I1262" s="17" t="n"/>
      <c r="J1262" s="24" t="n"/>
    </row>
    <row r="1263" ht="20.1" customHeight="1" s="904">
      <c r="B1263" s="909" t="n"/>
      <c r="C1263" s="85" t="inlineStr">
        <is>
          <t>Оренбургский ГХК:</t>
        </is>
      </c>
      <c r="D1263" s="15" t="n"/>
      <c r="E1263" s="15" t="n"/>
      <c r="F1263" s="16" t="n"/>
      <c r="G1263" s="17">
        <f>G1264</f>
        <v/>
      </c>
      <c r="H1263" s="636" t="n"/>
      <c r="I1263" s="17" t="n"/>
      <c r="J1263" s="549" t="inlineStr">
        <is>
          <t>млн куб. м</t>
        </is>
      </c>
    </row>
    <row r="1264" ht="18.75" customFormat="1" customHeight="1" s="975">
      <c r="B1264" s="86" t="n"/>
      <c r="C1264" s="87" t="inlineStr">
        <is>
          <t xml:space="preserve">   ТОО "КазРосГаз"(из газа КГКМ)</t>
        </is>
      </c>
      <c r="D1264" s="15" t="n"/>
      <c r="E1264" s="15" t="n"/>
      <c r="F1264" s="16" t="n"/>
      <c r="G1264" s="17" t="inlineStr">
        <is>
          <t>2_100332119</t>
        </is>
      </c>
      <c r="H1264" s="636" t="n"/>
      <c r="I1264" s="17" t="n"/>
      <c r="J1264" s="975" t="inlineStr">
        <is>
          <t>млн куб. м</t>
        </is>
      </c>
    </row>
    <row r="1268" ht="18.75" customHeight="1" s="904">
      <c r="B1268" s="506" t="n"/>
      <c r="C1268" s="579" t="inlineStr">
        <is>
          <t xml:space="preserve"> Проверки:</t>
        </is>
      </c>
      <c r="D1268" s="506" t="n"/>
      <c r="E1268" s="506" t="n"/>
      <c r="F1268" s="506" t="n"/>
      <c r="G1268" s="506" t="n"/>
      <c r="H1268" s="506" t="n"/>
      <c r="I1268" s="506" t="n"/>
      <c r="J1268" s="506" t="n"/>
    </row>
    <row r="1269" ht="78.75" customHeight="1" s="904">
      <c r="B1269" s="507" t="n">
        <v>1</v>
      </c>
      <c r="C1269" s="580" t="inlineStr">
        <is>
          <t>Астраханский ГПЗ</t>
        </is>
      </c>
      <c r="D1269" s="508" t="n"/>
      <c r="E1269" s="509" t="inlineStr">
        <is>
          <t>V</t>
        </is>
      </c>
      <c r="F1269" s="510" t="n"/>
      <c r="G1269" s="511" t="inlineStr">
        <is>
          <t>(1_100335806+1_100331985+1_100331986)-1_100331992+1_100332942-1_100335430-1_100331989-G345-G369-G386-G541-G617-G644-G659-G666-G681-G690-G758</t>
        </is>
      </c>
      <c r="H1269" s="731" t="n"/>
      <c r="I1269" s="511" t="n"/>
      <c r="J1269" s="581" t="inlineStr">
        <is>
          <t>тыс.т</t>
        </is>
      </c>
    </row>
    <row r="1270" ht="15.75" customHeight="1" s="904">
      <c r="B1270" s="507" t="inlineStr">
        <is>
          <t>1.1</t>
        </is>
      </c>
      <c r="C1270" s="580" t="inlineStr">
        <is>
          <t>ШФЛУ валовый =ШФЛУ переработка - ШФЛУ товар</t>
        </is>
      </c>
      <c r="D1270" s="508" t="n"/>
      <c r="E1270" s="509" t="inlineStr">
        <is>
          <t>V</t>
        </is>
      </c>
      <c r="F1270" s="510" t="n"/>
      <c r="G1270" s="511" t="inlineStr">
        <is>
          <t>G230-G252-G369</t>
        </is>
      </c>
      <c r="H1270" s="731" t="n"/>
      <c r="I1270" s="511" t="n"/>
      <c r="J1270" s="581" t="inlineStr">
        <is>
          <t>тыс.т</t>
        </is>
      </c>
    </row>
    <row r="1271" ht="78.75" customHeight="1" s="904">
      <c r="B1271" s="507" t="n">
        <v>2</v>
      </c>
      <c r="C1271" s="580" t="inlineStr">
        <is>
          <t>Оренбургский ГХК</t>
        </is>
      </c>
      <c r="D1271" s="508" t="n"/>
      <c r="E1271" s="509" t="inlineStr">
        <is>
          <t>V</t>
        </is>
      </c>
      <c r="F1271" s="510" t="n"/>
      <c r="G1271" s="511" t="inlineStr">
        <is>
          <t>(2_100332033+G79+G130)-2_100332070-2_100331992-G344-G387-G441-G542-G715/1000-G739/1000-G771-G699-G370-G1245-G1242-G1248-G1251-G1254-G1257-G1260</t>
        </is>
      </c>
      <c r="H1271" s="731" t="n"/>
      <c r="I1271" s="511" t="n"/>
      <c r="J1271" s="581" t="inlineStr">
        <is>
          <t>тыс.т</t>
        </is>
      </c>
    </row>
    <row r="1272" ht="15.75" customHeight="1" s="904">
      <c r="B1272" s="507" t="inlineStr">
        <is>
          <t>2.1</t>
        </is>
      </c>
      <c r="C1272" s="580" t="inlineStr">
        <is>
          <t>ШФЛУ валовый =ШФЛУ переработка - ШФЛУ товар</t>
        </is>
      </c>
      <c r="D1272" s="508" t="n"/>
      <c r="E1272" s="509" t="inlineStr">
        <is>
          <t>V</t>
        </is>
      </c>
      <c r="F1272" s="510" t="n"/>
      <c r="G1272" s="511" t="inlineStr">
        <is>
          <t>G231-G254-G370</t>
        </is>
      </c>
      <c r="H1272" s="731" t="n"/>
      <c r="I1272" s="511" t="n"/>
      <c r="J1272" s="581" t="inlineStr">
        <is>
          <t>тыс.т</t>
        </is>
      </c>
    </row>
    <row r="1273" ht="47.25" customHeight="1" s="904">
      <c r="B1273" s="507" t="n">
        <v>3</v>
      </c>
      <c r="C1273" s="580" t="inlineStr">
        <is>
          <t>Сосногорский ГПЗ</t>
        </is>
      </c>
      <c r="D1273" s="508" t="n"/>
      <c r="E1273" s="509" t="inlineStr">
        <is>
          <t>V</t>
        </is>
      </c>
      <c r="F1273" s="510" t="n"/>
      <c r="G1273" s="511" t="inlineStr">
        <is>
          <t>(3_100332033+3_100332283)-3_100332285-3_100330561-G390-G543-(G747/1000)-G850</t>
        </is>
      </c>
      <c r="H1273" s="731" t="n"/>
      <c r="I1273" s="511" t="n"/>
      <c r="J1273" s="581" t="inlineStr">
        <is>
          <t>тыс.т</t>
        </is>
      </c>
    </row>
    <row r="1274" ht="126" customHeight="1" s="904">
      <c r="B1274" s="507" t="inlineStr">
        <is>
          <t>4</t>
        </is>
      </c>
      <c r="C1274" s="580" t="inlineStr">
        <is>
          <t>УЗПКТ-СЗСК</t>
        </is>
      </c>
      <c r="D1274" s="508" t="n"/>
      <c r="E1274" s="509" t="inlineStr">
        <is>
          <t>V</t>
        </is>
      </c>
      <c r="F1274" s="510" t="n"/>
      <c r="G1274" s="511" t="inlineStr">
        <is>
          <t>(G81+G132+G133+4_100331847-4_100331851-4_100331852-4_100335361-4_100335362+4_100335292-4_100335295)-G268-G371-G372-G391-G392-G442-G544-G545-G618-G635-G636-G645-G646-G667-G668-G810-G848-G849</t>
        </is>
      </c>
      <c r="H1274" s="731" t="n"/>
      <c r="I1274" s="511" t="n"/>
      <c r="J1274" s="581" t="inlineStr">
        <is>
          <t>тыс.т</t>
        </is>
      </c>
    </row>
    <row r="1275" ht="31.5" customHeight="1" s="904">
      <c r="B1275" s="507" t="inlineStr">
        <is>
          <t>7</t>
        </is>
      </c>
      <c r="C1275" s="580" t="inlineStr">
        <is>
          <t>Газпром добыча Ямбург</t>
        </is>
      </c>
      <c r="D1275" s="508" t="n"/>
      <c r="E1275" s="509" t="inlineStr">
        <is>
          <t>V</t>
        </is>
      </c>
      <c r="F1275" s="510" t="n"/>
      <c r="G1275" s="511" t="inlineStr">
        <is>
          <t>G82+G158-G395-G550-G647-7_100330598-G821-7_100330623</t>
        </is>
      </c>
      <c r="H1275" s="731" t="n"/>
      <c r="I1275" s="511" t="n"/>
      <c r="J1275" s="581" t="inlineStr">
        <is>
          <t>тыс.т</t>
        </is>
      </c>
    </row>
    <row r="1276" ht="15.75" customHeight="1" s="904">
      <c r="B1276" s="507" t="inlineStr">
        <is>
          <t>8</t>
        </is>
      </c>
      <c r="C1276" s="580" t="inlineStr">
        <is>
          <t>Газпром добыча Уренгой</t>
        </is>
      </c>
      <c r="D1276" s="508" t="n"/>
      <c r="E1276" s="509" t="inlineStr">
        <is>
          <t>V</t>
        </is>
      </c>
      <c r="F1276" s="510" t="n"/>
      <c r="G1276" s="511" t="inlineStr">
        <is>
          <t>G159+G181-G546-G829</t>
        </is>
      </c>
      <c r="H1276" s="731" t="n"/>
      <c r="I1276" s="511" t="n"/>
      <c r="J1276" s="581" t="inlineStr">
        <is>
          <t>тыс.т</t>
        </is>
      </c>
    </row>
    <row r="1277" ht="15.75" customHeight="1" s="904">
      <c r="B1277" s="507" t="inlineStr">
        <is>
          <t>9</t>
        </is>
      </c>
      <c r="C1277" s="580" t="inlineStr">
        <is>
          <t>Газпром добыча Краснодар</t>
        </is>
      </c>
      <c r="D1277" s="508" t="n"/>
      <c r="E1277" s="509" t="inlineStr">
        <is>
          <t>V</t>
        </is>
      </c>
      <c r="F1277" s="510" t="n"/>
      <c r="G1277" s="511" t="inlineStr">
        <is>
          <t>G87+G134-G547-9_100330676</t>
        </is>
      </c>
      <c r="H1277" s="731" t="n"/>
      <c r="I1277" s="511" t="n"/>
      <c r="J1277" s="581" t="inlineStr">
        <is>
          <t>тыс.т</t>
        </is>
      </c>
    </row>
    <row r="1278" ht="31.5" customHeight="1" s="904">
      <c r="B1278" s="507" t="inlineStr">
        <is>
          <t>10</t>
        </is>
      </c>
      <c r="C1278" s="580" t="inlineStr">
        <is>
          <t>Газпром добыча Ноябрьск</t>
        </is>
      </c>
      <c r="D1278" s="508" t="n"/>
      <c r="E1278" s="509" t="inlineStr">
        <is>
          <t>V</t>
        </is>
      </c>
      <c r="F1278" s="510" t="n"/>
      <c r="G1278" s="511" t="inlineStr">
        <is>
          <t>G85+G160+G183-G553-G823-10_100332336</t>
        </is>
      </c>
      <c r="H1278" s="731" t="n"/>
      <c r="I1278" s="511" t="n"/>
      <c r="J1278" s="581" t="inlineStr">
        <is>
          <t>тыс.т</t>
        </is>
      </c>
    </row>
    <row r="1279" ht="31.5" customHeight="1" s="904">
      <c r="B1279" s="507" t="n">
        <v>11</v>
      </c>
      <c r="C1279" s="580" t="inlineStr">
        <is>
          <t>Газпром добыча Надым</t>
        </is>
      </c>
      <c r="D1279" s="508" t="n"/>
      <c r="E1279" s="509" t="inlineStr">
        <is>
          <t>V</t>
        </is>
      </c>
      <c r="F1279" s="510" t="n"/>
      <c r="G1279" s="511" t="inlineStr">
        <is>
          <t>G86-G554-11_100332334-11_100330037</t>
        </is>
      </c>
      <c r="H1279" s="731" t="n"/>
      <c r="I1279" s="511" t="n"/>
      <c r="J1279" s="581" t="inlineStr">
        <is>
          <t>тыс.т</t>
        </is>
      </c>
    </row>
    <row r="1280" ht="31.5" customHeight="1" s="904">
      <c r="B1280" s="507" t="n">
        <v>12</v>
      </c>
      <c r="C1280" s="580" t="inlineStr">
        <is>
          <t>Газпром добыча Иркутск</t>
        </is>
      </c>
      <c r="D1280" s="508" t="n"/>
      <c r="E1280" s="509" t="inlineStr">
        <is>
          <t>V</t>
        </is>
      </c>
      <c r="F1280" s="510" t="n"/>
      <c r="G1280" s="511" t="inlineStr">
        <is>
          <t>G83-G396+G578-G574-G825-12_100330736</t>
        </is>
      </c>
      <c r="H1280" s="731" t="n"/>
      <c r="I1280" s="511" t="n"/>
      <c r="J1280" s="581" t="inlineStr">
        <is>
          <t>тыс.т</t>
        </is>
      </c>
    </row>
    <row r="1281" ht="15.75" customHeight="1" s="904">
      <c r="B1281" s="507" t="inlineStr">
        <is>
          <t>13</t>
        </is>
      </c>
      <c r="C1281" s="512" t="inlineStr">
        <is>
          <t>Газпром добыча шельф Южно-Сахалинск</t>
        </is>
      </c>
      <c r="D1281" s="508" t="n"/>
      <c r="E1281" s="509" t="inlineStr">
        <is>
          <t>V</t>
        </is>
      </c>
      <c r="F1281" s="510" t="n"/>
      <c r="G1281" s="511" t="inlineStr">
        <is>
          <t>G84-G552-G827-13_100330736</t>
        </is>
      </c>
      <c r="H1281" s="731" t="n"/>
      <c r="I1281" s="511" t="n"/>
      <c r="J1281" s="581" t="inlineStr">
        <is>
          <t>тыс.т</t>
        </is>
      </c>
    </row>
    <row r="1282" ht="47.25" customHeight="1" s="904">
      <c r="B1282" s="507" t="inlineStr">
        <is>
          <t>14</t>
        </is>
      </c>
      <c r="C1282" s="580" t="inlineStr">
        <is>
          <t>Газпром переработка Благовещенск</t>
        </is>
      </c>
      <c r="D1282" s="508" t="n"/>
      <c r="E1282" s="509" t="inlineStr">
        <is>
          <t>V</t>
        </is>
      </c>
      <c r="F1282" s="510" t="n"/>
      <c r="G1282" s="511" t="inlineStr">
        <is>
          <t>14_100335061-14_100335077-14_100332358-14_100335311-G393-G443-G700-G773-G718/1000</t>
        </is>
      </c>
      <c r="H1282" s="731" t="n"/>
      <c r="I1282" s="511" t="n"/>
      <c r="J1282" s="581" t="inlineStr">
        <is>
          <t>тыс.т</t>
        </is>
      </c>
    </row>
  </sheetData>
  <mergeCells count="55">
    <mergeCell ref="C958:C959"/>
    <mergeCell ref="C285:C286"/>
    <mergeCell ref="C956:C957"/>
    <mergeCell ref="C918:C919"/>
    <mergeCell ref="B944:B945"/>
    <mergeCell ref="B950:B951"/>
    <mergeCell ref="G7:G8"/>
    <mergeCell ref="C889:C890"/>
    <mergeCell ref="I7:I8"/>
    <mergeCell ref="C952:C953"/>
    <mergeCell ref="C914:C915"/>
    <mergeCell ref="C948:C949"/>
    <mergeCell ref="C895:C896"/>
    <mergeCell ref="B936:B937"/>
    <mergeCell ref="C944:C945"/>
    <mergeCell ref="C934:C935"/>
    <mergeCell ref="C916:C917"/>
    <mergeCell ref="D7:D8"/>
    <mergeCell ref="C885:C886"/>
    <mergeCell ref="C954:C955"/>
    <mergeCell ref="H7:H8"/>
    <mergeCell ref="C910:C911"/>
    <mergeCell ref="C291:C292"/>
    <mergeCell ref="C924:C925"/>
    <mergeCell ref="B908:B909"/>
    <mergeCell ref="C891:C892"/>
    <mergeCell ref="C940:C941"/>
    <mergeCell ref="C887:C888"/>
    <mergeCell ref="C912:C913"/>
    <mergeCell ref="C293:C294"/>
    <mergeCell ref="C920:C921"/>
    <mergeCell ref="B934:B935"/>
    <mergeCell ref="C877:C878"/>
    <mergeCell ref="C287:C288"/>
    <mergeCell ref="E7:E8"/>
    <mergeCell ref="C942:C943"/>
    <mergeCell ref="J6:J8"/>
    <mergeCell ref="B6:C8"/>
    <mergeCell ref="C936:C937"/>
    <mergeCell ref="B956:B957"/>
    <mergeCell ref="C950:C951"/>
    <mergeCell ref="B918:B919"/>
    <mergeCell ref="C883:C884"/>
    <mergeCell ref="C908:C909"/>
    <mergeCell ref="C926:C927"/>
    <mergeCell ref="C289:C290"/>
    <mergeCell ref="B948:B949"/>
    <mergeCell ref="C283:C284"/>
    <mergeCell ref="C938:C939"/>
    <mergeCell ref="B889:B890"/>
    <mergeCell ref="F7:F8"/>
    <mergeCell ref="D6:I6"/>
    <mergeCell ref="C946:C947"/>
    <mergeCell ref="C922:C923"/>
    <mergeCell ref="B885:B886"/>
  </mergeCells>
  <pageMargins left="0.7" right="0.7" top="0.75" bottom="0.75" header="0.3" footer="0.3"/>
  <pageSetup orientation="portrait" paperSize="8" scale="75" fitToHeight="0"/>
  <legacyDrawing xmlns:r="http://schemas.openxmlformats.org/officeDocument/2006/relationships" r:id="anysvml"/>
</worksheet>
</file>

<file path=xl/worksheets/sheet3.xml><?xml version="1.0" encoding="utf-8"?>
<worksheet xmlns="http://schemas.openxmlformats.org/spreadsheetml/2006/main">
  <sheetPr codeName="Лист1">
    <tabColor rgb="FF92D050"/>
    <outlinePr summaryBelow="1" summaryRight="1"/>
    <pageSetUpPr fitToPage="1"/>
  </sheetPr>
  <dimension ref="A1:J1300"/>
  <sheetViews>
    <sheetView zoomScale="70" zoomScaleNormal="70" workbookViewId="0">
      <pane xSplit="10" ySplit="9" topLeftCell="K865" activePane="bottomRight" state="frozen"/>
      <selection activeCell="I10" sqref="I10"/>
      <selection pane="topRight" activeCell="B1" sqref="B1"/>
      <selection pane="bottomLeft" activeCell="B1" sqref="B1"/>
      <selection pane="bottomRight" activeCell="A1" sqref="A1:A1048576"/>
    </sheetView>
  </sheetViews>
  <sheetFormatPr baseColWidth="8" defaultRowHeight="15" outlineLevelRow="1"/>
  <cols>
    <col hidden="1" outlineLevel="1" width="19.42578125" customWidth="1" style="904" min="1" max="1"/>
    <col collapsed="1" width="9.42578125" customWidth="1" style="904" min="2" max="2"/>
    <col width="66.28515625" customWidth="1" style="904" min="3" max="3"/>
    <col hidden="1" outlineLevel="1" width="25.85546875" customWidth="1" style="904" min="4" max="4"/>
    <col hidden="1" outlineLevel="1" width="25" customWidth="1" style="904" min="5" max="6"/>
    <col hidden="1" outlineLevel="1" width="40.5703125" customWidth="1" style="904" min="7" max="8"/>
    <col hidden="1" outlineLevel="1" width="17" customWidth="1" style="904" min="9" max="9"/>
    <col collapsed="1" width="12.28515625" customWidth="1" style="904" min="10" max="10"/>
    <col width="8.43" customWidth="1" style="904" min="11" max="78"/>
  </cols>
  <sheetData>
    <row r="1" ht="15.75" customHeight="1" s="904">
      <c r="B1" s="909" t="n"/>
      <c r="C1" s="4" t="n"/>
      <c r="D1" s="4" t="n"/>
      <c r="E1" s="4" t="n"/>
      <c r="F1" s="4" t="n"/>
    </row>
    <row r="2" ht="15.75" customHeight="1" s="904">
      <c r="B2" s="909" t="n"/>
      <c r="C2" s="4" t="n"/>
      <c r="D2" s="4" t="n"/>
      <c r="E2" s="4" t="n"/>
      <c r="F2" s="4" t="n"/>
    </row>
    <row r="3" ht="20.25" customHeight="1" s="904">
      <c r="B3" s="5" t="inlineStr">
        <is>
          <t>Показатели по переработке углеводородного сырья и производству продукции Группы Газпром на _______________ год/годы</t>
        </is>
      </c>
      <c r="C3" s="5" t="n"/>
      <c r="D3" s="5" t="n"/>
      <c r="E3" s="5" t="n"/>
      <c r="F3" s="5" t="n"/>
      <c r="G3" s="5" t="n"/>
      <c r="H3" s="5" t="n"/>
      <c r="I3" s="5" t="n"/>
      <c r="J3" s="5" t="n"/>
    </row>
    <row r="4" ht="15.75" customHeight="1" s="904">
      <c r="B4" s="909" t="n"/>
      <c r="C4" s="4" t="n"/>
      <c r="D4" s="4" t="n"/>
      <c r="E4" s="4" t="n"/>
      <c r="F4" s="4" t="n"/>
    </row>
    <row r="5" ht="20.1" customHeight="1" s="904">
      <c r="B5" s="909" t="n"/>
      <c r="C5" s="4" t="n"/>
      <c r="D5" s="4" t="n"/>
      <c r="E5" s="4" t="n"/>
      <c r="F5" s="4" t="n"/>
    </row>
    <row r="6" ht="20.1" customHeight="1" s="904">
      <c r="B6" s="917" t="inlineStr">
        <is>
          <t>Показатели</t>
        </is>
      </c>
      <c r="C6" s="918" t="n"/>
      <c r="D6" s="924" t="inlineStr">
        <is>
          <t>Внутренние настройки листа</t>
        </is>
      </c>
      <c r="E6" s="925" t="n"/>
      <c r="F6" s="925" t="n"/>
      <c r="G6" s="925" t="n"/>
      <c r="H6" s="925" t="n"/>
      <c r="I6" s="926" t="n"/>
      <c r="J6" s="915" t="inlineStr">
        <is>
          <t>Един.
 изм.</t>
        </is>
      </c>
    </row>
    <row r="7" ht="39.95" customHeight="1" s="904">
      <c r="B7" s="919" t="n"/>
      <c r="C7" s="906" t="n"/>
      <c r="D7" s="910" t="inlineStr">
        <is>
          <t>Ключ статьи</t>
        </is>
      </c>
      <c r="E7" s="910" t="inlineStr">
        <is>
          <t>Ключ спец</t>
        </is>
      </c>
      <c r="F7" s="910" t="inlineStr">
        <is>
          <t>Ключ ввод данных</t>
        </is>
      </c>
      <c r="G7" s="910" t="inlineStr">
        <is>
          <t>Формулы месяца</t>
        </is>
      </c>
      <c r="H7" s="910" t="inlineStr">
        <is>
          <t>Формулы % выхода</t>
        </is>
      </c>
      <c r="I7" s="910" t="inlineStr">
        <is>
          <t>Строка проверка</t>
        </is>
      </c>
      <c r="J7" s="916" t="n"/>
    </row>
    <row r="8" ht="20.1" customHeight="1" s="904">
      <c r="B8" s="920" t="n"/>
      <c r="C8" s="921" t="n"/>
      <c r="D8" s="911" t="n"/>
      <c r="E8" s="911" t="n"/>
      <c r="F8" s="911" t="n"/>
      <c r="G8" s="911" t="n"/>
      <c r="H8" s="911" t="n"/>
      <c r="I8" s="911" t="n"/>
      <c r="J8" s="911" t="n"/>
    </row>
    <row r="9" hidden="1" ht="20.1" customHeight="1" s="904">
      <c r="B9" s="909" t="n"/>
      <c r="C9" s="6" t="n"/>
      <c r="D9" s="7" t="n"/>
      <c r="E9" s="6" t="n"/>
      <c r="F9" s="6" t="n"/>
      <c r="G9" s="6" t="n"/>
      <c r="H9" s="6" t="n"/>
      <c r="I9" s="8" t="n"/>
      <c r="J9" s="6" t="n"/>
    </row>
    <row r="10" ht="20.1" customHeight="1" s="904">
      <c r="A10" s="9" t="n"/>
      <c r="B10" s="9" t="inlineStr">
        <is>
          <t>Раздел 1. Прогнозные показатели по переработке углеводородного сырья и производству продукции ПАО "Газпром" и основных дочерних обществ</t>
        </is>
      </c>
      <c r="C10" s="9" t="n"/>
      <c r="D10" s="10" t="n"/>
      <c r="E10" s="9" t="n"/>
      <c r="F10" s="9" t="n"/>
      <c r="G10" s="11" t="n"/>
      <c r="H10" s="11" t="n"/>
      <c r="I10" s="12" t="n"/>
      <c r="J10" s="13" t="n"/>
    </row>
    <row r="11" ht="20.1" customHeight="1" s="904">
      <c r="A11" s="14" t="n"/>
      <c r="B11" s="14" t="n"/>
      <c r="C11" s="14" t="inlineStr">
        <is>
          <t>CЫРЬЕ</t>
        </is>
      </c>
      <c r="D11" s="15" t="n"/>
      <c r="E11" s="15" t="n"/>
      <c r="F11" s="16" t="n"/>
      <c r="G11" s="17" t="n"/>
      <c r="H11" s="636" t="n"/>
      <c r="I11" s="17" t="n"/>
      <c r="J11" s="544" t="n"/>
    </row>
    <row r="12" ht="20.1" customHeight="1" s="904">
      <c r="A12" s="545" t="n"/>
      <c r="B12" s="909" t="inlineStr">
        <is>
          <t>1.</t>
        </is>
      </c>
      <c r="C12" s="545" t="inlineStr">
        <is>
          <t>Переработка газа на ГПЗ-всего</t>
        </is>
      </c>
      <c r="D12" s="15" t="n"/>
      <c r="E12" s="15" t="n"/>
      <c r="F12" s="16" t="n"/>
      <c r="G12" s="17">
        <f>G13+G17</f>
        <v/>
      </c>
      <c r="H12" s="636" t="n"/>
      <c r="I12" s="17" t="n"/>
      <c r="J12" s="546" t="inlineStr">
        <is>
          <t>млн куб.м.</t>
        </is>
      </c>
    </row>
    <row r="13" ht="20.1" customHeight="1" s="904">
      <c r="A13" s="545" t="n"/>
      <c r="B13" s="909" t="n"/>
      <c r="C13" s="547" t="inlineStr">
        <is>
          <t>Газпром переработка</t>
        </is>
      </c>
      <c r="D13" s="15" t="n"/>
      <c r="E13" s="15" t="n"/>
      <c r="F13" s="16" t="n"/>
      <c r="G13" s="17">
        <f>G14+G15+G16</f>
        <v/>
      </c>
      <c r="H13" s="636" t="n"/>
      <c r="I13" s="17" t="n"/>
      <c r="J13" s="546" t="inlineStr">
        <is>
          <t>млн куб.м.</t>
        </is>
      </c>
    </row>
    <row r="14" ht="20.1" customHeight="1" s="904">
      <c r="A14" s="545" t="n"/>
      <c r="B14" s="909" t="n"/>
      <c r="C14" s="548" t="inlineStr">
        <is>
          <t>Астраханский ГПЗ</t>
        </is>
      </c>
      <c r="D14" s="15" t="n"/>
      <c r="E14" s="15" t="n"/>
      <c r="F14" s="16" t="n"/>
      <c r="G14" s="17">
        <f>G23</f>
        <v/>
      </c>
      <c r="H14" s="636" t="n"/>
      <c r="I14" s="17" t="n"/>
      <c r="J14" s="549" t="inlineStr">
        <is>
          <t>млн куб.м.</t>
        </is>
      </c>
    </row>
    <row r="15" ht="20.1" customHeight="1" s="904">
      <c r="A15" s="545" t="n"/>
      <c r="B15" s="909" t="n"/>
      <c r="C15" s="548" t="inlineStr">
        <is>
          <t>Оренбургский ГХК</t>
        </is>
      </c>
      <c r="D15" s="15" t="n"/>
      <c r="E15" s="15" t="n"/>
      <c r="F15" s="16" t="n"/>
      <c r="G15" s="17">
        <f>G38</f>
        <v/>
      </c>
      <c r="H15" s="636" t="n"/>
      <c r="I15" s="17" t="n"/>
      <c r="J15" s="549" t="inlineStr">
        <is>
          <t>млн куб.м.</t>
        </is>
      </c>
    </row>
    <row r="16" ht="20.1" customHeight="1" s="904">
      <c r="A16" s="545" t="n"/>
      <c r="B16" s="909" t="n"/>
      <c r="C16" s="548" t="inlineStr">
        <is>
          <t>Сосногорский ГПЗ</t>
        </is>
      </c>
      <c r="D16" s="15" t="n"/>
      <c r="E16" s="15" t="n"/>
      <c r="F16" s="16" t="n"/>
      <c r="G16" s="17">
        <f>G48+G24</f>
        <v/>
      </c>
      <c r="H16" s="636" t="n"/>
      <c r="I16" s="17" t="n"/>
      <c r="J16" s="549" t="inlineStr">
        <is>
          <t>млн куб.м.</t>
        </is>
      </c>
    </row>
    <row r="17" ht="20.1" customHeight="1" s="904">
      <c r="A17" s="545" t="n"/>
      <c r="B17" s="909" t="n"/>
      <c r="C17" s="547" t="inlineStr">
        <is>
          <t>Газпром переработка Благовещенск</t>
        </is>
      </c>
      <c r="D17" s="15" t="n"/>
      <c r="E17" s="15" t="n"/>
      <c r="F17" s="16" t="n"/>
      <c r="G17" s="17">
        <f>G18</f>
        <v/>
      </c>
      <c r="H17" s="636" t="n"/>
      <c r="I17" s="17" t="n"/>
      <c r="J17" s="546" t="inlineStr">
        <is>
          <t>млн куб.м.</t>
        </is>
      </c>
    </row>
    <row r="18" ht="20.1" customHeight="1" s="904">
      <c r="A18" s="545" t="n"/>
      <c r="B18" s="909" t="n"/>
      <c r="C18" s="548" t="inlineStr">
        <is>
          <t>Амурский ГПЗ</t>
        </is>
      </c>
      <c r="D18" s="15" t="n"/>
      <c r="E18" s="15" t="n"/>
      <c r="F18" s="16" t="n"/>
      <c r="G18" s="17">
        <f>G27+G51</f>
        <v/>
      </c>
      <c r="H18" s="636" t="n"/>
      <c r="I18" s="17" t="n"/>
      <c r="J18" s="549" t="inlineStr">
        <is>
          <t>млн куб.м.</t>
        </is>
      </c>
    </row>
    <row r="19" outlineLevel="1" ht="20.1" customHeight="1" s="904">
      <c r="A19" s="545" t="n"/>
      <c r="B19" s="18" t="n"/>
      <c r="C19" s="550" t="inlineStr">
        <is>
          <t>Газпром СПГ Портовая</t>
        </is>
      </c>
      <c r="D19" s="15" t="n"/>
      <c r="E19" s="15" t="n"/>
      <c r="F19" s="16" t="n"/>
      <c r="G19" s="17" t="n"/>
      <c r="H19" s="636" t="n"/>
      <c r="I19" s="17" t="n"/>
      <c r="J19" s="546" t="inlineStr">
        <is>
          <t>млн куб.м.</t>
        </is>
      </c>
    </row>
    <row r="20" outlineLevel="1" ht="20.1" customHeight="1" s="904">
      <c r="A20" s="545" t="n"/>
      <c r="B20" s="18" t="n"/>
      <c r="C20" s="551" t="inlineStr">
        <is>
          <t>КСПГ Портовая</t>
        </is>
      </c>
      <c r="D20" s="15" t="n"/>
      <c r="E20" s="15" t="n"/>
      <c r="F20" s="16" t="n"/>
      <c r="G20" s="17" t="n"/>
      <c r="H20" s="636" t="n"/>
      <c r="I20" s="17" t="n"/>
      <c r="J20" s="549" t="inlineStr">
        <is>
          <t>млн куб.м.</t>
        </is>
      </c>
    </row>
    <row r="21" ht="20.1" customHeight="1" s="904">
      <c r="A21" s="545" t="n"/>
      <c r="B21" s="20" t="inlineStr">
        <is>
          <t>1.1</t>
        </is>
      </c>
      <c r="C21" s="552" t="inlineStr">
        <is>
          <t>Газпром</t>
        </is>
      </c>
      <c r="D21" s="15" t="n"/>
      <c r="E21" s="15" t="n"/>
      <c r="F21" s="16" t="n"/>
      <c r="G21" s="17">
        <f>G22+G26</f>
        <v/>
      </c>
      <c r="H21" s="636" t="n"/>
      <c r="I21" s="17" t="n"/>
      <c r="J21" s="546" t="inlineStr">
        <is>
          <t>млн куб.м.</t>
        </is>
      </c>
    </row>
    <row r="22" ht="20.1" customHeight="1" s="904">
      <c r="A22" s="545" t="n"/>
      <c r="B22" s="909" t="n"/>
      <c r="C22" s="547" t="inlineStr">
        <is>
          <t>Газпром переработка</t>
        </is>
      </c>
      <c r="D22" s="15" t="n"/>
      <c r="E22" s="15" t="n"/>
      <c r="F22" s="16" t="n"/>
      <c r="G22" s="17">
        <f>G24+G23</f>
        <v/>
      </c>
      <c r="H22" s="636" t="n"/>
      <c r="I22" s="17" t="n"/>
      <c r="J22" s="546" t="inlineStr">
        <is>
          <t>млн куб.м.</t>
        </is>
      </c>
    </row>
    <row r="23" ht="20.1" customHeight="1" s="904">
      <c r="A23" s="545" t="n"/>
      <c r="B23" s="909" t="n"/>
      <c r="C23" s="548" t="inlineStr">
        <is>
          <t>Астраханский ГПЗ</t>
        </is>
      </c>
      <c r="D23" s="15" t="n"/>
      <c r="E23" s="15" t="n"/>
      <c r="F23" s="16" t="n"/>
      <c r="G23" s="17" t="inlineStr">
        <is>
          <t>1_1003335807</t>
        </is>
      </c>
      <c r="H23" s="636" t="n"/>
      <c r="I23" s="17" t="n"/>
      <c r="J23" s="549" t="inlineStr">
        <is>
          <t>млн куб.м.</t>
        </is>
      </c>
    </row>
    <row r="24" ht="20.1" customHeight="1" s="904">
      <c r="A24" s="545" t="n"/>
      <c r="B24" s="909" t="n"/>
      <c r="C24" s="548" t="inlineStr">
        <is>
          <t>Сосногорский ГПЗ</t>
        </is>
      </c>
      <c r="D24" s="15" t="n"/>
      <c r="E24" s="15" t="n"/>
      <c r="F24" s="16" t="n"/>
      <c r="G24" s="17">
        <f>G25</f>
        <v/>
      </c>
      <c r="H24" s="636" t="n"/>
      <c r="I24" s="17" t="n"/>
      <c r="J24" s="549" t="inlineStr">
        <is>
          <t>млн куб.м.</t>
        </is>
      </c>
    </row>
    <row r="25" ht="20.1" customHeight="1" s="904">
      <c r="A25" s="545" t="n"/>
      <c r="B25" s="909" t="n"/>
      <c r="C25" s="553" t="inlineStr">
        <is>
          <t>Газпром добыча Краснодар</t>
        </is>
      </c>
      <c r="D25" s="15" t="n"/>
      <c r="E25" s="15" t="n"/>
      <c r="F25" s="16" t="n"/>
      <c r="G25" s="17" t="inlineStr">
        <is>
          <t>3_100330008</t>
        </is>
      </c>
      <c r="H25" s="636" t="n"/>
      <c r="I25" s="17" t="n"/>
      <c r="J25" s="554" t="inlineStr">
        <is>
          <t>млн куб.м.</t>
        </is>
      </c>
    </row>
    <row r="26" ht="20.1" customHeight="1" s="904">
      <c r="A26" s="545" t="n"/>
      <c r="B26" s="909" t="n"/>
      <c r="C26" s="547" t="inlineStr">
        <is>
          <t>Газпром переработка Благовещенск</t>
        </is>
      </c>
      <c r="D26" s="15" t="n"/>
      <c r="E26" s="15" t="n"/>
      <c r="F26" s="16" t="n"/>
      <c r="G26" s="17">
        <f>G27</f>
        <v/>
      </c>
      <c r="H26" s="636" t="n"/>
      <c r="I26" s="17" t="n"/>
      <c r="J26" s="546" t="inlineStr">
        <is>
          <t>млн куб.м.</t>
        </is>
      </c>
    </row>
    <row r="27" ht="20.1" customHeight="1" s="904">
      <c r="A27" s="545" t="n"/>
      <c r="B27" s="909" t="n"/>
      <c r="C27" s="548" t="inlineStr">
        <is>
          <t>Амурский ГПЗ</t>
        </is>
      </c>
      <c r="D27" s="15" t="n"/>
      <c r="E27" s="15" t="n"/>
      <c r="F27" s="16" t="n"/>
      <c r="G27" s="17" t="inlineStr">
        <is>
          <t>14_100335074</t>
        </is>
      </c>
      <c r="H27" s="636" t="n"/>
      <c r="I27" s="17" t="n"/>
      <c r="J27" s="549" t="inlineStr">
        <is>
          <t>млн куб.м.</t>
        </is>
      </c>
    </row>
    <row r="28" outlineLevel="1" ht="20.1" customHeight="1" s="904">
      <c r="A28" s="545" t="n"/>
      <c r="B28" s="909" t="n"/>
      <c r="C28" s="550" t="inlineStr">
        <is>
          <t>Газпром СПГ Портовая</t>
        </is>
      </c>
      <c r="D28" s="15" t="n"/>
      <c r="E28" s="15" t="n"/>
      <c r="F28" s="16" t="n"/>
      <c r="G28" s="17" t="n"/>
      <c r="H28" s="636" t="n"/>
      <c r="I28" s="17" t="n"/>
      <c r="J28" s="555" t="inlineStr">
        <is>
          <t>млн куб.м.</t>
        </is>
      </c>
    </row>
    <row r="29" outlineLevel="1" ht="20.1" customHeight="1" s="904">
      <c r="A29" s="545" t="n"/>
      <c r="B29" s="909" t="n"/>
      <c r="C29" s="551" t="inlineStr">
        <is>
          <t>КСПГ Портовая</t>
        </is>
      </c>
      <c r="D29" s="15" t="n"/>
      <c r="E29" s="15" t="n"/>
      <c r="F29" s="16" t="n"/>
      <c r="G29" s="17" t="n"/>
      <c r="H29" s="636" t="n"/>
      <c r="I29" s="17" t="n"/>
      <c r="J29" s="556" t="inlineStr">
        <is>
          <t>млн куб.м.</t>
        </is>
      </c>
    </row>
    <row r="30" outlineLevel="1" ht="20.1" customHeight="1" s="904">
      <c r="A30" s="545" t="n"/>
      <c r="B30" s="909" t="n"/>
      <c r="C30" s="557" t="inlineStr">
        <is>
          <t>в т.ч. на ПНР</t>
        </is>
      </c>
      <c r="D30" s="15" t="n"/>
      <c r="E30" s="15" t="n"/>
      <c r="F30" s="16" t="n"/>
      <c r="G30" s="17" t="n"/>
      <c r="H30" s="636" t="n"/>
      <c r="I30" s="17" t="n"/>
      <c r="J30" s="558" t="inlineStr">
        <is>
          <t>млн куб.м.</t>
        </is>
      </c>
    </row>
    <row r="31" outlineLevel="1" ht="20.1" customHeight="1" s="904">
      <c r="A31" s="545" t="n"/>
      <c r="B31" s="909" t="n"/>
      <c r="C31" s="559" t="inlineStr">
        <is>
          <t>в т.ч. СТН</t>
        </is>
      </c>
      <c r="D31" s="15" t="n"/>
      <c r="E31" s="15" t="n"/>
      <c r="F31" s="16" t="n"/>
      <c r="G31" s="17" t="n"/>
      <c r="H31" s="636" t="n"/>
      <c r="I31" s="17" t="n"/>
      <c r="J31" s="558" t="inlineStr">
        <is>
          <t>млн куб.м.</t>
        </is>
      </c>
    </row>
    <row r="32" outlineLevel="1" ht="20.1" customHeight="1" s="904">
      <c r="A32" s="545" t="n"/>
      <c r="B32" s="909" t="n"/>
      <c r="C32" s="559" t="inlineStr">
        <is>
          <t>в т.ч. на переработку</t>
        </is>
      </c>
      <c r="D32" s="15" t="n"/>
      <c r="E32" s="15" t="n"/>
      <c r="F32" s="16" t="n"/>
      <c r="G32" s="17" t="n"/>
      <c r="H32" s="636" t="n"/>
      <c r="I32" s="17" t="n"/>
      <c r="J32" s="558" t="inlineStr">
        <is>
          <t>млн куб.м.</t>
        </is>
      </c>
    </row>
    <row r="33" ht="20.1" customHeight="1" s="904">
      <c r="A33" s="545" t="n"/>
      <c r="B33" s="20" t="inlineStr">
        <is>
          <t>1.2</t>
        </is>
      </c>
      <c r="C33" s="552" t="inlineStr">
        <is>
          <t>Дочерние общества</t>
        </is>
      </c>
      <c r="D33" s="15" t="n"/>
      <c r="E33" s="15" t="n"/>
      <c r="F33" s="16" t="n"/>
      <c r="G33" s="17">
        <f>G37+G47+G50</f>
        <v/>
      </c>
      <c r="H33" s="636" t="n"/>
      <c r="I33" s="17" t="n"/>
      <c r="J33" s="546" t="inlineStr">
        <is>
          <t>млн куб.м.</t>
        </is>
      </c>
    </row>
    <row r="34" ht="20.1" customHeight="1" s="904">
      <c r="A34" s="545" t="n"/>
      <c r="B34" s="909" t="n"/>
      <c r="C34" s="547" t="inlineStr">
        <is>
          <t>Газпром добыча Астрахань</t>
        </is>
      </c>
      <c r="D34" s="15" t="n"/>
      <c r="E34" s="15" t="n"/>
      <c r="F34" s="16" t="n"/>
      <c r="G34" s="17">
        <f>G35</f>
        <v/>
      </c>
      <c r="H34" s="636" t="n"/>
      <c r="I34" s="17" t="n"/>
      <c r="J34" s="546" t="inlineStr">
        <is>
          <t>млн куб.м.</t>
        </is>
      </c>
    </row>
    <row r="35" ht="20.1" customHeight="1" s="904">
      <c r="A35" s="545" t="n"/>
      <c r="B35" s="909" t="n"/>
      <c r="C35" s="560" t="inlineStr">
        <is>
          <t>Астраханский ГПЗ</t>
        </is>
      </c>
      <c r="D35" s="15" t="n"/>
      <c r="E35" s="15" t="n"/>
      <c r="F35" s="16" t="n"/>
      <c r="G35" s="17">
        <f>G36</f>
        <v/>
      </c>
      <c r="H35" s="636" t="n"/>
      <c r="I35" s="17" t="n"/>
      <c r="J35" s="549" t="inlineStr">
        <is>
          <t>млн куб.м.</t>
        </is>
      </c>
    </row>
    <row r="36" ht="20.1" customHeight="1" s="904">
      <c r="A36" s="545" t="n"/>
      <c r="B36" s="909" t="n"/>
      <c r="C36" s="561" t="inlineStr">
        <is>
          <t>Газпром добыча Астрахань</t>
        </is>
      </c>
      <c r="D36" s="15" t="n"/>
      <c r="E36" s="15" t="n"/>
      <c r="F36" s="16" t="n"/>
      <c r="G36" s="17" t="n"/>
      <c r="H36" s="636" t="n"/>
      <c r="I36" s="17" t="n"/>
      <c r="J36" s="554" t="inlineStr">
        <is>
          <t>млн куб.м.</t>
        </is>
      </c>
    </row>
    <row r="37" ht="20.1" customHeight="1" s="904">
      <c r="A37" s="545" t="n"/>
      <c r="B37" s="909" t="n"/>
      <c r="C37" s="547" t="inlineStr">
        <is>
          <t>Газпром переработка</t>
        </is>
      </c>
      <c r="D37" s="15" t="n"/>
      <c r="E37" s="15" t="n"/>
      <c r="F37" s="16" t="n"/>
      <c r="G37" s="17">
        <f>G38</f>
        <v/>
      </c>
      <c r="H37" s="636" t="n"/>
      <c r="I37" s="17" t="n"/>
      <c r="J37" s="546" t="inlineStr">
        <is>
          <t>млн куб.м.</t>
        </is>
      </c>
    </row>
    <row r="38" ht="20.1" customHeight="1" s="904">
      <c r="A38" s="545" t="n"/>
      <c r="B38" s="909" t="n"/>
      <c r="C38" s="548" t="inlineStr">
        <is>
          <t>Оренбургский ГХК</t>
        </is>
      </c>
      <c r="D38" s="15" t="n"/>
      <c r="E38" s="15" t="n"/>
      <c r="F38" s="16" t="n"/>
      <c r="G38" s="17">
        <f>G39</f>
        <v/>
      </c>
      <c r="H38" s="636" t="n"/>
      <c r="I38" s="17" t="n"/>
      <c r="J38" s="549" t="inlineStr">
        <is>
          <t>млн куб.м.</t>
        </is>
      </c>
    </row>
    <row r="39" ht="20.1" customHeight="1" s="904">
      <c r="A39" s="545" t="n"/>
      <c r="B39" s="909" t="n"/>
      <c r="C39" s="548" t="inlineStr">
        <is>
          <t>покупка у Газпром добыча Оренбург, всего</t>
        </is>
      </c>
      <c r="D39" s="15" t="n"/>
      <c r="E39" s="15" t="n"/>
      <c r="F39" s="16" t="n"/>
      <c r="G39" s="17">
        <f>G40+G41+G42+G43+G44+G45+G46</f>
        <v/>
      </c>
      <c r="H39" s="636" t="n"/>
      <c r="I39" s="17" t="n"/>
      <c r="J39" s="554" t="inlineStr">
        <is>
          <t>млн куб.м.</t>
        </is>
      </c>
    </row>
    <row r="40" ht="20.1" customHeight="1" s="904">
      <c r="A40" s="545" t="n"/>
      <c r="B40" s="909" t="n"/>
      <c r="C40" s="553" t="inlineStr">
        <is>
          <t>в т.ч. Газпром добыча Оренбург</t>
        </is>
      </c>
      <c r="D40" s="15" t="n"/>
      <c r="E40" s="15" t="n"/>
      <c r="F40" s="16" t="n"/>
      <c r="G40" s="17" t="inlineStr">
        <is>
          <t>2_100332038</t>
        </is>
      </c>
      <c r="H40" s="636" t="n"/>
      <c r="I40" s="17" t="n"/>
      <c r="J40" s="554" t="inlineStr">
        <is>
          <t>млн куб.м.</t>
        </is>
      </c>
    </row>
    <row r="41" ht="20.1" customHeight="1" s="904">
      <c r="A41" s="545" t="n"/>
      <c r="B41" s="909" t="n"/>
      <c r="C41" s="553" t="inlineStr">
        <is>
          <t>Газпром нефть</t>
        </is>
      </c>
      <c r="D41" s="15" t="n"/>
      <c r="E41" s="15" t="n"/>
      <c r="F41" s="16" t="n"/>
      <c r="G41" s="17" t="inlineStr">
        <is>
          <t>2_100332040</t>
        </is>
      </c>
      <c r="H41" s="636" t="n"/>
      <c r="I41" s="17" t="n"/>
      <c r="J41" s="554" t="inlineStr">
        <is>
          <t>млн куб.м.</t>
        </is>
      </c>
    </row>
    <row r="42" ht="20.1" customHeight="1" s="904">
      <c r="A42" s="545" t="n"/>
      <c r="B42" s="909" t="n"/>
      <c r="C42" s="553" t="inlineStr">
        <is>
          <t>УНГП</t>
        </is>
      </c>
      <c r="D42" s="15" t="n"/>
      <c r="E42" s="15" t="n"/>
      <c r="F42" s="16" t="n"/>
      <c r="G42" s="17" t="inlineStr">
        <is>
          <t>2_100332042</t>
        </is>
      </c>
      <c r="H42" s="636" t="n"/>
      <c r="I42" s="17" t="n"/>
      <c r="J42" s="554" t="inlineStr">
        <is>
          <t>млн куб.м.</t>
        </is>
      </c>
    </row>
    <row r="43" ht="20.1" customHeight="1" s="904">
      <c r="A43" s="545" t="n"/>
      <c r="B43" s="909" t="n"/>
      <c r="C43" s="553" t="inlineStr">
        <is>
          <t>Сервиснефтегаз</t>
        </is>
      </c>
      <c r="D43" s="15" t="n"/>
      <c r="E43" s="15" t="n"/>
      <c r="F43" s="16" t="n"/>
      <c r="G43" s="17" t="inlineStr">
        <is>
          <t>2_100332044</t>
        </is>
      </c>
      <c r="H43" s="636" t="n"/>
      <c r="I43" s="17" t="n"/>
      <c r="J43" s="554" t="inlineStr">
        <is>
          <t>млн куб.м.</t>
        </is>
      </c>
    </row>
    <row r="44" ht="20.1" customHeight="1" s="904">
      <c r="A44" s="545" t="n"/>
      <c r="B44" s="909" t="n"/>
      <c r="C44" s="553" t="inlineStr">
        <is>
          <t>Карбон</t>
        </is>
      </c>
      <c r="D44" s="15" t="n"/>
      <c r="E44" s="15" t="n"/>
      <c r="F44" s="16" t="n"/>
      <c r="G44" s="17" t="inlineStr">
        <is>
          <t>2_100332916</t>
        </is>
      </c>
      <c r="H44" s="636" t="n"/>
      <c r="I44" s="17" t="n"/>
      <c r="J44" s="554" t="inlineStr">
        <is>
          <t>млн куб.м.</t>
        </is>
      </c>
    </row>
    <row r="45" ht="20.1" customHeight="1" s="904">
      <c r="A45" s="545" t="n"/>
      <c r="B45" s="909" t="n"/>
      <c r="C45" s="553" t="inlineStr">
        <is>
          <t>Газпромнефть-Заполярье</t>
        </is>
      </c>
      <c r="D45" s="15" t="n"/>
      <c r="E45" s="15" t="n"/>
      <c r="F45" s="16" t="n"/>
      <c r="G45" s="17" t="inlineStr">
        <is>
          <t>2_100332944</t>
        </is>
      </c>
      <c r="H45" s="636" t="n"/>
      <c r="I45" s="17" t="n"/>
      <c r="J45" s="554" t="inlineStr">
        <is>
          <t>млн куб.м.</t>
        </is>
      </c>
    </row>
    <row r="46" ht="20.1" customHeight="1" s="904">
      <c r="A46" s="545" t="n"/>
      <c r="B46" s="909" t="n"/>
      <c r="C46" s="562" t="inlineStr">
        <is>
          <t>Сладковско-Заречное</t>
        </is>
      </c>
      <c r="D46" s="15" t="n"/>
      <c r="E46" s="15" t="n"/>
      <c r="F46" s="16" t="n"/>
      <c r="G46" s="17" t="inlineStr">
        <is>
          <t>2_100335129</t>
        </is>
      </c>
      <c r="H46" s="636" t="n"/>
      <c r="I46" s="17" t="n"/>
      <c r="J46" s="554" t="inlineStr">
        <is>
          <t>млн куб.м.</t>
        </is>
      </c>
    </row>
    <row r="47" ht="20.1" customHeight="1" s="904">
      <c r="A47" s="545" t="n"/>
      <c r="B47" s="909" t="n"/>
      <c r="C47" s="547" t="inlineStr">
        <is>
          <t>Газпром ГНП холдинг</t>
        </is>
      </c>
      <c r="D47" s="15" t="n"/>
      <c r="E47" s="15" t="n"/>
      <c r="F47" s="16" t="n"/>
      <c r="G47" s="17">
        <f>G48</f>
        <v/>
      </c>
      <c r="H47" s="636" t="n"/>
      <c r="I47" s="17" t="n"/>
      <c r="J47" s="546" t="inlineStr">
        <is>
          <t>млн куб.м.</t>
        </is>
      </c>
    </row>
    <row r="48" ht="20.1" customHeight="1" s="904">
      <c r="A48" s="545" t="n"/>
      <c r="B48" s="909" t="n"/>
      <c r="C48" s="548" t="inlineStr">
        <is>
          <t>Сосногорский ГПЗ</t>
        </is>
      </c>
      <c r="D48" s="15" t="n"/>
      <c r="E48" s="15" t="n"/>
      <c r="F48" s="16" t="n"/>
      <c r="G48" s="17">
        <f>G49</f>
        <v/>
      </c>
      <c r="H48" s="636" t="n"/>
      <c r="I48" s="17" t="n"/>
      <c r="J48" s="549" t="inlineStr">
        <is>
          <t>млн куб.м.</t>
        </is>
      </c>
    </row>
    <row r="49" ht="20.1" customHeight="1" s="904">
      <c r="A49" s="545" t="n"/>
      <c r="B49" s="909" t="n"/>
      <c r="C49" s="553" t="inlineStr">
        <is>
          <t>Лукойл-Коми</t>
        </is>
      </c>
      <c r="D49" s="15" t="n"/>
      <c r="E49" s="15" t="n"/>
      <c r="F49" s="16" t="n"/>
      <c r="G49" s="17" t="inlineStr">
        <is>
          <t>3_100330552</t>
        </is>
      </c>
      <c r="H49" s="636" t="n"/>
      <c r="I49" s="17" t="n"/>
      <c r="J49" s="554" t="inlineStr">
        <is>
          <t>млн куб.м.</t>
        </is>
      </c>
    </row>
    <row r="50" ht="20.1" customHeight="1" s="904">
      <c r="A50" s="545" t="n"/>
      <c r="B50" s="909" t="n"/>
      <c r="C50" s="547" t="inlineStr">
        <is>
          <t>Газпром переработка Благовещенск</t>
        </is>
      </c>
      <c r="D50" s="15" t="n"/>
      <c r="E50" s="15" t="n"/>
      <c r="F50" s="16" t="n"/>
      <c r="G50" s="17">
        <f>G51</f>
        <v/>
      </c>
      <c r="H50" s="636" t="n"/>
      <c r="I50" s="17" t="n"/>
      <c r="J50" s="546" t="inlineStr">
        <is>
          <t>млн куб.м.</t>
        </is>
      </c>
    </row>
    <row r="51" ht="20.1" customHeight="1" s="904">
      <c r="A51" s="545" t="n"/>
      <c r="B51" s="909" t="n"/>
      <c r="C51" s="548" t="inlineStr">
        <is>
          <t>Амурский ГПЗ</t>
        </is>
      </c>
      <c r="D51" s="15" t="n"/>
      <c r="E51" s="15" t="n"/>
      <c r="F51" s="16" t="n"/>
      <c r="G51" s="17" t="inlineStr">
        <is>
          <t>14_100335076</t>
        </is>
      </c>
      <c r="H51" s="636" t="n"/>
      <c r="I51" s="17" t="n"/>
      <c r="J51" s="549" t="inlineStr">
        <is>
          <t>млн куб.м.</t>
        </is>
      </c>
    </row>
    <row r="52" outlineLevel="1" ht="20.1" customHeight="1" s="904">
      <c r="A52" s="545" t="n"/>
      <c r="B52" s="909" t="n"/>
      <c r="C52" s="563" t="inlineStr">
        <is>
          <t>Газпром СПГ Портовая</t>
        </is>
      </c>
      <c r="D52" s="15" t="n"/>
      <c r="E52" s="15" t="n"/>
      <c r="F52" s="16" t="n"/>
      <c r="G52" s="17" t="n"/>
      <c r="H52" s="636" t="n"/>
      <c r="I52" s="17" t="n"/>
      <c r="J52" s="555" t="inlineStr">
        <is>
          <t>млн куб.м.</t>
        </is>
      </c>
    </row>
    <row r="53" outlineLevel="1" ht="20.1" customHeight="1" s="904">
      <c r="A53" s="545" t="n"/>
      <c r="B53" s="909" t="n"/>
      <c r="C53" s="564" t="inlineStr">
        <is>
          <t>КСПГ КС  Портовая</t>
        </is>
      </c>
      <c r="D53" s="15" t="n"/>
      <c r="E53" s="15" t="n"/>
      <c r="F53" s="16" t="n"/>
      <c r="G53" s="17" t="n"/>
      <c r="H53" s="636" t="n"/>
      <c r="I53" s="17" t="n"/>
      <c r="J53" s="556" t="inlineStr">
        <is>
          <t>млн куб.м.</t>
        </is>
      </c>
    </row>
    <row r="54" outlineLevel="1" ht="20.1" customHeight="1" s="904">
      <c r="A54" s="545" t="n"/>
      <c r="B54" s="909" t="n"/>
      <c r="C54" s="557" t="inlineStr">
        <is>
          <t>в т.ч. СТН при переработке</t>
        </is>
      </c>
      <c r="D54" s="15" t="n"/>
      <c r="E54" s="15" t="n"/>
      <c r="F54" s="16" t="n"/>
      <c r="G54" s="17" t="n"/>
      <c r="H54" s="636" t="n"/>
      <c r="I54" s="17" t="n"/>
      <c r="J54" s="558" t="inlineStr">
        <is>
          <t>млн куб.м.</t>
        </is>
      </c>
    </row>
    <row r="55" outlineLevel="1" ht="20.1" customHeight="1" s="904">
      <c r="A55" s="545" t="n"/>
      <c r="B55" s="909" t="n"/>
      <c r="C55" s="557" t="inlineStr">
        <is>
          <t>в т.ч. СТН при пусковых операциях</t>
        </is>
      </c>
      <c r="D55" s="15" t="n"/>
      <c r="E55" s="15" t="n"/>
      <c r="F55" s="16" t="n"/>
      <c r="G55" s="17" t="n"/>
      <c r="H55" s="636" t="n"/>
      <c r="I55" s="17" t="n"/>
      <c r="J55" s="558" t="inlineStr">
        <is>
          <t>млн куб.м.</t>
        </is>
      </c>
    </row>
    <row r="56" ht="20.1" customHeight="1" s="904">
      <c r="A56" s="545" t="n"/>
      <c r="B56" s="909" t="inlineStr">
        <is>
          <t xml:space="preserve">2. </t>
        </is>
      </c>
      <c r="C56" s="9" t="inlineStr">
        <is>
          <t>Поставка газа на Амурский ГПЗ</t>
        </is>
      </c>
      <c r="D56" s="15" t="n"/>
      <c r="E56" s="15" t="n"/>
      <c r="F56" s="16" t="n"/>
      <c r="G56" s="17" t="n"/>
      <c r="H56" s="636" t="n"/>
      <c r="I56" s="17" t="n"/>
      <c r="J56" s="546" t="n"/>
    </row>
    <row r="57" ht="20.1" customHeight="1" s="904">
      <c r="A57" s="545" t="n"/>
      <c r="B57" s="909" t="n"/>
      <c r="C57" s="547" t="inlineStr">
        <is>
          <t>Газпром переработка Благовещенск</t>
        </is>
      </c>
      <c r="D57" s="15" t="n"/>
      <c r="E57" s="15" t="n"/>
      <c r="F57" s="16" t="n"/>
      <c r="G57" s="17">
        <f>G58</f>
        <v/>
      </c>
      <c r="H57" s="636" t="n"/>
      <c r="I57" s="17" t="n"/>
      <c r="J57" s="546" t="inlineStr">
        <is>
          <t>млн куб.м.</t>
        </is>
      </c>
    </row>
    <row r="58" ht="20.1" customHeight="1" s="904">
      <c r="A58" s="545" t="n"/>
      <c r="B58" s="909" t="n"/>
      <c r="C58" s="548" t="inlineStr">
        <is>
          <t>Амурский ГПЗ</t>
        </is>
      </c>
      <c r="D58" s="15" t="n"/>
      <c r="E58" s="15" t="n"/>
      <c r="F58" s="16" t="n"/>
      <c r="G58" s="17">
        <f>G61+G64</f>
        <v/>
      </c>
      <c r="H58" s="636" t="n"/>
      <c r="I58" s="17" t="n"/>
      <c r="J58" s="549" t="inlineStr">
        <is>
          <t>млн куб.м.</t>
        </is>
      </c>
    </row>
    <row r="59" ht="20.1" customHeight="1" s="904">
      <c r="A59" s="545" t="n"/>
      <c r="B59" s="20" t="inlineStr">
        <is>
          <t>2.1</t>
        </is>
      </c>
      <c r="C59" s="552" t="inlineStr">
        <is>
          <t>Газпром</t>
        </is>
      </c>
      <c r="D59" s="15" t="n"/>
      <c r="E59" s="15" t="n"/>
      <c r="F59" s="16" t="n"/>
      <c r="G59" s="17" t="n"/>
      <c r="H59" s="636" t="n"/>
      <c r="I59" s="17" t="n"/>
      <c r="J59" s="546" t="n"/>
    </row>
    <row r="60" ht="20.1" customHeight="1" s="904">
      <c r="A60" s="545" t="n"/>
      <c r="B60" s="909" t="n"/>
      <c r="C60" s="547" t="inlineStr">
        <is>
          <t>Газпром переработка Благовещенск</t>
        </is>
      </c>
      <c r="D60" s="15" t="n"/>
      <c r="E60" s="15" t="n"/>
      <c r="F60" s="16" t="n"/>
      <c r="G60" s="17">
        <f>G61</f>
        <v/>
      </c>
      <c r="H60" s="636" t="n"/>
      <c r="I60" s="17" t="n"/>
      <c r="J60" s="546" t="inlineStr">
        <is>
          <t>млн куб.м.</t>
        </is>
      </c>
    </row>
    <row r="61" ht="20.1" customHeight="1" s="904">
      <c r="A61" s="545" t="n"/>
      <c r="B61" s="909" t="n"/>
      <c r="C61" s="548" t="inlineStr">
        <is>
          <t>Амурский ГПЗ</t>
        </is>
      </c>
      <c r="D61" s="15" t="n"/>
      <c r="E61" s="15" t="n"/>
      <c r="F61" s="16" t="n"/>
      <c r="G61" s="17" t="inlineStr">
        <is>
          <t>14_100332979-14_100335059-14_100335057-14_100335425</t>
        </is>
      </c>
      <c r="H61" s="636" t="n"/>
      <c r="I61" s="17" t="n"/>
      <c r="J61" s="549" t="inlineStr">
        <is>
          <t>млн куб.м.</t>
        </is>
      </c>
    </row>
    <row r="62" ht="20.1" customHeight="1" s="904">
      <c r="A62" s="545" t="n"/>
      <c r="B62" s="20" t="inlineStr">
        <is>
          <t>2.2</t>
        </is>
      </c>
      <c r="C62" s="552" t="inlineStr">
        <is>
          <t>Дочерние общества</t>
        </is>
      </c>
      <c r="D62" s="15" t="n"/>
      <c r="E62" s="15" t="n"/>
      <c r="F62" s="16" t="n"/>
      <c r="G62" s="17" t="n"/>
      <c r="H62" s="636" t="n"/>
      <c r="I62" s="17" t="n"/>
      <c r="J62" s="546" t="n"/>
    </row>
    <row r="63" ht="20.1" customHeight="1" s="904">
      <c r="A63" s="545" t="n"/>
      <c r="B63" s="909" t="n"/>
      <c r="C63" s="547" t="inlineStr">
        <is>
          <t>Газпром переработка Благовещенск</t>
        </is>
      </c>
      <c r="D63" s="15" t="n"/>
      <c r="E63" s="15" t="n"/>
      <c r="F63" s="16" t="n"/>
      <c r="G63" s="17">
        <f>G64</f>
        <v/>
      </c>
      <c r="H63" s="636" t="n"/>
      <c r="I63" s="17" t="n"/>
      <c r="J63" s="546" t="inlineStr">
        <is>
          <t>млн куб.м.</t>
        </is>
      </c>
    </row>
    <row r="64" ht="20.1" customHeight="1" s="904">
      <c r="A64" s="545" t="n"/>
      <c r="B64" s="909" t="n"/>
      <c r="C64" s="548" t="inlineStr">
        <is>
          <t>Амурский ГПЗ</t>
        </is>
      </c>
      <c r="D64" s="15" t="n"/>
      <c r="E64" s="15" t="n"/>
      <c r="F64" s="16" t="n"/>
      <c r="G64" s="17" t="inlineStr">
        <is>
          <t>14_100335428+14_100335059</t>
        </is>
      </c>
      <c r="H64" s="636" t="n"/>
      <c r="I64" s="17" t="n"/>
      <c r="J64" s="549" t="inlineStr">
        <is>
          <t>млн куб.м.</t>
        </is>
      </c>
    </row>
    <row r="65" ht="20.1" customHeight="1" s="904">
      <c r="A65" s="545" t="n"/>
      <c r="B65" s="909" t="inlineStr">
        <is>
          <t>3.</t>
        </is>
      </c>
      <c r="C65" s="565" t="inlineStr">
        <is>
          <t>Переработка газа на Оренбургском гелиевом заводе</t>
        </is>
      </c>
      <c r="D65" s="15" t="n"/>
      <c r="E65" s="15" t="n"/>
      <c r="F65" s="16" t="n"/>
      <c r="G65" s="17" t="n"/>
      <c r="H65" s="636" t="n"/>
      <c r="I65" s="17" t="n"/>
      <c r="J65" s="546" t="n"/>
    </row>
    <row r="66" ht="20.1" customHeight="1" s="904">
      <c r="A66" s="545" t="n"/>
      <c r="B66" s="909" t="n"/>
      <c r="C66" s="547" t="inlineStr">
        <is>
          <t>Газпром переработка</t>
        </is>
      </c>
      <c r="D66" s="15" t="n"/>
      <c r="E66" s="15" t="n"/>
      <c r="F66" s="16" t="n"/>
      <c r="G66" s="17">
        <f>G67</f>
        <v/>
      </c>
      <c r="H66" s="636" t="n"/>
      <c r="I66" s="17" t="n"/>
      <c r="J66" s="546" t="inlineStr">
        <is>
          <t>млн куб.м.</t>
        </is>
      </c>
    </row>
    <row r="67" ht="20.1" customHeight="1" s="904">
      <c r="A67" s="545" t="n"/>
      <c r="B67" s="909" t="n"/>
      <c r="C67" s="548" t="inlineStr">
        <is>
          <t>Оренбургский ГЗ</t>
        </is>
      </c>
      <c r="D67" s="15" t="n"/>
      <c r="E67" s="15" t="n"/>
      <c r="F67" s="16" t="n"/>
      <c r="G67" s="17">
        <f>G71</f>
        <v/>
      </c>
      <c r="H67" s="636" t="n"/>
      <c r="I67" s="17" t="n"/>
      <c r="J67" s="549" t="inlineStr">
        <is>
          <t>млн куб.м.</t>
        </is>
      </c>
    </row>
    <row r="68" ht="20.1" customHeight="1" s="904">
      <c r="A68" s="545" t="n"/>
      <c r="B68" s="20" t="inlineStr">
        <is>
          <t>3.1</t>
        </is>
      </c>
      <c r="C68" s="552" t="inlineStr">
        <is>
          <t>Газпром</t>
        </is>
      </c>
      <c r="D68" s="15" t="n"/>
      <c r="E68" s="15" t="n"/>
      <c r="F68" s="16" t="n"/>
      <c r="G68" s="17">
        <f>0</f>
        <v/>
      </c>
      <c r="H68" s="636" t="n"/>
      <c r="I68" s="17" t="n"/>
      <c r="J68" s="546" t="inlineStr">
        <is>
          <t>млн куб.м.</t>
        </is>
      </c>
    </row>
    <row r="69" ht="20.1" customHeight="1" s="904">
      <c r="A69" s="545" t="n"/>
      <c r="B69" s="20" t="inlineStr">
        <is>
          <t>3.2</t>
        </is>
      </c>
      <c r="C69" s="552" t="inlineStr">
        <is>
          <t>Дочерние общества</t>
        </is>
      </c>
      <c r="D69" s="15" t="n"/>
      <c r="E69" s="15" t="n"/>
      <c r="F69" s="16" t="n"/>
      <c r="G69" s="17">
        <f>G70</f>
        <v/>
      </c>
      <c r="H69" s="636" t="n"/>
      <c r="I69" s="17" t="n"/>
      <c r="J69" s="546" t="inlineStr">
        <is>
          <t>млн куб.м.</t>
        </is>
      </c>
    </row>
    <row r="70" ht="20.1" customHeight="1" s="904">
      <c r="A70" s="545" t="n"/>
      <c r="B70" s="909" t="n"/>
      <c r="C70" s="547" t="inlineStr">
        <is>
          <t>Газпром переработка</t>
        </is>
      </c>
      <c r="D70" s="15" t="n"/>
      <c r="E70" s="15" t="n"/>
      <c r="F70" s="16" t="n"/>
      <c r="G70" s="17">
        <f>G71</f>
        <v/>
      </c>
      <c r="H70" s="636" t="n"/>
      <c r="I70" s="17" t="n"/>
      <c r="J70" s="546" t="inlineStr">
        <is>
          <t>млн куб.м.</t>
        </is>
      </c>
    </row>
    <row r="71" ht="20.1" customHeight="1" s="904">
      <c r="A71" s="545" t="n"/>
      <c r="B71" s="909" t="n"/>
      <c r="C71" s="548" t="inlineStr">
        <is>
          <t>Оренбургский ГЗ</t>
        </is>
      </c>
      <c r="D71" s="15" t="n"/>
      <c r="E71" s="15" t="n"/>
      <c r="F71" s="16" t="n"/>
      <c r="G71" s="17">
        <f>G72+G73+G74</f>
        <v/>
      </c>
      <c r="H71" s="636" t="n"/>
      <c r="I71" s="17" t="n"/>
      <c r="J71" s="549" t="inlineStr">
        <is>
          <t>млн куб.м.</t>
        </is>
      </c>
    </row>
    <row r="72" ht="20.1" customHeight="1" s="904">
      <c r="A72" s="545" t="n"/>
      <c r="B72" s="909" t="n"/>
      <c r="C72" s="553" t="inlineStr">
        <is>
          <t>Газпром добыча Оренбург</t>
        </is>
      </c>
      <c r="D72" s="15" t="n"/>
      <c r="E72" s="15" t="n"/>
      <c r="F72" s="16" t="n"/>
      <c r="G72" s="17" t="inlineStr">
        <is>
          <t>2_100332054</t>
        </is>
      </c>
      <c r="H72" s="636" t="n"/>
      <c r="I72" s="17" t="n"/>
      <c r="J72" s="554" t="inlineStr">
        <is>
          <t>млн куб.м.</t>
        </is>
      </c>
    </row>
    <row r="73" ht="20.1" customHeight="1" s="904">
      <c r="A73" s="545" t="n"/>
      <c r="B73" s="909" t="n"/>
      <c r="C73" s="553" t="inlineStr">
        <is>
          <t>Газпром нефть</t>
        </is>
      </c>
      <c r="D73" s="15" t="n"/>
      <c r="E73" s="15" t="n"/>
      <c r="F73" s="16" t="n"/>
      <c r="G73" s="17" t="inlineStr">
        <is>
          <t>2_100332056</t>
        </is>
      </c>
      <c r="H73" s="636" t="n"/>
      <c r="I73" s="17" t="n"/>
      <c r="J73" s="554" t="inlineStr">
        <is>
          <t>млн куб.м.</t>
        </is>
      </c>
    </row>
    <row r="74" ht="20.1" customHeight="1" s="904">
      <c r="A74" s="545" t="n"/>
      <c r="B74" s="909" t="n"/>
      <c r="C74" s="737" t="inlineStr">
        <is>
          <t>прочие поставщики (ГПНЗ, УНГП, и.т.д.)</t>
        </is>
      </c>
      <c r="D74" s="15" t="n"/>
      <c r="E74" s="15" t="n"/>
      <c r="F74" s="16" t="n"/>
      <c r="G74" s="17" t="inlineStr">
        <is>
          <t>2_100335131</t>
        </is>
      </c>
      <c r="H74" s="636" t="n"/>
      <c r="I74" s="17" t="n"/>
      <c r="J74" s="554" t="inlineStr">
        <is>
          <t>млн куб.м.</t>
        </is>
      </c>
    </row>
    <row r="75" ht="20.1" customHeight="1" s="904">
      <c r="A75" s="545" t="n"/>
      <c r="B75" s="909" t="inlineStr">
        <is>
          <t>4.</t>
        </is>
      </c>
      <c r="C75" s="566" t="inlineStr">
        <is>
          <t>Переработка нестабильного  газового конденсата и нефти</t>
        </is>
      </c>
      <c r="D75" s="15" t="n"/>
      <c r="E75" s="15" t="n"/>
      <c r="F75" s="16" t="n"/>
      <c r="G75" s="17">
        <f>G76+G129</f>
        <v/>
      </c>
      <c r="H75" s="636" t="n"/>
      <c r="I75" s="17" t="n"/>
      <c r="J75" s="546" t="inlineStr">
        <is>
          <t>тыс.т</t>
        </is>
      </c>
    </row>
    <row r="76" ht="20.1" customHeight="1" s="904">
      <c r="A76" s="545" t="n"/>
      <c r="B76" s="909" t="inlineStr">
        <is>
          <t>4.1.</t>
        </is>
      </c>
      <c r="C76" s="545" t="inlineStr">
        <is>
          <t>Газовый конденсат-всего</t>
        </is>
      </c>
      <c r="D76" s="15" t="n"/>
      <c r="E76" s="15" t="n"/>
      <c r="F76" s="16" t="n"/>
      <c r="G76" s="17">
        <f>G77+G82+G83+G84+G85+G86+G87</f>
        <v/>
      </c>
      <c r="H76" s="636" t="n"/>
      <c r="I76" s="17" t="n"/>
      <c r="J76" s="546" t="inlineStr">
        <is>
          <t>тыс.т</t>
        </is>
      </c>
    </row>
    <row r="77" ht="20.1" customHeight="1" s="904">
      <c r="A77" s="545" t="n"/>
      <c r="B77" s="909" t="n"/>
      <c r="C77" s="547" t="inlineStr">
        <is>
          <t xml:space="preserve">   Газпром переработка</t>
        </is>
      </c>
      <c r="D77" s="15" t="n"/>
      <c r="E77" s="15" t="n"/>
      <c r="F77" s="16" t="n"/>
      <c r="G77" s="17">
        <f>G78+G79+G80+G81</f>
        <v/>
      </c>
      <c r="H77" s="636" t="n"/>
      <c r="I77" s="17" t="n"/>
      <c r="J77" s="546" t="inlineStr">
        <is>
          <t>тыс.т</t>
        </is>
      </c>
    </row>
    <row r="78" ht="20.1" customHeight="1" s="904">
      <c r="A78" s="545" t="n"/>
      <c r="B78" s="909" t="n"/>
      <c r="C78" s="548" t="inlineStr">
        <is>
          <t>Астраханский ГПЗ</t>
        </is>
      </c>
      <c r="D78" s="15" t="n"/>
      <c r="E78" s="15" t="n"/>
      <c r="F78" s="16" t="n"/>
      <c r="G78" s="17">
        <f>G90</f>
        <v/>
      </c>
      <c r="H78" s="636" t="n"/>
      <c r="I78" s="17" t="n"/>
      <c r="J78" s="549" t="inlineStr">
        <is>
          <t>тыс.т</t>
        </is>
      </c>
    </row>
    <row r="79" ht="20.1" customHeight="1" s="904">
      <c r="A79" s="545" t="n"/>
      <c r="B79" s="909" t="n"/>
      <c r="C79" s="548" t="inlineStr">
        <is>
          <t>Оренбургский ГХК</t>
        </is>
      </c>
      <c r="D79" s="15" t="n"/>
      <c r="E79" s="15" t="n"/>
      <c r="F79" s="16" t="n"/>
      <c r="G79" s="17">
        <f>G114+G91</f>
        <v/>
      </c>
      <c r="H79" s="636" t="n"/>
      <c r="I79" s="17" t="n"/>
      <c r="J79" s="549" t="inlineStr">
        <is>
          <t>тыс.т</t>
        </is>
      </c>
    </row>
    <row r="80" ht="20.1" customHeight="1" s="904">
      <c r="A80" s="545" t="n"/>
      <c r="B80" s="909" t="n"/>
      <c r="C80" s="548" t="inlineStr">
        <is>
          <t>Сосногорский ГПЗ</t>
        </is>
      </c>
      <c r="D80" s="15" t="n"/>
      <c r="E80" s="15" t="n"/>
      <c r="F80" s="16" t="n"/>
      <c r="G80" s="17">
        <f>G93</f>
        <v/>
      </c>
      <c r="H80" s="636" t="n"/>
      <c r="I80" s="17" t="n"/>
      <c r="J80" s="549" t="inlineStr">
        <is>
          <t>тыс.т</t>
        </is>
      </c>
    </row>
    <row r="81" ht="20.1" customHeight="1" s="904">
      <c r="A81" s="545" t="n"/>
      <c r="B81" s="909" t="n"/>
      <c r="C81" s="548" t="inlineStr">
        <is>
          <t xml:space="preserve">               Уренгойский ЗПКТ- Сургутский ЗСК и привлеченные мощности</t>
        </is>
      </c>
      <c r="D81" s="15" t="n"/>
      <c r="E81" s="15" t="n"/>
      <c r="F81" s="16" t="n"/>
      <c r="G81" s="17">
        <f>G117+G95</f>
        <v/>
      </c>
      <c r="H81" s="636" t="n"/>
      <c r="I81" s="17" t="n"/>
      <c r="J81" s="549" t="inlineStr">
        <is>
          <t>тыс.т</t>
        </is>
      </c>
    </row>
    <row r="82" ht="20.1" customHeight="1" s="904">
      <c r="A82" s="545" t="n"/>
      <c r="B82" s="909" t="n"/>
      <c r="C82" s="547" t="inlineStr">
        <is>
          <t xml:space="preserve">   Газпром добыча Ямбург</t>
        </is>
      </c>
      <c r="D82" s="15" t="n"/>
      <c r="E82" s="15" t="n"/>
      <c r="F82" s="16" t="n"/>
      <c r="G82" s="17">
        <f>G122</f>
        <v/>
      </c>
      <c r="H82" s="636" t="n"/>
      <c r="I82" s="17" t="n"/>
      <c r="J82" s="546" t="inlineStr">
        <is>
          <t>тыс.т</t>
        </is>
      </c>
    </row>
    <row r="83" ht="20.1" customHeight="1" s="904">
      <c r="A83" s="545" t="n"/>
      <c r="B83" s="909" t="n"/>
      <c r="C83" s="547" t="inlineStr">
        <is>
          <t>Газпром добыча Иркутск</t>
        </is>
      </c>
      <c r="D83" s="15" t="n"/>
      <c r="E83" s="15" t="n"/>
      <c r="F83" s="16" t="n"/>
      <c r="G83" s="17">
        <f>G102</f>
        <v/>
      </c>
      <c r="H83" s="636" t="n"/>
      <c r="I83" s="17" t="n"/>
      <c r="J83" s="546" t="inlineStr">
        <is>
          <t>тыс.т</t>
        </is>
      </c>
    </row>
    <row r="84" ht="20.1" customHeight="1" s="904">
      <c r="A84" s="545" t="n"/>
      <c r="B84" s="909" t="n"/>
      <c r="C84" s="21" t="inlineStr">
        <is>
          <t>Газпром добыча шельф Южно-Сахалинск</t>
        </is>
      </c>
      <c r="D84" s="15" t="n"/>
      <c r="E84" s="15" t="n"/>
      <c r="F84" s="16" t="n"/>
      <c r="G84" s="17">
        <f>G105</f>
        <v/>
      </c>
      <c r="H84" s="636" t="n"/>
      <c r="I84" s="17" t="n"/>
      <c r="J84" s="546" t="inlineStr">
        <is>
          <t>тыс. т</t>
        </is>
      </c>
    </row>
    <row r="85" ht="20.1" customHeight="1" s="904">
      <c r="A85" s="545" t="n"/>
      <c r="B85" s="909" t="n"/>
      <c r="C85" s="547" t="inlineStr">
        <is>
          <t>Газпром добыча Ноябрьск</t>
        </is>
      </c>
      <c r="D85" s="15" t="n"/>
      <c r="E85" s="15" t="n"/>
      <c r="F85" s="16" t="n"/>
      <c r="G85" s="17">
        <f>G106+G123</f>
        <v/>
      </c>
      <c r="H85" s="636" t="n"/>
      <c r="I85" s="17" t="n"/>
      <c r="J85" s="546" t="inlineStr">
        <is>
          <t>тыс. т</t>
        </is>
      </c>
    </row>
    <row r="86" ht="20.1" customHeight="1" s="904">
      <c r="A86" s="545" t="n"/>
      <c r="B86" s="909" t="n"/>
      <c r="C86" s="547" t="inlineStr">
        <is>
          <t>Газпром добыча Надым</t>
        </is>
      </c>
      <c r="D86" s="15" t="n"/>
      <c r="E86" s="15" t="n"/>
      <c r="F86" s="16" t="n"/>
      <c r="G86" s="17">
        <f>G126</f>
        <v/>
      </c>
      <c r="H86" s="636" t="n"/>
      <c r="I86" s="17" t="n"/>
      <c r="J86" s="546" t="inlineStr">
        <is>
          <t>тыс. т</t>
        </is>
      </c>
    </row>
    <row r="87" ht="20.1" customHeight="1" s="904">
      <c r="A87" s="545" t="n"/>
      <c r="B87" s="909" t="n"/>
      <c r="C87" s="547" t="inlineStr">
        <is>
          <t>Газпром добыча Краснодар</t>
        </is>
      </c>
      <c r="D87" s="15" t="n"/>
      <c r="E87" s="15" t="n"/>
      <c r="F87" s="16" t="n"/>
      <c r="G87" s="17">
        <f>G128</f>
        <v/>
      </c>
      <c r="H87" s="636" t="n"/>
      <c r="I87" s="17" t="n"/>
      <c r="J87" s="546" t="inlineStr">
        <is>
          <t>тыс. т</t>
        </is>
      </c>
    </row>
    <row r="88" ht="20.1" customHeight="1" s="904">
      <c r="A88" s="545" t="n"/>
      <c r="B88" s="20" t="inlineStr">
        <is>
          <t>4.1.1.</t>
        </is>
      </c>
      <c r="C88" s="552" t="inlineStr">
        <is>
          <t>Газпром</t>
        </is>
      </c>
      <c r="D88" s="15" t="n"/>
      <c r="E88" s="15" t="n"/>
      <c r="F88" s="16" t="n"/>
      <c r="G88" s="17">
        <f>G89+G102+G105+G106</f>
        <v/>
      </c>
      <c r="H88" s="636" t="n"/>
      <c r="I88" s="17" t="n"/>
      <c r="J88" s="546" t="inlineStr">
        <is>
          <t>тыс.т</t>
        </is>
      </c>
    </row>
    <row r="89" ht="20.1" customHeight="1" s="904">
      <c r="A89" s="545" t="n"/>
      <c r="B89" s="909" t="n"/>
      <c r="C89" s="547" t="inlineStr">
        <is>
          <t xml:space="preserve">   Газпром переработка</t>
        </is>
      </c>
      <c r="D89" s="15" t="n"/>
      <c r="E89" s="15" t="n"/>
      <c r="F89" s="16" t="n"/>
      <c r="G89" s="17">
        <f>G91+G93+G95+G90</f>
        <v/>
      </c>
      <c r="H89" s="636" t="n"/>
      <c r="I89" s="17" t="n"/>
      <c r="J89" s="546" t="inlineStr">
        <is>
          <t>тыс.т</t>
        </is>
      </c>
    </row>
    <row r="90" ht="20.1" customHeight="1" s="904">
      <c r="A90" s="545" t="n"/>
      <c r="B90" s="909" t="n"/>
      <c r="C90" s="548" t="inlineStr">
        <is>
          <t>Астраханский ГПЗ</t>
        </is>
      </c>
      <c r="D90" s="15" t="n"/>
      <c r="E90" s="15" t="n"/>
      <c r="F90" s="16" t="n"/>
      <c r="G90" s="17" t="inlineStr">
        <is>
          <t>1_100331985</t>
        </is>
      </c>
      <c r="H90" s="636" t="n"/>
      <c r="I90" s="17" t="n"/>
      <c r="J90" s="549" t="inlineStr">
        <is>
          <t>тыс.т</t>
        </is>
      </c>
    </row>
    <row r="91" ht="20.1" customHeight="1" s="904">
      <c r="A91" s="545" t="n"/>
      <c r="B91" s="909" t="n"/>
      <c r="C91" s="548" t="inlineStr">
        <is>
          <t>Оренбургский ГХК</t>
        </is>
      </c>
      <c r="D91" s="15" t="n"/>
      <c r="E91" s="15" t="n"/>
      <c r="F91" s="16" t="n"/>
      <c r="G91" s="17">
        <f>G92</f>
        <v/>
      </c>
      <c r="H91" s="636" t="n"/>
      <c r="I91" s="17" t="n"/>
      <c r="J91" s="549" t="inlineStr">
        <is>
          <t>тыс.т</t>
        </is>
      </c>
    </row>
    <row r="92" ht="20.1" customHeight="1" s="904">
      <c r="A92" s="545" t="n"/>
      <c r="B92" s="909" t="n"/>
      <c r="C92" s="553" t="inlineStr">
        <is>
          <t>Газпром добыча Оренбург</t>
        </is>
      </c>
      <c r="D92" s="15" t="n"/>
      <c r="E92" s="15" t="n"/>
      <c r="F92" s="16" t="n"/>
      <c r="G92" s="17" t="inlineStr">
        <is>
          <t>2_100332061</t>
        </is>
      </c>
      <c r="H92" s="636" t="n"/>
      <c r="I92" s="17" t="n"/>
      <c r="J92" s="554" t="inlineStr">
        <is>
          <t>тыс.т</t>
        </is>
      </c>
    </row>
    <row r="93" ht="20.1" customHeight="1" s="904">
      <c r="A93" s="545" t="n"/>
      <c r="B93" s="909" t="n"/>
      <c r="C93" s="548" t="inlineStr">
        <is>
          <t xml:space="preserve">   Сосногорский ГПЗ </t>
        </is>
      </c>
      <c r="D93" s="15" t="n"/>
      <c r="E93" s="15" t="n"/>
      <c r="F93" s="16" t="n"/>
      <c r="G93" s="17">
        <f>G94</f>
        <v/>
      </c>
      <c r="H93" s="636" t="n"/>
      <c r="I93" s="17" t="n"/>
      <c r="J93" s="549" t="inlineStr">
        <is>
          <t>тыс.т</t>
        </is>
      </c>
    </row>
    <row r="94" ht="20.1" customHeight="1" s="904">
      <c r="A94" s="545" t="n"/>
      <c r="B94" s="909" t="n"/>
      <c r="C94" s="553" t="inlineStr">
        <is>
          <t>Газпром добыча Краснодар (в составе НГКС)</t>
        </is>
      </c>
      <c r="D94" s="15" t="n"/>
      <c r="E94" s="15" t="n"/>
      <c r="F94" s="16" t="n"/>
      <c r="G94" s="17" t="inlineStr">
        <is>
          <t>3_100330017</t>
        </is>
      </c>
      <c r="H94" s="636" t="n"/>
      <c r="I94" s="17" t="n"/>
      <c r="J94" s="554" t="inlineStr">
        <is>
          <t>тыс.т</t>
        </is>
      </c>
    </row>
    <row r="95" ht="20.1" customHeight="1" s="904">
      <c r="A95" s="545" t="n"/>
      <c r="B95" s="909" t="n"/>
      <c r="C95" s="548" t="inlineStr">
        <is>
          <t xml:space="preserve">               Уренгойский ЗПКТ- Сургутский ЗСК и привлеченные мощности</t>
        </is>
      </c>
      <c r="D95" s="15" t="n"/>
      <c r="E95" s="15" t="n"/>
      <c r="F95" s="16" t="n"/>
      <c r="G95" s="17">
        <f>G97+G98+G99</f>
        <v/>
      </c>
      <c r="H95" s="636" t="n"/>
      <c r="I95" s="17" t="n"/>
      <c r="J95" s="549" t="inlineStr">
        <is>
          <t>тыс.т</t>
        </is>
      </c>
    </row>
    <row r="96" ht="20.1" customHeight="1" s="904">
      <c r="A96" s="545" t="n"/>
      <c r="B96" s="909" t="n"/>
      <c r="C96" s="553" t="inlineStr">
        <is>
          <t>в т.ч. доп. мощности</t>
        </is>
      </c>
      <c r="D96" s="15" t="n"/>
      <c r="E96" s="15" t="n"/>
      <c r="F96" s="16" t="n"/>
      <c r="G96" s="17" t="inlineStr">
        <is>
          <t>4_100335357+4_100335358</t>
        </is>
      </c>
      <c r="H96" s="636" t="n"/>
      <c r="I96" s="17" t="n"/>
      <c r="J96" s="554" t="inlineStr">
        <is>
          <t>тыс.т</t>
        </is>
      </c>
    </row>
    <row r="97" ht="20.1" customHeight="1" s="904">
      <c r="A97" s="545" t="n"/>
      <c r="B97" s="909" t="n"/>
      <c r="C97" s="553" t="inlineStr">
        <is>
          <t xml:space="preserve">Газпром добыча Ямбург </t>
        </is>
      </c>
      <c r="D97" s="15" t="n"/>
      <c r="E97" s="15" t="n"/>
      <c r="F97" s="16" t="n"/>
      <c r="G97" s="17" t="inlineStr">
        <is>
          <t>4_100331828</t>
        </is>
      </c>
      <c r="H97" s="636" t="n"/>
      <c r="I97" s="17" t="n"/>
      <c r="J97" s="554" t="inlineStr">
        <is>
          <t>тыс.т</t>
        </is>
      </c>
    </row>
    <row r="98" ht="20.1" customHeight="1" s="904">
      <c r="A98" s="545" t="n"/>
      <c r="B98" s="909" t="n"/>
      <c r="C98" s="553" t="inlineStr">
        <is>
          <t>Сибнефтегаз ( Береговое НГКМ)</t>
        </is>
      </c>
      <c r="D98" s="15" t="n"/>
      <c r="E98" s="15" t="n"/>
      <c r="F98" s="16" t="n"/>
      <c r="G98" s="17" t="inlineStr">
        <is>
          <t>4_100331835</t>
        </is>
      </c>
      <c r="H98" s="636" t="n"/>
      <c r="I98" s="17" t="n"/>
      <c r="J98" s="554" t="inlineStr">
        <is>
          <t>тыс.т</t>
        </is>
      </c>
    </row>
    <row r="99" ht="20.1" customHeight="1" s="904">
      <c r="A99" s="545" t="n"/>
      <c r="B99" s="909" t="n"/>
      <c r="C99" s="553" t="inlineStr">
        <is>
          <t>Газпром добыча Уренгой</t>
        </is>
      </c>
      <c r="D99" s="15" t="n"/>
      <c r="E99" s="15" t="n"/>
      <c r="F99" s="16" t="n"/>
      <c r="G99" s="17" t="inlineStr">
        <is>
          <t>4_100331804+4_100335033</t>
        </is>
      </c>
      <c r="H99" s="636" t="n"/>
      <c r="I99" s="17" t="n"/>
      <c r="J99" s="554" t="inlineStr">
        <is>
          <t>тыс.т</t>
        </is>
      </c>
    </row>
    <row r="100" ht="20.1" customHeight="1" s="904">
      <c r="A100" s="545" t="n"/>
      <c r="B100" s="909" t="n"/>
      <c r="C100" s="553" t="inlineStr">
        <is>
          <t>в т.ч. ДРОД</t>
        </is>
      </c>
      <c r="D100" s="15" t="n"/>
      <c r="E100" s="15" t="n"/>
      <c r="F100" s="16" t="n"/>
      <c r="G100" s="17" t="inlineStr">
        <is>
          <t>4_100335470+4_100335508</t>
        </is>
      </c>
      <c r="H100" s="636" t="n"/>
      <c r="I100" s="17" t="n"/>
      <c r="J100" s="554" t="inlineStr">
        <is>
          <t>тыс.т</t>
        </is>
      </c>
    </row>
    <row r="101" ht="20.1" customHeight="1" s="904">
      <c r="A101" s="545" t="n"/>
      <c r="B101" s="909" t="n"/>
      <c r="C101" s="553" t="inlineStr">
        <is>
          <t>в т.ч. C5+ от подготовки газа деэтанизации</t>
        </is>
      </c>
      <c r="D101" s="15" t="n"/>
      <c r="E101" s="15" t="n"/>
      <c r="F101" s="16" t="n"/>
      <c r="G101" s="17" t="inlineStr">
        <is>
          <t>4_100337101</t>
        </is>
      </c>
      <c r="H101" s="636" t="n"/>
      <c r="I101" s="17" t="n"/>
      <c r="J101" s="554" t="inlineStr">
        <is>
          <t>тыс.т</t>
        </is>
      </c>
    </row>
    <row r="102" ht="20.1" customHeight="1" s="904">
      <c r="A102" s="545" t="n"/>
      <c r="B102" s="909" t="n"/>
      <c r="C102" s="547" t="inlineStr">
        <is>
          <t>Газпром добыча Иркутск</t>
        </is>
      </c>
      <c r="D102" s="15" t="n"/>
      <c r="E102" s="15" t="n"/>
      <c r="F102" s="16" t="n"/>
      <c r="G102" s="17">
        <f>G103+G104</f>
        <v/>
      </c>
      <c r="H102" s="636" t="n"/>
      <c r="I102" s="17" t="n"/>
      <c r="J102" s="546" t="inlineStr">
        <is>
          <t>тыс.т</t>
        </is>
      </c>
    </row>
    <row r="103" ht="20.1" customHeight="1" s="904">
      <c r="A103" s="545" t="n"/>
      <c r="B103" s="909" t="n"/>
      <c r="C103" s="553" t="inlineStr">
        <is>
          <t>Ковыктинское ГКМ</t>
        </is>
      </c>
      <c r="D103" s="15" t="n"/>
      <c r="E103" s="15" t="n"/>
      <c r="F103" s="16" t="n"/>
      <c r="G103" s="17" t="inlineStr">
        <is>
          <t>12_100330735</t>
        </is>
      </c>
      <c r="H103" s="636" t="n"/>
      <c r="I103" s="17" t="n"/>
      <c r="J103" s="554" t="inlineStr">
        <is>
          <t>тыс.т</t>
        </is>
      </c>
    </row>
    <row r="104" ht="20.1" customHeight="1" s="904">
      <c r="A104" s="545" t="n"/>
      <c r="B104" s="909" t="n"/>
      <c r="C104" s="553" t="inlineStr">
        <is>
          <t>Чиканское ГКМ</t>
        </is>
      </c>
      <c r="D104" s="15" t="n"/>
      <c r="E104" s="15" t="n"/>
      <c r="F104" s="16" t="n"/>
      <c r="G104" s="17">
        <f>0</f>
        <v/>
      </c>
      <c r="H104" s="636" t="n"/>
      <c r="I104" s="17" t="n"/>
      <c r="J104" s="554" t="inlineStr">
        <is>
          <t>тыс.т</t>
        </is>
      </c>
    </row>
    <row r="105" ht="20.1" customHeight="1" s="904">
      <c r="A105" s="545" t="n"/>
      <c r="B105" s="909" t="n"/>
      <c r="C105" s="547" t="inlineStr">
        <is>
          <t>Газпром добыча шельф Южно-Сахалинск</t>
        </is>
      </c>
      <c r="D105" s="15" t="n"/>
      <c r="E105" s="15" t="n"/>
      <c r="F105" s="16" t="n"/>
      <c r="G105" s="17" t="inlineStr">
        <is>
          <t>13_100332291</t>
        </is>
      </c>
      <c r="H105" s="636" t="n"/>
      <c r="I105" s="17" t="n"/>
      <c r="J105" s="546" t="inlineStr">
        <is>
          <t>тыс. т</t>
        </is>
      </c>
    </row>
    <row r="106" ht="20.1" customHeight="1" s="904">
      <c r="A106" s="545" t="n"/>
      <c r="B106" s="909" t="n"/>
      <c r="C106" s="547" t="inlineStr">
        <is>
          <t>Газпром добыча Ноябрьск</t>
        </is>
      </c>
      <c r="D106" s="15" t="n"/>
      <c r="E106" s="15" t="n"/>
      <c r="F106" s="16" t="n"/>
      <c r="G106" s="17">
        <f>G107+G108</f>
        <v/>
      </c>
      <c r="H106" s="636" t="n"/>
      <c r="I106" s="17" t="n"/>
      <c r="J106" s="546" t="inlineStr">
        <is>
          <t>тыс. т</t>
        </is>
      </c>
    </row>
    <row r="107" ht="20.1" customHeight="1" s="904">
      <c r="A107" s="545" t="n"/>
      <c r="B107" s="909" t="n"/>
      <c r="C107" s="553" t="inlineStr">
        <is>
          <t>Чаяндинское НГКМ</t>
        </is>
      </c>
      <c r="D107" s="15" t="n"/>
      <c r="E107" s="15" t="n"/>
      <c r="F107" s="16" t="n"/>
      <c r="G107" s="17" t="inlineStr">
        <is>
          <t>10_100330715</t>
        </is>
      </c>
      <c r="H107" s="636" t="n"/>
      <c r="I107" s="17" t="n"/>
      <c r="J107" s="554" t="inlineStr">
        <is>
          <t>тыс.т</t>
        </is>
      </c>
    </row>
    <row r="108" ht="20.1" customHeight="1" s="904">
      <c r="A108" s="545" t="n"/>
      <c r="B108" s="909" t="n"/>
      <c r="C108" s="553" t="inlineStr">
        <is>
          <t>Западно-Таркосалинское НГКМ на СЗСК</t>
        </is>
      </c>
      <c r="D108" s="15" t="n"/>
      <c r="E108" s="15" t="n"/>
      <c r="F108" s="16" t="n"/>
      <c r="G108" s="17" t="inlineStr">
        <is>
          <t>10_100330861</t>
        </is>
      </c>
      <c r="H108" s="636" t="n"/>
      <c r="I108" s="17" t="n"/>
      <c r="J108" s="554" t="inlineStr">
        <is>
          <t>тыс.т</t>
        </is>
      </c>
    </row>
    <row r="109" ht="20.1" customHeight="1" s="904">
      <c r="A109" s="545" t="n"/>
      <c r="B109" s="20" t="inlineStr">
        <is>
          <t>4.1.2.</t>
        </is>
      </c>
      <c r="C109" s="552" t="inlineStr">
        <is>
          <t>Дочерние общества</t>
        </is>
      </c>
      <c r="D109" s="15" t="n"/>
      <c r="E109" s="15" t="n"/>
      <c r="F109" s="16" t="n"/>
      <c r="G109" s="17">
        <f>G113+G119+G122+G123+G126+G128</f>
        <v/>
      </c>
      <c r="H109" s="636" t="n"/>
      <c r="I109" s="17" t="n"/>
      <c r="J109" s="546" t="inlineStr">
        <is>
          <t>тыс.т</t>
        </is>
      </c>
    </row>
    <row r="110" outlineLevel="1" ht="20.1" customHeight="1" s="904">
      <c r="A110" s="545" t="n"/>
      <c r="B110" s="909" t="n"/>
      <c r="C110" s="550" t="inlineStr">
        <is>
          <t>Газпром добыча Астрахань</t>
        </is>
      </c>
      <c r="D110" s="15" t="n"/>
      <c r="E110" s="15" t="n"/>
      <c r="F110" s="16" t="n"/>
      <c r="G110" s="17">
        <f>G111</f>
        <v/>
      </c>
      <c r="H110" s="636" t="n"/>
      <c r="I110" s="17" t="n"/>
      <c r="J110" s="546" t="inlineStr">
        <is>
          <t>тыс.т</t>
        </is>
      </c>
    </row>
    <row r="111" outlineLevel="1" ht="20.1" customHeight="1" s="904">
      <c r="A111" s="545" t="n"/>
      <c r="B111" s="909" t="n"/>
      <c r="C111" s="551" t="inlineStr">
        <is>
          <t>Астраханский ГПЗ</t>
        </is>
      </c>
      <c r="D111" s="15" t="n"/>
      <c r="E111" s="15" t="n"/>
      <c r="F111" s="16" t="n"/>
      <c r="G111" s="17">
        <f>G112</f>
        <v/>
      </c>
      <c r="H111" s="636" t="n"/>
      <c r="I111" s="17" t="n"/>
      <c r="J111" s="549" t="inlineStr">
        <is>
          <t>тыс.т</t>
        </is>
      </c>
    </row>
    <row r="112" outlineLevel="1" ht="20.1" customHeight="1" s="904">
      <c r="A112" s="545" t="n"/>
      <c r="B112" s="909" t="n"/>
      <c r="C112" s="559" t="inlineStr">
        <is>
          <t>Газпром добыча Астрахань</t>
        </is>
      </c>
      <c r="D112" s="15" t="n"/>
      <c r="E112" s="15" t="n"/>
      <c r="F112" s="16" t="n"/>
      <c r="G112" s="17" t="n"/>
      <c r="H112" s="636" t="n"/>
      <c r="I112" s="17" t="n"/>
      <c r="J112" s="554" t="inlineStr">
        <is>
          <t>тыс.т</t>
        </is>
      </c>
    </row>
    <row r="113" ht="20.1" customHeight="1" s="904">
      <c r="A113" s="545" t="n"/>
      <c r="B113" s="909" t="n"/>
      <c r="C113" s="547" t="inlineStr">
        <is>
          <t xml:space="preserve">   Газпром переработка</t>
        </is>
      </c>
      <c r="D113" s="15" t="n"/>
      <c r="E113" s="15" t="n"/>
      <c r="F113" s="16" t="n"/>
      <c r="G113" s="17">
        <f>G114+G117</f>
        <v/>
      </c>
      <c r="H113" s="636" t="n"/>
      <c r="I113" s="17" t="n"/>
      <c r="J113" s="546" t="inlineStr">
        <is>
          <t>тыс.т</t>
        </is>
      </c>
    </row>
    <row r="114" ht="20.1" customHeight="1" s="904">
      <c r="A114" s="545" t="n"/>
      <c r="B114" s="909" t="n"/>
      <c r="C114" s="548" t="inlineStr">
        <is>
          <t>Оренбургский ГХК</t>
        </is>
      </c>
      <c r="D114" s="15" t="n"/>
      <c r="E114" s="15" t="n"/>
      <c r="F114" s="16" t="n"/>
      <c r="G114" s="17">
        <f>G115+G116</f>
        <v/>
      </c>
      <c r="H114" s="636" t="n"/>
      <c r="I114" s="17" t="n"/>
      <c r="J114" s="554" t="inlineStr">
        <is>
          <t>тыс.т</t>
        </is>
      </c>
    </row>
    <row r="115" ht="20.1" customHeight="1" s="904">
      <c r="A115" s="545" t="n"/>
      <c r="B115" s="909" t="n"/>
      <c r="C115" s="553" t="inlineStr">
        <is>
          <t>УНГП</t>
        </is>
      </c>
      <c r="D115" s="15" t="n"/>
      <c r="E115" s="15" t="n"/>
      <c r="F115" s="16" t="n"/>
      <c r="G115" s="17" t="inlineStr">
        <is>
          <t>2_100332062</t>
        </is>
      </c>
      <c r="H115" s="636" t="n"/>
      <c r="I115" s="17" t="n"/>
      <c r="J115" s="554" t="inlineStr">
        <is>
          <t>тыс.т</t>
        </is>
      </c>
    </row>
    <row r="116" ht="20.1" customHeight="1" s="904">
      <c r="A116" s="545" t="n"/>
      <c r="B116" s="909" t="n"/>
      <c r="C116" s="553" t="inlineStr">
        <is>
          <t>Газпромнефть-Заполярье</t>
        </is>
      </c>
      <c r="D116" s="15" t="n"/>
      <c r="E116" s="15" t="n"/>
      <c r="F116" s="16" t="n"/>
      <c r="G116" s="17" t="inlineStr">
        <is>
          <t>2_100335697</t>
        </is>
      </c>
      <c r="H116" s="636" t="n"/>
      <c r="I116" s="17" t="n"/>
      <c r="J116" s="554" t="inlineStr">
        <is>
          <t>тыс.т</t>
        </is>
      </c>
    </row>
    <row r="117" ht="20.1" customHeight="1" s="904">
      <c r="A117" s="545" t="n"/>
      <c r="B117" s="909" t="n"/>
      <c r="C117" s="567" t="inlineStr">
        <is>
          <t>Уренгойский ЗПКТ</t>
        </is>
      </c>
      <c r="D117" s="15" t="n"/>
      <c r="E117" s="15" t="n"/>
      <c r="F117" s="16" t="n"/>
      <c r="G117" s="17">
        <f>G118</f>
        <v/>
      </c>
      <c r="H117" s="636" t="n"/>
      <c r="I117" s="17" t="n"/>
      <c r="J117" s="549" t="inlineStr">
        <is>
          <t>тыс.т</t>
        </is>
      </c>
    </row>
    <row r="118" ht="20.1" customHeight="1" s="904">
      <c r="A118" s="545" t="n"/>
      <c r="B118" s="909" t="n"/>
      <c r="C118" s="562" t="inlineStr">
        <is>
          <t>Газпром добыча Уренгой</t>
        </is>
      </c>
      <c r="D118" s="15" t="n"/>
      <c r="E118" s="15" t="n"/>
      <c r="F118" s="16" t="n"/>
      <c r="G118" s="17" t="inlineStr">
        <is>
          <t>4_100333682</t>
        </is>
      </c>
      <c r="H118" s="636" t="n"/>
      <c r="I118" s="17" t="n"/>
      <c r="J118" s="554" t="inlineStr">
        <is>
          <t>тыс.т</t>
        </is>
      </c>
    </row>
    <row r="119" ht="20.1" customHeight="1" s="904">
      <c r="A119" s="545" t="n"/>
      <c r="B119" s="909" t="n"/>
      <c r="C119" s="547" t="inlineStr">
        <is>
          <t>Газпром добыча Уренгой</t>
        </is>
      </c>
      <c r="D119" s="15" t="n"/>
      <c r="E119" s="15" t="n"/>
      <c r="F119" s="16" t="n"/>
      <c r="G119" s="17">
        <f>G120</f>
        <v/>
      </c>
      <c r="H119" s="636" t="n"/>
      <c r="I119" s="17" t="n"/>
      <c r="J119" s="546" t="inlineStr">
        <is>
          <t>тыс.т</t>
        </is>
      </c>
    </row>
    <row r="120" ht="20.1" customHeight="1" s="904">
      <c r="A120" s="545" t="n"/>
      <c r="B120" s="909" t="n"/>
      <c r="C120" s="548" t="inlineStr">
        <is>
          <t xml:space="preserve">                Уренгойский ЗПКТ</t>
        </is>
      </c>
      <c r="D120" s="15" t="n"/>
      <c r="E120" s="15" t="n"/>
      <c r="F120" s="16" t="n"/>
      <c r="G120" s="17">
        <f>G121</f>
        <v/>
      </c>
      <c r="H120" s="636" t="n"/>
      <c r="I120" s="17" t="n"/>
      <c r="J120" s="549" t="inlineStr">
        <is>
          <t>тыс.т</t>
        </is>
      </c>
    </row>
    <row r="121" ht="20.1" customHeight="1" s="904">
      <c r="A121" s="545" t="n"/>
      <c r="B121" s="909" t="n"/>
      <c r="C121" s="553" t="inlineStr">
        <is>
          <t>Газпром добыча Уренгой</t>
        </is>
      </c>
      <c r="D121" s="15" t="n"/>
      <c r="E121" s="15" t="n"/>
      <c r="F121" s="16" t="n"/>
      <c r="G121" s="17">
        <f>0</f>
        <v/>
      </c>
      <c r="H121" s="636" t="n"/>
      <c r="I121" s="17" t="n"/>
      <c r="J121" s="554" t="inlineStr">
        <is>
          <t>тыс.т</t>
        </is>
      </c>
    </row>
    <row r="122" ht="20.1" customHeight="1" s="904">
      <c r="A122" s="545" t="n"/>
      <c r="B122" s="909" t="n"/>
      <c r="C122" s="547" t="inlineStr">
        <is>
          <t xml:space="preserve">   Газпром добыча Ямбург</t>
        </is>
      </c>
      <c r="D122" s="15" t="n"/>
      <c r="E122" s="15" t="n"/>
      <c r="F122" s="16" t="n"/>
      <c r="G122" s="17" t="inlineStr">
        <is>
          <t>7_100330595</t>
        </is>
      </c>
      <c r="H122" s="636" t="n"/>
      <c r="I122" s="17" t="n"/>
      <c r="J122" s="546" t="inlineStr">
        <is>
          <t>тыс.т</t>
        </is>
      </c>
    </row>
    <row r="123" ht="20.1" customHeight="1" s="904">
      <c r="A123" s="545" t="n"/>
      <c r="B123" s="909" t="n"/>
      <c r="C123" s="547" t="inlineStr">
        <is>
          <t>Газпром добыча Ноябрьск</t>
        </is>
      </c>
      <c r="D123" s="15" t="n"/>
      <c r="E123" s="15" t="n"/>
      <c r="F123" s="16" t="n"/>
      <c r="G123" s="17">
        <f>G124+G125</f>
        <v/>
      </c>
      <c r="H123" s="636" t="n"/>
      <c r="I123" s="17" t="n"/>
      <c r="J123" s="546" t="inlineStr">
        <is>
          <t>тыс. т</t>
        </is>
      </c>
    </row>
    <row r="124" ht="20.1" customHeight="1" s="904">
      <c r="A124" s="545" t="n"/>
      <c r="B124" s="909" t="n"/>
      <c r="C124" s="568" t="inlineStr">
        <is>
          <t>конденсат (Камчат. ГПУ - Кшукское ГКМ, Нижне-Квакчикское ГКМ)</t>
        </is>
      </c>
      <c r="D124" s="15" t="n"/>
      <c r="E124" s="15" t="n"/>
      <c r="F124" s="16" t="n"/>
      <c r="G124" s="17" t="inlineStr">
        <is>
          <t>10_100330718</t>
        </is>
      </c>
      <c r="H124" s="636" t="n"/>
      <c r="I124" s="17" t="n"/>
      <c r="J124" s="554" t="inlineStr">
        <is>
          <t>тыс.т</t>
        </is>
      </c>
    </row>
    <row r="125" ht="20.1" customHeight="1" s="904">
      <c r="A125" s="545" t="n"/>
      <c r="B125" s="909" t="n"/>
      <c r="C125" s="740" t="inlineStr">
        <is>
          <t>Чаяндинское НГКМ</t>
        </is>
      </c>
      <c r="D125" s="634" t="n"/>
      <c r="E125" s="634" t="n"/>
      <c r="F125" s="635" t="n"/>
      <c r="G125" s="636" t="inlineStr">
        <is>
          <t>10_100337143</t>
        </is>
      </c>
      <c r="H125" s="636" t="n"/>
      <c r="I125" s="636" t="n"/>
      <c r="J125" s="554" t="n"/>
    </row>
    <row r="126" ht="20.1" customHeight="1" s="904">
      <c r="A126" s="545" t="n"/>
      <c r="B126" s="909" t="n"/>
      <c r="C126" s="547" t="inlineStr">
        <is>
          <t>Газпром добыча Надым</t>
        </is>
      </c>
      <c r="D126" s="15" t="n"/>
      <c r="E126" s="15" t="n"/>
      <c r="F126" s="16" t="n"/>
      <c r="G126" s="17" t="inlineStr">
        <is>
          <t>11_100330015</t>
        </is>
      </c>
      <c r="H126" s="636" t="n"/>
      <c r="I126" s="17" t="n"/>
      <c r="J126" s="546" t="inlineStr">
        <is>
          <t>тыс. т</t>
        </is>
      </c>
    </row>
    <row r="127" ht="20.1" customHeight="1" s="904">
      <c r="A127" s="545" t="n"/>
      <c r="B127" s="909" t="n"/>
      <c r="C127" s="553" t="inlineStr">
        <is>
          <t>в т.ч. Бованенковское НГКМ</t>
        </is>
      </c>
      <c r="D127" s="15" t="n"/>
      <c r="E127" s="15" t="n"/>
      <c r="F127" s="16" t="n"/>
      <c r="G127" s="17" t="inlineStr">
        <is>
          <t>11_100330688</t>
        </is>
      </c>
      <c r="H127" s="636" t="n"/>
      <c r="I127" s="17" t="n"/>
      <c r="J127" s="554" t="inlineStr">
        <is>
          <t>тыс.т</t>
        </is>
      </c>
    </row>
    <row r="128" ht="20.1" customHeight="1" s="904">
      <c r="A128" s="545" t="n"/>
      <c r="B128" s="909" t="n"/>
      <c r="C128" s="547" t="inlineStr">
        <is>
          <t>Газпром добыча Краснодар</t>
        </is>
      </c>
      <c r="D128" s="15" t="n"/>
      <c r="E128" s="15" t="n"/>
      <c r="F128" s="16" t="n"/>
      <c r="G128" s="17" t="inlineStr">
        <is>
          <t>9_100330671</t>
        </is>
      </c>
      <c r="H128" s="636" t="n"/>
      <c r="I128" s="17" t="n"/>
      <c r="J128" s="546" t="inlineStr">
        <is>
          <t>тыс.т</t>
        </is>
      </c>
    </row>
    <row r="129" ht="20.1" customHeight="1" s="904">
      <c r="A129" s="545" t="n"/>
      <c r="B129" s="909" t="inlineStr">
        <is>
          <t>4.2.</t>
        </is>
      </c>
      <c r="C129" s="545" t="inlineStr">
        <is>
          <t>Нефть-всего</t>
        </is>
      </c>
      <c r="D129" s="15" t="n"/>
      <c r="E129" s="15" t="n"/>
      <c r="F129" s="16" t="n"/>
      <c r="G129" s="17">
        <f>G130+G135</f>
        <v/>
      </c>
      <c r="H129" s="636" t="n"/>
      <c r="I129" s="17" t="n"/>
      <c r="J129" s="546" t="inlineStr">
        <is>
          <t>тыс.т</t>
        </is>
      </c>
    </row>
    <row r="130" ht="20.1" customHeight="1" s="904">
      <c r="A130" s="545" t="n"/>
      <c r="B130" s="909" t="n"/>
      <c r="C130" s="547" t="inlineStr">
        <is>
          <t xml:space="preserve">   Газпром переработка</t>
        </is>
      </c>
      <c r="D130" s="15" t="n"/>
      <c r="E130" s="15" t="n"/>
      <c r="F130" s="16" t="n"/>
      <c r="G130" s="17">
        <f>G131+G132+G134+G133</f>
        <v/>
      </c>
      <c r="H130" s="636" t="n"/>
      <c r="I130" s="17" t="n"/>
      <c r="J130" s="546" t="inlineStr">
        <is>
          <t>тыс.т</t>
        </is>
      </c>
    </row>
    <row r="131" ht="20.1" customHeight="1" s="904">
      <c r="A131" s="545" t="n"/>
      <c r="B131" s="909" t="n"/>
      <c r="C131" s="548" t="inlineStr">
        <is>
          <t>Оренбургский ГХК</t>
        </is>
      </c>
      <c r="D131" s="15" t="n"/>
      <c r="E131" s="15" t="n"/>
      <c r="F131" s="16" t="n"/>
      <c r="G131" s="17">
        <f>G149+G138+G155</f>
        <v/>
      </c>
      <c r="H131" s="636" t="n"/>
      <c r="I131" s="17" t="n"/>
      <c r="J131" s="549" t="inlineStr">
        <is>
          <t>тыс.т</t>
        </is>
      </c>
    </row>
    <row r="132" ht="20.1" customHeight="1" s="904">
      <c r="A132" s="545" t="n"/>
      <c r="B132" s="909" t="n"/>
      <c r="C132" s="548" t="inlineStr">
        <is>
          <t>Сосногорский ГПЗ</t>
        </is>
      </c>
      <c r="D132" s="15" t="n"/>
      <c r="E132" s="15" t="n"/>
      <c r="F132" s="16" t="n"/>
      <c r="G132" s="17">
        <f>G141</f>
        <v/>
      </c>
      <c r="H132" s="636" t="n"/>
      <c r="I132" s="17" t="n"/>
      <c r="J132" s="549" t="inlineStr">
        <is>
          <t>тыс.т</t>
        </is>
      </c>
    </row>
    <row r="133" ht="20.1" customHeight="1" s="904">
      <c r="A133" s="545" t="n"/>
      <c r="B133" s="909" t="n"/>
      <c r="C133" s="567" t="inlineStr">
        <is>
          <t xml:space="preserve">             Уренгойский ЗПКТ</t>
        </is>
      </c>
      <c r="D133" s="15" t="n"/>
      <c r="E133" s="15" t="n"/>
      <c r="F133" s="16" t="n"/>
      <c r="G133" s="17">
        <f>G143+G152</f>
        <v/>
      </c>
      <c r="H133" s="636" t="n"/>
      <c r="I133" s="17" t="n"/>
      <c r="J133" s="549" t="inlineStr">
        <is>
          <t>тыс.т</t>
        </is>
      </c>
    </row>
    <row r="134" ht="20.1" customHeight="1" s="904">
      <c r="A134" s="545" t="n"/>
      <c r="B134" s="909" t="n"/>
      <c r="C134" s="548" t="inlineStr">
        <is>
          <t xml:space="preserve">                 Сургутский ЗСК</t>
        </is>
      </c>
      <c r="D134" s="15" t="n"/>
      <c r="E134" s="15" t="n"/>
      <c r="F134" s="16" t="n"/>
      <c r="G134" s="17">
        <f>G145</f>
        <v/>
      </c>
      <c r="H134" s="636" t="n"/>
      <c r="I134" s="17" t="n"/>
      <c r="J134" s="549" t="inlineStr">
        <is>
          <t>тыс.т</t>
        </is>
      </c>
    </row>
    <row r="135" ht="20.1" customHeight="1" s="904">
      <c r="A135" s="545" t="n"/>
      <c r="B135" s="909" t="n"/>
      <c r="C135" s="547" t="inlineStr">
        <is>
          <t>Газпром добыча Краснодар</t>
        </is>
      </c>
      <c r="D135" s="15" t="n"/>
      <c r="E135" s="15" t="n"/>
      <c r="F135" s="16" t="n"/>
      <c r="G135" s="17">
        <f>G157</f>
        <v/>
      </c>
      <c r="H135" s="636" t="n"/>
      <c r="I135" s="17" t="n"/>
      <c r="J135" s="546" t="inlineStr">
        <is>
          <t>тыс.т</t>
        </is>
      </c>
    </row>
    <row r="136" ht="20.1" customHeight="1" s="904">
      <c r="A136" s="545" t="n"/>
      <c r="B136" s="20" t="inlineStr">
        <is>
          <t>4.2.1.</t>
        </is>
      </c>
      <c r="C136" s="552" t="inlineStr">
        <is>
          <t>Газпром</t>
        </is>
      </c>
      <c r="D136" s="15" t="n"/>
      <c r="E136" s="15" t="n"/>
      <c r="F136" s="16" t="n"/>
      <c r="G136" s="17">
        <f>G137</f>
        <v/>
      </c>
      <c r="H136" s="636" t="n"/>
      <c r="I136" s="17" t="n"/>
      <c r="J136" s="546" t="inlineStr">
        <is>
          <t>тыс.т</t>
        </is>
      </c>
    </row>
    <row r="137" ht="20.1" customHeight="1" s="904">
      <c r="A137" s="545" t="n"/>
      <c r="B137" s="909" t="n"/>
      <c r="C137" s="547" t="inlineStr">
        <is>
          <t xml:space="preserve">   Газпром переработка</t>
        </is>
      </c>
      <c r="D137" s="15" t="n"/>
      <c r="E137" s="15" t="n"/>
      <c r="F137" s="16" t="n"/>
      <c r="G137" s="17">
        <f>G138+G141+G145+G143</f>
        <v/>
      </c>
      <c r="H137" s="636" t="n"/>
      <c r="I137" s="17" t="n"/>
      <c r="J137" s="546" t="inlineStr">
        <is>
          <t>тыс.т</t>
        </is>
      </c>
    </row>
    <row r="138" ht="20.1" customHeight="1" s="904">
      <c r="A138" s="545" t="n"/>
      <c r="B138" s="909" t="n"/>
      <c r="C138" s="548" t="inlineStr">
        <is>
          <t>Оренбургский ГХК</t>
        </is>
      </c>
      <c r="D138" s="15" t="n"/>
      <c r="E138" s="15" t="n"/>
      <c r="F138" s="16" t="n"/>
      <c r="G138" s="17">
        <f>G139+G140</f>
        <v/>
      </c>
      <c r="H138" s="636" t="n"/>
      <c r="I138" s="17" t="n"/>
      <c r="J138" s="549" t="inlineStr">
        <is>
          <t>тыс.т</t>
        </is>
      </c>
    </row>
    <row r="139" ht="20.1" customHeight="1" s="904">
      <c r="A139" s="545" t="n"/>
      <c r="B139" s="909" t="n"/>
      <c r="C139" s="553" t="inlineStr">
        <is>
          <t>Газпром добыча Оренбург</t>
        </is>
      </c>
      <c r="D139" s="15" t="n"/>
      <c r="E139" s="15" t="n"/>
      <c r="F139" s="16" t="n"/>
      <c r="G139" s="17" t="inlineStr">
        <is>
          <t>2_100332066</t>
        </is>
      </c>
      <c r="H139" s="636" t="n"/>
      <c r="I139" s="17" t="n"/>
      <c r="J139" s="554" t="inlineStr">
        <is>
          <t>тыс.т</t>
        </is>
      </c>
    </row>
    <row r="140" ht="20.1" customHeight="1" s="904">
      <c r="A140" s="545" t="n"/>
      <c r="B140" s="909" t="n"/>
      <c r="C140" s="553" t="inlineStr">
        <is>
          <t>Газпром нефть</t>
        </is>
      </c>
      <c r="D140" s="15" t="n"/>
      <c r="E140" s="15" t="n"/>
      <c r="F140" s="16" t="n"/>
      <c r="G140" s="17" t="inlineStr">
        <is>
          <t>2_100332067</t>
        </is>
      </c>
      <c r="H140" s="636" t="n"/>
      <c r="I140" s="17" t="n"/>
      <c r="J140" s="554" t="inlineStr">
        <is>
          <t>тыс.т</t>
        </is>
      </c>
    </row>
    <row r="141" ht="20.1" customHeight="1" s="904">
      <c r="A141" s="545" t="n"/>
      <c r="B141" s="909" t="n"/>
      <c r="C141" s="548" t="inlineStr">
        <is>
          <t xml:space="preserve">    Сосногорский ГПЗ </t>
        </is>
      </c>
      <c r="D141" s="15" t="n"/>
      <c r="E141" s="15" t="n"/>
      <c r="F141" s="16" t="n"/>
      <c r="G141" s="17">
        <f>G142</f>
        <v/>
      </c>
      <c r="H141" s="636" t="n"/>
      <c r="I141" s="17" t="n"/>
      <c r="J141" s="549" t="inlineStr">
        <is>
          <t>тыс.т</t>
        </is>
      </c>
    </row>
    <row r="142" ht="20.1" customHeight="1" s="904">
      <c r="A142" s="545" t="n"/>
      <c r="B142" s="909" t="n"/>
      <c r="C142" s="553" t="inlineStr">
        <is>
          <t>Газпром добыча Краснодар (в составе НГКС)</t>
        </is>
      </c>
      <c r="D142" s="15" t="n"/>
      <c r="E142" s="15" t="n"/>
      <c r="F142" s="16" t="n"/>
      <c r="G142" s="17" t="inlineStr">
        <is>
          <t>3_100330196</t>
        </is>
      </c>
      <c r="H142" s="636" t="n"/>
      <c r="I142" s="17" t="n"/>
      <c r="J142" s="554" t="inlineStr">
        <is>
          <t>тыс.т</t>
        </is>
      </c>
    </row>
    <row r="143" ht="20.1" customHeight="1" s="904">
      <c r="A143" s="545" t="n"/>
      <c r="B143" s="909" t="n"/>
      <c r="C143" s="548" t="inlineStr">
        <is>
          <t xml:space="preserve">             Уренгойский ЗПКТ</t>
        </is>
      </c>
      <c r="D143" s="15" t="n"/>
      <c r="E143" s="15" t="n"/>
      <c r="F143" s="16" t="n"/>
      <c r="G143" s="17">
        <f>G144</f>
        <v/>
      </c>
      <c r="H143" s="636" t="n"/>
      <c r="I143" s="17" t="n"/>
      <c r="J143" s="549" t="inlineStr">
        <is>
          <t>тыс.т</t>
        </is>
      </c>
    </row>
    <row r="144" ht="20.1" customHeight="1" s="904">
      <c r="A144" s="545" t="n"/>
      <c r="B144" s="909" t="n"/>
      <c r="C144" s="553" t="inlineStr">
        <is>
          <t>Газпром добыча Уренгой</t>
        </is>
      </c>
      <c r="D144" s="15" t="n"/>
      <c r="E144" s="15" t="n"/>
      <c r="F144" s="16" t="n"/>
      <c r="G144" s="17" t="inlineStr">
        <is>
          <t>4_100335093</t>
        </is>
      </c>
      <c r="H144" s="636" t="n"/>
      <c r="I144" s="17" t="n"/>
      <c r="J144" s="554" t="inlineStr">
        <is>
          <t>тыс.т</t>
        </is>
      </c>
    </row>
    <row r="145" ht="20.1" customHeight="1" s="904">
      <c r="A145" s="545" t="n"/>
      <c r="B145" s="909" t="n"/>
      <c r="C145" s="548" t="inlineStr">
        <is>
          <t xml:space="preserve">                 Сургутский ЗСК</t>
        </is>
      </c>
      <c r="D145" s="15" t="n"/>
      <c r="E145" s="15" t="n"/>
      <c r="F145" s="16" t="n"/>
      <c r="G145" s="17">
        <f>G146</f>
        <v/>
      </c>
      <c r="H145" s="636" t="n"/>
      <c r="I145" s="17" t="n"/>
      <c r="J145" s="549" t="inlineStr">
        <is>
          <t>тыс.т</t>
        </is>
      </c>
    </row>
    <row r="146" ht="20.1" customHeight="1" s="904">
      <c r="A146" s="545" t="n"/>
      <c r="B146" s="909" t="n"/>
      <c r="C146" s="553" t="inlineStr">
        <is>
          <t xml:space="preserve">Газпром добыча Уренгой </t>
        </is>
      </c>
      <c r="D146" s="15" t="n"/>
      <c r="E146" s="15" t="n"/>
      <c r="F146" s="16" t="n"/>
      <c r="G146" s="17" t="inlineStr">
        <is>
          <t>4_100331838</t>
        </is>
      </c>
      <c r="H146" s="636" t="n"/>
      <c r="I146" s="17" t="n"/>
      <c r="J146" s="554" t="inlineStr">
        <is>
          <t>тыс.т</t>
        </is>
      </c>
    </row>
    <row r="147" ht="20.1" customHeight="1" s="904">
      <c r="A147" s="545" t="n"/>
      <c r="B147" s="20" t="inlineStr">
        <is>
          <t>4.2.2.</t>
        </is>
      </c>
      <c r="C147" s="552" t="inlineStr">
        <is>
          <t>Дочерние общества</t>
        </is>
      </c>
      <c r="D147" s="15" t="n"/>
      <c r="E147" s="15" t="n"/>
      <c r="F147" s="16" t="n"/>
      <c r="G147" s="17">
        <f>G148+G154+G157</f>
        <v/>
      </c>
      <c r="H147" s="636" t="n"/>
      <c r="I147" s="17" t="n"/>
      <c r="J147" s="546" t="inlineStr">
        <is>
          <t>тыс.т</t>
        </is>
      </c>
    </row>
    <row r="148" ht="20.1" customHeight="1" s="904">
      <c r="A148" s="545" t="n"/>
      <c r="B148" s="909" t="n"/>
      <c r="C148" s="547" t="inlineStr">
        <is>
          <t xml:space="preserve">   Газпром переработка</t>
        </is>
      </c>
      <c r="D148" s="15" t="n"/>
      <c r="E148" s="15" t="n"/>
      <c r="F148" s="16" t="n"/>
      <c r="G148" s="17">
        <f>G149+G152</f>
        <v/>
      </c>
      <c r="H148" s="636" t="n"/>
      <c r="I148" s="17" t="n"/>
      <c r="J148" s="546" t="inlineStr">
        <is>
          <t>тыс.т</t>
        </is>
      </c>
    </row>
    <row r="149" ht="20.1" customHeight="1" s="904">
      <c r="A149" s="545" t="n"/>
      <c r="B149" s="909" t="n"/>
      <c r="C149" s="548" t="inlineStr">
        <is>
          <t>Оренбургский ГХК</t>
        </is>
      </c>
      <c r="D149" s="15" t="n"/>
      <c r="E149" s="15" t="n"/>
      <c r="F149" s="16" t="n"/>
      <c r="G149" s="17">
        <f>G150+G151</f>
        <v/>
      </c>
      <c r="H149" s="636" t="n"/>
      <c r="I149" s="17" t="n"/>
      <c r="J149" s="549" t="inlineStr">
        <is>
          <t>тыс.т</t>
        </is>
      </c>
    </row>
    <row r="150" ht="20.1" customHeight="1" s="904">
      <c r="A150" s="545" t="n"/>
      <c r="B150" s="909" t="n"/>
      <c r="C150" s="553" t="inlineStr">
        <is>
          <t>УНГП</t>
        </is>
      </c>
      <c r="D150" s="15" t="n"/>
      <c r="E150" s="15" t="n"/>
      <c r="F150" s="16" t="n"/>
      <c r="G150" s="17" t="inlineStr">
        <is>
          <t>2_100332068</t>
        </is>
      </c>
      <c r="H150" s="636" t="n"/>
      <c r="I150" s="17" t="n"/>
      <c r="J150" s="554" t="inlineStr">
        <is>
          <t>тыс.т</t>
        </is>
      </c>
    </row>
    <row r="151" ht="20.1" customHeight="1" s="904">
      <c r="A151" s="545" t="n"/>
      <c r="B151" s="909" t="n"/>
      <c r="C151" s="553" t="inlineStr">
        <is>
          <t>Газпромнефть-Заполярье</t>
        </is>
      </c>
      <c r="D151" s="15" t="n"/>
      <c r="E151" s="15" t="n"/>
      <c r="F151" s="16" t="n"/>
      <c r="G151" s="17" t="inlineStr">
        <is>
          <t>2_100332947</t>
        </is>
      </c>
      <c r="H151" s="636" t="n"/>
      <c r="I151" s="17" t="n"/>
      <c r="J151" s="554" t="inlineStr">
        <is>
          <t>тыс.т</t>
        </is>
      </c>
    </row>
    <row r="152" ht="20.1" customHeight="1" s="904">
      <c r="A152" s="545" t="n"/>
      <c r="B152" s="909" t="n"/>
      <c r="C152" s="567" t="inlineStr">
        <is>
          <t xml:space="preserve">                Уренгойский ЗПКТ</t>
        </is>
      </c>
      <c r="D152" s="15" t="n"/>
      <c r="E152" s="15" t="n"/>
      <c r="F152" s="16" t="n"/>
      <c r="G152" s="17">
        <f>G153</f>
        <v/>
      </c>
      <c r="H152" s="636" t="n"/>
      <c r="I152" s="17" t="n"/>
      <c r="J152" s="549" t="inlineStr">
        <is>
          <t>тыс.т</t>
        </is>
      </c>
    </row>
    <row r="153" ht="20.1" customHeight="1" s="904">
      <c r="A153" s="545" t="n"/>
      <c r="B153" s="909" t="n"/>
      <c r="C153" s="562" t="inlineStr">
        <is>
          <t>Газпром добыча Уренгой</t>
        </is>
      </c>
      <c r="D153" s="15" t="n"/>
      <c r="E153" s="15" t="n"/>
      <c r="F153" s="16" t="n"/>
      <c r="G153" s="17" t="inlineStr">
        <is>
          <t>4_100333678</t>
        </is>
      </c>
      <c r="H153" s="636" t="n"/>
      <c r="I153" s="17" t="n"/>
      <c r="J153" s="554" t="inlineStr">
        <is>
          <t>тыс.т</t>
        </is>
      </c>
    </row>
    <row r="154" ht="20.1" customHeight="1" s="904">
      <c r="A154" s="545" t="n"/>
      <c r="B154" s="909" t="n"/>
      <c r="C154" s="547" t="inlineStr">
        <is>
          <t>Сервиснефтегаз</t>
        </is>
      </c>
      <c r="D154" s="15" t="n"/>
      <c r="E154" s="15" t="n"/>
      <c r="F154" s="16" t="n"/>
      <c r="G154" s="17">
        <f>G155</f>
        <v/>
      </c>
      <c r="H154" s="636" t="n"/>
      <c r="I154" s="17" t="n"/>
      <c r="J154" s="546" t="inlineStr">
        <is>
          <t>тыс.т</t>
        </is>
      </c>
    </row>
    <row r="155" ht="20.1" customHeight="1" s="904">
      <c r="A155" s="545" t="n"/>
      <c r="B155" s="909" t="n"/>
      <c r="C155" s="548" t="inlineStr">
        <is>
          <t xml:space="preserve"> Оренбургский ГХК</t>
        </is>
      </c>
      <c r="D155" s="15" t="n"/>
      <c r="E155" s="15" t="n"/>
      <c r="F155" s="16" t="n"/>
      <c r="G155" s="17">
        <f>G156</f>
        <v/>
      </c>
      <c r="H155" s="636" t="n"/>
      <c r="I155" s="17" t="n"/>
      <c r="J155" s="549" t="inlineStr">
        <is>
          <t>тыс.т</t>
        </is>
      </c>
    </row>
    <row r="156" ht="20.1" customHeight="1" s="904">
      <c r="A156" s="545" t="n"/>
      <c r="B156" s="909" t="n"/>
      <c r="C156" s="553" t="inlineStr">
        <is>
          <t>Сервиснефтегаз</t>
        </is>
      </c>
      <c r="D156" s="15" t="n"/>
      <c r="E156" s="15" t="n"/>
      <c r="F156" s="16" t="n"/>
      <c r="G156" s="17" t="inlineStr">
        <is>
          <t>2_100332069</t>
        </is>
      </c>
      <c r="H156" s="636" t="n"/>
      <c r="I156" s="17" t="n"/>
      <c r="J156" s="554" t="inlineStr">
        <is>
          <t>тыс.т</t>
        </is>
      </c>
    </row>
    <row r="157" ht="20.1" customHeight="1" s="904">
      <c r="A157" s="545" t="n"/>
      <c r="B157" s="909" t="n"/>
      <c r="C157" s="22" t="inlineStr">
        <is>
          <t>Газпром добыча Краснодар</t>
        </is>
      </c>
      <c r="D157" s="15" t="n"/>
      <c r="E157" s="15" t="n"/>
      <c r="F157" s="16" t="n"/>
      <c r="G157" s="17" t="inlineStr">
        <is>
          <t>9_100330672</t>
        </is>
      </c>
      <c r="H157" s="636" t="n"/>
      <c r="I157" s="17" t="n"/>
      <c r="J157" s="546" t="inlineStr">
        <is>
          <t>тыс.т</t>
        </is>
      </c>
    </row>
    <row r="158" ht="20.1" customHeight="1" s="904">
      <c r="A158" s="545" t="n"/>
      <c r="B158" s="909" t="inlineStr">
        <is>
          <t>5.</t>
        </is>
      </c>
      <c r="C158" s="569" t="inlineStr">
        <is>
          <t>Поставка нефти-всего</t>
        </is>
      </c>
      <c r="D158" s="15" t="n"/>
      <c r="E158" s="15" t="n"/>
      <c r="F158" s="16" t="n"/>
      <c r="G158" s="17">
        <f>G159+G160+G161</f>
        <v/>
      </c>
      <c r="H158" s="636" t="n"/>
      <c r="I158" s="17" t="n"/>
      <c r="J158" s="546" t="inlineStr">
        <is>
          <t>тыс.т</t>
        </is>
      </c>
    </row>
    <row r="159" ht="20.1" customHeight="1" s="904">
      <c r="A159" s="545" t="n"/>
      <c r="B159" s="909" t="n"/>
      <c r="C159" s="570" t="inlineStr">
        <is>
          <t xml:space="preserve">   Газпром добыча Ямбург</t>
        </is>
      </c>
      <c r="D159" s="15" t="n"/>
      <c r="E159" s="15" t="n"/>
      <c r="F159" s="16" t="n"/>
      <c r="G159" s="17">
        <f>G169</f>
        <v/>
      </c>
      <c r="H159" s="636" t="n"/>
      <c r="I159" s="17" t="n"/>
      <c r="J159" s="546" t="inlineStr">
        <is>
          <t>тыс.т</t>
        </is>
      </c>
    </row>
    <row r="160" ht="20.1" customHeight="1" s="904">
      <c r="A160" s="545" t="n"/>
      <c r="B160" s="909" t="n"/>
      <c r="C160" s="570" t="inlineStr">
        <is>
          <t>Газпром добыча Уренгой</t>
        </is>
      </c>
      <c r="D160" s="15" t="n"/>
      <c r="E160" s="15" t="n"/>
      <c r="F160" s="16" t="n"/>
      <c r="G160" s="17">
        <f>G163+G172</f>
        <v/>
      </c>
      <c r="H160" s="636" t="n"/>
      <c r="I160" s="17" t="n"/>
      <c r="J160" s="546" t="inlineStr">
        <is>
          <t>тыс.т</t>
        </is>
      </c>
    </row>
    <row r="161" ht="20.1" customHeight="1" s="904">
      <c r="A161" s="545" t="n"/>
      <c r="B161" s="909" t="n"/>
      <c r="C161" s="570" t="inlineStr">
        <is>
          <t>Газпром добыча Ноябрьск</t>
        </is>
      </c>
      <c r="D161" s="15" t="n"/>
      <c r="E161" s="15" t="n"/>
      <c r="F161" s="16" t="n"/>
      <c r="G161" s="17">
        <f>G165+G176</f>
        <v/>
      </c>
      <c r="H161" s="636" t="n"/>
      <c r="I161" s="17" t="n"/>
      <c r="J161" s="546" t="inlineStr">
        <is>
          <t>тыс. т</t>
        </is>
      </c>
    </row>
    <row r="162" ht="20.1" customHeight="1" s="904">
      <c r="A162" s="545" t="n"/>
      <c r="B162" s="20" t="inlineStr">
        <is>
          <t>5.1.</t>
        </is>
      </c>
      <c r="C162" s="571" t="inlineStr">
        <is>
          <t>Газпром</t>
        </is>
      </c>
      <c r="D162" s="15" t="n"/>
      <c r="E162" s="15" t="n"/>
      <c r="F162" s="16" t="n"/>
      <c r="G162" s="17">
        <f>G163+G165</f>
        <v/>
      </c>
      <c r="H162" s="636" t="n"/>
      <c r="I162" s="17" t="n"/>
      <c r="J162" s="546" t="inlineStr">
        <is>
          <t>тыс.т</t>
        </is>
      </c>
    </row>
    <row r="163" ht="20.1" customHeight="1" s="904">
      <c r="A163" s="545" t="n"/>
      <c r="B163" s="909" t="n"/>
      <c r="C163" s="570" t="inlineStr">
        <is>
          <t>Газпром добыча Уренгой</t>
        </is>
      </c>
      <c r="D163" s="15" t="n"/>
      <c r="E163" s="15" t="n"/>
      <c r="F163" s="16" t="n"/>
      <c r="G163" s="17">
        <f>G164</f>
        <v/>
      </c>
      <c r="H163" s="636" t="n"/>
      <c r="I163" s="17" t="n"/>
      <c r="J163" s="546" t="inlineStr">
        <is>
          <t>тыс.т</t>
        </is>
      </c>
    </row>
    <row r="164" ht="20.1" customHeight="1" s="904">
      <c r="A164" s="545" t="n"/>
      <c r="B164" s="909" t="n"/>
      <c r="C164" s="562" t="inlineStr">
        <is>
          <t xml:space="preserve">                Уренгойское НГКМ</t>
        </is>
      </c>
      <c r="D164" s="15" t="n"/>
      <c r="E164" s="15" t="n"/>
      <c r="F164" s="16" t="n"/>
      <c r="G164" s="17" t="n"/>
      <c r="H164" s="636" t="n"/>
      <c r="I164" s="17" t="n"/>
      <c r="J164" s="554" t="inlineStr">
        <is>
          <t>тыс.т</t>
        </is>
      </c>
    </row>
    <row r="165" ht="20.1" customHeight="1" s="904">
      <c r="A165" s="545" t="n"/>
      <c r="B165" s="909" t="n"/>
      <c r="C165" s="570" t="inlineStr">
        <is>
          <t>Газпром добыча Ноябрьск</t>
        </is>
      </c>
      <c r="D165" s="15" t="n"/>
      <c r="E165" s="15" t="n"/>
      <c r="F165" s="16" t="n"/>
      <c r="G165" s="17">
        <f>G166</f>
        <v/>
      </c>
      <c r="H165" s="636" t="n"/>
      <c r="I165" s="17" t="n"/>
      <c r="J165" s="546" t="inlineStr">
        <is>
          <t>тыс. т</t>
        </is>
      </c>
    </row>
    <row r="166" ht="20.1" customHeight="1" s="904">
      <c r="A166" s="545" t="n"/>
      <c r="B166" s="909" t="n"/>
      <c r="C166" s="562" t="inlineStr">
        <is>
          <t>Чаяндинское НГКМ</t>
        </is>
      </c>
      <c r="D166" s="15" t="n"/>
      <c r="E166" s="15" t="n"/>
      <c r="F166" s="16" t="n"/>
      <c r="G166" s="17" t="inlineStr">
        <is>
          <t>10_100330720</t>
        </is>
      </c>
      <c r="H166" s="636" t="n"/>
      <c r="I166" s="17" t="n"/>
      <c r="J166" s="554" t="inlineStr">
        <is>
          <t>тыс.т</t>
        </is>
      </c>
    </row>
    <row r="167" ht="20.1" customHeight="1" s="904">
      <c r="A167" s="545" t="n"/>
      <c r="B167" s="909" t="n"/>
      <c r="C167" s="562" t="inlineStr">
        <is>
          <t>в т.ч. конденсат</t>
        </is>
      </c>
      <c r="D167" s="15" t="n"/>
      <c r="E167" s="15" t="n"/>
      <c r="F167" s="16" t="n"/>
      <c r="G167" s="17" t="inlineStr">
        <is>
          <t>10_100335709</t>
        </is>
      </c>
      <c r="H167" s="636" t="n"/>
      <c r="I167" s="17" t="n"/>
      <c r="J167" s="554" t="inlineStr">
        <is>
          <t>тыс.т</t>
        </is>
      </c>
    </row>
    <row r="168" ht="20.1" customHeight="1" s="904">
      <c r="A168" s="545" t="n"/>
      <c r="B168" s="20" t="inlineStr">
        <is>
          <t>5.2.</t>
        </is>
      </c>
      <c r="C168" s="571" t="inlineStr">
        <is>
          <t>Дочерние общества</t>
        </is>
      </c>
      <c r="D168" s="15" t="n"/>
      <c r="E168" s="15" t="n"/>
      <c r="F168" s="16" t="n"/>
      <c r="G168" s="17">
        <f>G169+G172+G176</f>
        <v/>
      </c>
      <c r="H168" s="636" t="n"/>
      <c r="I168" s="17" t="n"/>
      <c r="J168" s="546" t="inlineStr">
        <is>
          <t>тыс.т</t>
        </is>
      </c>
    </row>
    <row r="169" ht="20.1" customHeight="1" s="904">
      <c r="A169" s="545" t="n"/>
      <c r="B169" s="909" t="n"/>
      <c r="C169" s="570" t="inlineStr">
        <is>
          <t xml:space="preserve">   Газпром добыча Ямбург</t>
        </is>
      </c>
      <c r="D169" s="15" t="n"/>
      <c r="E169" s="15" t="n"/>
      <c r="F169" s="16" t="n"/>
      <c r="G169" s="17">
        <f>G170+G171</f>
        <v/>
      </c>
      <c r="H169" s="636" t="n"/>
      <c r="I169" s="17" t="n"/>
      <c r="J169" s="546" t="inlineStr">
        <is>
          <t>тыс.т</t>
        </is>
      </c>
    </row>
    <row r="170" ht="20.1" customHeight="1" s="904">
      <c r="A170" s="545" t="n"/>
      <c r="B170" s="909" t="n"/>
      <c r="C170" s="562" t="inlineStr">
        <is>
          <t>Ямбургское НГКМ</t>
        </is>
      </c>
      <c r="D170" s="15" t="n"/>
      <c r="E170" s="15" t="n"/>
      <c r="F170" s="16" t="n"/>
      <c r="G170" s="17" t="inlineStr">
        <is>
          <t>7_100330593</t>
        </is>
      </c>
      <c r="H170" s="636" t="n"/>
      <c r="I170" s="17" t="n"/>
      <c r="J170" s="554" t="inlineStr">
        <is>
          <t>тыс.т</t>
        </is>
      </c>
    </row>
    <row r="171" ht="20.1" customHeight="1" s="904">
      <c r="A171" s="545" t="n"/>
      <c r="B171" s="909" t="n"/>
      <c r="C171" s="572" t="inlineStr">
        <is>
          <t>Заполярное НГКМ</t>
        </is>
      </c>
      <c r="D171" s="15" t="n"/>
      <c r="E171" s="15" t="n"/>
      <c r="F171" s="16" t="n"/>
      <c r="G171" s="17" t="inlineStr">
        <is>
          <t>7_100330591</t>
        </is>
      </c>
      <c r="H171" s="636" t="n"/>
      <c r="I171" s="17" t="n"/>
      <c r="J171" s="554" t="inlineStr">
        <is>
          <t>тыс.т</t>
        </is>
      </c>
    </row>
    <row r="172" ht="20.1" customHeight="1" s="904">
      <c r="A172" s="545" t="n"/>
      <c r="B172" s="909" t="n"/>
      <c r="C172" s="573" t="inlineStr">
        <is>
          <t>Газпром добыча Уренгой</t>
        </is>
      </c>
      <c r="D172" s="15" t="n"/>
      <c r="E172" s="15" t="n"/>
      <c r="F172" s="16" t="n"/>
      <c r="G172" s="17">
        <f>G174+G175+G173</f>
        <v/>
      </c>
      <c r="H172" s="636" t="n"/>
      <c r="I172" s="17" t="n"/>
      <c r="J172" s="546" t="inlineStr">
        <is>
          <t>тыс.т</t>
        </is>
      </c>
    </row>
    <row r="173" ht="20.1" customHeight="1" s="904">
      <c r="A173" s="545" t="n"/>
      <c r="B173" s="909" t="n"/>
      <c r="C173" s="572" t="inlineStr">
        <is>
          <t xml:space="preserve">                Уренгойское НГКМ</t>
        </is>
      </c>
      <c r="D173" s="15" t="n"/>
      <c r="E173" s="15" t="n"/>
      <c r="F173" s="16" t="n"/>
      <c r="G173" s="17" t="inlineStr">
        <is>
          <t>8_100335670+8_100335918+8_100336114+8_100337111+8_100337105</t>
        </is>
      </c>
      <c r="H173" s="636" t="n"/>
      <c r="I173" s="17" t="n"/>
      <c r="J173" s="554" t="inlineStr">
        <is>
          <t>тыс.т</t>
        </is>
      </c>
    </row>
    <row r="174" ht="20.1" customHeight="1" s="904">
      <c r="A174" s="545" t="n"/>
      <c r="B174" s="909" t="n"/>
      <c r="C174" s="572" t="inlineStr">
        <is>
          <t>Ен-Яхинское НГКМ</t>
        </is>
      </c>
      <c r="D174" s="15" t="n"/>
      <c r="E174" s="15" t="n"/>
      <c r="F174" s="16" t="n"/>
      <c r="G174" s="17" t="inlineStr">
        <is>
          <t>8_100330646+8_100335919</t>
        </is>
      </c>
      <c r="H174" s="636" t="n"/>
      <c r="I174" s="17" t="n"/>
      <c r="J174" s="554" t="inlineStr">
        <is>
          <t>тыс.т</t>
        </is>
      </c>
    </row>
    <row r="175" ht="20.1" customHeight="1" s="904">
      <c r="A175" s="545" t="n"/>
      <c r="B175" s="909" t="n"/>
      <c r="C175" s="572" t="inlineStr">
        <is>
          <t>Песцовое НГКМ</t>
        </is>
      </c>
      <c r="D175" s="15" t="n"/>
      <c r="E175" s="15" t="n"/>
      <c r="F175" s="16" t="n"/>
      <c r="G175" s="17" t="inlineStr">
        <is>
          <t>8_100330647+8_100335920</t>
        </is>
      </c>
      <c r="H175" s="636" t="n"/>
      <c r="I175" s="17" t="n"/>
      <c r="J175" s="554" t="inlineStr">
        <is>
          <t>тыс.т</t>
        </is>
      </c>
    </row>
    <row r="176" ht="20.1" customHeight="1" s="904">
      <c r="A176" s="545" t="n"/>
      <c r="B176" s="909" t="n"/>
      <c r="C176" s="573" t="inlineStr">
        <is>
          <t>Газпром добыча Ноябрьск</t>
        </is>
      </c>
      <c r="D176" s="15" t="n"/>
      <c r="E176" s="15" t="n"/>
      <c r="F176" s="16" t="n"/>
      <c r="G176" s="17">
        <f>G177+G178+G179+G180</f>
        <v/>
      </c>
      <c r="H176" s="636" t="n"/>
      <c r="I176" s="17" t="n"/>
      <c r="J176" s="546" t="inlineStr">
        <is>
          <t>тыс. т</t>
        </is>
      </c>
    </row>
    <row r="177" ht="20.1" customHeight="1" s="904">
      <c r="A177" s="545" t="n"/>
      <c r="B177" s="909" t="n"/>
      <c r="C177" s="572" t="inlineStr">
        <is>
          <t>Западно-Таркосалинское НГКМ</t>
        </is>
      </c>
      <c r="D177" s="15" t="n"/>
      <c r="E177" s="15" t="n"/>
      <c r="F177" s="16" t="n"/>
      <c r="G177" s="17" t="inlineStr">
        <is>
          <t>10_100330862</t>
        </is>
      </c>
      <c r="H177" s="636" t="n"/>
      <c r="I177" s="17" t="n"/>
      <c r="J177" s="554" t="inlineStr">
        <is>
          <t>тыс.т</t>
        </is>
      </c>
    </row>
    <row r="178" ht="20.1" customHeight="1" s="904">
      <c r="A178" s="545" t="n"/>
      <c r="B178" s="909" t="n"/>
      <c r="C178" s="572" t="inlineStr">
        <is>
          <t xml:space="preserve">         Тас- Юряхское НГКМ </t>
        </is>
      </c>
      <c r="D178" s="15" t="n"/>
      <c r="E178" s="15" t="n"/>
      <c r="F178" s="16" t="n"/>
      <c r="G178" s="17" t="inlineStr">
        <is>
          <t>10_100336141</t>
        </is>
      </c>
      <c r="H178" s="636" t="n"/>
      <c r="I178" s="17" t="n"/>
      <c r="J178" s="554" t="inlineStr">
        <is>
          <t>тыс.т</t>
        </is>
      </c>
    </row>
    <row r="179" ht="20.1" customHeight="1" s="904">
      <c r="A179" s="545" t="n"/>
      <c r="B179" s="909" t="n"/>
      <c r="C179" s="572" t="inlineStr">
        <is>
          <t>Верхневилючанское НГКМ</t>
        </is>
      </c>
      <c r="D179" s="15" t="n"/>
      <c r="E179" s="15" t="n"/>
      <c r="F179" s="16" t="n"/>
      <c r="G179" s="17" t="inlineStr">
        <is>
          <t>10_100337129</t>
        </is>
      </c>
      <c r="H179" s="636" t="n"/>
      <c r="I179" s="17" t="n"/>
      <c r="J179" s="554" t="n"/>
    </row>
    <row r="180" ht="20.1" customHeight="1" s="904">
      <c r="A180" s="545" t="n"/>
      <c r="B180" s="909" t="n"/>
      <c r="C180" s="739" t="inlineStr">
        <is>
          <t>Чаяндинское НГКМ</t>
        </is>
      </c>
      <c r="D180" s="634" t="n"/>
      <c r="E180" s="634" t="n"/>
      <c r="F180" s="635" t="n"/>
      <c r="G180" s="636" t="inlineStr">
        <is>
          <t>10_100337144</t>
        </is>
      </c>
      <c r="H180" s="636" t="n"/>
      <c r="I180" s="636" t="n"/>
      <c r="J180" s="554" t="n"/>
    </row>
    <row r="181" ht="20.1" customHeight="1" s="904">
      <c r="A181" s="545" t="n"/>
      <c r="B181" s="909" t="inlineStr">
        <is>
          <t>6.</t>
        </is>
      </c>
      <c r="C181" s="574" t="inlineStr">
        <is>
          <t>Поставка нестабильного газового конденсата-всего</t>
        </is>
      </c>
      <c r="D181" s="15" t="n"/>
      <c r="E181" s="15" t="n"/>
      <c r="F181" s="16" t="n"/>
      <c r="G181" s="17">
        <f>G182+G183+G184+G185</f>
        <v/>
      </c>
      <c r="H181" s="636" t="n"/>
      <c r="I181" s="17" t="n"/>
      <c r="J181" s="546" t="inlineStr">
        <is>
          <t>тыс.т</t>
        </is>
      </c>
    </row>
    <row r="182" ht="20.1" customHeight="1" s="904">
      <c r="A182" s="545" t="n"/>
      <c r="B182" s="909" t="n"/>
      <c r="C182" s="573" t="inlineStr">
        <is>
          <t xml:space="preserve">   Газпром добыча Ямбург</t>
        </is>
      </c>
      <c r="D182" s="15" t="n"/>
      <c r="E182" s="15" t="n"/>
      <c r="F182" s="16" t="n"/>
      <c r="G182" s="17">
        <f>G188</f>
        <v/>
      </c>
      <c r="H182" s="636" t="n"/>
      <c r="I182" s="17" t="n"/>
      <c r="J182" s="546" t="inlineStr">
        <is>
          <t>тыс.т</t>
        </is>
      </c>
    </row>
    <row r="183" ht="20.1" customHeight="1" s="904">
      <c r="A183" s="545" t="n"/>
      <c r="B183" s="909" t="n"/>
      <c r="C183" s="573" t="inlineStr">
        <is>
          <t>Газпром добыча Уренгой</t>
        </is>
      </c>
      <c r="D183" s="15" t="n"/>
      <c r="E183" s="15" t="n"/>
      <c r="F183" s="16" t="n"/>
      <c r="G183" s="17">
        <f>G190</f>
        <v/>
      </c>
      <c r="H183" s="636" t="n"/>
      <c r="I183" s="17" t="n"/>
      <c r="J183" s="546" t="inlineStr">
        <is>
          <t>тыс.т</t>
        </is>
      </c>
    </row>
    <row r="184" ht="20.1" customHeight="1" s="904">
      <c r="A184" s="545" t="n"/>
      <c r="B184" s="909" t="n"/>
      <c r="C184" s="573" t="inlineStr">
        <is>
          <t xml:space="preserve">Газпром добыча Надым </t>
        </is>
      </c>
      <c r="D184" s="15" t="n"/>
      <c r="E184" s="15" t="n"/>
      <c r="F184" s="16" t="n"/>
      <c r="G184" s="17">
        <f>G194</f>
        <v/>
      </c>
      <c r="H184" s="636" t="n"/>
      <c r="I184" s="17" t="n"/>
      <c r="J184" s="546" t="inlineStr">
        <is>
          <t>тыс.т</t>
        </is>
      </c>
    </row>
    <row r="185" ht="20.1" customHeight="1" s="904">
      <c r="A185" s="545" t="n"/>
      <c r="B185" s="909" t="n"/>
      <c r="C185" s="570" t="inlineStr">
        <is>
          <t>Газпром добыча Ноябрьск</t>
        </is>
      </c>
      <c r="D185" s="15" t="n"/>
      <c r="E185" s="15" t="n"/>
      <c r="F185" s="16" t="n"/>
      <c r="G185" s="17">
        <f>G197</f>
        <v/>
      </c>
      <c r="H185" s="636" t="n"/>
      <c r="I185" s="17" t="n"/>
      <c r="J185" s="546" t="inlineStr">
        <is>
          <t>тыс. т</t>
        </is>
      </c>
    </row>
    <row r="186" ht="20.1" customHeight="1" s="904">
      <c r="A186" s="545" t="n"/>
      <c r="B186" s="20" t="inlineStr">
        <is>
          <t>6.1.</t>
        </is>
      </c>
      <c r="C186" s="575" t="inlineStr">
        <is>
          <t>Газпром</t>
        </is>
      </c>
      <c r="D186" s="15" t="n"/>
      <c r="E186" s="15" t="n"/>
      <c r="F186" s="16" t="n"/>
      <c r="G186" s="17" t="n"/>
      <c r="H186" s="636" t="n"/>
      <c r="I186" s="17" t="n"/>
      <c r="J186" s="546" t="inlineStr">
        <is>
          <t>тыс.т</t>
        </is>
      </c>
    </row>
    <row r="187" ht="20.1" customHeight="1" s="904">
      <c r="A187" s="545" t="n"/>
      <c r="B187" s="20" t="inlineStr">
        <is>
          <t>6.2.</t>
        </is>
      </c>
      <c r="C187" s="575" t="inlineStr">
        <is>
          <t>Дочерние общества</t>
        </is>
      </c>
      <c r="D187" s="15" t="n"/>
      <c r="E187" s="15" t="n"/>
      <c r="F187" s="16" t="n"/>
      <c r="G187" s="17">
        <f>G188+G190+G194+G197</f>
        <v/>
      </c>
      <c r="H187" s="636" t="n"/>
      <c r="I187" s="17" t="n"/>
      <c r="J187" s="546" t="inlineStr">
        <is>
          <t>тыс.т</t>
        </is>
      </c>
    </row>
    <row r="188" ht="20.1" customHeight="1" s="904">
      <c r="A188" s="545" t="n"/>
      <c r="B188" s="909" t="n"/>
      <c r="C188" s="573" t="inlineStr">
        <is>
          <t xml:space="preserve">   Газпром добыча Ямбург</t>
        </is>
      </c>
      <c r="D188" s="15" t="n"/>
      <c r="E188" s="15" t="n"/>
      <c r="F188" s="16" t="n"/>
      <c r="G188" s="17">
        <f>G189</f>
        <v/>
      </c>
      <c r="H188" s="636" t="n"/>
      <c r="I188" s="17" t="n"/>
      <c r="J188" s="546" t="inlineStr">
        <is>
          <t>тыс.т</t>
        </is>
      </c>
    </row>
    <row r="189" ht="20.1" customHeight="1" s="904">
      <c r="A189" s="545" t="n"/>
      <c r="B189" s="909" t="n"/>
      <c r="C189" s="572" t="inlineStr">
        <is>
          <t>Ямбургское НГКМ</t>
        </is>
      </c>
      <c r="D189" s="15" t="n"/>
      <c r="E189" s="15" t="n"/>
      <c r="F189" s="16" t="n"/>
      <c r="G189" s="17" t="inlineStr">
        <is>
          <t>7_100333320</t>
        </is>
      </c>
      <c r="H189" s="636" t="n"/>
      <c r="I189" s="17" t="n"/>
      <c r="J189" s="554" t="inlineStr">
        <is>
          <t>тыс.т</t>
        </is>
      </c>
    </row>
    <row r="190" ht="20.1" customHeight="1" s="904">
      <c r="A190" s="545" t="n"/>
      <c r="B190" s="909" t="n"/>
      <c r="C190" s="573" t="inlineStr">
        <is>
          <t>Газпром добыча Уренгой</t>
        </is>
      </c>
      <c r="D190" s="15" t="n"/>
      <c r="E190" s="15" t="n"/>
      <c r="F190" s="16" t="n"/>
      <c r="G190" s="17">
        <f>SUM(G191:G193)</f>
        <v/>
      </c>
      <c r="H190" s="636" t="n"/>
      <c r="I190" s="17" t="n"/>
      <c r="J190" s="546" t="inlineStr">
        <is>
          <t>тыс.т</t>
        </is>
      </c>
    </row>
    <row r="191" ht="20.1" customHeight="1" s="904">
      <c r="A191" s="545" t="n"/>
      <c r="B191" s="909" t="n"/>
      <c r="C191" s="572" t="inlineStr">
        <is>
          <t>Уренгойское НГКМ ачим. 3 уч.(включая ГВ и конденсат)</t>
        </is>
      </c>
      <c r="D191" s="15" t="n"/>
      <c r="E191" s="15" t="n"/>
      <c r="F191" s="16" t="n"/>
      <c r="G191" s="17" t="inlineStr">
        <is>
          <t>8_100335489-8_100335600-8_100335601</t>
        </is>
      </c>
      <c r="H191" s="636" t="n"/>
      <c r="I191" s="17" t="n"/>
      <c r="J191" s="554" t="inlineStr">
        <is>
          <t>тыс.т</t>
        </is>
      </c>
    </row>
    <row r="192" ht="20.1" customHeight="1" s="904">
      <c r="A192" s="545" t="n"/>
      <c r="B192" s="909" t="n"/>
      <c r="C192" s="572" t="inlineStr">
        <is>
          <t>Песцовое НГКМ (включая ГВ и конденсат)</t>
        </is>
      </c>
      <c r="D192" s="15" t="n"/>
      <c r="E192" s="15" t="n"/>
      <c r="F192" s="16" t="n"/>
      <c r="G192" s="17" t="inlineStr">
        <is>
          <t>8_100335490+8_100335603-8_100335471-8_100335602</t>
        </is>
      </c>
      <c r="H192" s="636" t="n"/>
      <c r="I192" s="17" t="n"/>
      <c r="J192" s="554" t="inlineStr">
        <is>
          <t>тыс.т</t>
        </is>
      </c>
    </row>
    <row r="193" ht="20.1" customHeight="1" s="904">
      <c r="A193" s="545" t="n"/>
      <c r="B193" s="909" t="n"/>
      <c r="C193" s="572" t="inlineStr">
        <is>
          <t>Ен-Яхинское НГКМ (включая ГВ и конденсат)</t>
        </is>
      </c>
      <c r="D193" s="15" t="n"/>
      <c r="E193" s="15" t="n"/>
      <c r="F193" s="16" t="n"/>
      <c r="G193" s="17" t="inlineStr">
        <is>
          <t>8_100335516+8_100335517</t>
        </is>
      </c>
      <c r="H193" s="636" t="n"/>
      <c r="I193" s="17" t="n"/>
      <c r="J193" s="554" t="inlineStr">
        <is>
          <t>тыс.т</t>
        </is>
      </c>
    </row>
    <row r="194" ht="20.1" customHeight="1" s="904">
      <c r="A194" s="545" t="n"/>
      <c r="B194" s="909" t="n"/>
      <c r="C194" s="573" t="inlineStr">
        <is>
          <t xml:space="preserve">Газпром добыча Надым </t>
        </is>
      </c>
      <c r="D194" s="15" t="n"/>
      <c r="E194" s="15" t="n"/>
      <c r="F194" s="16" t="n"/>
      <c r="G194" s="17">
        <f>G195+G196</f>
        <v/>
      </c>
      <c r="H194" s="636" t="n"/>
      <c r="I194" s="17" t="n"/>
      <c r="J194" s="546" t="inlineStr">
        <is>
          <t>тыс.т</t>
        </is>
      </c>
    </row>
    <row r="195" ht="20.1" customHeight="1" s="904">
      <c r="A195" s="545" t="n"/>
      <c r="B195" s="909" t="n"/>
      <c r="C195" s="23" t="inlineStr">
        <is>
          <t xml:space="preserve"> Бованенковское НГКМ (неоком-юра)</t>
        </is>
      </c>
      <c r="D195" s="15" t="n"/>
      <c r="E195" s="15" t="n"/>
      <c r="F195" s="16" t="n"/>
      <c r="G195" s="17" t="inlineStr">
        <is>
          <t>11_100335593</t>
        </is>
      </c>
      <c r="H195" s="636" t="n"/>
      <c r="I195" s="17" t="n"/>
      <c r="J195" s="554" t="inlineStr">
        <is>
          <t>тыс.т</t>
        </is>
      </c>
    </row>
    <row r="196" ht="20.1" customHeight="1" s="904">
      <c r="A196" s="545" t="n"/>
      <c r="B196" s="909" t="n"/>
      <c r="C196" s="23" t="inlineStr">
        <is>
          <t>Харасавэйское ГКМ (неоком-юра)</t>
        </is>
      </c>
      <c r="D196" s="15" t="n"/>
      <c r="E196" s="15" t="n"/>
      <c r="F196" s="16" t="n"/>
      <c r="G196" s="17" t="inlineStr">
        <is>
          <t>11_100335658</t>
        </is>
      </c>
      <c r="H196" s="636" t="n"/>
      <c r="I196" s="17" t="n"/>
      <c r="J196" s="554" t="inlineStr">
        <is>
          <t>тыс.т</t>
        </is>
      </c>
    </row>
    <row r="197" ht="20.1" customHeight="1" s="904">
      <c r="A197" s="545" t="n"/>
      <c r="B197" s="909" t="n"/>
      <c r="C197" s="573" t="inlineStr">
        <is>
          <t>Газпром добыча Ноябрьск</t>
        </is>
      </c>
      <c r="D197" s="15" t="n"/>
      <c r="E197" s="15" t="n"/>
      <c r="F197" s="16" t="n"/>
      <c r="G197" s="17">
        <f>G198+G199</f>
        <v/>
      </c>
      <c r="H197" s="636" t="n"/>
      <c r="I197" s="17" t="n"/>
      <c r="J197" s="546" t="inlineStr">
        <is>
          <t>тыс.т</t>
        </is>
      </c>
    </row>
    <row r="198" ht="20.1" customHeight="1" s="904">
      <c r="A198" s="545" t="n"/>
      <c r="B198" s="909" t="n"/>
      <c r="C198" s="23" t="inlineStr">
        <is>
          <t xml:space="preserve">         Тас- Юряхское НГКМ </t>
        </is>
      </c>
      <c r="D198" s="15" t="n"/>
      <c r="E198" s="15" t="n"/>
      <c r="F198" s="16" t="n"/>
      <c r="G198" s="17" t="inlineStr">
        <is>
          <t>10_100336327</t>
        </is>
      </c>
      <c r="H198" s="636" t="n"/>
      <c r="I198" s="17" t="n"/>
      <c r="J198" s="554" t="inlineStr">
        <is>
          <t>тыс.т</t>
        </is>
      </c>
    </row>
    <row r="199" ht="20.1" customHeight="1" s="904">
      <c r="A199" s="545" t="n"/>
      <c r="B199" s="909" t="n"/>
      <c r="C199" s="23" t="inlineStr">
        <is>
          <t>Верхневилючанское НГКМ</t>
        </is>
      </c>
      <c r="D199" s="15" t="n"/>
      <c r="E199" s="15" t="n"/>
      <c r="F199" s="16" t="n"/>
      <c r="G199" s="17" t="inlineStr">
        <is>
          <t>10_100337128</t>
        </is>
      </c>
      <c r="H199" s="636" t="n"/>
      <c r="I199" s="17" t="n"/>
      <c r="J199" s="554" t="n"/>
    </row>
    <row r="200" ht="20.1" customHeight="1" s="904">
      <c r="A200" s="545" t="n"/>
      <c r="B200" s="909" t="inlineStr">
        <is>
          <t>7.</t>
        </is>
      </c>
      <c r="C200" s="565" t="inlineStr">
        <is>
          <t>Переработка газового конденсата (нефти) первичная-всего</t>
        </is>
      </c>
      <c r="D200" s="15" t="n"/>
      <c r="E200" s="15" t="n"/>
      <c r="F200" s="16" t="n"/>
      <c r="G200" s="17">
        <f>G201+G205</f>
        <v/>
      </c>
      <c r="H200" s="636" t="n"/>
      <c r="I200" s="17" t="n"/>
      <c r="J200" s="546" t="n"/>
    </row>
    <row r="201" ht="20.1" customHeight="1" s="904">
      <c r="A201" s="545" t="n"/>
      <c r="B201" s="909" t="n"/>
      <c r="C201" s="547" t="inlineStr">
        <is>
          <t xml:space="preserve">   Газпром переработка</t>
        </is>
      </c>
      <c r="D201" s="15" t="n"/>
      <c r="E201" s="15" t="n"/>
      <c r="F201" s="16" t="n"/>
      <c r="G201" s="17">
        <f>G202+G203+G204</f>
        <v/>
      </c>
      <c r="H201" s="636" t="n"/>
      <c r="I201" s="17" t="n"/>
      <c r="J201" s="546" t="inlineStr">
        <is>
          <t>тыс.т</t>
        </is>
      </c>
    </row>
    <row r="202" ht="20.1" customHeight="1" s="904">
      <c r="A202" s="545" t="n"/>
      <c r="B202" s="909" t="n"/>
      <c r="C202" s="548" t="inlineStr">
        <is>
          <t>Астраханский ГПЗ</t>
        </is>
      </c>
      <c r="D202" s="15" t="n"/>
      <c r="E202" s="15" t="n"/>
      <c r="F202" s="16" t="n"/>
      <c r="G202" s="17">
        <f>G213+G208</f>
        <v/>
      </c>
      <c r="H202" s="636" t="n"/>
      <c r="I202" s="17" t="n"/>
      <c r="J202" s="549" t="inlineStr">
        <is>
          <t>тыс.т</t>
        </is>
      </c>
    </row>
    <row r="203" ht="20.1" customHeight="1" s="904">
      <c r="A203" s="545" t="n"/>
      <c r="B203" s="909" t="n"/>
      <c r="C203" s="548" t="inlineStr">
        <is>
          <t xml:space="preserve">              Уренгойский ЗПКТ</t>
        </is>
      </c>
      <c r="D203" s="15" t="n"/>
      <c r="E203" s="15" t="n"/>
      <c r="F203" s="16" t="n"/>
      <c r="G203" s="17">
        <f>G209</f>
        <v/>
      </c>
      <c r="H203" s="636" t="n"/>
      <c r="I203" s="17" t="n"/>
      <c r="J203" s="549" t="inlineStr">
        <is>
          <t>тыс.т</t>
        </is>
      </c>
    </row>
    <row r="204" ht="20.1" customHeight="1" s="904">
      <c r="A204" s="545" t="n"/>
      <c r="B204" s="909" t="n"/>
      <c r="C204" s="548" t="inlineStr">
        <is>
          <t xml:space="preserve">                Сургутский ЗСК</t>
        </is>
      </c>
      <c r="D204" s="15" t="n"/>
      <c r="E204" s="15" t="n"/>
      <c r="F204" s="16" t="n"/>
      <c r="G204" s="17">
        <f>G210</f>
        <v/>
      </c>
      <c r="H204" s="636" t="n"/>
      <c r="I204" s="17" t="n"/>
      <c r="J204" s="549" t="inlineStr">
        <is>
          <t>тыс.т</t>
        </is>
      </c>
    </row>
    <row r="205" ht="20.1" customHeight="1" s="904">
      <c r="A205" s="545" t="n"/>
      <c r="B205" s="909" t="n"/>
      <c r="C205" s="547" t="inlineStr">
        <is>
          <t xml:space="preserve">   Газпром добыча Ямбург</t>
        </is>
      </c>
      <c r="D205" s="15" t="n"/>
      <c r="E205" s="15" t="n"/>
      <c r="F205" s="16" t="n"/>
      <c r="G205" s="17">
        <f>G214</f>
        <v/>
      </c>
      <c r="H205" s="636" t="n"/>
      <c r="I205" s="17" t="n"/>
      <c r="J205" s="546" t="inlineStr">
        <is>
          <t>тыс.т</t>
        </is>
      </c>
    </row>
    <row r="206" ht="20.1" customHeight="1" s="904">
      <c r="A206" s="545" t="n"/>
      <c r="B206" s="20" t="inlineStr">
        <is>
          <t>7.1.</t>
        </is>
      </c>
      <c r="C206" s="552" t="inlineStr">
        <is>
          <t>Газпром</t>
        </is>
      </c>
      <c r="D206" s="15" t="n"/>
      <c r="E206" s="15" t="n"/>
      <c r="F206" s="16" t="n"/>
      <c r="G206" s="17">
        <f>G207</f>
        <v/>
      </c>
      <c r="H206" s="636" t="n"/>
      <c r="I206" s="17" t="n"/>
      <c r="J206" s="546" t="inlineStr">
        <is>
          <t>тыс.т</t>
        </is>
      </c>
    </row>
    <row r="207" ht="20.1" customHeight="1" s="904">
      <c r="A207" s="545" t="n"/>
      <c r="B207" s="909" t="n"/>
      <c r="C207" s="547" t="inlineStr">
        <is>
          <t xml:space="preserve">   Газпром переработка</t>
        </is>
      </c>
      <c r="D207" s="15" t="n"/>
      <c r="E207" s="15" t="n"/>
      <c r="F207" s="16" t="n"/>
      <c r="G207" s="17">
        <f>G208+G209+G210</f>
        <v/>
      </c>
      <c r="H207" s="636" t="n"/>
      <c r="I207" s="17" t="n"/>
      <c r="J207" s="546" t="inlineStr">
        <is>
          <t>тыс.т</t>
        </is>
      </c>
    </row>
    <row r="208" ht="20.1" customHeight="1" s="904">
      <c r="A208" s="545" t="n"/>
      <c r="B208" s="909" t="n"/>
      <c r="C208" s="548" t="inlineStr">
        <is>
          <t>Астраханский ГПЗ</t>
        </is>
      </c>
      <c r="D208" s="15" t="n"/>
      <c r="E208" s="15" t="n"/>
      <c r="F208" s="16" t="n"/>
      <c r="G208" s="17" t="inlineStr">
        <is>
          <t>1_100332016</t>
        </is>
      </c>
      <c r="H208" s="636" t="n"/>
      <c r="I208" s="17" t="n"/>
      <c r="J208" s="549" t="inlineStr">
        <is>
          <t>тыс.т</t>
        </is>
      </c>
    </row>
    <row r="209" ht="20.1" customHeight="1" s="904">
      <c r="A209" s="545" t="n"/>
      <c r="B209" s="909" t="n"/>
      <c r="C209" s="548" t="inlineStr">
        <is>
          <t xml:space="preserve">              Уренгойский ЗПКТ</t>
        </is>
      </c>
      <c r="D209" s="15" t="n"/>
      <c r="E209" s="15" t="n"/>
      <c r="F209" s="16" t="n"/>
      <c r="G209" s="17" t="inlineStr">
        <is>
          <t>4_100331931</t>
        </is>
      </c>
      <c r="H209" s="636" t="n"/>
      <c r="I209" s="17" t="n"/>
      <c r="J209" s="549" t="inlineStr">
        <is>
          <t>тыс.т</t>
        </is>
      </c>
    </row>
    <row r="210" ht="20.1" customHeight="1" s="904">
      <c r="A210" s="545" t="n"/>
      <c r="B210" s="909" t="n"/>
      <c r="C210" s="548" t="inlineStr">
        <is>
          <t xml:space="preserve">                Сургутский ЗСК</t>
        </is>
      </c>
      <c r="D210" s="15" t="n"/>
      <c r="E210" s="15" t="n"/>
      <c r="F210" s="16" t="n"/>
      <c r="G210" s="17" t="inlineStr">
        <is>
          <t>4_100331932</t>
        </is>
      </c>
      <c r="H210" s="636" t="n"/>
      <c r="I210" s="17" t="n"/>
      <c r="J210" s="549" t="inlineStr">
        <is>
          <t>тыс.т</t>
        </is>
      </c>
    </row>
    <row r="211" ht="19.5" customHeight="1" s="904">
      <c r="A211" s="545" t="n"/>
      <c r="B211" s="20" t="inlineStr">
        <is>
          <t>7.2.</t>
        </is>
      </c>
      <c r="C211" s="552" t="inlineStr">
        <is>
          <t>Дочерние общества</t>
        </is>
      </c>
      <c r="D211" s="15" t="n"/>
      <c r="E211" s="15" t="n"/>
      <c r="F211" s="16" t="n"/>
      <c r="G211" s="17">
        <f>G212+G214</f>
        <v/>
      </c>
      <c r="H211" s="636" t="n"/>
      <c r="I211" s="17" t="n"/>
      <c r="J211" s="546" t="inlineStr">
        <is>
          <t>тыс.т</t>
        </is>
      </c>
    </row>
    <row r="212" outlineLevel="1" ht="20.1" customHeight="1" s="904">
      <c r="A212" s="545" t="n"/>
      <c r="B212" s="909" t="n"/>
      <c r="C212" s="550" t="inlineStr">
        <is>
          <t xml:space="preserve">   Газпром переработка</t>
        </is>
      </c>
      <c r="D212" s="15" t="n"/>
      <c r="E212" s="15" t="n"/>
      <c r="F212" s="16" t="n"/>
      <c r="G212" s="17">
        <f>G213</f>
        <v/>
      </c>
      <c r="H212" s="636" t="n"/>
      <c r="I212" s="17" t="n"/>
      <c r="J212" s="546" t="inlineStr">
        <is>
          <t>тыс.т</t>
        </is>
      </c>
    </row>
    <row r="213" outlineLevel="1" ht="20.1" customHeight="1" s="904">
      <c r="A213" s="545" t="n"/>
      <c r="B213" s="909" t="n"/>
      <c r="C213" s="551" t="inlineStr">
        <is>
          <t>Астраханский ГПЗ</t>
        </is>
      </c>
      <c r="D213" s="15" t="n"/>
      <c r="E213" s="15" t="n"/>
      <c r="F213" s="16" t="n"/>
      <c r="G213" s="17">
        <f>0</f>
        <v/>
      </c>
      <c r="H213" s="636" t="n"/>
      <c r="I213" s="17" t="n"/>
      <c r="J213" s="549" t="inlineStr">
        <is>
          <t>тыс.т</t>
        </is>
      </c>
    </row>
    <row r="214" ht="20.1" customHeight="1" s="904">
      <c r="A214" s="545" t="n"/>
      <c r="B214" s="909" t="n"/>
      <c r="C214" s="547" t="inlineStr">
        <is>
          <t xml:space="preserve">   Газпром добыча Ямбург</t>
        </is>
      </c>
      <c r="D214" s="15" t="n"/>
      <c r="E214" s="15" t="n"/>
      <c r="F214" s="16" t="n"/>
      <c r="G214" s="17" t="inlineStr">
        <is>
          <t>7_100330629</t>
        </is>
      </c>
      <c r="H214" s="636" t="n"/>
      <c r="I214" s="17" t="n"/>
      <c r="J214" s="546" t="inlineStr">
        <is>
          <t>тыс.т</t>
        </is>
      </c>
    </row>
    <row r="215" ht="20.1" customHeight="1" s="904">
      <c r="A215" s="545" t="n"/>
      <c r="B215" s="909" t="n"/>
      <c r="C215" s="576" t="inlineStr">
        <is>
          <t>Справочно</t>
        </is>
      </c>
      <c r="D215" s="15" t="n"/>
      <c r="E215" s="15" t="n"/>
      <c r="F215" s="16" t="n"/>
      <c r="G215" s="17" t="n"/>
      <c r="H215" s="636" t="n"/>
      <c r="I215" s="17" t="n"/>
      <c r="J215" s="546" t="n"/>
    </row>
    <row r="216" ht="20.1" customHeight="1" s="904">
      <c r="A216" s="545" t="n"/>
      <c r="B216" s="909" t="n"/>
      <c r="C216" s="565" t="inlineStr">
        <is>
          <t xml:space="preserve">Переработка стабильного конденсата, всего </t>
        </is>
      </c>
      <c r="D216" s="15" t="n"/>
      <c r="E216" s="15" t="n"/>
      <c r="F216" s="16" t="n"/>
      <c r="G216" s="17">
        <f>G217+G221</f>
        <v/>
      </c>
      <c r="H216" s="636" t="n"/>
      <c r="I216" s="17" t="n"/>
      <c r="J216" s="546" t="inlineStr">
        <is>
          <t>тыс.т</t>
        </is>
      </c>
    </row>
    <row r="217" ht="20.1" customHeight="1" s="904">
      <c r="A217" s="545" t="n"/>
      <c r="B217" s="909" t="n"/>
      <c r="C217" s="552" t="inlineStr">
        <is>
          <t>Газпром</t>
        </is>
      </c>
      <c r="D217" s="15" t="n"/>
      <c r="E217" s="15" t="n"/>
      <c r="F217" s="16" t="n"/>
      <c r="G217" s="17">
        <f>G218</f>
        <v/>
      </c>
      <c r="H217" s="636" t="n"/>
      <c r="I217" s="17" t="n"/>
      <c r="J217" s="546" t="inlineStr">
        <is>
          <t>тыс.т</t>
        </is>
      </c>
    </row>
    <row r="218" ht="20.1" customHeight="1" s="904">
      <c r="A218" s="545" t="n"/>
      <c r="B218" s="909" t="n"/>
      <c r="C218" s="547" t="inlineStr">
        <is>
          <t xml:space="preserve">   Газпром переработка</t>
        </is>
      </c>
      <c r="D218" s="15" t="n"/>
      <c r="E218" s="15" t="n"/>
      <c r="F218" s="16" t="n"/>
      <c r="G218" s="17">
        <f>G219+G220</f>
        <v/>
      </c>
      <c r="H218" s="636" t="n"/>
      <c r="I218" s="17" t="n"/>
      <c r="J218" s="546" t="inlineStr">
        <is>
          <t>тыс.т</t>
        </is>
      </c>
    </row>
    <row r="219" ht="20.1" customHeight="1" s="904">
      <c r="A219" s="545" t="n"/>
      <c r="B219" s="909" t="n"/>
      <c r="C219" s="548" t="inlineStr">
        <is>
          <t>Уренгойский ЗПКТ</t>
        </is>
      </c>
      <c r="D219" s="15" t="n"/>
      <c r="E219" s="15" t="n"/>
      <c r="F219" s="16" t="n"/>
      <c r="G219" s="17" t="inlineStr">
        <is>
          <t>4_100331934</t>
        </is>
      </c>
      <c r="H219" s="636" t="n"/>
      <c r="I219" s="17" t="n"/>
      <c r="J219" s="549" t="inlineStr">
        <is>
          <t>тыс.т</t>
        </is>
      </c>
    </row>
    <row r="220" ht="20.1" customHeight="1" s="904">
      <c r="A220" s="545" t="n"/>
      <c r="B220" s="909" t="n"/>
      <c r="C220" s="548" t="inlineStr">
        <is>
          <t xml:space="preserve">                Сургутский ЗСК</t>
        </is>
      </c>
      <c r="D220" s="15" t="n"/>
      <c r="E220" s="15" t="n"/>
      <c r="F220" s="16" t="n"/>
      <c r="G220" s="17" t="inlineStr">
        <is>
          <t>4_100331935</t>
        </is>
      </c>
      <c r="H220" s="636" t="n"/>
      <c r="I220" s="17" t="n"/>
      <c r="J220" s="549" t="inlineStr">
        <is>
          <t>тыс.т</t>
        </is>
      </c>
    </row>
    <row r="221" ht="20.1" customHeight="1" s="904">
      <c r="A221" s="545" t="n"/>
      <c r="B221" s="909" t="n"/>
      <c r="C221" s="552" t="inlineStr">
        <is>
          <t>Дочерние общества</t>
        </is>
      </c>
      <c r="D221" s="15" t="n"/>
      <c r="E221" s="15" t="n"/>
      <c r="F221" s="16" t="n"/>
      <c r="G221" s="17">
        <f>0</f>
        <v/>
      </c>
      <c r="H221" s="636" t="n"/>
      <c r="I221" s="17" t="n"/>
      <c r="J221" s="546" t="inlineStr">
        <is>
          <t>тыс.т</t>
        </is>
      </c>
    </row>
    <row r="222" ht="20.1" customHeight="1" s="904">
      <c r="A222" s="545" t="n"/>
      <c r="B222" s="909" t="n"/>
      <c r="C222" s="735" t="inlineStr">
        <is>
          <t>Переработка кислого газа Астраханский ГПЗ, всего</t>
        </is>
      </c>
      <c r="D222" s="15" t="n"/>
      <c r="E222" s="15" t="n"/>
      <c r="F222" s="16" t="n"/>
      <c r="G222" s="17">
        <f>G223+G227</f>
        <v/>
      </c>
      <c r="H222" s="636" t="n"/>
      <c r="I222" s="17" t="n"/>
      <c r="J222" s="24" t="inlineStr">
        <is>
          <t>тыс.т</t>
        </is>
      </c>
    </row>
    <row r="223" ht="20.1" customHeight="1" s="904">
      <c r="A223" s="545" t="n"/>
      <c r="B223" s="909" t="n"/>
      <c r="C223" s="552" t="inlineStr">
        <is>
          <t>Газпром</t>
        </is>
      </c>
      <c r="D223" s="15" t="n"/>
      <c r="E223" s="15" t="n"/>
      <c r="F223" s="16" t="n"/>
      <c r="G223" s="17">
        <f>G224+G225</f>
        <v/>
      </c>
      <c r="H223" s="636" t="n"/>
      <c r="I223" s="17" t="n"/>
      <c r="J223" s="24" t="inlineStr">
        <is>
          <t>тыс.т</t>
        </is>
      </c>
    </row>
    <row r="224" ht="20.1" customHeight="1" s="904">
      <c r="A224" s="545" t="n"/>
      <c r="B224" s="909" t="n"/>
      <c r="C224" s="737" t="inlineStr">
        <is>
          <t>в т.ч. от переработки с производства №3</t>
        </is>
      </c>
      <c r="D224" s="15" t="n"/>
      <c r="E224" s="15" t="n"/>
      <c r="F224" s="16" t="n"/>
      <c r="G224" s="17" t="inlineStr">
        <is>
          <t>1_100331980</t>
        </is>
      </c>
      <c r="H224" s="636" t="n"/>
      <c r="I224" s="17" t="n"/>
      <c r="J224" s="554" t="inlineStr">
        <is>
          <t>тыс.т</t>
        </is>
      </c>
    </row>
    <row r="225" ht="20.1" customHeight="1" s="904">
      <c r="A225" s="545" t="n"/>
      <c r="B225" s="909" t="n"/>
      <c r="C225" s="737" t="inlineStr">
        <is>
          <t xml:space="preserve"> от переработки с производства №1, 5</t>
        </is>
      </c>
      <c r="D225" s="15" t="n"/>
      <c r="E225" s="15" t="n"/>
      <c r="F225" s="16" t="n"/>
      <c r="G225" s="17" t="inlineStr">
        <is>
          <t>1_100331981</t>
        </is>
      </c>
      <c r="H225" s="636" t="n"/>
      <c r="I225" s="17" t="n"/>
      <c r="J225" s="554" t="inlineStr">
        <is>
          <t>тыс.т</t>
        </is>
      </c>
    </row>
    <row r="226" outlineLevel="1" ht="20.1" customHeight="1" s="904">
      <c r="A226" s="545" t="n"/>
      <c r="B226" s="909" t="n"/>
      <c r="C226" s="577" t="inlineStr">
        <is>
          <t>Дочерние общества</t>
        </is>
      </c>
      <c r="D226" s="15" t="n"/>
      <c r="E226" s="15" t="n"/>
      <c r="F226" s="16" t="n"/>
      <c r="G226" s="17">
        <f>G227</f>
        <v/>
      </c>
      <c r="H226" s="636" t="n"/>
      <c r="I226" s="17" t="n"/>
      <c r="J226" s="24" t="inlineStr">
        <is>
          <t>тыс.т</t>
        </is>
      </c>
    </row>
    <row r="227" outlineLevel="1" ht="20.1" customHeight="1" s="904">
      <c r="A227" s="545" t="n"/>
      <c r="B227" s="909" t="n"/>
      <c r="C227" s="25" t="inlineStr">
        <is>
          <t xml:space="preserve">   Газпром переработка</t>
        </is>
      </c>
      <c r="D227" s="15" t="n"/>
      <c r="E227" s="15" t="n"/>
      <c r="F227" s="16" t="n"/>
      <c r="G227" s="17">
        <f>G228</f>
        <v/>
      </c>
      <c r="H227" s="636" t="n"/>
      <c r="I227" s="17" t="n"/>
      <c r="J227" s="24" t="inlineStr">
        <is>
          <t>тыс.т</t>
        </is>
      </c>
    </row>
    <row r="228" outlineLevel="1" ht="20.1" customHeight="1" s="904">
      <c r="A228" s="545" t="n"/>
      <c r="B228" s="909" t="n"/>
      <c r="C228" s="26" t="inlineStr">
        <is>
          <t>в т. ч. покупка у Газпром добыча Астрахань</t>
        </is>
      </c>
      <c r="D228" s="15" t="n"/>
      <c r="E228" s="15" t="n"/>
      <c r="F228" s="16" t="n"/>
      <c r="G228" s="17">
        <f>G229</f>
        <v/>
      </c>
      <c r="H228" s="636" t="n"/>
      <c r="I228" s="17" t="n"/>
      <c r="J228" s="554" t="inlineStr">
        <is>
          <t>тыс.т</t>
        </is>
      </c>
    </row>
    <row r="229" outlineLevel="1" ht="20.1" customHeight="1" s="904">
      <c r="A229" s="545" t="n"/>
      <c r="B229" s="909" t="n"/>
      <c r="C229" s="26" t="inlineStr">
        <is>
          <t>кислый газ на собст. тех. нужды ГПП</t>
        </is>
      </c>
      <c r="D229" s="15" t="n"/>
      <c r="E229" s="15" t="n"/>
      <c r="F229" s="16" t="n"/>
      <c r="G229" s="17" t="n"/>
      <c r="H229" s="636" t="n"/>
      <c r="I229" s="17" t="n"/>
      <c r="J229" s="554" t="inlineStr">
        <is>
          <t>тыс.т</t>
        </is>
      </c>
    </row>
    <row r="230" ht="20.1" customHeight="1" s="904">
      <c r="A230" s="545" t="n"/>
      <c r="B230" s="909" t="n"/>
      <c r="C230" s="735" t="inlineStr">
        <is>
          <t>Выработка ШФЛУ (валовая), всего</t>
        </is>
      </c>
      <c r="D230" s="15" t="n"/>
      <c r="E230" s="15" t="n"/>
      <c r="F230" s="16" t="n"/>
      <c r="G230" s="17" t="n"/>
      <c r="H230" s="636" t="n"/>
      <c r="I230" s="17" t="n"/>
      <c r="J230" s="24" t="n"/>
    </row>
    <row r="231" ht="20.1" customHeight="1" s="904">
      <c r="A231" s="545" t="n"/>
      <c r="B231" s="909" t="n"/>
      <c r="C231" s="781" t="inlineStr">
        <is>
          <t xml:space="preserve">   Газпром переработка</t>
        </is>
      </c>
      <c r="D231" s="15" t="n"/>
      <c r="E231" s="15" t="n"/>
      <c r="F231" s="16" t="n"/>
      <c r="G231" s="17">
        <f>G232+G233+G234+G235</f>
        <v/>
      </c>
      <c r="H231" s="636" t="n"/>
      <c r="I231" s="17" t="n"/>
      <c r="J231" s="24" t="inlineStr">
        <is>
          <t>тыс.т</t>
        </is>
      </c>
    </row>
    <row r="232" ht="20.1" customHeight="1" s="904">
      <c r="A232" s="545" t="n"/>
      <c r="B232" s="909" t="n"/>
      <c r="C232" s="27" t="inlineStr">
        <is>
          <t>Астраханский ГПЗ</t>
        </is>
      </c>
      <c r="D232" s="15" t="n"/>
      <c r="E232" s="15" t="n"/>
      <c r="F232" s="16" t="n"/>
      <c r="G232" s="17">
        <f>G238</f>
        <v/>
      </c>
      <c r="H232" s="636" t="n"/>
      <c r="I232" s="17" t="n"/>
      <c r="J232" s="549" t="inlineStr">
        <is>
          <t>тыс.т</t>
        </is>
      </c>
    </row>
    <row r="233" ht="20.1" customHeight="1" s="904">
      <c r="A233" s="545" t="n"/>
      <c r="B233" s="909" t="n"/>
      <c r="C233" s="27" t="inlineStr">
        <is>
          <t xml:space="preserve"> Оренбургский ГХК</t>
        </is>
      </c>
      <c r="D233" s="15" t="n"/>
      <c r="E233" s="15" t="n"/>
      <c r="F233" s="16" t="n"/>
      <c r="G233" s="17">
        <f>G247</f>
        <v/>
      </c>
      <c r="H233" s="636" t="n"/>
      <c r="I233" s="17" t="n"/>
      <c r="J233" s="549" t="inlineStr">
        <is>
          <t>тыс.т</t>
        </is>
      </c>
    </row>
    <row r="234" ht="20.1" customHeight="1" s="904">
      <c r="A234" s="545" t="n"/>
      <c r="B234" s="909" t="n"/>
      <c r="C234" s="27" t="inlineStr">
        <is>
          <t>Уренгойский ЗПКТ</t>
        </is>
      </c>
      <c r="D234" s="15" t="n"/>
      <c r="E234" s="15" t="n"/>
      <c r="F234" s="16" t="n"/>
      <c r="G234" s="17">
        <f>G240</f>
        <v/>
      </c>
      <c r="H234" s="636" t="n"/>
      <c r="I234" s="17" t="n"/>
      <c r="J234" s="549" t="inlineStr">
        <is>
          <t>тыс.т</t>
        </is>
      </c>
    </row>
    <row r="235" ht="20.1" customHeight="1" s="904">
      <c r="A235" s="545" t="n"/>
      <c r="B235" s="909" t="n"/>
      <c r="C235" s="27" t="inlineStr">
        <is>
          <t xml:space="preserve">                Сургутский ЗСК</t>
        </is>
      </c>
      <c r="D235" s="15" t="n"/>
      <c r="E235" s="15" t="n"/>
      <c r="F235" s="16" t="n"/>
      <c r="G235" s="17">
        <f>G241</f>
        <v/>
      </c>
      <c r="H235" s="636" t="n"/>
      <c r="I235" s="17" t="n"/>
      <c r="J235" s="549" t="inlineStr">
        <is>
          <t>тыс.т</t>
        </is>
      </c>
    </row>
    <row r="236" ht="20.1" customHeight="1" s="904">
      <c r="A236" s="545" t="n"/>
      <c r="B236" s="909" t="n"/>
      <c r="C236" s="28" t="inlineStr">
        <is>
          <t>Газпром</t>
        </is>
      </c>
      <c r="D236" s="15" t="n"/>
      <c r="E236" s="15" t="n"/>
      <c r="F236" s="16" t="n"/>
      <c r="G236" s="17">
        <f>G237</f>
        <v/>
      </c>
      <c r="H236" s="636" t="n"/>
      <c r="I236" s="17" t="n"/>
      <c r="J236" s="24" t="inlineStr">
        <is>
          <t>тыс.т</t>
        </is>
      </c>
    </row>
    <row r="237" ht="20.1" customHeight="1" s="904">
      <c r="A237" s="545" t="n"/>
      <c r="B237" s="909" t="n"/>
      <c r="C237" s="781" t="inlineStr">
        <is>
          <t xml:space="preserve">   Газпром переработка</t>
        </is>
      </c>
      <c r="D237" s="15" t="n"/>
      <c r="E237" s="15" t="n"/>
      <c r="F237" s="16" t="n"/>
      <c r="G237" s="17">
        <f>G240+G241+G238</f>
        <v/>
      </c>
      <c r="H237" s="636" t="n"/>
      <c r="I237" s="17" t="n"/>
      <c r="J237" s="24" t="inlineStr">
        <is>
          <t>тыс.т</t>
        </is>
      </c>
    </row>
    <row r="238" ht="20.1" customHeight="1" s="904">
      <c r="A238" s="545" t="n"/>
      <c r="B238" s="909" t="n"/>
      <c r="C238" s="27" t="inlineStr">
        <is>
          <t>Астраханский ГПЗ</t>
        </is>
      </c>
      <c r="D238" s="15" t="n"/>
      <c r="E238" s="15" t="n"/>
      <c r="F238" s="16" t="n"/>
      <c r="G238" s="17" t="inlineStr">
        <is>
          <t>1_100332006</t>
        </is>
      </c>
      <c r="H238" s="636" t="n"/>
      <c r="I238" s="17" t="n"/>
      <c r="J238" s="549" t="inlineStr">
        <is>
          <t>тыс.т</t>
        </is>
      </c>
    </row>
    <row r="239" ht="20.1" customHeight="1" s="904">
      <c r="A239" s="545" t="n"/>
      <c r="B239" s="909" t="n"/>
      <c r="C239" s="737" t="inlineStr">
        <is>
          <t xml:space="preserve">        в т.ч. стабильный конденсат</t>
        </is>
      </c>
      <c r="D239" s="15" t="n"/>
      <c r="E239" s="15" t="n"/>
      <c r="F239" s="16" t="n"/>
      <c r="G239" s="17" t="inlineStr">
        <is>
          <t>1_100334997</t>
        </is>
      </c>
      <c r="H239" s="636" t="n"/>
      <c r="I239" s="17" t="n"/>
      <c r="J239" s="554" t="inlineStr">
        <is>
          <t>тыс.т</t>
        </is>
      </c>
    </row>
    <row r="240" ht="20.1" customHeight="1" s="904">
      <c r="A240" s="545" t="n"/>
      <c r="B240" s="909" t="n"/>
      <c r="C240" s="27" t="inlineStr">
        <is>
          <t>Уренгойский ЗПКТ</t>
        </is>
      </c>
      <c r="D240" s="15" t="n"/>
      <c r="E240" s="15" t="n"/>
      <c r="F240" s="16" t="n"/>
      <c r="G240" s="17" t="inlineStr">
        <is>
          <t>4_100331893</t>
        </is>
      </c>
      <c r="H240" s="636" t="n"/>
      <c r="I240" s="17" t="n"/>
      <c r="J240" s="549" t="inlineStr">
        <is>
          <t>тыс.т</t>
        </is>
      </c>
    </row>
    <row r="241" ht="20.1" customHeight="1" s="904">
      <c r="A241" s="545" t="n"/>
      <c r="B241" s="909" t="n"/>
      <c r="C241" s="27" t="inlineStr">
        <is>
          <t xml:space="preserve">                Сургутский ЗСК</t>
        </is>
      </c>
      <c r="D241" s="15" t="n"/>
      <c r="E241" s="15" t="n"/>
      <c r="F241" s="16" t="n"/>
      <c r="G241" s="17" t="inlineStr">
        <is>
          <t>4_100331894</t>
        </is>
      </c>
      <c r="H241" s="636" t="n"/>
      <c r="I241" s="17" t="n"/>
      <c r="J241" s="549" t="inlineStr">
        <is>
          <t>тыс.т</t>
        </is>
      </c>
    </row>
    <row r="242" ht="20.1" customHeight="1" s="904">
      <c r="A242" s="545" t="n"/>
      <c r="B242" s="909" t="n"/>
      <c r="C242" s="28" t="inlineStr">
        <is>
          <t>Дочерние общества</t>
        </is>
      </c>
      <c r="D242" s="15" t="n"/>
      <c r="E242" s="15" t="n"/>
      <c r="F242" s="16" t="n"/>
      <c r="G242" s="17">
        <f>G243+G246</f>
        <v/>
      </c>
      <c r="H242" s="636" t="n"/>
      <c r="I242" s="17" t="n"/>
      <c r="J242" s="24" t="inlineStr">
        <is>
          <t>тыс.т</t>
        </is>
      </c>
    </row>
    <row r="243" outlineLevel="1" ht="20.1" customHeight="1" s="904">
      <c r="A243" s="545" t="n"/>
      <c r="B243" s="909" t="n"/>
      <c r="C243" s="25" t="inlineStr">
        <is>
          <t>Газпром добыча Астрахань</t>
        </is>
      </c>
      <c r="D243" s="15" t="n"/>
      <c r="E243" s="15" t="n"/>
      <c r="F243" s="16" t="n"/>
      <c r="G243" s="17">
        <f>G244</f>
        <v/>
      </c>
      <c r="H243" s="636" t="n"/>
      <c r="I243" s="17" t="n"/>
      <c r="J243" s="24" t="inlineStr">
        <is>
          <t>тыс.т</t>
        </is>
      </c>
    </row>
    <row r="244" outlineLevel="1" ht="20.1" customHeight="1" s="904">
      <c r="A244" s="545" t="n"/>
      <c r="B244" s="909" t="n"/>
      <c r="C244" s="29" t="inlineStr">
        <is>
          <t>Астраханский ГПЗ</t>
        </is>
      </c>
      <c r="D244" s="15" t="n"/>
      <c r="E244" s="15" t="n"/>
      <c r="F244" s="16" t="n"/>
      <c r="G244" s="17" t="n"/>
      <c r="H244" s="636" t="n"/>
      <c r="I244" s="17" t="n"/>
      <c r="J244" s="549" t="inlineStr">
        <is>
          <t>тыс.т</t>
        </is>
      </c>
    </row>
    <row r="245" outlineLevel="1" ht="20.1" customHeight="1" s="904">
      <c r="A245" s="545" t="n"/>
      <c r="B245" s="909" t="n"/>
      <c r="C245" s="26" t="inlineStr">
        <is>
          <t xml:space="preserve">        в т.ч. стабильный конденсат</t>
        </is>
      </c>
      <c r="D245" s="15" t="n"/>
      <c r="E245" s="15" t="n"/>
      <c r="F245" s="16" t="n"/>
      <c r="G245" s="17" t="n"/>
      <c r="H245" s="636" t="n"/>
      <c r="I245" s="17" t="n"/>
      <c r="J245" s="554" t="inlineStr">
        <is>
          <t>тыс.т</t>
        </is>
      </c>
    </row>
    <row r="246" ht="20.1" customHeight="1" s="904">
      <c r="A246" s="545" t="n"/>
      <c r="B246" s="909" t="n"/>
      <c r="C246" s="781" t="inlineStr">
        <is>
          <t xml:space="preserve">   Газпром переработка</t>
        </is>
      </c>
      <c r="D246" s="15" t="n"/>
      <c r="E246" s="15" t="n"/>
      <c r="F246" s="16" t="n"/>
      <c r="G246" s="17">
        <f>G247</f>
        <v/>
      </c>
      <c r="H246" s="636" t="n"/>
      <c r="I246" s="17" t="n"/>
      <c r="J246" s="24" t="inlineStr">
        <is>
          <t>тыс.т</t>
        </is>
      </c>
    </row>
    <row r="247" ht="20.1" customHeight="1" s="904">
      <c r="A247" s="545" t="n"/>
      <c r="B247" s="909" t="n"/>
      <c r="C247" s="27" t="inlineStr">
        <is>
          <t xml:space="preserve"> Оренбургский ГХК</t>
        </is>
      </c>
      <c r="D247" s="15" t="n"/>
      <c r="E247" s="15" t="n"/>
      <c r="F247" s="16" t="n"/>
      <c r="G247" s="17">
        <f>G248+G249+G250</f>
        <v/>
      </c>
      <c r="H247" s="636" t="n"/>
      <c r="I247" s="17" t="n"/>
      <c r="J247" s="549" t="inlineStr">
        <is>
          <t>тыс.т</t>
        </is>
      </c>
    </row>
    <row r="248" ht="20.1" customHeight="1" s="904">
      <c r="A248" s="545" t="n"/>
      <c r="B248" s="909" t="n"/>
      <c r="C248" s="737" t="inlineStr">
        <is>
          <t>Газпром добыча Оренбург</t>
        </is>
      </c>
      <c r="D248" s="15" t="n"/>
      <c r="E248" s="15" t="n"/>
      <c r="F248" s="16" t="n"/>
      <c r="G248" s="17" t="inlineStr">
        <is>
          <t>2_100332207</t>
        </is>
      </c>
      <c r="H248" s="636" t="n"/>
      <c r="I248" s="17" t="n"/>
      <c r="J248" s="554" t="inlineStr">
        <is>
          <t>тыс.т</t>
        </is>
      </c>
    </row>
    <row r="249" ht="20.1" customHeight="1" s="904">
      <c r="A249" s="545" t="n"/>
      <c r="B249" s="909" t="n"/>
      <c r="C249" s="737" t="inlineStr">
        <is>
          <t>Газпром нефть</t>
        </is>
      </c>
      <c r="D249" s="15" t="n"/>
      <c r="E249" s="15" t="n"/>
      <c r="F249" s="16" t="n"/>
      <c r="G249" s="17" t="inlineStr">
        <is>
          <t>2_100332208</t>
        </is>
      </c>
      <c r="H249" s="636" t="n"/>
      <c r="I249" s="17" t="n"/>
      <c r="J249" s="554" t="inlineStr">
        <is>
          <t>тыс.т</t>
        </is>
      </c>
    </row>
    <row r="250" ht="20.1" customHeight="1" s="904">
      <c r="A250" s="545" t="n"/>
      <c r="B250" s="909" t="n"/>
      <c r="C250" s="553" t="inlineStr">
        <is>
          <t>прочие поставщики (ГПНЗ, УНГП, и.т.д.)</t>
        </is>
      </c>
      <c r="D250" s="15" t="n"/>
      <c r="E250" s="15" t="n"/>
      <c r="F250" s="16" t="n"/>
      <c r="G250" s="17" t="inlineStr">
        <is>
          <t>2_100335144</t>
        </is>
      </c>
      <c r="H250" s="636" t="n"/>
      <c r="I250" s="17" t="n"/>
      <c r="J250" s="554" t="inlineStr">
        <is>
          <t>тыс.т</t>
        </is>
      </c>
    </row>
    <row r="251" ht="20.1" customHeight="1" s="904">
      <c r="A251" s="545" t="n"/>
      <c r="B251" s="909" t="n"/>
      <c r="C251" s="735" t="inlineStr">
        <is>
          <t>Переработка ШФЛУ, всего</t>
        </is>
      </c>
      <c r="D251" s="15" t="n"/>
      <c r="E251" s="15" t="n"/>
      <c r="F251" s="16" t="n"/>
      <c r="G251" s="17" t="n"/>
      <c r="H251" s="636" t="n"/>
      <c r="I251" s="17" t="n"/>
      <c r="J251" s="24" t="n"/>
    </row>
    <row r="252" ht="20.1" customHeight="1" s="904">
      <c r="A252" s="545" t="n"/>
      <c r="B252" s="909" t="n"/>
      <c r="C252" s="28" t="inlineStr">
        <is>
          <t>Газпром</t>
        </is>
      </c>
      <c r="D252" s="15" t="n"/>
      <c r="E252" s="15" t="n"/>
      <c r="F252" s="16" t="n"/>
      <c r="G252" s="17">
        <f>G253</f>
        <v/>
      </c>
      <c r="H252" s="636" t="n"/>
      <c r="I252" s="17" t="n"/>
      <c r="J252" s="24" t="inlineStr">
        <is>
          <t>тыс.т</t>
        </is>
      </c>
    </row>
    <row r="253" ht="20.1" customHeight="1" s="904">
      <c r="A253" s="545" t="n"/>
      <c r="B253" s="909" t="n"/>
      <c r="C253" s="781" t="inlineStr">
        <is>
          <t xml:space="preserve">   Газпром переработка</t>
        </is>
      </c>
      <c r="D253" s="15" t="n"/>
      <c r="E253" s="15" t="n"/>
      <c r="F253" s="16" t="n"/>
      <c r="G253" s="17">
        <f>G254+G256+G260+G261</f>
        <v/>
      </c>
      <c r="H253" s="636" t="n"/>
      <c r="I253" s="17" t="n"/>
      <c r="J253" s="24" t="inlineStr">
        <is>
          <t>тыс.т</t>
        </is>
      </c>
    </row>
    <row r="254" ht="20.1" customHeight="1" s="904">
      <c r="A254" s="545" t="n"/>
      <c r="B254" s="909" t="n"/>
      <c r="C254" s="27" t="inlineStr">
        <is>
          <t>Астраханский ГПЗ</t>
        </is>
      </c>
      <c r="D254" s="15" t="n"/>
      <c r="E254" s="15" t="n"/>
      <c r="F254" s="16" t="n"/>
      <c r="G254" s="17" t="inlineStr">
        <is>
          <t>1_100332008</t>
        </is>
      </c>
      <c r="H254" s="636" t="n"/>
      <c r="I254" s="17" t="n"/>
      <c r="J254" s="549" t="inlineStr">
        <is>
          <t>тыс.т</t>
        </is>
      </c>
    </row>
    <row r="255" ht="20.1" customHeight="1" s="904">
      <c r="A255" s="545" t="n"/>
      <c r="B255" s="909" t="n"/>
      <c r="C255" s="737" t="inlineStr">
        <is>
          <t>с уч. содержания комп. стабильного конденсата</t>
        </is>
      </c>
      <c r="D255" s="15" t="n"/>
      <c r="E255" s="15" t="n"/>
      <c r="F255" s="16" t="n"/>
      <c r="G255" s="17" t="inlineStr">
        <is>
          <t>1_100332009</t>
        </is>
      </c>
      <c r="H255" s="636" t="n"/>
      <c r="I255" s="17" t="n"/>
      <c r="J255" s="554" t="inlineStr">
        <is>
          <t>тыс.т</t>
        </is>
      </c>
    </row>
    <row r="256" ht="20.1" customHeight="1" s="904">
      <c r="A256" s="545" t="n"/>
      <c r="B256" s="909" t="n"/>
      <c r="C256" s="27" t="inlineStr">
        <is>
          <t xml:space="preserve"> Оренбургский ГХК</t>
        </is>
      </c>
      <c r="D256" s="15" t="n"/>
      <c r="E256" s="15" t="n"/>
      <c r="F256" s="16" t="n"/>
      <c r="G256" s="17">
        <f>G257+G258+G259</f>
        <v/>
      </c>
      <c r="H256" s="636" t="n"/>
      <c r="I256" s="17" t="n"/>
      <c r="J256" s="549" t="inlineStr">
        <is>
          <t>тыс.т</t>
        </is>
      </c>
    </row>
    <row r="257" ht="20.1" customHeight="1" s="904">
      <c r="A257" s="545" t="n"/>
      <c r="B257" s="909" t="n"/>
      <c r="C257" s="737" t="inlineStr">
        <is>
          <t>Газпром добыча Оренбург</t>
        </is>
      </c>
      <c r="D257" s="15" t="n"/>
      <c r="E257" s="15" t="n"/>
      <c r="F257" s="16" t="n"/>
      <c r="G257" s="17" t="inlineStr">
        <is>
          <t>2_100332211</t>
        </is>
      </c>
      <c r="H257" s="636" t="n"/>
      <c r="I257" s="17" t="n"/>
      <c r="J257" s="554" t="inlineStr">
        <is>
          <t>тыс.т</t>
        </is>
      </c>
    </row>
    <row r="258" ht="20.1" customHeight="1" s="904">
      <c r="A258" s="545" t="n"/>
      <c r="B258" s="909" t="n"/>
      <c r="C258" s="737" t="inlineStr">
        <is>
          <t>Газпром нефть</t>
        </is>
      </c>
      <c r="D258" s="15" t="n"/>
      <c r="E258" s="15" t="n"/>
      <c r="F258" s="16" t="n"/>
      <c r="G258" s="17" t="inlineStr">
        <is>
          <t>2_100332212</t>
        </is>
      </c>
      <c r="H258" s="636" t="n"/>
      <c r="I258" s="17" t="n"/>
      <c r="J258" s="554" t="inlineStr">
        <is>
          <t>тыс.т</t>
        </is>
      </c>
    </row>
    <row r="259" ht="20.1" customHeight="1" s="904">
      <c r="A259" s="545" t="n"/>
      <c r="B259" s="909" t="n"/>
      <c r="C259" s="553" t="inlineStr">
        <is>
          <t>прочие поставщики (ГПНЗ, УНГП, и.т.д.)</t>
        </is>
      </c>
      <c r="D259" s="15" t="n"/>
      <c r="E259" s="15" t="n"/>
      <c r="F259" s="16" t="n"/>
      <c r="G259" s="17" t="inlineStr">
        <is>
          <t>2_100335145</t>
        </is>
      </c>
      <c r="H259" s="636" t="n"/>
      <c r="I259" s="17" t="n"/>
      <c r="J259" s="554" t="inlineStr">
        <is>
          <t>тыс.т</t>
        </is>
      </c>
    </row>
    <row r="260" ht="20.1" customHeight="1" s="904">
      <c r="A260" s="545" t="n"/>
      <c r="B260" s="909" t="n"/>
      <c r="C260" s="27" t="inlineStr">
        <is>
          <t>Уренгойский ЗПКТ</t>
        </is>
      </c>
      <c r="D260" s="15" t="n"/>
      <c r="E260" s="15" t="n"/>
      <c r="F260" s="16" t="n"/>
      <c r="G260" s="17" t="inlineStr">
        <is>
          <t>4_100331896</t>
        </is>
      </c>
      <c r="H260" s="636" t="n"/>
      <c r="I260" s="17" t="n"/>
      <c r="J260" s="549" t="inlineStr">
        <is>
          <t>тыс.т</t>
        </is>
      </c>
    </row>
    <row r="261" ht="20.1" customHeight="1" s="904">
      <c r="A261" s="545" t="n"/>
      <c r="B261" s="909" t="n"/>
      <c r="C261" s="27" t="inlineStr">
        <is>
          <t xml:space="preserve">                Сургутский ЗСК</t>
        </is>
      </c>
      <c r="D261" s="15" t="n"/>
      <c r="E261" s="15" t="n"/>
      <c r="F261" s="16" t="n"/>
      <c r="G261" s="17" t="inlineStr">
        <is>
          <t>4_100331897</t>
        </is>
      </c>
      <c r="H261" s="636" t="n"/>
      <c r="I261" s="17" t="n"/>
      <c r="J261" s="549" t="inlineStr">
        <is>
          <t>тыс.т</t>
        </is>
      </c>
    </row>
    <row r="262" ht="20.1" customHeight="1" s="904">
      <c r="A262" s="545" t="n"/>
      <c r="B262" s="909" t="n"/>
      <c r="C262" s="28" t="inlineStr">
        <is>
          <t>Дочерние общества</t>
        </is>
      </c>
      <c r="D262" s="15" t="n"/>
      <c r="E262" s="15" t="n"/>
      <c r="F262" s="16" t="n"/>
      <c r="G262" s="17">
        <f>0</f>
        <v/>
      </c>
      <c r="H262" s="636" t="n"/>
      <c r="I262" s="17" t="n"/>
      <c r="J262" s="24" t="inlineStr">
        <is>
          <t>тыс.т</t>
        </is>
      </c>
    </row>
    <row r="263" ht="20.1" customHeight="1" s="904">
      <c r="A263" s="545" t="n"/>
      <c r="B263" s="735" t="n"/>
      <c r="C263" s="735" t="inlineStr">
        <is>
          <t xml:space="preserve">ПРОДУКЦИЯ    </t>
        </is>
      </c>
      <c r="D263" s="15" t="n"/>
      <c r="E263" s="15" t="n"/>
      <c r="F263" s="16" t="n"/>
      <c r="G263" s="17" t="n"/>
      <c r="H263" s="636" t="n"/>
      <c r="I263" s="17" t="n"/>
      <c r="J263" s="24" t="n"/>
    </row>
    <row r="264" ht="32.25" customHeight="1" s="904">
      <c r="A264" s="545" t="n"/>
      <c r="B264" s="909" t="inlineStr">
        <is>
          <t>1.</t>
        </is>
      </c>
      <c r="C264" s="30" t="inlineStr">
        <is>
          <t>Газ горючий природный сухой  отбензиненный  с перерабатывающих предприятий - всего</t>
        </is>
      </c>
      <c r="D264" s="15" t="n"/>
      <c r="E264" s="15" t="n"/>
      <c r="F264" s="16" t="n"/>
      <c r="G264" s="17">
        <f>G265+G271+G272</f>
        <v/>
      </c>
      <c r="H264" s="636" t="n"/>
      <c r="I264" s="17" t="n"/>
      <c r="J264" s="24" t="inlineStr">
        <is>
          <t>млн куб.м.</t>
        </is>
      </c>
    </row>
    <row r="265" ht="20.1" customHeight="1" s="904">
      <c r="A265" s="545" t="n"/>
      <c r="B265" s="909" t="n"/>
      <c r="C265" s="781" t="inlineStr">
        <is>
          <t xml:space="preserve">   Газпром переработка</t>
        </is>
      </c>
      <c r="D265" s="15" t="n"/>
      <c r="E265" s="15" t="n"/>
      <c r="F265" s="16" t="n"/>
      <c r="G265" s="17">
        <f>G267+G266+G268+G269</f>
        <v/>
      </c>
      <c r="H265" s="636" t="n"/>
      <c r="I265" s="17" t="n"/>
      <c r="J265" s="24" t="inlineStr">
        <is>
          <t>млн куб.м.</t>
        </is>
      </c>
    </row>
    <row r="266" ht="20.1" customHeight="1" s="904">
      <c r="A266" s="545" t="n"/>
      <c r="B266" s="909" t="n"/>
      <c r="C266" s="27" t="inlineStr">
        <is>
          <t>Астраханский ГПЗ</t>
        </is>
      </c>
      <c r="D266" s="15" t="n"/>
      <c r="E266" s="15" t="n"/>
      <c r="F266" s="16" t="n"/>
      <c r="G266" s="17">
        <f>G276</f>
        <v/>
      </c>
      <c r="H266" s="636" t="n"/>
      <c r="I266" s="17" t="n"/>
      <c r="J266" s="549" t="inlineStr">
        <is>
          <t>млн куб.м.</t>
        </is>
      </c>
    </row>
    <row r="267" ht="20.1" customHeight="1" s="904">
      <c r="A267" s="545" t="n"/>
      <c r="B267" s="909" t="n"/>
      <c r="C267" s="27" t="inlineStr">
        <is>
          <t>Оренбургский ГХК</t>
        </is>
      </c>
      <c r="D267" s="15" t="n"/>
      <c r="E267" s="15" t="n"/>
      <c r="F267" s="16" t="n"/>
      <c r="G267" s="17">
        <f>G306+G316</f>
        <v/>
      </c>
      <c r="H267" s="636" t="n"/>
      <c r="I267" s="17" t="n"/>
      <c r="J267" s="549" t="inlineStr">
        <is>
          <t>млн куб.м.</t>
        </is>
      </c>
    </row>
    <row r="268" ht="20.1" customHeight="1" s="904">
      <c r="A268" s="545" t="n"/>
      <c r="B268" s="909" t="n"/>
      <c r="C268" s="27" t="inlineStr">
        <is>
          <t xml:space="preserve">  Сосногорский ГПЗ </t>
        </is>
      </c>
      <c r="D268" s="15" t="n"/>
      <c r="E268" s="15" t="n"/>
      <c r="F268" s="16" t="n"/>
      <c r="G268" s="17">
        <f>G280+G321</f>
        <v/>
      </c>
      <c r="H268" s="636" t="n"/>
      <c r="I268" s="17" t="n"/>
      <c r="J268" s="549" t="inlineStr">
        <is>
          <t>млн куб.м.</t>
        </is>
      </c>
    </row>
    <row r="269" ht="20.1" customHeight="1" s="904">
      <c r="A269" s="545" t="n"/>
      <c r="B269" s="909" t="n"/>
      <c r="C269" s="548" t="inlineStr">
        <is>
          <t xml:space="preserve">               Уренгойский ЗПКТ с учетом привлеченных мощностей</t>
        </is>
      </c>
      <c r="D269" s="15" t="n"/>
      <c r="E269" s="15" t="n"/>
      <c r="F269" s="16" t="n"/>
      <c r="G269" s="17">
        <f>G285+G314</f>
        <v/>
      </c>
      <c r="H269" s="636" t="n"/>
      <c r="I269" s="17" t="n"/>
      <c r="J269" s="549" t="inlineStr">
        <is>
          <t>млн куб.м.</t>
        </is>
      </c>
    </row>
    <row r="270" ht="20.1" customHeight="1" s="904">
      <c r="A270" s="545" t="n"/>
      <c r="B270" s="909" t="n"/>
      <c r="C270" s="31" t="n"/>
      <c r="D270" s="15" t="n"/>
      <c r="E270" s="15" t="n"/>
      <c r="F270" s="16" t="n"/>
      <c r="G270" s="17">
        <f>G286+G315</f>
        <v/>
      </c>
      <c r="H270" s="636" t="n"/>
      <c r="I270" s="17" t="n"/>
      <c r="J270" s="549" t="inlineStr">
        <is>
          <t>тыс.т</t>
        </is>
      </c>
    </row>
    <row r="271" ht="20.1" customHeight="1" s="904">
      <c r="A271" s="545" t="n"/>
      <c r="B271" s="909" t="n"/>
      <c r="C271" s="567" t="inlineStr">
        <is>
          <t>Газпром добыча Уренгой</t>
        </is>
      </c>
      <c r="D271" s="15" t="n"/>
      <c r="E271" s="15" t="n"/>
      <c r="F271" s="16" t="n"/>
      <c r="G271" s="17">
        <f>G318</f>
        <v/>
      </c>
      <c r="H271" s="636" t="n"/>
      <c r="I271" s="17" t="n"/>
      <c r="J271" s="32" t="inlineStr">
        <is>
          <t>млн куб.м.</t>
        </is>
      </c>
    </row>
    <row r="272" ht="20.1" customHeight="1" s="904">
      <c r="A272" s="545" t="n"/>
      <c r="B272" s="909" t="n"/>
      <c r="C272" s="781" t="inlineStr">
        <is>
          <t xml:space="preserve"> Газпром переработка Благовещенск</t>
        </is>
      </c>
      <c r="D272" s="15" t="n"/>
      <c r="E272" s="15" t="n"/>
      <c r="F272" s="16" t="n"/>
      <c r="G272" s="17">
        <f>G273</f>
        <v/>
      </c>
      <c r="H272" s="636" t="n"/>
      <c r="I272" s="17" t="n"/>
      <c r="J272" s="24" t="inlineStr">
        <is>
          <t>млн куб.м.</t>
        </is>
      </c>
    </row>
    <row r="273" ht="20.1" customHeight="1" s="904">
      <c r="A273" s="545" t="n"/>
      <c r="B273" s="909" t="n"/>
      <c r="C273" s="27" t="inlineStr">
        <is>
          <t xml:space="preserve"> Амурский ГПЗ</t>
        </is>
      </c>
      <c r="D273" s="15" t="n"/>
      <c r="E273" s="15" t="n"/>
      <c r="F273" s="16" t="n"/>
      <c r="G273" s="17">
        <f>G298+G324</f>
        <v/>
      </c>
      <c r="H273" s="636" t="n"/>
      <c r="I273" s="17" t="n"/>
      <c r="J273" s="549" t="inlineStr">
        <is>
          <t>млн куб.м.</t>
        </is>
      </c>
    </row>
    <row r="274" ht="20.1" customHeight="1" s="904">
      <c r="A274" s="545" t="n"/>
      <c r="B274" s="20" t="inlineStr">
        <is>
          <t>1.1.</t>
        </is>
      </c>
      <c r="C274" s="28" t="inlineStr">
        <is>
          <t>Газпром</t>
        </is>
      </c>
      <c r="D274" s="15" t="n"/>
      <c r="E274" s="15" t="n"/>
      <c r="F274" s="16" t="n"/>
      <c r="G274" s="17">
        <f>G275+G297</f>
        <v/>
      </c>
      <c r="H274" s="636" t="n"/>
      <c r="I274" s="17" t="n"/>
      <c r="J274" s="24" t="inlineStr">
        <is>
          <t>млн куб.м.</t>
        </is>
      </c>
    </row>
    <row r="275" ht="20.1" customHeight="1" s="904">
      <c r="A275" s="545" t="n"/>
      <c r="B275" s="909" t="n"/>
      <c r="C275" s="781" t="inlineStr">
        <is>
          <t xml:space="preserve">   Газпром переработка</t>
        </is>
      </c>
      <c r="D275" s="15" t="n"/>
      <c r="E275" s="15" t="n"/>
      <c r="F275" s="16" t="n"/>
      <c r="G275" s="17">
        <f>G280+G285+G276</f>
        <v/>
      </c>
      <c r="H275" s="636" t="n"/>
      <c r="I275" s="17" t="n"/>
      <c r="J275" s="24" t="inlineStr">
        <is>
          <t>млн куб.м.</t>
        </is>
      </c>
    </row>
    <row r="276" ht="20.1" customHeight="1" s="904">
      <c r="A276" s="545" t="n"/>
      <c r="B276" s="909" t="n"/>
      <c r="C276" s="27" t="inlineStr">
        <is>
          <t>Астраханский ГПЗ</t>
        </is>
      </c>
      <c r="D276" s="15" t="n"/>
      <c r="E276" s="15" t="n"/>
      <c r="F276" s="16" t="n"/>
      <c r="G276" s="17" t="inlineStr">
        <is>
          <t>1_100331993</t>
        </is>
      </c>
      <c r="H276" s="636" t="n"/>
      <c r="I276" s="17" t="n"/>
      <c r="J276" s="549" t="inlineStr">
        <is>
          <t>млн куб.м.</t>
        </is>
      </c>
    </row>
    <row r="277" ht="20.1" customHeight="1" s="904">
      <c r="A277" s="545" t="n"/>
      <c r="B277" s="909" t="n"/>
      <c r="C277" s="737" t="inlineStr">
        <is>
          <t>в т.ч. в  газотранспортную систему</t>
        </is>
      </c>
      <c r="D277" s="15" t="n"/>
      <c r="E277" s="15" t="n"/>
      <c r="F277" s="16" t="n"/>
      <c r="G277" s="17" t="inlineStr">
        <is>
          <t>1_100331995</t>
        </is>
      </c>
      <c r="H277" s="636" t="n"/>
      <c r="I277" s="17" t="n"/>
      <c r="J277" s="554" t="inlineStr">
        <is>
          <t>млн куб.м.</t>
        </is>
      </c>
    </row>
    <row r="278" ht="20.1" customHeight="1" s="904">
      <c r="A278" s="545" t="n"/>
      <c r="B278" s="909" t="n"/>
      <c r="C278" s="737" t="inlineStr">
        <is>
          <t>газ на стн ГПП</t>
        </is>
      </c>
      <c r="D278" s="15" t="n"/>
      <c r="E278" s="15" t="n"/>
      <c r="F278" s="16" t="n"/>
      <c r="G278" s="17" t="inlineStr">
        <is>
          <t>1_100331999</t>
        </is>
      </c>
      <c r="H278" s="636" t="n"/>
      <c r="I278" s="17" t="n"/>
      <c r="J278" s="554" t="inlineStr">
        <is>
          <t>млн куб.м.</t>
        </is>
      </c>
    </row>
    <row r="279" ht="20.1" customHeight="1" s="904">
      <c r="A279" s="545" t="n"/>
      <c r="B279" s="909" t="n"/>
      <c r="C279" s="737" t="inlineStr">
        <is>
          <t>газ на стн газодобывающих обществ</t>
        </is>
      </c>
      <c r="D279" s="15" t="n"/>
      <c r="E279" s="15" t="n"/>
      <c r="F279" s="16" t="n"/>
      <c r="G279" s="17" t="inlineStr">
        <is>
          <t>1_100331997</t>
        </is>
      </c>
      <c r="H279" s="636" t="n"/>
      <c r="I279" s="17" t="n"/>
      <c r="J279" s="554" t="inlineStr">
        <is>
          <t>млн куб.м.</t>
        </is>
      </c>
    </row>
    <row r="280" ht="20.1" customHeight="1" s="904">
      <c r="A280" s="545" t="n"/>
      <c r="B280" s="909" t="n"/>
      <c r="C280" s="27" t="inlineStr">
        <is>
          <t xml:space="preserve">Сосногорский ГПЗ </t>
        </is>
      </c>
      <c r="D280" s="15" t="n"/>
      <c r="E280" s="15" t="n"/>
      <c r="F280" s="16" t="n"/>
      <c r="G280" s="17">
        <f>G281</f>
        <v/>
      </c>
      <c r="H280" s="636" t="n"/>
      <c r="I280" s="17" t="n"/>
      <c r="J280" s="549" t="inlineStr">
        <is>
          <t>млн куб.м.</t>
        </is>
      </c>
    </row>
    <row r="281" ht="20.1" customHeight="1" s="904">
      <c r="A281" s="545" t="n"/>
      <c r="B281" s="909" t="n"/>
      <c r="C281" s="737" t="inlineStr">
        <is>
          <t>Газпром добыча Краснодар</t>
        </is>
      </c>
      <c r="D281" s="15" t="n"/>
      <c r="E281" s="15" t="n"/>
      <c r="F281" s="16" t="n"/>
      <c r="G281" s="17" t="inlineStr">
        <is>
          <t>3_100330564</t>
        </is>
      </c>
      <c r="H281" s="636" t="n"/>
      <c r="I281" s="17" t="n"/>
      <c r="J281" s="32" t="inlineStr">
        <is>
          <t>млн куб.м.</t>
        </is>
      </c>
    </row>
    <row r="282" ht="20.1" customHeight="1" s="904">
      <c r="A282" s="545" t="n"/>
      <c r="B282" s="909" t="n"/>
      <c r="C282" s="737" t="inlineStr">
        <is>
          <t>в т. ч. собственная потребность ГПП</t>
        </is>
      </c>
      <c r="D282" s="15" t="n"/>
      <c r="E282" s="15" t="n"/>
      <c r="F282" s="16" t="n"/>
      <c r="G282" s="17" t="inlineStr">
        <is>
          <t>3_100330566</t>
        </is>
      </c>
      <c r="H282" s="636" t="n"/>
      <c r="I282" s="17" t="n"/>
      <c r="J282" s="554" t="inlineStr">
        <is>
          <t>млн куб.м.</t>
        </is>
      </c>
    </row>
    <row r="283" ht="20.1" customHeight="1" s="904">
      <c r="A283" s="545" t="n"/>
      <c r="B283" s="909" t="n"/>
      <c r="C283" s="737" t="inlineStr">
        <is>
          <t>в газотранспортную систему</t>
        </is>
      </c>
      <c r="D283" s="15" t="n"/>
      <c r="E283" s="15" t="n"/>
      <c r="F283" s="16" t="n"/>
      <c r="G283" s="17" t="inlineStr">
        <is>
          <t>3_100330570</t>
        </is>
      </c>
      <c r="H283" s="636" t="n"/>
      <c r="I283" s="17" t="n"/>
      <c r="J283" s="554" t="inlineStr">
        <is>
          <t>млн куб.м.</t>
        </is>
      </c>
    </row>
    <row r="284" ht="20.1" customHeight="1" s="904">
      <c r="A284" s="545" t="n"/>
      <c r="B284" s="909" t="n"/>
      <c r="C284" s="737" t="inlineStr">
        <is>
          <t>на Сосногорскую ТЭЦ</t>
        </is>
      </c>
      <c r="D284" s="15" t="n"/>
      <c r="E284" s="15" t="n"/>
      <c r="F284" s="16" t="n"/>
      <c r="G284" s="17" t="inlineStr">
        <is>
          <t>3_100330568</t>
        </is>
      </c>
      <c r="H284" s="636" t="n"/>
      <c r="I284" s="17" t="n"/>
      <c r="J284" s="554" t="inlineStr">
        <is>
          <t>млн куб.м.</t>
        </is>
      </c>
    </row>
    <row r="285" ht="20.1" customHeight="1" s="904">
      <c r="A285" s="545" t="n"/>
      <c r="B285" s="909" t="n"/>
      <c r="C285" s="923" t="inlineStr">
        <is>
          <t xml:space="preserve">               Уренгойский ЗПКТ и привлеченные мощности</t>
        </is>
      </c>
      <c r="D285" s="15" t="n"/>
      <c r="E285" s="15" t="n"/>
      <c r="F285" s="16" t="n"/>
      <c r="G285" s="17">
        <f>G287+G289+G291+G293+G295</f>
        <v/>
      </c>
      <c r="H285" s="636" t="n"/>
      <c r="I285" s="17" t="n"/>
      <c r="J285" s="549" t="inlineStr">
        <is>
          <t>млн куб.м.</t>
        </is>
      </c>
    </row>
    <row r="286" ht="20.1" customHeight="1" s="904">
      <c r="A286" s="545" t="n"/>
      <c r="B286" s="909" t="n"/>
      <c r="C286" s="906" t="n"/>
      <c r="D286" s="15" t="n"/>
      <c r="E286" s="15" t="n"/>
      <c r="F286" s="16" t="n"/>
      <c r="G286" s="17">
        <f>G288+G290+G292+G294+G296</f>
        <v/>
      </c>
      <c r="H286" s="636" t="n"/>
      <c r="I286" s="17" t="n"/>
      <c r="J286" s="549" t="inlineStr">
        <is>
          <t>тыс.т</t>
        </is>
      </c>
    </row>
    <row r="287" ht="20.1" customHeight="1" s="904">
      <c r="A287" s="545" t="n"/>
      <c r="B287" s="909" t="n"/>
      <c r="C287" s="905" t="inlineStr">
        <is>
          <t xml:space="preserve"> в т.ч. газ горючий природный</t>
        </is>
      </c>
      <c r="D287" s="15" t="n"/>
      <c r="E287" s="15" t="n"/>
      <c r="F287" s="16" t="n"/>
      <c r="G287" s="17" t="inlineStr">
        <is>
          <t>4_100331871</t>
        </is>
      </c>
      <c r="H287" s="636" t="n"/>
      <c r="I287" s="17" t="n"/>
      <c r="J287" s="554" t="inlineStr">
        <is>
          <t>млн куб.м.</t>
        </is>
      </c>
    </row>
    <row r="288" ht="20.1" customHeight="1" s="904">
      <c r="A288" s="545" t="n"/>
      <c r="B288" s="909" t="n"/>
      <c r="C288" s="906" t="n"/>
      <c r="D288" s="15" t="n"/>
      <c r="E288" s="15" t="n"/>
      <c r="F288" s="16" t="n"/>
      <c r="G288" s="17" t="inlineStr">
        <is>
          <t>4_100331870</t>
        </is>
      </c>
      <c r="H288" s="636" t="n"/>
      <c r="I288" s="17" t="n"/>
      <c r="J288" s="554" t="inlineStr">
        <is>
          <t>тыс.т</t>
        </is>
      </c>
    </row>
    <row r="289" ht="20.1" customHeight="1" s="904">
      <c r="A289" s="545" t="n"/>
      <c r="B289" s="909" t="n"/>
      <c r="C289" s="905" t="inlineStr">
        <is>
          <t xml:space="preserve"> газ деэтанизации собств. потребность ГПП</t>
        </is>
      </c>
      <c r="D289" s="15" t="n"/>
      <c r="E289" s="15" t="n"/>
      <c r="F289" s="16" t="n"/>
      <c r="G289" s="17" t="inlineStr">
        <is>
          <t>4_100331859</t>
        </is>
      </c>
      <c r="H289" s="636" t="n"/>
      <c r="I289" s="17" t="n"/>
      <c r="J289" s="554" t="inlineStr">
        <is>
          <t>млн куб.м.</t>
        </is>
      </c>
    </row>
    <row r="290" ht="20.1" customHeight="1" s="904">
      <c r="A290" s="545" t="n"/>
      <c r="B290" s="909" t="n"/>
      <c r="C290" s="906" t="n"/>
      <c r="D290" s="15" t="n"/>
      <c r="E290" s="15" t="n"/>
      <c r="F290" s="16" t="n"/>
      <c r="G290" s="17" t="inlineStr">
        <is>
          <t>4_100331858</t>
        </is>
      </c>
      <c r="H290" s="636" t="n"/>
      <c r="I290" s="17" t="n"/>
      <c r="J290" s="554" t="inlineStr">
        <is>
          <t>тыс.т</t>
        </is>
      </c>
    </row>
    <row r="291" ht="20.1" customHeight="1" s="904">
      <c r="A291" s="545" t="n"/>
      <c r="B291" s="909" t="n"/>
      <c r="C291" s="905" t="inlineStr">
        <is>
          <t>газ деэтанизации в адрес ГДУ по договору поставки</t>
        </is>
      </c>
      <c r="D291" s="15" t="n"/>
      <c r="E291" s="15" t="n"/>
      <c r="F291" s="16" t="n"/>
      <c r="G291" s="17" t="inlineStr">
        <is>
          <t>4_100331857</t>
        </is>
      </c>
      <c r="H291" s="636" t="n"/>
      <c r="I291" s="17" t="n"/>
      <c r="J291" s="554" t="inlineStr">
        <is>
          <t>млн куб.м.</t>
        </is>
      </c>
    </row>
    <row r="292" ht="20.1" customHeight="1" s="904">
      <c r="A292" s="545" t="n"/>
      <c r="B292" s="909" t="n"/>
      <c r="C292" s="906" t="n"/>
      <c r="D292" s="15" t="n"/>
      <c r="E292" s="15" t="n"/>
      <c r="F292" s="16" t="n"/>
      <c r="G292" s="17" t="inlineStr">
        <is>
          <t>4_100331856</t>
        </is>
      </c>
      <c r="H292" s="636" t="n"/>
      <c r="I292" s="17" t="n"/>
      <c r="J292" s="554" t="inlineStr">
        <is>
          <t>тыс.т</t>
        </is>
      </c>
    </row>
    <row r="293" ht="20.1" customHeight="1" s="904">
      <c r="A293" s="545" t="n"/>
      <c r="B293" s="909" t="n"/>
      <c r="C293" s="913" t="inlineStr">
        <is>
          <t xml:space="preserve"> газ деэтанизации на подготовку на мощностях ГДУ, собственность ПАО "Газпром"</t>
        </is>
      </c>
      <c r="D293" s="15" t="n"/>
      <c r="E293" s="15" t="n"/>
      <c r="F293" s="16" t="n"/>
      <c r="G293" s="17" t="inlineStr">
        <is>
          <t>4_100337119</t>
        </is>
      </c>
      <c r="H293" s="636" t="n"/>
      <c r="I293" s="17" t="n"/>
      <c r="J293" s="554" t="inlineStr">
        <is>
          <t>млн куб.м.</t>
        </is>
      </c>
    </row>
    <row r="294" ht="20.1" customHeight="1" s="904">
      <c r="A294" s="545" t="n"/>
      <c r="B294" s="909" t="n"/>
      <c r="C294" s="906" t="n"/>
      <c r="D294" s="15" t="n"/>
      <c r="E294" s="15" t="n"/>
      <c r="F294" s="16" t="n"/>
      <c r="G294" s="17" t="inlineStr">
        <is>
          <t>4_100337118</t>
        </is>
      </c>
      <c r="H294" s="636" t="n"/>
      <c r="I294" s="17" t="n"/>
      <c r="J294" s="554" t="inlineStr">
        <is>
          <t>тыс.т</t>
        </is>
      </c>
    </row>
    <row r="295" ht="20.1" customHeight="1" s="904">
      <c r="A295" s="545" t="n"/>
      <c r="B295" s="909" t="n"/>
      <c r="C295" s="905" t="inlineStr">
        <is>
          <t>газ деэтанизации на Новоуренгойский ГХК</t>
        </is>
      </c>
      <c r="D295" s="15" t="n"/>
      <c r="E295" s="15" t="n"/>
      <c r="F295" s="16" t="n"/>
      <c r="G295" s="17" t="inlineStr">
        <is>
          <t>4_100337121</t>
        </is>
      </c>
      <c r="H295" s="636" t="n"/>
      <c r="I295" s="17" t="n"/>
      <c r="J295" s="554" t="inlineStr">
        <is>
          <t>млн куб.м.</t>
        </is>
      </c>
    </row>
    <row r="296" ht="20.1" customHeight="1" s="904">
      <c r="A296" s="545" t="n"/>
      <c r="B296" s="909" t="n"/>
      <c r="C296" s="906" t="n"/>
      <c r="D296" s="15" t="n"/>
      <c r="E296" s="15" t="n"/>
      <c r="F296" s="16" t="n"/>
      <c r="G296" s="17" t="inlineStr">
        <is>
          <t>4_100337120</t>
        </is>
      </c>
      <c r="H296" s="636" t="n"/>
      <c r="I296" s="17" t="n"/>
      <c r="J296" s="554" t="inlineStr">
        <is>
          <t>тыс.т</t>
        </is>
      </c>
    </row>
    <row r="297" ht="20.1" customHeight="1" s="904">
      <c r="A297" s="545" t="n"/>
      <c r="B297" s="909" t="n"/>
      <c r="C297" s="781" t="inlineStr">
        <is>
          <t xml:space="preserve"> Газпром переработка Благовещенск</t>
        </is>
      </c>
      <c r="D297" s="15" t="n"/>
      <c r="E297" s="15" t="n"/>
      <c r="F297" s="16" t="n"/>
      <c r="G297" s="17">
        <f>G298</f>
        <v/>
      </c>
      <c r="H297" s="636" t="n"/>
      <c r="I297" s="17" t="n"/>
      <c r="J297" s="24" t="inlineStr">
        <is>
          <t>млн куб.м.</t>
        </is>
      </c>
    </row>
    <row r="298" ht="20.1" customHeight="1" s="904">
      <c r="A298" s="545" t="n"/>
      <c r="B298" s="909" t="n"/>
      <c r="C298" s="27" t="inlineStr">
        <is>
          <t xml:space="preserve"> Амурский ГПЗ</t>
        </is>
      </c>
      <c r="D298" s="15" t="n"/>
      <c r="E298" s="15" t="n"/>
      <c r="F298" s="16" t="n"/>
      <c r="G298" s="17" t="inlineStr">
        <is>
          <t>14_100332359</t>
        </is>
      </c>
      <c r="H298" s="636" t="n"/>
      <c r="I298" s="17" t="n"/>
      <c r="J298" s="549" t="inlineStr">
        <is>
          <t>млн куб.м.</t>
        </is>
      </c>
    </row>
    <row r="299" ht="20.1" customHeight="1" s="904">
      <c r="A299" s="545" t="n"/>
      <c r="B299" s="20" t="inlineStr">
        <is>
          <t>1.2.</t>
        </is>
      </c>
      <c r="C299" s="28" t="inlineStr">
        <is>
          <t>Дочерние общества</t>
        </is>
      </c>
      <c r="D299" s="15" t="n"/>
      <c r="E299" s="15" t="n"/>
      <c r="F299" s="16" t="n"/>
      <c r="G299" s="17">
        <f>G305+G320+G323+G316</f>
        <v/>
      </c>
      <c r="H299" s="636" t="n"/>
      <c r="I299" s="17" t="n"/>
      <c r="J299" s="24" t="inlineStr">
        <is>
          <t>млн куб.м.</t>
        </is>
      </c>
    </row>
    <row r="300" outlineLevel="1" ht="20.1" customHeight="1" s="904">
      <c r="A300" s="545" t="n"/>
      <c r="B300" s="909" t="n"/>
      <c r="C300" s="25" t="inlineStr">
        <is>
          <t>Газпром добыча Астрахань</t>
        </is>
      </c>
      <c r="D300" s="15" t="n"/>
      <c r="E300" s="15" t="n"/>
      <c r="F300" s="16" t="n"/>
      <c r="G300" s="17">
        <f>G301</f>
        <v/>
      </c>
      <c r="H300" s="636" t="n"/>
      <c r="I300" s="17" t="n"/>
      <c r="J300" s="24" t="inlineStr">
        <is>
          <t>млн куб.м.</t>
        </is>
      </c>
    </row>
    <row r="301" outlineLevel="1" ht="20.1" customHeight="1" s="904">
      <c r="A301" s="545" t="n"/>
      <c r="B301" s="909" t="n"/>
      <c r="C301" s="29" t="inlineStr">
        <is>
          <t>Астраханский ГПЗ</t>
        </is>
      </c>
      <c r="D301" s="15" t="n"/>
      <c r="E301" s="15" t="n"/>
      <c r="F301" s="16" t="n"/>
      <c r="G301" s="17" t="n"/>
      <c r="H301" s="636" t="n"/>
      <c r="I301" s="17" t="n"/>
      <c r="J301" s="549" t="inlineStr">
        <is>
          <t>млн куб.м.</t>
        </is>
      </c>
    </row>
    <row r="302" outlineLevel="1" ht="20.1" customHeight="1" s="904">
      <c r="A302" s="545" t="n"/>
      <c r="B302" s="909" t="n"/>
      <c r="C302" s="26" t="inlineStr">
        <is>
          <t>в т.ч. в  газотранспортную систему</t>
        </is>
      </c>
      <c r="D302" s="15" t="n"/>
      <c r="E302" s="15" t="n"/>
      <c r="F302" s="16" t="n"/>
      <c r="G302" s="17" t="n"/>
      <c r="H302" s="636" t="n"/>
      <c r="I302" s="17" t="n"/>
      <c r="J302" s="554" t="inlineStr">
        <is>
          <t>млн куб.м.</t>
        </is>
      </c>
    </row>
    <row r="303" outlineLevel="1" ht="20.1" customHeight="1" s="904">
      <c r="A303" s="545" t="n"/>
      <c r="B303" s="909" t="n"/>
      <c r="C303" s="26" t="inlineStr">
        <is>
          <t>газ на стн ГПП</t>
        </is>
      </c>
      <c r="D303" s="15" t="n"/>
      <c r="E303" s="15" t="n"/>
      <c r="F303" s="16" t="n"/>
      <c r="G303" s="17" t="n"/>
      <c r="H303" s="636" t="n"/>
      <c r="I303" s="17" t="n"/>
      <c r="J303" s="554" t="inlineStr">
        <is>
          <t>млн куб.м.</t>
        </is>
      </c>
    </row>
    <row r="304" outlineLevel="1" ht="20.1" customHeight="1" s="904">
      <c r="A304" s="545" t="n"/>
      <c r="B304" s="909" t="n"/>
      <c r="C304" s="26" t="inlineStr">
        <is>
          <t>газ на стн газодобывающих обществ</t>
        </is>
      </c>
      <c r="D304" s="15" t="n"/>
      <c r="E304" s="15" t="n"/>
      <c r="F304" s="16" t="n"/>
      <c r="G304" s="17" t="n"/>
      <c r="H304" s="636" t="n"/>
      <c r="I304" s="17" t="n"/>
      <c r="J304" s="554" t="inlineStr">
        <is>
          <t>млн куб.м.</t>
        </is>
      </c>
    </row>
    <row r="305" ht="20.1" customHeight="1" s="904">
      <c r="A305" s="545" t="n"/>
      <c r="B305" s="909" t="n"/>
      <c r="C305" s="781" t="inlineStr">
        <is>
          <t>Газпром переработка</t>
        </is>
      </c>
      <c r="D305" s="15" t="n"/>
      <c r="E305" s="15" t="n"/>
      <c r="F305" s="16" t="n"/>
      <c r="G305" s="17">
        <f>G306+G312</f>
        <v/>
      </c>
      <c r="H305" s="636" t="n"/>
      <c r="I305" s="17" t="n"/>
      <c r="J305" s="24" t="inlineStr">
        <is>
          <t>млн куб.м.</t>
        </is>
      </c>
    </row>
    <row r="306" ht="20.1" customHeight="1" s="904">
      <c r="A306" s="545" t="n"/>
      <c r="B306" s="909" t="n"/>
      <c r="C306" s="27" t="inlineStr">
        <is>
          <t xml:space="preserve"> Оренбургский ГХК</t>
        </is>
      </c>
      <c r="D306" s="15" t="n"/>
      <c r="E306" s="15" t="n"/>
      <c r="F306" s="16" t="n"/>
      <c r="G306" s="17">
        <f>G309+G310+G311</f>
        <v/>
      </c>
      <c r="H306" s="636" t="n"/>
      <c r="I306" s="17" t="n"/>
      <c r="J306" s="549" t="inlineStr">
        <is>
          <t>млн куб.м.</t>
        </is>
      </c>
    </row>
    <row r="307" ht="20.1" customHeight="1" s="904">
      <c r="A307" s="545" t="n"/>
      <c r="B307" s="909" t="n"/>
      <c r="C307" s="33" t="inlineStr">
        <is>
          <t>в т.ч. на стн ГПП</t>
        </is>
      </c>
      <c r="D307" s="15" t="n"/>
      <c r="E307" s="15" t="n"/>
      <c r="F307" s="16" t="n"/>
      <c r="G307" s="17" t="inlineStr">
        <is>
          <t>2_100335015+2_100335017</t>
        </is>
      </c>
      <c r="H307" s="636" t="n"/>
      <c r="I307" s="17" t="n"/>
      <c r="J307" s="554" t="inlineStr">
        <is>
          <t>млн куб.м.</t>
        </is>
      </c>
    </row>
    <row r="308" ht="20.1" customHeight="1" s="904">
      <c r="A308" s="545" t="n"/>
      <c r="B308" s="909" t="n"/>
      <c r="C308" s="33" t="inlineStr">
        <is>
          <t>на стн газодобывающих обществ</t>
        </is>
      </c>
      <c r="D308" s="15" t="n"/>
      <c r="E308" s="15" t="n"/>
      <c r="F308" s="16" t="n"/>
      <c r="G308" s="17" t="inlineStr">
        <is>
          <t>2_100335019</t>
        </is>
      </c>
      <c r="H308" s="636" t="n"/>
      <c r="I308" s="17" t="n"/>
      <c r="J308" s="554" t="inlineStr">
        <is>
          <t>млн куб.м.</t>
        </is>
      </c>
    </row>
    <row r="309" ht="20.1" customHeight="1" s="904">
      <c r="A309" s="545" t="n"/>
      <c r="B309" s="909" t="n"/>
      <c r="C309" s="737" t="inlineStr">
        <is>
          <t>в т.ч. Газпром добыча Оренбург</t>
        </is>
      </c>
      <c r="D309" s="15" t="n"/>
      <c r="E309" s="15" t="n"/>
      <c r="F309" s="16" t="n"/>
      <c r="G309" s="17" t="inlineStr">
        <is>
          <t>2_100332111</t>
        </is>
      </c>
      <c r="H309" s="636" t="n"/>
      <c r="I309" s="17" t="n"/>
      <c r="J309" s="554" t="inlineStr">
        <is>
          <t>млн куб.м.</t>
        </is>
      </c>
    </row>
    <row r="310" ht="20.1" customHeight="1" s="904">
      <c r="A310" s="545" t="n"/>
      <c r="B310" s="909" t="n"/>
      <c r="C310" s="737" t="inlineStr">
        <is>
          <t>Газпром нефть</t>
        </is>
      </c>
      <c r="D310" s="15" t="n"/>
      <c r="E310" s="15" t="n"/>
      <c r="F310" s="16" t="n"/>
      <c r="G310" s="17" t="inlineStr">
        <is>
          <t>2_100332113</t>
        </is>
      </c>
      <c r="H310" s="636" t="n"/>
      <c r="I310" s="17" t="n"/>
      <c r="J310" s="554" t="inlineStr">
        <is>
          <t>млн куб.м.</t>
        </is>
      </c>
    </row>
    <row r="311" ht="20.1" customHeight="1" s="904">
      <c r="A311" s="545" t="n"/>
      <c r="B311" s="909" t="n"/>
      <c r="C311" s="553" t="inlineStr">
        <is>
          <t>прочие поставщики (ГПНЗ, УНГП, и.т.д.)</t>
        </is>
      </c>
      <c r="D311" s="15" t="n"/>
      <c r="E311" s="15" t="n"/>
      <c r="F311" s="16" t="n"/>
      <c r="G311" s="17" t="inlineStr">
        <is>
          <t>2_100335135</t>
        </is>
      </c>
      <c r="H311" s="636" t="n"/>
      <c r="I311" s="17" t="n"/>
      <c r="J311" s="554" t="inlineStr">
        <is>
          <t>млн куб.м.</t>
        </is>
      </c>
    </row>
    <row r="312" outlineLevel="1" ht="20.1" customHeight="1" s="904">
      <c r="A312" s="545" t="n"/>
      <c r="B312" s="909" t="n"/>
      <c r="C312" s="34" t="inlineStr">
        <is>
          <t xml:space="preserve"> Уренгойский ЗПКТ</t>
        </is>
      </c>
      <c r="D312" s="15" t="n"/>
      <c r="E312" s="15" t="n"/>
      <c r="F312" s="16" t="n"/>
      <c r="G312" s="17">
        <f>G314</f>
        <v/>
      </c>
      <c r="H312" s="636" t="n"/>
      <c r="I312" s="17" t="n"/>
      <c r="J312" s="549" t="inlineStr">
        <is>
          <t>млн куб.м.</t>
        </is>
      </c>
    </row>
    <row r="313" outlineLevel="1" ht="20.1" customHeight="1" s="904">
      <c r="A313" s="545" t="n"/>
      <c r="B313" s="909" t="n"/>
      <c r="C313" s="34" t="n"/>
      <c r="D313" s="15" t="n"/>
      <c r="E313" s="15" t="n"/>
      <c r="F313" s="16" t="n"/>
      <c r="G313" s="17">
        <f>G315</f>
        <v/>
      </c>
      <c r="H313" s="636" t="n"/>
      <c r="I313" s="17" t="n"/>
      <c r="J313" s="554" t="inlineStr">
        <is>
          <t>млн куб.м.</t>
        </is>
      </c>
    </row>
    <row r="314" outlineLevel="1" ht="20.1" customHeight="1" s="904">
      <c r="A314" s="545" t="n"/>
      <c r="B314" s="909" t="n"/>
      <c r="C314" s="35" t="inlineStr">
        <is>
          <t xml:space="preserve"> (газ деэтанизации)/природный газ</t>
        </is>
      </c>
      <c r="D314" s="15" t="n"/>
      <c r="E314" s="15" t="n"/>
      <c r="F314" s="16" t="n"/>
      <c r="G314" s="17" t="n"/>
      <c r="H314" s="636" t="n"/>
      <c r="I314" s="17" t="n"/>
      <c r="J314" s="554" t="inlineStr">
        <is>
          <t>млн куб.м.</t>
        </is>
      </c>
    </row>
    <row r="315" outlineLevel="1" ht="20.1" customHeight="1" s="904">
      <c r="A315" s="545" t="n"/>
      <c r="B315" s="909" t="n"/>
      <c r="C315" s="26" t="n"/>
      <c r="D315" s="15" t="n"/>
      <c r="E315" s="15" t="n"/>
      <c r="F315" s="16" t="n"/>
      <c r="G315" s="17" t="n"/>
      <c r="H315" s="636" t="n"/>
      <c r="I315" s="17" t="n"/>
      <c r="J315" s="554" t="inlineStr">
        <is>
          <t>млн куб.м.</t>
        </is>
      </c>
    </row>
    <row r="316" ht="20.1" customHeight="1" s="904">
      <c r="A316" s="545" t="n"/>
      <c r="B316" s="909" t="n"/>
      <c r="C316" s="781" t="inlineStr">
        <is>
          <t xml:space="preserve">Сервиснефтегаз </t>
        </is>
      </c>
      <c r="D316" s="15" t="n"/>
      <c r="E316" s="15" t="n"/>
      <c r="F316" s="16" t="n"/>
      <c r="G316" s="17">
        <f>G317</f>
        <v/>
      </c>
      <c r="H316" s="636" t="n"/>
      <c r="I316" s="17" t="n"/>
      <c r="J316" s="24" t="inlineStr">
        <is>
          <t>млн куб.м.</t>
        </is>
      </c>
    </row>
    <row r="317" ht="20.1" customHeight="1" s="904">
      <c r="A317" s="545" t="n"/>
      <c r="B317" s="909" t="n"/>
      <c r="C317" s="737" t="inlineStr">
        <is>
          <t xml:space="preserve">                в т.ч.Оренбургский ГХК на стн ГПП</t>
        </is>
      </c>
      <c r="D317" s="15" t="n"/>
      <c r="E317" s="15" t="n"/>
      <c r="F317" s="16" t="n"/>
      <c r="G317" s="17" t="inlineStr">
        <is>
          <t>2_100335692</t>
        </is>
      </c>
      <c r="H317" s="636" t="n"/>
      <c r="I317" s="17" t="n"/>
      <c r="J317" s="554" t="inlineStr">
        <is>
          <t>млн куб.м.</t>
        </is>
      </c>
    </row>
    <row r="318" ht="20.1" customHeight="1" s="904">
      <c r="A318" s="545" t="n"/>
      <c r="B318" s="909" t="n"/>
      <c r="C318" s="570" t="inlineStr">
        <is>
          <t>Газпром добыча Уренгой</t>
        </is>
      </c>
      <c r="D318" s="15" t="n"/>
      <c r="E318" s="15" t="n"/>
      <c r="F318" s="16" t="n"/>
      <c r="G318" s="17" t="n"/>
      <c r="H318" s="636" t="n"/>
      <c r="I318" s="17" t="n"/>
      <c r="J318" s="24" t="inlineStr">
        <is>
          <t>млн куб.м.</t>
        </is>
      </c>
    </row>
    <row r="319" ht="20.1" customHeight="1" s="904">
      <c r="A319" s="545" t="n"/>
      <c r="B319" s="909" t="n"/>
      <c r="C319" s="36" t="inlineStr">
        <is>
          <t xml:space="preserve">в т.ч. ДРОД </t>
        </is>
      </c>
      <c r="D319" s="15" t="n"/>
      <c r="E319" s="15" t="n"/>
      <c r="F319" s="16" t="n"/>
      <c r="G319" s="17" t="n"/>
      <c r="H319" s="636" t="n"/>
      <c r="I319" s="17" t="n"/>
      <c r="J319" s="554" t="inlineStr">
        <is>
          <t>млн куб.м.</t>
        </is>
      </c>
    </row>
    <row r="320" ht="20.1" customHeight="1" s="904">
      <c r="A320" s="545" t="n"/>
      <c r="B320" s="909" t="n"/>
      <c r="C320" s="781" t="inlineStr">
        <is>
          <t>Газпром ГНП холдинг</t>
        </is>
      </c>
      <c r="D320" s="15" t="n"/>
      <c r="E320" s="15" t="n"/>
      <c r="F320" s="16" t="n"/>
      <c r="G320" s="17">
        <f>G321</f>
        <v/>
      </c>
      <c r="H320" s="636" t="n"/>
      <c r="I320" s="17" t="n"/>
      <c r="J320" s="24" t="inlineStr">
        <is>
          <t>млн куб.м.</t>
        </is>
      </c>
    </row>
    <row r="321" ht="20.1" customHeight="1" s="904">
      <c r="A321" s="545" t="n"/>
      <c r="B321" s="909" t="n"/>
      <c r="C321" s="27" t="inlineStr">
        <is>
          <t>Сосногорский ГПЗ</t>
        </is>
      </c>
      <c r="D321" s="15" t="n"/>
      <c r="E321" s="15" t="n"/>
      <c r="F321" s="16" t="n"/>
      <c r="G321" s="17">
        <f>G322</f>
        <v/>
      </c>
      <c r="H321" s="636" t="n"/>
      <c r="I321" s="17" t="n"/>
      <c r="J321" s="549" t="inlineStr">
        <is>
          <t>млн куб.м.</t>
        </is>
      </c>
    </row>
    <row r="322" ht="20.1" customHeight="1" s="904">
      <c r="A322" s="545" t="n"/>
      <c r="B322" s="909" t="n"/>
      <c r="C322" s="737" t="inlineStr">
        <is>
          <t>ЛУКОЙЛ-Коми</t>
        </is>
      </c>
      <c r="D322" s="15" t="n"/>
      <c r="E322" s="15" t="n"/>
      <c r="F322" s="16" t="n"/>
      <c r="G322" s="17" t="inlineStr">
        <is>
          <t>3_100330574</t>
        </is>
      </c>
      <c r="H322" s="636" t="n"/>
      <c r="I322" s="17" t="n"/>
      <c r="J322" s="554" t="inlineStr">
        <is>
          <t>млн куб.м.</t>
        </is>
      </c>
    </row>
    <row r="323" ht="20.1" customHeight="1" s="904">
      <c r="A323" s="545" t="n"/>
      <c r="B323" s="909" t="n"/>
      <c r="C323" s="781" t="inlineStr">
        <is>
          <t xml:space="preserve"> Газпром переработка Благовещенск</t>
        </is>
      </c>
      <c r="D323" s="15" t="n"/>
      <c r="E323" s="15" t="n"/>
      <c r="F323" s="16" t="n"/>
      <c r="G323" s="17">
        <f>G324</f>
        <v/>
      </c>
      <c r="H323" s="636" t="n"/>
      <c r="I323" s="17" t="n"/>
      <c r="J323" s="24" t="inlineStr">
        <is>
          <t>млн куб.м.</t>
        </is>
      </c>
    </row>
    <row r="324" ht="20.1" customHeight="1" s="904">
      <c r="A324" s="545" t="n"/>
      <c r="B324" s="909" t="n"/>
      <c r="C324" s="27" t="inlineStr">
        <is>
          <t xml:space="preserve"> Амурский ГПЗ</t>
        </is>
      </c>
      <c r="D324" s="15" t="n"/>
      <c r="E324" s="15" t="n"/>
      <c r="F324" s="16" t="n"/>
      <c r="G324" s="17" t="inlineStr">
        <is>
          <t>14_100335312</t>
        </is>
      </c>
      <c r="H324" s="636" t="n"/>
      <c r="I324" s="17" t="n"/>
      <c r="J324" s="549" t="inlineStr">
        <is>
          <t>млн куб.м.</t>
        </is>
      </c>
    </row>
    <row r="325" ht="20.1" customHeight="1" s="904">
      <c r="A325" s="545" t="n"/>
      <c r="B325" s="909" t="inlineStr">
        <is>
          <t>2.</t>
        </is>
      </c>
      <c r="C325" s="569" t="inlineStr">
        <is>
          <t>Транзит газа через Амурский ГПЗ</t>
        </is>
      </c>
      <c r="D325" s="15" t="n"/>
      <c r="E325" s="15" t="n"/>
      <c r="F325" s="16" t="n"/>
      <c r="G325" s="17" t="n"/>
      <c r="H325" s="636" t="n"/>
      <c r="I325" s="17" t="n"/>
      <c r="J325" s="546" t="n"/>
    </row>
    <row r="326" ht="20.1" customHeight="1" s="904">
      <c r="A326" s="545" t="n"/>
      <c r="B326" s="909" t="n"/>
      <c r="C326" s="547" t="inlineStr">
        <is>
          <t>Газпром переработка Благовещенск</t>
        </is>
      </c>
      <c r="D326" s="15" t="n"/>
      <c r="E326" s="15" t="n"/>
      <c r="F326" s="16" t="n"/>
      <c r="G326" s="17">
        <f>G327</f>
        <v/>
      </c>
      <c r="H326" s="636" t="n"/>
      <c r="I326" s="17" t="n"/>
      <c r="J326" s="546" t="inlineStr">
        <is>
          <t>млн куб.м.</t>
        </is>
      </c>
    </row>
    <row r="327" ht="20.1" customHeight="1" s="904">
      <c r="A327" s="545" t="n"/>
      <c r="B327" s="909" t="n"/>
      <c r="C327" s="548" t="inlineStr">
        <is>
          <t>Амурский ГПЗ</t>
        </is>
      </c>
      <c r="D327" s="15" t="n"/>
      <c r="E327" s="15" t="n"/>
      <c r="F327" s="16" t="n"/>
      <c r="G327" s="17">
        <f>G330+G333</f>
        <v/>
      </c>
      <c r="H327" s="636" t="n"/>
      <c r="I327" s="17" t="n"/>
      <c r="J327" s="549" t="inlineStr">
        <is>
          <t>млн куб.м.</t>
        </is>
      </c>
    </row>
    <row r="328" ht="20.1" customHeight="1" s="904">
      <c r="A328" s="545" t="n"/>
      <c r="B328" s="20" t="inlineStr">
        <is>
          <t>2.1.</t>
        </is>
      </c>
      <c r="C328" s="552" t="inlineStr">
        <is>
          <t>Газпром</t>
        </is>
      </c>
      <c r="D328" s="15" t="n"/>
      <c r="E328" s="15" t="n"/>
      <c r="F328" s="16" t="n"/>
      <c r="G328" s="17" t="n"/>
      <c r="H328" s="636" t="n"/>
      <c r="I328" s="17" t="n"/>
      <c r="J328" s="546" t="n"/>
    </row>
    <row r="329" ht="20.1" customHeight="1" s="904">
      <c r="A329" s="545" t="n"/>
      <c r="B329" s="909" t="n"/>
      <c r="C329" s="547" t="inlineStr">
        <is>
          <t>Газпром переработка Благовещенск</t>
        </is>
      </c>
      <c r="D329" s="15" t="n"/>
      <c r="E329" s="15" t="n"/>
      <c r="F329" s="16" t="n"/>
      <c r="G329" s="17">
        <f>G330</f>
        <v/>
      </c>
      <c r="H329" s="636" t="n"/>
      <c r="I329" s="17" t="n"/>
      <c r="J329" s="546" t="inlineStr">
        <is>
          <t>млн куб.м.</t>
        </is>
      </c>
    </row>
    <row r="330" ht="20.1" customHeight="1" s="904">
      <c r="A330" s="545" t="n"/>
      <c r="B330" s="909" t="n"/>
      <c r="C330" s="548" t="inlineStr">
        <is>
          <t>Амурский ГПЗ</t>
        </is>
      </c>
      <c r="D330" s="15" t="n"/>
      <c r="E330" s="15" t="n"/>
      <c r="F330" s="16" t="n"/>
      <c r="G330" s="17" t="inlineStr">
        <is>
          <t>14_100335159</t>
        </is>
      </c>
      <c r="H330" s="636" t="n"/>
      <c r="I330" s="17" t="n"/>
      <c r="J330" s="549" t="inlineStr">
        <is>
          <t>млн куб.м.</t>
        </is>
      </c>
    </row>
    <row r="331" ht="20.1" customHeight="1" s="904">
      <c r="A331" s="545" t="n"/>
      <c r="B331" s="20" t="inlineStr">
        <is>
          <t>2.2.</t>
        </is>
      </c>
      <c r="C331" s="552" t="inlineStr">
        <is>
          <t>Дочерние общества</t>
        </is>
      </c>
      <c r="D331" s="15" t="n"/>
      <c r="E331" s="15" t="n"/>
      <c r="F331" s="16" t="n"/>
      <c r="G331" s="17" t="n"/>
      <c r="H331" s="636" t="n"/>
      <c r="I331" s="17" t="n"/>
      <c r="J331" s="546" t="n"/>
    </row>
    <row r="332" ht="20.1" customHeight="1" s="904">
      <c r="A332" s="545" t="n"/>
      <c r="B332" s="909" t="n"/>
      <c r="C332" s="547" t="inlineStr">
        <is>
          <t>Газпром переработка Благовещенск</t>
        </is>
      </c>
      <c r="D332" s="15" t="n"/>
      <c r="E332" s="15" t="n"/>
      <c r="F332" s="16" t="n"/>
      <c r="G332" s="17">
        <f>G333</f>
        <v/>
      </c>
      <c r="H332" s="636" t="n"/>
      <c r="I332" s="17" t="n"/>
      <c r="J332" s="546" t="inlineStr">
        <is>
          <t>млн куб.м.</t>
        </is>
      </c>
    </row>
    <row r="333" ht="20.1" customHeight="1" s="904">
      <c r="A333" s="545" t="n"/>
      <c r="B333" s="909" t="n"/>
      <c r="C333" s="548" t="inlineStr">
        <is>
          <t>Амурский ГПЗ</t>
        </is>
      </c>
      <c r="D333" s="15" t="n"/>
      <c r="E333" s="15" t="n"/>
      <c r="F333" s="16" t="n"/>
      <c r="G333" s="17" t="inlineStr">
        <is>
          <t>14_100335425</t>
        </is>
      </c>
      <c r="H333" s="636" t="n"/>
      <c r="I333" s="17" t="n"/>
      <c r="J333" s="549" t="inlineStr">
        <is>
          <t>млн куб.м.</t>
        </is>
      </c>
    </row>
    <row r="334" outlineLevel="1" ht="20.1" customHeight="1" s="904">
      <c r="A334" s="545" t="n"/>
      <c r="B334" s="909" t="inlineStr">
        <is>
          <t>3.</t>
        </is>
      </c>
      <c r="C334" s="37" t="inlineStr">
        <is>
          <t>Сжиженный природный газ  (СПГ) - всего</t>
        </is>
      </c>
      <c r="D334" s="15" t="n"/>
      <c r="E334" s="15" t="n"/>
      <c r="F334" s="16" t="n"/>
      <c r="G334" s="17" t="n"/>
      <c r="H334" s="636" t="n"/>
      <c r="I334" s="17" t="n"/>
      <c r="J334" s="38" t="inlineStr">
        <is>
          <t>тыс.т</t>
        </is>
      </c>
    </row>
    <row r="335" outlineLevel="1" ht="20.1" customHeight="1" s="904">
      <c r="A335" s="545" t="n"/>
      <c r="B335" s="909" t="n"/>
      <c r="C335" s="25" t="inlineStr">
        <is>
          <t>Газпром СПГ Портовая</t>
        </is>
      </c>
      <c r="D335" s="15" t="n"/>
      <c r="E335" s="15" t="n"/>
      <c r="F335" s="16" t="n"/>
      <c r="G335" s="17" t="n"/>
      <c r="H335" s="636" t="n"/>
      <c r="I335" s="17" t="n"/>
      <c r="J335" s="38" t="inlineStr">
        <is>
          <t>тыс.т</t>
        </is>
      </c>
    </row>
    <row r="336" outlineLevel="1" ht="20.1" customHeight="1" s="904">
      <c r="A336" s="545" t="n"/>
      <c r="B336" s="909" t="n"/>
      <c r="C336" s="29" t="inlineStr">
        <is>
          <t>КСПГ Портовая</t>
        </is>
      </c>
      <c r="D336" s="15" t="n"/>
      <c r="E336" s="15" t="n"/>
      <c r="F336" s="16" t="n"/>
      <c r="G336" s="17" t="n"/>
      <c r="H336" s="636" t="n"/>
      <c r="I336" s="17" t="n"/>
      <c r="J336" s="556" t="inlineStr">
        <is>
          <t>млн куб.м.</t>
        </is>
      </c>
    </row>
    <row r="337" outlineLevel="1" ht="20.1" customHeight="1" s="904">
      <c r="A337" s="545" t="n"/>
      <c r="B337" s="909" t="n"/>
      <c r="C337" s="29" t="n"/>
      <c r="D337" s="15" t="n"/>
      <c r="E337" s="15" t="n"/>
      <c r="F337" s="16" t="n"/>
      <c r="G337" s="17" t="n"/>
      <c r="H337" s="636" t="n"/>
      <c r="I337" s="17" t="n"/>
      <c r="J337" s="556" t="inlineStr">
        <is>
          <t>тыс.т</t>
        </is>
      </c>
    </row>
    <row r="338" outlineLevel="1" ht="20.1" customHeight="1" s="904">
      <c r="A338" s="545" t="n"/>
      <c r="B338" s="20" t="inlineStr">
        <is>
          <t>3.1.</t>
        </is>
      </c>
      <c r="C338" s="39" t="inlineStr">
        <is>
          <t>Газпром</t>
        </is>
      </c>
      <c r="D338" s="15" t="n"/>
      <c r="E338" s="15" t="n"/>
      <c r="F338" s="16" t="n"/>
      <c r="G338" s="17" t="n"/>
      <c r="H338" s="636" t="n"/>
      <c r="I338" s="17" t="n"/>
      <c r="J338" s="38" t="inlineStr">
        <is>
          <t>тыс.т</t>
        </is>
      </c>
    </row>
    <row r="339" outlineLevel="1" ht="20.1" customHeight="1" s="904">
      <c r="A339" s="545" t="n"/>
      <c r="B339" s="909" t="n"/>
      <c r="C339" s="25" t="inlineStr">
        <is>
          <t>Газпром СПГ Портовая</t>
        </is>
      </c>
      <c r="D339" s="15" t="n"/>
      <c r="E339" s="15" t="n"/>
      <c r="F339" s="16" t="n"/>
      <c r="G339" s="17" t="n"/>
      <c r="H339" s="636" t="n"/>
      <c r="I339" s="17" t="n"/>
      <c r="J339" s="38" t="inlineStr">
        <is>
          <t>тыс.т</t>
        </is>
      </c>
    </row>
    <row r="340" outlineLevel="1" ht="20.1" customHeight="1" s="904">
      <c r="A340" s="545" t="n"/>
      <c r="B340" s="909" t="n"/>
      <c r="C340" s="29" t="inlineStr">
        <is>
          <t>КСПГ Портовая</t>
        </is>
      </c>
      <c r="D340" s="15" t="n"/>
      <c r="E340" s="15" t="n"/>
      <c r="F340" s="16" t="n"/>
      <c r="G340" s="17" t="n"/>
      <c r="H340" s="636" t="n"/>
      <c r="I340" s="17" t="n"/>
      <c r="J340" s="556" t="inlineStr">
        <is>
          <t>млн куб.м.</t>
        </is>
      </c>
    </row>
    <row r="341" outlineLevel="1" ht="20.1" customHeight="1" s="904">
      <c r="A341" s="545" t="n"/>
      <c r="B341" s="909" t="n"/>
      <c r="C341" s="29" t="n"/>
      <c r="D341" s="15" t="n"/>
      <c r="E341" s="15" t="n"/>
      <c r="F341" s="16" t="n"/>
      <c r="G341" s="17" t="n"/>
      <c r="H341" s="636" t="n"/>
      <c r="I341" s="17" t="n"/>
      <c r="J341" s="556" t="inlineStr">
        <is>
          <t>тыс.т</t>
        </is>
      </c>
    </row>
    <row r="342" outlineLevel="1" ht="20.1" customHeight="1" s="904">
      <c r="A342" s="545" t="n"/>
      <c r="B342" s="20" t="inlineStr">
        <is>
          <t>3.2.</t>
        </is>
      </c>
      <c r="C342" s="39" t="inlineStr">
        <is>
          <t>Дочерние общества</t>
        </is>
      </c>
      <c r="D342" s="15" t="n"/>
      <c r="E342" s="15" t="n"/>
      <c r="F342" s="16" t="n"/>
      <c r="G342" s="17" t="n"/>
      <c r="H342" s="636" t="n"/>
      <c r="I342" s="17" t="n"/>
      <c r="J342" s="38" t="inlineStr">
        <is>
          <t>тыс.т</t>
        </is>
      </c>
    </row>
    <row r="343" ht="20.1" customHeight="1" s="904">
      <c r="A343" s="545" t="n"/>
      <c r="B343" s="909" t="inlineStr">
        <is>
          <t>4.</t>
        </is>
      </c>
      <c r="C343" s="735" t="inlineStr">
        <is>
          <t>Сера техническая - всего</t>
        </is>
      </c>
      <c r="D343" s="15" t="n"/>
      <c r="E343" s="15" t="n"/>
      <c r="F343" s="16" t="n"/>
      <c r="G343" s="17" t="n"/>
      <c r="H343" s="636" t="n"/>
      <c r="I343" s="17" t="n"/>
      <c r="J343" s="24" t="n"/>
    </row>
    <row r="344" ht="20.1" customHeight="1" s="904">
      <c r="A344" s="545" t="n"/>
      <c r="B344" s="909" t="n"/>
      <c r="C344" s="781" t="inlineStr">
        <is>
          <t>Газпром переработка</t>
        </is>
      </c>
      <c r="D344" s="15" t="n"/>
      <c r="E344" s="15" t="n"/>
      <c r="F344" s="16" t="n"/>
      <c r="G344" s="17">
        <f>G345+G346</f>
        <v/>
      </c>
      <c r="H344" s="636" t="n"/>
      <c r="I344" s="17" t="n"/>
      <c r="J344" s="24" t="inlineStr">
        <is>
          <t>тыс.т</t>
        </is>
      </c>
    </row>
    <row r="345" ht="20.1" customHeight="1" s="904">
      <c r="A345" s="545" t="n"/>
      <c r="B345" s="909" t="n"/>
      <c r="C345" s="27" t="inlineStr">
        <is>
          <t>Оренбургский ГХК</t>
        </is>
      </c>
      <c r="D345" s="15" t="n"/>
      <c r="E345" s="15" t="n"/>
      <c r="F345" s="16" t="n"/>
      <c r="G345" s="17">
        <f>G349+G363</f>
        <v/>
      </c>
      <c r="H345" s="636" t="n"/>
      <c r="I345" s="17" t="n"/>
      <c r="J345" s="549" t="inlineStr">
        <is>
          <t>тыс.т</t>
        </is>
      </c>
    </row>
    <row r="346" ht="20.1" customHeight="1" s="904">
      <c r="A346" s="545" t="n"/>
      <c r="B346" s="909" t="n"/>
      <c r="C346" s="27" t="inlineStr">
        <is>
          <t>Астраханский ГПЗ</t>
        </is>
      </c>
      <c r="D346" s="15" t="n"/>
      <c r="E346" s="15" t="n"/>
      <c r="F346" s="16" t="n"/>
      <c r="G346" s="17">
        <f>G352+G361</f>
        <v/>
      </c>
      <c r="H346" s="636" t="n"/>
      <c r="I346" s="17" t="n"/>
      <c r="J346" s="549" t="inlineStr">
        <is>
          <t>тыс.т</t>
        </is>
      </c>
    </row>
    <row r="347" ht="20.1" customHeight="1" s="904">
      <c r="A347" s="545" t="n"/>
      <c r="B347" s="20" t="inlineStr">
        <is>
          <t>4.1.</t>
        </is>
      </c>
      <c r="C347" s="28" t="inlineStr">
        <is>
          <t>Газпром</t>
        </is>
      </c>
      <c r="D347" s="15" t="n"/>
      <c r="E347" s="15" t="n"/>
      <c r="F347" s="16" t="n"/>
      <c r="G347" s="17" t="n"/>
      <c r="H347" s="636" t="n"/>
      <c r="I347" s="17" t="n"/>
      <c r="J347" s="24" t="n"/>
    </row>
    <row r="348" ht="20.1" customHeight="1" s="904">
      <c r="A348" s="545" t="n"/>
      <c r="B348" s="909" t="n"/>
      <c r="C348" s="781" t="inlineStr">
        <is>
          <t>Газпром переработка</t>
        </is>
      </c>
      <c r="D348" s="15" t="n"/>
      <c r="E348" s="15" t="n"/>
      <c r="F348" s="16" t="n"/>
      <c r="G348" s="17">
        <f>G349+G352</f>
        <v/>
      </c>
      <c r="H348" s="636" t="n"/>
      <c r="I348" s="17" t="n"/>
      <c r="J348" s="24" t="inlineStr">
        <is>
          <t>тыс.т</t>
        </is>
      </c>
    </row>
    <row r="349" ht="20.1" customHeight="1" s="904">
      <c r="A349" s="545" t="n"/>
      <c r="B349" s="909" t="n"/>
      <c r="C349" s="27" t="inlineStr">
        <is>
          <t>Оренбургский ГХК</t>
        </is>
      </c>
      <c r="D349" s="15" t="n"/>
      <c r="E349" s="15" t="n"/>
      <c r="F349" s="16" t="n"/>
      <c r="G349" s="17">
        <f>G350+G351</f>
        <v/>
      </c>
      <c r="H349" s="636" t="n"/>
      <c r="I349" s="17" t="n"/>
      <c r="J349" s="549" t="inlineStr">
        <is>
          <t>тыс.т</t>
        </is>
      </c>
    </row>
    <row r="350" ht="20.1" customHeight="1" s="904">
      <c r="A350" s="545" t="n"/>
      <c r="B350" s="909" t="n"/>
      <c r="C350" s="737" t="inlineStr">
        <is>
          <t>Газпром добыча Оренбург</t>
        </is>
      </c>
      <c r="D350" s="15" t="n"/>
      <c r="E350" s="15" t="n"/>
      <c r="F350" s="16" t="n"/>
      <c r="G350" s="17" t="inlineStr">
        <is>
          <t>2_100332189</t>
        </is>
      </c>
      <c r="H350" s="636" t="n"/>
      <c r="I350" s="17" t="n"/>
      <c r="J350" s="554" t="inlineStr">
        <is>
          <t>тыс.т</t>
        </is>
      </c>
    </row>
    <row r="351" ht="20.1" customHeight="1" s="904">
      <c r="A351" s="545" t="n"/>
      <c r="B351" s="909" t="n"/>
      <c r="C351" s="737" t="inlineStr">
        <is>
          <t>Газпром нефть</t>
        </is>
      </c>
      <c r="D351" s="15" t="n"/>
      <c r="E351" s="15" t="n"/>
      <c r="F351" s="16" t="n"/>
      <c r="G351" s="17" t="inlineStr">
        <is>
          <t>2_100332190</t>
        </is>
      </c>
      <c r="H351" s="636" t="n"/>
      <c r="I351" s="17" t="n"/>
      <c r="J351" s="554" t="inlineStr">
        <is>
          <t>тыс.т</t>
        </is>
      </c>
    </row>
    <row r="352" ht="20.1" customHeight="1" s="904">
      <c r="A352" s="545" t="n"/>
      <c r="B352" s="909" t="n"/>
      <c r="C352" s="27" t="inlineStr">
        <is>
          <t>Астраханский ГПЗ</t>
        </is>
      </c>
      <c r="D352" s="15" t="n"/>
      <c r="E352" s="15" t="n"/>
      <c r="F352" s="16" t="n"/>
      <c r="G352" s="17">
        <f>G353+G354+G355</f>
        <v/>
      </c>
      <c r="H352" s="636" t="n"/>
      <c r="I352" s="17" t="n"/>
      <c r="J352" s="549" t="inlineStr">
        <is>
          <t>тыс.т</t>
        </is>
      </c>
    </row>
    <row r="353" ht="20.1" customHeight="1" s="904">
      <c r="A353" s="545" t="n"/>
      <c r="B353" s="909" t="n"/>
      <c r="C353" s="737" t="inlineStr">
        <is>
          <t>жидкая</t>
        </is>
      </c>
      <c r="D353" s="15" t="n"/>
      <c r="E353" s="15" t="n"/>
      <c r="F353" s="16" t="n"/>
      <c r="G353" s="17" t="inlineStr">
        <is>
          <t>1_100330068</t>
        </is>
      </c>
      <c r="H353" s="636" t="n"/>
      <c r="I353" s="17" t="n"/>
      <c r="J353" s="554" t="inlineStr">
        <is>
          <t>тыс.т</t>
        </is>
      </c>
    </row>
    <row r="354" ht="20.1" customHeight="1" s="904">
      <c r="A354" s="545" t="n"/>
      <c r="B354" s="909" t="n"/>
      <c r="C354" s="737" t="inlineStr">
        <is>
          <t>комовая</t>
        </is>
      </c>
      <c r="D354" s="15" t="n"/>
      <c r="E354" s="15" t="n"/>
      <c r="F354" s="16" t="n"/>
      <c r="G354" s="17" t="inlineStr">
        <is>
          <t>1_100330069</t>
        </is>
      </c>
      <c r="H354" s="636" t="n"/>
      <c r="I354" s="17" t="n"/>
      <c r="J354" s="554" t="inlineStr">
        <is>
          <t>тыс.т</t>
        </is>
      </c>
    </row>
    <row r="355" ht="20.1" customHeight="1" s="904">
      <c r="A355" s="545" t="n"/>
      <c r="B355" s="909" t="n"/>
      <c r="C355" s="737" t="inlineStr">
        <is>
          <t>гранулированная</t>
        </is>
      </c>
      <c r="D355" s="15" t="n"/>
      <c r="E355" s="15" t="n"/>
      <c r="F355" s="16" t="n"/>
      <c r="G355" s="17">
        <f>G356+G357+G358</f>
        <v/>
      </c>
      <c r="H355" s="636" t="n"/>
      <c r="I355" s="17" t="n"/>
      <c r="J355" s="554" t="inlineStr">
        <is>
          <t>тыс.т</t>
        </is>
      </c>
    </row>
    <row r="356" ht="20.1" customHeight="1" s="904">
      <c r="A356" s="545" t="n"/>
      <c r="B356" s="909" t="n"/>
      <c r="C356" s="737" t="inlineStr">
        <is>
          <t>в т.ч. марка М</t>
        </is>
      </c>
      <c r="D356" s="15" t="n"/>
      <c r="E356" s="15" t="n"/>
      <c r="F356" s="16" t="n"/>
      <c r="G356" s="17" t="inlineStr">
        <is>
          <t>1_100330071</t>
        </is>
      </c>
      <c r="H356" s="636" t="n"/>
      <c r="I356" s="17" t="n"/>
      <c r="J356" s="554" t="inlineStr">
        <is>
          <t>тыс.т</t>
        </is>
      </c>
    </row>
    <row r="357" ht="20.1" customHeight="1" s="904">
      <c r="A357" s="545" t="n"/>
      <c r="B357" s="909" t="n"/>
      <c r="C357" s="737" t="inlineStr">
        <is>
          <t>марка С</t>
        </is>
      </c>
      <c r="D357" s="15" t="n"/>
      <c r="E357" s="15" t="n"/>
      <c r="F357" s="16" t="n"/>
      <c r="G357" s="17" t="inlineStr">
        <is>
          <t>1_100330070</t>
        </is>
      </c>
      <c r="H357" s="636" t="n"/>
      <c r="I357" s="17" t="n"/>
      <c r="J357" s="554" t="inlineStr">
        <is>
          <t>тыс.т</t>
        </is>
      </c>
    </row>
    <row r="358" ht="20.1" customHeight="1" s="904">
      <c r="A358" s="545" t="n"/>
      <c r="B358" s="909" t="n"/>
      <c r="C358" s="737" t="inlineStr">
        <is>
          <t>марка СМ</t>
        </is>
      </c>
      <c r="D358" s="15" t="n"/>
      <c r="E358" s="15" t="n"/>
      <c r="F358" s="16" t="n"/>
      <c r="G358" s="17" t="inlineStr">
        <is>
          <t>1_100337112</t>
        </is>
      </c>
      <c r="H358" s="636" t="n"/>
      <c r="I358" s="17" t="n"/>
      <c r="J358" s="554" t="inlineStr">
        <is>
          <t>тыс.т</t>
        </is>
      </c>
    </row>
    <row r="359" ht="20.1" customHeight="1" s="904">
      <c r="A359" s="545" t="n"/>
      <c r="B359" s="20" t="inlineStr">
        <is>
          <t>4.2.</t>
        </is>
      </c>
      <c r="C359" s="28" t="inlineStr">
        <is>
          <t>Дочерние общества</t>
        </is>
      </c>
      <c r="D359" s="15" t="n"/>
      <c r="E359" s="15" t="n"/>
      <c r="F359" s="16" t="n"/>
      <c r="G359" s="17" t="n"/>
      <c r="H359" s="636" t="n"/>
      <c r="I359" s="17" t="n"/>
      <c r="J359" s="24" t="n"/>
    </row>
    <row r="360" ht="20.1" customHeight="1" s="904">
      <c r="A360" s="545" t="n"/>
      <c r="B360" s="909" t="n"/>
      <c r="C360" s="781" t="inlineStr">
        <is>
          <t>Газпром переработка</t>
        </is>
      </c>
      <c r="D360" s="15" t="n"/>
      <c r="E360" s="15" t="n"/>
      <c r="F360" s="16" t="n"/>
      <c r="G360" s="17">
        <f>G361+G363</f>
        <v/>
      </c>
      <c r="H360" s="636" t="n"/>
      <c r="I360" s="17" t="n"/>
      <c r="J360" s="24" t="inlineStr">
        <is>
          <t>тыс.т</t>
        </is>
      </c>
    </row>
    <row r="361" ht="20.1" customHeight="1" s="904">
      <c r="A361" s="545" t="n"/>
      <c r="B361" s="909" t="n"/>
      <c r="C361" s="27" t="inlineStr">
        <is>
          <t>Астраханский ГПЗ</t>
        </is>
      </c>
      <c r="D361" s="15" t="n"/>
      <c r="E361" s="15" t="n"/>
      <c r="F361" s="16" t="n"/>
      <c r="G361" s="17">
        <f>G362</f>
        <v/>
      </c>
      <c r="H361" s="636" t="n"/>
      <c r="I361" s="17" t="n"/>
      <c r="J361" s="549" t="inlineStr">
        <is>
          <t>тыс.т</t>
        </is>
      </c>
    </row>
    <row r="362" ht="20.1" customHeight="1" s="904">
      <c r="A362" s="545" t="n"/>
      <c r="B362" s="909" t="n"/>
      <c r="C362" s="737" t="inlineStr">
        <is>
          <t>в т.ч. на стн ГПП</t>
        </is>
      </c>
      <c r="D362" s="15" t="n"/>
      <c r="E362" s="15" t="n"/>
      <c r="F362" s="16" t="n"/>
      <c r="G362" s="17" t="n"/>
      <c r="H362" s="636" t="n"/>
      <c r="I362" s="17" t="n"/>
      <c r="J362" s="554" t="inlineStr">
        <is>
          <t>тыс.т</t>
        </is>
      </c>
    </row>
    <row r="363" ht="20.1" customHeight="1" s="904">
      <c r="A363" s="545" t="n"/>
      <c r="B363" s="909" t="n"/>
      <c r="C363" s="27" t="inlineStr">
        <is>
          <t xml:space="preserve"> Оренбургский ГХК</t>
        </is>
      </c>
      <c r="D363" s="15" t="n"/>
      <c r="E363" s="15" t="n"/>
      <c r="F363" s="16" t="n"/>
      <c r="G363" s="17">
        <f>G365+G366+G367</f>
        <v/>
      </c>
      <c r="H363" s="636" t="n"/>
      <c r="I363" s="17" t="n"/>
      <c r="J363" s="549" t="inlineStr">
        <is>
          <t>тыс.т</t>
        </is>
      </c>
    </row>
    <row r="364" ht="20.1" customHeight="1" s="904">
      <c r="A364" s="545" t="n"/>
      <c r="B364" s="909" t="n"/>
      <c r="C364" s="737" t="inlineStr">
        <is>
          <t>из нее гранулированная</t>
        </is>
      </c>
      <c r="D364" s="15" t="n"/>
      <c r="E364" s="15" t="n"/>
      <c r="F364" s="16" t="n"/>
      <c r="G364" s="17" t="inlineStr">
        <is>
          <t>2_100332193</t>
        </is>
      </c>
      <c r="H364" s="636" t="n"/>
      <c r="I364" s="17" t="n"/>
      <c r="J364" s="554" t="inlineStr">
        <is>
          <t>тыс.т</t>
        </is>
      </c>
    </row>
    <row r="365" ht="20.1" customHeight="1" s="904">
      <c r="A365" s="545" t="n"/>
      <c r="B365" s="909" t="n"/>
      <c r="C365" s="737" t="inlineStr">
        <is>
          <t>в т. ч. Газпром добыча Оренбург</t>
        </is>
      </c>
      <c r="D365" s="15" t="n"/>
      <c r="E365" s="15" t="n"/>
      <c r="F365" s="16" t="n"/>
      <c r="G365" s="17" t="inlineStr">
        <is>
          <t>2_100332192</t>
        </is>
      </c>
      <c r="H365" s="636" t="n"/>
      <c r="I365" s="17" t="n"/>
      <c r="J365" s="554" t="inlineStr">
        <is>
          <t>тыс.т</t>
        </is>
      </c>
    </row>
    <row r="366" ht="20.1" customHeight="1" s="904">
      <c r="A366" s="545" t="n"/>
      <c r="B366" s="909" t="n"/>
      <c r="C366" s="737" t="inlineStr">
        <is>
          <t>Газпром нефть</t>
        </is>
      </c>
      <c r="D366" s="15" t="n"/>
      <c r="E366" s="15" t="n"/>
      <c r="F366" s="16" t="n"/>
      <c r="G366" s="17" t="inlineStr">
        <is>
          <t>2_100332194</t>
        </is>
      </c>
      <c r="H366" s="636" t="n"/>
      <c r="I366" s="17" t="n"/>
      <c r="J366" s="554" t="inlineStr">
        <is>
          <t>тыс.т</t>
        </is>
      </c>
    </row>
    <row r="367" ht="20.1" customHeight="1" s="904">
      <c r="A367" s="545" t="n"/>
      <c r="B367" s="909" t="n"/>
      <c r="C367" s="553" t="inlineStr">
        <is>
          <t>прочие поставщики (ГПНЗ, УНГП, и.т.д.)</t>
        </is>
      </c>
      <c r="D367" s="15" t="n"/>
      <c r="E367" s="15" t="n"/>
      <c r="F367" s="16" t="n"/>
      <c r="G367" s="17" t="inlineStr">
        <is>
          <t>2_100332195</t>
        </is>
      </c>
      <c r="H367" s="636" t="n"/>
      <c r="I367" s="17" t="n"/>
      <c r="J367" s="554" t="inlineStr">
        <is>
          <t>тыс.т</t>
        </is>
      </c>
    </row>
    <row r="368" ht="20.1" customHeight="1" s="904">
      <c r="A368" s="545" t="n"/>
      <c r="B368" s="909" t="inlineStr">
        <is>
          <t>5.</t>
        </is>
      </c>
      <c r="C368" s="735" t="inlineStr">
        <is>
          <t>Широкая фракция легких углеводоров товарная</t>
        </is>
      </c>
      <c r="D368" s="15" t="n"/>
      <c r="E368" s="15" t="n"/>
      <c r="F368" s="16" t="n"/>
      <c r="G368" s="17" t="n"/>
      <c r="H368" s="636" t="n"/>
      <c r="I368" s="17" t="n"/>
      <c r="J368" s="24" t="n"/>
    </row>
    <row r="369" ht="20.1" customHeight="1" s="904">
      <c r="A369" s="545" t="n"/>
      <c r="B369" s="909" t="n"/>
      <c r="C369" s="781" t="inlineStr">
        <is>
          <t xml:space="preserve">   Газпром переработка</t>
        </is>
      </c>
      <c r="D369" s="15" t="n"/>
      <c r="E369" s="15" t="n"/>
      <c r="F369" s="16" t="n"/>
      <c r="G369" s="17">
        <f>G370+G372+G373+G371</f>
        <v/>
      </c>
      <c r="H369" s="636" t="n"/>
      <c r="I369" s="17" t="n"/>
      <c r="J369" s="24" t="inlineStr">
        <is>
          <t>тыс.т</t>
        </is>
      </c>
    </row>
    <row r="370" ht="20.1" customHeight="1" s="904">
      <c r="A370" s="545" t="n"/>
      <c r="B370" s="909" t="n"/>
      <c r="C370" s="27" t="inlineStr">
        <is>
          <t>Астраханский ГПЗ</t>
        </is>
      </c>
      <c r="D370" s="15" t="n"/>
      <c r="E370" s="15" t="n"/>
      <c r="F370" s="16" t="n"/>
      <c r="G370" s="17">
        <f>G376</f>
        <v/>
      </c>
      <c r="H370" s="636" t="n"/>
      <c r="I370" s="17" t="n"/>
      <c r="J370" s="549" t="inlineStr">
        <is>
          <t>тыс.т</t>
        </is>
      </c>
    </row>
    <row r="371" ht="20.1" customHeight="1" s="904">
      <c r="A371" s="545" t="n"/>
      <c r="B371" s="909" t="n"/>
      <c r="C371" s="27" t="inlineStr">
        <is>
          <t>Оренбургский ГХК</t>
        </is>
      </c>
      <c r="D371" s="15" t="n"/>
      <c r="E371" s="15" t="n"/>
      <c r="F371" s="16" t="n"/>
      <c r="G371" s="17">
        <f>G378</f>
        <v/>
      </c>
      <c r="H371" s="636" t="n"/>
      <c r="I371" s="17" t="n"/>
      <c r="J371" s="549" t="inlineStr">
        <is>
          <t>тыс.т</t>
        </is>
      </c>
    </row>
    <row r="372" ht="20.1" customHeight="1" s="904">
      <c r="A372" s="545" t="n"/>
      <c r="B372" s="909" t="n"/>
      <c r="C372" s="27" t="inlineStr">
        <is>
          <t xml:space="preserve">                Уренгойский ЗПКТ</t>
        </is>
      </c>
      <c r="D372" s="15" t="n"/>
      <c r="E372" s="15" t="n"/>
      <c r="F372" s="16" t="n"/>
      <c r="G372" s="17">
        <f>G382</f>
        <v/>
      </c>
      <c r="H372" s="636" t="n"/>
      <c r="I372" s="17" t="n"/>
      <c r="J372" s="549" t="inlineStr">
        <is>
          <t>тыс.т</t>
        </is>
      </c>
    </row>
    <row r="373" ht="20.1" customHeight="1" s="904">
      <c r="A373" s="545" t="n"/>
      <c r="B373" s="909" t="n"/>
      <c r="C373" s="27" t="inlineStr">
        <is>
          <t xml:space="preserve">    Сургутский ЗСК</t>
        </is>
      </c>
      <c r="D373" s="15" t="n"/>
      <c r="E373" s="15" t="n"/>
      <c r="F373" s="16" t="n"/>
      <c r="G373" s="17">
        <f>G383</f>
        <v/>
      </c>
      <c r="H373" s="636" t="n"/>
      <c r="I373" s="17" t="n"/>
      <c r="J373" s="549" t="inlineStr">
        <is>
          <t>тыс.т</t>
        </is>
      </c>
    </row>
    <row r="374" ht="20.1" customHeight="1" s="904">
      <c r="A374" s="545" t="n"/>
      <c r="B374" s="20" t="inlineStr">
        <is>
          <t>5.1.</t>
        </is>
      </c>
      <c r="C374" s="28" t="inlineStr">
        <is>
          <t>Газпром</t>
        </is>
      </c>
      <c r="D374" s="15" t="n"/>
      <c r="E374" s="15" t="n"/>
      <c r="F374" s="16" t="n"/>
      <c r="G374" s="17" t="n"/>
      <c r="H374" s="636" t="n"/>
      <c r="I374" s="17" t="n"/>
      <c r="J374" s="24" t="n"/>
    </row>
    <row r="375" ht="20.1" customHeight="1" s="904">
      <c r="A375" s="545" t="n"/>
      <c r="B375" s="909" t="n"/>
      <c r="C375" s="781" t="inlineStr">
        <is>
          <t xml:space="preserve">   Газпром переработка</t>
        </is>
      </c>
      <c r="D375" s="15" t="n"/>
      <c r="E375" s="15" t="n"/>
      <c r="F375" s="16" t="n"/>
      <c r="G375" s="17">
        <f>G376+G382+G383+G378</f>
        <v/>
      </c>
      <c r="H375" s="636" t="n"/>
      <c r="I375" s="17" t="n"/>
      <c r="J375" s="24" t="inlineStr">
        <is>
          <t>тыс.т</t>
        </is>
      </c>
    </row>
    <row r="376" ht="20.1" customHeight="1" s="904">
      <c r="A376" s="545" t="n"/>
      <c r="B376" s="909" t="n"/>
      <c r="C376" s="27" t="inlineStr">
        <is>
          <t>Астраханский ГПЗ</t>
        </is>
      </c>
      <c r="D376" s="15" t="n"/>
      <c r="E376" s="15" t="n"/>
      <c r="F376" s="16" t="n"/>
      <c r="G376" s="17" t="inlineStr">
        <is>
          <t>1_100332005</t>
        </is>
      </c>
      <c r="H376" s="636" t="n"/>
      <c r="I376" s="17" t="n"/>
      <c r="J376" s="549" t="inlineStr">
        <is>
          <t>тыс.т</t>
        </is>
      </c>
    </row>
    <row r="377" ht="20.1" customHeight="1" s="904">
      <c r="A377" s="545" t="n"/>
      <c r="B377" s="909" t="n"/>
      <c r="C377" s="737" t="inlineStr">
        <is>
          <t>с уч. содержания комп. стабильного конденсата</t>
        </is>
      </c>
      <c r="D377" s="15" t="n"/>
      <c r="E377" s="15" t="n"/>
      <c r="F377" s="16" t="n"/>
      <c r="G377" s="17">
        <f>G255</f>
        <v/>
      </c>
      <c r="H377" s="636" t="n"/>
      <c r="I377" s="17" t="n"/>
      <c r="J377" s="554" t="inlineStr">
        <is>
          <t>тыс.т</t>
        </is>
      </c>
    </row>
    <row r="378" ht="20.1" customHeight="1" s="904">
      <c r="A378" s="545" t="n"/>
      <c r="B378" s="909" t="n"/>
      <c r="C378" s="27" t="inlineStr">
        <is>
          <t xml:space="preserve"> Оренбургский ГХК</t>
        </is>
      </c>
      <c r="D378" s="15" t="n"/>
      <c r="E378" s="15" t="n"/>
      <c r="F378" s="16" t="n"/>
      <c r="G378" s="17">
        <f>G379+G380+G381</f>
        <v/>
      </c>
      <c r="H378" s="636" t="n"/>
      <c r="I378" s="17" t="n"/>
      <c r="J378" s="549" t="inlineStr">
        <is>
          <t>тыс.т</t>
        </is>
      </c>
    </row>
    <row r="379" ht="20.1" customHeight="1" s="904">
      <c r="A379" s="545" t="n"/>
      <c r="B379" s="909" t="n"/>
      <c r="C379" s="737" t="inlineStr">
        <is>
          <t>Газпром добыча Оренбург</t>
        </is>
      </c>
      <c r="D379" s="15" t="n"/>
      <c r="E379" s="15" t="n"/>
      <c r="F379" s="16" t="n"/>
      <c r="G379" s="17">
        <f>G248-G257</f>
        <v/>
      </c>
      <c r="H379" s="636" t="n"/>
      <c r="I379" s="17" t="n"/>
      <c r="J379" s="554" t="inlineStr">
        <is>
          <t>тыс.т</t>
        </is>
      </c>
    </row>
    <row r="380" ht="20.1" customHeight="1" s="904">
      <c r="A380" s="545" t="n"/>
      <c r="B380" s="909" t="n"/>
      <c r="C380" s="40" t="inlineStr">
        <is>
          <t>Газпром нефть</t>
        </is>
      </c>
      <c r="D380" s="15" t="n"/>
      <c r="E380" s="15" t="n"/>
      <c r="F380" s="16" t="n"/>
      <c r="G380" s="17">
        <f>G249-G258</f>
        <v/>
      </c>
      <c r="H380" s="636" t="n"/>
      <c r="I380" s="17" t="n"/>
      <c r="J380" s="554" t="inlineStr">
        <is>
          <t>тыс.т</t>
        </is>
      </c>
    </row>
    <row r="381" ht="20.1" customHeight="1" s="904">
      <c r="A381" s="545" t="n"/>
      <c r="B381" s="909" t="n"/>
      <c r="C381" s="553" t="inlineStr">
        <is>
          <t>прочие поставщики (ГПНЗ, УНГП, и.т.д.)</t>
        </is>
      </c>
      <c r="D381" s="15" t="n"/>
      <c r="E381" s="15" t="n"/>
      <c r="F381" s="16" t="n"/>
      <c r="G381" s="17" t="inlineStr">
        <is>
          <t>2_100335143</t>
        </is>
      </c>
      <c r="H381" s="636" t="n"/>
      <c r="I381" s="17" t="n"/>
      <c r="J381" s="554" t="inlineStr">
        <is>
          <t>тыс.т</t>
        </is>
      </c>
    </row>
    <row r="382" ht="20.1" customHeight="1" s="904">
      <c r="A382" s="545" t="n"/>
      <c r="B382" s="909" t="n"/>
      <c r="C382" s="27" t="inlineStr">
        <is>
          <t>Уренгойский ЗПКТ</t>
        </is>
      </c>
      <c r="D382" s="15" t="n"/>
      <c r="E382" s="15" t="n"/>
      <c r="F382" s="16" t="n"/>
      <c r="G382" s="17" t="inlineStr">
        <is>
          <t>4_100331888</t>
        </is>
      </c>
      <c r="H382" s="636" t="n"/>
      <c r="I382" s="17" t="n"/>
      <c r="J382" s="549" t="inlineStr">
        <is>
          <t>тыс.т</t>
        </is>
      </c>
    </row>
    <row r="383" ht="20.1" customHeight="1" s="904">
      <c r="A383" s="545" t="n"/>
      <c r="B383" s="909" t="n"/>
      <c r="C383" s="27" t="inlineStr">
        <is>
          <t xml:space="preserve">    Сургутский ЗСК</t>
        </is>
      </c>
      <c r="D383" s="15" t="n"/>
      <c r="E383" s="15" t="n"/>
      <c r="F383" s="16" t="n"/>
      <c r="G383" s="17" t="inlineStr">
        <is>
          <t>4_100331889</t>
        </is>
      </c>
      <c r="H383" s="636" t="n"/>
      <c r="I383" s="17" t="n"/>
      <c r="J383" s="549" t="inlineStr">
        <is>
          <t>тыс.т</t>
        </is>
      </c>
    </row>
    <row r="384" ht="20.1" customHeight="1" s="904">
      <c r="A384" s="545" t="n"/>
      <c r="B384" s="20" t="inlineStr">
        <is>
          <t>5.2.</t>
        </is>
      </c>
      <c r="C384" s="28" t="inlineStr">
        <is>
          <t>Дочерние общества</t>
        </is>
      </c>
      <c r="D384" s="15" t="n"/>
      <c r="E384" s="15" t="n"/>
      <c r="F384" s="16" t="n"/>
      <c r="G384" s="17">
        <f>0</f>
        <v/>
      </c>
      <c r="H384" s="636" t="n"/>
      <c r="I384" s="17" t="n"/>
      <c r="J384" s="24" t="inlineStr">
        <is>
          <t>тыс.т</t>
        </is>
      </c>
    </row>
    <row r="385" ht="20.1" customHeight="1" s="904">
      <c r="A385" s="545" t="n"/>
      <c r="B385" s="909" t="inlineStr">
        <is>
          <t>6.</t>
        </is>
      </c>
      <c r="C385" s="735" t="inlineStr">
        <is>
          <t xml:space="preserve">Газы углеводородные сжиженные </t>
        </is>
      </c>
      <c r="D385" s="15" t="n"/>
      <c r="E385" s="15" t="n"/>
      <c r="F385" s="16" t="n"/>
      <c r="G385" s="17">
        <f>G386+G394+G396+G397</f>
        <v/>
      </c>
      <c r="H385" s="636" t="n"/>
      <c r="I385" s="17" t="n"/>
      <c r="J385" s="24" t="inlineStr">
        <is>
          <t>тыс.т</t>
        </is>
      </c>
    </row>
    <row r="386" ht="20.1" customHeight="1" s="904">
      <c r="A386" s="545" t="n"/>
      <c r="B386" s="909" t="n"/>
      <c r="C386" s="781" t="inlineStr">
        <is>
          <t xml:space="preserve">   Газпром переработка</t>
        </is>
      </c>
      <c r="D386" s="15" t="n"/>
      <c r="E386" s="15" t="n"/>
      <c r="F386" s="16" t="n"/>
      <c r="G386" s="17">
        <f>G388+G391+G392+G393+G387</f>
        <v/>
      </c>
      <c r="H386" s="636" t="n"/>
      <c r="I386" s="17" t="n"/>
      <c r="J386" s="24" t="inlineStr">
        <is>
          <t>тыс.т</t>
        </is>
      </c>
    </row>
    <row r="387" ht="20.1" customHeight="1" s="904">
      <c r="A387" s="545" t="n"/>
      <c r="B387" s="909" t="n"/>
      <c r="C387" s="27" t="inlineStr">
        <is>
          <t xml:space="preserve">Астраханский ГПЗ </t>
        </is>
      </c>
      <c r="D387" s="15" t="n"/>
      <c r="E387" s="15" t="n"/>
      <c r="F387" s="16" t="n"/>
      <c r="G387" s="17">
        <f>G400</f>
        <v/>
      </c>
      <c r="H387" s="636" t="n"/>
      <c r="I387" s="17" t="n"/>
      <c r="J387" s="549" t="inlineStr">
        <is>
          <t>тыс.т</t>
        </is>
      </c>
    </row>
    <row r="388" ht="20.1" customHeight="1" s="904">
      <c r="A388" s="545" t="n"/>
      <c r="B388" s="909" t="n"/>
      <c r="C388" s="27" t="inlineStr">
        <is>
          <t>Оренбургский ГХК</t>
        </is>
      </c>
      <c r="D388" s="15" t="n"/>
      <c r="E388" s="15" t="n"/>
      <c r="F388" s="16" t="n"/>
      <c r="G388" s="17">
        <f>G401+G427+G435</f>
        <v/>
      </c>
      <c r="H388" s="636" t="n"/>
      <c r="I388" s="17" t="n"/>
      <c r="J388" s="549" t="inlineStr">
        <is>
          <t>тыс.т</t>
        </is>
      </c>
    </row>
    <row r="389" ht="20.1" customHeight="1" s="904">
      <c r="A389" s="545" t="n"/>
      <c r="B389" s="909" t="n"/>
      <c r="C389" s="738" t="inlineStr">
        <is>
          <t>ГПЗ</t>
        </is>
      </c>
      <c r="D389" s="15" t="n"/>
      <c r="E389" s="15" t="n"/>
      <c r="F389" s="16" t="n"/>
      <c r="G389" s="17" t="inlineStr">
        <is>
          <t>2_100332217+2_100332219+2_100335147+2_100332220+2_100332226</t>
        </is>
      </c>
      <c r="H389" s="636" t="n"/>
      <c r="I389" s="17" t="n"/>
      <c r="J389" s="554" t="inlineStr">
        <is>
          <t>тыс.т</t>
        </is>
      </c>
    </row>
    <row r="390" ht="20.1" customHeight="1" s="904">
      <c r="A390" s="545" t="n"/>
      <c r="B390" s="909" t="n"/>
      <c r="C390" s="738" t="inlineStr">
        <is>
          <t>ГЗ</t>
        </is>
      </c>
      <c r="D390" s="15" t="n"/>
      <c r="E390" s="15" t="n"/>
      <c r="F390" s="16" t="n"/>
      <c r="G390" s="17" t="inlineStr">
        <is>
          <t>2_100330955+2_100330956+2_100335148</t>
        </is>
      </c>
      <c r="H390" s="636" t="n"/>
      <c r="I390" s="17" t="n"/>
      <c r="J390" s="554" t="inlineStr">
        <is>
          <t>тыс.т</t>
        </is>
      </c>
    </row>
    <row r="391" ht="20.1" customHeight="1" s="904">
      <c r="A391" s="545" t="n"/>
      <c r="B391" s="909" t="n"/>
      <c r="C391" s="27" t="inlineStr">
        <is>
          <t xml:space="preserve">   Сосногорский ГПЗ</t>
        </is>
      </c>
      <c r="D391" s="15" t="n"/>
      <c r="E391" s="15" t="n"/>
      <c r="F391" s="16" t="n"/>
      <c r="G391" s="17">
        <f>G410+G438</f>
        <v/>
      </c>
      <c r="H391" s="636" t="n"/>
      <c r="I391" s="17" t="n"/>
      <c r="J391" s="549" t="inlineStr">
        <is>
          <t>тыс.т</t>
        </is>
      </c>
    </row>
    <row r="392" ht="20.1" customHeight="1" s="904">
      <c r="A392" s="545" t="n"/>
      <c r="B392" s="909" t="n"/>
      <c r="C392" s="27" t="inlineStr">
        <is>
          <t>Уренгойский ЗПКТ</t>
        </is>
      </c>
      <c r="D392" s="15" t="n"/>
      <c r="E392" s="15" t="n"/>
      <c r="F392" s="16" t="n"/>
      <c r="G392" s="17">
        <f>G411</f>
        <v/>
      </c>
      <c r="H392" s="636" t="n"/>
      <c r="I392" s="17" t="n"/>
      <c r="J392" s="549" t="inlineStr">
        <is>
          <t>тыс.т</t>
        </is>
      </c>
    </row>
    <row r="393" ht="20.1" customHeight="1" s="904">
      <c r="A393" s="545" t="n"/>
      <c r="B393" s="909" t="n"/>
      <c r="C393" s="27" t="inlineStr">
        <is>
          <t xml:space="preserve">                Сургутский ЗСК</t>
        </is>
      </c>
      <c r="D393" s="15" t="n"/>
      <c r="E393" s="15" t="n"/>
      <c r="F393" s="16" t="n"/>
      <c r="G393" s="17">
        <f>G414</f>
        <v/>
      </c>
      <c r="H393" s="636" t="n"/>
      <c r="I393" s="17" t="n"/>
      <c r="J393" s="549" t="inlineStr">
        <is>
          <t>тыс.т</t>
        </is>
      </c>
    </row>
    <row r="394" ht="20.1" customHeight="1" s="904">
      <c r="A394" s="545" t="n"/>
      <c r="B394" s="909" t="n"/>
      <c r="C394" s="781" t="inlineStr">
        <is>
          <t xml:space="preserve"> Газпром переработка Благовещенск</t>
        </is>
      </c>
      <c r="D394" s="15" t="n"/>
      <c r="E394" s="15" t="n"/>
      <c r="F394" s="16" t="n"/>
      <c r="G394" s="17">
        <f>G395</f>
        <v/>
      </c>
      <c r="H394" s="636" t="n"/>
      <c r="I394" s="17" t="n"/>
      <c r="J394" s="24" t="inlineStr">
        <is>
          <t>тыс.т</t>
        </is>
      </c>
    </row>
    <row r="395" ht="20.1" customHeight="1" s="904">
      <c r="A395" s="545" t="n"/>
      <c r="B395" s="909" t="n"/>
      <c r="C395" s="27" t="inlineStr">
        <is>
          <t xml:space="preserve"> Амурский ГПЗ</t>
        </is>
      </c>
      <c r="D395" s="15" t="n"/>
      <c r="E395" s="15" t="n"/>
      <c r="F395" s="16" t="n"/>
      <c r="G395" s="17">
        <f>G419</f>
        <v/>
      </c>
      <c r="H395" s="636" t="n"/>
      <c r="I395" s="17" t="n"/>
      <c r="J395" s="549" t="inlineStr">
        <is>
          <t>тыс.т</t>
        </is>
      </c>
    </row>
    <row r="396" ht="20.1" customHeight="1" s="904">
      <c r="A396" s="545" t="n"/>
      <c r="B396" s="909" t="n"/>
      <c r="C396" s="781" t="inlineStr">
        <is>
          <t xml:space="preserve">   Газпром добыча Ямбург</t>
        </is>
      </c>
      <c r="D396" s="15" t="n"/>
      <c r="E396" s="15" t="n"/>
      <c r="F396" s="16" t="n"/>
      <c r="G396" s="17">
        <f>G433</f>
        <v/>
      </c>
      <c r="H396" s="636" t="n"/>
      <c r="I396" s="17" t="n"/>
      <c r="J396" s="24" t="inlineStr">
        <is>
          <t>тыс.т</t>
        </is>
      </c>
    </row>
    <row r="397" ht="20.1" customHeight="1" s="904">
      <c r="A397" s="545" t="n"/>
      <c r="B397" s="909" t="n"/>
      <c r="C397" s="781" t="inlineStr">
        <is>
          <t>Газпром добыча Иркутск (ПБТ/ПБА)</t>
        </is>
      </c>
      <c r="D397" s="15" t="n"/>
      <c r="E397" s="15" t="n"/>
      <c r="F397" s="16" t="n"/>
      <c r="G397" s="17">
        <f>G423</f>
        <v/>
      </c>
      <c r="H397" s="636" t="n"/>
      <c r="I397" s="17" t="n"/>
      <c r="J397" s="24" t="inlineStr">
        <is>
          <t>тыс.т</t>
        </is>
      </c>
    </row>
    <row r="398" ht="20.1" customHeight="1" s="904">
      <c r="A398" s="545" t="n"/>
      <c r="B398" s="20" t="inlineStr">
        <is>
          <t>6.1.</t>
        </is>
      </c>
      <c r="C398" s="28" t="inlineStr">
        <is>
          <t>Газпром</t>
        </is>
      </c>
      <c r="D398" s="15" t="n"/>
      <c r="E398" s="15" t="n"/>
      <c r="F398" s="16" t="n"/>
      <c r="G398" s="17">
        <f>G399+G423+G418</f>
        <v/>
      </c>
      <c r="H398" s="636" t="n"/>
      <c r="I398" s="17" t="n"/>
      <c r="J398" s="24" t="inlineStr">
        <is>
          <t>тыс.т</t>
        </is>
      </c>
    </row>
    <row r="399" ht="20.1" customHeight="1" s="904">
      <c r="A399" s="545" t="n"/>
      <c r="B399" s="909" t="n"/>
      <c r="C399" s="781" t="inlineStr">
        <is>
          <t xml:space="preserve">   Газпром переработка</t>
        </is>
      </c>
      <c r="D399" s="15" t="n"/>
      <c r="E399" s="15" t="n"/>
      <c r="F399" s="16" t="n"/>
      <c r="G399" s="17">
        <f>G400+G401+G410+G411+G414</f>
        <v/>
      </c>
      <c r="H399" s="636" t="n"/>
      <c r="I399" s="17" t="n"/>
      <c r="J399" s="24" t="inlineStr">
        <is>
          <t>тыс.т</t>
        </is>
      </c>
    </row>
    <row r="400" ht="20.1" customHeight="1" s="904">
      <c r="A400" s="545" t="n"/>
      <c r="B400" s="909" t="n"/>
      <c r="C400" s="27" t="inlineStr">
        <is>
          <t>Астраханский ГПЗ (ПБТ/ПБА)</t>
        </is>
      </c>
      <c r="D400" s="15" t="n"/>
      <c r="E400" s="15" t="n"/>
      <c r="F400" s="16" t="n"/>
      <c r="G400" s="17" t="inlineStr">
        <is>
          <t>1_100332010</t>
        </is>
      </c>
      <c r="H400" s="636" t="n"/>
      <c r="I400" s="17" t="n"/>
      <c r="J400" s="549" t="inlineStr">
        <is>
          <t>тыс.т</t>
        </is>
      </c>
    </row>
    <row r="401" ht="20.1" customHeight="1" s="904">
      <c r="A401" s="545" t="n"/>
      <c r="B401" s="909" t="n"/>
      <c r="C401" s="27" t="inlineStr">
        <is>
          <t xml:space="preserve"> Оренбургский ГХК (ПБТ/ПБА)</t>
        </is>
      </c>
      <c r="D401" s="15" t="n"/>
      <c r="E401" s="15" t="n"/>
      <c r="F401" s="16" t="n"/>
      <c r="G401" s="17">
        <f>G402+G405+G408</f>
        <v/>
      </c>
      <c r="H401" s="636" t="n"/>
      <c r="I401" s="17" t="n"/>
      <c r="J401" s="549" t="inlineStr">
        <is>
          <t>тыс.т</t>
        </is>
      </c>
    </row>
    <row r="402" ht="20.1" customHeight="1" s="904">
      <c r="A402" s="545" t="n"/>
      <c r="B402" s="909" t="n"/>
      <c r="C402" s="737" t="inlineStr">
        <is>
          <t>Газпром добыча Оренбург</t>
        </is>
      </c>
      <c r="D402" s="15" t="n"/>
      <c r="E402" s="15" t="n"/>
      <c r="F402" s="16" t="n"/>
      <c r="G402" s="17">
        <f>G403+G404</f>
        <v/>
      </c>
      <c r="H402" s="636" t="n"/>
      <c r="I402" s="17" t="n"/>
      <c r="J402" s="554" t="inlineStr">
        <is>
          <t>тыс.т</t>
        </is>
      </c>
    </row>
    <row r="403" ht="20.1" customHeight="1" s="904">
      <c r="A403" s="545" t="n"/>
      <c r="B403" s="909" t="n"/>
      <c r="C403" s="737" t="inlineStr">
        <is>
          <t>в т.ч. ПБТ/ПБА</t>
        </is>
      </c>
      <c r="D403" s="15" t="n"/>
      <c r="E403" s="15" t="n"/>
      <c r="F403" s="16" t="n"/>
      <c r="G403" s="17" t="inlineStr">
        <is>
          <t>2_100332216</t>
        </is>
      </c>
      <c r="H403" s="636" t="n"/>
      <c r="I403" s="17" t="n"/>
      <c r="J403" s="554" t="inlineStr">
        <is>
          <t>тыс.т</t>
        </is>
      </c>
    </row>
    <row r="404" ht="20.1" customHeight="1" s="904">
      <c r="A404" s="545" t="n"/>
      <c r="B404" s="909" t="n"/>
      <c r="C404" s="737" t="inlineStr">
        <is>
          <t>бутан</t>
        </is>
      </c>
      <c r="D404" s="15" t="n"/>
      <c r="E404" s="15" t="n"/>
      <c r="F404" s="16" t="n"/>
      <c r="G404" s="17" t="n"/>
      <c r="H404" s="636" t="n"/>
      <c r="I404" s="17" t="n"/>
      <c r="J404" s="554" t="inlineStr">
        <is>
          <t>тыс.т</t>
        </is>
      </c>
    </row>
    <row r="405" ht="20.1" customHeight="1" s="904">
      <c r="A405" s="545" t="n"/>
      <c r="B405" s="909" t="n"/>
      <c r="C405" s="737" t="inlineStr">
        <is>
          <t>Газпром нефть</t>
        </is>
      </c>
      <c r="D405" s="15" t="n"/>
      <c r="E405" s="15" t="n"/>
      <c r="F405" s="16" t="n"/>
      <c r="G405" s="17">
        <f>G406+G407</f>
        <v/>
      </c>
      <c r="H405" s="636" t="n"/>
      <c r="I405" s="17" t="n"/>
      <c r="J405" s="554" t="inlineStr">
        <is>
          <t>тыс.т</t>
        </is>
      </c>
    </row>
    <row r="406" ht="20.1" customHeight="1" s="904">
      <c r="A406" s="545" t="n"/>
      <c r="B406" s="909" t="n"/>
      <c r="C406" s="737" t="inlineStr">
        <is>
          <t>в т.ч. ПБТ/ПБА</t>
        </is>
      </c>
      <c r="D406" s="15" t="n"/>
      <c r="E406" s="15" t="n"/>
      <c r="F406" s="16" t="n"/>
      <c r="G406" s="17" t="inlineStr">
        <is>
          <t>2_100332218</t>
        </is>
      </c>
      <c r="H406" s="636" t="n"/>
      <c r="I406" s="17" t="n"/>
      <c r="J406" s="554" t="inlineStr">
        <is>
          <t>тыс.т</t>
        </is>
      </c>
    </row>
    <row r="407" ht="20.1" customHeight="1" s="904">
      <c r="A407" s="545" t="n"/>
      <c r="B407" s="909" t="n"/>
      <c r="C407" s="737" t="inlineStr">
        <is>
          <t>бутан</t>
        </is>
      </c>
      <c r="D407" s="15" t="n"/>
      <c r="E407" s="15" t="n"/>
      <c r="F407" s="16" t="n"/>
      <c r="G407" s="17" t="n"/>
      <c r="H407" s="636" t="n"/>
      <c r="I407" s="17" t="n"/>
      <c r="J407" s="554" t="inlineStr">
        <is>
          <t>тыс.т</t>
        </is>
      </c>
    </row>
    <row r="408" ht="20.1" customHeight="1" s="904">
      <c r="A408" s="545" t="n"/>
      <c r="B408" s="909" t="n"/>
      <c r="C408" s="553" t="inlineStr">
        <is>
          <t>прочие поставщики (ГПНЗ, УНГП, и.т.д.)</t>
        </is>
      </c>
      <c r="D408" s="15" t="n"/>
      <c r="E408" s="15" t="n"/>
      <c r="F408" s="16" t="n"/>
      <c r="G408" s="17">
        <f>G409</f>
        <v/>
      </c>
      <c r="H408" s="636" t="n"/>
      <c r="I408" s="17" t="n"/>
      <c r="J408" s="554" t="inlineStr">
        <is>
          <t>тыс.т</t>
        </is>
      </c>
    </row>
    <row r="409" ht="20.1" customHeight="1" s="904">
      <c r="A409" s="545" t="n"/>
      <c r="B409" s="909" t="n"/>
      <c r="C409" s="737" t="inlineStr">
        <is>
          <t>в т.ч. ПБТ/ПБА</t>
        </is>
      </c>
      <c r="D409" s="15" t="n"/>
      <c r="E409" s="15" t="n"/>
      <c r="F409" s="16" t="n"/>
      <c r="G409" s="17" t="inlineStr">
        <is>
          <t>2_100335146</t>
        </is>
      </c>
      <c r="H409" s="636" t="n"/>
      <c r="I409" s="17" t="n"/>
      <c r="J409" s="554" t="inlineStr">
        <is>
          <t>тыс.т</t>
        </is>
      </c>
    </row>
    <row r="410" ht="20.1" customHeight="1" s="904">
      <c r="A410" s="545" t="n"/>
      <c r="B410" s="909" t="n"/>
      <c r="C410" s="27" t="inlineStr">
        <is>
          <t xml:space="preserve">   Сосногорский ГПЗ (ПБТ/ПБА)</t>
        </is>
      </c>
      <c r="D410" s="15" t="n"/>
      <c r="E410" s="15" t="n"/>
      <c r="F410" s="16" t="n"/>
      <c r="G410" s="17" t="inlineStr">
        <is>
          <t>3_100332287</t>
        </is>
      </c>
      <c r="H410" s="636" t="n"/>
      <c r="I410" s="17" t="n"/>
      <c r="J410" s="549" t="inlineStr">
        <is>
          <t>тыс.т</t>
        </is>
      </c>
    </row>
    <row r="411" ht="20.1" customHeight="1" s="904">
      <c r="A411" s="545" t="n"/>
      <c r="B411" s="909" t="n"/>
      <c r="C411" s="27" t="inlineStr">
        <is>
          <t>Уренгойский ЗПКТ</t>
        </is>
      </c>
      <c r="D411" s="15" t="n"/>
      <c r="E411" s="15" t="n"/>
      <c r="F411" s="16" t="n"/>
      <c r="G411" s="17" t="inlineStr">
        <is>
          <t>4_100331900</t>
        </is>
      </c>
      <c r="H411" s="636" t="n"/>
      <c r="I411" s="17" t="n"/>
      <c r="J411" s="549" t="inlineStr">
        <is>
          <t>тыс.т</t>
        </is>
      </c>
    </row>
    <row r="412" ht="20.1" customHeight="1" s="904">
      <c r="A412" s="545" t="n"/>
      <c r="B412" s="909" t="n"/>
      <c r="C412" s="737" t="inlineStr">
        <is>
          <t xml:space="preserve">   в т. ч. фракция пропановая </t>
        </is>
      </c>
      <c r="D412" s="15" t="n"/>
      <c r="E412" s="15" t="n"/>
      <c r="F412" s="16" t="n"/>
      <c r="G412" s="17" t="inlineStr">
        <is>
          <t>4_100332910</t>
        </is>
      </c>
      <c r="H412" s="636" t="n"/>
      <c r="I412" s="17" t="n"/>
      <c r="J412" s="554" t="inlineStr">
        <is>
          <t>тыс.т</t>
        </is>
      </c>
    </row>
    <row r="413" ht="20.1" customHeight="1" s="904">
      <c r="A413" s="545" t="n"/>
      <c r="B413" s="909" t="n"/>
      <c r="C413" s="737" t="inlineStr">
        <is>
          <t>ПБТ/ПБА</t>
        </is>
      </c>
      <c r="D413" s="15" t="n"/>
      <c r="E413" s="15" t="n"/>
      <c r="F413" s="16" t="n"/>
      <c r="G413" s="17" t="inlineStr">
        <is>
          <t>4_100335420</t>
        </is>
      </c>
      <c r="H413" s="636" t="n"/>
      <c r="I413" s="17" t="n"/>
      <c r="J413" s="554" t="inlineStr">
        <is>
          <t>тыс.т</t>
        </is>
      </c>
    </row>
    <row r="414" ht="20.1" customHeight="1" s="904">
      <c r="A414" s="545" t="n"/>
      <c r="B414" s="909" t="n"/>
      <c r="C414" s="27" t="inlineStr">
        <is>
          <t xml:space="preserve">                Сургутский ЗСК</t>
        </is>
      </c>
      <c r="D414" s="15" t="n"/>
      <c r="E414" s="15" t="n"/>
      <c r="F414" s="16" t="n"/>
      <c r="G414" s="17" t="inlineStr">
        <is>
          <t>4_100331901</t>
        </is>
      </c>
      <c r="H414" s="636" t="n"/>
      <c r="I414" s="17" t="n"/>
      <c r="J414" s="549" t="inlineStr">
        <is>
          <t>тыс.т</t>
        </is>
      </c>
    </row>
    <row r="415" ht="20.1" customHeight="1" s="904">
      <c r="A415" s="545" t="n"/>
      <c r="B415" s="909" t="n"/>
      <c r="C415" s="737" t="inlineStr">
        <is>
          <t xml:space="preserve">   в т.ч. ПБТ</t>
        </is>
      </c>
      <c r="D415" s="15" t="n"/>
      <c r="E415" s="15" t="n"/>
      <c r="F415" s="16" t="n"/>
      <c r="G415" s="17" t="inlineStr">
        <is>
          <t>4_100332911</t>
        </is>
      </c>
      <c r="H415" s="636" t="n"/>
      <c r="I415" s="17" t="n"/>
      <c r="J415" s="554" t="inlineStr">
        <is>
          <t>тыс.т</t>
        </is>
      </c>
    </row>
    <row r="416" ht="20.1" customHeight="1" s="904">
      <c r="A416" s="545" t="n"/>
      <c r="B416" s="909" t="n"/>
      <c r="C416" s="737" t="inlineStr">
        <is>
          <t>пропан</t>
        </is>
      </c>
      <c r="D416" s="15" t="n"/>
      <c r="E416" s="15" t="n"/>
      <c r="F416" s="16" t="n"/>
      <c r="G416" s="17" t="inlineStr">
        <is>
          <t>4_100332912</t>
        </is>
      </c>
      <c r="H416" s="636" t="n"/>
      <c r="I416" s="17" t="n"/>
      <c r="J416" s="554" t="inlineStr">
        <is>
          <t>тыс.т</t>
        </is>
      </c>
    </row>
    <row r="417" ht="20.1" customHeight="1" s="904">
      <c r="A417" s="545" t="n"/>
      <c r="B417" s="909" t="n"/>
      <c r="C417" s="737" t="inlineStr">
        <is>
          <t xml:space="preserve">              бутан</t>
        </is>
      </c>
      <c r="D417" s="15" t="n"/>
      <c r="E417" s="15" t="n"/>
      <c r="F417" s="16" t="n"/>
      <c r="G417" s="17" t="inlineStr">
        <is>
          <t>4_100332913</t>
        </is>
      </c>
      <c r="H417" s="636" t="n"/>
      <c r="I417" s="17" t="n"/>
      <c r="J417" s="554" t="inlineStr">
        <is>
          <t>тыс.т</t>
        </is>
      </c>
    </row>
    <row r="418" ht="20.1" customHeight="1" s="904">
      <c r="A418" s="545" t="n"/>
      <c r="B418" s="909" t="n"/>
      <c r="C418" s="781" t="inlineStr">
        <is>
          <t xml:space="preserve"> Газпром переработка Благовещенск</t>
        </is>
      </c>
      <c r="D418" s="15" t="n"/>
      <c r="E418" s="15" t="n"/>
      <c r="F418" s="16" t="n"/>
      <c r="G418" s="17">
        <f>G419</f>
        <v/>
      </c>
      <c r="H418" s="636" t="n"/>
      <c r="I418" s="17" t="n"/>
      <c r="J418" s="24" t="inlineStr">
        <is>
          <t>тыс.т</t>
        </is>
      </c>
    </row>
    <row r="419" ht="20.1" customHeight="1" s="904">
      <c r="A419" s="545" t="n"/>
      <c r="B419" s="909" t="n"/>
      <c r="C419" s="27" t="inlineStr">
        <is>
          <t xml:space="preserve"> Амурский ГПЗ</t>
        </is>
      </c>
      <c r="D419" s="15" t="n"/>
      <c r="E419" s="15" t="n"/>
      <c r="F419" s="16" t="n"/>
      <c r="G419" s="17">
        <f>G420+G421+G422</f>
        <v/>
      </c>
      <c r="H419" s="636" t="n"/>
      <c r="I419" s="17" t="n"/>
      <c r="J419" s="549" t="inlineStr">
        <is>
          <t>тыс.т</t>
        </is>
      </c>
    </row>
    <row r="420" ht="20.1" customHeight="1" s="904">
      <c r="A420" s="545" t="n"/>
      <c r="B420" s="909" t="n"/>
      <c r="C420" s="737" t="inlineStr">
        <is>
          <t xml:space="preserve">   в т.ч. пропан</t>
        </is>
      </c>
      <c r="D420" s="15" t="n"/>
      <c r="E420" s="15" t="n"/>
      <c r="F420" s="16" t="n"/>
      <c r="G420" s="17" t="inlineStr">
        <is>
          <t>14_100332363</t>
        </is>
      </c>
      <c r="H420" s="636" t="n"/>
      <c r="I420" s="17" t="n"/>
      <c r="J420" s="554" t="inlineStr">
        <is>
          <t>тыс.т</t>
        </is>
      </c>
    </row>
    <row r="421" ht="20.1" customHeight="1" s="904">
      <c r="A421" s="545" t="n"/>
      <c r="B421" s="909" t="n"/>
      <c r="C421" s="737" t="inlineStr">
        <is>
          <t xml:space="preserve">              бутан</t>
        </is>
      </c>
      <c r="D421" s="15" t="n"/>
      <c r="E421" s="15" t="n"/>
      <c r="F421" s="16" t="n"/>
      <c r="G421" s="17" t="inlineStr">
        <is>
          <t>14_100332364</t>
        </is>
      </c>
      <c r="H421" s="636" t="n"/>
      <c r="I421" s="17" t="n"/>
      <c r="J421" s="554" t="inlineStr">
        <is>
          <t>тыс.т</t>
        </is>
      </c>
    </row>
    <row r="422" ht="20.1" customHeight="1" s="904">
      <c r="A422" s="545" t="n"/>
      <c r="B422" s="909" t="n"/>
      <c r="C422" s="737" t="inlineStr">
        <is>
          <t>ПБТ</t>
        </is>
      </c>
      <c r="D422" s="15" t="n"/>
      <c r="E422" s="15" t="n"/>
      <c r="F422" s="16" t="n"/>
      <c r="G422" s="17" t="inlineStr">
        <is>
          <t>14_100332365</t>
        </is>
      </c>
      <c r="H422" s="636" t="n"/>
      <c r="I422" s="17" t="n"/>
      <c r="J422" s="554" t="inlineStr">
        <is>
          <t>тыс.т</t>
        </is>
      </c>
    </row>
    <row r="423" ht="20.1" customHeight="1" s="904">
      <c r="A423" s="545" t="n"/>
      <c r="B423" s="909" t="n"/>
      <c r="C423" s="781" t="inlineStr">
        <is>
          <t>Газпром добыча Иркутск (ПБТ)</t>
        </is>
      </c>
      <c r="D423" s="15" t="n"/>
      <c r="E423" s="15" t="n"/>
      <c r="F423" s="16" t="n"/>
      <c r="G423" s="17">
        <f>G424</f>
        <v/>
      </c>
      <c r="H423" s="636" t="n"/>
      <c r="I423" s="17" t="n"/>
      <c r="J423" s="24" t="inlineStr">
        <is>
          <t>тыс.т</t>
        </is>
      </c>
    </row>
    <row r="424" ht="20.1" customHeight="1" s="904">
      <c r="A424" s="545" t="n"/>
      <c r="B424" s="909" t="n"/>
      <c r="C424" s="737" t="inlineStr">
        <is>
          <t>в т.ч. Ковыктинское ГКМ</t>
        </is>
      </c>
      <c r="D424" s="15" t="n"/>
      <c r="E424" s="15" t="n"/>
      <c r="F424" s="16" t="n"/>
      <c r="G424" s="17" t="inlineStr">
        <is>
          <t>12_100330866</t>
        </is>
      </c>
      <c r="H424" s="636" t="n"/>
      <c r="I424" s="17" t="n"/>
      <c r="J424" s="554" t="inlineStr">
        <is>
          <t>тыс.т</t>
        </is>
      </c>
    </row>
    <row r="425" ht="20.1" customHeight="1" s="904">
      <c r="A425" s="545" t="n"/>
      <c r="B425" s="20" t="inlineStr">
        <is>
          <t>6.2.</t>
        </is>
      </c>
      <c r="C425" s="28" t="inlineStr">
        <is>
          <t>Дочерние общества</t>
        </is>
      </c>
      <c r="D425" s="15" t="n"/>
      <c r="E425" s="15" t="n"/>
      <c r="F425" s="16" t="n"/>
      <c r="G425" s="17">
        <f>G426+G433+G435+G437</f>
        <v/>
      </c>
      <c r="H425" s="636" t="n"/>
      <c r="I425" s="17" t="n"/>
      <c r="J425" s="24" t="inlineStr">
        <is>
          <t>тыс.т</t>
        </is>
      </c>
    </row>
    <row r="426" ht="20.1" customHeight="1" s="904">
      <c r="A426" s="545" t="n"/>
      <c r="B426" s="909" t="n"/>
      <c r="C426" s="781" t="inlineStr">
        <is>
          <t xml:space="preserve">   Газпром переработка</t>
        </is>
      </c>
      <c r="D426" s="15" t="n"/>
      <c r="E426" s="15" t="n"/>
      <c r="F426" s="16" t="n"/>
      <c r="G426" s="17">
        <f>G427</f>
        <v/>
      </c>
      <c r="H426" s="636" t="n"/>
      <c r="I426" s="17" t="n"/>
      <c r="J426" s="24" t="inlineStr">
        <is>
          <t>тыс.т</t>
        </is>
      </c>
    </row>
    <row r="427" ht="20.1" customHeight="1" s="904">
      <c r="A427" s="545" t="n"/>
      <c r="B427" s="909" t="n"/>
      <c r="C427" s="27" t="inlineStr">
        <is>
          <t xml:space="preserve"> Оренбургский ГХК (ПБТ/ПБА)</t>
        </is>
      </c>
      <c r="D427" s="15" t="n"/>
      <c r="E427" s="15" t="n"/>
      <c r="F427" s="16" t="n"/>
      <c r="G427" s="17">
        <f>G428+G431+G432</f>
        <v/>
      </c>
      <c r="H427" s="636" t="n"/>
      <c r="I427" s="17" t="n"/>
      <c r="J427" s="549" t="inlineStr">
        <is>
          <t>тыс.т</t>
        </is>
      </c>
    </row>
    <row r="428" ht="20.1" customHeight="1" s="904">
      <c r="A428" s="545" t="n"/>
      <c r="B428" s="909" t="n"/>
      <c r="C428" s="737" t="inlineStr">
        <is>
          <t>в т. ч. Газпром добыча Оренбург</t>
        </is>
      </c>
      <c r="D428" s="15" t="n"/>
      <c r="E428" s="15" t="n"/>
      <c r="F428" s="16" t="n"/>
      <c r="G428" s="17" t="inlineStr">
        <is>
          <t>2_100332221</t>
        </is>
      </c>
      <c r="H428" s="636" t="n"/>
      <c r="I428" s="17" t="n"/>
      <c r="J428" s="554" t="inlineStr">
        <is>
          <t>тыс.т</t>
        </is>
      </c>
    </row>
    <row r="429" ht="20.1" customHeight="1" s="904">
      <c r="A429" s="545" t="n"/>
      <c r="B429" s="909" t="n"/>
      <c r="C429" s="737" t="inlineStr">
        <is>
          <t xml:space="preserve"> в т.ч. собственная потребность ГПП</t>
        </is>
      </c>
      <c r="D429" s="15" t="n"/>
      <c r="E429" s="15" t="n"/>
      <c r="F429" s="16" t="n"/>
      <c r="G429" s="17" t="inlineStr">
        <is>
          <t>2_100332222</t>
        </is>
      </c>
      <c r="H429" s="636" t="n"/>
      <c r="I429" s="17" t="n"/>
      <c r="J429" s="554" t="inlineStr">
        <is>
          <t>тыс.т</t>
        </is>
      </c>
    </row>
    <row r="430" ht="20.1" customHeight="1" s="904">
      <c r="A430" s="545" t="n"/>
      <c r="B430" s="909" t="n"/>
      <c r="C430" s="737" t="inlineStr">
        <is>
          <t xml:space="preserve"> собственная потребность ГДО</t>
        </is>
      </c>
      <c r="D430" s="15" t="n"/>
      <c r="E430" s="15" t="n"/>
      <c r="F430" s="16" t="n"/>
      <c r="G430" s="17">
        <f>0</f>
        <v/>
      </c>
      <c r="H430" s="636" t="n"/>
      <c r="I430" s="17" t="n"/>
      <c r="J430" s="554" t="inlineStr">
        <is>
          <t>тыс.т</t>
        </is>
      </c>
    </row>
    <row r="431" ht="20.1" customHeight="1" s="904">
      <c r="A431" s="545" t="n"/>
      <c r="B431" s="909" t="n"/>
      <c r="C431" s="737" t="inlineStr">
        <is>
          <t>Газпром нефть</t>
        </is>
      </c>
      <c r="D431" s="15" t="n"/>
      <c r="E431" s="15" t="n"/>
      <c r="F431" s="16" t="n"/>
      <c r="G431" s="17" t="inlineStr">
        <is>
          <t>2_100332223</t>
        </is>
      </c>
      <c r="H431" s="636" t="n"/>
      <c r="I431" s="17" t="n"/>
      <c r="J431" s="554" t="inlineStr">
        <is>
          <t>тыс.т</t>
        </is>
      </c>
    </row>
    <row r="432" ht="20.1" customHeight="1" s="904">
      <c r="A432" s="545" t="n"/>
      <c r="B432" s="909" t="n"/>
      <c r="C432" s="553" t="inlineStr">
        <is>
          <t>прочие поставщики (ГПНЗ, УНГП, и.т.д.)</t>
        </is>
      </c>
      <c r="D432" s="15" t="n"/>
      <c r="E432" s="15" t="n"/>
      <c r="F432" s="16" t="n"/>
      <c r="G432" s="17" t="inlineStr">
        <is>
          <t>2_100332224</t>
        </is>
      </c>
      <c r="H432" s="636" t="n"/>
      <c r="I432" s="17" t="n"/>
      <c r="J432" s="554" t="inlineStr">
        <is>
          <t>тыс.т</t>
        </is>
      </c>
    </row>
    <row r="433" ht="20.1" customHeight="1" s="904">
      <c r="A433" s="545" t="n"/>
      <c r="B433" s="909" t="n"/>
      <c r="C433" s="781" t="inlineStr">
        <is>
          <t xml:space="preserve">   Газпром добыча Ямбург</t>
        </is>
      </c>
      <c r="D433" s="15" t="n"/>
      <c r="E433" s="15" t="n"/>
      <c r="F433" s="16" t="n"/>
      <c r="G433" s="17">
        <f>G434</f>
        <v/>
      </c>
      <c r="H433" s="636" t="n"/>
      <c r="I433" s="17" t="n"/>
      <c r="J433" s="24" t="inlineStr">
        <is>
          <t>тыс.т</t>
        </is>
      </c>
    </row>
    <row r="434" ht="20.1" customHeight="1" s="904">
      <c r="A434" s="545" t="n"/>
      <c r="B434" s="909" t="n"/>
      <c r="C434" s="737" t="inlineStr">
        <is>
          <t xml:space="preserve">              фракция пропан-бутановая</t>
        </is>
      </c>
      <c r="D434" s="15" t="n"/>
      <c r="E434" s="15" t="n"/>
      <c r="F434" s="16" t="n"/>
      <c r="G434" s="17" t="inlineStr">
        <is>
          <t>7_100330609</t>
        </is>
      </c>
      <c r="H434" s="636" t="n"/>
      <c r="I434" s="17" t="n"/>
      <c r="J434" s="554" t="inlineStr">
        <is>
          <t>тыс.т</t>
        </is>
      </c>
    </row>
    <row r="435" ht="20.1" customHeight="1" s="904">
      <c r="A435" s="545" t="n"/>
      <c r="B435" s="909" t="n"/>
      <c r="C435" s="781" t="inlineStr">
        <is>
          <t>Сервиснефтегаз</t>
        </is>
      </c>
      <c r="D435" s="15" t="n"/>
      <c r="E435" s="15" t="n"/>
      <c r="F435" s="16" t="n"/>
      <c r="G435" s="17">
        <f>G436</f>
        <v/>
      </c>
      <c r="H435" s="636" t="n"/>
      <c r="I435" s="17" t="n"/>
      <c r="J435" s="24" t="inlineStr">
        <is>
          <t>тыс.т</t>
        </is>
      </c>
    </row>
    <row r="436" ht="20.1" customHeight="1" s="904">
      <c r="A436" s="545" t="n"/>
      <c r="B436" s="909" t="n"/>
      <c r="C436" s="27" t="inlineStr">
        <is>
          <t>Оренбургский ГХК</t>
        </is>
      </c>
      <c r="D436" s="15" t="n"/>
      <c r="E436" s="15" t="n"/>
      <c r="F436" s="16" t="n"/>
      <c r="G436" s="17" t="inlineStr">
        <is>
          <t>2_100332226</t>
        </is>
      </c>
      <c r="H436" s="636" t="n"/>
      <c r="I436" s="17" t="n"/>
      <c r="J436" s="549" t="inlineStr">
        <is>
          <t>тыс.т</t>
        </is>
      </c>
    </row>
    <row r="437" ht="20.1" customHeight="1" s="904">
      <c r="A437" s="545" t="n"/>
      <c r="B437" s="909" t="n"/>
      <c r="C437" s="781" t="inlineStr">
        <is>
          <t>Газпром ГНП холдинг</t>
        </is>
      </c>
      <c r="D437" s="15" t="n"/>
      <c r="E437" s="15" t="n"/>
      <c r="F437" s="16" t="n"/>
      <c r="G437" s="17">
        <f>G438</f>
        <v/>
      </c>
      <c r="H437" s="636" t="n"/>
      <c r="I437" s="17" t="n"/>
      <c r="J437" s="41" t="inlineStr">
        <is>
          <t>тыс.т</t>
        </is>
      </c>
    </row>
    <row r="438" ht="20.1" customHeight="1" s="904">
      <c r="A438" s="545" t="n"/>
      <c r="B438" s="909" t="n"/>
      <c r="C438" s="27" t="inlineStr">
        <is>
          <t>Сосногорский ГПЗ</t>
        </is>
      </c>
      <c r="D438" s="15" t="n"/>
      <c r="E438" s="15" t="n"/>
      <c r="F438" s="16" t="n"/>
      <c r="G438" s="17">
        <f>G439</f>
        <v/>
      </c>
      <c r="H438" s="636" t="n"/>
      <c r="I438" s="17" t="n"/>
      <c r="J438" s="549" t="inlineStr">
        <is>
          <t>тыс.т</t>
        </is>
      </c>
    </row>
    <row r="439" ht="20.1" customHeight="1" s="904">
      <c r="A439" s="545" t="n"/>
      <c r="B439" s="909" t="n"/>
      <c r="C439" s="737" t="inlineStr">
        <is>
          <t>ЛУКОЙЛ-Коми</t>
        </is>
      </c>
      <c r="D439" s="15" t="n"/>
      <c r="E439" s="15" t="n"/>
      <c r="F439" s="16" t="n"/>
      <c r="G439" s="17" t="inlineStr">
        <is>
          <t>3_100332288</t>
        </is>
      </c>
      <c r="H439" s="636" t="n"/>
      <c r="I439" s="17" t="n"/>
      <c r="J439" s="554" t="inlineStr">
        <is>
          <t>тыс.т</t>
        </is>
      </c>
    </row>
    <row r="440" ht="20.1" customHeight="1" s="904">
      <c r="A440" s="545" t="n"/>
      <c r="B440" s="909" t="inlineStr">
        <is>
          <t>7.</t>
        </is>
      </c>
      <c r="C440" s="735" t="inlineStr">
        <is>
          <t>Углеводородная фракция / ПГФ - всего</t>
        </is>
      </c>
      <c r="D440" s="15" t="n"/>
      <c r="E440" s="15" t="n"/>
      <c r="F440" s="16" t="n"/>
      <c r="G440" s="17">
        <f>G441+G444</f>
        <v/>
      </c>
      <c r="H440" s="636" t="n"/>
      <c r="I440" s="17" t="n"/>
      <c r="J440" s="24" t="inlineStr">
        <is>
          <t>тыс.т</t>
        </is>
      </c>
    </row>
    <row r="441" ht="20.1" customHeight="1" s="904">
      <c r="A441" s="545" t="n"/>
      <c r="B441" s="909" t="n"/>
      <c r="C441" s="781" t="inlineStr">
        <is>
          <t xml:space="preserve">   Газпром переработка</t>
        </is>
      </c>
      <c r="D441" s="15" t="n"/>
      <c r="E441" s="15" t="n"/>
      <c r="F441" s="16" t="n"/>
      <c r="G441" s="17">
        <f>G442+G443</f>
        <v/>
      </c>
      <c r="H441" s="636" t="n"/>
      <c r="I441" s="17" t="n"/>
      <c r="J441" s="24" t="inlineStr">
        <is>
          <t>тыс.т</t>
        </is>
      </c>
    </row>
    <row r="442" ht="20.1" customHeight="1" s="904">
      <c r="A442" s="545" t="n"/>
      <c r="B442" s="909" t="n"/>
      <c r="C442" s="27" t="inlineStr">
        <is>
          <t xml:space="preserve"> Оренбургский ГХК</t>
        </is>
      </c>
      <c r="D442" s="15" t="n"/>
      <c r="E442" s="15" t="n"/>
      <c r="F442" s="16" t="n"/>
      <c r="G442" s="17">
        <f>G448</f>
        <v/>
      </c>
      <c r="H442" s="636" t="n"/>
      <c r="I442" s="17" t="n"/>
      <c r="J442" s="549" t="inlineStr">
        <is>
          <t>тыс.т</t>
        </is>
      </c>
    </row>
    <row r="443" ht="20.1" customHeight="1" s="904">
      <c r="A443" s="545" t="n"/>
      <c r="B443" s="909" t="n"/>
      <c r="C443" s="27" t="inlineStr">
        <is>
          <t xml:space="preserve">   Сургутский ЗСК</t>
        </is>
      </c>
      <c r="D443" s="15" t="n"/>
      <c r="E443" s="15" t="n"/>
      <c r="F443" s="16" t="n"/>
      <c r="G443" s="17">
        <f>G452</f>
        <v/>
      </c>
      <c r="H443" s="636" t="n"/>
      <c r="I443" s="17" t="n"/>
      <c r="J443" s="549" t="inlineStr">
        <is>
          <t>тыс.т</t>
        </is>
      </c>
    </row>
    <row r="444" ht="20.1" customHeight="1" s="904">
      <c r="A444" s="545" t="n"/>
      <c r="B444" s="909" t="n"/>
      <c r="C444" s="781" t="inlineStr">
        <is>
          <t xml:space="preserve"> Газпром переработка Благовещенск</t>
        </is>
      </c>
      <c r="D444" s="15" t="n"/>
      <c r="E444" s="15" t="n"/>
      <c r="F444" s="16" t="n"/>
      <c r="G444" s="17">
        <f>G453+G456</f>
        <v/>
      </c>
      <c r="H444" s="636" t="n"/>
      <c r="I444" s="17" t="n"/>
      <c r="J444" s="24" t="inlineStr">
        <is>
          <t>тыс.т</t>
        </is>
      </c>
    </row>
    <row r="445" ht="20.1" customHeight="1" s="904">
      <c r="A445" s="545" t="n"/>
      <c r="B445" s="909" t="n"/>
      <c r="C445" s="27" t="inlineStr">
        <is>
          <t xml:space="preserve"> Амурский ГПЗ</t>
        </is>
      </c>
      <c r="D445" s="15" t="n"/>
      <c r="E445" s="15" t="n"/>
      <c r="F445" s="16" t="n"/>
      <c r="G445" s="17">
        <f>G454+G457</f>
        <v/>
      </c>
      <c r="H445" s="636" t="n"/>
      <c r="I445" s="17" t="n"/>
      <c r="J445" s="549" t="inlineStr">
        <is>
          <t>тыс.т</t>
        </is>
      </c>
    </row>
    <row r="446" ht="20.1" customHeight="1" s="904">
      <c r="A446" s="545" t="n"/>
      <c r="B446" s="20" t="inlineStr">
        <is>
          <t>7.1.</t>
        </is>
      </c>
      <c r="C446" s="28" t="inlineStr">
        <is>
          <t>Газпром</t>
        </is>
      </c>
      <c r="D446" s="15" t="n"/>
      <c r="E446" s="15" t="n"/>
      <c r="F446" s="16" t="n"/>
      <c r="G446" s="17">
        <f>G447+G453</f>
        <v/>
      </c>
      <c r="H446" s="636" t="n"/>
      <c r="I446" s="17" t="n"/>
      <c r="J446" s="24" t="inlineStr">
        <is>
          <t>тыс.т</t>
        </is>
      </c>
    </row>
    <row r="447" ht="20.1" customHeight="1" s="904">
      <c r="A447" s="545" t="n"/>
      <c r="B447" s="909" t="n"/>
      <c r="C447" s="781" t="inlineStr">
        <is>
          <t xml:space="preserve">   Газпром переработка</t>
        </is>
      </c>
      <c r="D447" s="15" t="n"/>
      <c r="E447" s="15" t="n"/>
      <c r="F447" s="16" t="n"/>
      <c r="G447" s="17">
        <f>G448+G452</f>
        <v/>
      </c>
      <c r="H447" s="636" t="n"/>
      <c r="I447" s="17" t="n"/>
      <c r="J447" s="24" t="inlineStr">
        <is>
          <t>тыс.т</t>
        </is>
      </c>
    </row>
    <row r="448" ht="20.1" customHeight="1" s="904">
      <c r="A448" s="545" t="n"/>
      <c r="B448" s="909" t="n"/>
      <c r="C448" s="27" t="inlineStr">
        <is>
          <t xml:space="preserve"> Оренбургский ГХК</t>
        </is>
      </c>
      <c r="D448" s="15" t="n"/>
      <c r="E448" s="15" t="n"/>
      <c r="F448" s="16" t="n"/>
      <c r="G448" s="17">
        <f>G449+G450+G451</f>
        <v/>
      </c>
      <c r="H448" s="636" t="n"/>
      <c r="I448" s="17" t="n"/>
      <c r="J448" s="549" t="inlineStr">
        <is>
          <t>тыс.т</t>
        </is>
      </c>
    </row>
    <row r="449" ht="20.1" customHeight="1" s="904">
      <c r="A449" s="545" t="n"/>
      <c r="B449" s="909" t="n"/>
      <c r="C449" s="737" t="inlineStr">
        <is>
          <t>Газпром добыча Оренбург</t>
        </is>
      </c>
      <c r="D449" s="15" t="n"/>
      <c r="E449" s="15" t="n"/>
      <c r="F449" s="16" t="n"/>
      <c r="G449" s="17" t="inlineStr">
        <is>
          <t>2_100332234</t>
        </is>
      </c>
      <c r="H449" s="636" t="n"/>
      <c r="I449" s="17" t="n"/>
      <c r="J449" s="554" t="inlineStr">
        <is>
          <t>тыс.т</t>
        </is>
      </c>
    </row>
    <row r="450" ht="20.1" customHeight="1" s="904">
      <c r="A450" s="545" t="n"/>
      <c r="B450" s="909" t="n"/>
      <c r="C450" s="737" t="inlineStr">
        <is>
          <t>Газпром нефть</t>
        </is>
      </c>
      <c r="D450" s="15" t="n"/>
      <c r="E450" s="15" t="n"/>
      <c r="F450" s="16" t="n"/>
      <c r="G450" s="17" t="inlineStr">
        <is>
          <t>2_100332235</t>
        </is>
      </c>
      <c r="H450" s="636" t="n"/>
      <c r="I450" s="17" t="n"/>
      <c r="J450" s="554" t="inlineStr">
        <is>
          <t>тыс.т</t>
        </is>
      </c>
    </row>
    <row r="451" ht="20.1" customHeight="1" s="904">
      <c r="A451" s="545" t="n"/>
      <c r="B451" s="909" t="n"/>
      <c r="C451" s="553" t="inlineStr">
        <is>
          <t>прочие поставщики (ГПНЗ, УНГП, и.т.д.)</t>
        </is>
      </c>
      <c r="D451" s="15" t="n"/>
      <c r="E451" s="15" t="n"/>
      <c r="F451" s="16" t="n"/>
      <c r="G451" s="17" t="inlineStr">
        <is>
          <t>2_100335150</t>
        </is>
      </c>
      <c r="H451" s="636" t="n"/>
      <c r="I451" s="17" t="n"/>
      <c r="J451" s="554" t="inlineStr">
        <is>
          <t>тыс.т</t>
        </is>
      </c>
    </row>
    <row r="452" ht="20.1" customHeight="1" s="904">
      <c r="A452" s="545" t="n"/>
      <c r="B452" s="909" t="n"/>
      <c r="C452" s="27" t="inlineStr">
        <is>
          <t>Сургутский ЗСК</t>
        </is>
      </c>
      <c r="D452" s="15" t="n"/>
      <c r="E452" s="15" t="n"/>
      <c r="F452" s="16" t="n"/>
      <c r="G452" s="17" t="inlineStr">
        <is>
          <t>4_100331904</t>
        </is>
      </c>
      <c r="H452" s="636" t="n"/>
      <c r="I452" s="17" t="n"/>
      <c r="J452" s="549" t="inlineStr">
        <is>
          <t>тыс.т</t>
        </is>
      </c>
    </row>
    <row r="453" ht="20.1" customHeight="1" s="904">
      <c r="A453" s="545" t="n"/>
      <c r="B453" s="909" t="n"/>
      <c r="C453" s="781" t="inlineStr">
        <is>
          <t xml:space="preserve"> Газпром переработка Благовещенск</t>
        </is>
      </c>
      <c r="D453" s="15" t="n"/>
      <c r="E453" s="15" t="n"/>
      <c r="F453" s="16" t="n"/>
      <c r="G453" s="17">
        <f>G454</f>
        <v/>
      </c>
      <c r="H453" s="636" t="n"/>
      <c r="I453" s="17" t="n"/>
      <c r="J453" s="24" t="inlineStr">
        <is>
          <t>тыс.т</t>
        </is>
      </c>
    </row>
    <row r="454" ht="20.1" customHeight="1" s="904">
      <c r="A454" s="545" t="n"/>
      <c r="B454" s="909" t="n"/>
      <c r="C454" s="27" t="inlineStr">
        <is>
          <t xml:space="preserve"> Амурский ГПЗ</t>
        </is>
      </c>
      <c r="D454" s="15" t="n"/>
      <c r="E454" s="15" t="n"/>
      <c r="F454" s="16" t="n"/>
      <c r="G454" s="17" t="inlineStr">
        <is>
          <t>14_100332366</t>
        </is>
      </c>
      <c r="H454" s="636" t="n"/>
      <c r="I454" s="17" t="n"/>
      <c r="J454" s="549" t="inlineStr">
        <is>
          <t>тыс.т</t>
        </is>
      </c>
    </row>
    <row r="455" ht="20.1" customHeight="1" s="904">
      <c r="A455" s="545" t="n"/>
      <c r="B455" s="20" t="inlineStr">
        <is>
          <t>7.2.</t>
        </is>
      </c>
      <c r="C455" s="28" t="inlineStr">
        <is>
          <t>Дочерние общества</t>
        </is>
      </c>
      <c r="D455" s="15" t="n"/>
      <c r="E455" s="15" t="n"/>
      <c r="F455" s="16" t="n"/>
      <c r="G455" s="17">
        <f>0</f>
        <v/>
      </c>
      <c r="H455" s="636" t="n"/>
      <c r="I455" s="17" t="n"/>
      <c r="J455" s="24" t="inlineStr">
        <is>
          <t>тыс.т</t>
        </is>
      </c>
    </row>
    <row r="456" ht="20.1" customHeight="1" s="904">
      <c r="A456" s="545" t="n"/>
      <c r="B456" s="909" t="n"/>
      <c r="C456" s="781" t="inlineStr">
        <is>
          <t xml:space="preserve"> Газпром переработка Благовещенск</t>
        </is>
      </c>
      <c r="D456" s="15" t="n"/>
      <c r="E456" s="15" t="n"/>
      <c r="F456" s="16" t="n"/>
      <c r="G456" s="17">
        <f>G457</f>
        <v/>
      </c>
      <c r="H456" s="636" t="n"/>
      <c r="I456" s="17" t="n"/>
      <c r="J456" s="24" t="inlineStr">
        <is>
          <t>тыс.т</t>
        </is>
      </c>
    </row>
    <row r="457" ht="20.1" customHeight="1" s="904">
      <c r="A457" s="545" t="n"/>
      <c r="B457" s="909" t="n"/>
      <c r="C457" s="27" t="inlineStr">
        <is>
          <t xml:space="preserve"> Амурский ГПЗ</t>
        </is>
      </c>
      <c r="D457" s="15" t="n"/>
      <c r="E457" s="15" t="n"/>
      <c r="F457" s="16" t="n"/>
      <c r="G457" s="17" t="inlineStr">
        <is>
          <t>14_100335088</t>
        </is>
      </c>
      <c r="H457" s="636" t="n"/>
      <c r="I457" s="17" t="n"/>
      <c r="J457" s="549" t="inlineStr">
        <is>
          <t>тыс.т</t>
        </is>
      </c>
    </row>
    <row r="458" ht="20.1" customHeight="1" s="904">
      <c r="A458" s="545" t="n"/>
      <c r="B458" s="909" t="inlineStr">
        <is>
          <t>8.</t>
        </is>
      </c>
      <c r="C458" s="735" t="inlineStr">
        <is>
          <t>Стабильный газовый конденсат и нефть-всего</t>
        </is>
      </c>
      <c r="D458" s="15" t="n"/>
      <c r="E458" s="15" t="n"/>
      <c r="F458" s="16" t="n"/>
      <c r="G458" s="17">
        <f>G459+G466+G468+G469+G470+G471+G472+G473+G475+G476+G465</f>
        <v/>
      </c>
      <c r="H458" s="636" t="n"/>
      <c r="I458" s="17" t="n"/>
      <c r="J458" s="24" t="n"/>
    </row>
    <row r="459" ht="20.1" customHeight="1" s="904">
      <c r="A459" s="545" t="n"/>
      <c r="B459" s="909" t="n"/>
      <c r="C459" s="781" t="inlineStr">
        <is>
          <t xml:space="preserve">   Газпром переработка</t>
        </is>
      </c>
      <c r="D459" s="15" t="n"/>
      <c r="E459" s="15" t="n"/>
      <c r="F459" s="16" t="n"/>
      <c r="G459" s="17">
        <f>G460+G461+G462+G463+G464</f>
        <v/>
      </c>
      <c r="H459" s="636" t="n"/>
      <c r="I459" s="17" t="n"/>
      <c r="J459" s="24" t="inlineStr">
        <is>
          <t>тыс.т</t>
        </is>
      </c>
    </row>
    <row r="460" ht="20.1" customHeight="1" s="904">
      <c r="A460" s="545" t="n"/>
      <c r="B460" s="909" t="n"/>
      <c r="C460" s="27" t="inlineStr">
        <is>
          <t>Астраханский ГПЗ</t>
        </is>
      </c>
      <c r="D460" s="15" t="n"/>
      <c r="E460" s="15" t="n"/>
      <c r="F460" s="16" t="n"/>
      <c r="G460" s="17">
        <f>G479</f>
        <v/>
      </c>
      <c r="H460" s="636" t="n"/>
      <c r="I460" s="17" t="n"/>
      <c r="J460" s="549" t="inlineStr">
        <is>
          <t>тыс.т</t>
        </is>
      </c>
    </row>
    <row r="461" ht="20.1" customHeight="1" s="904">
      <c r="A461" s="545" t="n"/>
      <c r="B461" s="909" t="n"/>
      <c r="C461" s="27" t="inlineStr">
        <is>
          <t>Оренбургский ГХК</t>
        </is>
      </c>
      <c r="D461" s="15" t="n"/>
      <c r="E461" s="15" t="n"/>
      <c r="F461" s="16" t="n"/>
      <c r="G461" s="17">
        <f>G480+G510+G525</f>
        <v/>
      </c>
      <c r="H461" s="636" t="n"/>
      <c r="I461" s="17" t="n"/>
      <c r="J461" s="549" t="inlineStr">
        <is>
          <t>тыс.т</t>
        </is>
      </c>
    </row>
    <row r="462" ht="20.1" customHeight="1" s="904">
      <c r="A462" s="545" t="n"/>
      <c r="B462" s="909" t="n"/>
      <c r="C462" s="27" t="inlineStr">
        <is>
          <t xml:space="preserve">   Сосногорский ГПЗ</t>
        </is>
      </c>
      <c r="D462" s="15" t="n"/>
      <c r="E462" s="15" t="n"/>
      <c r="F462" s="16" t="n"/>
      <c r="G462" s="17">
        <f>G484+G541</f>
        <v/>
      </c>
      <c r="H462" s="636" t="n"/>
      <c r="I462" s="17" t="n"/>
      <c r="J462" s="549" t="inlineStr">
        <is>
          <t>тыс.т</t>
        </is>
      </c>
    </row>
    <row r="463" ht="20.1" customHeight="1" s="904">
      <c r="A463" s="545" t="n"/>
      <c r="B463" s="909" t="n"/>
      <c r="C463" s="27" t="inlineStr">
        <is>
          <t xml:space="preserve">              Уренгойский ЗПКТ</t>
        </is>
      </c>
      <c r="D463" s="15" t="n"/>
      <c r="E463" s="15" t="n"/>
      <c r="F463" s="16" t="n"/>
      <c r="G463" s="17">
        <f>G486</f>
        <v/>
      </c>
      <c r="H463" s="636" t="n"/>
      <c r="I463" s="17" t="n"/>
      <c r="J463" s="549" t="inlineStr">
        <is>
          <t>тыс.т</t>
        </is>
      </c>
    </row>
    <row r="464" ht="20.1" customHeight="1" s="904">
      <c r="A464" s="545" t="n"/>
      <c r="B464" s="909" t="n"/>
      <c r="C464" s="27" t="inlineStr">
        <is>
          <t xml:space="preserve">                Сургутский ЗСК</t>
        </is>
      </c>
      <c r="D464" s="15" t="n"/>
      <c r="E464" s="15" t="n"/>
      <c r="F464" s="16" t="n"/>
      <c r="G464" s="17">
        <f>G490</f>
        <v/>
      </c>
      <c r="H464" s="636" t="n"/>
      <c r="I464" s="17" t="n"/>
      <c r="J464" s="549" t="inlineStr">
        <is>
          <t>тыс.т</t>
        </is>
      </c>
    </row>
    <row r="465" ht="20.1" customHeight="1" s="904">
      <c r="A465" s="545" t="n"/>
      <c r="B465" s="909" t="n"/>
      <c r="C465" s="781" t="inlineStr">
        <is>
          <t>Газпром добыча Уренгой</t>
        </is>
      </c>
      <c r="D465" s="15" t="n"/>
      <c r="E465" s="15" t="n"/>
      <c r="F465" s="16" t="n"/>
      <c r="G465" s="17">
        <f>G491+G516</f>
        <v/>
      </c>
      <c r="H465" s="636" t="n"/>
      <c r="I465" s="17" t="n"/>
      <c r="J465" s="24" t="inlineStr">
        <is>
          <t>тыс. т</t>
        </is>
      </c>
    </row>
    <row r="466" ht="20.1" customHeight="1" s="904">
      <c r="A466" s="545" t="n"/>
      <c r="B466" s="909" t="n"/>
      <c r="C466" s="781" t="inlineStr">
        <is>
          <t>Газпром добыча Краснодар</t>
        </is>
      </c>
      <c r="D466" s="15" t="n"/>
      <c r="E466" s="15" t="n"/>
      <c r="F466" s="16" t="n"/>
      <c r="G466" s="17">
        <f>G519</f>
        <v/>
      </c>
      <c r="H466" s="636" t="n"/>
      <c r="I466" s="17" t="n"/>
      <c r="J466" s="24" t="inlineStr">
        <is>
          <t>тыс.т</t>
        </is>
      </c>
    </row>
    <row r="467" ht="20.1" customHeight="1" s="904">
      <c r="A467" s="545" t="n"/>
      <c r="B467" s="909" t="n"/>
      <c r="C467" s="27" t="inlineStr">
        <is>
          <t xml:space="preserve">     в т. ч. НГКС</t>
        </is>
      </c>
      <c r="D467" s="15" t="n"/>
      <c r="E467" s="15" t="n"/>
      <c r="F467" s="16" t="n"/>
      <c r="G467" s="17">
        <f>G520</f>
        <v/>
      </c>
      <c r="H467" s="636" t="n"/>
      <c r="I467" s="17" t="n"/>
      <c r="J467" s="549" t="inlineStr">
        <is>
          <t>тыс.т</t>
        </is>
      </c>
    </row>
    <row r="468" ht="20.1" customHeight="1" s="904">
      <c r="A468" s="545" t="n"/>
      <c r="B468" s="909" t="n"/>
      <c r="C468" s="781" t="inlineStr">
        <is>
          <t xml:space="preserve">   Газпром добыча Ямбург</t>
        </is>
      </c>
      <c r="D468" s="15" t="n"/>
      <c r="E468" s="15" t="n"/>
      <c r="F468" s="16" t="n"/>
      <c r="G468" s="17">
        <f>G522</f>
        <v/>
      </c>
      <c r="H468" s="636" t="n"/>
      <c r="I468" s="17" t="n"/>
      <c r="J468" s="24" t="inlineStr">
        <is>
          <t>тыс.т</t>
        </is>
      </c>
    </row>
    <row r="469" ht="20.1" customHeight="1" s="904">
      <c r="A469" s="545" t="n"/>
      <c r="B469" s="909" t="n"/>
      <c r="C469" s="781" t="inlineStr">
        <is>
          <t>Газпром добыча Иркутск</t>
        </is>
      </c>
      <c r="D469" s="15" t="n"/>
      <c r="E469" s="15" t="n"/>
      <c r="F469" s="16" t="n"/>
      <c r="G469" s="17">
        <f>G493</f>
        <v/>
      </c>
      <c r="H469" s="636" t="n"/>
      <c r="I469" s="17" t="n"/>
      <c r="J469" s="24" t="inlineStr">
        <is>
          <t>тыс. т</t>
        </is>
      </c>
    </row>
    <row r="470" ht="20.1" customHeight="1" s="904">
      <c r="A470" s="545" t="n"/>
      <c r="B470" s="909" t="n"/>
      <c r="C470" s="781" t="inlineStr">
        <is>
          <t>Газпром добыча шельф Южно-Сахалинск</t>
        </is>
      </c>
      <c r="D470" s="15" t="n"/>
      <c r="E470" s="15" t="n"/>
      <c r="F470" s="16" t="n"/>
      <c r="G470" s="17">
        <f>G496</f>
        <v/>
      </c>
      <c r="H470" s="636" t="n"/>
      <c r="I470" s="17" t="n"/>
      <c r="J470" s="24" t="inlineStr">
        <is>
          <t>тыс. т</t>
        </is>
      </c>
    </row>
    <row r="471" ht="20.1" customHeight="1" s="904">
      <c r="A471" s="545" t="n"/>
      <c r="B471" s="909" t="n"/>
      <c r="C471" s="781" t="inlineStr">
        <is>
          <t>Газпром добыча Ноябрьск</t>
        </is>
      </c>
      <c r="D471" s="15" t="n"/>
      <c r="E471" s="15" t="n"/>
      <c r="F471" s="16" t="n"/>
      <c r="G471" s="17">
        <f>G498+G527</f>
        <v/>
      </c>
      <c r="H471" s="636" t="n"/>
      <c r="I471" s="17" t="n"/>
      <c r="J471" s="24" t="inlineStr">
        <is>
          <t>тыс. т</t>
        </is>
      </c>
    </row>
    <row r="472" ht="20.1" customHeight="1" s="904">
      <c r="A472" s="545" t="n"/>
      <c r="B472" s="909" t="n"/>
      <c r="C472" s="781" t="inlineStr">
        <is>
          <t>Газпром добыча Надым</t>
        </is>
      </c>
      <c r="D472" s="15" t="n"/>
      <c r="E472" s="15" t="n"/>
      <c r="F472" s="16" t="n"/>
      <c r="G472" s="17">
        <f>G535</f>
        <v/>
      </c>
      <c r="H472" s="636" t="n"/>
      <c r="I472" s="17" t="n"/>
      <c r="J472" s="24" t="inlineStr">
        <is>
          <t>тыс. т</t>
        </is>
      </c>
    </row>
    <row r="473" ht="20.1" customHeight="1" s="904">
      <c r="A473" s="545" t="n"/>
      <c r="B473" s="909" t="n"/>
      <c r="C473" s="781" t="inlineStr">
        <is>
          <t>Газпром СПГ Портовая</t>
        </is>
      </c>
      <c r="D473" s="15" t="n"/>
      <c r="E473" s="15" t="n"/>
      <c r="F473" s="16" t="n"/>
      <c r="G473" s="17">
        <f>G474</f>
        <v/>
      </c>
      <c r="H473" s="636" t="n"/>
      <c r="I473" s="17" t="n"/>
      <c r="J473" s="24" t="inlineStr">
        <is>
          <t>тыс. т</t>
        </is>
      </c>
    </row>
    <row r="474" ht="20.1" customHeight="1" s="904">
      <c r="A474" s="545" t="n"/>
      <c r="B474" s="909" t="n"/>
      <c r="C474" s="27" t="inlineStr">
        <is>
          <t>КСПГ Портовая</t>
        </is>
      </c>
      <c r="D474" s="15" t="n"/>
      <c r="E474" s="15" t="n"/>
      <c r="F474" s="16" t="n"/>
      <c r="G474" s="17">
        <f>G503</f>
        <v/>
      </c>
      <c r="H474" s="636" t="n"/>
      <c r="I474" s="17" t="n"/>
      <c r="J474" s="549" t="inlineStr">
        <is>
          <t>тыс. т</t>
        </is>
      </c>
    </row>
    <row r="475" ht="20.1" customHeight="1" s="904">
      <c r="A475" s="545" t="n"/>
      <c r="B475" s="909" t="n"/>
      <c r="C475" s="781" t="inlineStr">
        <is>
          <t>Газпром трансгаз Санкт-Петербург*</t>
        </is>
      </c>
      <c r="D475" s="15" t="n"/>
      <c r="E475" s="15" t="n"/>
      <c r="F475" s="16" t="n"/>
      <c r="G475" s="17">
        <f>0</f>
        <v/>
      </c>
      <c r="H475" s="636" t="n"/>
      <c r="I475" s="17" t="n"/>
      <c r="J475" s="24" t="inlineStr">
        <is>
          <t>тыс. т</t>
        </is>
      </c>
    </row>
    <row r="476" ht="20.1" customHeight="1" s="904">
      <c r="A476" s="545" t="n"/>
      <c r="B476" s="909" t="n"/>
      <c r="C476" s="781" t="inlineStr">
        <is>
          <t>Газпром трансгаз Краснодар*</t>
        </is>
      </c>
      <c r="D476" s="15" t="n"/>
      <c r="E476" s="15" t="n"/>
      <c r="F476" s="16" t="n"/>
      <c r="G476" s="17">
        <f>0</f>
        <v/>
      </c>
      <c r="H476" s="636" t="n"/>
      <c r="I476" s="17" t="n"/>
      <c r="J476" s="24" t="inlineStr">
        <is>
          <t>тыс. т</t>
        </is>
      </c>
    </row>
    <row r="477" ht="20.1" customHeight="1" s="904">
      <c r="A477" s="545" t="n"/>
      <c r="B477" s="20" t="inlineStr">
        <is>
          <t>8.1.</t>
        </is>
      </c>
      <c r="C477" s="28" t="inlineStr">
        <is>
          <t>Газпром</t>
        </is>
      </c>
      <c r="D477" s="15" t="n"/>
      <c r="E477" s="15" t="n"/>
      <c r="F477" s="16" t="n"/>
      <c r="G477" s="17">
        <f>G478+G491+G493+G496+G498+G502+G504+G505</f>
        <v/>
      </c>
      <c r="H477" s="636" t="n"/>
      <c r="I477" s="17" t="n"/>
      <c r="J477" s="24" t="inlineStr">
        <is>
          <t>тыс.т</t>
        </is>
      </c>
    </row>
    <row r="478" ht="20.1" customHeight="1" s="904">
      <c r="A478" s="545" t="n"/>
      <c r="B478" s="909" t="n"/>
      <c r="C478" s="781" t="inlineStr">
        <is>
          <t xml:space="preserve">   Газпром переработка</t>
        </is>
      </c>
      <c r="D478" s="15" t="n"/>
      <c r="E478" s="15" t="n"/>
      <c r="F478" s="16" t="n"/>
      <c r="G478" s="17">
        <f>G480+G484+G486+G490+G479</f>
        <v/>
      </c>
      <c r="H478" s="636" t="n"/>
      <c r="I478" s="17" t="n"/>
      <c r="J478" s="24" t="inlineStr">
        <is>
          <t>тыс.т</t>
        </is>
      </c>
    </row>
    <row r="479" ht="20.1" customHeight="1" s="904">
      <c r="A479" s="545" t="n"/>
      <c r="B479" s="909" t="n"/>
      <c r="C479" s="27" t="inlineStr">
        <is>
          <t>Астраханский ГПЗ</t>
        </is>
      </c>
      <c r="D479" s="15" t="n"/>
      <c r="E479" s="15" t="n"/>
      <c r="F479" s="16" t="n"/>
      <c r="G479" s="17" t="inlineStr">
        <is>
          <t>1_100332014</t>
        </is>
      </c>
      <c r="H479" s="636" t="n"/>
      <c r="I479" s="17" t="n"/>
      <c r="J479" s="549" t="inlineStr">
        <is>
          <t>тыс.т</t>
        </is>
      </c>
    </row>
    <row r="480" ht="20.1" customHeight="1" s="904">
      <c r="A480" s="545" t="n"/>
      <c r="B480" s="909" t="n"/>
      <c r="C480" s="27" t="inlineStr">
        <is>
          <t>Оренбургский ГХК</t>
        </is>
      </c>
      <c r="D480" s="15" t="n"/>
      <c r="E480" s="15" t="n"/>
      <c r="F480" s="16" t="n"/>
      <c r="G480" s="17">
        <f>G481+G482+G483</f>
        <v/>
      </c>
      <c r="H480" s="636" t="n"/>
      <c r="I480" s="17" t="n"/>
      <c r="J480" s="549" t="inlineStr">
        <is>
          <t>тыс.т</t>
        </is>
      </c>
    </row>
    <row r="481" ht="20.1" customHeight="1" s="904">
      <c r="A481" s="545" t="n"/>
      <c r="B481" s="909" t="n"/>
      <c r="C481" s="737" t="inlineStr">
        <is>
          <t>Газпром добыча Оренбург</t>
        </is>
      </c>
      <c r="D481" s="15" t="n"/>
      <c r="E481" s="15" t="n"/>
      <c r="F481" s="16" t="n"/>
      <c r="G481" s="17" t="inlineStr">
        <is>
          <t>2_100332266</t>
        </is>
      </c>
      <c r="H481" s="636" t="n"/>
      <c r="I481" s="17" t="n"/>
      <c r="J481" s="554" t="inlineStr">
        <is>
          <t>тыс.т</t>
        </is>
      </c>
    </row>
    <row r="482" ht="20.1" customHeight="1" s="904">
      <c r="A482" s="545" t="n"/>
      <c r="B482" s="909" t="n"/>
      <c r="C482" s="737" t="inlineStr">
        <is>
          <t>Газпром нефть</t>
        </is>
      </c>
      <c r="D482" s="15" t="n"/>
      <c r="E482" s="15" t="n"/>
      <c r="F482" s="16" t="n"/>
      <c r="G482" s="17" t="inlineStr">
        <is>
          <t>2_100332267</t>
        </is>
      </c>
      <c r="H482" s="636" t="n"/>
      <c r="I482" s="17" t="n"/>
      <c r="J482" s="554" t="inlineStr">
        <is>
          <t>тыс.т</t>
        </is>
      </c>
    </row>
    <row r="483" ht="20.1" customHeight="1" s="904">
      <c r="A483" s="545" t="n"/>
      <c r="B483" s="909" t="n"/>
      <c r="C483" s="737" t="inlineStr">
        <is>
          <t>прочие поставщики (ГПНЗ, УНГП, и.т.д.)</t>
        </is>
      </c>
      <c r="D483" s="15" t="n"/>
      <c r="E483" s="15" t="n"/>
      <c r="F483" s="16" t="n"/>
      <c r="G483" s="17" t="inlineStr">
        <is>
          <t>2_100335669</t>
        </is>
      </c>
      <c r="H483" s="636" t="n"/>
      <c r="I483" s="17" t="n"/>
      <c r="J483" s="554" t="inlineStr">
        <is>
          <t>тыс.т</t>
        </is>
      </c>
    </row>
    <row r="484" ht="20.1" customHeight="1" s="904">
      <c r="A484" s="545" t="n"/>
      <c r="B484" s="909" t="n"/>
      <c r="C484" s="27" t="inlineStr">
        <is>
          <t>Сосногорский ГПЗ</t>
        </is>
      </c>
      <c r="D484" s="15" t="n"/>
      <c r="E484" s="15" t="n"/>
      <c r="F484" s="16" t="n"/>
      <c r="G484" s="17">
        <f>G485</f>
        <v/>
      </c>
      <c r="H484" s="636" t="n"/>
      <c r="I484" s="17" t="n"/>
      <c r="J484" s="549" t="inlineStr">
        <is>
          <t>тыс.т</t>
        </is>
      </c>
    </row>
    <row r="485" ht="20.1" customHeight="1" s="904">
      <c r="A485" s="545" t="n"/>
      <c r="B485" s="909" t="n"/>
      <c r="C485" s="737" t="inlineStr">
        <is>
          <t>Газпром добыча Краснодар</t>
        </is>
      </c>
      <c r="D485" s="15" t="n"/>
      <c r="E485" s="15" t="n"/>
      <c r="F485" s="16" t="n"/>
      <c r="G485" s="17" t="inlineStr">
        <is>
          <t>3_100330098</t>
        </is>
      </c>
      <c r="H485" s="636" t="n"/>
      <c r="I485" s="17" t="n"/>
      <c r="J485" s="554" t="inlineStr">
        <is>
          <t>тыс.т</t>
        </is>
      </c>
    </row>
    <row r="486" ht="20.1" customHeight="1" s="904">
      <c r="A486" s="545" t="n"/>
      <c r="B486" s="909" t="n"/>
      <c r="C486" s="27" t="inlineStr">
        <is>
          <t xml:space="preserve">              Уренгойский ЗПКТ</t>
        </is>
      </c>
      <c r="D486" s="15" t="n"/>
      <c r="E486" s="15" t="n"/>
      <c r="F486" s="16" t="n"/>
      <c r="G486" s="17">
        <f>G487+G488+G489</f>
        <v/>
      </c>
      <c r="H486" s="636" t="n"/>
      <c r="I486" s="17" t="n"/>
      <c r="J486" s="549" t="inlineStr">
        <is>
          <t>тыс.т</t>
        </is>
      </c>
    </row>
    <row r="487" ht="20.1" customHeight="1" s="904">
      <c r="A487" s="545" t="n"/>
      <c r="B487" s="909" t="n"/>
      <c r="C487" s="737" t="inlineStr">
        <is>
          <t>от переработки на УДК/УСК</t>
        </is>
      </c>
      <c r="D487" s="15" t="n"/>
      <c r="E487" s="15" t="n"/>
      <c r="F487" s="16" t="n"/>
      <c r="G487" s="17" t="inlineStr">
        <is>
          <t>4_100331927</t>
        </is>
      </c>
      <c r="H487" s="636" t="n"/>
      <c r="I487" s="17" t="n"/>
      <c r="J487" s="554" t="inlineStr">
        <is>
          <t>тыс. т</t>
        </is>
      </c>
    </row>
    <row r="488" ht="20.1" customHeight="1" s="904">
      <c r="A488" s="545" t="n"/>
      <c r="B488" s="909" t="n"/>
      <c r="C488" s="737" t="inlineStr">
        <is>
          <t>от переработки на УСК-2</t>
        </is>
      </c>
      <c r="D488" s="15" t="n"/>
      <c r="E488" s="15" t="n"/>
      <c r="F488" s="16" t="n"/>
      <c r="G488" s="17" t="inlineStr">
        <is>
          <t>4_100331928</t>
        </is>
      </c>
      <c r="H488" s="636" t="n"/>
      <c r="I488" s="17" t="n"/>
      <c r="J488" s="554" t="inlineStr">
        <is>
          <t>тыс. т</t>
        </is>
      </c>
    </row>
    <row r="489" ht="20.1" customHeight="1" s="904">
      <c r="A489" s="545" t="n"/>
      <c r="B489" s="909" t="n"/>
      <c r="C489" s="40" t="inlineStr">
        <is>
          <t>нефть с НПС</t>
        </is>
      </c>
      <c r="D489" s="15" t="n"/>
      <c r="E489" s="15" t="n"/>
      <c r="F489" s="16" t="n"/>
      <c r="G489" s="17" t="inlineStr">
        <is>
          <t>4_100335100</t>
        </is>
      </c>
      <c r="H489" s="636" t="n"/>
      <c r="I489" s="17" t="n"/>
      <c r="J489" s="554" t="inlineStr">
        <is>
          <t>тыс. т</t>
        </is>
      </c>
    </row>
    <row r="490" ht="20.1" customHeight="1" s="904">
      <c r="A490" s="545" t="n"/>
      <c r="B490" s="909" t="n"/>
      <c r="C490" s="27" t="inlineStr">
        <is>
          <t xml:space="preserve">                Сургутский ЗСК</t>
        </is>
      </c>
      <c r="D490" s="15" t="n"/>
      <c r="E490" s="15" t="n"/>
      <c r="F490" s="16" t="n"/>
      <c r="G490" s="17" t="inlineStr">
        <is>
          <t>4_100331929</t>
        </is>
      </c>
      <c r="H490" s="636" t="n"/>
      <c r="I490" s="17" t="n"/>
      <c r="J490" s="549" t="inlineStr">
        <is>
          <t>тыс.т</t>
        </is>
      </c>
    </row>
    <row r="491" ht="20.1" customHeight="1" s="904">
      <c r="A491" s="545" t="n"/>
      <c r="B491" s="909" t="n"/>
      <c r="C491" s="781" t="inlineStr">
        <is>
          <t>Газпром добыча Уренгой</t>
        </is>
      </c>
      <c r="D491" s="15" t="n"/>
      <c r="E491" s="15" t="n"/>
      <c r="F491" s="16" t="n"/>
      <c r="G491" s="17">
        <f>G492</f>
        <v/>
      </c>
      <c r="H491" s="636" t="n"/>
      <c r="I491" s="17" t="n"/>
      <c r="J491" s="24" t="inlineStr">
        <is>
          <t>тыс. т</t>
        </is>
      </c>
    </row>
    <row r="492" ht="20.1" customHeight="1" s="904">
      <c r="A492" s="545" t="n"/>
      <c r="B492" s="909" t="n"/>
      <c r="C492" s="737" t="inlineStr">
        <is>
          <t>нефть</t>
        </is>
      </c>
      <c r="D492" s="15" t="n"/>
      <c r="E492" s="15" t="n"/>
      <c r="F492" s="16" t="n"/>
      <c r="G492" s="17">
        <f>0</f>
        <v/>
      </c>
      <c r="H492" s="636" t="n"/>
      <c r="I492" s="17" t="n"/>
      <c r="J492" s="554" t="inlineStr">
        <is>
          <t>тыс.т</t>
        </is>
      </c>
    </row>
    <row r="493" ht="20.1" customHeight="1" s="904">
      <c r="A493" s="545" t="n"/>
      <c r="B493" s="909" t="n"/>
      <c r="C493" s="781" t="inlineStr">
        <is>
          <t>Газпром добыча Иркутск</t>
        </is>
      </c>
      <c r="D493" s="15" t="n"/>
      <c r="E493" s="15" t="n"/>
      <c r="F493" s="16" t="n"/>
      <c r="G493" s="17">
        <f>G494+G495</f>
        <v/>
      </c>
      <c r="H493" s="636" t="n"/>
      <c r="I493" s="17" t="n"/>
      <c r="J493" s="24" t="inlineStr">
        <is>
          <t>тыс. т</t>
        </is>
      </c>
    </row>
    <row r="494" ht="20.1" customHeight="1" s="904">
      <c r="A494" s="545" t="n"/>
      <c r="B494" s="909" t="n"/>
      <c r="C494" s="737" t="inlineStr">
        <is>
          <t>Ковыктинское ГКМ</t>
        </is>
      </c>
      <c r="D494" s="15" t="n"/>
      <c r="E494" s="15" t="n"/>
      <c r="F494" s="16" t="n"/>
      <c r="G494" s="17" t="inlineStr">
        <is>
          <t>12_100335331</t>
        </is>
      </c>
      <c r="H494" s="636" t="n"/>
      <c r="I494" s="17" t="n"/>
      <c r="J494" s="554" t="inlineStr">
        <is>
          <t>тыс.т</t>
        </is>
      </c>
    </row>
    <row r="495" ht="20.1" customHeight="1" s="904">
      <c r="A495" s="545" t="n"/>
      <c r="B495" s="909" t="n"/>
      <c r="C495" s="737" t="inlineStr">
        <is>
          <t>Чиканское ГКМ</t>
        </is>
      </c>
      <c r="D495" s="15" t="n"/>
      <c r="E495" s="15" t="n"/>
      <c r="F495" s="16" t="n"/>
      <c r="G495" s="17">
        <f>0</f>
        <v/>
      </c>
      <c r="H495" s="636" t="n"/>
      <c r="I495" s="17" t="n"/>
      <c r="J495" s="554" t="inlineStr">
        <is>
          <t>тыс.т</t>
        </is>
      </c>
    </row>
    <row r="496" ht="20.1" customHeight="1" s="904">
      <c r="A496" s="545" t="n"/>
      <c r="B496" s="909" t="n"/>
      <c r="C496" s="781" t="inlineStr">
        <is>
          <t>Газпром добыча шельф Южно-Сахалинск</t>
        </is>
      </c>
      <c r="D496" s="15" t="n"/>
      <c r="E496" s="15" t="n"/>
      <c r="F496" s="16" t="n"/>
      <c r="G496" s="17">
        <f>G497</f>
        <v/>
      </c>
      <c r="H496" s="636" t="n"/>
      <c r="I496" s="17" t="n"/>
      <c r="J496" s="24" t="inlineStr">
        <is>
          <t>тыс. т</t>
        </is>
      </c>
    </row>
    <row r="497" ht="20.1" customHeight="1" s="904">
      <c r="A497" s="545" t="n"/>
      <c r="B497" s="909" t="n"/>
      <c r="C497" s="737" t="inlineStr">
        <is>
          <t>конденсат (Киринское ГКМ)</t>
        </is>
      </c>
      <c r="D497" s="15" t="n"/>
      <c r="E497" s="15" t="n"/>
      <c r="F497" s="16" t="n"/>
      <c r="G497" s="17" t="inlineStr">
        <is>
          <t>13_100330880</t>
        </is>
      </c>
      <c r="H497" s="636" t="n"/>
      <c r="I497" s="17" t="n"/>
      <c r="J497" s="554" t="inlineStr">
        <is>
          <t>тыс.т</t>
        </is>
      </c>
    </row>
    <row r="498" ht="20.1" customHeight="1" s="904">
      <c r="A498" s="545" t="n"/>
      <c r="B498" s="909" t="n"/>
      <c r="C498" s="781" t="inlineStr">
        <is>
          <t>Газпром добыча Ноябрьск</t>
        </is>
      </c>
      <c r="D498" s="15" t="n"/>
      <c r="E498" s="15" t="n"/>
      <c r="F498" s="16" t="n"/>
      <c r="G498" s="17">
        <f>G499+G500</f>
        <v/>
      </c>
      <c r="H498" s="636" t="n"/>
      <c r="I498" s="17" t="n"/>
      <c r="J498" s="24" t="inlineStr">
        <is>
          <t>тыс. т</t>
        </is>
      </c>
    </row>
    <row r="499" ht="20.1" customHeight="1" s="904">
      <c r="A499" s="545" t="n"/>
      <c r="B499" s="909" t="n"/>
      <c r="C499" s="737" t="inlineStr">
        <is>
          <t>конденсат (Чаяндинское НГКМ)</t>
        </is>
      </c>
      <c r="D499" s="15" t="n"/>
      <c r="E499" s="15" t="n"/>
      <c r="F499" s="16" t="n"/>
      <c r="G499" s="17" t="inlineStr">
        <is>
          <t>10_100335094</t>
        </is>
      </c>
      <c r="H499" s="636" t="n"/>
      <c r="I499" s="17" t="n"/>
      <c r="J499" s="554" t="inlineStr">
        <is>
          <t>тыс.т</t>
        </is>
      </c>
    </row>
    <row r="500" ht="20.1" customHeight="1" s="904">
      <c r="A500" s="545" t="n"/>
      <c r="B500" s="909" t="n"/>
      <c r="C500" s="737" t="inlineStr">
        <is>
          <t>нефть (Чаяндинское НГКМ)</t>
        </is>
      </c>
      <c r="D500" s="15" t="n"/>
      <c r="E500" s="15" t="n"/>
      <c r="F500" s="16" t="n"/>
      <c r="G500" s="17" t="inlineStr">
        <is>
          <t>10_100335047</t>
        </is>
      </c>
      <c r="H500" s="636" t="n"/>
      <c r="I500" s="17" t="n"/>
      <c r="J500" s="554" t="inlineStr">
        <is>
          <t>тыс.т</t>
        </is>
      </c>
    </row>
    <row r="501" ht="20.1" customHeight="1" s="904">
      <c r="A501" s="545" t="n"/>
      <c r="B501" s="909" t="n"/>
      <c r="C501" s="737" t="inlineStr">
        <is>
          <t>в т.ч. собственные нужды</t>
        </is>
      </c>
      <c r="D501" s="15" t="n"/>
      <c r="E501" s="15" t="n"/>
      <c r="F501" s="16" t="n"/>
      <c r="G501" s="17" t="inlineStr">
        <is>
          <t>10_100335048</t>
        </is>
      </c>
      <c r="H501" s="636" t="n"/>
      <c r="I501" s="17" t="n"/>
      <c r="J501" s="554" t="inlineStr">
        <is>
          <t>тыс.т</t>
        </is>
      </c>
    </row>
    <row r="502" ht="20.1" customHeight="1" s="904">
      <c r="A502" s="545" t="n"/>
      <c r="B502" s="909" t="n"/>
      <c r="C502" s="781" t="inlineStr">
        <is>
          <t>Газпром СПГ Портовая</t>
        </is>
      </c>
      <c r="D502" s="15" t="n"/>
      <c r="E502" s="15" t="n"/>
      <c r="F502" s="16" t="n"/>
      <c r="G502" s="17">
        <f>G503</f>
        <v/>
      </c>
      <c r="H502" s="636" t="n"/>
      <c r="I502" s="17" t="n"/>
      <c r="J502" s="24" t="inlineStr">
        <is>
          <t>тыс. т</t>
        </is>
      </c>
    </row>
    <row r="503" ht="20.1" customHeight="1" s="904">
      <c r="A503" s="545" t="n"/>
      <c r="B503" s="909" t="n"/>
      <c r="C503" s="27" t="inlineStr">
        <is>
          <t>КСПГ Портовая</t>
        </is>
      </c>
      <c r="D503" s="15" t="n"/>
      <c r="E503" s="15" t="n"/>
      <c r="F503" s="16" t="n"/>
      <c r="G503" s="17" t="inlineStr">
        <is>
          <t>15_100335852+15_100335474</t>
        </is>
      </c>
      <c r="H503" s="636" t="n"/>
      <c r="I503" s="17" t="n"/>
      <c r="J503" s="549" t="inlineStr">
        <is>
          <t>тыс. т</t>
        </is>
      </c>
    </row>
    <row r="504" ht="20.1" customHeight="1" s="904">
      <c r="A504" s="545" t="n"/>
      <c r="B504" s="909" t="n"/>
      <c r="C504" s="781" t="inlineStr">
        <is>
          <t>Газпром трансгаз Санкт-Петербург*</t>
        </is>
      </c>
      <c r="D504" s="15" t="n"/>
      <c r="E504" s="15" t="n"/>
      <c r="F504" s="16" t="n"/>
      <c r="G504" s="17">
        <f>0</f>
        <v/>
      </c>
      <c r="H504" s="636" t="n"/>
      <c r="I504" s="17" t="n"/>
      <c r="J504" s="24" t="inlineStr">
        <is>
          <t>тыс.т</t>
        </is>
      </c>
    </row>
    <row r="505" ht="20.1" customHeight="1" s="904">
      <c r="A505" s="545" t="n"/>
      <c r="B505" s="909" t="n"/>
      <c r="C505" s="781" t="inlineStr">
        <is>
          <t>Газпром трансгаз Краснодар*</t>
        </is>
      </c>
      <c r="D505" s="15" t="n"/>
      <c r="E505" s="15" t="n"/>
      <c r="F505" s="16" t="n"/>
      <c r="G505" s="17">
        <f>0</f>
        <v/>
      </c>
      <c r="H505" s="636" t="n"/>
      <c r="I505" s="17" t="n"/>
      <c r="J505" s="24" t="inlineStr">
        <is>
          <t>тыс. т</t>
        </is>
      </c>
    </row>
    <row r="506" ht="20.1" customHeight="1" s="904">
      <c r="A506" s="545" t="n"/>
      <c r="B506" s="20" t="inlineStr">
        <is>
          <t>8.2.</t>
        </is>
      </c>
      <c r="C506" s="28" t="inlineStr">
        <is>
          <t>Дочерние общества</t>
        </is>
      </c>
      <c r="D506" s="15" t="n"/>
      <c r="E506" s="15" t="n"/>
      <c r="F506" s="16" t="n"/>
      <c r="G506" s="17">
        <f>G509+G519+G522+G525+G516+G527+G535+G540</f>
        <v/>
      </c>
      <c r="H506" s="636" t="n"/>
      <c r="I506" s="17" t="n"/>
      <c r="J506" s="24" t="inlineStr">
        <is>
          <t>тыс.т</t>
        </is>
      </c>
    </row>
    <row r="507" outlineLevel="1" ht="20.1" customHeight="1" s="904">
      <c r="A507" s="545" t="n"/>
      <c r="B507" s="909" t="n"/>
      <c r="C507" s="25" t="inlineStr">
        <is>
          <t>Газпром добыча Астрахань</t>
        </is>
      </c>
      <c r="D507" s="15" t="n"/>
      <c r="E507" s="15" t="n"/>
      <c r="F507" s="16" t="n"/>
      <c r="G507" s="17" t="n"/>
      <c r="H507" s="636" t="n"/>
      <c r="I507" s="17" t="n"/>
      <c r="J507" s="24" t="inlineStr">
        <is>
          <t>тыс.т</t>
        </is>
      </c>
    </row>
    <row r="508" outlineLevel="1" ht="20.1" customHeight="1" s="904">
      <c r="A508" s="545" t="n"/>
      <c r="B508" s="909" t="n"/>
      <c r="C508" s="29" t="inlineStr">
        <is>
          <t>Астраханский ГПЗ</t>
        </is>
      </c>
      <c r="D508" s="15" t="n"/>
      <c r="E508" s="15" t="n"/>
      <c r="F508" s="16" t="n"/>
      <c r="G508" s="17" t="n"/>
      <c r="H508" s="636" t="n"/>
      <c r="I508" s="17" t="n"/>
      <c r="J508" s="549" t="inlineStr">
        <is>
          <t>тыс.т</t>
        </is>
      </c>
    </row>
    <row r="509" ht="20.1" customHeight="1" s="904">
      <c r="A509" s="545" t="n"/>
      <c r="B509" s="909" t="n"/>
      <c r="C509" s="781" t="inlineStr">
        <is>
          <t xml:space="preserve">   Газпром переработка</t>
        </is>
      </c>
      <c r="D509" s="15" t="n"/>
      <c r="E509" s="15" t="n"/>
      <c r="F509" s="16" t="n"/>
      <c r="G509" s="17">
        <f>G510</f>
        <v/>
      </c>
      <c r="H509" s="636" t="n"/>
      <c r="I509" s="17" t="n"/>
      <c r="J509" s="24" t="inlineStr">
        <is>
          <t>тыс.т</t>
        </is>
      </c>
    </row>
    <row r="510" ht="20.1" customHeight="1" s="904">
      <c r="A510" s="545" t="n"/>
      <c r="B510" s="909" t="n"/>
      <c r="C510" s="27" t="inlineStr">
        <is>
          <t xml:space="preserve"> Оренбургский ГХК</t>
        </is>
      </c>
      <c r="D510" s="15" t="n"/>
      <c r="E510" s="15" t="n"/>
      <c r="F510" s="16" t="n"/>
      <c r="G510" s="17">
        <f>G511+G514+G515</f>
        <v/>
      </c>
      <c r="H510" s="636" t="n"/>
      <c r="I510" s="17" t="n"/>
      <c r="J510" s="549" t="inlineStr">
        <is>
          <t>тыс.т</t>
        </is>
      </c>
    </row>
    <row r="511" ht="20.1" customHeight="1" s="904">
      <c r="A511" s="545" t="n"/>
      <c r="B511" s="909" t="n"/>
      <c r="C511" s="737" t="inlineStr">
        <is>
          <t>Газпром добыча Оренбург</t>
        </is>
      </c>
      <c r="D511" s="15" t="n"/>
      <c r="E511" s="15" t="n"/>
      <c r="F511" s="16" t="n"/>
      <c r="G511" s="17" t="inlineStr">
        <is>
          <t>2_100332269</t>
        </is>
      </c>
      <c r="H511" s="636" t="n"/>
      <c r="I511" s="17" t="n"/>
      <c r="J511" s="554" t="inlineStr">
        <is>
          <t>тыс.т</t>
        </is>
      </c>
    </row>
    <row r="512" ht="20.1" customHeight="1" s="904">
      <c r="A512" s="545" t="n"/>
      <c r="B512" s="909" t="n"/>
      <c r="C512" s="737" t="inlineStr">
        <is>
          <t xml:space="preserve"> в т.ч. собственная потребность ГПП</t>
        </is>
      </c>
      <c r="D512" s="15" t="n"/>
      <c r="E512" s="15" t="n"/>
      <c r="F512" s="16" t="n"/>
      <c r="G512" s="17">
        <f>0</f>
        <v/>
      </c>
      <c r="H512" s="636" t="n"/>
      <c r="I512" s="17" t="n"/>
      <c r="J512" s="554" t="inlineStr">
        <is>
          <t>тыс.т</t>
        </is>
      </c>
    </row>
    <row r="513" ht="20.1" customHeight="1" s="904">
      <c r="A513" s="545" t="n"/>
      <c r="B513" s="909" t="n"/>
      <c r="C513" s="737" t="inlineStr">
        <is>
          <t xml:space="preserve"> собственная потребность ГДО</t>
        </is>
      </c>
      <c r="D513" s="15" t="n"/>
      <c r="E513" s="15" t="n"/>
      <c r="F513" s="16" t="n"/>
      <c r="G513" s="17" t="inlineStr">
        <is>
          <t>2_100332270</t>
        </is>
      </c>
      <c r="H513" s="636" t="n"/>
      <c r="I513" s="17" t="n"/>
      <c r="J513" s="554" t="inlineStr">
        <is>
          <t>тыс.т</t>
        </is>
      </c>
    </row>
    <row r="514" ht="20.1" customHeight="1" s="904">
      <c r="A514" s="545" t="n"/>
      <c r="B514" s="909" t="n"/>
      <c r="C514" s="737" t="inlineStr">
        <is>
          <t>Газпром нефть</t>
        </is>
      </c>
      <c r="D514" s="15" t="n"/>
      <c r="E514" s="15" t="n"/>
      <c r="F514" s="16" t="n"/>
      <c r="G514" s="17" t="inlineStr">
        <is>
          <t>2_100332271</t>
        </is>
      </c>
      <c r="H514" s="636" t="n"/>
      <c r="I514" s="17" t="n"/>
      <c r="J514" s="554" t="inlineStr">
        <is>
          <t>тыс.т</t>
        </is>
      </c>
    </row>
    <row r="515" ht="20.1" customHeight="1" s="904">
      <c r="A515" s="545" t="n"/>
      <c r="B515" s="909" t="n"/>
      <c r="C515" s="40" t="inlineStr">
        <is>
          <t>прочие поставщики (ГПНЗ, УНГП, и.т.д.)</t>
        </is>
      </c>
      <c r="D515" s="15" t="n"/>
      <c r="E515" s="15" t="n"/>
      <c r="F515" s="16" t="n"/>
      <c r="G515" s="17" t="inlineStr">
        <is>
          <t>2_100332959</t>
        </is>
      </c>
      <c r="H515" s="636" t="n"/>
      <c r="I515" s="17" t="n"/>
      <c r="J515" s="554" t="inlineStr">
        <is>
          <t>тыс.т</t>
        </is>
      </c>
    </row>
    <row r="516" ht="20.1" customHeight="1" s="904">
      <c r="A516" s="545" t="n"/>
      <c r="B516" s="909" t="n"/>
      <c r="C516" s="781" t="inlineStr">
        <is>
          <t>Газпром добыча Уренгой</t>
        </is>
      </c>
      <c r="D516" s="15" t="n"/>
      <c r="E516" s="15" t="n"/>
      <c r="F516" s="16" t="n"/>
      <c r="G516" s="17">
        <f>G517+G518</f>
        <v/>
      </c>
      <c r="H516" s="636" t="n"/>
      <c r="I516" s="17" t="n"/>
      <c r="J516" s="24" t="inlineStr">
        <is>
          <t>тыс. т</t>
        </is>
      </c>
    </row>
    <row r="517" ht="20.1" customHeight="1" s="904">
      <c r="A517" s="545" t="n"/>
      <c r="B517" s="909" t="n"/>
      <c r="C517" s="567" t="inlineStr">
        <is>
          <t xml:space="preserve">               нефть (Уренгойское НГКМ)</t>
        </is>
      </c>
      <c r="D517" s="15" t="n"/>
      <c r="E517" s="15" t="n"/>
      <c r="F517" s="16" t="n"/>
      <c r="G517" s="17" t="inlineStr">
        <is>
          <t>8_100333681+8_100335156</t>
        </is>
      </c>
      <c r="H517" s="636" t="n"/>
      <c r="I517" s="17" t="n"/>
      <c r="J517" s="549" t="inlineStr">
        <is>
          <t>тыс.т</t>
        </is>
      </c>
    </row>
    <row r="518" ht="20.1" customHeight="1" s="904">
      <c r="A518" s="545" t="n"/>
      <c r="B518" s="909" t="n"/>
      <c r="C518" s="736" t="inlineStr">
        <is>
          <t xml:space="preserve">стаб. газ. конденсат, нефть ДРОД </t>
        </is>
      </c>
      <c r="D518" s="15" t="n"/>
      <c r="E518" s="15" t="n"/>
      <c r="F518" s="16" t="n"/>
      <c r="G518" s="17" t="inlineStr">
        <is>
          <t>8_100335917+8_100335916+8_100335911</t>
        </is>
      </c>
      <c r="H518" s="636" t="n"/>
      <c r="I518" s="17" t="n"/>
      <c r="J518" s="554" t="inlineStr">
        <is>
          <t>тыс.т</t>
        </is>
      </c>
    </row>
    <row r="519" ht="20.1" customHeight="1" s="904">
      <c r="A519" s="545" t="n"/>
      <c r="B519" s="909" t="n"/>
      <c r="C519" s="781" t="inlineStr">
        <is>
          <t>Газпром добыча Краснодар</t>
        </is>
      </c>
      <c r="D519" s="15" t="n"/>
      <c r="E519" s="15" t="n"/>
      <c r="F519" s="16" t="n"/>
      <c r="G519" s="17">
        <f>G520+G521</f>
        <v/>
      </c>
      <c r="H519" s="636" t="n"/>
      <c r="I519" s="17" t="n"/>
      <c r="J519" s="24" t="inlineStr">
        <is>
          <t>тыс.т</t>
        </is>
      </c>
    </row>
    <row r="520" ht="20.1" customHeight="1" s="904">
      <c r="A520" s="545" t="n"/>
      <c r="B520" s="909" t="n"/>
      <c r="C520" s="737" t="inlineStr">
        <is>
          <t xml:space="preserve">     в т. ч. НГКС</t>
        </is>
      </c>
      <c r="D520" s="15" t="n"/>
      <c r="E520" s="15" t="n"/>
      <c r="F520" s="16" t="n"/>
      <c r="G520" s="17" t="inlineStr">
        <is>
          <t>9_100330684</t>
        </is>
      </c>
      <c r="H520" s="636" t="n"/>
      <c r="I520" s="17" t="n"/>
      <c r="J520" s="554" t="inlineStr">
        <is>
          <t>тыс.т</t>
        </is>
      </c>
    </row>
    <row r="521" ht="20.1" customHeight="1" s="904">
      <c r="A521" s="545" t="n"/>
      <c r="B521" s="909" t="n"/>
      <c r="C521" s="737" t="inlineStr">
        <is>
          <t>стаб. газовый конденсат</t>
        </is>
      </c>
      <c r="D521" s="15" t="n"/>
      <c r="E521" s="15" t="n"/>
      <c r="F521" s="16" t="n"/>
      <c r="G521" s="17" t="inlineStr">
        <is>
          <t>9_100330879</t>
        </is>
      </c>
      <c r="H521" s="636" t="n"/>
      <c r="I521" s="17" t="n"/>
      <c r="J521" s="554" t="inlineStr">
        <is>
          <t>тыс.т</t>
        </is>
      </c>
    </row>
    <row r="522" ht="20.1" customHeight="1" s="904">
      <c r="A522" s="545" t="n"/>
      <c r="B522" s="909" t="n"/>
      <c r="C522" s="781" t="inlineStr">
        <is>
          <t xml:space="preserve">   Газпром добыча Ямбург</t>
        </is>
      </c>
      <c r="D522" s="15" t="n"/>
      <c r="E522" s="15" t="n"/>
      <c r="F522" s="16" t="n"/>
      <c r="G522" s="17">
        <f>G523+G524</f>
        <v/>
      </c>
      <c r="H522" s="636" t="n"/>
      <c r="I522" s="17" t="n"/>
      <c r="J522" s="24" t="inlineStr">
        <is>
          <t>тыс.т</t>
        </is>
      </c>
    </row>
    <row r="523" ht="20.1" customHeight="1" s="904">
      <c r="A523" s="545" t="n"/>
      <c r="B523" s="909" t="n"/>
      <c r="C523" s="42" t="inlineStr">
        <is>
          <t>стаб. газовый конденсат (Заполярное НГКМ, Ямбургское НГКМ)</t>
        </is>
      </c>
      <c r="D523" s="15" t="n"/>
      <c r="E523" s="15" t="n"/>
      <c r="F523" s="16" t="n"/>
      <c r="G523" s="17" t="inlineStr">
        <is>
          <t>7_100330626</t>
        </is>
      </c>
      <c r="H523" s="636" t="n"/>
      <c r="I523" s="17" t="n"/>
      <c r="J523" s="554" t="inlineStr">
        <is>
          <t>тыс.т</t>
        </is>
      </c>
    </row>
    <row r="524" ht="20.1" customHeight="1" s="904">
      <c r="A524" s="545" t="n"/>
      <c r="B524" s="909" t="n"/>
      <c r="C524" s="737" t="inlineStr">
        <is>
          <t>нефть (Заполярное НГКМ, Ямбургское НГКМ)</t>
        </is>
      </c>
      <c r="D524" s="15" t="n"/>
      <c r="E524" s="15" t="n"/>
      <c r="F524" s="16" t="n"/>
      <c r="G524" s="17" t="inlineStr">
        <is>
          <t>7_100330593+7_100330591</t>
        </is>
      </c>
      <c r="H524" s="636" t="n"/>
      <c r="I524" s="17" t="n"/>
      <c r="J524" s="554" t="inlineStr">
        <is>
          <t>тыс.т</t>
        </is>
      </c>
    </row>
    <row r="525" ht="20.1" customHeight="1" s="904">
      <c r="A525" s="545" t="n"/>
      <c r="B525" s="909" t="n"/>
      <c r="C525" s="781" t="inlineStr">
        <is>
          <t>Сервиснефтегаз</t>
        </is>
      </c>
      <c r="D525" s="15" t="n"/>
      <c r="E525" s="15" t="n"/>
      <c r="F525" s="16" t="n"/>
      <c r="G525" s="17">
        <f>G526</f>
        <v/>
      </c>
      <c r="H525" s="636" t="n"/>
      <c r="I525" s="17" t="n"/>
      <c r="J525" s="24" t="inlineStr">
        <is>
          <t>тыс.т</t>
        </is>
      </c>
    </row>
    <row r="526" ht="20.1" customHeight="1" s="904">
      <c r="A526" s="545" t="n"/>
      <c r="B526" s="909" t="n"/>
      <c r="C526" s="27" t="inlineStr">
        <is>
          <t>Оренбургский ГХК</t>
        </is>
      </c>
      <c r="D526" s="15" t="n"/>
      <c r="E526" s="15" t="n"/>
      <c r="F526" s="16" t="n"/>
      <c r="G526" s="17" t="inlineStr">
        <is>
          <t>2_100332273</t>
        </is>
      </c>
      <c r="H526" s="636" t="n"/>
      <c r="I526" s="17" t="n"/>
      <c r="J526" s="549" t="inlineStr">
        <is>
          <t>тыс.т</t>
        </is>
      </c>
    </row>
    <row r="527" ht="20.1" customHeight="1" s="904">
      <c r="A527" s="545" t="n"/>
      <c r="B527" s="909" t="n"/>
      <c r="C527" s="781" t="inlineStr">
        <is>
          <t>Газпром добыча Ноябрьск</t>
        </is>
      </c>
      <c r="D527" s="15" t="n"/>
      <c r="E527" s="15" t="n"/>
      <c r="F527" s="16" t="n"/>
      <c r="G527" s="17">
        <f>G528+G529+G530+G531+G532+G533</f>
        <v/>
      </c>
      <c r="H527" s="636" t="n"/>
      <c r="I527" s="17" t="n"/>
      <c r="J527" s="24" t="inlineStr">
        <is>
          <t>тыс. т</t>
        </is>
      </c>
    </row>
    <row r="528" ht="20.1" customHeight="1" s="904">
      <c r="A528" s="545" t="n"/>
      <c r="B528" s="909" t="n"/>
      <c r="C528" s="43" t="inlineStr">
        <is>
          <t>конденсат (Камчат. ГПУ - Кшукское ГКМ, Нижне-Квакчикское ГКМ)</t>
        </is>
      </c>
      <c r="D528" s="15" t="n"/>
      <c r="E528" s="15" t="n"/>
      <c r="F528" s="16" t="n"/>
      <c r="G528" s="17" t="inlineStr">
        <is>
          <t>10_100330725</t>
        </is>
      </c>
      <c r="H528" s="636" t="n"/>
      <c r="I528" s="17" t="n"/>
      <c r="J528" s="554" t="inlineStr">
        <is>
          <t>тыс.т</t>
        </is>
      </c>
    </row>
    <row r="529" ht="20.1" customHeight="1" s="904">
      <c r="A529" s="545" t="n"/>
      <c r="B529" s="909" t="n"/>
      <c r="C529" s="737" t="inlineStr">
        <is>
          <t>нефть (Западно-Таркосалинское НГКМ)</t>
        </is>
      </c>
      <c r="D529" s="15" t="n"/>
      <c r="E529" s="15" t="n"/>
      <c r="F529" s="16" t="n"/>
      <c r="G529" s="17" t="inlineStr">
        <is>
          <t>10_100330862</t>
        </is>
      </c>
      <c r="H529" s="636" t="n"/>
      <c r="I529" s="17" t="n"/>
      <c r="J529" s="554" t="inlineStr">
        <is>
          <t>тыс.т</t>
        </is>
      </c>
    </row>
    <row r="530" ht="20.1" customHeight="1" s="904">
      <c r="A530" s="545" t="n"/>
      <c r="B530" s="909" t="n"/>
      <c r="C530" s="737" t="inlineStr">
        <is>
          <t>НГКС (Тас-Юряхское НГКМ)</t>
        </is>
      </c>
      <c r="D530" s="15" t="n"/>
      <c r="E530" s="15" t="n"/>
      <c r="F530" s="16" t="n"/>
      <c r="G530" s="17" t="inlineStr">
        <is>
          <t>10_100336142</t>
        </is>
      </c>
      <c r="H530" s="636" t="n"/>
      <c r="I530" s="17" t="n"/>
      <c r="J530" s="554" t="inlineStr">
        <is>
          <t>тыс.т</t>
        </is>
      </c>
    </row>
    <row r="531" ht="20.1" customHeight="1" s="904">
      <c r="A531" s="545" t="n"/>
      <c r="B531" s="909" t="n"/>
      <c r="C531" s="779" t="inlineStr">
        <is>
          <t>НГКС (Верхневилючанское НГКМ)</t>
        </is>
      </c>
      <c r="D531" s="15" t="n"/>
      <c r="E531" s="15" t="n"/>
      <c r="F531" s="16" t="n"/>
      <c r="G531" s="17" t="inlineStr">
        <is>
          <t>10_100337134</t>
        </is>
      </c>
      <c r="H531" s="636" t="n"/>
      <c r="I531" s="17" t="n"/>
      <c r="J531" s="554" t="n"/>
    </row>
    <row r="532" ht="20.1" customHeight="1" s="904">
      <c r="A532" s="545" t="n"/>
      <c r="B532" s="909" t="n"/>
      <c r="C532" s="780" t="inlineStr">
        <is>
          <t>конденсат (Чаяндинское НГКМ)</t>
        </is>
      </c>
      <c r="D532" s="634" t="n"/>
      <c r="E532" s="634" t="n"/>
      <c r="F532" s="635" t="n"/>
      <c r="G532" s="636" t="inlineStr">
        <is>
          <t>10_100337148</t>
        </is>
      </c>
      <c r="H532" s="636" t="n"/>
      <c r="I532" s="636" t="n"/>
      <c r="J532" s="554" t="n"/>
    </row>
    <row r="533" ht="20.1" customHeight="1" s="904">
      <c r="A533" s="545" t="n"/>
      <c r="B533" s="909" t="n"/>
      <c r="C533" s="780" t="inlineStr">
        <is>
          <t>нефть (Чаяндинское НГКМ)</t>
        </is>
      </c>
      <c r="D533" s="634" t="n"/>
      <c r="E533" s="634" t="n"/>
      <c r="F533" s="635" t="n"/>
      <c r="G533" s="636" t="inlineStr">
        <is>
          <t>10_100337149</t>
        </is>
      </c>
      <c r="H533" s="636" t="n"/>
      <c r="I533" s="636" t="n"/>
      <c r="J533" s="554" t="n"/>
    </row>
    <row r="534" ht="20.1" customHeight="1" s="904">
      <c r="A534" s="545" t="n"/>
      <c r="B534" s="909" t="n"/>
      <c r="C534" s="780" t="inlineStr">
        <is>
          <t>в т.ч. собственные нужды</t>
        </is>
      </c>
      <c r="D534" s="634" t="n"/>
      <c r="E534" s="634" t="n"/>
      <c r="F534" s="635" t="n"/>
      <c r="G534" s="636" t="inlineStr">
        <is>
          <t>10_100337151</t>
        </is>
      </c>
      <c r="H534" s="636" t="n"/>
      <c r="I534" s="636" t="n"/>
      <c r="J534" s="554" t="n"/>
    </row>
    <row r="535" ht="20.1" customHeight="1" s="904">
      <c r="A535" s="545" t="n"/>
      <c r="B535" s="909" t="n"/>
      <c r="C535" s="781" t="inlineStr">
        <is>
          <t>Газпром добыча Надым</t>
        </is>
      </c>
      <c r="D535" s="15" t="n"/>
      <c r="E535" s="15" t="n"/>
      <c r="F535" s="16" t="n"/>
      <c r="G535" s="17" t="inlineStr">
        <is>
          <t>11_100330100</t>
        </is>
      </c>
      <c r="H535" s="636" t="n"/>
      <c r="I535" s="17" t="n"/>
      <c r="J535" s="24" t="inlineStr">
        <is>
          <t>тыс. т</t>
        </is>
      </c>
    </row>
    <row r="536" ht="20.1" customHeight="1" s="904">
      <c r="A536" s="545" t="n"/>
      <c r="B536" s="909" t="n"/>
      <c r="C536" s="738" t="inlineStr">
        <is>
          <t>в т.ч. Медвежье НКГМ</t>
        </is>
      </c>
      <c r="D536" s="15" t="n"/>
      <c r="E536" s="15" t="n"/>
      <c r="F536" s="16" t="n"/>
      <c r="G536" s="17" t="inlineStr">
        <is>
          <t>11_100330702</t>
        </is>
      </c>
      <c r="H536" s="636" t="n"/>
      <c r="I536" s="17" t="n"/>
      <c r="J536" s="554" t="inlineStr">
        <is>
          <t>тыс.т</t>
        </is>
      </c>
    </row>
    <row r="537" ht="20.1" customHeight="1" s="904">
      <c r="A537" s="545" t="n"/>
      <c r="B537" s="909" t="n"/>
      <c r="C537" s="738" t="inlineStr">
        <is>
          <t>в т.ч. Юбилейное НГКМ</t>
        </is>
      </c>
      <c r="D537" s="15" t="n"/>
      <c r="E537" s="15" t="n"/>
      <c r="F537" s="16" t="n"/>
      <c r="G537" s="17" t="inlineStr">
        <is>
          <t>11_100330703</t>
        </is>
      </c>
      <c r="H537" s="636" t="n"/>
      <c r="I537" s="17" t="n"/>
      <c r="J537" s="554" t="inlineStr">
        <is>
          <t>тыс.т</t>
        </is>
      </c>
    </row>
    <row r="538" ht="20.1" customHeight="1" s="904">
      <c r="A538" s="545" t="n"/>
      <c r="B538" s="909" t="n"/>
      <c r="C538" s="738" t="inlineStr">
        <is>
          <t>в т.ч. Бованенковское НГКМ</t>
        </is>
      </c>
      <c r="D538" s="15" t="n"/>
      <c r="E538" s="15" t="n"/>
      <c r="F538" s="16" t="n"/>
      <c r="G538" s="17" t="inlineStr">
        <is>
          <t>11_100330704</t>
        </is>
      </c>
      <c r="H538" s="636" t="n"/>
      <c r="I538" s="17" t="n"/>
      <c r="J538" s="554" t="inlineStr">
        <is>
          <t>тыс.т</t>
        </is>
      </c>
    </row>
    <row r="539" ht="20.1" customHeight="1" s="904">
      <c r="A539" s="545" t="n"/>
      <c r="B539" s="909" t="n"/>
      <c r="C539" s="738" t="inlineStr">
        <is>
          <t>в т.ч. Харасавейское ГКМ</t>
        </is>
      </c>
      <c r="D539" s="15" t="n"/>
      <c r="E539" s="15" t="n"/>
      <c r="F539" s="16" t="n"/>
      <c r="G539" s="17" t="inlineStr">
        <is>
          <t>11_100333688</t>
        </is>
      </c>
      <c r="H539" s="636" t="n"/>
      <c r="I539" s="17" t="n"/>
      <c r="J539" s="554" t="inlineStr">
        <is>
          <t>тыс.т</t>
        </is>
      </c>
    </row>
    <row r="540" ht="20.1" customHeight="1" s="904">
      <c r="A540" s="545" t="n"/>
      <c r="B540" s="909" t="n"/>
      <c r="C540" s="781" t="inlineStr">
        <is>
          <t>Газпром ГНП холдинг</t>
        </is>
      </c>
      <c r="D540" s="15" t="n"/>
      <c r="E540" s="15" t="n"/>
      <c r="F540" s="16" t="n"/>
      <c r="G540" s="17">
        <f>G541</f>
        <v/>
      </c>
      <c r="H540" s="636" t="n"/>
      <c r="I540" s="17" t="n"/>
      <c r="J540" s="24" t="inlineStr">
        <is>
          <t>тыс.т</t>
        </is>
      </c>
    </row>
    <row r="541" ht="20.1" customHeight="1" s="904">
      <c r="A541" s="545" t="n"/>
      <c r="B541" s="909" t="n"/>
      <c r="C541" s="27" t="inlineStr">
        <is>
          <t>Сосногорский ГПЗ</t>
        </is>
      </c>
      <c r="D541" s="15" t="n"/>
      <c r="E541" s="15" t="n"/>
      <c r="F541" s="16" t="n"/>
      <c r="G541" s="17">
        <f>G542</f>
        <v/>
      </c>
      <c r="H541" s="636" t="n"/>
      <c r="I541" s="17" t="n"/>
      <c r="J541" s="549" t="inlineStr">
        <is>
          <t>тыс.т</t>
        </is>
      </c>
    </row>
    <row r="542" ht="20.1" customHeight="1" s="904">
      <c r="A542" s="545" t="n"/>
      <c r="B542" s="909" t="n"/>
      <c r="C542" s="737" t="inlineStr">
        <is>
          <t>ЛУКОЙЛ-Коми</t>
        </is>
      </c>
      <c r="D542" s="15" t="n"/>
      <c r="E542" s="15" t="n"/>
      <c r="F542" s="16" t="n"/>
      <c r="G542" s="17" t="inlineStr">
        <is>
          <t>3_100330582</t>
        </is>
      </c>
      <c r="H542" s="636" t="n"/>
      <c r="I542" s="17" t="n"/>
      <c r="J542" s="554" t="inlineStr">
        <is>
          <t>тыс.т</t>
        </is>
      </c>
    </row>
    <row r="543" ht="20.1" customHeight="1" s="904">
      <c r="A543" s="545" t="n"/>
      <c r="B543" s="909" t="inlineStr">
        <is>
          <t>9.</t>
        </is>
      </c>
      <c r="C543" s="735" t="inlineStr">
        <is>
          <t>Стабильный газовый конденсат и нефть товарные-всего</t>
        </is>
      </c>
      <c r="D543" s="15" t="n"/>
      <c r="E543" s="15" t="n"/>
      <c r="F543" s="16" t="n"/>
      <c r="G543" s="17">
        <f>G544+G550+G551+G554+G555+G556+G557+G558+G559+G561+G562</f>
        <v/>
      </c>
      <c r="H543" s="636" t="n"/>
      <c r="I543" s="17" t="n"/>
      <c r="J543" s="24" t="n"/>
    </row>
    <row r="544" ht="20.1" customHeight="1" s="904">
      <c r="A544" s="545" t="n"/>
      <c r="B544" s="909" t="n"/>
      <c r="C544" s="781" t="inlineStr">
        <is>
          <t xml:space="preserve">   Газпром переработка</t>
        </is>
      </c>
      <c r="D544" s="15" t="n"/>
      <c r="E544" s="15" t="n"/>
      <c r="F544" s="16" t="n"/>
      <c r="G544" s="17">
        <f>G545+G546+G547+G548+G549</f>
        <v/>
      </c>
      <c r="H544" s="636" t="n"/>
      <c r="I544" s="17" t="n"/>
      <c r="J544" s="24" t="inlineStr">
        <is>
          <t>тыс.т</t>
        </is>
      </c>
    </row>
    <row r="545" ht="20.1" customHeight="1" s="904">
      <c r="A545" s="545" t="n"/>
      <c r="B545" s="909" t="n"/>
      <c r="C545" s="27" t="inlineStr">
        <is>
          <t>Астраханский ГПЗ</t>
        </is>
      </c>
      <c r="D545" s="15" t="n"/>
      <c r="E545" s="15" t="n"/>
      <c r="F545" s="16" t="n"/>
      <c r="G545" s="17">
        <f>G565+G595</f>
        <v/>
      </c>
      <c r="H545" s="636" t="n"/>
      <c r="I545" s="17" t="n"/>
      <c r="J545" s="549" t="inlineStr">
        <is>
          <t>тыс.т</t>
        </is>
      </c>
    </row>
    <row r="546" ht="20.1" customHeight="1" s="904">
      <c r="A546" s="545" t="n"/>
      <c r="B546" s="909" t="n"/>
      <c r="C546" s="27" t="inlineStr">
        <is>
          <t>Оренбургский ГХК</t>
        </is>
      </c>
      <c r="D546" s="15" t="n"/>
      <c r="E546" s="15" t="n"/>
      <c r="F546" s="16" t="n"/>
      <c r="G546" s="17">
        <f>G567+G605</f>
        <v/>
      </c>
      <c r="H546" s="636" t="n"/>
      <c r="I546" s="17" t="n"/>
      <c r="J546" s="549" t="inlineStr">
        <is>
          <t>тыс.т</t>
        </is>
      </c>
    </row>
    <row r="547" ht="20.1" customHeight="1" s="904">
      <c r="A547" s="545" t="n"/>
      <c r="B547" s="909" t="n"/>
      <c r="C547" s="27" t="inlineStr">
        <is>
          <t>Сосногорский ГПЗ</t>
        </is>
      </c>
      <c r="D547" s="15" t="n"/>
      <c r="E547" s="15" t="n"/>
      <c r="F547" s="16" t="n"/>
      <c r="G547" s="17">
        <f>G571+G618</f>
        <v/>
      </c>
      <c r="H547" s="636" t="n"/>
      <c r="I547" s="17" t="n"/>
      <c r="J547" s="549" t="inlineStr">
        <is>
          <t>тыс.т</t>
        </is>
      </c>
    </row>
    <row r="548" ht="20.1" customHeight="1" s="904">
      <c r="A548" s="545" t="n"/>
      <c r="B548" s="909" t="n"/>
      <c r="C548" s="27" t="inlineStr">
        <is>
          <t xml:space="preserve">              Уренгойский ЗПКТ</t>
        </is>
      </c>
      <c r="D548" s="15" t="n"/>
      <c r="E548" s="15" t="n"/>
      <c r="F548" s="16" t="n"/>
      <c r="G548" s="17">
        <f>G572</f>
        <v/>
      </c>
      <c r="H548" s="636" t="n"/>
      <c r="I548" s="17" t="n"/>
      <c r="J548" s="549" t="inlineStr">
        <is>
          <t>тыс.т</t>
        </is>
      </c>
    </row>
    <row r="549" ht="20.1" customHeight="1" s="904">
      <c r="A549" s="545" t="n"/>
      <c r="B549" s="909" t="n"/>
      <c r="C549" s="27" t="inlineStr">
        <is>
          <t xml:space="preserve">                Сургутский ЗСК</t>
        </is>
      </c>
      <c r="D549" s="15" t="n"/>
      <c r="E549" s="15" t="n"/>
      <c r="F549" s="16" t="n"/>
      <c r="G549" s="17">
        <f>G575</f>
        <v/>
      </c>
      <c r="H549" s="636" t="n"/>
      <c r="I549" s="17" t="n"/>
      <c r="J549" s="549" t="inlineStr">
        <is>
          <t>тыс.т</t>
        </is>
      </c>
    </row>
    <row r="550" ht="20.1" customHeight="1" s="904">
      <c r="A550" s="545" t="n"/>
      <c r="B550" s="909" t="n"/>
      <c r="C550" s="781" t="inlineStr">
        <is>
          <t>Газпром добыча Уренгой</t>
        </is>
      </c>
      <c r="D550" s="15" t="n"/>
      <c r="E550" s="15" t="n"/>
      <c r="F550" s="16" t="n"/>
      <c r="G550" s="17">
        <f>G576+G596</f>
        <v/>
      </c>
      <c r="H550" s="636" t="n"/>
      <c r="I550" s="17" t="n"/>
      <c r="J550" s="24" t="inlineStr">
        <is>
          <t>тыс. т</t>
        </is>
      </c>
    </row>
    <row r="551" ht="20.1" customHeight="1" s="904">
      <c r="A551" s="545" t="n"/>
      <c r="B551" s="909" t="n"/>
      <c r="C551" s="781" t="inlineStr">
        <is>
          <t>Газпром добыча Краснодар</t>
        </is>
      </c>
      <c r="D551" s="15" t="n"/>
      <c r="E551" s="15" t="n"/>
      <c r="F551" s="16" t="n"/>
      <c r="G551" s="17">
        <f>G552+G553</f>
        <v/>
      </c>
      <c r="H551" s="636" t="n"/>
      <c r="I551" s="17" t="n"/>
      <c r="J551" s="24" t="inlineStr">
        <is>
          <t>тыс.т</t>
        </is>
      </c>
    </row>
    <row r="552" ht="20.1" customHeight="1" s="904">
      <c r="A552" s="545" t="n"/>
      <c r="B552" s="909" t="n"/>
      <c r="C552" s="737" t="inlineStr">
        <is>
          <t xml:space="preserve">     в т. ч. НГКС</t>
        </is>
      </c>
      <c r="D552" s="15" t="n"/>
      <c r="E552" s="15" t="n"/>
      <c r="F552" s="16" t="n"/>
      <c r="G552" s="17">
        <f>G599</f>
        <v/>
      </c>
      <c r="H552" s="636" t="n"/>
      <c r="I552" s="17" t="n"/>
      <c r="J552" s="554" t="inlineStr">
        <is>
          <t>тыс.т</t>
        </is>
      </c>
    </row>
    <row r="553" ht="20.1" customHeight="1" s="904">
      <c r="A553" s="545" t="n"/>
      <c r="B553" s="909" t="n"/>
      <c r="C553" s="737" t="inlineStr">
        <is>
          <t>стаб. газовый конденсат</t>
        </is>
      </c>
      <c r="D553" s="15" t="n"/>
      <c r="E553" s="15" t="n"/>
      <c r="F553" s="16" t="n"/>
      <c r="G553" s="17">
        <f>G600</f>
        <v/>
      </c>
      <c r="H553" s="636" t="n"/>
      <c r="I553" s="17" t="n"/>
      <c r="J553" s="554" t="inlineStr">
        <is>
          <t>тыс.т</t>
        </is>
      </c>
    </row>
    <row r="554" ht="20.1" customHeight="1" s="904">
      <c r="A554" s="545" t="n"/>
      <c r="B554" s="909" t="n"/>
      <c r="C554" s="781" t="inlineStr">
        <is>
          <t xml:space="preserve">   Газпром добыча Ямбург</t>
        </is>
      </c>
      <c r="D554" s="15" t="n"/>
      <c r="E554" s="15" t="n"/>
      <c r="F554" s="16" t="n"/>
      <c r="G554" s="17">
        <f>G585+G601</f>
        <v/>
      </c>
      <c r="H554" s="636" t="n"/>
      <c r="I554" s="17" t="n"/>
      <c r="J554" s="24" t="inlineStr">
        <is>
          <t>тыс.т</t>
        </is>
      </c>
    </row>
    <row r="555" ht="20.1" customHeight="1" s="904">
      <c r="A555" s="545" t="n"/>
      <c r="B555" s="909" t="n"/>
      <c r="C555" s="781" t="inlineStr">
        <is>
          <t>Газпром добыча Иркутск</t>
        </is>
      </c>
      <c r="D555" s="15" t="n"/>
      <c r="E555" s="15" t="n"/>
      <c r="F555" s="16" t="n"/>
      <c r="G555" s="17">
        <f>G578</f>
        <v/>
      </c>
      <c r="H555" s="636" t="n"/>
      <c r="I555" s="17" t="n"/>
      <c r="J555" s="24" t="inlineStr">
        <is>
          <t>тыс. т</t>
        </is>
      </c>
    </row>
    <row r="556" ht="20.1" customHeight="1" s="904">
      <c r="A556" s="545" t="n"/>
      <c r="B556" s="909" t="n"/>
      <c r="C556" s="781" t="inlineStr">
        <is>
          <t>Газпром добыча шельф Южно-Сахалинск</t>
        </is>
      </c>
      <c r="D556" s="15" t="n"/>
      <c r="E556" s="15" t="n"/>
      <c r="F556" s="16" t="n"/>
      <c r="G556" s="17">
        <f>G583</f>
        <v/>
      </c>
      <c r="H556" s="636" t="n"/>
      <c r="I556" s="17" t="n"/>
      <c r="J556" s="24" t="inlineStr">
        <is>
          <t>тыс. т</t>
        </is>
      </c>
    </row>
    <row r="557" ht="20.1" customHeight="1" s="904">
      <c r="A557" s="545" t="n"/>
      <c r="B557" s="909" t="n"/>
      <c r="C557" s="781" t="inlineStr">
        <is>
          <t>Газпром добыча Ноябрьск</t>
        </is>
      </c>
      <c r="D557" s="15" t="n"/>
      <c r="E557" s="15" t="n"/>
      <c r="F557" s="16" t="n"/>
      <c r="G557" s="17">
        <f>G587+G611</f>
        <v/>
      </c>
      <c r="H557" s="636" t="n"/>
      <c r="I557" s="17" t="n"/>
      <c r="J557" s="24" t="inlineStr">
        <is>
          <t>тыс. т</t>
        </is>
      </c>
    </row>
    <row r="558" ht="20.1" customHeight="1" s="904">
      <c r="A558" s="545" t="n"/>
      <c r="B558" s="909" t="n"/>
      <c r="C558" s="781" t="inlineStr">
        <is>
          <t>Газпром добыча Надым</t>
        </is>
      </c>
      <c r="D558" s="15" t="n"/>
      <c r="E558" s="15" t="n"/>
      <c r="F558" s="16" t="n"/>
      <c r="G558" s="17">
        <f>G606</f>
        <v/>
      </c>
      <c r="H558" s="636" t="n"/>
      <c r="I558" s="17" t="n"/>
      <c r="J558" s="24" t="inlineStr">
        <is>
          <t>тыс. т</t>
        </is>
      </c>
    </row>
    <row r="559" ht="20.1" customHeight="1" s="904">
      <c r="A559" s="545" t="n"/>
      <c r="B559" s="909" t="n"/>
      <c r="C559" s="781" t="inlineStr">
        <is>
          <t>Газпром СПГ Портовая</t>
        </is>
      </c>
      <c r="D559" s="15" t="n"/>
      <c r="E559" s="15" t="n"/>
      <c r="F559" s="16" t="n"/>
      <c r="G559" s="17">
        <f>G560</f>
        <v/>
      </c>
      <c r="H559" s="636" t="n"/>
      <c r="I559" s="17" t="n"/>
      <c r="J559" s="24" t="inlineStr">
        <is>
          <t>тыс. т</t>
        </is>
      </c>
    </row>
    <row r="560" ht="20.1" customHeight="1" s="904">
      <c r="A560" s="545" t="n"/>
      <c r="B560" s="909" t="n"/>
      <c r="C560" s="27" t="inlineStr">
        <is>
          <t>КСПГ Портовая</t>
        </is>
      </c>
      <c r="D560" s="15" t="n"/>
      <c r="E560" s="15" t="n"/>
      <c r="F560" s="16" t="n"/>
      <c r="G560" s="17">
        <f>G590</f>
        <v/>
      </c>
      <c r="H560" s="636" t="n"/>
      <c r="I560" s="17" t="n"/>
      <c r="J560" s="549" t="inlineStr">
        <is>
          <t>тыс. т</t>
        </is>
      </c>
    </row>
    <row r="561" ht="20.1" customHeight="1" s="904">
      <c r="A561" s="545" t="n"/>
      <c r="B561" s="909" t="n"/>
      <c r="C561" s="781" t="inlineStr">
        <is>
          <t>Газпром трансгаз Санкт-Петербург*</t>
        </is>
      </c>
      <c r="D561" s="15" t="n"/>
      <c r="E561" s="15" t="n"/>
      <c r="F561" s="16" t="n"/>
      <c r="G561" s="17">
        <f>0</f>
        <v/>
      </c>
      <c r="H561" s="636" t="n"/>
      <c r="I561" s="17" t="n"/>
      <c r="J561" s="24" t="inlineStr">
        <is>
          <t>тыс. т</t>
        </is>
      </c>
    </row>
    <row r="562" ht="20.1" customHeight="1" s="904">
      <c r="A562" s="545" t="n"/>
      <c r="B562" s="909" t="n"/>
      <c r="C562" s="781" t="inlineStr">
        <is>
          <t>Газпром трансгаз Краснодар*</t>
        </is>
      </c>
      <c r="D562" s="15" t="n"/>
      <c r="E562" s="15" t="n"/>
      <c r="F562" s="16" t="n"/>
      <c r="G562" s="17">
        <f>0</f>
        <v/>
      </c>
      <c r="H562" s="636" t="n"/>
      <c r="I562" s="17" t="n"/>
      <c r="J562" s="24" t="inlineStr">
        <is>
          <t>тыс. т</t>
        </is>
      </c>
    </row>
    <row r="563" ht="20.1" customHeight="1" s="904">
      <c r="A563" s="545" t="n"/>
      <c r="B563" s="20" t="inlineStr">
        <is>
          <t>9.1.</t>
        </is>
      </c>
      <c r="C563" s="28" t="inlineStr">
        <is>
          <t>Газпром</t>
        </is>
      </c>
      <c r="D563" s="15" t="n"/>
      <c r="E563" s="15" t="n"/>
      <c r="F563" s="16" t="n"/>
      <c r="G563" s="17">
        <f>G564+G576+G578+G583+G585+G587+G589+G591+G592</f>
        <v/>
      </c>
      <c r="H563" s="636" t="n"/>
      <c r="I563" s="17" t="n"/>
      <c r="J563" s="24" t="inlineStr">
        <is>
          <t>тыс.т</t>
        </is>
      </c>
    </row>
    <row r="564" ht="20.1" customHeight="1" s="904">
      <c r="A564" s="545" t="n"/>
      <c r="B564" s="909" t="n"/>
      <c r="C564" s="781" t="inlineStr">
        <is>
          <t xml:space="preserve">   Газпром переработка</t>
        </is>
      </c>
      <c r="D564" s="15" t="n"/>
      <c r="E564" s="15" t="n"/>
      <c r="F564" s="16" t="n"/>
      <c r="G564" s="17">
        <f>G565+G567+G571+G572+G575</f>
        <v/>
      </c>
      <c r="H564" s="636" t="n"/>
      <c r="I564" s="17" t="n"/>
      <c r="J564" s="24" t="inlineStr">
        <is>
          <t>тыс.т</t>
        </is>
      </c>
    </row>
    <row r="565" ht="20.1" customHeight="1" s="904">
      <c r="A565" s="545" t="n"/>
      <c r="B565" s="909" t="n"/>
      <c r="C565" s="27" t="inlineStr">
        <is>
          <t>Астраханский ГПЗ</t>
        </is>
      </c>
      <c r="D565" s="15" t="n"/>
      <c r="E565" s="15" t="n"/>
      <c r="F565" s="16" t="n"/>
      <c r="G565" s="17" t="inlineStr">
        <is>
          <t>1_100332012</t>
        </is>
      </c>
      <c r="H565" s="636" t="n"/>
      <c r="I565" s="17" t="n"/>
      <c r="J565" s="549" t="inlineStr">
        <is>
          <t>тыс.т</t>
        </is>
      </c>
    </row>
    <row r="566" ht="20.1" customHeight="1" s="904">
      <c r="A566" s="545" t="n"/>
      <c r="B566" s="909" t="n"/>
      <c r="C566" s="27" t="inlineStr">
        <is>
          <t>отгрузка с учетом изменения остатков</t>
        </is>
      </c>
      <c r="D566" s="15" t="n"/>
      <c r="E566" s="15" t="n"/>
      <c r="F566" s="16" t="n"/>
      <c r="G566" s="17" t="inlineStr">
        <is>
          <t>1_100332013</t>
        </is>
      </c>
      <c r="H566" s="636" t="n"/>
      <c r="I566" s="17" t="n"/>
      <c r="J566" s="24" t="inlineStr">
        <is>
          <t>тыс.т</t>
        </is>
      </c>
    </row>
    <row r="567" ht="20.1" customHeight="1" s="904">
      <c r="A567" s="545" t="n"/>
      <c r="B567" s="909" t="n"/>
      <c r="C567" s="27" t="inlineStr">
        <is>
          <t>Оренбургский ГХК</t>
        </is>
      </c>
      <c r="D567" s="15" t="n"/>
      <c r="E567" s="15" t="n"/>
      <c r="F567" s="16" t="n"/>
      <c r="G567" s="17">
        <f>G568+G569+G570</f>
        <v/>
      </c>
      <c r="H567" s="636" t="n"/>
      <c r="I567" s="17" t="n"/>
      <c r="J567" s="549" t="inlineStr">
        <is>
          <t>тыс.т</t>
        </is>
      </c>
    </row>
    <row r="568" ht="20.1" customHeight="1" s="904">
      <c r="A568" s="545" t="n"/>
      <c r="B568" s="909" t="n"/>
      <c r="C568" s="737" t="inlineStr">
        <is>
          <t>Газпром добыча Оренбург</t>
        </is>
      </c>
      <c r="D568" s="15" t="n"/>
      <c r="E568" s="15" t="n"/>
      <c r="F568" s="16" t="n"/>
      <c r="G568" s="17" t="inlineStr">
        <is>
          <t>2_100332255</t>
        </is>
      </c>
      <c r="H568" s="636" t="n"/>
      <c r="I568" s="17" t="n"/>
      <c r="J568" s="554" t="inlineStr">
        <is>
          <t>тыс.т</t>
        </is>
      </c>
    </row>
    <row r="569" ht="20.1" customHeight="1" s="904">
      <c r="A569" s="545" t="n"/>
      <c r="B569" s="909" t="n"/>
      <c r="C569" s="737" t="inlineStr">
        <is>
          <t>Газпром нефть</t>
        </is>
      </c>
      <c r="D569" s="15" t="n"/>
      <c r="E569" s="15" t="n"/>
      <c r="F569" s="16" t="n"/>
      <c r="G569" s="17">
        <f>G514+G482</f>
        <v/>
      </c>
      <c r="H569" s="636" t="n"/>
      <c r="I569" s="17" t="n"/>
      <c r="J569" s="554" t="inlineStr">
        <is>
          <t>тыс.т</t>
        </is>
      </c>
    </row>
    <row r="570" ht="20.1" customHeight="1" s="904">
      <c r="A570" s="545" t="n"/>
      <c r="B570" s="909" t="n"/>
      <c r="C570" s="562" t="inlineStr">
        <is>
          <t>прочие поставщики (ГПНЗ, УНГП, и.т.д.)</t>
        </is>
      </c>
      <c r="D570" s="15" t="n"/>
      <c r="E570" s="15" t="n"/>
      <c r="F570" s="16" t="n"/>
      <c r="G570" s="17">
        <f>G515+G483</f>
        <v/>
      </c>
      <c r="H570" s="636" t="n"/>
      <c r="I570" s="17" t="n"/>
      <c r="J570" s="554" t="inlineStr">
        <is>
          <t>тыс.т</t>
        </is>
      </c>
    </row>
    <row r="571" ht="20.1" customHeight="1" s="904">
      <c r="A571" s="545" t="n"/>
      <c r="B571" s="909" t="n"/>
      <c r="C571" s="27" t="inlineStr">
        <is>
          <t xml:space="preserve">   Сосногорский ГПЗ</t>
        </is>
      </c>
      <c r="D571" s="15" t="n"/>
      <c r="E571" s="15" t="n"/>
      <c r="F571" s="16" t="n"/>
      <c r="G571" s="17">
        <f>G484</f>
        <v/>
      </c>
      <c r="H571" s="636" t="n"/>
      <c r="I571" s="17" t="n"/>
      <c r="J571" s="549" t="inlineStr">
        <is>
          <t>тыс.т</t>
        </is>
      </c>
    </row>
    <row r="572" ht="20.1" customHeight="1" s="904">
      <c r="A572" s="545" t="n"/>
      <c r="B572" s="909" t="n"/>
      <c r="C572" s="27" t="inlineStr">
        <is>
          <t xml:space="preserve">              Уренгойский ЗПКТ</t>
        </is>
      </c>
      <c r="D572" s="15" t="n"/>
      <c r="E572" s="15" t="n"/>
      <c r="F572" s="16" t="n"/>
      <c r="G572" s="17">
        <f>G573+G574</f>
        <v/>
      </c>
      <c r="H572" s="636" t="n"/>
      <c r="I572" s="17" t="n"/>
      <c r="J572" s="549" t="inlineStr">
        <is>
          <t>тыс.т</t>
        </is>
      </c>
    </row>
    <row r="573" ht="20.1" customHeight="1" s="904">
      <c r="A573" s="545" t="n"/>
      <c r="B573" s="909" t="n"/>
      <c r="C573" s="737" t="inlineStr">
        <is>
          <t>от переработки на УДК</t>
        </is>
      </c>
      <c r="D573" s="15" t="n"/>
      <c r="E573" s="15" t="n"/>
      <c r="F573" s="16" t="n"/>
      <c r="G573" s="17" t="inlineStr">
        <is>
          <t>4_100331921</t>
        </is>
      </c>
      <c r="H573" s="636" t="n"/>
      <c r="I573" s="17" t="n"/>
      <c r="J573" s="554" t="inlineStr">
        <is>
          <t>тыс.т</t>
        </is>
      </c>
    </row>
    <row r="574" ht="20.1" customHeight="1" s="904">
      <c r="A574" s="545" t="n"/>
      <c r="B574" s="909" t="n"/>
      <c r="C574" s="737" t="inlineStr">
        <is>
          <t>от переработки на УСК-2</t>
        </is>
      </c>
      <c r="D574" s="15" t="n"/>
      <c r="E574" s="15" t="n"/>
      <c r="F574" s="16" t="n"/>
      <c r="G574" s="17" t="inlineStr">
        <is>
          <t>4_100331924</t>
        </is>
      </c>
      <c r="H574" s="636" t="n"/>
      <c r="I574" s="17" t="n"/>
      <c r="J574" s="554" t="inlineStr">
        <is>
          <t>тыс.т</t>
        </is>
      </c>
    </row>
    <row r="575" ht="20.1" customHeight="1" s="904">
      <c r="A575" s="545" t="n"/>
      <c r="B575" s="909" t="n"/>
      <c r="C575" s="27" t="inlineStr">
        <is>
          <t xml:space="preserve">                Сургутский ЗСК</t>
        </is>
      </c>
      <c r="D575" s="15" t="n"/>
      <c r="E575" s="15" t="n"/>
      <c r="F575" s="16" t="n"/>
      <c r="G575" s="17" t="inlineStr">
        <is>
          <t>4_100331922+4_100331925</t>
        </is>
      </c>
      <c r="H575" s="636" t="n"/>
      <c r="I575" s="17" t="n"/>
      <c r="J575" s="549" t="inlineStr">
        <is>
          <t>тыс.т</t>
        </is>
      </c>
    </row>
    <row r="576" ht="20.1" customHeight="1" s="904">
      <c r="A576" s="545" t="n"/>
      <c r="B576" s="909" t="n"/>
      <c r="C576" s="781" t="inlineStr">
        <is>
          <t>Газпром добыча Уренгой</t>
        </is>
      </c>
      <c r="D576" s="15" t="n"/>
      <c r="E576" s="15" t="n"/>
      <c r="F576" s="16" t="n"/>
      <c r="G576" s="17">
        <f>G577</f>
        <v/>
      </c>
      <c r="H576" s="636" t="n"/>
      <c r="I576" s="17" t="n"/>
      <c r="J576" s="24" t="inlineStr">
        <is>
          <t>тыс. т</t>
        </is>
      </c>
    </row>
    <row r="577" ht="20.1" customHeight="1" s="904">
      <c r="A577" s="545" t="n"/>
      <c r="B577" s="909" t="n"/>
      <c r="C577" s="27" t="inlineStr">
        <is>
          <t>нефть</t>
        </is>
      </c>
      <c r="D577" s="15" t="n"/>
      <c r="E577" s="15" t="n"/>
      <c r="F577" s="16" t="n"/>
      <c r="G577" s="17">
        <f>0</f>
        <v/>
      </c>
      <c r="H577" s="636" t="n"/>
      <c r="I577" s="17" t="n"/>
      <c r="J577" s="549" t="inlineStr">
        <is>
          <t>тыс.т</t>
        </is>
      </c>
    </row>
    <row r="578" ht="20.1" customHeight="1" s="904">
      <c r="A578" s="545" t="n"/>
      <c r="B578" s="909" t="n"/>
      <c r="C578" s="781" t="inlineStr">
        <is>
          <t>Газпром добыча Иркутск</t>
        </is>
      </c>
      <c r="D578" s="15" t="n"/>
      <c r="E578" s="15" t="n"/>
      <c r="F578" s="16" t="n"/>
      <c r="G578" s="17" t="inlineStr">
        <is>
          <t>12_100330867+12_100336113+12_100330737</t>
        </is>
      </c>
      <c r="H578" s="636" t="n"/>
      <c r="I578" s="17" t="n"/>
      <c r="J578" s="24" t="inlineStr">
        <is>
          <t>тыс. т</t>
        </is>
      </c>
    </row>
    <row r="579" ht="20.1" customHeight="1" s="904">
      <c r="A579" s="545" t="n"/>
      <c r="B579" s="909" t="n"/>
      <c r="C579" s="737" t="inlineStr">
        <is>
          <t>СК</t>
        </is>
      </c>
      <c r="D579" s="15" t="n"/>
      <c r="E579" s="15" t="n"/>
      <c r="F579" s="16" t="n"/>
      <c r="G579" s="17" t="inlineStr">
        <is>
          <t>12_100336107+12_100336110+12_100336164+12_100330737</t>
        </is>
      </c>
      <c r="H579" s="636" t="n"/>
      <c r="I579" s="17" t="n"/>
      <c r="J579" s="24" t="inlineStr">
        <is>
          <t>тыс.т</t>
        </is>
      </c>
    </row>
    <row r="580" ht="20.1" customHeight="1" s="904">
      <c r="A580" s="545" t="n"/>
      <c r="B580" s="909" t="n"/>
      <c r="C580" s="737" t="inlineStr">
        <is>
          <t>в т.ч. на стн Газпром добыча Иркутск</t>
        </is>
      </c>
      <c r="D580" s="15" t="n"/>
      <c r="E580" s="15" t="n"/>
      <c r="F580" s="16" t="n"/>
      <c r="G580" s="17" t="inlineStr">
        <is>
          <t>12_100330737</t>
        </is>
      </c>
      <c r="H580" s="636" t="n"/>
      <c r="I580" s="17" t="n"/>
      <c r="J580" s="554" t="inlineStr">
        <is>
          <t>тыс.т</t>
        </is>
      </c>
    </row>
    <row r="581" ht="20.1" customHeight="1" s="904">
      <c r="A581" s="545" t="n"/>
      <c r="B581" s="909" t="n"/>
      <c r="C581" s="737" t="inlineStr">
        <is>
          <t>СК (нефть)</t>
        </is>
      </c>
      <c r="D581" s="15" t="n"/>
      <c r="E581" s="15" t="n"/>
      <c r="F581" s="16" t="n"/>
      <c r="G581" s="17" t="inlineStr">
        <is>
          <t>12_100336112</t>
        </is>
      </c>
      <c r="H581" s="636" t="n"/>
      <c r="I581" s="17" t="n"/>
      <c r="J581" s="554" t="inlineStr">
        <is>
          <t>тыс.т</t>
        </is>
      </c>
    </row>
    <row r="582" ht="20.1" customHeight="1" s="904">
      <c r="A582" s="545" t="n"/>
      <c r="B582" s="909" t="n"/>
      <c r="C582" s="737" t="inlineStr">
        <is>
          <t>в т.ч. нефть покупка</t>
        </is>
      </c>
      <c r="D582" s="15" t="n"/>
      <c r="E582" s="15" t="n"/>
      <c r="F582" s="16" t="n"/>
      <c r="G582" s="17" t="inlineStr">
        <is>
          <t>12_100336113</t>
        </is>
      </c>
      <c r="H582" s="636" t="n"/>
      <c r="I582" s="17" t="n"/>
      <c r="J582" s="554" t="inlineStr">
        <is>
          <t>тыс.т</t>
        </is>
      </c>
    </row>
    <row r="583" ht="20.1" customHeight="1" s="904">
      <c r="A583" s="545" t="n"/>
      <c r="B583" s="909" t="n"/>
      <c r="C583" s="781" t="inlineStr">
        <is>
          <t>Газпром добыча шельф Южно-Сахалинск</t>
        </is>
      </c>
      <c r="D583" s="15" t="n"/>
      <c r="E583" s="15" t="n"/>
      <c r="F583" s="16" t="n"/>
      <c r="G583" s="17">
        <f>G584</f>
        <v/>
      </c>
      <c r="H583" s="636" t="n"/>
      <c r="I583" s="17" t="n"/>
      <c r="J583" s="24" t="inlineStr">
        <is>
          <t>тыс. т</t>
        </is>
      </c>
    </row>
    <row r="584" ht="20.1" customHeight="1" s="904">
      <c r="A584" s="545" t="n"/>
      <c r="B584" s="909" t="n"/>
      <c r="C584" s="737" t="inlineStr">
        <is>
          <t>конденсат (Киринское ГКМ)</t>
        </is>
      </c>
      <c r="D584" s="15" t="n"/>
      <c r="E584" s="15" t="n"/>
      <c r="F584" s="16" t="n"/>
      <c r="G584" s="17">
        <f>G497</f>
        <v/>
      </c>
      <c r="H584" s="636" t="n"/>
      <c r="I584" s="17" t="n"/>
      <c r="J584" s="554" t="inlineStr">
        <is>
          <t>тыс.т</t>
        </is>
      </c>
    </row>
    <row r="585" ht="20.1" customHeight="1" s="904">
      <c r="A585" s="545" t="n"/>
      <c r="B585" s="909" t="n"/>
      <c r="C585" s="781" t="inlineStr">
        <is>
          <t>Газпром добыча Ямбург</t>
        </is>
      </c>
      <c r="D585" s="15" t="n"/>
      <c r="E585" s="15" t="n"/>
      <c r="F585" s="16" t="n"/>
      <c r="G585" s="17">
        <f>G586</f>
        <v/>
      </c>
      <c r="H585" s="636" t="n"/>
      <c r="I585" s="17" t="n"/>
      <c r="J585" s="24" t="inlineStr">
        <is>
          <t>тыс. т</t>
        </is>
      </c>
    </row>
    <row r="586" ht="20.1" customHeight="1" s="904">
      <c r="A586" s="545" t="n"/>
      <c r="B586" s="909" t="n"/>
      <c r="C586" s="737" t="inlineStr">
        <is>
          <t>нефть (Заполярное НГКМ, Ямбургское НГКМ)</t>
        </is>
      </c>
      <c r="D586" s="15" t="n"/>
      <c r="E586" s="15" t="n"/>
      <c r="F586" s="16" t="n"/>
      <c r="G586" s="17" t="inlineStr">
        <is>
          <t>7_100330590+7_100330592</t>
        </is>
      </c>
      <c r="H586" s="636" t="n"/>
      <c r="I586" s="17" t="n"/>
      <c r="J586" s="554" t="inlineStr">
        <is>
          <t>тыс.т</t>
        </is>
      </c>
    </row>
    <row r="587" ht="20.1" customHeight="1" s="904">
      <c r="A587" s="545" t="n"/>
      <c r="B587" s="909" t="n"/>
      <c r="C587" s="781" t="inlineStr">
        <is>
          <t>Газпром добыча Ноябрьск</t>
        </is>
      </c>
      <c r="D587" s="15" t="n"/>
      <c r="E587" s="15" t="n"/>
      <c r="F587" s="16" t="n"/>
      <c r="G587" s="17">
        <f>G588</f>
        <v/>
      </c>
      <c r="H587" s="636" t="n"/>
      <c r="I587" s="17" t="n"/>
      <c r="J587" s="24" t="inlineStr">
        <is>
          <t>тыс. т</t>
        </is>
      </c>
    </row>
    <row r="588" ht="20.1" customHeight="1" s="904">
      <c r="A588" s="545" t="n"/>
      <c r="B588" s="909" t="n"/>
      <c r="C588" s="737" t="inlineStr">
        <is>
          <t>конденсат, нефть (Чаяндинское НГКМ)</t>
        </is>
      </c>
      <c r="D588" s="15" t="n"/>
      <c r="E588" s="15" t="n"/>
      <c r="F588" s="16" t="n"/>
      <c r="G588" s="17" t="inlineStr">
        <is>
          <t>10_100335045</t>
        </is>
      </c>
      <c r="H588" s="636" t="n"/>
      <c r="I588" s="17" t="n"/>
      <c r="J588" s="554" t="inlineStr">
        <is>
          <t>тыс.т</t>
        </is>
      </c>
    </row>
    <row r="589" ht="20.1" customHeight="1" s="904">
      <c r="A589" s="545" t="n"/>
      <c r="B589" s="909" t="n"/>
      <c r="C589" s="781" t="inlineStr">
        <is>
          <t>Газпром СПГ Портовая</t>
        </is>
      </c>
      <c r="D589" s="15" t="n"/>
      <c r="E589" s="15" t="n"/>
      <c r="F589" s="16" t="n"/>
      <c r="G589" s="17">
        <f>G590</f>
        <v/>
      </c>
      <c r="H589" s="636" t="n"/>
      <c r="I589" s="17" t="n"/>
      <c r="J589" s="24" t="inlineStr">
        <is>
          <t>тыс. т</t>
        </is>
      </c>
    </row>
    <row r="590" ht="20.1" customHeight="1" s="904">
      <c r="A590" s="545" t="n"/>
      <c r="B590" s="909" t="n"/>
      <c r="C590" s="27" t="inlineStr">
        <is>
          <t>КСПГ Портовая</t>
        </is>
      </c>
      <c r="D590" s="15" t="n"/>
      <c r="E590" s="15" t="n"/>
      <c r="F590" s="16" t="n"/>
      <c r="G590" s="17">
        <f>G503</f>
        <v/>
      </c>
      <c r="H590" s="636" t="n"/>
      <c r="I590" s="17" t="n"/>
      <c r="J590" s="549" t="inlineStr">
        <is>
          <t>тыс. т</t>
        </is>
      </c>
    </row>
    <row r="591" ht="20.1" customHeight="1" s="904">
      <c r="A591" s="545" t="n"/>
      <c r="B591" s="909" t="n"/>
      <c r="C591" s="781" t="inlineStr">
        <is>
          <t>Газпром трансгаз Санкт-Петербург*</t>
        </is>
      </c>
      <c r="D591" s="15" t="n"/>
      <c r="E591" s="15" t="n"/>
      <c r="F591" s="16" t="n"/>
      <c r="G591" s="17">
        <f>0</f>
        <v/>
      </c>
      <c r="H591" s="636" t="n"/>
      <c r="I591" s="17" t="n"/>
      <c r="J591" s="24" t="inlineStr">
        <is>
          <t>тыс.т</t>
        </is>
      </c>
    </row>
    <row r="592" ht="20.1" customHeight="1" s="904">
      <c r="A592" s="545" t="n"/>
      <c r="B592" s="909" t="n"/>
      <c r="C592" s="781" t="inlineStr">
        <is>
          <t>Газпром трансгаз Краснодар*</t>
        </is>
      </c>
      <c r="D592" s="15" t="n"/>
      <c r="E592" s="15" t="n"/>
      <c r="F592" s="16" t="n"/>
      <c r="G592" s="17">
        <f>0</f>
        <v/>
      </c>
      <c r="H592" s="636" t="n"/>
      <c r="I592" s="17" t="n"/>
      <c r="J592" s="24" t="inlineStr">
        <is>
          <t>тыс. т</t>
        </is>
      </c>
    </row>
    <row r="593" ht="20.1" customHeight="1" s="904">
      <c r="A593" s="545" t="n"/>
      <c r="B593" s="20" t="inlineStr">
        <is>
          <t>9.2.</t>
        </is>
      </c>
      <c r="C593" s="28" t="inlineStr">
        <is>
          <t>Дочерние общества</t>
        </is>
      </c>
      <c r="D593" s="15" t="n"/>
      <c r="E593" s="15" t="n"/>
      <c r="F593" s="16" t="n"/>
      <c r="G593" s="17">
        <f>G598+G601+G594+G596+G604+G606+G611+G617</f>
        <v/>
      </c>
      <c r="H593" s="636" t="n"/>
      <c r="I593" s="17" t="n"/>
      <c r="J593" s="24" t="inlineStr">
        <is>
          <t>тыс.т</t>
        </is>
      </c>
    </row>
    <row r="594" ht="20.1" customHeight="1" s="904">
      <c r="A594" s="545" t="n"/>
      <c r="B594" s="909" t="n"/>
      <c r="C594" s="781" t="inlineStr">
        <is>
          <t xml:space="preserve">   Газпром переработка</t>
        </is>
      </c>
      <c r="D594" s="15" t="n"/>
      <c r="E594" s="15" t="n"/>
      <c r="F594" s="16" t="n"/>
      <c r="G594" s="17">
        <f>G595</f>
        <v/>
      </c>
      <c r="H594" s="636" t="n"/>
      <c r="I594" s="17" t="n"/>
      <c r="J594" s="24" t="inlineStr">
        <is>
          <t>тыс.т</t>
        </is>
      </c>
    </row>
    <row r="595" ht="20.1" customHeight="1" s="904">
      <c r="A595" s="545" t="n"/>
      <c r="B595" s="909" t="n"/>
      <c r="C595" s="27" t="inlineStr">
        <is>
          <t>Астраханский ГПЗ</t>
        </is>
      </c>
      <c r="D595" s="15" t="n"/>
      <c r="E595" s="15" t="n"/>
      <c r="F595" s="16" t="n"/>
      <c r="G595" s="17">
        <f>0</f>
        <v/>
      </c>
      <c r="H595" s="636" t="n"/>
      <c r="I595" s="17" t="n"/>
      <c r="J595" s="549" t="inlineStr">
        <is>
          <t>тыс.т</t>
        </is>
      </c>
    </row>
    <row r="596" ht="20.1" customHeight="1" s="904">
      <c r="A596" s="545" t="n"/>
      <c r="B596" s="909" t="n"/>
      <c r="C596" s="781" t="inlineStr">
        <is>
          <t>Газпром добыча Уренгой</t>
        </is>
      </c>
      <c r="D596" s="15" t="n"/>
      <c r="E596" s="15" t="n"/>
      <c r="F596" s="16" t="n"/>
      <c r="G596" s="17" t="inlineStr">
        <is>
          <t>8_100335917+8_100335916+8_100335911</t>
        </is>
      </c>
      <c r="H596" s="636" t="n"/>
      <c r="I596" s="17" t="n"/>
      <c r="J596" s="24" t="inlineStr">
        <is>
          <t>тыс. т</t>
        </is>
      </c>
    </row>
    <row r="597" ht="20.1" customHeight="1" s="904">
      <c r="A597" s="545" t="n"/>
      <c r="B597" s="909" t="n"/>
      <c r="C597" s="736" t="inlineStr">
        <is>
          <t xml:space="preserve">стаб. газ. конденсат, нефть ДРОД </t>
        </is>
      </c>
      <c r="D597" s="15" t="n"/>
      <c r="E597" s="15" t="n"/>
      <c r="F597" s="16" t="n"/>
      <c r="G597" s="17" t="inlineStr">
        <is>
          <t>8_100335917+8_100335916+8_100335911</t>
        </is>
      </c>
      <c r="H597" s="636" t="n"/>
      <c r="I597" s="17" t="n"/>
      <c r="J597" s="554" t="inlineStr">
        <is>
          <t>тыс.т</t>
        </is>
      </c>
    </row>
    <row r="598" ht="20.1" customHeight="1" s="904">
      <c r="A598" s="545" t="n"/>
      <c r="B598" s="909" t="n"/>
      <c r="C598" s="781" t="inlineStr">
        <is>
          <t>Газпром добыча Краснодар</t>
        </is>
      </c>
      <c r="D598" s="15" t="n"/>
      <c r="E598" s="15" t="n"/>
      <c r="F598" s="16" t="n"/>
      <c r="G598" s="17">
        <f>G599+G600</f>
        <v/>
      </c>
      <c r="H598" s="636" t="n"/>
      <c r="I598" s="17" t="n"/>
      <c r="J598" s="24" t="inlineStr">
        <is>
          <t>тыс.т</t>
        </is>
      </c>
    </row>
    <row r="599" ht="20.1" customHeight="1" s="904">
      <c r="A599" s="545" t="n"/>
      <c r="B599" s="909" t="n"/>
      <c r="C599" s="737" t="inlineStr">
        <is>
          <t xml:space="preserve">     в т. ч. НГКС</t>
        </is>
      </c>
      <c r="D599" s="15" t="n"/>
      <c r="E599" s="15" t="n"/>
      <c r="F599" s="16" t="n"/>
      <c r="G599" s="17" t="inlineStr">
        <is>
          <t>9_100330683</t>
        </is>
      </c>
      <c r="H599" s="636" t="n"/>
      <c r="I599" s="17" t="n"/>
      <c r="J599" s="554" t="inlineStr">
        <is>
          <t>тыс.т</t>
        </is>
      </c>
    </row>
    <row r="600" ht="20.1" customHeight="1" s="904">
      <c r="A600" s="545" t="n"/>
      <c r="B600" s="909" t="n"/>
      <c r="C600" s="737" t="inlineStr">
        <is>
          <t>стаб. газовый конденсат</t>
        </is>
      </c>
      <c r="D600" s="15" t="n"/>
      <c r="E600" s="15" t="n"/>
      <c r="F600" s="16" t="n"/>
      <c r="G600" s="17" t="inlineStr">
        <is>
          <t>9_100335068</t>
        </is>
      </c>
      <c r="H600" s="636" t="n"/>
      <c r="I600" s="17" t="n"/>
      <c r="J600" s="554" t="inlineStr">
        <is>
          <t>тыс.т</t>
        </is>
      </c>
    </row>
    <row r="601" ht="20.1" customHeight="1" s="904">
      <c r="A601" s="545" t="n"/>
      <c r="B601" s="909" t="n"/>
      <c r="C601" s="781" t="inlineStr">
        <is>
          <t xml:space="preserve">   Газпром добыча Ямбург</t>
        </is>
      </c>
      <c r="D601" s="15" t="n"/>
      <c r="E601" s="15" t="n"/>
      <c r="F601" s="16" t="n"/>
      <c r="G601" s="17">
        <f>G602+G603</f>
        <v/>
      </c>
      <c r="H601" s="636" t="n"/>
      <c r="I601" s="17" t="n"/>
      <c r="J601" s="24" t="inlineStr">
        <is>
          <t>тыс.т</t>
        </is>
      </c>
    </row>
    <row r="602" ht="20.1" customHeight="1" s="904">
      <c r="A602" s="545" t="n"/>
      <c r="B602" s="909" t="n"/>
      <c r="C602" s="42" t="inlineStr">
        <is>
          <t>стаб. газовый конденсат (Заполярное НГКМ, Ямбургское НГКМ)</t>
        </is>
      </c>
      <c r="D602" s="15" t="n"/>
      <c r="E602" s="15" t="n"/>
      <c r="F602" s="16" t="n"/>
      <c r="G602" s="17" t="inlineStr">
        <is>
          <t>7_100330601</t>
        </is>
      </c>
      <c r="H602" s="636" t="n"/>
      <c r="I602" s="17" t="n"/>
      <c r="J602" s="554" t="inlineStr">
        <is>
          <t>тыс.т</t>
        </is>
      </c>
    </row>
    <row r="603" ht="20.1" customHeight="1" s="904">
      <c r="A603" s="545" t="n"/>
      <c r="B603" s="909" t="n"/>
      <c r="C603" s="737" t="inlineStr">
        <is>
          <t>нефть (Заполярное НГКМ, Ямбургское НГКМ)</t>
        </is>
      </c>
      <c r="D603" s="15" t="n"/>
      <c r="E603" s="15" t="n"/>
      <c r="F603" s="16" t="n"/>
      <c r="G603" s="17">
        <f>G524</f>
        <v/>
      </c>
      <c r="H603" s="636" t="n"/>
      <c r="I603" s="17" t="n"/>
      <c r="J603" s="554" t="inlineStr">
        <is>
          <t>тыс.т</t>
        </is>
      </c>
    </row>
    <row r="604" ht="20.1" customHeight="1" s="904">
      <c r="A604" s="545" t="n"/>
      <c r="B604" s="909" t="n"/>
      <c r="C604" s="781" t="inlineStr">
        <is>
          <t>Сервиснефтегаз</t>
        </is>
      </c>
      <c r="D604" s="15" t="n"/>
      <c r="E604" s="15" t="n"/>
      <c r="F604" s="16" t="n"/>
      <c r="G604" s="17">
        <f>G605</f>
        <v/>
      </c>
      <c r="H604" s="636" t="n"/>
      <c r="I604" s="17" t="n"/>
      <c r="J604" s="24" t="inlineStr">
        <is>
          <t>тыс.т</t>
        </is>
      </c>
    </row>
    <row r="605" ht="20.1" customHeight="1" s="904">
      <c r="A605" s="545" t="n"/>
      <c r="B605" s="909" t="n"/>
      <c r="C605" s="27" t="inlineStr">
        <is>
          <t>Оренбургский ГХК</t>
        </is>
      </c>
      <c r="D605" s="15" t="n"/>
      <c r="E605" s="15" t="n"/>
      <c r="F605" s="16" t="n"/>
      <c r="G605" s="17">
        <f>G526</f>
        <v/>
      </c>
      <c r="H605" s="636" t="n"/>
      <c r="I605" s="17" t="n"/>
      <c r="J605" s="549" t="inlineStr">
        <is>
          <t>тыс.т</t>
        </is>
      </c>
    </row>
    <row r="606" ht="20.1" customHeight="1" s="904">
      <c r="A606" s="545" t="n"/>
      <c r="B606" s="909" t="n"/>
      <c r="C606" s="781" t="inlineStr">
        <is>
          <t>Газпром добыча Надым</t>
        </is>
      </c>
      <c r="D606" s="15" t="n"/>
      <c r="E606" s="15" t="n"/>
      <c r="F606" s="16" t="n"/>
      <c r="G606" s="17">
        <f>G535</f>
        <v/>
      </c>
      <c r="H606" s="636" t="n"/>
      <c r="I606" s="17" t="n"/>
      <c r="J606" s="24" t="inlineStr">
        <is>
          <t>тыс. т</t>
        </is>
      </c>
    </row>
    <row r="607" ht="20.1" customHeight="1" s="904">
      <c r="A607" s="545" t="n"/>
      <c r="B607" s="909" t="n"/>
      <c r="C607" s="738" t="inlineStr">
        <is>
          <t>в т.ч. Медвежье НКГМ</t>
        </is>
      </c>
      <c r="D607" s="15" t="n"/>
      <c r="E607" s="15" t="n"/>
      <c r="F607" s="16" t="n"/>
      <c r="G607" s="17">
        <f>G536</f>
        <v/>
      </c>
      <c r="H607" s="636" t="n"/>
      <c r="I607" s="17" t="n"/>
      <c r="J607" s="554" t="inlineStr">
        <is>
          <t>тыс.т</t>
        </is>
      </c>
    </row>
    <row r="608" ht="20.1" customHeight="1" s="904">
      <c r="A608" s="545" t="n"/>
      <c r="B608" s="909" t="n"/>
      <c r="C608" s="738" t="inlineStr">
        <is>
          <t>в т.ч. Юбилейное НГКМ</t>
        </is>
      </c>
      <c r="D608" s="15" t="n"/>
      <c r="E608" s="15" t="n"/>
      <c r="F608" s="16" t="n"/>
      <c r="G608" s="17">
        <f>G537</f>
        <v/>
      </c>
      <c r="H608" s="636" t="n"/>
      <c r="I608" s="17" t="n"/>
      <c r="J608" s="554" t="inlineStr">
        <is>
          <t>тыс.т</t>
        </is>
      </c>
    </row>
    <row r="609" ht="20.1" customHeight="1" s="904">
      <c r="A609" s="545" t="n"/>
      <c r="B609" s="909" t="n"/>
      <c r="C609" s="738" t="inlineStr">
        <is>
          <t>в т.ч. Бованенковское НГКМ</t>
        </is>
      </c>
      <c r="D609" s="15" t="n"/>
      <c r="E609" s="15" t="n"/>
      <c r="F609" s="16" t="n"/>
      <c r="G609" s="17">
        <f>G538</f>
        <v/>
      </c>
      <c r="H609" s="636" t="n"/>
      <c r="I609" s="17" t="n"/>
      <c r="J609" s="554" t="inlineStr">
        <is>
          <t>тыс.т</t>
        </is>
      </c>
    </row>
    <row r="610" ht="20.1" customHeight="1" s="904">
      <c r="A610" s="545" t="n"/>
      <c r="B610" s="909" t="n"/>
      <c r="C610" s="738" t="inlineStr">
        <is>
          <t>в т.ч. Харасавейское ГКМ</t>
        </is>
      </c>
      <c r="D610" s="15" t="n"/>
      <c r="E610" s="15" t="n"/>
      <c r="F610" s="16" t="n"/>
      <c r="G610" s="17">
        <f>G539</f>
        <v/>
      </c>
      <c r="H610" s="636" t="n"/>
      <c r="I610" s="17" t="n"/>
      <c r="J610" s="554" t="inlineStr">
        <is>
          <t>тыс.т</t>
        </is>
      </c>
    </row>
    <row r="611" ht="20.1" customHeight="1" s="904">
      <c r="A611" s="545" t="n"/>
      <c r="B611" s="909" t="n"/>
      <c r="C611" s="781" t="inlineStr">
        <is>
          <t>Газпром добыча Ноябрьск</t>
        </is>
      </c>
      <c r="D611" s="15" t="n"/>
      <c r="E611" s="15" t="n"/>
      <c r="F611" s="16" t="n"/>
      <c r="G611" s="17">
        <f>G612+G613+G614+G615+G616</f>
        <v/>
      </c>
      <c r="H611" s="636" t="n"/>
      <c r="I611" s="17" t="n"/>
      <c r="J611" s="24" t="inlineStr">
        <is>
          <t>тыс. т</t>
        </is>
      </c>
    </row>
    <row r="612" ht="20.1" customHeight="1" s="904">
      <c r="A612" s="545" t="n"/>
      <c r="B612" s="909" t="n"/>
      <c r="C612" s="44" t="inlineStr">
        <is>
          <t>конденсат (Камчатское ГПУ -Кшукское ГКМ, Нижне-Квакчикское ГКМ)</t>
        </is>
      </c>
      <c r="D612" s="15" t="n"/>
      <c r="E612" s="15" t="n"/>
      <c r="F612" s="16" t="n"/>
      <c r="G612" s="17">
        <f>G528</f>
        <v/>
      </c>
      <c r="H612" s="636" t="n"/>
      <c r="I612" s="17" t="n"/>
      <c r="J612" s="554" t="inlineStr">
        <is>
          <t>тыс.т</t>
        </is>
      </c>
    </row>
    <row r="613" ht="20.1" customHeight="1" s="904">
      <c r="A613" s="545" t="n"/>
      <c r="B613" s="909" t="n"/>
      <c r="C613" s="737" t="inlineStr">
        <is>
          <t>нефть (Западно-Таркосалинское НГКМ)</t>
        </is>
      </c>
      <c r="D613" s="15" t="n"/>
      <c r="E613" s="15" t="n"/>
      <c r="F613" s="16" t="n"/>
      <c r="G613" s="17">
        <f>G529</f>
        <v/>
      </c>
      <c r="H613" s="636" t="n"/>
      <c r="I613" s="17" t="n"/>
      <c r="J613" s="554" t="inlineStr">
        <is>
          <t>тыс.т</t>
        </is>
      </c>
    </row>
    <row r="614" ht="20.1" customHeight="1" s="904">
      <c r="A614" s="545" t="n"/>
      <c r="B614" s="909" t="n"/>
      <c r="C614" s="738" t="inlineStr">
        <is>
          <t>НГКС (Тас-Юряхское НГКМ)</t>
        </is>
      </c>
      <c r="D614" s="15" t="n"/>
      <c r="E614" s="15" t="n"/>
      <c r="F614" s="16" t="n"/>
      <c r="G614" s="17">
        <f>G530</f>
        <v/>
      </c>
      <c r="H614" s="636" t="n"/>
      <c r="I614" s="17" t="n"/>
      <c r="J614" s="554" t="inlineStr">
        <is>
          <t>тыс.т</t>
        </is>
      </c>
    </row>
    <row r="615" ht="20.1" customHeight="1" s="904">
      <c r="A615" s="545" t="n"/>
      <c r="B615" s="909" t="n"/>
      <c r="C615" s="779" t="inlineStr">
        <is>
          <t>НГКС (Верхневилючанское НГКМ)</t>
        </is>
      </c>
      <c r="D615" s="15" t="n"/>
      <c r="E615" s="15" t="n"/>
      <c r="F615" s="16" t="n"/>
      <c r="G615" s="17" t="inlineStr">
        <is>
          <t>10_100337134</t>
        </is>
      </c>
      <c r="H615" s="636" t="n"/>
      <c r="I615" s="17" t="n"/>
      <c r="J615" s="554" t="n"/>
    </row>
    <row r="616" ht="20.1" customHeight="1" s="904">
      <c r="A616" s="545" t="n"/>
      <c r="B616" s="909" t="n"/>
      <c r="C616" s="780" t="inlineStr">
        <is>
          <t>конденсат, нефть (Чаяндинское НГКМ)</t>
        </is>
      </c>
      <c r="D616" s="634" t="n"/>
      <c r="E616" s="634" t="n"/>
      <c r="F616" s="635" t="n"/>
      <c r="G616" s="636" t="inlineStr">
        <is>
          <t>10_100337147</t>
        </is>
      </c>
      <c r="H616" s="636" t="n"/>
      <c r="I616" s="636" t="n"/>
      <c r="J616" s="554" t="n"/>
    </row>
    <row r="617" ht="19.5" customHeight="1" s="904">
      <c r="A617" s="545" t="n"/>
      <c r="B617" s="909" t="n"/>
      <c r="C617" s="781" t="inlineStr">
        <is>
          <t>Газпром ГНП холдинг</t>
        </is>
      </c>
      <c r="D617" s="15" t="n"/>
      <c r="E617" s="15" t="n"/>
      <c r="F617" s="16" t="n"/>
      <c r="G617" s="17">
        <f>G618</f>
        <v/>
      </c>
      <c r="H617" s="636" t="n"/>
      <c r="I617" s="17" t="n"/>
      <c r="J617" s="24" t="inlineStr">
        <is>
          <t>тыс.т</t>
        </is>
      </c>
    </row>
    <row r="618" ht="20.1" customHeight="1" s="904">
      <c r="A618" s="545" t="n"/>
      <c r="B618" s="909" t="n"/>
      <c r="C618" s="27" t="inlineStr">
        <is>
          <t>Сосногорский ГПЗ</t>
        </is>
      </c>
      <c r="D618" s="15" t="n"/>
      <c r="E618" s="15" t="n"/>
      <c r="F618" s="16" t="n"/>
      <c r="G618" s="17">
        <f>G619</f>
        <v/>
      </c>
      <c r="H618" s="636" t="n"/>
      <c r="I618" s="17" t="n"/>
      <c r="J618" s="549" t="inlineStr">
        <is>
          <t>тыс.т</t>
        </is>
      </c>
    </row>
    <row r="619" ht="20.1" customHeight="1" s="904">
      <c r="A619" s="545" t="n"/>
      <c r="B619" s="909" t="n"/>
      <c r="C619" s="737" t="inlineStr">
        <is>
          <t>ЛУКОЙЛ-Коми</t>
        </is>
      </c>
      <c r="D619" s="15" t="n"/>
      <c r="E619" s="15" t="n"/>
      <c r="F619" s="16" t="n"/>
      <c r="G619" s="17">
        <f>G542</f>
        <v/>
      </c>
      <c r="H619" s="636" t="n"/>
      <c r="I619" s="17" t="n"/>
      <c r="J619" s="554" t="inlineStr">
        <is>
          <t>тыс.т</t>
        </is>
      </c>
    </row>
    <row r="620" ht="20.1" customHeight="1" s="904">
      <c r="A620" s="545" t="n"/>
      <c r="B620" s="909" t="inlineStr">
        <is>
          <t>10.</t>
        </is>
      </c>
      <c r="C620" s="735" t="inlineStr">
        <is>
          <t>Бензин автомобильный-всего</t>
        </is>
      </c>
      <c r="D620" s="15" t="n"/>
      <c r="E620" s="15" t="n"/>
      <c r="F620" s="16" t="n"/>
      <c r="G620" s="17">
        <f>G621</f>
        <v/>
      </c>
      <c r="H620" s="636" t="n"/>
      <c r="I620" s="17" t="n"/>
      <c r="J620" s="24" t="inlineStr">
        <is>
          <t>тыс.т</t>
        </is>
      </c>
    </row>
    <row r="621" ht="20.1" customHeight="1" s="904">
      <c r="A621" s="545" t="n"/>
      <c r="B621" s="909" t="n"/>
      <c r="C621" s="781" t="inlineStr">
        <is>
          <t xml:space="preserve">   Газпром переработка</t>
        </is>
      </c>
      <c r="D621" s="15" t="n"/>
      <c r="E621" s="15" t="n"/>
      <c r="F621" s="16" t="n"/>
      <c r="G621" s="17">
        <f>G622+G623</f>
        <v/>
      </c>
      <c r="H621" s="636" t="n"/>
      <c r="I621" s="17" t="n"/>
      <c r="J621" s="24" t="inlineStr">
        <is>
          <t>тыс.т</t>
        </is>
      </c>
    </row>
    <row r="622" ht="20.1" customHeight="1" s="904">
      <c r="A622" s="545" t="n"/>
      <c r="B622" s="909" t="n"/>
      <c r="C622" s="27" t="inlineStr">
        <is>
          <t>Астраханский ГПЗ</t>
        </is>
      </c>
      <c r="D622" s="15" t="n"/>
      <c r="E622" s="15" t="n"/>
      <c r="F622" s="16" t="n"/>
      <c r="G622" s="17">
        <f>G626+G635</f>
        <v/>
      </c>
      <c r="H622" s="636" t="n"/>
      <c r="I622" s="17" t="n"/>
      <c r="J622" s="549" t="inlineStr">
        <is>
          <t>тыс.т</t>
        </is>
      </c>
    </row>
    <row r="623" ht="20.1" customHeight="1" s="904">
      <c r="A623" s="545" t="n"/>
      <c r="B623" s="909" t="n"/>
      <c r="C623" s="27" t="inlineStr">
        <is>
          <t xml:space="preserve">                Сургутский ЗСК</t>
        </is>
      </c>
      <c r="D623" s="15" t="n"/>
      <c r="E623" s="15" t="n"/>
      <c r="F623" s="16" t="n"/>
      <c r="G623" s="17">
        <f>G630</f>
        <v/>
      </c>
      <c r="H623" s="636" t="n"/>
      <c r="I623" s="17" t="n"/>
      <c r="J623" s="549" t="inlineStr">
        <is>
          <t>тыс.т</t>
        </is>
      </c>
    </row>
    <row r="624" ht="20.1" customHeight="1" s="904">
      <c r="A624" s="545" t="n"/>
      <c r="B624" s="20" t="inlineStr">
        <is>
          <t>10.1.</t>
        </is>
      </c>
      <c r="C624" s="28" t="inlineStr">
        <is>
          <t>Газпром</t>
        </is>
      </c>
      <c r="D624" s="15" t="n"/>
      <c r="E624" s="15" t="n"/>
      <c r="F624" s="16" t="n"/>
      <c r="G624" s="17" t="n"/>
      <c r="H624" s="636" t="n"/>
      <c r="I624" s="17" t="n"/>
      <c r="J624" s="24" t="n"/>
    </row>
    <row r="625" ht="20.1" customHeight="1" s="904">
      <c r="A625" s="545" t="n"/>
      <c r="B625" s="909" t="n"/>
      <c r="C625" s="781" t="inlineStr">
        <is>
          <t xml:space="preserve">   Газпром переработка</t>
        </is>
      </c>
      <c r="D625" s="15" t="n"/>
      <c r="E625" s="15" t="n"/>
      <c r="F625" s="16" t="n"/>
      <c r="G625" s="17">
        <f>G626+G630</f>
        <v/>
      </c>
      <c r="H625" s="636" t="n"/>
      <c r="I625" s="17" t="n"/>
      <c r="J625" s="24" t="inlineStr">
        <is>
          <t>тыс.т</t>
        </is>
      </c>
    </row>
    <row r="626" ht="20.1" customHeight="1" s="904">
      <c r="A626" s="545" t="n"/>
      <c r="B626" s="909" t="n"/>
      <c r="C626" s="27" t="inlineStr">
        <is>
          <t>Астраханский ГПЗ</t>
        </is>
      </c>
      <c r="D626" s="15" t="n"/>
      <c r="E626" s="15" t="n"/>
      <c r="F626" s="16" t="n"/>
      <c r="G626" s="17">
        <f>G628+G629+G627</f>
        <v/>
      </c>
      <c r="H626" s="636" t="n"/>
      <c r="I626" s="17" t="n"/>
      <c r="J626" s="549" t="inlineStr">
        <is>
          <t>тыс.т</t>
        </is>
      </c>
    </row>
    <row r="627" ht="20.1" customHeight="1" s="904">
      <c r="A627" s="545" t="n"/>
      <c r="B627" s="909" t="n"/>
      <c r="C627" s="737" t="inlineStr">
        <is>
          <t>ОЧ-80</t>
        </is>
      </c>
      <c r="D627" s="15" t="n"/>
      <c r="E627" s="15" t="n"/>
      <c r="F627" s="16" t="n"/>
      <c r="G627" s="17" t="inlineStr">
        <is>
          <t>1_100335688</t>
        </is>
      </c>
      <c r="H627" s="636" t="n"/>
      <c r="I627" s="17" t="n"/>
      <c r="J627" s="554" t="inlineStr">
        <is>
          <t>тыс.т</t>
        </is>
      </c>
    </row>
    <row r="628" ht="20.1" customHeight="1" s="904">
      <c r="A628" s="545" t="n"/>
      <c r="B628" s="909" t="n"/>
      <c r="C628" s="737" t="inlineStr">
        <is>
          <t>ОЧ-92</t>
        </is>
      </c>
      <c r="D628" s="15" t="n"/>
      <c r="E628" s="15" t="n"/>
      <c r="F628" s="16" t="n"/>
      <c r="G628" s="17" t="inlineStr">
        <is>
          <t>1_100332018</t>
        </is>
      </c>
      <c r="H628" s="636" t="n"/>
      <c r="I628" s="17" t="n"/>
      <c r="J628" s="554" t="inlineStr">
        <is>
          <t>тыс.т</t>
        </is>
      </c>
    </row>
    <row r="629" ht="20.1" customHeight="1" s="904">
      <c r="A629" s="545" t="n"/>
      <c r="B629" s="909" t="n"/>
      <c r="C629" s="737" t="inlineStr">
        <is>
          <t xml:space="preserve">   ОЧ-95</t>
        </is>
      </c>
      <c r="D629" s="15" t="n"/>
      <c r="E629" s="15" t="n"/>
      <c r="F629" s="16" t="n"/>
      <c r="G629" s="17" t="inlineStr">
        <is>
          <t>1_100332019</t>
        </is>
      </c>
      <c r="H629" s="636" t="n"/>
      <c r="I629" s="17" t="n"/>
      <c r="J629" s="554" t="inlineStr">
        <is>
          <t>тыс.т</t>
        </is>
      </c>
    </row>
    <row r="630" ht="20.1" customHeight="1" s="904">
      <c r="A630" s="545" t="n"/>
      <c r="B630" s="909" t="n"/>
      <c r="C630" s="27" t="inlineStr">
        <is>
          <t xml:space="preserve">                Сургутский ЗСК</t>
        </is>
      </c>
      <c r="D630" s="15" t="n"/>
      <c r="E630" s="15" t="n"/>
      <c r="F630" s="16" t="n"/>
      <c r="G630" s="17">
        <f>G631+G632</f>
        <v/>
      </c>
      <c r="H630" s="636" t="n"/>
      <c r="I630" s="17" t="n"/>
      <c r="J630" s="549" t="inlineStr">
        <is>
          <t>тыс.т</t>
        </is>
      </c>
    </row>
    <row r="631" ht="20.1" customHeight="1" s="904">
      <c r="A631" s="545" t="n"/>
      <c r="B631" s="909" t="n"/>
      <c r="C631" s="737" t="inlineStr">
        <is>
          <t xml:space="preserve"> ОЧ-92</t>
        </is>
      </c>
      <c r="D631" s="15" t="n"/>
      <c r="E631" s="15" t="n"/>
      <c r="F631" s="16" t="n"/>
      <c r="G631" s="17" t="inlineStr">
        <is>
          <t>4_100331906</t>
        </is>
      </c>
      <c r="H631" s="636" t="n"/>
      <c r="I631" s="17" t="n"/>
      <c r="J631" s="554" t="inlineStr">
        <is>
          <t>тыс.т</t>
        </is>
      </c>
    </row>
    <row r="632" ht="20.1" customHeight="1" s="904">
      <c r="A632" s="545" t="n"/>
      <c r="B632" s="909" t="n"/>
      <c r="C632" s="737" t="inlineStr">
        <is>
          <t xml:space="preserve">   ОЧ-95</t>
        </is>
      </c>
      <c r="D632" s="15" t="n"/>
      <c r="E632" s="15" t="n"/>
      <c r="F632" s="16" t="n"/>
      <c r="G632" s="17" t="inlineStr">
        <is>
          <t>4_100331907</t>
        </is>
      </c>
      <c r="H632" s="636" t="n"/>
      <c r="I632" s="17" t="n"/>
      <c r="J632" s="554" t="inlineStr">
        <is>
          <t>тыс.т</t>
        </is>
      </c>
    </row>
    <row r="633" ht="20.1" customHeight="1" s="904">
      <c r="A633" s="545" t="n"/>
      <c r="B633" s="20" t="inlineStr">
        <is>
          <t>10.2.</t>
        </is>
      </c>
      <c r="C633" s="28" t="inlineStr">
        <is>
          <t>Дочерние общества</t>
        </is>
      </c>
      <c r="D633" s="15" t="n"/>
      <c r="E633" s="15" t="n"/>
      <c r="F633" s="16" t="n"/>
      <c r="G633" s="17">
        <f>G634</f>
        <v/>
      </c>
      <c r="H633" s="636" t="n"/>
      <c r="I633" s="17" t="n"/>
      <c r="J633" s="24" t="inlineStr">
        <is>
          <t>тыс.т</t>
        </is>
      </c>
    </row>
    <row r="634" ht="20.1" customHeight="1" s="904">
      <c r="A634" s="545" t="n"/>
      <c r="B634" s="909" t="n"/>
      <c r="C634" s="781" t="inlineStr">
        <is>
          <t xml:space="preserve">   Газпром переработка</t>
        </is>
      </c>
      <c r="D634" s="15" t="n"/>
      <c r="E634" s="15" t="n"/>
      <c r="F634" s="16" t="n"/>
      <c r="G634" s="17">
        <f>G635</f>
        <v/>
      </c>
      <c r="H634" s="636" t="n"/>
      <c r="I634" s="17" t="n"/>
      <c r="J634" s="24" t="inlineStr">
        <is>
          <t>тыс.т</t>
        </is>
      </c>
    </row>
    <row r="635" ht="20.1" customHeight="1" s="904">
      <c r="A635" s="545" t="n"/>
      <c r="B635" s="909" t="n"/>
      <c r="C635" s="27" t="inlineStr">
        <is>
          <t>Астраханский ГПЗ</t>
        </is>
      </c>
      <c r="D635" s="15" t="n"/>
      <c r="E635" s="15" t="n"/>
      <c r="F635" s="16" t="n"/>
      <c r="G635" s="17">
        <f>G636+G637</f>
        <v/>
      </c>
      <c r="H635" s="636" t="n"/>
      <c r="I635" s="17" t="n"/>
      <c r="J635" s="549" t="inlineStr">
        <is>
          <t>тыс.т</t>
        </is>
      </c>
    </row>
    <row r="636" ht="20.1" customHeight="1" s="904">
      <c r="A636" s="545" t="n"/>
      <c r="B636" s="909" t="n"/>
      <c r="C636" s="737" t="inlineStr">
        <is>
          <t>ОЧ-92</t>
        </is>
      </c>
      <c r="D636" s="15" t="n"/>
      <c r="E636" s="15" t="n"/>
      <c r="F636" s="16" t="n"/>
      <c r="G636" s="17">
        <f>0</f>
        <v/>
      </c>
      <c r="H636" s="636" t="n"/>
      <c r="I636" s="17" t="n"/>
      <c r="J636" s="554" t="inlineStr">
        <is>
          <t>тыс.т</t>
        </is>
      </c>
    </row>
    <row r="637" ht="20.1" customHeight="1" s="904">
      <c r="A637" s="545" t="n"/>
      <c r="B637" s="909" t="n"/>
      <c r="C637" s="737" t="inlineStr">
        <is>
          <t>ОЧ-95</t>
        </is>
      </c>
      <c r="D637" s="15" t="n"/>
      <c r="E637" s="15" t="n"/>
      <c r="F637" s="16" t="n"/>
      <c r="G637" s="17">
        <f>0</f>
        <v/>
      </c>
      <c r="H637" s="636" t="n"/>
      <c r="I637" s="17" t="n"/>
      <c r="J637" s="554" t="inlineStr">
        <is>
          <t>тыс.т</t>
        </is>
      </c>
    </row>
    <row r="638" ht="20.1" customHeight="1" s="904">
      <c r="A638" s="545" t="n"/>
      <c r="B638" s="909" t="inlineStr">
        <is>
          <t>11.</t>
        </is>
      </c>
      <c r="C638" s="735" t="inlineStr">
        <is>
          <t>Топливо для реактивных двигателей марки ТС-1-всего</t>
        </is>
      </c>
      <c r="D638" s="15" t="n"/>
      <c r="E638" s="15" t="n"/>
      <c r="F638" s="16" t="n"/>
      <c r="G638" s="17">
        <f>G639</f>
        <v/>
      </c>
      <c r="H638" s="636" t="n"/>
      <c r="I638" s="17" t="n"/>
      <c r="J638" s="24" t="n"/>
    </row>
    <row r="639" ht="20.1" customHeight="1" s="904">
      <c r="A639" s="545" t="n"/>
      <c r="B639" s="909" t="n"/>
      <c r="C639" s="781" t="inlineStr">
        <is>
          <t xml:space="preserve">   Газпром переработка</t>
        </is>
      </c>
      <c r="D639" s="15" t="n"/>
      <c r="E639" s="15" t="n"/>
      <c r="F639" s="16" t="n"/>
      <c r="G639" s="17">
        <f>G640+G641</f>
        <v/>
      </c>
      <c r="H639" s="636" t="n"/>
      <c r="I639" s="17" t="n"/>
      <c r="J639" s="24" t="inlineStr">
        <is>
          <t>тыс.т</t>
        </is>
      </c>
    </row>
    <row r="640" ht="20.1" customHeight="1" s="904">
      <c r="A640" s="545" t="n"/>
      <c r="B640" s="909" t="n"/>
      <c r="C640" s="27" t="inlineStr">
        <is>
          <t xml:space="preserve">               Уренгойский ЗПКТ</t>
        </is>
      </c>
      <c r="D640" s="15" t="n"/>
      <c r="E640" s="15" t="n"/>
      <c r="F640" s="16" t="n"/>
      <c r="G640" s="17">
        <f>G644</f>
        <v/>
      </c>
      <c r="H640" s="636" t="n"/>
      <c r="I640" s="17" t="n"/>
      <c r="J640" s="549" t="inlineStr">
        <is>
          <t>тыс.т</t>
        </is>
      </c>
    </row>
    <row r="641" ht="20.1" customHeight="1" s="904">
      <c r="A641" s="545" t="n"/>
      <c r="B641" s="909" t="n"/>
      <c r="C641" s="27" t="inlineStr">
        <is>
          <t xml:space="preserve">    Сургутский ЗСК</t>
        </is>
      </c>
      <c r="D641" s="15" t="n"/>
      <c r="E641" s="15" t="n"/>
      <c r="F641" s="16" t="n"/>
      <c r="G641" s="17">
        <f>G645</f>
        <v/>
      </c>
      <c r="H641" s="636" t="n"/>
      <c r="I641" s="17" t="n"/>
      <c r="J641" s="549" t="inlineStr">
        <is>
          <t>тыс.т</t>
        </is>
      </c>
    </row>
    <row r="642" ht="20.1" customHeight="1" s="904">
      <c r="A642" s="545" t="n"/>
      <c r="B642" s="20" t="inlineStr">
        <is>
          <t>11.1.</t>
        </is>
      </c>
      <c r="C642" s="28" t="inlineStr">
        <is>
          <t>Газпром</t>
        </is>
      </c>
      <c r="D642" s="15" t="n"/>
      <c r="E642" s="15" t="n"/>
      <c r="F642" s="16" t="n"/>
      <c r="G642" s="17">
        <f>G643</f>
        <v/>
      </c>
      <c r="H642" s="636" t="n"/>
      <c r="I642" s="17" t="n"/>
      <c r="J642" s="24" t="inlineStr">
        <is>
          <t>тыс.т</t>
        </is>
      </c>
    </row>
    <row r="643" ht="20.1" customHeight="1" s="904">
      <c r="A643" s="545" t="n"/>
      <c r="B643" s="909" t="n"/>
      <c r="C643" s="781" t="inlineStr">
        <is>
          <t xml:space="preserve">   Газпром переработка</t>
        </is>
      </c>
      <c r="D643" s="15" t="n"/>
      <c r="E643" s="15" t="n"/>
      <c r="F643" s="16" t="n"/>
      <c r="G643" s="17">
        <f>G644+G645</f>
        <v/>
      </c>
      <c r="H643" s="636" t="n"/>
      <c r="I643" s="17" t="n"/>
      <c r="J643" s="24" t="inlineStr">
        <is>
          <t>тыс.т</t>
        </is>
      </c>
    </row>
    <row r="644" ht="20.1" customHeight="1" s="904">
      <c r="A644" s="545" t="n"/>
      <c r="B644" s="909" t="n"/>
      <c r="C644" s="27" t="inlineStr">
        <is>
          <t>Уренгойский ЗПКТ</t>
        </is>
      </c>
      <c r="D644" s="15" t="n"/>
      <c r="E644" s="15" t="n"/>
      <c r="F644" s="16" t="n"/>
      <c r="G644" s="17" t="inlineStr">
        <is>
          <t>4_100331909</t>
        </is>
      </c>
      <c r="H644" s="636" t="n"/>
      <c r="I644" s="17" t="n"/>
      <c r="J644" s="549" t="inlineStr">
        <is>
          <t>тыс.т</t>
        </is>
      </c>
    </row>
    <row r="645" ht="20.1" customHeight="1" s="904">
      <c r="A645" s="545" t="n"/>
      <c r="B645" s="909" t="n"/>
      <c r="C645" s="27" t="inlineStr">
        <is>
          <t xml:space="preserve">    Сургутский ЗСК</t>
        </is>
      </c>
      <c r="D645" s="15" t="n"/>
      <c r="E645" s="15" t="n"/>
      <c r="F645" s="16" t="n"/>
      <c r="G645" s="17" t="inlineStr">
        <is>
          <t>4_100331910</t>
        </is>
      </c>
      <c r="H645" s="636" t="n"/>
      <c r="I645" s="17" t="n"/>
      <c r="J645" s="549" t="inlineStr">
        <is>
          <t>тыс.т</t>
        </is>
      </c>
    </row>
    <row r="646" ht="20.1" customHeight="1" s="904">
      <c r="A646" s="545" t="n"/>
      <c r="B646" s="20" t="inlineStr">
        <is>
          <t>11.2.</t>
        </is>
      </c>
      <c r="C646" s="28" t="inlineStr">
        <is>
          <t>Дочерние общества</t>
        </is>
      </c>
      <c r="D646" s="15" t="n"/>
      <c r="E646" s="15" t="n"/>
      <c r="F646" s="16" t="n"/>
      <c r="G646" s="17">
        <f>0</f>
        <v/>
      </c>
      <c r="H646" s="636" t="n"/>
      <c r="I646" s="17" t="n"/>
      <c r="J646" s="24" t="inlineStr">
        <is>
          <t>тыс.т</t>
        </is>
      </c>
    </row>
    <row r="647" ht="20.1" customHeight="1" s="904">
      <c r="A647" s="545" t="n"/>
      <c r="B647" s="909" t="inlineStr">
        <is>
          <t>12.</t>
        </is>
      </c>
      <c r="C647" s="735" t="inlineStr">
        <is>
          <t>Дизельное топливо-всего</t>
        </is>
      </c>
      <c r="D647" s="15" t="n"/>
      <c r="E647" s="15" t="n"/>
      <c r="F647" s="16" t="n"/>
      <c r="G647" s="17">
        <f>G648+G652</f>
        <v/>
      </c>
      <c r="H647" s="636" t="n"/>
      <c r="I647" s="17" t="n"/>
      <c r="J647" s="24" t="inlineStr">
        <is>
          <t>тыс.т</t>
        </is>
      </c>
    </row>
    <row r="648" ht="20.1" customHeight="1" s="904">
      <c r="A648" s="545" t="n"/>
      <c r="B648" s="909" t="n"/>
      <c r="C648" s="781" t="inlineStr">
        <is>
          <t xml:space="preserve">   Газпром переработка</t>
        </is>
      </c>
      <c r="D648" s="15" t="n"/>
      <c r="E648" s="15" t="n"/>
      <c r="F648" s="16" t="n"/>
      <c r="G648" s="17">
        <f>G649+G650+G651</f>
        <v/>
      </c>
      <c r="H648" s="636" t="n"/>
      <c r="I648" s="17" t="n"/>
      <c r="J648" s="24" t="inlineStr">
        <is>
          <t>тыс.т</t>
        </is>
      </c>
    </row>
    <row r="649" ht="20.1" customHeight="1" s="904">
      <c r="A649" s="545" t="n"/>
      <c r="B649" s="909" t="n"/>
      <c r="C649" s="27" t="inlineStr">
        <is>
          <t>Астраханский ГПЗ</t>
        </is>
      </c>
      <c r="D649" s="15" t="n"/>
      <c r="E649" s="15" t="n"/>
      <c r="F649" s="16" t="n"/>
      <c r="G649" s="17">
        <f>G655+G660</f>
        <v/>
      </c>
      <c r="H649" s="636" t="n"/>
      <c r="I649" s="17" t="n"/>
      <c r="J649" s="549" t="inlineStr">
        <is>
          <t>тыс.т</t>
        </is>
      </c>
    </row>
    <row r="650" ht="20.1" customHeight="1" s="904">
      <c r="A650" s="545" t="n"/>
      <c r="B650" s="909" t="n"/>
      <c r="C650" s="27" t="inlineStr">
        <is>
          <t>Уренгойский ЗПКТ</t>
        </is>
      </c>
      <c r="D650" s="15" t="n"/>
      <c r="E650" s="15" t="n"/>
      <c r="F650" s="16" t="n"/>
      <c r="G650" s="17">
        <f>G656</f>
        <v/>
      </c>
      <c r="H650" s="636" t="n"/>
      <c r="I650" s="17" t="n"/>
      <c r="J650" s="549" t="inlineStr">
        <is>
          <t>тыс.т</t>
        </is>
      </c>
    </row>
    <row r="651" ht="20.1" customHeight="1" s="904">
      <c r="A651" s="545" t="n"/>
      <c r="B651" s="909" t="n"/>
      <c r="C651" s="27" t="inlineStr">
        <is>
          <t xml:space="preserve">                Сургутский ЗСК</t>
        </is>
      </c>
      <c r="D651" s="15" t="n"/>
      <c r="E651" s="15" t="n"/>
      <c r="F651" s="16" t="n"/>
      <c r="G651" s="17">
        <f>G657</f>
        <v/>
      </c>
      <c r="H651" s="636" t="n"/>
      <c r="I651" s="17" t="n"/>
      <c r="J651" s="549" t="inlineStr">
        <is>
          <t>тыс.т</t>
        </is>
      </c>
    </row>
    <row r="652" ht="20.1" customHeight="1" s="904">
      <c r="A652" s="545" t="n"/>
      <c r="B652" s="909" t="n"/>
      <c r="C652" s="781" t="inlineStr">
        <is>
          <t xml:space="preserve">   Газпром добыча Ямбург</t>
        </is>
      </c>
      <c r="D652" s="15" t="n"/>
      <c r="E652" s="15" t="n"/>
      <c r="F652" s="16" t="n"/>
      <c r="G652" s="17">
        <f>G661</f>
        <v/>
      </c>
      <c r="H652" s="636" t="n"/>
      <c r="I652" s="17" t="n"/>
      <c r="J652" s="24" t="inlineStr">
        <is>
          <t>тыс.т</t>
        </is>
      </c>
    </row>
    <row r="653" ht="20.1" customHeight="1" s="904">
      <c r="A653" s="545" t="n"/>
      <c r="B653" s="20" t="inlineStr">
        <is>
          <t>12.1.</t>
        </is>
      </c>
      <c r="C653" s="28" t="inlineStr">
        <is>
          <t>Газпром</t>
        </is>
      </c>
      <c r="D653" s="15" t="n"/>
      <c r="E653" s="15" t="n"/>
      <c r="F653" s="16" t="n"/>
      <c r="G653" s="17">
        <f>G654</f>
        <v/>
      </c>
      <c r="H653" s="636" t="n"/>
      <c r="I653" s="17" t="n"/>
      <c r="J653" s="24" t="inlineStr">
        <is>
          <t>тыс.т</t>
        </is>
      </c>
    </row>
    <row r="654" ht="20.1" customHeight="1" s="904">
      <c r="A654" s="545" t="n"/>
      <c r="B654" s="909" t="n"/>
      <c r="C654" s="781" t="inlineStr">
        <is>
          <t xml:space="preserve">   Газпром переработка</t>
        </is>
      </c>
      <c r="D654" s="15" t="n"/>
      <c r="E654" s="15" t="n"/>
      <c r="F654" s="16" t="n"/>
      <c r="G654" s="17">
        <f>G655+G656+G657</f>
        <v/>
      </c>
      <c r="H654" s="636" t="n"/>
      <c r="I654" s="17" t="n"/>
      <c r="J654" s="24" t="inlineStr">
        <is>
          <t>тыс.т</t>
        </is>
      </c>
    </row>
    <row r="655" ht="20.1" customHeight="1" s="904">
      <c r="A655" s="545" t="n"/>
      <c r="B655" s="909" t="n"/>
      <c r="C655" s="27" t="inlineStr">
        <is>
          <t>Астраханский ГПЗ</t>
        </is>
      </c>
      <c r="D655" s="15" t="n"/>
      <c r="E655" s="15" t="n"/>
      <c r="F655" s="16" t="n"/>
      <c r="G655" s="17" t="inlineStr">
        <is>
          <t>1_100332023</t>
        </is>
      </c>
      <c r="H655" s="636" t="n"/>
      <c r="I655" s="17" t="n"/>
      <c r="J655" s="549" t="inlineStr">
        <is>
          <t>тыс.т</t>
        </is>
      </c>
    </row>
    <row r="656" ht="20.1" customHeight="1" s="904">
      <c r="A656" s="545" t="n"/>
      <c r="B656" s="909" t="n"/>
      <c r="C656" s="27" t="inlineStr">
        <is>
          <t>Уренгойский ЗПКТ</t>
        </is>
      </c>
      <c r="D656" s="15" t="n"/>
      <c r="E656" s="15" t="n"/>
      <c r="F656" s="16" t="n"/>
      <c r="G656" s="17" t="inlineStr">
        <is>
          <t>4_100331912</t>
        </is>
      </c>
      <c r="H656" s="636" t="n"/>
      <c r="I656" s="17" t="n"/>
      <c r="J656" s="549" t="inlineStr">
        <is>
          <t>тыс.т</t>
        </is>
      </c>
    </row>
    <row r="657" ht="20.1" customHeight="1" s="904">
      <c r="A657" s="545" t="n"/>
      <c r="B657" s="909" t="n"/>
      <c r="C657" s="27" t="inlineStr">
        <is>
          <t xml:space="preserve">                Сургутский ЗСК</t>
        </is>
      </c>
      <c r="D657" s="15" t="n"/>
      <c r="E657" s="15" t="n"/>
      <c r="F657" s="16" t="n"/>
      <c r="G657" s="17" t="inlineStr">
        <is>
          <t>4_100331913</t>
        </is>
      </c>
      <c r="H657" s="636" t="n"/>
      <c r="I657" s="17" t="n"/>
      <c r="J657" s="549" t="inlineStr">
        <is>
          <t>тыс.т</t>
        </is>
      </c>
    </row>
    <row r="658" ht="20.1" customHeight="1" s="904">
      <c r="A658" s="545" t="n"/>
      <c r="B658" s="20" t="inlineStr">
        <is>
          <t>12.2.</t>
        </is>
      </c>
      <c r="C658" s="28" t="inlineStr">
        <is>
          <t>Дочерние общества</t>
        </is>
      </c>
      <c r="D658" s="15" t="n"/>
      <c r="E658" s="15" t="n"/>
      <c r="F658" s="16" t="n"/>
      <c r="G658" s="17">
        <f>G659+G661</f>
        <v/>
      </c>
      <c r="H658" s="636" t="n"/>
      <c r="I658" s="17" t="n"/>
      <c r="J658" s="24" t="inlineStr">
        <is>
          <t>тыс.т</t>
        </is>
      </c>
    </row>
    <row r="659" ht="20.1" customHeight="1" s="904">
      <c r="A659" s="545" t="n"/>
      <c r="B659" s="909" t="n"/>
      <c r="C659" s="781" t="inlineStr">
        <is>
          <t xml:space="preserve">   Газпром переработка</t>
        </is>
      </c>
      <c r="D659" s="15" t="n"/>
      <c r="E659" s="15" t="n"/>
      <c r="F659" s="16" t="n"/>
      <c r="G659" s="17">
        <f>G660</f>
        <v/>
      </c>
      <c r="H659" s="636" t="n"/>
      <c r="I659" s="17" t="n"/>
      <c r="J659" s="24" t="inlineStr">
        <is>
          <t>тыс.т</t>
        </is>
      </c>
    </row>
    <row r="660" ht="20.1" customHeight="1" s="904">
      <c r="A660" s="545" t="n"/>
      <c r="B660" s="909" t="n"/>
      <c r="C660" s="27" t="inlineStr">
        <is>
          <t>Астраханский ГПЗ</t>
        </is>
      </c>
      <c r="D660" s="15" t="n"/>
      <c r="E660" s="15" t="n"/>
      <c r="F660" s="16" t="n"/>
      <c r="G660" s="17">
        <f>0</f>
        <v/>
      </c>
      <c r="H660" s="636" t="n"/>
      <c r="I660" s="17" t="n"/>
      <c r="J660" s="549" t="inlineStr">
        <is>
          <t>тыс.т</t>
        </is>
      </c>
    </row>
    <row r="661" ht="20.1" customHeight="1" s="904">
      <c r="A661" s="545" t="n"/>
      <c r="B661" s="909" t="n"/>
      <c r="C661" s="781" t="inlineStr">
        <is>
          <t xml:space="preserve">   Газпром добыча Ямбург</t>
        </is>
      </c>
      <c r="D661" s="15" t="n"/>
      <c r="E661" s="15" t="n"/>
      <c r="F661" s="16" t="n"/>
      <c r="G661" s="17" t="inlineStr">
        <is>
          <t>7_100330605</t>
        </is>
      </c>
      <c r="H661" s="636" t="n"/>
      <c r="I661" s="17" t="n"/>
      <c r="J661" s="24" t="inlineStr">
        <is>
          <t>тыс.т</t>
        </is>
      </c>
    </row>
    <row r="662" ht="20.1" customHeight="1" s="904">
      <c r="A662" s="545" t="n"/>
      <c r="B662" s="909" t="inlineStr">
        <is>
          <t>13.</t>
        </is>
      </c>
      <c r="C662" s="735" t="inlineStr">
        <is>
          <t>Мазут - всего</t>
        </is>
      </c>
      <c r="D662" s="15" t="n"/>
      <c r="E662" s="15" t="n"/>
      <c r="F662" s="16" t="n"/>
      <c r="G662" s="17">
        <f>G664</f>
        <v/>
      </c>
      <c r="H662" s="636" t="n"/>
      <c r="I662" s="17" t="n"/>
      <c r="J662" s="24" t="inlineStr">
        <is>
          <t>тыс.т</t>
        </is>
      </c>
    </row>
    <row r="663" ht="20.1" customHeight="1" s="904">
      <c r="A663" s="545" t="n"/>
      <c r="B663" s="909" t="n"/>
      <c r="C663" s="781" t="inlineStr">
        <is>
          <t xml:space="preserve">   Газпром переработка</t>
        </is>
      </c>
      <c r="D663" s="15" t="n"/>
      <c r="E663" s="15" t="n"/>
      <c r="F663" s="16" t="n"/>
      <c r="G663" s="17">
        <f>G664</f>
        <v/>
      </c>
      <c r="H663" s="636" t="n"/>
      <c r="I663" s="17" t="n"/>
      <c r="J663" s="24" t="inlineStr">
        <is>
          <t>тыс.т</t>
        </is>
      </c>
    </row>
    <row r="664" ht="20.1" customHeight="1" s="904">
      <c r="A664" s="545" t="n"/>
      <c r="B664" s="909" t="n"/>
      <c r="C664" s="27" t="inlineStr">
        <is>
          <t>Астраханский ГПЗ</t>
        </is>
      </c>
      <c r="D664" s="15" t="n"/>
      <c r="E664" s="15" t="n"/>
      <c r="F664" s="16" t="n"/>
      <c r="G664" s="17">
        <f>G667</f>
        <v/>
      </c>
      <c r="H664" s="636" t="n"/>
      <c r="I664" s="17" t="n"/>
      <c r="J664" s="549" t="inlineStr">
        <is>
          <t>тыс.т</t>
        </is>
      </c>
    </row>
    <row r="665" ht="20.1" customHeight="1" s="904">
      <c r="A665" s="545" t="n"/>
      <c r="B665" s="20" t="inlineStr">
        <is>
          <t>13.1.</t>
        </is>
      </c>
      <c r="C665" s="28" t="inlineStr">
        <is>
          <t>Газпром</t>
        </is>
      </c>
      <c r="D665" s="15" t="n"/>
      <c r="E665" s="15" t="n"/>
      <c r="F665" s="16" t="n"/>
      <c r="G665" s="17">
        <f>G667</f>
        <v/>
      </c>
      <c r="H665" s="636" t="n"/>
      <c r="I665" s="17" t="n"/>
      <c r="J665" s="24" t="inlineStr">
        <is>
          <t>тыс.т</t>
        </is>
      </c>
    </row>
    <row r="666" ht="20.1" customHeight="1" s="904">
      <c r="A666" s="545" t="n"/>
      <c r="B666" s="909" t="n"/>
      <c r="C666" s="781" t="inlineStr">
        <is>
          <t xml:space="preserve">   Газпром переработка</t>
        </is>
      </c>
      <c r="D666" s="15" t="n"/>
      <c r="E666" s="15" t="n"/>
      <c r="F666" s="16" t="n"/>
      <c r="G666" s="17">
        <f>G667</f>
        <v/>
      </c>
      <c r="H666" s="636" t="n"/>
      <c r="I666" s="17" t="n"/>
      <c r="J666" s="24" t="inlineStr">
        <is>
          <t>тыс.т</t>
        </is>
      </c>
    </row>
    <row r="667" ht="20.1" customHeight="1" s="904">
      <c r="A667" s="545" t="n"/>
      <c r="B667" s="909" t="n"/>
      <c r="C667" s="27" t="inlineStr">
        <is>
          <t>Астраханский ГПЗ</t>
        </is>
      </c>
      <c r="D667" s="15" t="n"/>
      <c r="E667" s="15" t="n"/>
      <c r="F667" s="16" t="n"/>
      <c r="G667" s="17" t="inlineStr">
        <is>
          <t>1_100332024</t>
        </is>
      </c>
      <c r="H667" s="636" t="n"/>
      <c r="I667" s="17" t="n"/>
      <c r="J667" s="549" t="inlineStr">
        <is>
          <t>тыс.т</t>
        </is>
      </c>
    </row>
    <row r="668" ht="20.1" customHeight="1" s="904">
      <c r="A668" s="545" t="n"/>
      <c r="B668" s="20" t="inlineStr">
        <is>
          <t>13.2.</t>
        </is>
      </c>
      <c r="C668" s="28" t="inlineStr">
        <is>
          <t>Дочерние общества</t>
        </is>
      </c>
      <c r="D668" s="15" t="n"/>
      <c r="E668" s="15" t="n"/>
      <c r="F668" s="16" t="n"/>
      <c r="G668" s="17">
        <f>0</f>
        <v/>
      </c>
      <c r="H668" s="636" t="n"/>
      <c r="I668" s="17" t="n"/>
      <c r="J668" s="24" t="inlineStr">
        <is>
          <t>тыс.т</t>
        </is>
      </c>
    </row>
    <row r="669" ht="20.1" customHeight="1" s="904">
      <c r="A669" s="545" t="n"/>
      <c r="B669" s="909" t="inlineStr">
        <is>
          <t>14.</t>
        </is>
      </c>
      <c r="C669" s="735" t="inlineStr">
        <is>
          <t xml:space="preserve">Дистиллят газового конденсата легкий - всего  </t>
        </is>
      </c>
      <c r="D669" s="15" t="n"/>
      <c r="E669" s="15" t="n"/>
      <c r="F669" s="16" t="n"/>
      <c r="G669" s="17">
        <f>G670</f>
        <v/>
      </c>
      <c r="H669" s="636" t="n"/>
      <c r="I669" s="17" t="n"/>
      <c r="J669" s="24" t="inlineStr">
        <is>
          <t>тыс.т</t>
        </is>
      </c>
    </row>
    <row r="670" ht="20.1" customHeight="1" s="904">
      <c r="A670" s="545" t="n"/>
      <c r="B670" s="909" t="n"/>
      <c r="C670" s="781" t="inlineStr">
        <is>
          <t xml:space="preserve">   Газпром переработка</t>
        </is>
      </c>
      <c r="D670" s="15" t="n"/>
      <c r="E670" s="15" t="n"/>
      <c r="F670" s="16" t="n"/>
      <c r="G670" s="17">
        <f>G671+G672+G673</f>
        <v/>
      </c>
      <c r="H670" s="636" t="n"/>
      <c r="I670" s="17" t="n"/>
      <c r="J670" s="24" t="inlineStr">
        <is>
          <t>тыс.т</t>
        </is>
      </c>
    </row>
    <row r="671" ht="20.1" customHeight="1" s="904">
      <c r="A671" s="545" t="n"/>
      <c r="B671" s="909" t="n"/>
      <c r="C671" s="27" t="inlineStr">
        <is>
          <t>Астраханский ГПЗ</t>
        </is>
      </c>
      <c r="D671" s="15" t="n"/>
      <c r="E671" s="15" t="n"/>
      <c r="F671" s="16" t="n"/>
      <c r="G671" s="17">
        <f>G676+G683</f>
        <v/>
      </c>
      <c r="H671" s="636" t="n"/>
      <c r="I671" s="17" t="n"/>
      <c r="J671" s="549" t="inlineStr">
        <is>
          <t>тыс.т</t>
        </is>
      </c>
    </row>
    <row r="672" ht="20.1" customHeight="1" s="904">
      <c r="A672" s="545" t="n"/>
      <c r="B672" s="909" t="n"/>
      <c r="C672" s="27" t="inlineStr">
        <is>
          <t>Уренгойский ЗПКТ</t>
        </is>
      </c>
      <c r="D672" s="15" t="n"/>
      <c r="E672" s="15" t="n"/>
      <c r="F672" s="16" t="n"/>
      <c r="G672" s="17">
        <f>G677+G681</f>
        <v/>
      </c>
      <c r="H672" s="636" t="n"/>
      <c r="I672" s="17" t="n"/>
      <c r="J672" s="549" t="inlineStr">
        <is>
          <t>тыс.т</t>
        </is>
      </c>
    </row>
    <row r="673" ht="20.1" customHeight="1" s="904">
      <c r="A673" s="545" t="n"/>
      <c r="B673" s="909" t="n"/>
      <c r="C673" s="27" t="inlineStr">
        <is>
          <t xml:space="preserve">                Сургутский ЗСК</t>
        </is>
      </c>
      <c r="D673" s="15" t="n"/>
      <c r="E673" s="15" t="n"/>
      <c r="F673" s="16" t="n"/>
      <c r="G673" s="17">
        <f>G678</f>
        <v/>
      </c>
      <c r="H673" s="636" t="n"/>
      <c r="I673" s="17" t="n"/>
      <c r="J673" s="549" t="inlineStr">
        <is>
          <t>тыс.т</t>
        </is>
      </c>
    </row>
    <row r="674" ht="20.1" customHeight="1" s="904">
      <c r="A674" s="545" t="n"/>
      <c r="B674" s="20" t="inlineStr">
        <is>
          <t>14.1.</t>
        </is>
      </c>
      <c r="C674" s="28" t="inlineStr">
        <is>
          <t>Газпром</t>
        </is>
      </c>
      <c r="D674" s="15" t="n"/>
      <c r="E674" s="15" t="n"/>
      <c r="F674" s="16" t="n"/>
      <c r="G674" s="17">
        <f>G675</f>
        <v/>
      </c>
      <c r="H674" s="636" t="n"/>
      <c r="I674" s="17" t="n"/>
      <c r="J674" s="24" t="inlineStr">
        <is>
          <t>тыс.т</t>
        </is>
      </c>
    </row>
    <row r="675" ht="20.1" customHeight="1" s="904">
      <c r="A675" s="545" t="n"/>
      <c r="B675" s="909" t="n"/>
      <c r="C675" s="781" t="inlineStr">
        <is>
          <t xml:space="preserve">   Газпром переработка</t>
        </is>
      </c>
      <c r="D675" s="15" t="n"/>
      <c r="E675" s="15" t="n"/>
      <c r="F675" s="16" t="n"/>
      <c r="G675" s="17">
        <f>G676+G677+G678</f>
        <v/>
      </c>
      <c r="H675" s="636" t="n"/>
      <c r="I675" s="17" t="n"/>
      <c r="J675" s="24" t="inlineStr">
        <is>
          <t>тыс.т</t>
        </is>
      </c>
    </row>
    <row r="676" ht="20.1" customHeight="1" s="904">
      <c r="A676" s="545" t="n"/>
      <c r="B676" s="909" t="n"/>
      <c r="C676" s="27" t="inlineStr">
        <is>
          <t>Астраханский ГПЗ</t>
        </is>
      </c>
      <c r="D676" s="15" t="n"/>
      <c r="E676" s="15" t="n"/>
      <c r="F676" s="16" t="n"/>
      <c r="G676" s="17" t="inlineStr">
        <is>
          <t>1_100332020</t>
        </is>
      </c>
      <c r="H676" s="636" t="n"/>
      <c r="I676" s="17" t="n"/>
      <c r="J676" s="549" t="inlineStr">
        <is>
          <t>тыс.т</t>
        </is>
      </c>
    </row>
    <row r="677" ht="20.1" customHeight="1" s="904">
      <c r="A677" s="545" t="n"/>
      <c r="B677" s="909" t="n"/>
      <c r="C677" s="27" t="inlineStr">
        <is>
          <t>Уренгойский ЗПКТ</t>
        </is>
      </c>
      <c r="D677" s="15" t="n"/>
      <c r="E677" s="15" t="n"/>
      <c r="F677" s="16" t="n"/>
      <c r="G677" s="17" t="inlineStr">
        <is>
          <t>4_100331916</t>
        </is>
      </c>
      <c r="H677" s="636" t="n"/>
      <c r="I677" s="17" t="n"/>
      <c r="J677" s="549" t="inlineStr">
        <is>
          <t>тыс.т</t>
        </is>
      </c>
    </row>
    <row r="678" ht="20.1" customHeight="1" s="904">
      <c r="A678" s="545" t="n"/>
      <c r="B678" s="909" t="n"/>
      <c r="C678" s="27" t="inlineStr">
        <is>
          <t xml:space="preserve">               Сургутский ЗСК</t>
        </is>
      </c>
      <c r="D678" s="15" t="n"/>
      <c r="E678" s="15" t="n"/>
      <c r="F678" s="16" t="n"/>
      <c r="G678" s="17" t="inlineStr">
        <is>
          <t>4_100331917</t>
        </is>
      </c>
      <c r="H678" s="636" t="n"/>
      <c r="I678" s="17" t="n"/>
      <c r="J678" s="549" t="inlineStr">
        <is>
          <t>тыс.т</t>
        </is>
      </c>
    </row>
    <row r="679" ht="20.1" customHeight="1" s="904">
      <c r="A679" s="545" t="n"/>
      <c r="B679" s="20" t="inlineStr">
        <is>
          <t>14.2.</t>
        </is>
      </c>
      <c r="C679" s="28" t="inlineStr">
        <is>
          <t>Дочерние общества</t>
        </is>
      </c>
      <c r="D679" s="15" t="n"/>
      <c r="E679" s="15" t="n"/>
      <c r="F679" s="16" t="n"/>
      <c r="G679" s="17">
        <f>G680+G682</f>
        <v/>
      </c>
      <c r="H679" s="636" t="n"/>
      <c r="I679" s="17" t="n"/>
      <c r="J679" s="24" t="inlineStr">
        <is>
          <t>тыс.т</t>
        </is>
      </c>
    </row>
    <row r="680" ht="20.1" customHeight="1" s="904">
      <c r="A680" s="545" t="n"/>
      <c r="B680" s="909" t="n"/>
      <c r="C680" s="781" t="inlineStr">
        <is>
          <t xml:space="preserve">   Газпром добыча Уренгой</t>
        </is>
      </c>
      <c r="D680" s="15" t="n"/>
      <c r="E680" s="15" t="n"/>
      <c r="F680" s="16" t="n"/>
      <c r="G680" s="17">
        <f>G681</f>
        <v/>
      </c>
      <c r="H680" s="636" t="n"/>
      <c r="I680" s="17" t="n"/>
      <c r="J680" s="24" t="inlineStr">
        <is>
          <t>тыс.т</t>
        </is>
      </c>
    </row>
    <row r="681" ht="20.1" customHeight="1" s="904">
      <c r="A681" s="545" t="n"/>
      <c r="B681" s="909" t="n"/>
      <c r="C681" s="27" t="inlineStr">
        <is>
          <t>Уренгойский ЗПКТ</t>
        </is>
      </c>
      <c r="D681" s="15" t="n"/>
      <c r="E681" s="15" t="n"/>
      <c r="F681" s="16" t="n"/>
      <c r="G681" s="17">
        <f>0</f>
        <v/>
      </c>
      <c r="H681" s="636" t="n"/>
      <c r="I681" s="17" t="n"/>
      <c r="J681" s="549" t="inlineStr">
        <is>
          <t>тыс.т</t>
        </is>
      </c>
    </row>
    <row r="682" ht="20.1" customHeight="1" s="904">
      <c r="A682" s="545" t="n"/>
      <c r="B682" s="909" t="n"/>
      <c r="C682" s="781" t="inlineStr">
        <is>
          <t xml:space="preserve">   Газпром переработка</t>
        </is>
      </c>
      <c r="D682" s="15" t="n"/>
      <c r="E682" s="15" t="n"/>
      <c r="F682" s="16" t="n"/>
      <c r="G682" s="17">
        <f>G683</f>
        <v/>
      </c>
      <c r="H682" s="636" t="n"/>
      <c r="I682" s="17" t="n"/>
      <c r="J682" s="24" t="inlineStr">
        <is>
          <t>тыс.т</t>
        </is>
      </c>
    </row>
    <row r="683" ht="20.1" customHeight="1" s="904">
      <c r="A683" s="545" t="n"/>
      <c r="B683" s="909" t="n"/>
      <c r="C683" s="27" t="inlineStr">
        <is>
          <t>Астраханский ГПЗ</t>
        </is>
      </c>
      <c r="D683" s="15" t="n"/>
      <c r="E683" s="15" t="n"/>
      <c r="F683" s="16" t="n"/>
      <c r="G683" s="17">
        <f>0</f>
        <v/>
      </c>
      <c r="H683" s="636" t="n"/>
      <c r="I683" s="17" t="n"/>
      <c r="J683" s="549" t="inlineStr">
        <is>
          <t>тыс.т</t>
        </is>
      </c>
    </row>
    <row r="684" ht="20.1" customHeight="1" s="904">
      <c r="A684" s="545" t="n"/>
      <c r="B684" s="909" t="inlineStr">
        <is>
          <t>15.</t>
        </is>
      </c>
      <c r="C684" s="735" t="inlineStr">
        <is>
          <t>Дистиллят газового конденсата средний - всего</t>
        </is>
      </c>
      <c r="D684" s="15" t="n"/>
      <c r="E684" s="15" t="n"/>
      <c r="F684" s="16" t="n"/>
      <c r="G684" s="17">
        <f>G685</f>
        <v/>
      </c>
      <c r="H684" s="636" t="n"/>
      <c r="I684" s="17" t="n"/>
      <c r="J684" s="24" t="inlineStr">
        <is>
          <t>тыс.т</t>
        </is>
      </c>
    </row>
    <row r="685" ht="20.1" customHeight="1" s="904">
      <c r="A685" s="545" t="n"/>
      <c r="B685" s="909" t="n"/>
      <c r="C685" s="781" t="inlineStr">
        <is>
          <t xml:space="preserve">   Газпром переработка</t>
        </is>
      </c>
      <c r="D685" s="15" t="n"/>
      <c r="E685" s="15" t="n"/>
      <c r="F685" s="16" t="n"/>
      <c r="G685" s="17">
        <f>G686</f>
        <v/>
      </c>
      <c r="H685" s="636" t="n"/>
      <c r="I685" s="17" t="n"/>
      <c r="J685" s="24" t="inlineStr">
        <is>
          <t>тыс.т</t>
        </is>
      </c>
    </row>
    <row r="686" ht="20.1" customHeight="1" s="904">
      <c r="A686" s="545" t="n"/>
      <c r="B686" s="909" t="n"/>
      <c r="C686" s="27" t="inlineStr">
        <is>
          <t>Астраханский ГПЗ</t>
        </is>
      </c>
      <c r="D686" s="15" t="n"/>
      <c r="E686" s="15" t="n"/>
      <c r="F686" s="16" t="n"/>
      <c r="G686" s="17">
        <f>G689+G692</f>
        <v/>
      </c>
      <c r="H686" s="636" t="n"/>
      <c r="I686" s="17" t="n"/>
      <c r="J686" s="549" t="inlineStr">
        <is>
          <t>тыс.т</t>
        </is>
      </c>
    </row>
    <row r="687" ht="20.1" customHeight="1" s="904">
      <c r="A687" s="545" t="n"/>
      <c r="B687" s="20" t="inlineStr">
        <is>
          <t>15.1.</t>
        </is>
      </c>
      <c r="C687" s="28" t="inlineStr">
        <is>
          <t>Газпром</t>
        </is>
      </c>
      <c r="D687" s="15" t="n"/>
      <c r="E687" s="15" t="n"/>
      <c r="F687" s="16" t="n"/>
      <c r="G687" s="17">
        <f>G689</f>
        <v/>
      </c>
      <c r="H687" s="636" t="n"/>
      <c r="I687" s="17" t="n"/>
      <c r="J687" s="24" t="inlineStr">
        <is>
          <t>тыс.т</t>
        </is>
      </c>
    </row>
    <row r="688" ht="20.1" customHeight="1" s="904">
      <c r="A688" s="545" t="n"/>
      <c r="B688" s="909" t="n"/>
      <c r="C688" s="781" t="inlineStr">
        <is>
          <t xml:space="preserve">   Газпром переработка</t>
        </is>
      </c>
      <c r="D688" s="15" t="n"/>
      <c r="E688" s="15" t="n"/>
      <c r="F688" s="16" t="n"/>
      <c r="G688" s="17">
        <f>G689</f>
        <v/>
      </c>
      <c r="H688" s="636" t="n"/>
      <c r="I688" s="17" t="n"/>
      <c r="J688" s="24" t="inlineStr">
        <is>
          <t>тыс.т</t>
        </is>
      </c>
    </row>
    <row r="689" ht="20.1" customHeight="1" s="904">
      <c r="A689" s="545" t="n"/>
      <c r="B689" s="909" t="n"/>
      <c r="C689" s="27" t="inlineStr">
        <is>
          <t>Астраханский ГПЗ</t>
        </is>
      </c>
      <c r="D689" s="15" t="n"/>
      <c r="E689" s="15" t="n"/>
      <c r="F689" s="16" t="n"/>
      <c r="G689" s="17" t="inlineStr">
        <is>
          <t>1_100332021</t>
        </is>
      </c>
      <c r="H689" s="636" t="n"/>
      <c r="I689" s="17" t="n"/>
      <c r="J689" s="549" t="inlineStr">
        <is>
          <t>тыс.т</t>
        </is>
      </c>
    </row>
    <row r="690" ht="20.1" customHeight="1" s="904">
      <c r="A690" s="545" t="n"/>
      <c r="B690" s="20" t="inlineStr">
        <is>
          <t>15.2.</t>
        </is>
      </c>
      <c r="C690" s="28" t="inlineStr">
        <is>
          <t>Дочерние общества</t>
        </is>
      </c>
      <c r="D690" s="15" t="n"/>
      <c r="E690" s="15" t="n"/>
      <c r="F690" s="16" t="n"/>
      <c r="G690" s="17">
        <f>G692</f>
        <v/>
      </c>
      <c r="H690" s="636" t="n"/>
      <c r="I690" s="17" t="n"/>
      <c r="J690" s="24" t="inlineStr">
        <is>
          <t>тыс.т</t>
        </is>
      </c>
    </row>
    <row r="691" ht="20.1" customHeight="1" s="904">
      <c r="A691" s="545" t="n"/>
      <c r="B691" s="909" t="n"/>
      <c r="C691" s="781" t="inlineStr">
        <is>
          <t xml:space="preserve">   Газпром переработка</t>
        </is>
      </c>
      <c r="D691" s="15" t="n"/>
      <c r="E691" s="15" t="n"/>
      <c r="F691" s="16" t="n"/>
      <c r="G691" s="17">
        <f>G692</f>
        <v/>
      </c>
      <c r="H691" s="636" t="n"/>
      <c r="I691" s="17" t="n"/>
      <c r="J691" s="24" t="inlineStr">
        <is>
          <t>тыс.т</t>
        </is>
      </c>
    </row>
    <row r="692" ht="20.1" customHeight="1" s="904">
      <c r="A692" s="545" t="n"/>
      <c r="B692" s="909" t="n"/>
      <c r="C692" s="27" t="inlineStr">
        <is>
          <t>Астраханский ГПЗ</t>
        </is>
      </c>
      <c r="D692" s="15" t="n"/>
      <c r="E692" s="15" t="n"/>
      <c r="F692" s="16" t="n"/>
      <c r="G692" s="17">
        <f>0</f>
        <v/>
      </c>
      <c r="H692" s="636" t="n"/>
      <c r="I692" s="17" t="n"/>
      <c r="J692" s="549" t="inlineStr">
        <is>
          <t>тыс.т</t>
        </is>
      </c>
    </row>
    <row r="693" ht="20.1" customHeight="1" s="904">
      <c r="A693" s="545" t="n"/>
      <c r="B693" s="909" t="inlineStr">
        <is>
          <t>16.</t>
        </is>
      </c>
      <c r="C693" s="735" t="inlineStr">
        <is>
          <t>Дистиллят газового конденсата тяжелый - всего</t>
        </is>
      </c>
      <c r="D693" s="15" t="n"/>
      <c r="E693" s="15" t="n"/>
      <c r="F693" s="16" t="n"/>
      <c r="G693" s="17">
        <f>G694</f>
        <v/>
      </c>
      <c r="H693" s="636" t="n"/>
      <c r="I693" s="17" t="n"/>
      <c r="J693" s="24" t="inlineStr">
        <is>
          <t>тыс.т</t>
        </is>
      </c>
    </row>
    <row r="694" ht="20.1" customHeight="1" s="904">
      <c r="A694" s="545" t="n"/>
      <c r="B694" s="909" t="n"/>
      <c r="C694" s="781" t="inlineStr">
        <is>
          <t xml:space="preserve">   Газпром переработка</t>
        </is>
      </c>
      <c r="D694" s="15" t="n"/>
      <c r="E694" s="15" t="n"/>
      <c r="F694" s="16" t="n"/>
      <c r="G694" s="17">
        <f>G695</f>
        <v/>
      </c>
      <c r="H694" s="636" t="n"/>
      <c r="I694" s="17" t="n"/>
      <c r="J694" s="24" t="inlineStr">
        <is>
          <t>тыс.т</t>
        </is>
      </c>
    </row>
    <row r="695" ht="20.1" customHeight="1" s="904">
      <c r="A695" s="545" t="n"/>
      <c r="B695" s="909" t="n"/>
      <c r="C695" s="27" t="inlineStr">
        <is>
          <t>Астраханский ГПЗ</t>
        </is>
      </c>
      <c r="D695" s="15" t="n"/>
      <c r="E695" s="15" t="n"/>
      <c r="F695" s="16" t="n"/>
      <c r="G695" s="17">
        <f>G698+G701</f>
        <v/>
      </c>
      <c r="H695" s="636" t="n"/>
      <c r="I695" s="17" t="n"/>
      <c r="J695" s="549" t="inlineStr">
        <is>
          <t>тыс.т</t>
        </is>
      </c>
    </row>
    <row r="696" ht="20.1" customHeight="1" s="904">
      <c r="A696" s="545" t="n"/>
      <c r="B696" s="20" t="inlineStr">
        <is>
          <t>16.1.</t>
        </is>
      </c>
      <c r="C696" s="28" t="inlineStr">
        <is>
          <t>Газпром</t>
        </is>
      </c>
      <c r="D696" s="15" t="n"/>
      <c r="E696" s="15" t="n"/>
      <c r="F696" s="16" t="n"/>
      <c r="G696" s="17">
        <f>G698</f>
        <v/>
      </c>
      <c r="H696" s="636" t="n"/>
      <c r="I696" s="17" t="n"/>
      <c r="J696" s="24" t="inlineStr">
        <is>
          <t>тыс.т</t>
        </is>
      </c>
    </row>
    <row r="697" ht="20.1" customHeight="1" s="904">
      <c r="A697" s="545" t="n"/>
      <c r="B697" s="909" t="n"/>
      <c r="C697" s="781" t="inlineStr">
        <is>
          <t xml:space="preserve">   Газпром переработка</t>
        </is>
      </c>
      <c r="D697" s="15" t="n"/>
      <c r="E697" s="15" t="n"/>
      <c r="F697" s="16" t="n"/>
      <c r="G697" s="17">
        <f>G698</f>
        <v/>
      </c>
      <c r="H697" s="636" t="n"/>
      <c r="I697" s="17" t="n"/>
      <c r="J697" s="24" t="inlineStr">
        <is>
          <t>тыс.т</t>
        </is>
      </c>
    </row>
    <row r="698" ht="20.1" customHeight="1" s="904">
      <c r="A698" s="545" t="n"/>
      <c r="B698" s="909" t="n"/>
      <c r="C698" s="27" t="inlineStr">
        <is>
          <t>Астраханский ГПЗ</t>
        </is>
      </c>
      <c r="D698" s="15" t="n"/>
      <c r="E698" s="15" t="n"/>
      <c r="F698" s="16" t="n"/>
      <c r="G698" s="17" t="inlineStr">
        <is>
          <t>1_100332022</t>
        </is>
      </c>
      <c r="H698" s="636" t="n"/>
      <c r="I698" s="17" t="n"/>
      <c r="J698" s="549" t="inlineStr">
        <is>
          <t>тыс.т</t>
        </is>
      </c>
    </row>
    <row r="699" ht="20.1" customHeight="1" s="904">
      <c r="A699" s="545" t="n"/>
      <c r="B699" s="20" t="inlineStr">
        <is>
          <t>16.2.</t>
        </is>
      </c>
      <c r="C699" s="28" t="inlineStr">
        <is>
          <t>Дочерние общества</t>
        </is>
      </c>
      <c r="D699" s="15" t="n"/>
      <c r="E699" s="15" t="n"/>
      <c r="F699" s="16" t="n"/>
      <c r="G699" s="17">
        <f>G701</f>
        <v/>
      </c>
      <c r="H699" s="636" t="n"/>
      <c r="I699" s="17" t="n"/>
      <c r="J699" s="24" t="inlineStr">
        <is>
          <t>тыс.т</t>
        </is>
      </c>
    </row>
    <row r="700" ht="20.1" customHeight="1" s="904">
      <c r="A700" s="545" t="n"/>
      <c r="B700" s="909" t="n"/>
      <c r="C700" s="781" t="inlineStr">
        <is>
          <t xml:space="preserve">   Газпром переработка</t>
        </is>
      </c>
      <c r="D700" s="15" t="n"/>
      <c r="E700" s="15" t="n"/>
      <c r="F700" s="16" t="n"/>
      <c r="G700" s="17">
        <f>G701</f>
        <v/>
      </c>
      <c r="H700" s="636" t="n"/>
      <c r="I700" s="17" t="n"/>
      <c r="J700" s="24" t="inlineStr">
        <is>
          <t>тыс.т</t>
        </is>
      </c>
    </row>
    <row r="701" ht="20.1" customHeight="1" s="904">
      <c r="A701" s="545" t="n"/>
      <c r="B701" s="909" t="n"/>
      <c r="C701" s="27" t="inlineStr">
        <is>
          <t>Астраханский ГПЗ</t>
        </is>
      </c>
      <c r="D701" s="15" t="n"/>
      <c r="E701" s="15" t="n"/>
      <c r="F701" s="16" t="n"/>
      <c r="G701" s="17">
        <f>0</f>
        <v/>
      </c>
      <c r="H701" s="636" t="n"/>
      <c r="I701" s="17" t="n"/>
      <c r="J701" s="549" t="inlineStr">
        <is>
          <t>тыс.т</t>
        </is>
      </c>
    </row>
    <row r="702" ht="20.1" customHeight="1" s="904">
      <c r="A702" s="545" t="n"/>
      <c r="B702" s="909" t="inlineStr">
        <is>
          <t>17.</t>
        </is>
      </c>
      <c r="C702" s="735" t="inlineStr">
        <is>
          <t>Этановая фракция-всего</t>
        </is>
      </c>
      <c r="D702" s="15" t="n"/>
      <c r="E702" s="15" t="n"/>
      <c r="F702" s="16" t="n"/>
      <c r="G702" s="17">
        <f>G703+G705</f>
        <v/>
      </c>
      <c r="H702" s="636" t="n"/>
      <c r="I702" s="17" t="n"/>
      <c r="J702" s="24" t="inlineStr">
        <is>
          <t>тыс.т</t>
        </is>
      </c>
    </row>
    <row r="703" ht="20.1" customHeight="1" s="904">
      <c r="A703" s="545" t="n"/>
      <c r="B703" s="909" t="n"/>
      <c r="C703" s="781" t="inlineStr">
        <is>
          <t xml:space="preserve">   Газпром переработка</t>
        </is>
      </c>
      <c r="D703" s="15" t="n"/>
      <c r="E703" s="15" t="n"/>
      <c r="F703" s="16" t="n"/>
      <c r="G703" s="17">
        <f>G704</f>
        <v/>
      </c>
      <c r="H703" s="636" t="n"/>
      <c r="I703" s="17" t="n"/>
      <c r="J703" s="24" t="inlineStr">
        <is>
          <t>тыс.т</t>
        </is>
      </c>
    </row>
    <row r="704" ht="20.1" customHeight="1" s="904">
      <c r="A704" s="545" t="n"/>
      <c r="B704" s="909" t="n"/>
      <c r="C704" s="27" t="inlineStr">
        <is>
          <t>Оренбургский ГХК</t>
        </is>
      </c>
      <c r="D704" s="15" t="n"/>
      <c r="E704" s="15" t="n"/>
      <c r="F704" s="16" t="n"/>
      <c r="G704" s="17">
        <f>G712</f>
        <v/>
      </c>
      <c r="H704" s="636" t="n"/>
      <c r="I704" s="17" t="n"/>
      <c r="J704" s="24" t="inlineStr">
        <is>
          <t>тыс.т</t>
        </is>
      </c>
    </row>
    <row r="705" ht="20.1" customHeight="1" s="904">
      <c r="A705" s="545" t="n"/>
      <c r="B705" s="909" t="n"/>
      <c r="C705" s="781" t="inlineStr">
        <is>
          <t xml:space="preserve"> Газпром переработка Благовещенск</t>
        </is>
      </c>
      <c r="D705" s="15" t="n"/>
      <c r="E705" s="15" t="n"/>
      <c r="F705" s="16" t="n"/>
      <c r="G705" s="17">
        <f>G706</f>
        <v/>
      </c>
      <c r="H705" s="636" t="n"/>
      <c r="I705" s="17" t="n"/>
      <c r="J705" s="24" t="inlineStr">
        <is>
          <t>тыс.т</t>
        </is>
      </c>
    </row>
    <row r="706" ht="20.1" customHeight="1" s="904">
      <c r="A706" s="545" t="n"/>
      <c r="B706" s="909" t="n"/>
      <c r="C706" s="27" t="inlineStr">
        <is>
          <t xml:space="preserve"> Амурский ГПЗ</t>
        </is>
      </c>
      <c r="D706" s="15" t="n"/>
      <c r="E706" s="15" t="n"/>
      <c r="F706" s="16" t="n"/>
      <c r="G706" s="17">
        <f>G709</f>
        <v/>
      </c>
      <c r="H706" s="636" t="n"/>
      <c r="I706" s="17" t="n"/>
      <c r="J706" s="24" t="inlineStr">
        <is>
          <t>тыс.т</t>
        </is>
      </c>
    </row>
    <row r="707" ht="20.1" customHeight="1" s="904">
      <c r="A707" s="545" t="n"/>
      <c r="B707" s="20" t="inlineStr">
        <is>
          <t>17.1.</t>
        </is>
      </c>
      <c r="C707" s="28" t="inlineStr">
        <is>
          <t>Газпром</t>
        </is>
      </c>
      <c r="D707" s="15" t="n"/>
      <c r="E707" s="15" t="n"/>
      <c r="F707" s="16" t="n"/>
      <c r="G707" s="17">
        <f>G708</f>
        <v/>
      </c>
      <c r="H707" s="636" t="n"/>
      <c r="I707" s="17" t="n"/>
      <c r="J707" s="24" t="inlineStr">
        <is>
          <t>тыс.т</t>
        </is>
      </c>
    </row>
    <row r="708" ht="20.1" customHeight="1" s="904">
      <c r="A708" s="545" t="n"/>
      <c r="B708" s="909" t="n"/>
      <c r="C708" s="781" t="inlineStr">
        <is>
          <t xml:space="preserve"> Газпром переработка Благовещенск</t>
        </is>
      </c>
      <c r="D708" s="15" t="n"/>
      <c r="E708" s="15" t="n"/>
      <c r="F708" s="16" t="n"/>
      <c r="G708" s="17">
        <f>G709</f>
        <v/>
      </c>
      <c r="H708" s="636" t="n"/>
      <c r="I708" s="17" t="n"/>
      <c r="J708" s="24" t="inlineStr">
        <is>
          <t>тыс.т</t>
        </is>
      </c>
    </row>
    <row r="709" ht="20.1" customHeight="1" s="904">
      <c r="A709" s="545" t="n"/>
      <c r="B709" s="909" t="n"/>
      <c r="C709" s="27" t="inlineStr">
        <is>
          <t xml:space="preserve"> Амурский ГПЗ</t>
        </is>
      </c>
      <c r="D709" s="15" t="n"/>
      <c r="E709" s="15" t="n"/>
      <c r="F709" s="16" t="n"/>
      <c r="G709" s="17" t="inlineStr">
        <is>
          <t>14_100332362</t>
        </is>
      </c>
      <c r="H709" s="636" t="n"/>
      <c r="I709" s="17" t="n"/>
      <c r="J709" s="24" t="inlineStr">
        <is>
          <t>тыс.т</t>
        </is>
      </c>
    </row>
    <row r="710" ht="20.1" customHeight="1" s="904">
      <c r="A710" s="545" t="n"/>
      <c r="B710" s="20" t="inlineStr">
        <is>
          <t>17.2.</t>
        </is>
      </c>
      <c r="C710" s="28" t="inlineStr">
        <is>
          <t>Дочерние общества</t>
        </is>
      </c>
      <c r="D710" s="15" t="n"/>
      <c r="E710" s="15" t="n"/>
      <c r="F710" s="16" t="n"/>
      <c r="G710" s="17" t="n"/>
      <c r="H710" s="636" t="n"/>
      <c r="I710" s="17" t="n"/>
      <c r="J710" s="24" t="n"/>
    </row>
    <row r="711" ht="20.1" customHeight="1" s="904">
      <c r="A711" s="545" t="n"/>
      <c r="B711" s="909" t="n"/>
      <c r="C711" s="781" t="inlineStr">
        <is>
          <t xml:space="preserve">   Газпром переработка</t>
        </is>
      </c>
      <c r="D711" s="15" t="n"/>
      <c r="E711" s="15" t="n"/>
      <c r="F711" s="16" t="n"/>
      <c r="G711" s="17">
        <f>G712</f>
        <v/>
      </c>
      <c r="H711" s="636" t="n"/>
      <c r="I711" s="17" t="n"/>
      <c r="J711" s="24" t="inlineStr">
        <is>
          <t>тыс.т</t>
        </is>
      </c>
    </row>
    <row r="712" ht="20.1" customHeight="1" s="904">
      <c r="A712" s="545" t="n"/>
      <c r="B712" s="909" t="n"/>
      <c r="C712" s="27" t="inlineStr">
        <is>
          <t>Оренбургский ГХК</t>
        </is>
      </c>
      <c r="D712" s="15" t="n"/>
      <c r="E712" s="15" t="n"/>
      <c r="F712" s="16" t="n"/>
      <c r="G712" s="17">
        <f>G713+G714+G715</f>
        <v/>
      </c>
      <c r="H712" s="636" t="n"/>
      <c r="I712" s="17" t="n"/>
      <c r="J712" s="549" t="inlineStr">
        <is>
          <t>тыс.т</t>
        </is>
      </c>
    </row>
    <row r="713" ht="20.1" customHeight="1" s="904">
      <c r="A713" s="545" t="n"/>
      <c r="B713" s="909" t="n"/>
      <c r="C713" s="737" t="inlineStr">
        <is>
          <t>Газпром добыча Оренбург</t>
        </is>
      </c>
      <c r="D713" s="15" t="n"/>
      <c r="E713" s="15" t="n"/>
      <c r="F713" s="16" t="n"/>
      <c r="G713" s="17" t="inlineStr">
        <is>
          <t>2_100332242</t>
        </is>
      </c>
      <c r="H713" s="636" t="n"/>
      <c r="I713" s="17" t="n"/>
      <c r="J713" s="24" t="inlineStr">
        <is>
          <t>тыс.т</t>
        </is>
      </c>
    </row>
    <row r="714" ht="20.1" customHeight="1" s="904">
      <c r="A714" s="545" t="n"/>
      <c r="B714" s="909" t="n"/>
      <c r="C714" s="737" t="inlineStr">
        <is>
          <t>Газпром нефть</t>
        </is>
      </c>
      <c r="D714" s="15" t="n"/>
      <c r="E714" s="15" t="n"/>
      <c r="F714" s="16" t="n"/>
      <c r="G714" s="17" t="inlineStr">
        <is>
          <t>2_100332243</t>
        </is>
      </c>
      <c r="H714" s="636" t="n"/>
      <c r="I714" s="17" t="n"/>
      <c r="J714" s="24" t="inlineStr">
        <is>
          <t>тыс.т</t>
        </is>
      </c>
    </row>
    <row r="715" ht="20.1" customHeight="1" s="904">
      <c r="A715" s="545" t="n"/>
      <c r="B715" s="909" t="n"/>
      <c r="C715" s="553" t="inlineStr">
        <is>
          <t>прочие поставщики (ГПНЗ, УНГП, и.т.д.)</t>
        </is>
      </c>
      <c r="D715" s="15" t="n"/>
      <c r="E715" s="15" t="n"/>
      <c r="F715" s="16" t="n"/>
      <c r="G715" s="17" t="inlineStr">
        <is>
          <t>2_100335151</t>
        </is>
      </c>
      <c r="H715" s="636" t="n"/>
      <c r="I715" s="17" t="n"/>
      <c r="J715" s="24" t="inlineStr">
        <is>
          <t>тыс.т</t>
        </is>
      </c>
    </row>
    <row r="716" ht="20.1" customHeight="1" s="904">
      <c r="A716" s="545" t="n"/>
      <c r="B716" s="909" t="inlineStr">
        <is>
          <t>18.</t>
        </is>
      </c>
      <c r="C716" s="45" t="inlineStr">
        <is>
          <t>Гелий-всего</t>
        </is>
      </c>
      <c r="D716" s="15" t="n"/>
      <c r="E716" s="15" t="n"/>
      <c r="F716" s="16" t="n"/>
      <c r="G716" s="17">
        <f>G718+G721</f>
        <v/>
      </c>
      <c r="H716" s="636" t="n"/>
      <c r="I716" s="17" t="n"/>
      <c r="J716" s="46" t="inlineStr">
        <is>
          <t>тыс. куб.м.</t>
        </is>
      </c>
    </row>
    <row r="717" ht="20.1" customHeight="1" s="904">
      <c r="A717" s="545" t="n"/>
      <c r="B717" s="909" t="n"/>
      <c r="C717" s="735" t="n"/>
      <c r="D717" s="15" t="n"/>
      <c r="E717" s="15" t="n"/>
      <c r="F717" s="16" t="n"/>
      <c r="G717" s="17">
        <f>G728+G733+G737+G741</f>
        <v/>
      </c>
      <c r="H717" s="636" t="n"/>
      <c r="I717" s="17" t="n"/>
      <c r="J717" s="24" t="inlineStr">
        <is>
          <t>тонн</t>
        </is>
      </c>
    </row>
    <row r="718" ht="20.1" customHeight="1" s="904">
      <c r="A718" s="545" t="n"/>
      <c r="B718" s="909" t="n"/>
      <c r="C718" s="781" t="inlineStr">
        <is>
          <t xml:space="preserve">   Газпром переработка</t>
        </is>
      </c>
      <c r="D718" s="15" t="n"/>
      <c r="E718" s="15" t="n"/>
      <c r="F718" s="16" t="n"/>
      <c r="G718" s="17">
        <f>G719</f>
        <v/>
      </c>
      <c r="H718" s="636" t="n"/>
      <c r="I718" s="17" t="n"/>
      <c r="J718" s="24" t="inlineStr">
        <is>
          <t>тыс. куб.м.</t>
        </is>
      </c>
    </row>
    <row r="719" ht="20.1" customHeight="1" s="904">
      <c r="A719" s="545" t="n"/>
      <c r="B719" s="909" t="n"/>
      <c r="C719" s="47" t="inlineStr">
        <is>
          <t>Оренбургский ГХК</t>
        </is>
      </c>
      <c r="D719" s="15" t="n"/>
      <c r="E719" s="15" t="n"/>
      <c r="F719" s="16" t="n"/>
      <c r="G719" s="17">
        <f>G731</f>
        <v/>
      </c>
      <c r="H719" s="636" t="n"/>
      <c r="I719" s="17" t="n"/>
      <c r="J719" s="48" t="inlineStr">
        <is>
          <t>тыс. куб.м.</t>
        </is>
      </c>
    </row>
    <row r="720" ht="20.1" customHeight="1" s="904">
      <c r="A720" s="545" t="n"/>
      <c r="B720" s="909" t="n"/>
      <c r="C720" s="27" t="n"/>
      <c r="D720" s="15" t="n"/>
      <c r="E720" s="15" t="n"/>
      <c r="F720" s="16" t="n"/>
      <c r="G720" s="17">
        <f>G733+G737</f>
        <v/>
      </c>
      <c r="H720" s="636" t="n"/>
      <c r="I720" s="17" t="n"/>
      <c r="J720" s="32" t="inlineStr">
        <is>
          <t>тонн</t>
        </is>
      </c>
    </row>
    <row r="721" ht="20.1" customHeight="1" s="904">
      <c r="A721" s="545" t="n"/>
      <c r="B721" s="909" t="n"/>
      <c r="C721" s="781" t="inlineStr">
        <is>
          <t>Газпром переработка Благовещенск</t>
        </is>
      </c>
      <c r="D721" s="15" t="n"/>
      <c r="E721" s="15" t="n"/>
      <c r="F721" s="16" t="n"/>
      <c r="G721" s="17">
        <f>G722</f>
        <v/>
      </c>
      <c r="H721" s="636" t="n"/>
      <c r="I721" s="17" t="n"/>
      <c r="J721" s="24" t="inlineStr">
        <is>
          <t>тыс. куб.м.</t>
        </is>
      </c>
    </row>
    <row r="722" ht="20.1" customHeight="1" s="904">
      <c r="A722" s="545" t="n"/>
      <c r="B722" s="909" t="n"/>
      <c r="C722" s="47" t="inlineStr">
        <is>
          <t xml:space="preserve"> Амурский ГПЗ </t>
        </is>
      </c>
      <c r="D722" s="15" t="n"/>
      <c r="E722" s="15" t="n"/>
      <c r="F722" s="16" t="n"/>
      <c r="G722" s="17">
        <f>G726+G739</f>
        <v/>
      </c>
      <c r="H722" s="636" t="n"/>
      <c r="I722" s="17" t="n"/>
      <c r="J722" s="48" t="inlineStr">
        <is>
          <t>тыс. куб.м.</t>
        </is>
      </c>
    </row>
    <row r="723" ht="20.1" customHeight="1" s="904">
      <c r="A723" s="545" t="n"/>
      <c r="B723" s="909" t="n"/>
      <c r="C723" s="27" t="n"/>
      <c r="D723" s="15" t="n"/>
      <c r="E723" s="15" t="n"/>
      <c r="F723" s="16" t="n"/>
      <c r="G723" s="17">
        <f>G728+G741</f>
        <v/>
      </c>
      <c r="H723" s="636" t="n"/>
      <c r="I723" s="17" t="n"/>
      <c r="J723" s="32" t="inlineStr">
        <is>
          <t>тонн</t>
        </is>
      </c>
    </row>
    <row r="724" ht="20.1" customHeight="1" s="904">
      <c r="A724" s="545" t="n"/>
      <c r="B724" s="20" t="inlineStr">
        <is>
          <t>18.1.</t>
        </is>
      </c>
      <c r="C724" s="28" t="inlineStr">
        <is>
          <t>Газпром</t>
        </is>
      </c>
      <c r="D724" s="15" t="n"/>
      <c r="E724" s="15" t="n"/>
      <c r="F724" s="16" t="n"/>
      <c r="G724" s="17">
        <f>G725</f>
        <v/>
      </c>
      <c r="H724" s="636" t="n"/>
      <c r="I724" s="17" t="n"/>
      <c r="J724" s="24" t="inlineStr">
        <is>
          <t>тыс. куб.м.</t>
        </is>
      </c>
    </row>
    <row r="725" ht="20.1" customHeight="1" s="904">
      <c r="A725" s="545" t="n"/>
      <c r="B725" s="909" t="n"/>
      <c r="C725" s="781" t="inlineStr">
        <is>
          <t>Газпром переработка Благовещенск</t>
        </is>
      </c>
      <c r="D725" s="15" t="n"/>
      <c r="E725" s="15" t="n"/>
      <c r="F725" s="16" t="n"/>
      <c r="G725" s="17">
        <f>G726</f>
        <v/>
      </c>
      <c r="H725" s="636" t="n"/>
      <c r="I725" s="17" t="n"/>
      <c r="J725" s="24" t="inlineStr">
        <is>
          <t>тыс. куб.м.</t>
        </is>
      </c>
    </row>
    <row r="726" ht="20.1" customHeight="1" s="904">
      <c r="A726" s="545" t="n"/>
      <c r="B726" s="909" t="n"/>
      <c r="C726" s="27" t="inlineStr">
        <is>
          <t xml:space="preserve"> Амурский ГПЗ </t>
        </is>
      </c>
      <c r="D726" s="15" t="n"/>
      <c r="E726" s="15" t="n"/>
      <c r="F726" s="16" t="n"/>
      <c r="G726" s="17">
        <f>G727</f>
        <v/>
      </c>
      <c r="H726" s="636" t="n"/>
      <c r="I726" s="17" t="n"/>
      <c r="J726" s="549" t="inlineStr">
        <is>
          <t>тыс. куб.м.</t>
        </is>
      </c>
    </row>
    <row r="727" ht="20.1" customHeight="1" s="904">
      <c r="A727" s="545" t="n"/>
      <c r="B727" s="909" t="n"/>
      <c r="C727" s="737" t="inlineStr">
        <is>
          <t>жидкий</t>
        </is>
      </c>
      <c r="D727" s="15" t="n"/>
      <c r="E727" s="15" t="n"/>
      <c r="F727" s="16" t="n"/>
      <c r="G727" s="17" t="inlineStr">
        <is>
          <t>14_100332361</t>
        </is>
      </c>
      <c r="H727" s="636" t="n"/>
      <c r="I727" s="17" t="n"/>
      <c r="J727" s="49" t="inlineStr">
        <is>
          <t>тыс. куб.м.</t>
        </is>
      </c>
    </row>
    <row r="728" ht="20.1" customHeight="1" s="904">
      <c r="A728" s="545" t="n"/>
      <c r="B728" s="909" t="n"/>
      <c r="C728" s="737" t="n"/>
      <c r="D728" s="15" t="n"/>
      <c r="E728" s="15" t="n"/>
      <c r="F728" s="16" t="n"/>
      <c r="G728" s="17" t="inlineStr">
        <is>
          <t>14_100332360</t>
        </is>
      </c>
      <c r="H728" s="636" t="n"/>
      <c r="I728" s="17" t="n"/>
      <c r="J728" s="50" t="inlineStr">
        <is>
          <t>тонн</t>
        </is>
      </c>
    </row>
    <row r="729" ht="20.1" customHeight="1" s="904">
      <c r="A729" s="545" t="n"/>
      <c r="B729" s="20" t="inlineStr">
        <is>
          <t>18.2.</t>
        </is>
      </c>
      <c r="C729" s="28" t="inlineStr">
        <is>
          <t>Дочерние общества</t>
        </is>
      </c>
      <c r="D729" s="15" t="n"/>
      <c r="E729" s="15" t="n"/>
      <c r="F729" s="16" t="n"/>
      <c r="G729" s="17">
        <f>G730+G738</f>
        <v/>
      </c>
      <c r="H729" s="636" t="n"/>
      <c r="I729" s="17" t="n"/>
      <c r="J729" s="24" t="inlineStr">
        <is>
          <t>тыс. куб.м.</t>
        </is>
      </c>
    </row>
    <row r="730" ht="20.1" customHeight="1" s="904">
      <c r="A730" s="545" t="n"/>
      <c r="B730" s="909" t="n"/>
      <c r="C730" s="781" t="inlineStr">
        <is>
          <t xml:space="preserve">   Газпром переработка</t>
        </is>
      </c>
      <c r="D730" s="15" t="n"/>
      <c r="E730" s="15" t="n"/>
      <c r="F730" s="16" t="n"/>
      <c r="G730" s="17">
        <f>G731</f>
        <v/>
      </c>
      <c r="H730" s="636" t="n"/>
      <c r="I730" s="17" t="n"/>
      <c r="J730" s="24" t="inlineStr">
        <is>
          <t>тыс. куб.м.</t>
        </is>
      </c>
    </row>
    <row r="731" ht="20.1" customHeight="1" s="904">
      <c r="A731" s="545" t="n"/>
      <c r="B731" s="909" t="n"/>
      <c r="C731" s="27" t="inlineStr">
        <is>
          <t>Оренбургский ГХК</t>
        </is>
      </c>
      <c r="D731" s="15" t="n"/>
      <c r="E731" s="15" t="n"/>
      <c r="F731" s="16" t="n"/>
      <c r="G731" s="17">
        <f>G732+G736</f>
        <v/>
      </c>
      <c r="H731" s="636" t="n"/>
      <c r="I731" s="17" t="n"/>
      <c r="J731" s="549" t="inlineStr">
        <is>
          <t>тыс. куб.м.</t>
        </is>
      </c>
    </row>
    <row r="732" ht="20.1" customHeight="1" s="904">
      <c r="A732" s="545" t="n"/>
      <c r="B732" s="909" t="n"/>
      <c r="C732" s="737" t="inlineStr">
        <is>
          <t>в т.ч. газообразный</t>
        </is>
      </c>
      <c r="D732" s="15" t="n"/>
      <c r="E732" s="15" t="n"/>
      <c r="F732" s="16" t="n"/>
      <c r="G732" s="17" t="inlineStr">
        <is>
          <t>2_100332248</t>
        </is>
      </c>
      <c r="H732" s="636" t="n"/>
      <c r="I732" s="17" t="n"/>
      <c r="J732" s="49" t="inlineStr">
        <is>
          <t>тыс. куб.м.</t>
        </is>
      </c>
    </row>
    <row r="733" ht="20.1" customHeight="1" s="904">
      <c r="A733" s="545" t="n"/>
      <c r="B733" s="909" t="n"/>
      <c r="C733" s="737" t="n"/>
      <c r="D733" s="15" t="n"/>
      <c r="E733" s="15" t="n"/>
      <c r="F733" s="16" t="n"/>
      <c r="G733" s="17" t="inlineStr">
        <is>
          <t>2_100335422</t>
        </is>
      </c>
      <c r="H733" s="636" t="n"/>
      <c r="I733" s="17" t="n"/>
      <c r="J733" s="50" t="inlineStr">
        <is>
          <t>тонн</t>
        </is>
      </c>
    </row>
    <row r="734" ht="20.1" customHeight="1" s="904">
      <c r="A734" s="545" t="n"/>
      <c r="B734" s="909" t="n"/>
      <c r="C734" s="737" t="inlineStr">
        <is>
          <t>в т.ч. собственная потребность ГПП</t>
        </is>
      </c>
      <c r="D734" s="15" t="n"/>
      <c r="E734" s="15" t="n"/>
      <c r="F734" s="16" t="n"/>
      <c r="G734" s="17" t="inlineStr">
        <is>
          <t>2_100332249</t>
        </is>
      </c>
      <c r="H734" s="636" t="n"/>
      <c r="I734" s="17" t="n"/>
      <c r="J734" s="50" t="inlineStr">
        <is>
          <t>тыс. куб.м.</t>
        </is>
      </c>
    </row>
    <row r="735" ht="20.1" customHeight="1" s="904">
      <c r="A735" s="545" t="n"/>
      <c r="B735" s="909" t="n"/>
      <c r="C735" s="737" t="inlineStr">
        <is>
          <t xml:space="preserve"> собственная потребность ГДО</t>
        </is>
      </c>
      <c r="D735" s="15" t="n"/>
      <c r="E735" s="15" t="n"/>
      <c r="F735" s="16" t="n"/>
      <c r="G735" s="17">
        <f>0</f>
        <v/>
      </c>
      <c r="H735" s="636" t="n"/>
      <c r="I735" s="17" t="n"/>
      <c r="J735" s="50" t="inlineStr">
        <is>
          <t>тыс. куб.м.</t>
        </is>
      </c>
    </row>
    <row r="736" ht="20.1" customHeight="1" s="904">
      <c r="A736" s="545" t="n"/>
      <c r="B736" s="909" t="n"/>
      <c r="C736" s="737" t="inlineStr">
        <is>
          <t>жидкий</t>
        </is>
      </c>
      <c r="D736" s="15" t="n"/>
      <c r="E736" s="15" t="n"/>
      <c r="F736" s="16" t="n"/>
      <c r="G736" s="17" t="inlineStr">
        <is>
          <t>2_100332250</t>
        </is>
      </c>
      <c r="H736" s="636" t="n"/>
      <c r="I736" s="17" t="n"/>
      <c r="J736" s="49" t="inlineStr">
        <is>
          <t>тыс. куб.м.</t>
        </is>
      </c>
    </row>
    <row r="737" ht="20.1" customHeight="1" s="904">
      <c r="A737" s="545" t="n"/>
      <c r="B737" s="909" t="n"/>
      <c r="C737" s="737" t="n"/>
      <c r="D737" s="15" t="n"/>
      <c r="E737" s="15" t="n"/>
      <c r="F737" s="16" t="n"/>
      <c r="G737" s="17" t="inlineStr">
        <is>
          <t>2_100332251</t>
        </is>
      </c>
      <c r="H737" s="636" t="n"/>
      <c r="I737" s="17" t="n"/>
      <c r="J737" s="50" t="inlineStr">
        <is>
          <t>тонн</t>
        </is>
      </c>
    </row>
    <row r="738" ht="20.1" customHeight="1" s="904">
      <c r="A738" s="545" t="n"/>
      <c r="B738" s="909" t="n"/>
      <c r="C738" s="22" t="inlineStr">
        <is>
          <t>Газпром переработка Благовещенск</t>
        </is>
      </c>
      <c r="D738" s="15" t="n"/>
      <c r="E738" s="15" t="n"/>
      <c r="F738" s="16" t="n"/>
      <c r="G738" s="17">
        <f>G739</f>
        <v/>
      </c>
      <c r="H738" s="636" t="n"/>
      <c r="I738" s="17" t="n"/>
      <c r="J738" s="24" t="inlineStr">
        <is>
          <t>тыс. куб.м.</t>
        </is>
      </c>
    </row>
    <row r="739" ht="20.1" customHeight="1" s="904">
      <c r="A739" s="545" t="n"/>
      <c r="B739" s="909" t="n"/>
      <c r="C739" s="51" t="inlineStr">
        <is>
          <t xml:space="preserve"> Амурский ГПЗ </t>
        </is>
      </c>
      <c r="D739" s="15" t="n"/>
      <c r="E739" s="15" t="n"/>
      <c r="F739" s="16" t="n"/>
      <c r="G739" s="17">
        <f>G740</f>
        <v/>
      </c>
      <c r="H739" s="636" t="n"/>
      <c r="I739" s="17" t="n"/>
      <c r="J739" s="549" t="inlineStr">
        <is>
          <t>тыс. куб.м.</t>
        </is>
      </c>
    </row>
    <row r="740" ht="20.1" customHeight="1" s="904">
      <c r="A740" s="545" t="n"/>
      <c r="B740" s="909" t="n"/>
      <c r="C740" s="40" t="inlineStr">
        <is>
          <t>жидкий</t>
        </is>
      </c>
      <c r="D740" s="15" t="n"/>
      <c r="E740" s="15" t="n"/>
      <c r="F740" s="16" t="n"/>
      <c r="G740" s="17" t="inlineStr">
        <is>
          <t>14_100335082</t>
        </is>
      </c>
      <c r="H740" s="636" t="n"/>
      <c r="I740" s="17" t="n"/>
      <c r="J740" s="49" t="inlineStr">
        <is>
          <t>тыс. куб.м.</t>
        </is>
      </c>
    </row>
    <row r="741" ht="20.1" customHeight="1" s="904">
      <c r="A741" s="545" t="n"/>
      <c r="B741" s="909" t="n"/>
      <c r="C741" s="40" t="n"/>
      <c r="D741" s="15" t="n"/>
      <c r="E741" s="15" t="n"/>
      <c r="F741" s="16" t="n"/>
      <c r="G741" s="17" t="inlineStr">
        <is>
          <t>14_100335083</t>
        </is>
      </c>
      <c r="H741" s="636" t="n"/>
      <c r="I741" s="17" t="n"/>
      <c r="J741" s="50" t="inlineStr">
        <is>
          <t>тонн</t>
        </is>
      </c>
    </row>
    <row r="742" ht="20.1" customHeight="1" s="904">
      <c r="A742" s="545" t="n"/>
      <c r="B742" s="909" t="inlineStr">
        <is>
          <t>19.</t>
        </is>
      </c>
      <c r="C742" s="735" t="inlineStr">
        <is>
          <t>Одорант-всего</t>
        </is>
      </c>
      <c r="D742" s="15" t="n"/>
      <c r="E742" s="15" t="n"/>
      <c r="F742" s="16" t="n"/>
      <c r="G742" s="17" t="n"/>
      <c r="H742" s="636" t="n"/>
      <c r="I742" s="17" t="n"/>
      <c r="J742" s="24" t="n"/>
    </row>
    <row r="743" ht="20.1" customHeight="1" s="904">
      <c r="A743" s="545" t="n"/>
      <c r="B743" s="909" t="n"/>
      <c r="C743" s="781" t="inlineStr">
        <is>
          <t xml:space="preserve">   Газпром переработка</t>
        </is>
      </c>
      <c r="D743" s="15" t="n"/>
      <c r="E743" s="15" t="n"/>
      <c r="F743" s="16" t="n"/>
      <c r="G743" s="17">
        <f>G744</f>
        <v/>
      </c>
      <c r="H743" s="636" t="n"/>
      <c r="I743" s="17" t="n"/>
      <c r="J743" s="24" t="inlineStr">
        <is>
          <t>тонн</t>
        </is>
      </c>
    </row>
    <row r="744" ht="20.1" customHeight="1" s="904">
      <c r="A744" s="545" t="n"/>
      <c r="B744" s="909" t="n"/>
      <c r="C744" s="27" t="inlineStr">
        <is>
          <t>Оренбургский ГХК</t>
        </is>
      </c>
      <c r="D744" s="15" t="n"/>
      <c r="E744" s="15" t="n"/>
      <c r="F744" s="16" t="n"/>
      <c r="G744" s="17">
        <f>G748</f>
        <v/>
      </c>
      <c r="H744" s="636" t="n"/>
      <c r="I744" s="17" t="n"/>
      <c r="J744" s="549" t="inlineStr">
        <is>
          <t>тонн</t>
        </is>
      </c>
    </row>
    <row r="745" ht="20.1" customHeight="1" s="904">
      <c r="A745" s="545" t="n"/>
      <c r="B745" s="20" t="inlineStr">
        <is>
          <t>19.1</t>
        </is>
      </c>
      <c r="C745" s="28" t="inlineStr">
        <is>
          <t>Газпром</t>
        </is>
      </c>
      <c r="D745" s="15" t="n"/>
      <c r="E745" s="15" t="n"/>
      <c r="F745" s="16" t="n"/>
      <c r="G745" s="17">
        <f>0</f>
        <v/>
      </c>
      <c r="H745" s="636" t="n"/>
      <c r="I745" s="17" t="n"/>
      <c r="J745" s="24" t="inlineStr">
        <is>
          <t>тонн</t>
        </is>
      </c>
    </row>
    <row r="746" ht="20.1" customHeight="1" s="904">
      <c r="A746" s="545" t="n"/>
      <c r="B746" s="20" t="inlineStr">
        <is>
          <t>19.2.</t>
        </is>
      </c>
      <c r="C746" s="28" t="inlineStr">
        <is>
          <t>Дочерние общества</t>
        </is>
      </c>
      <c r="D746" s="15" t="n"/>
      <c r="E746" s="15" t="n"/>
      <c r="F746" s="16" t="n"/>
      <c r="G746" s="17">
        <f>G747</f>
        <v/>
      </c>
      <c r="H746" s="636" t="n"/>
      <c r="I746" s="17" t="n"/>
      <c r="J746" s="24" t="inlineStr">
        <is>
          <t>тонн</t>
        </is>
      </c>
    </row>
    <row r="747" ht="20.1" customHeight="1" s="904">
      <c r="A747" s="545" t="n"/>
      <c r="B747" s="909" t="n"/>
      <c r="C747" s="781" t="inlineStr">
        <is>
          <t xml:space="preserve">   Газпром переработка</t>
        </is>
      </c>
      <c r="D747" s="15" t="n"/>
      <c r="E747" s="15" t="n"/>
      <c r="F747" s="16" t="n"/>
      <c r="G747" s="17">
        <f>G748</f>
        <v/>
      </c>
      <c r="H747" s="636" t="n"/>
      <c r="I747" s="17" t="n"/>
      <c r="J747" s="24" t="inlineStr">
        <is>
          <t>тонн</t>
        </is>
      </c>
    </row>
    <row r="748" ht="20.1" customHeight="1" s="904">
      <c r="A748" s="545" t="n"/>
      <c r="B748" s="909" t="n"/>
      <c r="C748" s="27" t="inlineStr">
        <is>
          <t>Оренбургский ГХК</t>
        </is>
      </c>
      <c r="D748" s="15" t="n"/>
      <c r="E748" s="15" t="n"/>
      <c r="F748" s="16" t="n"/>
      <c r="G748" s="17" t="inlineStr">
        <is>
          <t>2_100332239</t>
        </is>
      </c>
      <c r="H748" s="636" t="n"/>
      <c r="I748" s="17" t="n"/>
      <c r="J748" s="549" t="inlineStr">
        <is>
          <t>тонн</t>
        </is>
      </c>
    </row>
    <row r="749" ht="20.1" customHeight="1" s="904">
      <c r="A749" s="545" t="n"/>
      <c r="B749" s="909" t="n"/>
      <c r="C749" s="737" t="inlineStr">
        <is>
          <t xml:space="preserve"> в т.ч. собственная потребность ГПП</t>
        </is>
      </c>
      <c r="D749" s="15" t="n"/>
      <c r="E749" s="15" t="n"/>
      <c r="F749" s="16" t="n"/>
      <c r="G749" s="17">
        <f>0</f>
        <v/>
      </c>
      <c r="H749" s="636" t="n"/>
      <c r="I749" s="17" t="n"/>
      <c r="J749" s="554" t="inlineStr">
        <is>
          <t>тонн</t>
        </is>
      </c>
    </row>
    <row r="750" ht="20.1" customHeight="1" s="904">
      <c r="A750" s="545" t="n"/>
      <c r="B750" s="909" t="inlineStr">
        <is>
          <t>20.</t>
        </is>
      </c>
      <c r="C750" s="735" t="inlineStr">
        <is>
          <t>Техуглерод-всего</t>
        </is>
      </c>
      <c r="D750" s="15" t="n"/>
      <c r="E750" s="15" t="n"/>
      <c r="F750" s="16" t="n"/>
      <c r="G750" s="17" t="n"/>
      <c r="H750" s="636" t="n"/>
      <c r="I750" s="17" t="n"/>
      <c r="J750" s="24" t="n"/>
    </row>
    <row r="751" ht="20.1" customHeight="1" s="904">
      <c r="A751" s="545" t="n"/>
      <c r="B751" s="909" t="n"/>
      <c r="C751" s="781" t="inlineStr">
        <is>
          <t xml:space="preserve">   Газпром переработка</t>
        </is>
      </c>
      <c r="D751" s="15" t="n"/>
      <c r="E751" s="15" t="n"/>
      <c r="F751" s="16" t="n"/>
      <c r="G751" s="17">
        <f>G752</f>
        <v/>
      </c>
      <c r="H751" s="636" t="n"/>
      <c r="I751" s="17" t="n"/>
      <c r="J751" s="24" t="inlineStr">
        <is>
          <t>тонн</t>
        </is>
      </c>
    </row>
    <row r="752" ht="20.1" customHeight="1" s="904">
      <c r="A752" s="545" t="n"/>
      <c r="B752" s="909" t="n"/>
      <c r="C752" s="27" t="inlineStr">
        <is>
          <t xml:space="preserve">  Сосногорский ГПЗ </t>
        </is>
      </c>
      <c r="D752" s="15" t="n"/>
      <c r="E752" s="15" t="n"/>
      <c r="F752" s="16" t="n"/>
      <c r="G752" s="17">
        <f>G755</f>
        <v/>
      </c>
      <c r="H752" s="636" t="n"/>
      <c r="I752" s="17" t="n"/>
      <c r="J752" s="549" t="inlineStr">
        <is>
          <t>тонн</t>
        </is>
      </c>
    </row>
    <row r="753" ht="20.1" customHeight="1" s="904">
      <c r="A753" s="545" t="n"/>
      <c r="B753" s="20" t="inlineStr">
        <is>
          <t>20.1.</t>
        </is>
      </c>
      <c r="C753" s="28" t="inlineStr">
        <is>
          <t>Газпром</t>
        </is>
      </c>
      <c r="D753" s="15" t="n"/>
      <c r="E753" s="15" t="n"/>
      <c r="F753" s="16" t="n"/>
      <c r="G753" s="17" t="n"/>
      <c r="H753" s="636" t="n"/>
      <c r="I753" s="17" t="n"/>
      <c r="J753" s="24" t="n"/>
    </row>
    <row r="754" ht="20.1" customHeight="1" s="904">
      <c r="A754" s="545" t="n"/>
      <c r="B754" s="909" t="n"/>
      <c r="C754" s="781" t="inlineStr">
        <is>
          <t xml:space="preserve">   Газпром переработка</t>
        </is>
      </c>
      <c r="D754" s="15" t="n"/>
      <c r="E754" s="15" t="n"/>
      <c r="F754" s="16" t="n"/>
      <c r="G754" s="17">
        <f>G755</f>
        <v/>
      </c>
      <c r="H754" s="636" t="n"/>
      <c r="I754" s="17" t="n"/>
      <c r="J754" s="24" t="inlineStr">
        <is>
          <t>тонн</t>
        </is>
      </c>
    </row>
    <row r="755" ht="20.1" customHeight="1" s="904">
      <c r="A755" s="545" t="n"/>
      <c r="B755" s="909" t="n"/>
      <c r="C755" s="27" t="inlineStr">
        <is>
          <t xml:space="preserve">Сосногорский ГПЗ </t>
        </is>
      </c>
      <c r="D755" s="15" t="n"/>
      <c r="E755" s="15" t="n"/>
      <c r="F755" s="16" t="n"/>
      <c r="G755" s="17">
        <f>G756+G757</f>
        <v/>
      </c>
      <c r="H755" s="636" t="n"/>
      <c r="I755" s="17" t="n"/>
      <c r="J755" s="549" t="inlineStr">
        <is>
          <t>тонн</t>
        </is>
      </c>
    </row>
    <row r="756" ht="20.1" customHeight="1" s="904">
      <c r="A756" s="545" t="n"/>
      <c r="B756" s="909" t="n"/>
      <c r="C756" s="737" t="inlineStr">
        <is>
          <t xml:space="preserve">   в т.ч. турбулентный (П-701)</t>
        </is>
      </c>
      <c r="D756" s="15" t="n"/>
      <c r="E756" s="15" t="n"/>
      <c r="F756" s="16" t="n"/>
      <c r="G756" s="17" t="inlineStr">
        <is>
          <t>3_100330580</t>
        </is>
      </c>
      <c r="H756" s="636" t="n"/>
      <c r="I756" s="17" t="n"/>
      <c r="J756" s="554" t="inlineStr">
        <is>
          <t>тонн</t>
        </is>
      </c>
    </row>
    <row r="757" ht="20.1" customHeight="1" s="904">
      <c r="A757" s="545" t="n"/>
      <c r="B757" s="909" t="n"/>
      <c r="C757" s="737" t="inlineStr">
        <is>
          <t xml:space="preserve">   термический (Т-900)</t>
        </is>
      </c>
      <c r="D757" s="15" t="n"/>
      <c r="E757" s="15" t="n"/>
      <c r="F757" s="16" t="n"/>
      <c r="G757" s="17" t="inlineStr">
        <is>
          <t>3_100330581</t>
        </is>
      </c>
      <c r="H757" s="636" t="n"/>
      <c r="I757" s="17" t="n"/>
      <c r="J757" s="554" t="inlineStr">
        <is>
          <t>тонн</t>
        </is>
      </c>
    </row>
    <row r="758" ht="20.1" customHeight="1" s="904">
      <c r="A758" s="545" t="n"/>
      <c r="B758" s="20" t="inlineStr">
        <is>
          <t>20.2.</t>
        </is>
      </c>
      <c r="C758" s="28" t="inlineStr">
        <is>
          <t>Дочерние общества</t>
        </is>
      </c>
      <c r="D758" s="15" t="n"/>
      <c r="E758" s="15" t="n"/>
      <c r="F758" s="16" t="n"/>
      <c r="G758" s="17">
        <f>0</f>
        <v/>
      </c>
      <c r="H758" s="636" t="n"/>
      <c r="I758" s="17" t="n"/>
      <c r="J758" s="24" t="inlineStr">
        <is>
          <t>тонн</t>
        </is>
      </c>
    </row>
    <row r="759" ht="20.1" customHeight="1" s="904">
      <c r="A759" s="545" t="n"/>
      <c r="B759" s="909" t="inlineStr">
        <is>
          <t>21.</t>
        </is>
      </c>
      <c r="C759" s="735" t="inlineStr">
        <is>
          <t>Газ стабилизации на собств. нужды-всего</t>
        </is>
      </c>
      <c r="D759" s="15" t="n"/>
      <c r="E759" s="15" t="n"/>
      <c r="F759" s="16" t="n"/>
      <c r="G759" s="17" t="n"/>
      <c r="H759" s="636" t="n"/>
      <c r="I759" s="17" t="n"/>
      <c r="J759" s="24" t="n"/>
    </row>
    <row r="760" ht="20.1" customHeight="1" s="904">
      <c r="A760" s="545" t="n"/>
      <c r="B760" s="909" t="n"/>
      <c r="C760" s="781" t="inlineStr">
        <is>
          <t>Газпром переработка</t>
        </is>
      </c>
      <c r="D760" s="15" t="n"/>
      <c r="E760" s="15" t="n"/>
      <c r="F760" s="16" t="n"/>
      <c r="G760" s="17">
        <f>G762</f>
        <v/>
      </c>
      <c r="H760" s="636" t="n"/>
      <c r="I760" s="17" t="n"/>
      <c r="J760" s="46" t="inlineStr">
        <is>
          <t>млн куб.м.</t>
        </is>
      </c>
    </row>
    <row r="761" ht="20.1" customHeight="1" s="904">
      <c r="A761" s="545" t="n"/>
      <c r="B761" s="909" t="n"/>
      <c r="C761" s="781" t="n"/>
      <c r="D761" s="15" t="n"/>
      <c r="E761" s="15" t="n"/>
      <c r="F761" s="16" t="n"/>
      <c r="G761" s="17">
        <f>G763</f>
        <v/>
      </c>
      <c r="H761" s="636" t="n"/>
      <c r="I761" s="17" t="n"/>
      <c r="J761" s="24" t="inlineStr">
        <is>
          <t>тыс.т</t>
        </is>
      </c>
    </row>
    <row r="762" ht="20.1" customHeight="1" s="904">
      <c r="A762" s="545" t="n"/>
      <c r="B762" s="909" t="n"/>
      <c r="C762" s="27" t="inlineStr">
        <is>
          <t>Астраханский ГПЗ</t>
        </is>
      </c>
      <c r="D762" s="15" t="n"/>
      <c r="E762" s="15" t="n"/>
      <c r="F762" s="16" t="n"/>
      <c r="G762" s="17">
        <f>G767</f>
        <v/>
      </c>
      <c r="H762" s="636" t="n"/>
      <c r="I762" s="17" t="n"/>
      <c r="J762" s="46" t="inlineStr">
        <is>
          <t>млн куб.м.</t>
        </is>
      </c>
    </row>
    <row r="763" ht="20.1" customHeight="1" s="904">
      <c r="A763" s="545" t="n"/>
      <c r="B763" s="909" t="n"/>
      <c r="C763" s="735" t="n"/>
      <c r="D763" s="15" t="n"/>
      <c r="E763" s="15" t="n"/>
      <c r="F763" s="16" t="n"/>
      <c r="G763" s="17">
        <f>G768</f>
        <v/>
      </c>
      <c r="H763" s="636" t="n"/>
      <c r="I763" s="17" t="n"/>
      <c r="J763" s="24" t="inlineStr">
        <is>
          <t>тыс.т</t>
        </is>
      </c>
    </row>
    <row r="764" ht="20.1" customHeight="1" s="904">
      <c r="A764" s="545" t="n"/>
      <c r="B764" s="20" t="inlineStr">
        <is>
          <t>21.1.</t>
        </is>
      </c>
      <c r="C764" s="28" t="inlineStr">
        <is>
          <t>Газпром</t>
        </is>
      </c>
      <c r="D764" s="15" t="n"/>
      <c r="E764" s="15" t="n"/>
      <c r="F764" s="16" t="n"/>
      <c r="G764" s="17" t="n"/>
      <c r="H764" s="636" t="n"/>
      <c r="I764" s="17" t="n"/>
      <c r="J764" s="24" t="n"/>
    </row>
    <row r="765" ht="20.1" customHeight="1" s="904">
      <c r="A765" s="545" t="n"/>
      <c r="B765" s="909" t="n"/>
      <c r="C765" s="781" t="inlineStr">
        <is>
          <t>Газпром переработка</t>
        </is>
      </c>
      <c r="D765" s="15" t="n"/>
      <c r="E765" s="15" t="n"/>
      <c r="F765" s="16" t="n"/>
      <c r="G765" s="17">
        <f>G767</f>
        <v/>
      </c>
      <c r="H765" s="636" t="n"/>
      <c r="I765" s="17" t="n"/>
      <c r="J765" s="46" t="inlineStr">
        <is>
          <t>млн куб.м.</t>
        </is>
      </c>
    </row>
    <row r="766" ht="20.1" customHeight="1" s="904">
      <c r="A766" s="545" t="n"/>
      <c r="B766" s="909" t="n"/>
      <c r="C766" s="781" t="n"/>
      <c r="D766" s="15" t="n"/>
      <c r="E766" s="15" t="n"/>
      <c r="F766" s="16" t="n"/>
      <c r="G766" s="17">
        <f>G768</f>
        <v/>
      </c>
      <c r="H766" s="636" t="n"/>
      <c r="I766" s="17" t="n"/>
      <c r="J766" s="24" t="inlineStr">
        <is>
          <t>тыс.т</t>
        </is>
      </c>
    </row>
    <row r="767" ht="20.1" customHeight="1" s="904">
      <c r="A767" s="545" t="n"/>
      <c r="B767" s="909" t="n"/>
      <c r="C767" s="27" t="inlineStr">
        <is>
          <t>Астраханский ГПЗ</t>
        </is>
      </c>
      <c r="D767" s="15" t="n"/>
      <c r="E767" s="15" t="n"/>
      <c r="F767" s="16" t="n"/>
      <c r="G767" s="17" t="inlineStr">
        <is>
          <t>1_100332026</t>
        </is>
      </c>
      <c r="H767" s="636" t="n"/>
      <c r="I767" s="17" t="n"/>
      <c r="J767" s="48" t="inlineStr">
        <is>
          <t>млн куб.м.</t>
        </is>
      </c>
    </row>
    <row r="768" ht="20.1" customHeight="1" s="904">
      <c r="A768" s="545" t="n"/>
      <c r="B768" s="909" t="n"/>
      <c r="C768" s="735" t="n"/>
      <c r="D768" s="15" t="n"/>
      <c r="E768" s="15" t="n"/>
      <c r="F768" s="16" t="n"/>
      <c r="G768" s="17" t="inlineStr">
        <is>
          <t>1_100332025</t>
        </is>
      </c>
      <c r="H768" s="636" t="n"/>
      <c r="I768" s="17" t="n"/>
      <c r="J768" s="32" t="inlineStr">
        <is>
          <t>тыс.т</t>
        </is>
      </c>
    </row>
    <row r="769" ht="20.1" customHeight="1" s="904">
      <c r="A769" s="545" t="n"/>
      <c r="B769" s="20" t="inlineStr">
        <is>
          <t>21.2.</t>
        </is>
      </c>
      <c r="C769" s="28" t="inlineStr">
        <is>
          <t>Дочерние общества</t>
        </is>
      </c>
      <c r="D769" s="15" t="n"/>
      <c r="E769" s="15" t="n"/>
      <c r="F769" s="16" t="n"/>
      <c r="G769" s="17">
        <f>0</f>
        <v/>
      </c>
      <c r="H769" s="636" t="n"/>
      <c r="I769" s="17" t="n"/>
      <c r="J769" s="46" t="inlineStr">
        <is>
          <t>млн куб.м.</t>
        </is>
      </c>
    </row>
    <row r="770" ht="20.1" customHeight="1" s="904">
      <c r="A770" s="545" t="n"/>
      <c r="B770" s="909" t="n"/>
      <c r="C770" s="735" t="n"/>
      <c r="D770" s="15" t="n"/>
      <c r="E770" s="15" t="n"/>
      <c r="F770" s="16" t="n"/>
      <c r="G770" s="17">
        <f>0</f>
        <v/>
      </c>
      <c r="H770" s="636" t="n"/>
      <c r="I770" s="17" t="n"/>
      <c r="J770" s="24" t="inlineStr">
        <is>
          <t>тыс.т</t>
        </is>
      </c>
    </row>
    <row r="771" ht="20.1" customHeight="1" s="904">
      <c r="A771" s="545" t="n"/>
      <c r="B771" s="909" t="inlineStr">
        <is>
          <t>22.</t>
        </is>
      </c>
      <c r="C771" s="735" t="inlineStr">
        <is>
          <t>Топливный газ-всего</t>
        </is>
      </c>
      <c r="D771" s="15" t="n"/>
      <c r="E771" s="15" t="n"/>
      <c r="F771" s="16" t="n"/>
      <c r="G771" s="17">
        <f>G773+G777</f>
        <v/>
      </c>
      <c r="H771" s="636" t="n"/>
      <c r="I771" s="17" t="n"/>
      <c r="J771" s="46" t="inlineStr">
        <is>
          <t>млн куб.м.</t>
        </is>
      </c>
    </row>
    <row r="772" ht="20.1" customHeight="1" s="904">
      <c r="A772" s="545" t="n"/>
      <c r="B772" s="909" t="n"/>
      <c r="C772" s="31" t="n"/>
      <c r="D772" s="15" t="n"/>
      <c r="E772" s="15" t="n"/>
      <c r="F772" s="16" t="n"/>
      <c r="G772" s="17">
        <f>G774+G778</f>
        <v/>
      </c>
      <c r="H772" s="636" t="n"/>
      <c r="I772" s="17" t="n"/>
      <c r="J772" s="24" t="inlineStr">
        <is>
          <t>тыс.т</t>
        </is>
      </c>
    </row>
    <row r="773" ht="20.1" customHeight="1" s="904">
      <c r="A773" s="545" t="n"/>
      <c r="B773" s="909" t="n"/>
      <c r="C773" s="781" t="inlineStr">
        <is>
          <t>Газпром переработка</t>
        </is>
      </c>
      <c r="D773" s="15" t="n"/>
      <c r="E773" s="15" t="n"/>
      <c r="F773" s="16" t="n"/>
      <c r="G773" s="17">
        <f>G775</f>
        <v/>
      </c>
      <c r="H773" s="636" t="n"/>
      <c r="I773" s="17" t="n"/>
      <c r="J773" s="46" t="inlineStr">
        <is>
          <t>млн куб.м.</t>
        </is>
      </c>
    </row>
    <row r="774" ht="20.1" customHeight="1" s="904">
      <c r="A774" s="545" t="n"/>
      <c r="B774" s="909" t="n"/>
      <c r="C774" s="781" t="n"/>
      <c r="D774" s="15" t="n"/>
      <c r="E774" s="15" t="n"/>
      <c r="F774" s="16" t="n"/>
      <c r="G774" s="17">
        <f>G776</f>
        <v/>
      </c>
      <c r="H774" s="636" t="n"/>
      <c r="I774" s="17" t="n"/>
      <c r="J774" s="24" t="inlineStr">
        <is>
          <t>тыс.т</t>
        </is>
      </c>
    </row>
    <row r="775" ht="20.1" customHeight="1" s="904">
      <c r="A775" s="545" t="n"/>
      <c r="B775" s="909" t="n"/>
      <c r="C775" s="27" t="inlineStr">
        <is>
          <t>Оренбургский ГХК</t>
        </is>
      </c>
      <c r="D775" s="15" t="n"/>
      <c r="E775" s="15" t="n"/>
      <c r="F775" s="16" t="n"/>
      <c r="G775" s="17">
        <f>G785+G799</f>
        <v/>
      </c>
      <c r="H775" s="636" t="n"/>
      <c r="I775" s="17" t="n"/>
      <c r="J775" s="48" t="inlineStr">
        <is>
          <t>млн куб.м.</t>
        </is>
      </c>
    </row>
    <row r="776" ht="20.1" customHeight="1" s="904">
      <c r="A776" s="545" t="n"/>
      <c r="B776" s="909" t="n"/>
      <c r="C776" s="781" t="n"/>
      <c r="D776" s="15" t="n"/>
      <c r="E776" s="15" t="n"/>
      <c r="F776" s="16" t="n"/>
      <c r="G776" s="17">
        <f>G786+G800</f>
        <v/>
      </c>
      <c r="H776" s="636" t="n"/>
      <c r="I776" s="17" t="n"/>
      <c r="J776" s="32" t="inlineStr">
        <is>
          <t>тыс.т</t>
        </is>
      </c>
    </row>
    <row r="777" ht="20.1" customHeight="1" s="904">
      <c r="A777" s="545" t="n"/>
      <c r="B777" s="909" t="n"/>
      <c r="C777" s="781" t="inlineStr">
        <is>
          <t xml:space="preserve"> Газпром переработка Благовещенск</t>
        </is>
      </c>
      <c r="D777" s="15" t="n"/>
      <c r="E777" s="15" t="n"/>
      <c r="F777" s="16" t="n"/>
      <c r="G777" s="17">
        <f>G779</f>
        <v/>
      </c>
      <c r="H777" s="636" t="n"/>
      <c r="I777" s="17" t="n"/>
      <c r="J777" s="46" t="inlineStr">
        <is>
          <t>млн куб.м.</t>
        </is>
      </c>
    </row>
    <row r="778" ht="20.1" customHeight="1" s="904">
      <c r="A778" s="545" t="n"/>
      <c r="B778" s="909" t="n"/>
      <c r="C778" s="781" t="n"/>
      <c r="D778" s="15" t="n"/>
      <c r="E778" s="15" t="n"/>
      <c r="F778" s="16" t="n"/>
      <c r="G778" s="17">
        <f>G780</f>
        <v/>
      </c>
      <c r="H778" s="636" t="n"/>
      <c r="I778" s="17" t="n"/>
      <c r="J778" s="24" t="inlineStr">
        <is>
          <t>тыс.т</t>
        </is>
      </c>
    </row>
    <row r="779" ht="20.1" customHeight="1" s="904">
      <c r="A779" s="545" t="n"/>
      <c r="B779" s="909" t="n"/>
      <c r="C779" s="27" t="inlineStr">
        <is>
          <t xml:space="preserve"> Амурский ГПЗ</t>
        </is>
      </c>
      <c r="D779" s="15" t="n"/>
      <c r="E779" s="15" t="n"/>
      <c r="F779" s="16" t="n"/>
      <c r="G779" s="17">
        <f>G793+G809</f>
        <v/>
      </c>
      <c r="H779" s="636" t="n"/>
      <c r="I779" s="17" t="n"/>
      <c r="J779" s="48" t="inlineStr">
        <is>
          <t>млн куб.м.</t>
        </is>
      </c>
    </row>
    <row r="780" ht="20.1" customHeight="1" s="904">
      <c r="A780" s="545" t="n"/>
      <c r="B780" s="909" t="n"/>
      <c r="C780" s="27" t="n"/>
      <c r="D780" s="15" t="n"/>
      <c r="E780" s="15" t="n"/>
      <c r="F780" s="16" t="n"/>
      <c r="G780" s="17">
        <f>G794+G810</f>
        <v/>
      </c>
      <c r="H780" s="636" t="n"/>
      <c r="I780" s="17" t="n"/>
      <c r="J780" s="32" t="inlineStr">
        <is>
          <t>тыс.т</t>
        </is>
      </c>
    </row>
    <row r="781" ht="20.1" customHeight="1" s="904">
      <c r="A781" s="545" t="n"/>
      <c r="B781" s="20" t="inlineStr">
        <is>
          <t>22.1.</t>
        </is>
      </c>
      <c r="C781" s="28" t="inlineStr">
        <is>
          <t>Газпром</t>
        </is>
      </c>
      <c r="D781" s="15" t="n"/>
      <c r="E781" s="15" t="n"/>
      <c r="F781" s="16" t="n"/>
      <c r="G781" s="17">
        <f>G783+G791</f>
        <v/>
      </c>
      <c r="H781" s="636" t="n"/>
      <c r="I781" s="17" t="n"/>
      <c r="J781" s="46" t="inlineStr">
        <is>
          <t>млн куб.м.</t>
        </is>
      </c>
    </row>
    <row r="782" ht="20.1" customHeight="1" s="904">
      <c r="A782" s="545" t="n"/>
      <c r="B782" s="909" t="n"/>
      <c r="C782" s="735" t="n"/>
      <c r="D782" s="15" t="n"/>
      <c r="E782" s="15" t="n"/>
      <c r="F782" s="16" t="n"/>
      <c r="G782" s="17">
        <f>G784+G792</f>
        <v/>
      </c>
      <c r="H782" s="636" t="n"/>
      <c r="I782" s="17" t="n"/>
      <c r="J782" s="24" t="inlineStr">
        <is>
          <t>тыс.т</t>
        </is>
      </c>
    </row>
    <row r="783" ht="20.1" customHeight="1" s="904">
      <c r="A783" s="545" t="n"/>
      <c r="B783" s="909" t="n"/>
      <c r="C783" s="781" t="inlineStr">
        <is>
          <t>Газпром переработка</t>
        </is>
      </c>
      <c r="D783" s="15" t="n"/>
      <c r="E783" s="15" t="n"/>
      <c r="F783" s="16" t="n"/>
      <c r="G783" s="17">
        <f>G785</f>
        <v/>
      </c>
      <c r="H783" s="636" t="n"/>
      <c r="I783" s="17" t="n"/>
      <c r="J783" s="46" t="inlineStr">
        <is>
          <t>млн куб.м.</t>
        </is>
      </c>
    </row>
    <row r="784" ht="20.1" customHeight="1" s="904">
      <c r="A784" s="545" t="n"/>
      <c r="B784" s="909" t="n"/>
      <c r="C784" s="735" t="n"/>
      <c r="D784" s="15" t="n"/>
      <c r="E784" s="15" t="n"/>
      <c r="F784" s="16" t="n"/>
      <c r="G784" s="17">
        <f>G786</f>
        <v/>
      </c>
      <c r="H784" s="636" t="n"/>
      <c r="I784" s="17" t="n"/>
      <c r="J784" s="24" t="inlineStr">
        <is>
          <t>тыс.т</t>
        </is>
      </c>
    </row>
    <row r="785" ht="20.1" customHeight="1" s="904">
      <c r="A785" s="545" t="n"/>
      <c r="B785" s="909" t="n"/>
      <c r="C785" s="27" t="inlineStr">
        <is>
          <t>Оренбургский ГХК</t>
        </is>
      </c>
      <c r="D785" s="15" t="n"/>
      <c r="E785" s="15" t="n"/>
      <c r="F785" s="16" t="n"/>
      <c r="G785" s="17">
        <f>G787+G789</f>
        <v/>
      </c>
      <c r="H785" s="636" t="n"/>
      <c r="I785" s="17" t="n"/>
      <c r="J785" s="48" t="inlineStr">
        <is>
          <t>млн куб.м.</t>
        </is>
      </c>
    </row>
    <row r="786" ht="20.1" customHeight="1" s="904">
      <c r="A786" s="545" t="n"/>
      <c r="B786" s="909" t="n"/>
      <c r="C786" s="781" t="n"/>
      <c r="D786" s="15" t="n"/>
      <c r="E786" s="15" t="n"/>
      <c r="F786" s="16" t="n"/>
      <c r="G786" s="17">
        <f>G788+G790</f>
        <v/>
      </c>
      <c r="H786" s="636" t="n"/>
      <c r="I786" s="17" t="n"/>
      <c r="J786" s="50" t="inlineStr">
        <is>
          <t>тыс.т</t>
        </is>
      </c>
    </row>
    <row r="787" ht="20.1" customHeight="1" s="904">
      <c r="A787" s="545" t="n"/>
      <c r="B787" s="909" t="n"/>
      <c r="C787" s="737" t="inlineStr">
        <is>
          <t>Газпром добыча Оренбург</t>
        </is>
      </c>
      <c r="D787" s="15" t="n"/>
      <c r="E787" s="15" t="n"/>
      <c r="F787" s="16" t="n"/>
      <c r="G787" s="17" t="inlineStr">
        <is>
          <t>2_100332171</t>
        </is>
      </c>
      <c r="H787" s="636" t="n"/>
      <c r="I787" s="17" t="n"/>
      <c r="J787" s="49" t="inlineStr">
        <is>
          <t>млн куб.м.</t>
        </is>
      </c>
    </row>
    <row r="788" ht="20.1" customHeight="1" s="904">
      <c r="A788" s="545" t="n"/>
      <c r="B788" s="909" t="n"/>
      <c r="C788" s="27" t="n"/>
      <c r="D788" s="15" t="n"/>
      <c r="E788" s="15" t="n"/>
      <c r="F788" s="16" t="n"/>
      <c r="G788" s="17" t="inlineStr">
        <is>
          <t>2_100332170</t>
        </is>
      </c>
      <c r="H788" s="636" t="n"/>
      <c r="I788" s="17" t="n"/>
      <c r="J788" s="50" t="inlineStr">
        <is>
          <t>тыс.т</t>
        </is>
      </c>
    </row>
    <row r="789" ht="20.1" customHeight="1" s="904">
      <c r="A789" s="545" t="n"/>
      <c r="B789" s="909" t="n"/>
      <c r="C789" s="737" t="inlineStr">
        <is>
          <t>Газпром нефть</t>
        </is>
      </c>
      <c r="D789" s="15" t="n"/>
      <c r="E789" s="15" t="n"/>
      <c r="F789" s="16" t="n"/>
      <c r="G789" s="17" t="inlineStr">
        <is>
          <t>2_100332173</t>
        </is>
      </c>
      <c r="H789" s="636" t="n"/>
      <c r="I789" s="17" t="n"/>
      <c r="J789" s="49" t="inlineStr">
        <is>
          <t>млн куб.м.</t>
        </is>
      </c>
    </row>
    <row r="790" ht="20.1" customHeight="1" s="904">
      <c r="A790" s="545" t="n"/>
      <c r="B790" s="909" t="n"/>
      <c r="C790" s="781" t="n"/>
      <c r="D790" s="15" t="n"/>
      <c r="E790" s="15" t="n"/>
      <c r="F790" s="16" t="n"/>
      <c r="G790" s="17" t="inlineStr">
        <is>
          <t>2_100332172</t>
        </is>
      </c>
      <c r="H790" s="636" t="n"/>
      <c r="I790" s="17" t="n"/>
      <c r="J790" s="50" t="inlineStr">
        <is>
          <t>тыс.т</t>
        </is>
      </c>
    </row>
    <row r="791" ht="20.1" customHeight="1" s="904">
      <c r="A791" s="545" t="n"/>
      <c r="B791" s="909" t="n"/>
      <c r="C791" s="781" t="inlineStr">
        <is>
          <t xml:space="preserve"> Газпром переработка Благовещенск</t>
        </is>
      </c>
      <c r="D791" s="15" t="n"/>
      <c r="E791" s="15" t="n"/>
      <c r="F791" s="16" t="n"/>
      <c r="G791" s="17">
        <f>G793</f>
        <v/>
      </c>
      <c r="H791" s="636" t="n"/>
      <c r="I791" s="17" t="n"/>
      <c r="J791" s="46" t="inlineStr">
        <is>
          <t>млн куб.м.</t>
        </is>
      </c>
    </row>
    <row r="792" ht="20.1" customHeight="1" s="904">
      <c r="A792" s="545" t="n"/>
      <c r="B792" s="909" t="n"/>
      <c r="C792" s="781" t="n"/>
      <c r="D792" s="15" t="n"/>
      <c r="E792" s="15" t="n"/>
      <c r="F792" s="16" t="n"/>
      <c r="G792" s="17">
        <f>G794</f>
        <v/>
      </c>
      <c r="H792" s="636" t="n"/>
      <c r="I792" s="17" t="n"/>
      <c r="J792" s="24" t="inlineStr">
        <is>
          <t>тыс.т</t>
        </is>
      </c>
    </row>
    <row r="793" ht="20.1" customHeight="1" s="904">
      <c r="A793" s="545" t="n"/>
      <c r="B793" s="909" t="n"/>
      <c r="C793" s="27" t="inlineStr">
        <is>
          <t xml:space="preserve"> Амурский ГПЗ</t>
        </is>
      </c>
      <c r="D793" s="15" t="n"/>
      <c r="E793" s="15" t="n"/>
      <c r="F793" s="16" t="n"/>
      <c r="G793" s="17" t="inlineStr">
        <is>
          <t>14_100332368</t>
        </is>
      </c>
      <c r="H793" s="636" t="n"/>
      <c r="I793" s="17" t="n"/>
      <c r="J793" s="48" t="inlineStr">
        <is>
          <t>млн куб.м.</t>
        </is>
      </c>
    </row>
    <row r="794" ht="20.1" customHeight="1" s="904">
      <c r="A794" s="545" t="n"/>
      <c r="B794" s="909" t="n"/>
      <c r="C794" s="27" t="n"/>
      <c r="D794" s="15" t="n"/>
      <c r="E794" s="15" t="n"/>
      <c r="F794" s="16" t="n"/>
      <c r="G794" s="17" t="inlineStr">
        <is>
          <t>14_100332367</t>
        </is>
      </c>
      <c r="H794" s="636" t="n"/>
      <c r="I794" s="17" t="n"/>
      <c r="J794" s="32" t="inlineStr">
        <is>
          <t>тыс.т</t>
        </is>
      </c>
    </row>
    <row r="795" ht="20.1" customHeight="1" s="904">
      <c r="A795" s="545" t="n"/>
      <c r="B795" s="20" t="inlineStr">
        <is>
          <t>22.2</t>
        </is>
      </c>
      <c r="C795" s="28" t="inlineStr">
        <is>
          <t>Дочерние общества</t>
        </is>
      </c>
      <c r="D795" s="15" t="n"/>
      <c r="E795" s="15" t="n"/>
      <c r="F795" s="16" t="n"/>
      <c r="G795" s="17">
        <f>G797+G807</f>
        <v/>
      </c>
      <c r="H795" s="636" t="n"/>
      <c r="I795" s="17" t="n"/>
      <c r="J795" s="46" t="inlineStr">
        <is>
          <t>млн куб.м.</t>
        </is>
      </c>
    </row>
    <row r="796" ht="20.1" customHeight="1" s="904">
      <c r="A796" s="545" t="n"/>
      <c r="B796" s="909" t="n"/>
      <c r="C796" s="735" t="n"/>
      <c r="D796" s="15" t="n"/>
      <c r="E796" s="15" t="n"/>
      <c r="F796" s="16" t="n"/>
      <c r="G796" s="17">
        <f>G798+G808</f>
        <v/>
      </c>
      <c r="H796" s="636" t="n"/>
      <c r="I796" s="17" t="n"/>
      <c r="J796" s="24" t="inlineStr">
        <is>
          <t>тыс.т</t>
        </is>
      </c>
    </row>
    <row r="797" ht="20.1" customHeight="1" s="904">
      <c r="A797" s="545" t="n"/>
      <c r="B797" s="909" t="n"/>
      <c r="C797" s="781" t="inlineStr">
        <is>
          <t>Газпром переработка</t>
        </is>
      </c>
      <c r="D797" s="15" t="n"/>
      <c r="E797" s="15" t="n"/>
      <c r="F797" s="16" t="n"/>
      <c r="G797" s="17">
        <f>G799</f>
        <v/>
      </c>
      <c r="H797" s="636" t="n"/>
      <c r="I797" s="17" t="n"/>
      <c r="J797" s="46" t="inlineStr">
        <is>
          <t>млн куб.м.</t>
        </is>
      </c>
    </row>
    <row r="798" ht="20.1" customHeight="1" s="904">
      <c r="A798" s="545" t="n"/>
      <c r="B798" s="909" t="n"/>
      <c r="C798" s="735" t="n"/>
      <c r="D798" s="15" t="n"/>
      <c r="E798" s="15" t="n"/>
      <c r="F798" s="16" t="n"/>
      <c r="G798" s="17">
        <f>G800</f>
        <v/>
      </c>
      <c r="H798" s="636" t="n"/>
      <c r="I798" s="17" t="n"/>
      <c r="J798" s="24" t="inlineStr">
        <is>
          <t>тыс.т</t>
        </is>
      </c>
    </row>
    <row r="799" ht="20.1" customHeight="1" s="904">
      <c r="A799" s="545" t="n"/>
      <c r="B799" s="909" t="n"/>
      <c r="C799" s="27" t="inlineStr">
        <is>
          <t>Оренбургский ГХК</t>
        </is>
      </c>
      <c r="D799" s="15" t="n"/>
      <c r="E799" s="15" t="n"/>
      <c r="F799" s="16" t="n"/>
      <c r="G799" s="17">
        <f>G801+G803+G805</f>
        <v/>
      </c>
      <c r="H799" s="636" t="n"/>
      <c r="I799" s="17" t="n"/>
      <c r="J799" s="48" t="inlineStr">
        <is>
          <t>млн куб.м.</t>
        </is>
      </c>
    </row>
    <row r="800" ht="20.1" customHeight="1" s="904">
      <c r="A800" s="545" t="n"/>
      <c r="B800" s="909" t="n"/>
      <c r="C800" s="781" t="n"/>
      <c r="D800" s="15" t="n"/>
      <c r="E800" s="15" t="n"/>
      <c r="F800" s="16" t="n"/>
      <c r="G800" s="17">
        <f>G802+G804+G806</f>
        <v/>
      </c>
      <c r="H800" s="636" t="n"/>
      <c r="I800" s="17" t="n"/>
      <c r="J800" s="32" t="inlineStr">
        <is>
          <t>тыс.т</t>
        </is>
      </c>
    </row>
    <row r="801" ht="20.1" customHeight="1" s="904">
      <c r="A801" s="545" t="n"/>
      <c r="B801" s="909" t="n"/>
      <c r="C801" s="737" t="inlineStr">
        <is>
          <t>Газпром добыча Оренбург</t>
        </is>
      </c>
      <c r="D801" s="15" t="n"/>
      <c r="E801" s="15" t="n"/>
      <c r="F801" s="16" t="n"/>
      <c r="G801" s="17" t="inlineStr">
        <is>
          <t>2_100332177</t>
        </is>
      </c>
      <c r="H801" s="636" t="n"/>
      <c r="I801" s="17" t="n"/>
      <c r="J801" s="49" t="inlineStr">
        <is>
          <t>млн куб.м.</t>
        </is>
      </c>
    </row>
    <row r="802" ht="20.1" customHeight="1" s="904">
      <c r="A802" s="545" t="n"/>
      <c r="B802" s="909" t="n"/>
      <c r="C802" s="737" t="n"/>
      <c r="D802" s="15" t="n"/>
      <c r="E802" s="15" t="n"/>
      <c r="F802" s="16" t="n"/>
      <c r="G802" s="17" t="inlineStr">
        <is>
          <t>2_100332176</t>
        </is>
      </c>
      <c r="H802" s="636" t="n"/>
      <c r="I802" s="17" t="n"/>
      <c r="J802" s="50" t="inlineStr">
        <is>
          <t>тыс.т</t>
        </is>
      </c>
    </row>
    <row r="803" ht="20.1" customHeight="1" s="904">
      <c r="A803" s="545" t="n"/>
      <c r="B803" s="909" t="n"/>
      <c r="C803" s="737" t="inlineStr">
        <is>
          <t>Газпром нефть</t>
        </is>
      </c>
      <c r="D803" s="15" t="n"/>
      <c r="E803" s="15" t="n"/>
      <c r="F803" s="16" t="n"/>
      <c r="G803" s="17" t="inlineStr">
        <is>
          <t>2_100332179</t>
        </is>
      </c>
      <c r="H803" s="636" t="n"/>
      <c r="I803" s="17" t="n"/>
      <c r="J803" s="49" t="inlineStr">
        <is>
          <t>млн куб.м.</t>
        </is>
      </c>
    </row>
    <row r="804" ht="20.1" customHeight="1" s="904">
      <c r="A804" s="545" t="n"/>
      <c r="B804" s="909" t="n"/>
      <c r="C804" s="52" t="n"/>
      <c r="D804" s="15" t="n"/>
      <c r="E804" s="15" t="n"/>
      <c r="F804" s="16" t="n"/>
      <c r="G804" s="17" t="inlineStr">
        <is>
          <t>2_100332178</t>
        </is>
      </c>
      <c r="H804" s="636" t="n"/>
      <c r="I804" s="17" t="n"/>
      <c r="J804" s="50" t="inlineStr">
        <is>
          <t>тыс.т</t>
        </is>
      </c>
    </row>
    <row r="805" ht="20.1" customHeight="1" s="904">
      <c r="A805" s="545" t="n"/>
      <c r="B805" s="909" t="n"/>
      <c r="C805" s="553" t="inlineStr">
        <is>
          <t>прочие поставщики (ГПНЗ, УНГП, и.т.д.)</t>
        </is>
      </c>
      <c r="D805" s="15" t="n"/>
      <c r="E805" s="15" t="n"/>
      <c r="F805" s="16" t="n"/>
      <c r="G805" s="17" t="inlineStr">
        <is>
          <t>2_100335141</t>
        </is>
      </c>
      <c r="H805" s="636" t="n"/>
      <c r="I805" s="17" t="n"/>
      <c r="J805" s="49" t="inlineStr">
        <is>
          <t>млн куб.м.</t>
        </is>
      </c>
    </row>
    <row r="806" ht="20.1" customHeight="1" s="904">
      <c r="A806" s="545" t="n"/>
      <c r="B806" s="909" t="n"/>
      <c r="C806" s="737" t="n"/>
      <c r="D806" s="15" t="n"/>
      <c r="E806" s="15" t="n"/>
      <c r="F806" s="16" t="n"/>
      <c r="G806" s="17" t="inlineStr">
        <is>
          <t>2_100335140</t>
        </is>
      </c>
      <c r="H806" s="636" t="n"/>
      <c r="I806" s="17" t="n"/>
      <c r="J806" s="50" t="inlineStr">
        <is>
          <t>тыс.т</t>
        </is>
      </c>
    </row>
    <row r="807" ht="20.1" customHeight="1" s="904">
      <c r="A807" s="545" t="n"/>
      <c r="B807" s="909" t="n"/>
      <c r="C807" s="781" t="inlineStr">
        <is>
          <t xml:space="preserve"> Газпром переработка Благовещенск</t>
        </is>
      </c>
      <c r="D807" s="15" t="n"/>
      <c r="E807" s="15" t="n"/>
      <c r="F807" s="16" t="n"/>
      <c r="G807" s="17">
        <f>G809</f>
        <v/>
      </c>
      <c r="H807" s="636" t="n"/>
      <c r="I807" s="17" t="n"/>
      <c r="J807" s="46" t="inlineStr">
        <is>
          <t>млн куб.м.</t>
        </is>
      </c>
    </row>
    <row r="808" ht="20.1" customHeight="1" s="904">
      <c r="A808" s="545" t="n"/>
      <c r="B808" s="909" t="n"/>
      <c r="C808" s="781" t="n"/>
      <c r="D808" s="15" t="n"/>
      <c r="E808" s="15" t="n"/>
      <c r="F808" s="16" t="n"/>
      <c r="G808" s="17">
        <f>G810</f>
        <v/>
      </c>
      <c r="H808" s="636" t="n"/>
      <c r="I808" s="17" t="n"/>
      <c r="J808" s="24" t="inlineStr">
        <is>
          <t>тыс.т</t>
        </is>
      </c>
    </row>
    <row r="809" ht="20.1" customHeight="1" s="904">
      <c r="A809" s="545" t="n"/>
      <c r="B809" s="909" t="n"/>
      <c r="C809" s="27" t="inlineStr">
        <is>
          <t xml:space="preserve"> Амурский ГПЗ</t>
        </is>
      </c>
      <c r="D809" s="15" t="n"/>
      <c r="E809" s="15" t="n"/>
      <c r="F809" s="16" t="n"/>
      <c r="G809" s="17" t="inlineStr">
        <is>
          <t>14_100335465</t>
        </is>
      </c>
      <c r="H809" s="636" t="n"/>
      <c r="I809" s="17" t="n"/>
      <c r="J809" s="48" t="inlineStr">
        <is>
          <t>млн куб.м.</t>
        </is>
      </c>
    </row>
    <row r="810" ht="20.1" customHeight="1" s="904">
      <c r="A810" s="545" t="n"/>
      <c r="B810" s="909" t="n"/>
      <c r="C810" s="27" t="n"/>
      <c r="D810" s="15" t="n"/>
      <c r="E810" s="15" t="n"/>
      <c r="F810" s="16" t="n"/>
      <c r="G810" s="17" t="inlineStr">
        <is>
          <t>14_100335464</t>
        </is>
      </c>
      <c r="H810" s="636" t="n"/>
      <c r="I810" s="17" t="n"/>
      <c r="J810" s="32" t="inlineStr">
        <is>
          <t>тыс.т</t>
        </is>
      </c>
    </row>
    <row r="811" ht="20.1" customHeight="1" s="904">
      <c r="A811" s="545" t="n"/>
      <c r="B811" s="909" t="inlineStr">
        <is>
          <t>23.</t>
        </is>
      </c>
      <c r="C811" s="735" t="inlineStr">
        <is>
          <t>Газ сбросной технологическийн на собств. нужды-всего</t>
        </is>
      </c>
      <c r="D811" s="15" t="n"/>
      <c r="E811" s="15" t="n"/>
      <c r="F811" s="16" t="n"/>
      <c r="G811" s="17" t="n"/>
      <c r="H811" s="636" t="n"/>
      <c r="I811" s="17" t="n"/>
      <c r="J811" s="24" t="n"/>
    </row>
    <row r="812" ht="20.1" customHeight="1" s="904">
      <c r="A812" s="545" t="n"/>
      <c r="B812" s="909" t="n"/>
      <c r="C812" s="781" t="inlineStr">
        <is>
          <t xml:space="preserve">   Газпром переработка</t>
        </is>
      </c>
      <c r="D812" s="15" t="n"/>
      <c r="E812" s="15" t="n"/>
      <c r="F812" s="16" t="n"/>
      <c r="G812" s="17">
        <f>G814</f>
        <v/>
      </c>
      <c r="H812" s="636" t="n"/>
      <c r="I812" s="17" t="n"/>
      <c r="J812" s="46" t="inlineStr">
        <is>
          <t>млн куб.м.</t>
        </is>
      </c>
    </row>
    <row r="813" ht="20.1" customHeight="1" s="904">
      <c r="A813" s="545" t="n"/>
      <c r="B813" s="909" t="n"/>
      <c r="C813" s="781" t="n"/>
      <c r="D813" s="15" t="n"/>
      <c r="E813" s="15" t="n"/>
      <c r="F813" s="16" t="n"/>
      <c r="G813" s="17">
        <f>G815</f>
        <v/>
      </c>
      <c r="H813" s="636" t="n"/>
      <c r="I813" s="17" t="n"/>
      <c r="J813" s="24" t="inlineStr">
        <is>
          <t>тыс.т</t>
        </is>
      </c>
    </row>
    <row r="814" ht="20.1" customHeight="1" s="904">
      <c r="A814" s="545" t="n"/>
      <c r="B814" s="909" t="n"/>
      <c r="C814" s="27" t="inlineStr">
        <is>
          <t xml:space="preserve"> Сургутский ЗСК</t>
        </is>
      </c>
      <c r="D814" s="15" t="n"/>
      <c r="E814" s="15" t="n"/>
      <c r="F814" s="16" t="n"/>
      <c r="G814" s="17">
        <f>G819</f>
        <v/>
      </c>
      <c r="H814" s="636" t="n"/>
      <c r="I814" s="17" t="n"/>
      <c r="J814" s="48" t="inlineStr">
        <is>
          <t>млн куб.м.</t>
        </is>
      </c>
    </row>
    <row r="815" ht="20.1" customHeight="1" s="904">
      <c r="A815" s="545" t="n"/>
      <c r="B815" s="909" t="n"/>
      <c r="C815" s="735" t="n"/>
      <c r="D815" s="15" t="n"/>
      <c r="E815" s="15" t="n"/>
      <c r="F815" s="16" t="n"/>
      <c r="G815" s="17">
        <f>G820</f>
        <v/>
      </c>
      <c r="H815" s="636" t="n"/>
      <c r="I815" s="17" t="n"/>
      <c r="J815" s="32" t="inlineStr">
        <is>
          <t>тыс.т</t>
        </is>
      </c>
    </row>
    <row r="816" ht="20.1" customHeight="1" s="904">
      <c r="A816" s="545" t="n"/>
      <c r="B816" s="20" t="inlineStr">
        <is>
          <t>23.1.</t>
        </is>
      </c>
      <c r="C816" s="28" t="inlineStr">
        <is>
          <t>Газпром</t>
        </is>
      </c>
      <c r="D816" s="15" t="n"/>
      <c r="E816" s="15" t="n"/>
      <c r="F816" s="16" t="n"/>
      <c r="G816" s="17" t="n"/>
      <c r="H816" s="636" t="n"/>
      <c r="I816" s="17" t="n"/>
      <c r="J816" s="46" t="n"/>
    </row>
    <row r="817" ht="20.1" customHeight="1" s="904">
      <c r="A817" s="545" t="n"/>
      <c r="B817" s="909" t="n"/>
      <c r="C817" s="781" t="inlineStr">
        <is>
          <t xml:space="preserve">   Газпром переработка</t>
        </is>
      </c>
      <c r="D817" s="15" t="n"/>
      <c r="E817" s="15" t="n"/>
      <c r="F817" s="16" t="n"/>
      <c r="G817" s="17">
        <f>G819</f>
        <v/>
      </c>
      <c r="H817" s="636" t="n"/>
      <c r="I817" s="17" t="n"/>
      <c r="J817" s="46" t="inlineStr">
        <is>
          <t>млн куб.м.</t>
        </is>
      </c>
    </row>
    <row r="818" ht="20.1" customHeight="1" s="904">
      <c r="A818" s="545" t="n"/>
      <c r="B818" s="909" t="n"/>
      <c r="C818" s="781" t="n"/>
      <c r="D818" s="15" t="n"/>
      <c r="E818" s="15" t="n"/>
      <c r="F818" s="16" t="n"/>
      <c r="G818" s="17">
        <f>G820</f>
        <v/>
      </c>
      <c r="H818" s="636" t="n"/>
      <c r="I818" s="17" t="n"/>
      <c r="J818" s="24" t="inlineStr">
        <is>
          <t>тыс.т</t>
        </is>
      </c>
    </row>
    <row r="819" ht="20.1" customHeight="1" s="904">
      <c r="A819" s="545" t="n"/>
      <c r="B819" s="909" t="n"/>
      <c r="C819" s="27" t="inlineStr">
        <is>
          <t>Сургутский ЗСК</t>
        </is>
      </c>
      <c r="D819" s="15" t="n"/>
      <c r="E819" s="15" t="n"/>
      <c r="F819" s="16" t="n"/>
      <c r="G819" s="17" t="inlineStr">
        <is>
          <t>4_100331879</t>
        </is>
      </c>
      <c r="H819" s="636" t="n"/>
      <c r="I819" s="17" t="n"/>
      <c r="J819" s="48" t="inlineStr">
        <is>
          <t>млн куб.м.</t>
        </is>
      </c>
    </row>
    <row r="820" ht="20.1" customHeight="1" s="904">
      <c r="A820" s="545" t="n"/>
      <c r="B820" s="909" t="n"/>
      <c r="C820" s="735" t="n"/>
      <c r="D820" s="15" t="n"/>
      <c r="E820" s="15" t="n"/>
      <c r="F820" s="16" t="n"/>
      <c r="G820" s="17" t="inlineStr">
        <is>
          <t>4_100331878</t>
        </is>
      </c>
      <c r="H820" s="636" t="n"/>
      <c r="I820" s="17" t="n"/>
      <c r="J820" s="32" t="inlineStr">
        <is>
          <t>тыс.т</t>
        </is>
      </c>
    </row>
    <row r="821" ht="20.1" customHeight="1" s="904">
      <c r="A821" s="545" t="n"/>
      <c r="B821" s="20" t="inlineStr">
        <is>
          <t>23.2.</t>
        </is>
      </c>
      <c r="C821" s="28" t="inlineStr">
        <is>
          <t>Дочерние общества</t>
        </is>
      </c>
      <c r="D821" s="15" t="n"/>
      <c r="E821" s="15" t="n"/>
      <c r="F821" s="16" t="n"/>
      <c r="G821" s="17">
        <f>0</f>
        <v/>
      </c>
      <c r="H821" s="636" t="n"/>
      <c r="I821" s="17" t="n"/>
      <c r="J821" s="46" t="inlineStr">
        <is>
          <t>млн куб.м.</t>
        </is>
      </c>
    </row>
    <row r="822" ht="20.1" customHeight="1" s="904">
      <c r="A822" s="545" t="n"/>
      <c r="B822" s="909" t="n"/>
      <c r="C822" s="735" t="n"/>
      <c r="D822" s="15" t="n"/>
      <c r="E822" s="15" t="n"/>
      <c r="F822" s="16" t="n"/>
      <c r="G822" s="17">
        <f>0</f>
        <v/>
      </c>
      <c r="H822" s="636" t="n"/>
      <c r="I822" s="17" t="n"/>
      <c r="J822" s="24" t="inlineStr">
        <is>
          <t>тыс.т</t>
        </is>
      </c>
    </row>
    <row r="823" ht="20.1" customHeight="1" s="904">
      <c r="A823" s="545" t="n"/>
      <c r="B823" s="909" t="inlineStr">
        <is>
          <t>24.</t>
        </is>
      </c>
      <c r="C823" s="735" t="inlineStr">
        <is>
          <t>Газ деэтанизации и стабилизации-всего</t>
        </is>
      </c>
      <c r="D823" s="15" t="n"/>
      <c r="E823" s="15" t="n"/>
      <c r="F823" s="16" t="n"/>
      <c r="G823" s="776">
        <f>G825+G827+G829+G831+G833</f>
        <v/>
      </c>
      <c r="H823" s="636" t="n"/>
      <c r="I823" s="17" t="n"/>
      <c r="J823" s="46" t="inlineStr">
        <is>
          <t>млн куб.м.</t>
        </is>
      </c>
    </row>
    <row r="824" ht="20.1" customHeight="1" s="904">
      <c r="A824" s="545" t="n"/>
      <c r="B824" s="909" t="n"/>
      <c r="C824" s="735" t="n"/>
      <c r="D824" s="15" t="n"/>
      <c r="E824" s="15" t="n"/>
      <c r="F824" s="16" t="n"/>
      <c r="G824" s="776">
        <f>G826+G828+G830+G832+G834</f>
        <v/>
      </c>
      <c r="H824" s="636" t="n"/>
      <c r="I824" s="17" t="n"/>
      <c r="J824" s="24" t="inlineStr">
        <is>
          <t>тыс.т</t>
        </is>
      </c>
    </row>
    <row r="825" ht="20.1" customHeight="1" s="904">
      <c r="A825" s="545" t="n"/>
      <c r="B825" s="909" t="n"/>
      <c r="C825" s="781" t="inlineStr">
        <is>
          <t xml:space="preserve">   Газпром добыча Ямбург</t>
        </is>
      </c>
      <c r="D825" s="15" t="n"/>
      <c r="E825" s="15" t="n"/>
      <c r="F825" s="16" t="n"/>
      <c r="G825" s="776">
        <f>G845</f>
        <v/>
      </c>
      <c r="H825" s="636" t="n"/>
      <c r="I825" s="17" t="n"/>
      <c r="J825" s="46" t="inlineStr">
        <is>
          <t>млн куб.м.</t>
        </is>
      </c>
    </row>
    <row r="826" ht="20.1" customHeight="1" s="904">
      <c r="A826" s="545" t="n"/>
      <c r="B826" s="909" t="n"/>
      <c r="C826" s="735" t="n"/>
      <c r="D826" s="15" t="n"/>
      <c r="E826" s="15" t="n"/>
      <c r="F826" s="16" t="n"/>
      <c r="G826" s="776">
        <f>G846</f>
        <v/>
      </c>
      <c r="H826" s="636" t="n"/>
      <c r="I826" s="17" t="n"/>
      <c r="J826" s="24" t="inlineStr">
        <is>
          <t>тыс.т</t>
        </is>
      </c>
    </row>
    <row r="827" ht="20.1" customHeight="1" s="904">
      <c r="A827" s="545" t="n"/>
      <c r="B827" s="909" t="n"/>
      <c r="C827" s="781" t="inlineStr">
        <is>
          <t>Газпром добыча Ноябрьск</t>
        </is>
      </c>
      <c r="D827" s="15" t="n"/>
      <c r="E827" s="15" t="n"/>
      <c r="F827" s="16" t="n"/>
      <c r="G827" s="776">
        <f>G837+G847</f>
        <v/>
      </c>
      <c r="H827" s="636" t="n"/>
      <c r="I827" s="17" t="n"/>
      <c r="J827" s="46" t="inlineStr">
        <is>
          <t>млн куб.м.</t>
        </is>
      </c>
    </row>
    <row r="828" ht="20.1" customHeight="1" s="904">
      <c r="A828" s="545" t="n"/>
      <c r="B828" s="909" t="n"/>
      <c r="C828" s="735" t="n"/>
      <c r="D828" s="15" t="n"/>
      <c r="E828" s="15" t="n"/>
      <c r="F828" s="16" t="n"/>
      <c r="G828" s="776">
        <f>G838+G848</f>
        <v/>
      </c>
      <c r="H828" s="636" t="n"/>
      <c r="I828" s="17" t="n"/>
      <c r="J828" s="24" t="inlineStr">
        <is>
          <t>тыс.т</t>
        </is>
      </c>
    </row>
    <row r="829" ht="20.1" customHeight="1" s="904">
      <c r="A829" s="545" t="n"/>
      <c r="B829" s="909" t="n"/>
      <c r="C829" s="781" t="inlineStr">
        <is>
          <t>Газпром добыча Иркутск</t>
        </is>
      </c>
      <c r="D829" s="15" t="n"/>
      <c r="E829" s="15" t="n"/>
      <c r="F829" s="16" t="n"/>
      <c r="G829" s="776">
        <f>G839</f>
        <v/>
      </c>
      <c r="H829" s="636" t="n"/>
      <c r="I829" s="17" t="n"/>
      <c r="J829" s="46" t="inlineStr">
        <is>
          <t>млн куб.м.</t>
        </is>
      </c>
    </row>
    <row r="830" ht="20.1" customHeight="1" s="904">
      <c r="A830" s="545" t="n"/>
      <c r="B830" s="909" t="n"/>
      <c r="C830" s="735" t="n"/>
      <c r="D830" s="15" t="n"/>
      <c r="E830" s="15" t="n"/>
      <c r="F830" s="16" t="n"/>
      <c r="G830" s="776">
        <f>G840</f>
        <v/>
      </c>
      <c r="H830" s="636" t="n"/>
      <c r="I830" s="17" t="n"/>
      <c r="J830" s="24" t="inlineStr">
        <is>
          <t>тыс.т</t>
        </is>
      </c>
    </row>
    <row r="831" ht="20.1" customHeight="1" s="904">
      <c r="A831" s="545" t="n"/>
      <c r="B831" s="909" t="n"/>
      <c r="C831" s="547" t="inlineStr">
        <is>
          <t>Газпром добыча шельф Южно-Сахалинск</t>
        </is>
      </c>
      <c r="D831" s="15" t="n"/>
      <c r="E831" s="15" t="n"/>
      <c r="F831" s="16" t="n"/>
      <c r="G831" s="776">
        <f>G841</f>
        <v/>
      </c>
      <c r="H831" s="636" t="n"/>
      <c r="I831" s="17" t="n"/>
      <c r="J831" s="46" t="inlineStr">
        <is>
          <t>млн куб.м.</t>
        </is>
      </c>
    </row>
    <row r="832" ht="20.1" customHeight="1" s="904">
      <c r="A832" s="545" t="n"/>
      <c r="B832" s="909" t="n"/>
      <c r="C832" s="735" t="n"/>
      <c r="D832" s="15" t="n"/>
      <c r="E832" s="15" t="n"/>
      <c r="F832" s="16" t="n"/>
      <c r="G832" s="776">
        <f>G842</f>
        <v/>
      </c>
      <c r="H832" s="636" t="n"/>
      <c r="I832" s="17" t="n"/>
      <c r="J832" s="24" t="inlineStr">
        <is>
          <t>тыс.т</t>
        </is>
      </c>
    </row>
    <row r="833" ht="20.1" customHeight="1" s="904">
      <c r="A833" s="545" t="n"/>
      <c r="B833" s="909" t="n"/>
      <c r="C833" s="781" t="inlineStr">
        <is>
          <t>Газпром добыча Уренгой</t>
        </is>
      </c>
      <c r="D833" s="15" t="n"/>
      <c r="E833" s="15" t="n"/>
      <c r="F833" s="16" t="n"/>
      <c r="G833" s="776">
        <f>G849</f>
        <v/>
      </c>
      <c r="H833" s="636" t="n"/>
      <c r="I833" s="17" t="n"/>
      <c r="J833" s="46" t="inlineStr">
        <is>
          <t>млн куб.м.</t>
        </is>
      </c>
    </row>
    <row r="834" ht="20.1" customHeight="1" s="904">
      <c r="A834" s="545" t="n"/>
      <c r="B834" s="909" t="n"/>
      <c r="C834" s="736" t="n"/>
      <c r="D834" s="15" t="n"/>
      <c r="E834" s="15" t="n"/>
      <c r="F834" s="16" t="n"/>
      <c r="G834" s="776">
        <f>G850</f>
        <v/>
      </c>
      <c r="H834" s="636" t="n"/>
      <c r="I834" s="17" t="n"/>
      <c r="J834" s="24" t="inlineStr">
        <is>
          <t>тыс.т</t>
        </is>
      </c>
    </row>
    <row r="835" ht="20.1" customHeight="1" s="904">
      <c r="A835" s="545" t="n"/>
      <c r="B835" s="20" t="inlineStr">
        <is>
          <t>24.1.</t>
        </is>
      </c>
      <c r="C835" s="28" t="inlineStr">
        <is>
          <t>Газпром</t>
        </is>
      </c>
      <c r="D835" s="15" t="n"/>
      <c r="E835" s="15" t="n"/>
      <c r="F835" s="16" t="n"/>
      <c r="G835" s="776">
        <f>G837+G839+G841</f>
        <v/>
      </c>
      <c r="H835" s="636" t="n"/>
      <c r="I835" s="17" t="n"/>
      <c r="J835" s="46" t="inlineStr">
        <is>
          <t>млн куб.м.</t>
        </is>
      </c>
    </row>
    <row r="836" ht="20.1" customHeight="1" s="904">
      <c r="A836" s="545" t="n"/>
      <c r="B836" s="909" t="n"/>
      <c r="C836" s="735" t="n"/>
      <c r="D836" s="15" t="n"/>
      <c r="E836" s="15" t="n"/>
      <c r="F836" s="16" t="n"/>
      <c r="G836" s="776">
        <f>G838+G840+G842</f>
        <v/>
      </c>
      <c r="H836" s="636" t="n"/>
      <c r="I836" s="17" t="n"/>
      <c r="J836" s="24" t="inlineStr">
        <is>
          <t>тыс.т</t>
        </is>
      </c>
    </row>
    <row r="837" ht="20.1" customHeight="1" s="904">
      <c r="A837" s="545" t="n"/>
      <c r="B837" s="909" t="n"/>
      <c r="C837" s="781" t="inlineStr">
        <is>
          <t>Газпром добыча Ноябрьск</t>
        </is>
      </c>
      <c r="D837" s="15" t="n"/>
      <c r="E837" s="15" t="n"/>
      <c r="F837" s="16" t="n"/>
      <c r="G837" s="776" t="inlineStr">
        <is>
          <t>10_100330726</t>
        </is>
      </c>
      <c r="H837" s="636" t="n"/>
      <c r="I837" s="17" t="n"/>
      <c r="J837" s="46" t="inlineStr">
        <is>
          <t>млн куб.м.</t>
        </is>
      </c>
    </row>
    <row r="838" ht="20.1" customHeight="1" s="904">
      <c r="A838" s="545" t="n"/>
      <c r="B838" s="909" t="n"/>
      <c r="C838" s="735" t="n"/>
      <c r="D838" s="15" t="n"/>
      <c r="E838" s="15" t="n"/>
      <c r="F838" s="16" t="n"/>
      <c r="G838" s="776" t="inlineStr">
        <is>
          <t>10_100330727</t>
        </is>
      </c>
      <c r="H838" s="636" t="n"/>
      <c r="I838" s="17" t="n"/>
      <c r="J838" s="24" t="inlineStr">
        <is>
          <t>тыс.т</t>
        </is>
      </c>
    </row>
    <row r="839" ht="20.1" customHeight="1" s="904">
      <c r="A839" s="545" t="n"/>
      <c r="B839" s="909" t="n"/>
      <c r="C839" s="781" t="inlineStr">
        <is>
          <t>Газпром добыча Иркутск</t>
        </is>
      </c>
      <c r="D839" s="15" t="n"/>
      <c r="E839" s="15" t="n"/>
      <c r="F839" s="16" t="n"/>
      <c r="G839" s="776" t="inlineStr">
        <is>
          <t>12_100330680</t>
        </is>
      </c>
      <c r="H839" s="636" t="n"/>
      <c r="I839" s="17" t="n"/>
      <c r="J839" s="46" t="inlineStr">
        <is>
          <t>млн куб.м.</t>
        </is>
      </c>
    </row>
    <row r="840" ht="20.1" customHeight="1" s="904">
      <c r="A840" s="545" t="n"/>
      <c r="B840" s="909" t="n"/>
      <c r="C840" s="735" t="n"/>
      <c r="D840" s="15" t="n"/>
      <c r="E840" s="15" t="n"/>
      <c r="F840" s="16" t="n"/>
      <c r="G840" s="776" t="inlineStr">
        <is>
          <t>12_100330679</t>
        </is>
      </c>
      <c r="H840" s="636" t="n"/>
      <c r="I840" s="17" t="n"/>
      <c r="J840" s="24" t="inlineStr">
        <is>
          <t>тыс.т</t>
        </is>
      </c>
    </row>
    <row r="841" ht="20.1" customHeight="1" s="904">
      <c r="A841" s="545" t="n"/>
      <c r="B841" s="909" t="n"/>
      <c r="C841" s="547" t="inlineStr">
        <is>
          <t>Газпром добыча шельф Южно-Сахалинск</t>
        </is>
      </c>
      <c r="D841" s="15" t="n"/>
      <c r="E841" s="15" t="n"/>
      <c r="F841" s="16" t="n"/>
      <c r="G841" s="776" t="inlineStr">
        <is>
          <t>13_100330680</t>
        </is>
      </c>
      <c r="H841" s="636" t="n"/>
      <c r="I841" s="17" t="n"/>
      <c r="J841" s="46" t="inlineStr">
        <is>
          <t>млн куб.м.</t>
        </is>
      </c>
    </row>
    <row r="842" ht="20.1" customHeight="1" s="904">
      <c r="A842" s="545" t="n"/>
      <c r="B842" s="909" t="n"/>
      <c r="C842" s="735" t="n"/>
      <c r="D842" s="15" t="n"/>
      <c r="E842" s="15" t="n"/>
      <c r="F842" s="16" t="n"/>
      <c r="G842" s="776" t="inlineStr">
        <is>
          <t>13_100335781</t>
        </is>
      </c>
      <c r="H842" s="636" t="n"/>
      <c r="I842" s="17" t="n"/>
      <c r="J842" s="24" t="inlineStr">
        <is>
          <t>тыс.т</t>
        </is>
      </c>
    </row>
    <row r="843" ht="20.1" customHeight="1" s="904">
      <c r="A843" s="545" t="n"/>
      <c r="B843" s="20" t="inlineStr">
        <is>
          <t>24.2.</t>
        </is>
      </c>
      <c r="C843" s="28" t="inlineStr">
        <is>
          <t>Дочерние общества</t>
        </is>
      </c>
      <c r="D843" s="15" t="n"/>
      <c r="E843" s="15" t="n"/>
      <c r="F843" s="16" t="n"/>
      <c r="G843" s="776">
        <f>G845+G847+G849</f>
        <v/>
      </c>
      <c r="H843" s="636" t="n"/>
      <c r="I843" s="17" t="n"/>
      <c r="J843" s="46" t="inlineStr">
        <is>
          <t>млн куб.м.</t>
        </is>
      </c>
    </row>
    <row r="844" ht="20.1" customHeight="1" s="904">
      <c r="A844" s="545" t="n"/>
      <c r="B844" s="909" t="n"/>
      <c r="C844" s="735" t="n"/>
      <c r="D844" s="15" t="n"/>
      <c r="E844" s="15" t="n"/>
      <c r="F844" s="16" t="n"/>
      <c r="G844" s="776">
        <f>G846+G848+G850</f>
        <v/>
      </c>
      <c r="H844" s="636" t="n"/>
      <c r="I844" s="17" t="n"/>
      <c r="J844" s="24" t="inlineStr">
        <is>
          <t>тыс.т</t>
        </is>
      </c>
    </row>
    <row r="845" ht="20.1" customHeight="1" s="904">
      <c r="A845" s="545" t="n"/>
      <c r="B845" s="909" t="n"/>
      <c r="C845" s="781" t="inlineStr">
        <is>
          <t xml:space="preserve">   Газпром добыча Ямбург</t>
        </is>
      </c>
      <c r="D845" s="15" t="n"/>
      <c r="E845" s="15" t="n"/>
      <c r="F845" s="16" t="n"/>
      <c r="G845" s="776" t="inlineStr">
        <is>
          <t>7_100330612</t>
        </is>
      </c>
      <c r="H845" s="636" t="n"/>
      <c r="I845" s="17" t="n"/>
      <c r="J845" s="46" t="inlineStr">
        <is>
          <t>млн куб.м.</t>
        </is>
      </c>
    </row>
    <row r="846" ht="20.1" customHeight="1" s="904">
      <c r="A846" s="545" t="n"/>
      <c r="B846" s="909" t="n"/>
      <c r="C846" s="735" t="n"/>
      <c r="D846" s="15" t="n"/>
      <c r="E846" s="15" t="n"/>
      <c r="F846" s="16" t="n"/>
      <c r="G846" s="776" t="inlineStr">
        <is>
          <t>7_100330611</t>
        </is>
      </c>
      <c r="H846" s="636" t="n"/>
      <c r="I846" s="17" t="n"/>
      <c r="J846" s="24" t="inlineStr">
        <is>
          <t>тыс.т</t>
        </is>
      </c>
    </row>
    <row r="847" ht="20.1" customHeight="1" s="904">
      <c r="A847" s="545" t="n"/>
      <c r="B847" s="909" t="n"/>
      <c r="C847" s="781" t="inlineStr">
        <is>
          <t>Газпром добыча Ноябрьск (включая ДРОД)</t>
        </is>
      </c>
      <c r="D847" s="15" t="n"/>
      <c r="E847" s="15" t="n"/>
      <c r="F847" s="16" t="n"/>
      <c r="G847" s="776" t="inlineStr">
        <is>
          <t>10_100330728+10_100336329+10_100337133+10_100337153</t>
        </is>
      </c>
      <c r="H847" s="636" t="n"/>
      <c r="I847" s="17" t="n"/>
      <c r="J847" s="24" t="inlineStr">
        <is>
          <t>млн куб.м.</t>
        </is>
      </c>
    </row>
    <row r="848" ht="20.1" customHeight="1" s="904">
      <c r="A848" s="545" t="n"/>
      <c r="B848" s="909" t="n"/>
      <c r="C848" s="735" t="n"/>
      <c r="D848" s="15" t="n"/>
      <c r="E848" s="15" t="n"/>
      <c r="F848" s="16" t="n"/>
      <c r="G848" s="776" t="inlineStr">
        <is>
          <t>10_100330729+10_100336328+10_100337132+10_100337152</t>
        </is>
      </c>
      <c r="H848" s="636" t="n"/>
      <c r="I848" s="17" t="n"/>
      <c r="J848" s="24" t="inlineStr">
        <is>
          <t>тыс.т</t>
        </is>
      </c>
    </row>
    <row r="849" outlineLevel="1" ht="20.1" customHeight="1" s="904">
      <c r="A849" s="545" t="n"/>
      <c r="B849" s="909" t="n"/>
      <c r="C849" s="781" t="inlineStr">
        <is>
          <t>Газпром добыча Уренгой (ДРОД )</t>
        </is>
      </c>
      <c r="D849" s="15" t="n"/>
      <c r="E849" s="15" t="n"/>
      <c r="F849" s="16" t="n"/>
      <c r="G849" s="776" t="inlineStr">
        <is>
          <t>10_100335493</t>
        </is>
      </c>
      <c r="H849" s="636" t="n"/>
      <c r="I849" s="17" t="n"/>
      <c r="J849" s="46" t="inlineStr">
        <is>
          <t>млн куб.м.</t>
        </is>
      </c>
    </row>
    <row r="850" outlineLevel="1" ht="20.1" customHeight="1" s="904">
      <c r="A850" s="545" t="n"/>
      <c r="B850" s="909" t="n"/>
      <c r="C850" s="736" t="n"/>
      <c r="D850" s="15" t="n"/>
      <c r="E850" s="15" t="n"/>
      <c r="F850" s="16" t="n"/>
      <c r="G850" s="776" t="inlineStr">
        <is>
          <t>10_100335492</t>
        </is>
      </c>
      <c r="H850" s="636" t="n"/>
      <c r="I850" s="17" t="n"/>
      <c r="J850" s="24" t="inlineStr">
        <is>
          <t>тыс.т</t>
        </is>
      </c>
    </row>
    <row r="851" ht="20.1" customHeight="1" s="904">
      <c r="A851" s="545" t="n"/>
      <c r="B851" s="909" t="inlineStr">
        <is>
          <t>25.</t>
        </is>
      </c>
      <c r="C851" s="735" t="inlineStr">
        <is>
          <t>Метанол - всего</t>
        </is>
      </c>
      <c r="D851" s="15" t="n"/>
      <c r="E851" s="15" t="n"/>
      <c r="F851" s="16" t="n"/>
      <c r="G851" s="776">
        <f>G852</f>
        <v/>
      </c>
      <c r="H851" s="636" t="n"/>
      <c r="I851" s="17" t="n"/>
      <c r="J851" s="24" t="inlineStr">
        <is>
          <t>тыс.т</t>
        </is>
      </c>
    </row>
    <row r="852" ht="20.1" customHeight="1" s="904">
      <c r="A852" s="545" t="n"/>
      <c r="B852" s="909" t="n"/>
      <c r="C852" s="781" t="inlineStr">
        <is>
          <t xml:space="preserve">   Газпром переработка</t>
        </is>
      </c>
      <c r="D852" s="15" t="n"/>
      <c r="E852" s="15" t="n"/>
      <c r="F852" s="16" t="n"/>
      <c r="G852" s="776">
        <f>G853+G854+G855</f>
        <v/>
      </c>
      <c r="H852" s="636" t="n"/>
      <c r="I852" s="17" t="n"/>
      <c r="J852" s="24" t="inlineStr">
        <is>
          <t>тыс.т</t>
        </is>
      </c>
    </row>
    <row r="853" ht="20.1" customHeight="1" s="904">
      <c r="A853" s="545" t="n"/>
      <c r="B853" s="909" t="n"/>
      <c r="C853" s="27" t="inlineStr">
        <is>
          <t>Уренгойский ЗПКТ</t>
        </is>
      </c>
      <c r="D853" s="15" t="n"/>
      <c r="E853" s="15" t="n"/>
      <c r="F853" s="16" t="n"/>
      <c r="G853" s="17">
        <f>G858+G863</f>
        <v/>
      </c>
      <c r="H853" s="636" t="n"/>
      <c r="I853" s="17" t="n"/>
      <c r="J853" s="549" t="inlineStr">
        <is>
          <t>тыс.т</t>
        </is>
      </c>
    </row>
    <row r="854" ht="20.1" customHeight="1" s="904">
      <c r="A854" s="545" t="n"/>
      <c r="B854" s="909" t="n"/>
      <c r="C854" s="27" t="inlineStr">
        <is>
          <t xml:space="preserve">   Сургутский ЗСК</t>
        </is>
      </c>
      <c r="D854" s="15" t="n"/>
      <c r="E854" s="15" t="n"/>
      <c r="F854" s="16" t="n"/>
      <c r="G854" s="17">
        <f>G859</f>
        <v/>
      </c>
      <c r="H854" s="636" t="n"/>
      <c r="I854" s="17" t="n"/>
      <c r="J854" s="549" t="inlineStr">
        <is>
          <t>тыс.т</t>
        </is>
      </c>
    </row>
    <row r="855" ht="20.1" customHeight="1" s="904">
      <c r="A855" s="545" t="n"/>
      <c r="B855" s="909" t="n"/>
      <c r="C855" s="27" t="inlineStr">
        <is>
          <t>Сосногорский ГПЗ</t>
        </is>
      </c>
      <c r="D855" s="15" t="n"/>
      <c r="E855" s="15" t="n"/>
      <c r="F855" s="16" t="n"/>
      <c r="G855" s="17">
        <f>G860</f>
        <v/>
      </c>
      <c r="H855" s="636" t="n"/>
      <c r="I855" s="17" t="n"/>
      <c r="J855" s="549" t="inlineStr">
        <is>
          <t>тыс.т</t>
        </is>
      </c>
    </row>
    <row r="856" ht="20.1" customHeight="1" s="904">
      <c r="A856" s="545" t="n"/>
      <c r="B856" s="20" t="inlineStr">
        <is>
          <t>25.1.</t>
        </is>
      </c>
      <c r="C856" s="28" t="inlineStr">
        <is>
          <t>Газпром</t>
        </is>
      </c>
      <c r="D856" s="15" t="n"/>
      <c r="E856" s="15" t="n"/>
      <c r="F856" s="16" t="n"/>
      <c r="G856" s="17">
        <f>G857</f>
        <v/>
      </c>
      <c r="H856" s="636" t="n"/>
      <c r="I856" s="17" t="n"/>
      <c r="J856" s="24" t="inlineStr">
        <is>
          <t>тыс.т</t>
        </is>
      </c>
    </row>
    <row r="857" ht="20.1" customHeight="1" s="904">
      <c r="A857" s="545" t="n"/>
      <c r="B857" s="909" t="n"/>
      <c r="C857" s="781" t="inlineStr">
        <is>
          <t xml:space="preserve">   Газпром переработка</t>
        </is>
      </c>
      <c r="D857" s="15" t="n"/>
      <c r="E857" s="15" t="n"/>
      <c r="F857" s="16" t="n"/>
      <c r="G857" s="17">
        <f>G858+G859+G860</f>
        <v/>
      </c>
      <c r="H857" s="636" t="n"/>
      <c r="I857" s="17" t="n"/>
      <c r="J857" s="24" t="inlineStr">
        <is>
          <t>тыс.т</t>
        </is>
      </c>
    </row>
    <row r="858" ht="20.1" customHeight="1" s="904">
      <c r="A858" s="545" t="n"/>
      <c r="B858" s="909" t="n"/>
      <c r="C858" s="27" t="inlineStr">
        <is>
          <t xml:space="preserve"> Уренгойский ЗПКТ</t>
        </is>
      </c>
      <c r="D858" s="15" t="n"/>
      <c r="E858" s="15" t="n"/>
      <c r="F858" s="16" t="n"/>
      <c r="G858" s="17" t="inlineStr">
        <is>
          <t>4_100335444/1000</t>
        </is>
      </c>
      <c r="H858" s="636" t="n"/>
      <c r="I858" s="17" t="n"/>
      <c r="J858" s="549" t="inlineStr">
        <is>
          <t>тыс.т</t>
        </is>
      </c>
    </row>
    <row r="859" ht="20.1" customHeight="1" s="904">
      <c r="A859" s="545" t="n"/>
      <c r="B859" s="909" t="n"/>
      <c r="C859" s="27" t="inlineStr">
        <is>
          <t xml:space="preserve">   Сургутский ЗСК</t>
        </is>
      </c>
      <c r="D859" s="15" t="n"/>
      <c r="E859" s="15" t="n"/>
      <c r="F859" s="16" t="n"/>
      <c r="G859" s="17" t="inlineStr">
        <is>
          <t>4_100335445/1000</t>
        </is>
      </c>
      <c r="H859" s="636" t="n"/>
      <c r="I859" s="17" t="n"/>
      <c r="J859" s="549" t="inlineStr">
        <is>
          <t>тыс.т</t>
        </is>
      </c>
    </row>
    <row r="860" ht="20.1" customHeight="1" s="904">
      <c r="A860" s="545" t="n"/>
      <c r="B860" s="909" t="n"/>
      <c r="C860" s="27" t="inlineStr">
        <is>
          <t>Сосногорский ГПЗ</t>
        </is>
      </c>
      <c r="D860" s="15" t="n"/>
      <c r="E860" s="15" t="n"/>
      <c r="F860" s="16" t="n"/>
      <c r="G860" s="17" t="inlineStr">
        <is>
          <t>3_100335432/1000</t>
        </is>
      </c>
      <c r="H860" s="636" t="n"/>
      <c r="I860" s="17" t="n"/>
      <c r="J860" s="549" t="inlineStr">
        <is>
          <t>тыс.т</t>
        </is>
      </c>
    </row>
    <row r="861" ht="20.1" customHeight="1" s="904">
      <c r="A861" s="545" t="n"/>
      <c r="B861" s="20" t="inlineStr">
        <is>
          <t>25.2.</t>
        </is>
      </c>
      <c r="C861" s="28" t="inlineStr">
        <is>
          <t>Дочерние общества</t>
        </is>
      </c>
      <c r="D861" s="15" t="n"/>
      <c r="E861" s="15" t="n"/>
      <c r="F861" s="16" t="n"/>
      <c r="G861" s="17">
        <f>G862</f>
        <v/>
      </c>
      <c r="H861" s="636" t="n"/>
      <c r="I861" s="17" t="n"/>
      <c r="J861" s="24" t="inlineStr">
        <is>
          <t>тыс.т</t>
        </is>
      </c>
    </row>
    <row r="862" ht="20.1" customHeight="1" s="904">
      <c r="A862" s="545" t="n"/>
      <c r="B862" s="909" t="n"/>
      <c r="C862" s="781" t="inlineStr">
        <is>
          <t>Газпро добыча Уренгой</t>
        </is>
      </c>
      <c r="D862" s="15" t="n"/>
      <c r="E862" s="15" t="n"/>
      <c r="F862" s="16" t="n"/>
      <c r="G862" s="17">
        <f>G863</f>
        <v/>
      </c>
      <c r="H862" s="636" t="n"/>
      <c r="I862" s="17" t="n"/>
      <c r="J862" s="24" t="inlineStr">
        <is>
          <t>тыс.т</t>
        </is>
      </c>
    </row>
    <row r="863" ht="20.1" customHeight="1" s="904">
      <c r="A863" s="545" t="n"/>
      <c r="B863" s="909" t="n"/>
      <c r="C863" s="27" t="inlineStr">
        <is>
          <t xml:space="preserve"> Уренгойский ЗПКТ</t>
        </is>
      </c>
      <c r="D863" s="15" t="n"/>
      <c r="E863" s="15" t="n"/>
      <c r="F863" s="16" t="n"/>
      <c r="G863" s="17" t="n"/>
      <c r="H863" s="636" t="n"/>
      <c r="I863" s="17" t="n"/>
      <c r="J863" s="549" t="inlineStr">
        <is>
          <t>тыс.т</t>
        </is>
      </c>
    </row>
    <row r="864" ht="20.1" customHeight="1" s="904">
      <c r="A864" s="545" t="n"/>
      <c r="B864" s="909" t="n"/>
      <c r="C864" s="54" t="inlineStr">
        <is>
          <t>Справочно:</t>
        </is>
      </c>
      <c r="D864" s="15" t="n"/>
      <c r="E864" s="15" t="n"/>
      <c r="F864" s="16" t="n"/>
      <c r="G864" s="17" t="n"/>
      <c r="H864" s="636" t="n"/>
      <c r="I864" s="17" t="n"/>
      <c r="J864" s="24" t="n"/>
    </row>
    <row r="865" ht="20.1" customHeight="1" s="904">
      <c r="A865" s="545" t="n"/>
      <c r="B865" s="909" t="n"/>
      <c r="C865" s="735" t="inlineStr">
        <is>
          <t>Нефть</t>
        </is>
      </c>
      <c r="D865" s="15" t="n"/>
      <c r="E865" s="15" t="n"/>
      <c r="F865" s="16" t="n"/>
      <c r="G865" s="17" t="n"/>
      <c r="H865" s="636" t="n"/>
      <c r="I865" s="17" t="n"/>
      <c r="J865" s="24" t="n"/>
    </row>
    <row r="866" ht="20.1" customHeight="1" s="904">
      <c r="A866" s="545" t="n"/>
      <c r="B866" s="909" t="n"/>
      <c r="C866" s="781" t="inlineStr">
        <is>
          <t>Поставка от добычи Газпром нефть (Царичанское НМ)</t>
        </is>
      </c>
      <c r="D866" s="15" t="n"/>
      <c r="E866" s="15" t="n"/>
      <c r="F866" s="16" t="n"/>
      <c r="G866" s="17" t="inlineStr">
        <is>
          <t>6_100332312</t>
        </is>
      </c>
      <c r="H866" s="636" t="n"/>
      <c r="I866" s="17" t="n"/>
      <c r="J866" s="24" t="inlineStr">
        <is>
          <t>тыс.т</t>
        </is>
      </c>
    </row>
    <row r="867" ht="20.1" customHeight="1" s="904">
      <c r="A867" s="545" t="n"/>
      <c r="B867" s="909" t="n"/>
      <c r="C867" s="27" t="inlineStr">
        <is>
          <t>(транспортировка, собственность Газпром нефтехим Салават )</t>
        </is>
      </c>
      <c r="D867" s="15" t="n"/>
      <c r="E867" s="15" t="n"/>
      <c r="F867" s="16" t="n"/>
      <c r="G867" s="17" t="n"/>
      <c r="H867" s="636" t="n"/>
      <c r="I867" s="17" t="n"/>
      <c r="J867" s="24" t="n"/>
    </row>
    <row r="868" ht="20.1" customHeight="1" s="904">
      <c r="A868" s="545" t="n"/>
      <c r="B868" s="909" t="n"/>
      <c r="C868" s="55" t="inlineStr">
        <is>
          <t xml:space="preserve"> * данные показатели принимаются по факту и используются при формировании договоров</t>
        </is>
      </c>
      <c r="D868" s="15" t="n"/>
      <c r="E868" s="15" t="n"/>
      <c r="F868" s="16" t="n"/>
      <c r="G868" s="17" t="n"/>
      <c r="H868" s="636" t="n"/>
      <c r="I868" s="17" t="n"/>
      <c r="J868" s="56" t="n"/>
    </row>
    <row r="869" ht="20.1" customHeight="1" s="904">
      <c r="A869" s="545" t="n"/>
      <c r="B869" s="909" t="n"/>
      <c r="C869" s="31" t="n"/>
      <c r="D869" s="15" t="n"/>
      <c r="E869" s="15" t="n"/>
      <c r="F869" s="16" t="n"/>
      <c r="G869" s="17" t="n"/>
      <c r="H869" s="636" t="n"/>
      <c r="I869" s="17" t="n"/>
      <c r="J869" s="56" t="n"/>
    </row>
    <row r="870" ht="20.1" customHeight="1" s="904">
      <c r="A870" s="545" t="n"/>
      <c r="B870" s="735" t="inlineStr">
        <is>
          <t>Раздел 2. Прогнозные показатели по переработке углеводородного сырья и производству продукции других дочерних обществ</t>
        </is>
      </c>
      <c r="C870" s="735" t="n"/>
      <c r="D870" s="15" t="n"/>
      <c r="E870" s="15" t="n"/>
      <c r="F870" s="16" t="n"/>
      <c r="G870" s="17" t="n"/>
      <c r="H870" s="636" t="n"/>
      <c r="I870" s="17" t="n"/>
      <c r="J870" s="9" t="n"/>
    </row>
    <row r="871" ht="20.1" customHeight="1" s="904">
      <c r="A871" s="545" t="n"/>
      <c r="B871" s="909" t="n"/>
      <c r="C871" s="735" t="inlineStr">
        <is>
          <t xml:space="preserve">ООО "Газпром СПГ Портовая" </t>
        </is>
      </c>
      <c r="D871" s="15" t="n"/>
      <c r="E871" s="15" t="n"/>
      <c r="F871" s="16" t="n"/>
      <c r="G871" s="17" t="n"/>
      <c r="H871" s="636" t="n"/>
      <c r="I871" s="17" t="n"/>
      <c r="J871" s="9" t="n"/>
    </row>
    <row r="872" outlineLevel="1" ht="20.1" customHeight="1" s="904">
      <c r="A872" s="545" t="n"/>
      <c r="B872" s="909" t="n"/>
      <c r="C872" s="57" t="inlineStr">
        <is>
          <t>CЫРЬЕ</t>
        </is>
      </c>
      <c r="D872" s="15" t="n"/>
      <c r="E872" s="15" t="n"/>
      <c r="F872" s="16" t="n"/>
      <c r="G872" s="17" t="n"/>
      <c r="H872" s="636" t="n"/>
      <c r="I872" s="17" t="n"/>
      <c r="J872" s="9" t="n"/>
    </row>
    <row r="873" outlineLevel="1" ht="20.1" customHeight="1" s="904">
      <c r="A873" s="545" t="n"/>
      <c r="B873" s="909" t="n"/>
      <c r="C873" s="57" t="inlineStr">
        <is>
          <t>Переработка газа</t>
        </is>
      </c>
      <c r="D873" s="15" t="n"/>
      <c r="E873" s="15" t="n"/>
      <c r="F873" s="16" t="n"/>
      <c r="G873" s="17" t="n"/>
      <c r="H873" s="636" t="n"/>
      <c r="I873" s="17" t="n"/>
      <c r="J873" s="9" t="n"/>
    </row>
    <row r="874" ht="20.1" customHeight="1" s="904">
      <c r="A874" s="545" t="n"/>
      <c r="B874" s="909" t="inlineStr">
        <is>
          <t>1.</t>
        </is>
      </c>
      <c r="C874" s="735" t="inlineStr">
        <is>
          <t xml:space="preserve">ПРОДУКЦИЯ    </t>
        </is>
      </c>
      <c r="D874" s="15" t="n"/>
      <c r="E874" s="15" t="n"/>
      <c r="F874" s="16" t="n"/>
      <c r="G874" s="17" t="n"/>
      <c r="H874" s="636" t="n"/>
      <c r="I874" s="17" t="n"/>
      <c r="J874" s="9" t="n"/>
    </row>
    <row r="875" outlineLevel="1" ht="20.1" customHeight="1" s="904">
      <c r="A875" s="545" t="n"/>
      <c r="B875" s="909" t="n"/>
      <c r="C875" s="57" t="inlineStr">
        <is>
          <t>СПГ</t>
        </is>
      </c>
      <c r="D875" s="15" t="n"/>
      <c r="E875" s="15" t="n"/>
      <c r="F875" s="16" t="n"/>
      <c r="G875" s="17" t="n"/>
      <c r="H875" s="636" t="n"/>
      <c r="I875" s="17" t="n"/>
      <c r="J875" s="9" t="n"/>
    </row>
    <row r="876" outlineLevel="1" ht="19.5" customHeight="1" s="904">
      <c r="A876" s="545" t="n"/>
      <c r="B876" s="909" t="n"/>
      <c r="C876" s="57" t="n"/>
      <c r="D876" s="15" t="n"/>
      <c r="E876" s="15" t="n"/>
      <c r="F876" s="16" t="n"/>
      <c r="G876" s="17" t="n"/>
      <c r="H876" s="636" t="n"/>
      <c r="I876" s="17" t="n"/>
      <c r="J876" s="24" t="n"/>
    </row>
    <row r="877" ht="20.1" customHeight="1" s="904">
      <c r="A877" s="545" t="n"/>
      <c r="B877" s="909" t="inlineStr">
        <is>
          <t>1.1</t>
        </is>
      </c>
      <c r="C877" s="909" t="inlineStr">
        <is>
          <t>Стабильный газовый конденсат товарный</t>
        </is>
      </c>
      <c r="D877" s="15" t="n"/>
      <c r="E877" s="15" t="n"/>
      <c r="F877" s="16" t="n"/>
      <c r="G877" s="17" t="inlineStr">
        <is>
          <t>15_100330867-15_100335852</t>
        </is>
      </c>
      <c r="H877" s="636" t="n"/>
      <c r="I877" s="17" t="n"/>
      <c r="J877" s="24" t="n"/>
    </row>
    <row r="878" ht="20.1" customHeight="1" s="904">
      <c r="A878" s="545" t="n"/>
      <c r="B878" s="909" t="n"/>
      <c r="C878" s="13" t="n"/>
      <c r="D878" s="15" t="n"/>
      <c r="E878" s="15" t="n"/>
      <c r="F878" s="16" t="n"/>
      <c r="G878" s="17" t="n"/>
      <c r="H878" s="636" t="n"/>
      <c r="I878" s="17" t="n"/>
      <c r="J878" s="24" t="n"/>
    </row>
    <row r="879" ht="20.1" customHeight="1" s="904">
      <c r="A879" s="545" t="n"/>
      <c r="B879" s="909" t="n"/>
      <c r="C879" s="9" t="inlineStr">
        <is>
          <t>ГРУППА ВОСТОКГАЗПРОМ</t>
        </is>
      </c>
      <c r="D879" s="15" t="n"/>
      <c r="E879" s="15" t="n"/>
      <c r="F879" s="16" t="n"/>
      <c r="G879" s="17" t="n"/>
      <c r="H879" s="636" t="n"/>
      <c r="I879" s="17" t="n"/>
      <c r="J879" s="24" t="n"/>
    </row>
    <row r="880" ht="34.5" customHeight="1" s="904">
      <c r="A880" s="545" t="n"/>
      <c r="B880" s="909" t="inlineStr">
        <is>
          <t>1.</t>
        </is>
      </c>
      <c r="C880" s="58" t="inlineStr">
        <is>
          <t xml:space="preserve">ПЕРЕРАБОТКА СЫРЬЯ </t>
        </is>
      </c>
      <c r="D880" s="15" t="n"/>
      <c r="E880" s="15" t="n"/>
      <c r="F880" s="16" t="n"/>
      <c r="G880" s="17" t="inlineStr">
        <is>
          <t>16_100336330</t>
        </is>
      </c>
      <c r="H880" s="636" t="n"/>
      <c r="I880" s="17" t="n"/>
      <c r="J880" s="24" t="inlineStr">
        <is>
          <t>тыс.т.</t>
        </is>
      </c>
    </row>
    <row r="881" ht="35.1" customHeight="1" s="904">
      <c r="A881" s="545" t="n"/>
      <c r="B881" s="909" t="inlineStr">
        <is>
          <t>1.1</t>
        </is>
      </c>
      <c r="C881" s="908" t="inlineStr">
        <is>
          <t>Переработка УВС от добычи АО "Газпром добыча Томск" всего:</t>
        </is>
      </c>
      <c r="D881" s="15" t="n"/>
      <c r="E881" s="15" t="n"/>
      <c r="F881" s="16" t="n"/>
      <c r="G881" s="17" t="inlineStr">
        <is>
          <t>16_100336331</t>
        </is>
      </c>
      <c r="H881" s="636" t="n"/>
      <c r="I881" s="17" t="n"/>
      <c r="J881" s="549" t="inlineStr">
        <is>
          <t>тыс.т.</t>
        </is>
      </c>
    </row>
    <row r="882" ht="20.1" customHeight="1" s="904">
      <c r="A882" s="545" t="n"/>
      <c r="B882" s="909" t="n"/>
      <c r="C882" s="903" t="inlineStr">
        <is>
          <t>Попутный нефтяной газ</t>
        </is>
      </c>
      <c r="D882" s="15" t="n"/>
      <c r="E882" s="15" t="n"/>
      <c r="F882" s="16" t="n"/>
      <c r="G882" s="17" t="inlineStr">
        <is>
          <t>16_100332340</t>
        </is>
      </c>
      <c r="H882" s="636" t="n"/>
      <c r="I882" s="17" t="n"/>
      <c r="J882" s="549" t="inlineStr">
        <is>
          <t>тыс.т.</t>
        </is>
      </c>
    </row>
    <row r="883" ht="20.1" customHeight="1" s="904">
      <c r="A883" s="545" t="n"/>
      <c r="B883" s="909" t="n"/>
      <c r="D883" s="15" t="n"/>
      <c r="E883" s="15" t="n"/>
      <c r="F883" s="16" t="n"/>
      <c r="G883" s="17" t="inlineStr">
        <is>
          <t>16_100330742</t>
        </is>
      </c>
      <c r="H883" s="636" t="n"/>
      <c r="I883" s="17" t="n"/>
      <c r="J883" s="549" t="inlineStr">
        <is>
          <t>млн куб.м</t>
        </is>
      </c>
    </row>
    <row r="884" ht="20.1" customHeight="1" s="904">
      <c r="A884" s="545" t="n"/>
      <c r="B884" s="909" t="n"/>
      <c r="C884" s="903" t="inlineStr">
        <is>
          <t>Нестабильный газовый конденсат</t>
        </is>
      </c>
      <c r="D884" s="15" t="n"/>
      <c r="E884" s="15" t="n"/>
      <c r="F884" s="16" t="n"/>
      <c r="G884" s="17" t="inlineStr">
        <is>
          <t>16_100330865</t>
        </is>
      </c>
      <c r="H884" s="636" t="n"/>
      <c r="I884" s="17" t="n"/>
      <c r="J884" s="554" t="inlineStr">
        <is>
          <t>тыс.т.</t>
        </is>
      </c>
    </row>
    <row r="885" ht="20.1" customHeight="1" s="904">
      <c r="A885" s="545" t="n"/>
      <c r="B885" s="909" t="n"/>
      <c r="C885" s="59" t="inlineStr">
        <is>
          <t>в т.ч. нестабильный газовый конденсат из СОГ</t>
        </is>
      </c>
      <c r="D885" s="15" t="n"/>
      <c r="E885" s="15" t="n"/>
      <c r="F885" s="16" t="n"/>
      <c r="G885" s="17" t="inlineStr">
        <is>
          <t>16_100337098</t>
        </is>
      </c>
      <c r="H885" s="636" t="n"/>
      <c r="I885" s="17" t="n"/>
      <c r="J885" s="549" t="inlineStr">
        <is>
          <t>тыс.т.</t>
        </is>
      </c>
    </row>
    <row r="886" ht="20.1" customHeight="1" s="904">
      <c r="A886" s="545" t="n"/>
      <c r="B886" s="909" t="n"/>
      <c r="C886" s="903" t="inlineStr">
        <is>
          <t>Нефть</t>
        </is>
      </c>
      <c r="D886" s="15" t="n"/>
      <c r="E886" s="15" t="n"/>
      <c r="F886" s="16" t="n"/>
      <c r="G886" s="17" t="inlineStr">
        <is>
          <t>16_100336332</t>
        </is>
      </c>
      <c r="H886" s="636" t="n"/>
      <c r="I886" s="17" t="n"/>
      <c r="J886" s="554" t="inlineStr">
        <is>
          <t>тыс.т.</t>
        </is>
      </c>
    </row>
    <row r="887" ht="20.1" customHeight="1" s="904">
      <c r="A887" s="545" t="n"/>
      <c r="B887" s="909" t="n"/>
      <c r="C887" s="59" t="inlineStr">
        <is>
          <t>в т.ч. нефть из ПНГ</t>
        </is>
      </c>
      <c r="D887" s="15" t="n"/>
      <c r="E887" s="15" t="n"/>
      <c r="F887" s="16" t="n"/>
      <c r="G887" s="17" t="inlineStr">
        <is>
          <t>16_100336333</t>
        </is>
      </c>
      <c r="H887" s="636" t="n"/>
      <c r="I887" s="17" t="n"/>
      <c r="J887" s="554" t="inlineStr">
        <is>
          <t>тыс.т.</t>
        </is>
      </c>
    </row>
    <row r="888" ht="20.1" customHeight="1" s="904">
      <c r="A888" s="545" t="n"/>
      <c r="B888" s="909" t="n"/>
      <c r="C888" s="922" t="inlineStr">
        <is>
          <t>Справочно: СОГ на доппереработку с Казанского НГКМ на Мыльджинское НГКМ</t>
        </is>
      </c>
      <c r="D888" s="15" t="n"/>
      <c r="E888" s="15" t="n"/>
      <c r="F888" s="16" t="n"/>
      <c r="G888" s="17" t="inlineStr">
        <is>
          <t>16_100336369</t>
        </is>
      </c>
      <c r="H888" s="636" t="n"/>
      <c r="I888" s="17" t="n"/>
      <c r="J888" s="554" t="inlineStr">
        <is>
          <t>тыс.т.</t>
        </is>
      </c>
    </row>
    <row r="889" ht="20.1" customHeight="1" s="904">
      <c r="A889" s="545" t="n"/>
      <c r="B889" s="909" t="n"/>
      <c r="D889" s="15" t="n"/>
      <c r="E889" s="15" t="n"/>
      <c r="F889" s="16" t="n"/>
      <c r="G889" s="17" t="inlineStr">
        <is>
          <t>16_100336370</t>
        </is>
      </c>
      <c r="H889" s="636" t="n"/>
      <c r="I889" s="17" t="n"/>
      <c r="J889" s="24" t="inlineStr">
        <is>
          <t>млн куб.м</t>
        </is>
      </c>
    </row>
    <row r="890" ht="20.1" customHeight="1" s="904">
      <c r="A890" s="545" t="n"/>
      <c r="B890" s="909" t="inlineStr">
        <is>
          <t>1.2</t>
        </is>
      </c>
      <c r="C890" s="908" t="inlineStr">
        <is>
          <t>Покупка сырья  ПАО "Газпром нефть"</t>
        </is>
      </c>
      <c r="D890" s="15" t="n"/>
      <c r="E890" s="15" t="n"/>
      <c r="F890" s="16" t="n"/>
      <c r="G890" s="17" t="inlineStr">
        <is>
          <t>16_100332993</t>
        </is>
      </c>
      <c r="H890" s="636" t="n"/>
      <c r="I890" s="17" t="n"/>
      <c r="J890" s="578" t="inlineStr">
        <is>
          <t>тыс.т.</t>
        </is>
      </c>
    </row>
    <row r="891" ht="20.1" customHeight="1" s="904">
      <c r="A891" s="545" t="n"/>
      <c r="D891" s="15" t="n"/>
      <c r="E891" s="15" t="n"/>
      <c r="F891" s="16" t="n"/>
      <c r="G891" s="17" t="inlineStr">
        <is>
          <t>16_100332994</t>
        </is>
      </c>
      <c r="H891" s="636" t="n"/>
      <c r="I891" s="17" t="n"/>
      <c r="J891" s="549" t="inlineStr">
        <is>
          <t>млн куб.м</t>
        </is>
      </c>
    </row>
    <row r="892" ht="20.1" customHeight="1" s="904">
      <c r="A892" s="545" t="n"/>
      <c r="B892" s="909" t="n"/>
      <c r="C892" s="903" t="inlineStr">
        <is>
          <t>Попутный нефтяной газ</t>
        </is>
      </c>
      <c r="D892" s="15" t="n"/>
      <c r="E892" s="15" t="n"/>
      <c r="F892" s="16" t="n"/>
      <c r="G892" s="17" t="inlineStr">
        <is>
          <t>16_100336365</t>
        </is>
      </c>
      <c r="H892" s="636" t="n"/>
      <c r="I892" s="17" t="n"/>
      <c r="J892" s="549" t="inlineStr">
        <is>
          <t>тыс.т.</t>
        </is>
      </c>
    </row>
    <row r="893" ht="20.1" customHeight="1" s="904">
      <c r="A893" s="545" t="n"/>
      <c r="B893" s="909" t="n"/>
      <c r="D893" s="15" t="n"/>
      <c r="E893" s="15" t="n"/>
      <c r="F893" s="16" t="n"/>
      <c r="G893" s="17" t="inlineStr">
        <is>
          <t>16_100336366</t>
        </is>
      </c>
      <c r="H893" s="636" t="n"/>
      <c r="I893" s="17" t="n"/>
      <c r="J893" s="24" t="inlineStr">
        <is>
          <t>млн куб.м</t>
        </is>
      </c>
    </row>
    <row r="894" ht="20.1" customHeight="1" s="904">
      <c r="A894" s="545" t="n"/>
      <c r="B894" s="909" t="inlineStr">
        <is>
          <t>1.3</t>
        </is>
      </c>
      <c r="C894" s="908" t="inlineStr">
        <is>
          <t>Прием сырья на процессинг от ПАО "Газпром нефть"</t>
        </is>
      </c>
      <c r="D894" s="15" t="n"/>
      <c r="E894" s="15" t="n"/>
      <c r="F894" s="16" t="n"/>
      <c r="G894" s="17" t="inlineStr">
        <is>
          <t>16_100332341</t>
        </is>
      </c>
      <c r="H894" s="636" t="n"/>
      <c r="I894" s="17" t="n"/>
      <c r="J894" s="578" t="inlineStr">
        <is>
          <t>тыс.т.</t>
        </is>
      </c>
    </row>
    <row r="895" ht="20.1" customHeight="1" s="904">
      <c r="A895" s="545" t="n"/>
      <c r="D895" s="15" t="n"/>
      <c r="E895" s="15" t="n"/>
      <c r="F895" s="16" t="n"/>
      <c r="G895" s="17" t="inlineStr">
        <is>
          <t>16_100330743</t>
        </is>
      </c>
      <c r="H895" s="636" t="n"/>
      <c r="I895" s="17" t="n"/>
      <c r="J895" s="549" t="inlineStr">
        <is>
          <t>млн куб.м</t>
        </is>
      </c>
    </row>
    <row r="896" ht="20.1" customHeight="1" s="904">
      <c r="A896" s="545" t="n"/>
      <c r="B896" s="909" t="n"/>
      <c r="C896" s="903" t="inlineStr">
        <is>
          <t>Попутный нефтяной газ</t>
        </is>
      </c>
      <c r="D896" s="15" t="n"/>
      <c r="E896" s="15" t="n"/>
      <c r="F896" s="16" t="n"/>
      <c r="G896" s="17" t="inlineStr">
        <is>
          <t>16_100336367</t>
        </is>
      </c>
      <c r="H896" s="636" t="n"/>
      <c r="I896" s="17" t="n"/>
      <c r="J896" s="549" t="inlineStr">
        <is>
          <t>тыс.т.</t>
        </is>
      </c>
    </row>
    <row r="897" ht="20.1" customHeight="1" s="904">
      <c r="A897" s="545" t="n"/>
      <c r="B897" s="909" t="n"/>
      <c r="D897" s="15" t="n"/>
      <c r="E897" s="15" t="n"/>
      <c r="F897" s="16" t="n"/>
      <c r="G897" s="17" t="inlineStr">
        <is>
          <t>16_100336368</t>
        </is>
      </c>
      <c r="H897" s="636" t="n"/>
      <c r="I897" s="17" t="n"/>
      <c r="J897" s="24" t="inlineStr">
        <is>
          <t>млн куб.м</t>
        </is>
      </c>
    </row>
    <row r="898" ht="20.1" customHeight="1" s="904">
      <c r="A898" s="545" t="n"/>
      <c r="B898" s="909" t="inlineStr">
        <is>
          <t>1.4</t>
        </is>
      </c>
      <c r="C898" s="908" t="inlineStr">
        <is>
          <t>Технологические нужды</t>
        </is>
      </c>
      <c r="D898" s="15" t="n"/>
      <c r="E898" s="15" t="n"/>
      <c r="F898" s="16" t="n"/>
      <c r="G898" s="17" t="inlineStr">
        <is>
          <t>16_100336334</t>
        </is>
      </c>
      <c r="H898" s="636" t="n"/>
      <c r="I898" s="17" t="n"/>
      <c r="J898" s="549" t="inlineStr">
        <is>
          <t>тыс.т.</t>
        </is>
      </c>
    </row>
    <row r="899" ht="20.1" customHeight="1" s="904">
      <c r="A899" s="545" t="n"/>
      <c r="B899" s="909" t="n"/>
      <c r="C899" s="903" t="inlineStr">
        <is>
          <t>Потери при хранении в РВС</t>
        </is>
      </c>
      <c r="D899" s="15" t="n"/>
      <c r="E899" s="15" t="n"/>
      <c r="F899" s="16" t="n"/>
      <c r="G899" s="17" t="inlineStr">
        <is>
          <t>16_100336335</t>
        </is>
      </c>
      <c r="H899" s="636" t="n"/>
      <c r="I899" s="17" t="n"/>
      <c r="J899" s="549" t="inlineStr">
        <is>
          <t>тыс.т.</t>
        </is>
      </c>
    </row>
    <row r="900" ht="20.1" customHeight="1" s="904">
      <c r="A900" s="545" t="n"/>
      <c r="B900" s="909" t="n"/>
      <c r="C900" s="903" t="inlineStr">
        <is>
          <t>СТН газа</t>
        </is>
      </c>
      <c r="D900" s="15" t="n"/>
      <c r="E900" s="15" t="n"/>
      <c r="F900" s="16" t="n"/>
      <c r="G900" s="17" t="inlineStr">
        <is>
          <t>16_100336336</t>
        </is>
      </c>
      <c r="H900" s="636" t="n"/>
      <c r="I900" s="17" t="n"/>
      <c r="J900" s="549" t="inlineStr">
        <is>
          <t>тыс.т.</t>
        </is>
      </c>
    </row>
    <row r="901" ht="20.1" customHeight="1" s="904">
      <c r="A901" s="545" t="n"/>
      <c r="B901" s="909" t="n"/>
      <c r="D901" s="15" t="n"/>
      <c r="E901" s="15" t="n"/>
      <c r="F901" s="16" t="n"/>
      <c r="G901" s="17" t="inlineStr">
        <is>
          <t>16_100336337</t>
        </is>
      </c>
      <c r="H901" s="636" t="n"/>
      <c r="I901" s="17" t="n"/>
      <c r="J901" s="24" t="inlineStr">
        <is>
          <t>млн куб.м</t>
        </is>
      </c>
    </row>
    <row r="902" ht="20.1" customHeight="1" s="904">
      <c r="A902" s="545" t="n"/>
      <c r="B902" s="909" t="inlineStr">
        <is>
          <t>2</t>
        </is>
      </c>
      <c r="C902" s="58" t="inlineStr">
        <is>
          <t xml:space="preserve">ПРОДУКЦИЯ </t>
        </is>
      </c>
      <c r="D902" s="15" t="n"/>
      <c r="E902" s="15" t="n"/>
      <c r="F902" s="16" t="n"/>
      <c r="G902" s="17" t="inlineStr">
        <is>
          <t>16_100330049</t>
        </is>
      </c>
      <c r="H902" s="636" t="n"/>
      <c r="I902" s="17" t="n"/>
      <c r="J902" s="24" t="inlineStr">
        <is>
          <t>тыс.т.</t>
        </is>
      </c>
    </row>
    <row r="903" ht="20.1" customHeight="1" s="904">
      <c r="A903" s="545" t="n"/>
      <c r="B903" s="909" t="inlineStr">
        <is>
          <t>2.1</t>
        </is>
      </c>
      <c r="C903" s="908" t="inlineStr">
        <is>
          <t>Стабильный конденсат и нефть, всего:</t>
        </is>
      </c>
      <c r="D903" s="15" t="n"/>
      <c r="E903" s="15" t="n"/>
      <c r="F903" s="16" t="n"/>
      <c r="G903" s="17" t="inlineStr">
        <is>
          <t>16_100330745</t>
        </is>
      </c>
      <c r="H903" s="636" t="n"/>
      <c r="I903" s="17" t="n"/>
      <c r="J903" s="549" t="inlineStr">
        <is>
          <t>тыс.т.</t>
        </is>
      </c>
    </row>
    <row r="904" ht="20.1" customHeight="1" s="904">
      <c r="A904" s="545" t="n"/>
      <c r="B904" s="909" t="n"/>
      <c r="C904" s="903" t="inlineStr">
        <is>
          <t>нефть  АО "Газпром добыча Томск"</t>
        </is>
      </c>
      <c r="D904" s="15" t="n"/>
      <c r="E904" s="15" t="n"/>
      <c r="F904" s="16" t="n"/>
      <c r="G904" s="17" t="inlineStr">
        <is>
          <t>16_100336338</t>
        </is>
      </c>
      <c r="H904" s="636" t="n"/>
      <c r="I904" s="17" t="n"/>
      <c r="J904" s="549" t="inlineStr">
        <is>
          <t>тыс.т.</t>
        </is>
      </c>
    </row>
    <row r="905" ht="20.1" customHeight="1" s="904">
      <c r="A905" s="545" t="n"/>
      <c r="B905" s="909" t="n"/>
      <c r="C905" s="903" t="inlineStr">
        <is>
          <t>стабильный конденсат АО "Газпром добыча Томск"</t>
        </is>
      </c>
      <c r="D905" s="15" t="n"/>
      <c r="E905" s="15" t="n"/>
      <c r="F905" s="16" t="n"/>
      <c r="G905" s="17" t="inlineStr">
        <is>
          <t>16_100330746</t>
        </is>
      </c>
      <c r="H905" s="636" t="n"/>
      <c r="I905" s="17" t="n"/>
      <c r="J905" s="549" t="inlineStr">
        <is>
          <t>тыс.т.</t>
        </is>
      </c>
    </row>
    <row r="906" ht="20.1" customHeight="1" s="904">
      <c r="A906" s="545" t="n"/>
      <c r="B906" s="909" t="n"/>
      <c r="C906" s="903" t="inlineStr">
        <is>
          <t>в т.ч. из сырья ПАО "Газпром нефть" (покупка газа)</t>
        </is>
      </c>
      <c r="D906" s="15" t="n"/>
      <c r="E906" s="15" t="n"/>
      <c r="F906" s="16" t="n"/>
      <c r="G906" s="17" t="inlineStr">
        <is>
          <t>16_100332995</t>
        </is>
      </c>
      <c r="H906" s="636" t="n"/>
      <c r="I906" s="17" t="n"/>
      <c r="J906" s="549" t="inlineStr">
        <is>
          <t>тыс.т.</t>
        </is>
      </c>
    </row>
    <row r="907" ht="37.5" customHeight="1" s="904">
      <c r="A907" s="545" t="n"/>
      <c r="B907" s="909" t="n"/>
      <c r="C907" s="903" t="inlineStr">
        <is>
          <t>в т.ч. из сырья ПАО "Газпром нефть" (переработка газа)</t>
        </is>
      </c>
      <c r="D907" s="15" t="n"/>
      <c r="E907" s="15" t="n"/>
      <c r="F907" s="16" t="n"/>
      <c r="G907" s="17" t="inlineStr">
        <is>
          <t>16_100332899</t>
        </is>
      </c>
      <c r="H907" s="636" t="n"/>
      <c r="I907" s="17" t="n"/>
      <c r="J907" s="615" t="inlineStr">
        <is>
          <t>тыс.т.</t>
        </is>
      </c>
    </row>
    <row r="908" ht="35.1" customHeight="1" s="904">
      <c r="A908" s="545" t="n"/>
      <c r="B908" s="909" t="inlineStr">
        <is>
          <t>2.2</t>
        </is>
      </c>
      <c r="C908" s="912" t="inlineStr">
        <is>
          <t>Стабильный конденсат и нефть, товарные
 (собст. АО "Газпром добыча Томск")</t>
        </is>
      </c>
      <c r="D908" s="15" t="n"/>
      <c r="E908" s="15" t="n"/>
      <c r="F908" s="16" t="n"/>
      <c r="G908" s="17" t="inlineStr">
        <is>
          <t>16_100330747</t>
        </is>
      </c>
      <c r="H908" s="636" t="n"/>
      <c r="I908" s="17" t="n"/>
      <c r="J908" s="549" t="inlineStr">
        <is>
          <t>тыс.т.</t>
        </is>
      </c>
    </row>
    <row r="909" ht="20.1" customHeight="1" s="904">
      <c r="A909" s="545" t="n"/>
      <c r="B909" s="909" t="n"/>
      <c r="C909" s="914" t="inlineStr">
        <is>
          <t>нефть  АО "Газпром добыча Томск"</t>
        </is>
      </c>
      <c r="D909" s="15" t="n"/>
      <c r="E909" s="15" t="n"/>
      <c r="F909" s="16" t="n"/>
      <c r="G909" s="17" t="inlineStr">
        <is>
          <t>16_100336339</t>
        </is>
      </c>
      <c r="H909" s="636" t="n"/>
      <c r="I909" s="17" t="n"/>
      <c r="J909" s="549" t="inlineStr">
        <is>
          <t>тыс.т.</t>
        </is>
      </c>
    </row>
    <row r="910" ht="20.1" customHeight="1" s="904">
      <c r="A910" s="545" t="n"/>
      <c r="B910" s="909" t="n"/>
      <c r="C910" s="914" t="inlineStr">
        <is>
          <t>стабильный конденсат АО "Газпром добыча Томск"</t>
        </is>
      </c>
      <c r="D910" s="15" t="n"/>
      <c r="E910" s="15" t="n"/>
      <c r="F910" s="16" t="n"/>
      <c r="G910" s="17" t="inlineStr">
        <is>
          <t>16_100336340</t>
        </is>
      </c>
      <c r="H910" s="636" t="n"/>
      <c r="I910" s="17" t="n"/>
      <c r="J910" s="549" t="inlineStr">
        <is>
          <t>тыс.т.</t>
        </is>
      </c>
    </row>
    <row r="911" ht="20.1" customHeight="1" s="904">
      <c r="A911" s="545" t="n"/>
      <c r="B911" s="909" t="n"/>
      <c r="C911" s="903" t="inlineStr">
        <is>
          <t>в т.ч. из сырья ПАО "Газпром нефть" (покупка газа)</t>
        </is>
      </c>
      <c r="D911" s="15" t="n"/>
      <c r="E911" s="15" t="n"/>
      <c r="F911" s="16" t="n"/>
      <c r="G911" s="17" t="inlineStr">
        <is>
          <t>16_100332996</t>
        </is>
      </c>
      <c r="H911" s="636" t="n"/>
      <c r="I911" s="17" t="n"/>
      <c r="J911" s="549" t="inlineStr">
        <is>
          <t>тыс.т.</t>
        </is>
      </c>
    </row>
    <row r="912" ht="20.1" customHeight="1" s="904">
      <c r="A912" s="545" t="n"/>
      <c r="B912" s="909" t="n"/>
      <c r="C912" s="903" t="inlineStr">
        <is>
          <t>в т.ч. из сырья ПАО "Газпром нефть" (переработка газа)</t>
        </is>
      </c>
      <c r="D912" s="15" t="n"/>
      <c r="E912" s="15" t="n"/>
      <c r="F912" s="16" t="n"/>
      <c r="G912" s="17" t="inlineStr">
        <is>
          <t>16_100332900</t>
        </is>
      </c>
      <c r="H912" s="636" t="n"/>
      <c r="I912" s="17" t="n"/>
      <c r="J912" s="615" t="inlineStr">
        <is>
          <t>тыс.т.</t>
        </is>
      </c>
    </row>
    <row r="913" ht="20.1" customHeight="1" s="904">
      <c r="A913" s="545" t="n"/>
      <c r="B913" s="909" t="inlineStr">
        <is>
          <t>2.3</t>
        </is>
      </c>
      <c r="C913" s="908" t="inlineStr">
        <is>
          <t xml:space="preserve">ШФЛУ валовая </t>
        </is>
      </c>
      <c r="D913" s="15" t="n"/>
      <c r="E913" s="15" t="n"/>
      <c r="F913" s="16" t="n"/>
      <c r="G913" s="17" t="inlineStr">
        <is>
          <t>16_100332901</t>
        </is>
      </c>
      <c r="H913" s="636" t="n"/>
      <c r="I913" s="17" t="n"/>
      <c r="J913" s="578" t="inlineStr">
        <is>
          <t>тыс.т.</t>
        </is>
      </c>
    </row>
    <row r="914" ht="20.1" customHeight="1" s="904">
      <c r="A914" s="545" t="n"/>
      <c r="D914" s="15" t="n"/>
      <c r="E914" s="15" t="n"/>
      <c r="F914" s="16" t="n"/>
      <c r="G914" s="17" t="inlineStr">
        <is>
          <t>16_100336342</t>
        </is>
      </c>
      <c r="H914" s="636" t="n"/>
      <c r="I914" s="17" t="n"/>
      <c r="J914" s="549" t="inlineStr">
        <is>
          <t>млн куб.м</t>
        </is>
      </c>
    </row>
    <row r="915" ht="20.1" customHeight="1" s="904">
      <c r="A915" s="545" t="n"/>
      <c r="B915" s="909" t="n"/>
      <c r="C915" s="903" t="inlineStr">
        <is>
          <t>в т.ч. из НГК</t>
        </is>
      </c>
      <c r="D915" s="15" t="n"/>
      <c r="E915" s="15" t="n"/>
      <c r="F915" s="16" t="n"/>
      <c r="G915" s="17" t="inlineStr">
        <is>
          <t>16_100336343</t>
        </is>
      </c>
      <c r="H915" s="636" t="n"/>
      <c r="I915" s="17" t="n"/>
      <c r="J915" s="549" t="inlineStr">
        <is>
          <t>тыс.т.</t>
        </is>
      </c>
    </row>
    <row r="916" ht="20.1" customHeight="1" s="904">
      <c r="A916" s="545" t="n"/>
      <c r="B916" s="909" t="n"/>
      <c r="D916" s="15" t="n"/>
      <c r="E916" s="15" t="n"/>
      <c r="F916" s="16" t="n"/>
      <c r="G916" s="17" t="inlineStr">
        <is>
          <t>16_100336344</t>
        </is>
      </c>
      <c r="H916" s="636" t="n"/>
      <c r="I916" s="17" t="n"/>
      <c r="J916" s="549" t="inlineStr">
        <is>
          <t>млн куб.м</t>
        </is>
      </c>
    </row>
    <row r="917" ht="20.1" customHeight="1" s="904">
      <c r="A917" s="545" t="n"/>
      <c r="B917" s="909" t="n"/>
      <c r="C917" s="903" t="inlineStr">
        <is>
          <t>в т.ч. из ПНГ</t>
        </is>
      </c>
      <c r="D917" s="15" t="n"/>
      <c r="E917" s="15" t="n"/>
      <c r="F917" s="16" t="n"/>
      <c r="G917" s="17" t="inlineStr">
        <is>
          <t>16_100336345</t>
        </is>
      </c>
      <c r="H917" s="636" t="n"/>
      <c r="I917" s="17" t="n"/>
      <c r="J917" s="549" t="inlineStr">
        <is>
          <t>тыс.т.</t>
        </is>
      </c>
    </row>
    <row r="918" ht="20.1" customHeight="1" s="904">
      <c r="A918" s="545" t="n"/>
      <c r="B918" s="909" t="n"/>
      <c r="D918" s="15" t="n"/>
      <c r="E918" s="15" t="n"/>
      <c r="F918" s="16" t="n"/>
      <c r="G918" s="17" t="inlineStr">
        <is>
          <t>16_100336346</t>
        </is>
      </c>
      <c r="H918" s="636" t="n"/>
      <c r="I918" s="17" t="n"/>
      <c r="J918" s="549" t="inlineStr">
        <is>
          <t>млн куб.м</t>
        </is>
      </c>
    </row>
    <row r="919" ht="20.1" customHeight="1" s="904">
      <c r="A919" s="545" t="n"/>
      <c r="B919" s="909" t="n"/>
      <c r="C919" s="903" t="inlineStr">
        <is>
          <t>в т.ч из сырья ПАО "Газпром нефть" (покупка газа)</t>
        </is>
      </c>
      <c r="D919" s="15" t="n"/>
      <c r="E919" s="15" t="n"/>
      <c r="F919" s="16" t="n"/>
      <c r="G919" s="17" t="inlineStr">
        <is>
          <t>16_100332997</t>
        </is>
      </c>
      <c r="H919" s="636" t="n"/>
      <c r="I919" s="17" t="n"/>
      <c r="J919" s="549" t="inlineStr">
        <is>
          <t>тыс.т.</t>
        </is>
      </c>
    </row>
    <row r="920" ht="20.1" customHeight="1" s="904">
      <c r="A920" s="545" t="n"/>
      <c r="B920" s="909" t="n"/>
      <c r="D920" s="15" t="n"/>
      <c r="E920" s="15" t="n"/>
      <c r="F920" s="16" t="n"/>
      <c r="G920" s="17" t="inlineStr">
        <is>
          <t>16_100336348</t>
        </is>
      </c>
      <c r="H920" s="636" t="n"/>
      <c r="I920" s="17" t="n"/>
      <c r="J920" s="549" t="inlineStr">
        <is>
          <t>млн куб.м</t>
        </is>
      </c>
    </row>
    <row r="921" ht="20.1" customHeight="1" s="904">
      <c r="A921" s="545" t="n"/>
      <c r="B921" s="909" t="n"/>
      <c r="C921" s="903" t="inlineStr">
        <is>
          <t>в т.ч. из сырья ПАО "Газпром нефть" (переработка газа)</t>
        </is>
      </c>
      <c r="D921" s="15" t="n"/>
      <c r="E921" s="15" t="n"/>
      <c r="F921" s="16" t="n"/>
      <c r="G921" s="17" t="inlineStr">
        <is>
          <t>16_100332902</t>
        </is>
      </c>
      <c r="H921" s="636" t="n"/>
      <c r="I921" s="17" t="n"/>
      <c r="J921" s="549" t="inlineStr">
        <is>
          <t>тыс.т.</t>
        </is>
      </c>
    </row>
    <row r="922" ht="20.1" customHeight="1" s="904">
      <c r="A922" s="545" t="n"/>
      <c r="B922" s="909" t="n"/>
      <c r="D922" s="15" t="n"/>
      <c r="E922" s="15" t="n"/>
      <c r="F922" s="16" t="n"/>
      <c r="G922" s="17" t="inlineStr">
        <is>
          <t>16_100336347</t>
        </is>
      </c>
      <c r="H922" s="636" t="n"/>
      <c r="I922" s="17" t="n"/>
      <c r="J922" s="615" t="inlineStr">
        <is>
          <t>млн куб.м</t>
        </is>
      </c>
    </row>
    <row r="923" ht="20.1" customHeight="1" s="904">
      <c r="A923" s="545" t="n"/>
      <c r="B923" s="909" t="inlineStr">
        <is>
          <t>2.4</t>
        </is>
      </c>
      <c r="C923" s="908" t="inlineStr">
        <is>
          <t>ШФЛУ, товарная в газопровод 
(собст. АО "Газпром добыча Томск")</t>
        </is>
      </c>
      <c r="D923" s="15" t="n"/>
      <c r="E923" s="15" t="n"/>
      <c r="F923" s="16" t="n"/>
      <c r="G923" s="17" t="inlineStr">
        <is>
          <t>16_100332904</t>
        </is>
      </c>
      <c r="H923" s="636" t="n"/>
      <c r="I923" s="17" t="n"/>
      <c r="J923" s="578" t="inlineStr">
        <is>
          <t>тыс.т.</t>
        </is>
      </c>
    </row>
    <row r="924" ht="20.1" customHeight="1" s="904">
      <c r="A924" s="545" t="n"/>
      <c r="D924" s="15" t="n"/>
      <c r="E924" s="15" t="n"/>
      <c r="F924" s="16" t="n"/>
      <c r="G924" s="17" t="inlineStr">
        <is>
          <t>16_100332905</t>
        </is>
      </c>
      <c r="H924" s="636" t="n"/>
      <c r="I924" s="17" t="n"/>
      <c r="J924" s="549" t="inlineStr">
        <is>
          <t>млн куб.м</t>
        </is>
      </c>
    </row>
    <row r="925" ht="20.1" customHeight="1" s="904">
      <c r="A925" s="545" t="n"/>
      <c r="B925" s="909" t="n"/>
      <c r="C925" s="903" t="inlineStr">
        <is>
          <t>в т.ч. из НГК</t>
        </is>
      </c>
      <c r="D925" s="15" t="n"/>
      <c r="E925" s="15" t="n"/>
      <c r="F925" s="16" t="n"/>
      <c r="G925" s="17" t="inlineStr">
        <is>
          <t>16_100336349</t>
        </is>
      </c>
      <c r="H925" s="636" t="n"/>
      <c r="I925" s="17" t="n"/>
      <c r="J925" s="549" t="inlineStr">
        <is>
          <t>тыс.т.</t>
        </is>
      </c>
    </row>
    <row r="926" ht="20.1" customHeight="1" s="904">
      <c r="A926" s="545" t="n"/>
      <c r="B926" s="909" t="n"/>
      <c r="D926" s="15" t="n"/>
      <c r="E926" s="15" t="n"/>
      <c r="F926" s="16" t="n"/>
      <c r="G926" s="17" t="inlineStr">
        <is>
          <t>16_100336350</t>
        </is>
      </c>
      <c r="H926" s="636" t="n"/>
      <c r="I926" s="17" t="n"/>
      <c r="J926" s="549" t="inlineStr">
        <is>
          <t>млн куб.м</t>
        </is>
      </c>
    </row>
    <row r="927" ht="20.1" customHeight="1" s="904">
      <c r="A927" s="545" t="n"/>
      <c r="B927" s="909" t="n"/>
      <c r="C927" s="903" t="inlineStr">
        <is>
          <t>в т.ч. из ПНГ</t>
        </is>
      </c>
      <c r="D927" s="15" t="n"/>
      <c r="E927" s="15" t="n"/>
      <c r="F927" s="16" t="n"/>
      <c r="G927" s="17" t="inlineStr">
        <is>
          <t>16_100336351</t>
        </is>
      </c>
      <c r="H927" s="636" t="n"/>
      <c r="I927" s="17" t="n"/>
      <c r="J927" s="549" t="inlineStr">
        <is>
          <t>тыс.т.</t>
        </is>
      </c>
    </row>
    <row r="928" ht="20.1" customHeight="1" s="904">
      <c r="A928" s="545" t="n"/>
      <c r="B928" s="909" t="n"/>
      <c r="D928" s="15" t="n"/>
      <c r="E928" s="15" t="n"/>
      <c r="F928" s="16" t="n"/>
      <c r="G928" s="17" t="inlineStr">
        <is>
          <t>16_100336352</t>
        </is>
      </c>
      <c r="H928" s="636" t="n"/>
      <c r="I928" s="17" t="n"/>
      <c r="J928" s="549" t="inlineStr">
        <is>
          <t>млн куб.м</t>
        </is>
      </c>
    </row>
    <row r="929" ht="20.1" customHeight="1" s="904">
      <c r="A929" s="545" t="n"/>
      <c r="B929" s="909" t="n"/>
      <c r="C929" s="903" t="inlineStr">
        <is>
          <t>в т.ч из сырья ПАО "Газпром нефть" (покупка газа)</t>
        </is>
      </c>
      <c r="D929" s="15" t="n"/>
      <c r="E929" s="15" t="n"/>
      <c r="F929" s="16" t="n"/>
      <c r="G929" s="17" t="inlineStr">
        <is>
          <t>16_100332999</t>
        </is>
      </c>
      <c r="H929" s="636" t="n"/>
      <c r="I929" s="17" t="n"/>
      <c r="J929" s="549" t="inlineStr">
        <is>
          <t>тыс.т.</t>
        </is>
      </c>
    </row>
    <row r="930" ht="20.1" customHeight="1" s="904">
      <c r="A930" s="545" t="n"/>
      <c r="B930" s="909" t="n"/>
      <c r="D930" s="15" t="n"/>
      <c r="E930" s="15" t="n"/>
      <c r="F930" s="16" t="n"/>
      <c r="G930" s="17" t="inlineStr">
        <is>
          <t>16_100333000</t>
        </is>
      </c>
      <c r="H930" s="636" t="n"/>
      <c r="I930" s="17" t="n"/>
      <c r="J930" s="549" t="inlineStr">
        <is>
          <t>млн куб.м</t>
        </is>
      </c>
    </row>
    <row r="931" ht="20.1" customHeight="1" s="904">
      <c r="A931" s="545" t="n"/>
      <c r="B931" s="909" t="n"/>
      <c r="C931" s="903" t="inlineStr">
        <is>
          <t>в т.ч. из сырья ПАО "Газпром нефть" (переработка газа)</t>
        </is>
      </c>
      <c r="D931" s="15" t="n"/>
      <c r="E931" s="15" t="n"/>
      <c r="F931" s="16" t="n"/>
      <c r="G931" s="17" t="inlineStr">
        <is>
          <t>16_100332934</t>
        </is>
      </c>
      <c r="H931" s="636" t="n"/>
      <c r="I931" s="17" t="n"/>
      <c r="J931" s="549" t="inlineStr">
        <is>
          <t>тыс.т.</t>
        </is>
      </c>
    </row>
    <row r="932" ht="42.75" customHeight="1" s="904">
      <c r="A932" s="545" t="n"/>
      <c r="B932" s="909" t="n"/>
      <c r="D932" s="15" t="n"/>
      <c r="E932" s="15" t="n"/>
      <c r="F932" s="16" t="n"/>
      <c r="G932" s="17" t="inlineStr">
        <is>
          <t>16_100332935</t>
        </is>
      </c>
      <c r="H932" s="636" t="n"/>
      <c r="I932" s="17" t="n"/>
      <c r="J932" s="615" t="inlineStr">
        <is>
          <t>млн куб.м</t>
        </is>
      </c>
    </row>
    <row r="933" ht="39" customHeight="1" s="904">
      <c r="A933" s="545" t="n"/>
      <c r="B933" s="909" t="inlineStr">
        <is>
          <t>2.5</t>
        </is>
      </c>
      <c r="C933" s="908" t="inlineStr">
        <is>
          <t>Расход ШФЛУ на СТН (собст. АО "Газпром добыча Томск")</t>
        </is>
      </c>
      <c r="D933" s="15" t="n"/>
      <c r="E933" s="15" t="n"/>
      <c r="F933" s="16" t="n"/>
      <c r="G933" s="17" t="inlineStr">
        <is>
          <t>16_100336353</t>
        </is>
      </c>
      <c r="H933" s="636" t="n"/>
      <c r="I933" s="17" t="n"/>
      <c r="J933" s="615" t="inlineStr">
        <is>
          <t>тыс.т.</t>
        </is>
      </c>
    </row>
    <row r="934" ht="35.1" customHeight="1" s="904">
      <c r="A934" s="545" t="n"/>
      <c r="B934" s="909" t="inlineStr">
        <is>
          <t>2.6</t>
        </is>
      </c>
      <c r="C934" s="908" t="inlineStr">
        <is>
          <t>Газы углеводородные сжиженные (СПБТ) 
(собст. АО "Газпром добыча Томск")</t>
        </is>
      </c>
      <c r="D934" s="15" t="n"/>
      <c r="E934" s="15" t="n"/>
      <c r="F934" s="16" t="n"/>
      <c r="G934" s="17" t="inlineStr">
        <is>
          <t>16_100330748</t>
        </is>
      </c>
      <c r="H934" s="636" t="n"/>
      <c r="I934" s="17" t="n"/>
      <c r="J934" s="549" t="inlineStr">
        <is>
          <t>тыс.т.</t>
        </is>
      </c>
    </row>
    <row r="935" ht="20.1" customHeight="1" s="904">
      <c r="A935" s="545" t="n"/>
      <c r="B935" s="909" t="n"/>
      <c r="C935" s="903" t="inlineStr">
        <is>
          <t>в т.ч. из НГК</t>
        </is>
      </c>
      <c r="D935" s="15" t="n"/>
      <c r="E935" s="15" t="n"/>
      <c r="F935" s="16" t="n"/>
      <c r="G935" s="17" t="inlineStr">
        <is>
          <t>16_100336354</t>
        </is>
      </c>
      <c r="H935" s="636" t="n"/>
      <c r="I935" s="17" t="n"/>
      <c r="J935" s="549" t="inlineStr">
        <is>
          <t>тыс.т.</t>
        </is>
      </c>
    </row>
    <row r="936" ht="20.1" customHeight="1" s="904">
      <c r="A936" s="545" t="n"/>
      <c r="B936" s="909" t="n"/>
      <c r="C936" s="903" t="inlineStr">
        <is>
          <t>в т.ч. из ПНГ</t>
        </is>
      </c>
      <c r="D936" s="15" t="n"/>
      <c r="E936" s="15" t="n"/>
      <c r="F936" s="16" t="n"/>
      <c r="G936" s="17" t="inlineStr">
        <is>
          <t>16_100336355</t>
        </is>
      </c>
      <c r="H936" s="636" t="n"/>
      <c r="I936" s="17" t="n"/>
      <c r="J936" s="549" t="inlineStr">
        <is>
          <t>тыс.т.</t>
        </is>
      </c>
    </row>
    <row r="937" ht="20.1" customHeight="1" s="904">
      <c r="A937" s="545" t="n"/>
      <c r="B937" s="909" t="n"/>
      <c r="C937" s="903" t="inlineStr">
        <is>
          <t>в т.ч. из сырья ПАО "Газпром нефть" (покупка газа)</t>
        </is>
      </c>
      <c r="D937" s="15" t="n"/>
      <c r="E937" s="15" t="n"/>
      <c r="F937" s="16" t="n"/>
      <c r="G937" s="17" t="inlineStr">
        <is>
          <t>16_100332998</t>
        </is>
      </c>
      <c r="H937" s="636" t="n"/>
      <c r="I937" s="17" t="n"/>
      <c r="J937" s="549" t="inlineStr">
        <is>
          <t>тыс.т.</t>
        </is>
      </c>
    </row>
    <row r="938" ht="20.1" customHeight="1" s="904">
      <c r="A938" s="545" t="n"/>
      <c r="B938" s="909" t="n"/>
      <c r="C938" s="903" t="inlineStr">
        <is>
          <t>в т.ч. из сырья ПАО "Газпром нефть" (переработка газа)</t>
        </is>
      </c>
      <c r="D938" s="15" t="n"/>
      <c r="E938" s="15" t="n"/>
      <c r="F938" s="16" t="n"/>
      <c r="G938" s="17" t="inlineStr">
        <is>
          <t>16_100332903</t>
        </is>
      </c>
      <c r="H938" s="636" t="n"/>
      <c r="I938" s="17" t="n"/>
      <c r="J938" s="615" t="inlineStr">
        <is>
          <t>тыс.т.</t>
        </is>
      </c>
    </row>
    <row r="939" ht="20.1" customHeight="1" s="904">
      <c r="A939" s="545" t="n"/>
      <c r="B939" s="909" t="inlineStr">
        <is>
          <t>2.7</t>
        </is>
      </c>
      <c r="C939" s="929" t="inlineStr">
        <is>
          <t>Газ деэтанизации (выработано)</t>
        </is>
      </c>
      <c r="D939" s="634" t="n"/>
      <c r="E939" s="634" t="n"/>
      <c r="F939" s="635" t="n"/>
      <c r="G939" s="776" t="inlineStr">
        <is>
          <t>16_100337158</t>
        </is>
      </c>
      <c r="H939" s="636" t="n"/>
      <c r="I939" s="636" t="n"/>
      <c r="J939" s="578" t="inlineStr">
        <is>
          <t>тыс.т.</t>
        </is>
      </c>
    </row>
    <row r="940" ht="20.1" customHeight="1" s="904">
      <c r="A940" s="545" t="n"/>
      <c r="D940" s="634" t="n"/>
      <c r="E940" s="634" t="n"/>
      <c r="F940" s="635" t="n"/>
      <c r="G940" s="776" t="inlineStr">
        <is>
          <t>16_100337159</t>
        </is>
      </c>
      <c r="H940" s="636" t="n"/>
      <c r="I940" s="636" t="n"/>
      <c r="J940" s="615" t="inlineStr">
        <is>
          <t>млн куб.м</t>
        </is>
      </c>
    </row>
    <row r="941" ht="20.1" customHeight="1" s="904">
      <c r="A941" s="545" t="n"/>
      <c r="B941" s="909" t="inlineStr">
        <is>
          <t>2.7.1</t>
        </is>
      </c>
      <c r="C941" s="928" t="inlineStr">
        <is>
          <t>собственность АО "Газпром добыча Томск"</t>
        </is>
      </c>
      <c r="D941" s="634" t="n"/>
      <c r="E941" s="634" t="n"/>
      <c r="F941" s="635" t="n"/>
      <c r="G941" s="776" t="inlineStr">
        <is>
          <t>16_100337160</t>
        </is>
      </c>
      <c r="H941" s="636" t="n"/>
      <c r="I941" s="636" t="n"/>
      <c r="J941" s="578" t="inlineStr">
        <is>
          <t>тыс.т.</t>
        </is>
      </c>
    </row>
    <row r="942" ht="20.1" customHeight="1" s="904">
      <c r="A942" s="545" t="n"/>
      <c r="D942" s="634" t="n"/>
      <c r="E942" s="634" t="n"/>
      <c r="F942" s="635" t="n"/>
      <c r="G942" s="776" t="inlineStr">
        <is>
          <t>16_100337161</t>
        </is>
      </c>
      <c r="H942" s="636" t="n"/>
      <c r="I942" s="636" t="n"/>
      <c r="J942" s="549" t="inlineStr">
        <is>
          <t>млн куб.м</t>
        </is>
      </c>
    </row>
    <row r="943" ht="20.1" customHeight="1" s="904">
      <c r="A943" s="545" t="n"/>
      <c r="B943" s="909" t="n"/>
      <c r="C943" s="927" t="inlineStr">
        <is>
          <t xml:space="preserve">   в т.ч. из НГК</t>
        </is>
      </c>
      <c r="D943" s="634" t="n"/>
      <c r="E943" s="634" t="n"/>
      <c r="F943" s="635" t="n"/>
      <c r="G943" s="776" t="inlineStr">
        <is>
          <t>16_100337162</t>
        </is>
      </c>
      <c r="H943" s="636" t="n"/>
      <c r="I943" s="636" t="n"/>
      <c r="J943" s="549" t="inlineStr">
        <is>
          <t>тыс.т.</t>
        </is>
      </c>
    </row>
    <row r="944" ht="20.1" customHeight="1" s="904">
      <c r="A944" s="545" t="n"/>
      <c r="B944" s="909" t="n"/>
      <c r="D944" s="634" t="n"/>
      <c r="E944" s="634" t="n"/>
      <c r="F944" s="635" t="n"/>
      <c r="G944" s="776" t="inlineStr">
        <is>
          <t>16_100337163</t>
        </is>
      </c>
      <c r="H944" s="636" t="n"/>
      <c r="I944" s="636" t="n"/>
      <c r="J944" s="549" t="inlineStr">
        <is>
          <t>млн куб.м</t>
        </is>
      </c>
    </row>
    <row r="945" ht="20.1" customHeight="1" s="904">
      <c r="A945" s="545" t="n"/>
      <c r="B945" s="909" t="n"/>
      <c r="C945" s="927" t="inlineStr">
        <is>
          <t xml:space="preserve">   в т.ч. из ПНГ</t>
        </is>
      </c>
      <c r="D945" s="634" t="n"/>
      <c r="E945" s="634" t="n"/>
      <c r="F945" s="635" t="n"/>
      <c r="G945" s="776" t="inlineStr">
        <is>
          <t>16_100337164</t>
        </is>
      </c>
      <c r="H945" s="636" t="n"/>
      <c r="I945" s="636" t="n"/>
      <c r="J945" s="549" t="inlineStr">
        <is>
          <t>тыс.т.</t>
        </is>
      </c>
    </row>
    <row r="946" ht="20.1" customHeight="1" s="904">
      <c r="A946" s="545" t="n"/>
      <c r="B946" s="909" t="n"/>
      <c r="D946" s="634" t="n"/>
      <c r="E946" s="634" t="n"/>
      <c r="F946" s="635" t="n"/>
      <c r="G946" s="776" t="inlineStr">
        <is>
          <t>16_100337165</t>
        </is>
      </c>
      <c r="H946" s="636" t="n"/>
      <c r="I946" s="636" t="n"/>
      <c r="J946" s="615" t="inlineStr">
        <is>
          <t>млн куб.м</t>
        </is>
      </c>
    </row>
    <row r="947" ht="20.1" customHeight="1" s="904">
      <c r="A947" s="545" t="n"/>
      <c r="B947" s="909" t="n"/>
      <c r="C947" s="930" t="inlineStr">
        <is>
          <t>в т.ч из сырья ПАО "Газпром нефть" (покупка газа)</t>
        </is>
      </c>
      <c r="D947" s="634" t="n"/>
      <c r="E947" s="634" t="n"/>
      <c r="F947" s="635" t="n"/>
      <c r="G947" s="776" t="inlineStr">
        <is>
          <t>16_100337166</t>
        </is>
      </c>
      <c r="H947" s="636" t="n"/>
      <c r="I947" s="636" t="n"/>
      <c r="J947" s="549" t="inlineStr">
        <is>
          <t>тыс.т.</t>
        </is>
      </c>
    </row>
    <row r="948" ht="20.1" customHeight="1" s="904">
      <c r="A948" s="545" t="n"/>
      <c r="B948" s="909" t="n"/>
      <c r="D948" s="634" t="n"/>
      <c r="E948" s="634" t="n"/>
      <c r="F948" s="635" t="n"/>
      <c r="G948" s="776" t="inlineStr">
        <is>
          <t>16_100337167</t>
        </is>
      </c>
      <c r="H948" s="636" t="n"/>
      <c r="I948" s="636" t="n"/>
      <c r="J948" s="615" t="inlineStr">
        <is>
          <t>млн куб.м</t>
        </is>
      </c>
    </row>
    <row r="949" ht="20.1" customHeight="1" s="904">
      <c r="A949" s="545" t="n"/>
      <c r="B949" s="909" t="inlineStr">
        <is>
          <t>2.7.2</t>
        </is>
      </c>
      <c r="C949" s="928" t="inlineStr">
        <is>
          <t>собственность ПАО "Газпром нефть"</t>
        </is>
      </c>
      <c r="D949" s="634" t="n"/>
      <c r="E949" s="634" t="n"/>
      <c r="F949" s="635" t="n"/>
      <c r="G949" s="776" t="inlineStr">
        <is>
          <t>16_100337168</t>
        </is>
      </c>
      <c r="H949" s="636" t="n"/>
      <c r="I949" s="636" t="n"/>
      <c r="J949" s="549" t="inlineStr">
        <is>
          <t>тыс.т.</t>
        </is>
      </c>
    </row>
    <row r="950" ht="20.1" customHeight="1" s="904">
      <c r="A950" s="545" t="n"/>
      <c r="D950" s="634" t="n"/>
      <c r="E950" s="634" t="n"/>
      <c r="F950" s="635" t="n"/>
      <c r="G950" s="776" t="inlineStr">
        <is>
          <t>16_100337169</t>
        </is>
      </c>
      <c r="H950" s="636" t="n"/>
      <c r="I950" s="636" t="n"/>
      <c r="J950" s="549" t="inlineStr">
        <is>
          <t>млн куб.м</t>
        </is>
      </c>
    </row>
    <row r="951" ht="20.1" customHeight="1" s="904">
      <c r="A951" s="545" t="n"/>
      <c r="B951" s="909" t="n"/>
      <c r="C951" s="931" t="inlineStr">
        <is>
          <t>в т.ч. из сырья ПАО "Газпром нефть" (переработка газа)</t>
        </is>
      </c>
      <c r="D951" s="634" t="n"/>
      <c r="E951" s="634" t="n"/>
      <c r="F951" s="635" t="n"/>
      <c r="G951" s="776" t="inlineStr">
        <is>
          <t>16_100337170</t>
        </is>
      </c>
      <c r="H951" s="636" t="n"/>
      <c r="I951" s="636" t="n"/>
      <c r="J951" s="549" t="inlineStr">
        <is>
          <t>тыс.т.</t>
        </is>
      </c>
    </row>
    <row r="952" ht="20.1" customHeight="1" s="904">
      <c r="A952" s="545" t="n"/>
      <c r="B952" s="909" t="n"/>
      <c r="D952" s="634" t="n"/>
      <c r="E952" s="634" t="n"/>
      <c r="F952" s="635" t="n"/>
      <c r="G952" s="776" t="inlineStr">
        <is>
          <t>16_100337171</t>
        </is>
      </c>
      <c r="H952" s="636" t="n"/>
      <c r="I952" s="636" t="n"/>
      <c r="J952" s="615" t="inlineStr">
        <is>
          <t>млн куб.м</t>
        </is>
      </c>
    </row>
    <row r="953" ht="20.1" customHeight="1" s="904">
      <c r="A953" s="545" t="n"/>
      <c r="B953" s="909" t="inlineStr">
        <is>
          <t>2.8</t>
        </is>
      </c>
      <c r="C953" s="908" t="inlineStr">
        <is>
          <t>Газ деэтанизации (в газопровод)</t>
        </is>
      </c>
      <c r="D953" s="15" t="n"/>
      <c r="E953" s="15" t="n"/>
      <c r="F953" s="16" t="n"/>
      <c r="G953" s="17" t="inlineStr">
        <is>
          <t>16_100330749</t>
        </is>
      </c>
      <c r="H953" s="636" t="n"/>
      <c r="I953" s="17" t="n"/>
      <c r="J953" s="578" t="inlineStr">
        <is>
          <t>тыс.т.</t>
        </is>
      </c>
    </row>
    <row r="954" ht="20.1" customHeight="1" s="904">
      <c r="A954" s="545" t="n"/>
      <c r="D954" s="15" t="n"/>
      <c r="E954" s="15" t="n"/>
      <c r="F954" s="16" t="n"/>
      <c r="G954" s="17" t="inlineStr">
        <is>
          <t>16_100330750</t>
        </is>
      </c>
      <c r="H954" s="636" t="n"/>
      <c r="I954" s="17" t="n"/>
      <c r="J954" s="615" t="inlineStr">
        <is>
          <t>млн куб.м</t>
        </is>
      </c>
    </row>
    <row r="955" ht="20.1" customHeight="1" s="904">
      <c r="A955" s="545" t="n"/>
      <c r="B955" s="909" t="inlineStr">
        <is>
          <t>2.8.1</t>
        </is>
      </c>
      <c r="C955" s="907" t="inlineStr">
        <is>
          <t>собственность АО "Газпром добыча Томск"</t>
        </is>
      </c>
      <c r="D955" s="15" t="n"/>
      <c r="E955" s="15" t="n"/>
      <c r="F955" s="16" t="n"/>
      <c r="G955" s="17" t="inlineStr">
        <is>
          <t>16_100336371</t>
        </is>
      </c>
      <c r="H955" s="636" t="n"/>
      <c r="I955" s="17" t="n"/>
      <c r="J955" s="578" t="inlineStr">
        <is>
          <t>тыс.т.</t>
        </is>
      </c>
    </row>
    <row r="956" ht="20.1" customHeight="1" s="904">
      <c r="A956" s="545" t="n"/>
      <c r="D956" s="15" t="n"/>
      <c r="E956" s="15" t="n"/>
      <c r="F956" s="16" t="n"/>
      <c r="G956" s="17" t="inlineStr">
        <is>
          <t>16_100336372</t>
        </is>
      </c>
      <c r="H956" s="636" t="n"/>
      <c r="I956" s="17" t="n"/>
      <c r="J956" s="549" t="inlineStr">
        <is>
          <t>млн куб.м</t>
        </is>
      </c>
    </row>
    <row r="957" ht="20.1" customHeight="1" s="904">
      <c r="A957" s="545" t="n"/>
      <c r="B957" s="909" t="n"/>
      <c r="C957" s="914" t="inlineStr">
        <is>
          <t>в т.ч. из НГК</t>
        </is>
      </c>
      <c r="D957" s="15" t="n"/>
      <c r="E957" s="15" t="n"/>
      <c r="F957" s="16" t="n"/>
      <c r="G957" s="17" t="inlineStr">
        <is>
          <t>16_100336356</t>
        </is>
      </c>
      <c r="H957" s="636" t="n"/>
      <c r="I957" s="17" t="n"/>
      <c r="J957" s="549" t="inlineStr">
        <is>
          <t>тыс.т.</t>
        </is>
      </c>
    </row>
    <row r="958" ht="20.1" customHeight="1" s="904">
      <c r="A958" s="545" t="n"/>
      <c r="B958" s="909" t="n"/>
      <c r="D958" s="15" t="n"/>
      <c r="E958" s="15" t="n"/>
      <c r="F958" s="16" t="n"/>
      <c r="G958" s="17" t="inlineStr">
        <is>
          <t>16_100336357</t>
        </is>
      </c>
      <c r="H958" s="636" t="n"/>
      <c r="I958" s="17" t="n"/>
      <c r="J958" s="549" t="inlineStr">
        <is>
          <t>млн куб.м</t>
        </is>
      </c>
    </row>
    <row r="959" ht="20.1" customHeight="1" s="904">
      <c r="A959" s="545" t="n"/>
      <c r="B959" s="909" t="n"/>
      <c r="C959" s="914" t="inlineStr">
        <is>
          <t>в т.ч. из ПНГ</t>
        </is>
      </c>
      <c r="D959" s="15" t="n"/>
      <c r="E959" s="15" t="n"/>
      <c r="F959" s="16" t="n"/>
      <c r="G959" s="17" t="inlineStr">
        <is>
          <t>16_100336358</t>
        </is>
      </c>
      <c r="H959" s="636" t="n"/>
      <c r="I959" s="17" t="n"/>
      <c r="J959" s="549" t="inlineStr">
        <is>
          <t>тыс.т.</t>
        </is>
      </c>
    </row>
    <row r="960" ht="20.1" customHeight="1" s="904">
      <c r="A960" s="545" t="n"/>
      <c r="B960" s="909" t="n"/>
      <c r="D960" s="15" t="n"/>
      <c r="E960" s="15" t="n"/>
      <c r="F960" s="16" t="n"/>
      <c r="G960" s="17" t="inlineStr">
        <is>
          <t>16_100336359</t>
        </is>
      </c>
      <c r="H960" s="636" t="n"/>
      <c r="I960" s="17" t="n"/>
      <c r="J960" s="615" t="inlineStr">
        <is>
          <t>млн куб.м</t>
        </is>
      </c>
    </row>
    <row r="961" ht="20.1" customHeight="1" s="904">
      <c r="A961" s="545" t="n"/>
      <c r="B961" s="909" t="n"/>
      <c r="C961" s="914" t="inlineStr">
        <is>
          <t>в т.ч из сырья ПАО "Газпром нефть" (покупка газа)</t>
        </is>
      </c>
      <c r="D961" s="15" t="n"/>
      <c r="E961" s="15" t="n"/>
      <c r="F961" s="16" t="n"/>
      <c r="G961" s="17" t="inlineStr">
        <is>
          <t>16_100333001</t>
        </is>
      </c>
      <c r="H961" s="636" t="n"/>
      <c r="I961" s="17" t="n"/>
      <c r="J961" s="549" t="inlineStr">
        <is>
          <t>тыс.т.</t>
        </is>
      </c>
    </row>
    <row r="962" ht="20.1" customHeight="1" s="904">
      <c r="A962" s="545" t="n"/>
      <c r="B962" s="909" t="n"/>
      <c r="D962" s="15" t="n"/>
      <c r="E962" s="15" t="n"/>
      <c r="F962" s="16" t="n"/>
      <c r="G962" s="17" t="inlineStr">
        <is>
          <t>16_100333002</t>
        </is>
      </c>
      <c r="H962" s="636" t="n"/>
      <c r="I962" s="17" t="n"/>
      <c r="J962" s="615" t="inlineStr">
        <is>
          <t>млн куб.м</t>
        </is>
      </c>
    </row>
    <row r="963" ht="20.1" customHeight="1" s="904">
      <c r="A963" s="545" t="n"/>
      <c r="B963" s="909" t="inlineStr">
        <is>
          <t>2.8.2</t>
        </is>
      </c>
      <c r="C963" s="907" t="inlineStr">
        <is>
          <t>собственность ПАО "Газпром нефть"</t>
        </is>
      </c>
      <c r="D963" s="15" t="n"/>
      <c r="E963" s="15" t="n"/>
      <c r="F963" s="16" t="n"/>
      <c r="G963" s="17" t="inlineStr">
        <is>
          <t>16_100336373</t>
        </is>
      </c>
      <c r="H963" s="636" t="n"/>
      <c r="I963" s="17" t="n"/>
      <c r="J963" s="549" t="inlineStr">
        <is>
          <t>тыс.т.</t>
        </is>
      </c>
    </row>
    <row r="964" ht="20.1" customHeight="1" s="904">
      <c r="A964" s="545" t="n"/>
      <c r="D964" s="15" t="n"/>
      <c r="E964" s="15" t="n"/>
      <c r="F964" s="16" t="n"/>
      <c r="G964" s="17" t="inlineStr">
        <is>
          <t>16_100336374</t>
        </is>
      </c>
      <c r="H964" s="636" t="n"/>
      <c r="I964" s="17" t="n"/>
      <c r="J964" s="549" t="inlineStr">
        <is>
          <t>млн куб.м</t>
        </is>
      </c>
    </row>
    <row r="965" ht="20.1" customHeight="1" s="904">
      <c r="A965" s="545" t="n"/>
      <c r="B965" s="909" t="n"/>
      <c r="C965" s="914" t="inlineStr">
        <is>
          <t>в т.ч. из сырья ПАО "Газпром нефть" (переработка газа)</t>
        </is>
      </c>
      <c r="D965" s="15" t="n"/>
      <c r="E965" s="15" t="n"/>
      <c r="F965" s="16" t="n"/>
      <c r="G965" s="17" t="inlineStr">
        <is>
          <t>16_100332936</t>
        </is>
      </c>
      <c r="H965" s="636" t="n"/>
      <c r="I965" s="17" t="n"/>
      <c r="J965" s="549" t="inlineStr">
        <is>
          <t>тыс.т.</t>
        </is>
      </c>
    </row>
    <row r="966" ht="20.1" customHeight="1" s="904">
      <c r="A966" s="545" t="n"/>
      <c r="B966" s="909" t="n"/>
      <c r="D966" s="15" t="n"/>
      <c r="E966" s="15" t="n"/>
      <c r="F966" s="16" t="n"/>
      <c r="G966" s="17" t="inlineStr">
        <is>
          <t>16_100332937</t>
        </is>
      </c>
      <c r="H966" s="636" t="n"/>
      <c r="I966" s="17" t="n"/>
      <c r="J966" s="615" t="inlineStr">
        <is>
          <t>млн куб.м</t>
        </is>
      </c>
    </row>
    <row r="967" ht="20.1" customHeight="1" s="904">
      <c r="A967" s="545" t="n"/>
      <c r="B967" s="909" t="inlineStr">
        <is>
          <t>2.9</t>
        </is>
      </c>
      <c r="C967" s="912" t="inlineStr">
        <is>
          <t>Газ горючий природный сухой отбензиненный, всего:</t>
        </is>
      </c>
      <c r="D967" s="15" t="n"/>
      <c r="E967" s="15" t="n"/>
      <c r="F967" s="16" t="n"/>
      <c r="G967" s="17" t="inlineStr">
        <is>
          <t>16_100332342</t>
        </is>
      </c>
      <c r="H967" s="636" t="n"/>
      <c r="I967" s="17" t="n"/>
      <c r="J967" s="578" t="inlineStr">
        <is>
          <t>тыс.т.</t>
        </is>
      </c>
    </row>
    <row r="968" ht="20.1" customHeight="1" s="904">
      <c r="A968" s="545" t="n"/>
      <c r="D968" s="15" t="n"/>
      <c r="E968" s="15" t="n"/>
      <c r="F968" s="16" t="n"/>
      <c r="G968" s="17" t="inlineStr">
        <is>
          <t>16_100330751</t>
        </is>
      </c>
      <c r="H968" s="636" t="n"/>
      <c r="I968" s="17" t="n"/>
      <c r="J968" s="24" t="inlineStr">
        <is>
          <t>млн куб.м</t>
        </is>
      </c>
    </row>
    <row r="969" ht="20.1" customHeight="1" s="904">
      <c r="A969" s="545" t="n"/>
      <c r="B969" s="909" t="inlineStr">
        <is>
          <t>2.9.1</t>
        </is>
      </c>
      <c r="C969" s="907" t="inlineStr">
        <is>
          <t>собственность АО "Газпром добыча Томск"</t>
        </is>
      </c>
      <c r="D969" s="15" t="n"/>
      <c r="E969" s="15" t="n"/>
      <c r="F969" s="16" t="n"/>
      <c r="G969" s="17" t="inlineStr">
        <is>
          <t>16_100336375</t>
        </is>
      </c>
      <c r="H969" s="636" t="n"/>
      <c r="I969" s="17" t="n"/>
      <c r="J969" s="578" t="inlineStr">
        <is>
          <t>тыс.т.</t>
        </is>
      </c>
    </row>
    <row r="970" ht="20.1" customHeight="1" s="904">
      <c r="A970" s="545" t="n"/>
      <c r="D970" s="15" t="n"/>
      <c r="E970" s="15" t="n"/>
      <c r="F970" s="16" t="n"/>
      <c r="G970" s="17" t="inlineStr">
        <is>
          <t>16_100336376</t>
        </is>
      </c>
      <c r="H970" s="636" t="n"/>
      <c r="I970" s="17" t="n"/>
      <c r="J970" s="549" t="inlineStr">
        <is>
          <t>млн куб.м</t>
        </is>
      </c>
    </row>
    <row r="971" ht="20.1" customHeight="1" s="904">
      <c r="A971" s="545" t="n"/>
      <c r="B971" s="909" t="n"/>
      <c r="C971" s="903" t="inlineStr">
        <is>
          <t>в т.ч. из ПНГ</t>
        </is>
      </c>
      <c r="D971" s="15" t="n"/>
      <c r="E971" s="15" t="n"/>
      <c r="F971" s="16" t="n"/>
      <c r="G971" s="17" t="inlineStr">
        <is>
          <t>16_100336360</t>
        </is>
      </c>
      <c r="H971" s="636" t="n"/>
      <c r="I971" s="17" t="n"/>
      <c r="J971" s="549" t="inlineStr">
        <is>
          <t>тыс.т.</t>
        </is>
      </c>
    </row>
    <row r="972" ht="20.1" customHeight="1" s="904">
      <c r="A972" s="545" t="n"/>
      <c r="B972" s="909" t="n"/>
      <c r="D972" s="15" t="n"/>
      <c r="E972" s="15" t="n"/>
      <c r="F972" s="16" t="n"/>
      <c r="G972" s="17" t="inlineStr">
        <is>
          <t>16_100336361</t>
        </is>
      </c>
      <c r="H972" s="636" t="n"/>
      <c r="I972" s="17" t="n"/>
      <c r="J972" s="549" t="inlineStr">
        <is>
          <t>млн куб.м</t>
        </is>
      </c>
    </row>
    <row r="973" ht="20.1" customHeight="1" s="904">
      <c r="A973" s="545" t="n"/>
      <c r="B973" s="909" t="n"/>
      <c r="C973" s="903" t="inlineStr">
        <is>
          <t>в т.ч из сырья ПАО "Газпром нефть" (покупка газа)</t>
        </is>
      </c>
      <c r="D973" s="15" t="n"/>
      <c r="E973" s="15" t="n"/>
      <c r="F973" s="16" t="n"/>
      <c r="G973" s="17" t="inlineStr">
        <is>
          <t>16_100333003</t>
        </is>
      </c>
      <c r="H973" s="636" t="n"/>
      <c r="I973" s="17" t="n"/>
      <c r="J973" s="549" t="inlineStr">
        <is>
          <t>тыс.т.</t>
        </is>
      </c>
    </row>
    <row r="974" ht="20.1" customHeight="1" s="904">
      <c r="A974" s="545" t="n"/>
      <c r="B974" s="909" t="n"/>
      <c r="D974" s="15" t="n"/>
      <c r="E974" s="15" t="n"/>
      <c r="F974" s="16" t="n"/>
      <c r="G974" s="17" t="inlineStr">
        <is>
          <t>16_100333004</t>
        </is>
      </c>
      <c r="H974" s="636" t="n"/>
      <c r="I974" s="17" t="n"/>
      <c r="J974" s="24" t="inlineStr">
        <is>
          <t>млн куб.м</t>
        </is>
      </c>
    </row>
    <row r="975" ht="20.1" customHeight="1" s="904">
      <c r="A975" s="545" t="n"/>
      <c r="B975" s="909" t="inlineStr">
        <is>
          <t>2.9.2</t>
        </is>
      </c>
      <c r="C975" s="907" t="inlineStr">
        <is>
          <t>собственность ПАО "Газпром нефть"</t>
        </is>
      </c>
      <c r="D975" s="15" t="n"/>
      <c r="E975" s="15" t="n"/>
      <c r="F975" s="16" t="n"/>
      <c r="G975" s="17" t="inlineStr">
        <is>
          <t>16_100336377</t>
        </is>
      </c>
      <c r="H975" s="636" t="n"/>
      <c r="I975" s="17" t="n"/>
      <c r="J975" s="578" t="inlineStr">
        <is>
          <t>тыс.т.</t>
        </is>
      </c>
    </row>
    <row r="976" ht="20.1" customHeight="1" s="904">
      <c r="A976" s="545" t="n"/>
      <c r="D976" s="15" t="n"/>
      <c r="E976" s="15" t="n"/>
      <c r="F976" s="16" t="n"/>
      <c r="G976" s="17" t="inlineStr">
        <is>
          <t>16_100336378</t>
        </is>
      </c>
      <c r="H976" s="636" t="n"/>
      <c r="I976" s="17" t="n"/>
      <c r="J976" s="549" t="inlineStr">
        <is>
          <t>млн куб.м</t>
        </is>
      </c>
    </row>
    <row r="977" ht="20.1" customHeight="1" s="904">
      <c r="A977" s="545" t="n"/>
      <c r="B977" s="909" t="n"/>
      <c r="C977" s="903" t="inlineStr">
        <is>
          <t>в т.ч. из сырья ПАО "Газпром нефть" (переработка газа)</t>
        </is>
      </c>
      <c r="D977" s="15" t="n"/>
      <c r="E977" s="15" t="n"/>
      <c r="F977" s="16" t="n"/>
      <c r="G977" s="17" t="inlineStr">
        <is>
          <t>16_100332418</t>
        </is>
      </c>
      <c r="H977" s="636" t="n"/>
      <c r="I977" s="17" t="n"/>
      <c r="J977" s="549" t="inlineStr">
        <is>
          <t>тыс.т.</t>
        </is>
      </c>
    </row>
    <row r="978" ht="20.1" customHeight="1" s="904">
      <c r="A978" s="545" t="n"/>
      <c r="B978" s="909" t="n"/>
      <c r="D978" s="15" t="n"/>
      <c r="E978" s="15" t="n"/>
      <c r="F978" s="16" t="n"/>
      <c r="G978" s="17" t="inlineStr">
        <is>
          <t>16_100330752</t>
        </is>
      </c>
      <c r="H978" s="636" t="n"/>
      <c r="I978" s="17" t="n"/>
      <c r="J978" s="56" t="inlineStr">
        <is>
          <t>млн куб.м</t>
        </is>
      </c>
    </row>
    <row r="979" ht="20.1" customHeight="1" s="904">
      <c r="A979" s="545" t="n"/>
      <c r="B979" s="909" t="n"/>
      <c r="C979" s="60" t="n"/>
      <c r="D979" s="15" t="n"/>
      <c r="E979" s="15" t="n"/>
      <c r="F979" s="16" t="n"/>
      <c r="G979" s="17" t="n"/>
      <c r="H979" s="636" t="n"/>
      <c r="I979" s="17" t="n"/>
      <c r="J979" s="61" t="n"/>
    </row>
    <row r="980" ht="20.1" customHeight="1" s="904">
      <c r="A980" s="545" t="n"/>
      <c r="B980" s="62" t="n"/>
      <c r="C980" s="63" t="inlineStr">
        <is>
          <t>ООО "Газпром метанол"</t>
        </is>
      </c>
      <c r="D980" s="15" t="n"/>
      <c r="E980" s="15" t="n"/>
      <c r="F980" s="16" t="n"/>
      <c r="G980" s="17" t="n"/>
      <c r="H980" s="636" t="n"/>
      <c r="I980" s="17" t="n"/>
      <c r="J980" s="546" t="n"/>
    </row>
    <row r="981" ht="33.75" customHeight="1" s="904">
      <c r="A981" s="545" t="n"/>
      <c r="B981" s="62" t="inlineStr">
        <is>
          <t>1.</t>
        </is>
      </c>
      <c r="C981" s="64" t="inlineStr">
        <is>
          <t>CЫРЬЕ</t>
        </is>
      </c>
      <c r="D981" s="15" t="n"/>
      <c r="E981" s="15" t="n"/>
      <c r="F981" s="16" t="n"/>
      <c r="G981" s="17" t="n"/>
      <c r="H981" s="636" t="n"/>
      <c r="I981" s="17" t="n"/>
      <c r="J981" s="546" t="n"/>
    </row>
    <row r="982" ht="35.1" customHeight="1" s="904">
      <c r="A982" s="545" t="n"/>
      <c r="B982" s="909" t="n"/>
      <c r="C982" s="914" t="inlineStr">
        <is>
          <t>Переработка природного газа 
(собственность ООО "Газпром метанол")</t>
        </is>
      </c>
      <c r="D982" s="15" t="n"/>
      <c r="E982" s="15" t="n"/>
      <c r="F982" s="16" t="n"/>
      <c r="G982" s="17" t="inlineStr">
        <is>
          <t>16_100330740</t>
        </is>
      </c>
      <c r="H982" s="636" t="n"/>
      <c r="I982" s="17" t="n"/>
      <c r="J982" s="546" t="inlineStr">
        <is>
          <t>млн куб.м</t>
        </is>
      </c>
    </row>
    <row r="983" ht="20.1" customHeight="1" s="904">
      <c r="A983" s="545" t="n"/>
      <c r="B983" s="62" t="inlineStr">
        <is>
          <t>2.</t>
        </is>
      </c>
      <c r="C983" s="64" t="inlineStr">
        <is>
          <t xml:space="preserve">ПРОДУКЦИЯ    </t>
        </is>
      </c>
      <c r="D983" s="15" t="n"/>
      <c r="E983" s="15" t="n"/>
      <c r="F983" s="16" t="n"/>
      <c r="G983" s="17" t="n"/>
      <c r="H983" s="636" t="n"/>
      <c r="I983" s="17" t="n"/>
      <c r="J983" s="24" t="n"/>
    </row>
    <row r="984" ht="35.1" customHeight="1" s="904">
      <c r="A984" s="545" t="n"/>
      <c r="B984" s="909" t="n"/>
      <c r="C984" s="914" t="inlineStr">
        <is>
          <t>Метанол (собственность ООО "Газпром метанол")</t>
        </is>
      </c>
      <c r="D984" s="15" t="n"/>
      <c r="E984" s="15" t="n"/>
      <c r="F984" s="16" t="n"/>
      <c r="G984" s="17" t="inlineStr">
        <is>
          <t>16_100330753</t>
        </is>
      </c>
      <c r="H984" s="636" t="n"/>
      <c r="I984" s="17" t="n"/>
      <c r="J984" s="24" t="inlineStr">
        <is>
          <t>тыс.т.</t>
        </is>
      </c>
    </row>
    <row r="985" ht="20.1" customHeight="1" s="904">
      <c r="A985" s="545" t="n"/>
      <c r="B985" s="909" t="n"/>
      <c r="C985" s="31" t="n"/>
      <c r="D985" s="15" t="n"/>
      <c r="E985" s="15" t="n"/>
      <c r="F985" s="16" t="n"/>
      <c r="G985" s="17" t="n"/>
      <c r="H985" s="636" t="n"/>
      <c r="I985" s="17" t="n"/>
      <c r="J985" s="65" t="n"/>
    </row>
    <row r="986" ht="20.1" customHeight="1" s="904">
      <c r="A986" s="545" t="n"/>
      <c r="B986" s="62" t="n"/>
      <c r="C986" s="66" t="inlineStr">
        <is>
          <t>ГРУППА ГАЗПРОМ НЕФТЬ</t>
        </is>
      </c>
      <c r="D986" s="15" t="n"/>
      <c r="E986" s="15" t="n"/>
      <c r="F986" s="16" t="n"/>
      <c r="G986" s="17" t="n"/>
      <c r="H986" s="636" t="n"/>
      <c r="I986" s="17" t="n"/>
      <c r="J986" s="24" t="n"/>
    </row>
    <row r="987" ht="20.1" customHeight="1" s="904">
      <c r="A987" s="545" t="n"/>
      <c r="B987" s="909" t="inlineStr">
        <is>
          <t>1.</t>
        </is>
      </c>
      <c r="C987" s="9" t="inlineStr">
        <is>
          <t>CЫРЬЕ</t>
        </is>
      </c>
      <c r="D987" s="15" t="n"/>
      <c r="E987" s="15" t="n"/>
      <c r="F987" s="16" t="n"/>
      <c r="G987" s="17" t="n"/>
      <c r="H987" s="636" t="n"/>
      <c r="I987" s="17" t="n"/>
      <c r="J987" s="24" t="n"/>
    </row>
    <row r="988" ht="20.1" customHeight="1" s="904">
      <c r="A988" s="545" t="n"/>
      <c r="B988" s="909" t="inlineStr">
        <is>
          <t>1.1</t>
        </is>
      </c>
      <c r="C988" s="64" t="inlineStr">
        <is>
          <t>Переработка сырья:</t>
        </is>
      </c>
      <c r="D988" s="15" t="n"/>
      <c r="E988" s="15" t="n"/>
      <c r="F988" s="16" t="n"/>
      <c r="G988" s="17" t="n"/>
      <c r="H988" s="636" t="n"/>
      <c r="I988" s="17" t="n"/>
      <c r="J988" s="549" t="n"/>
    </row>
    <row r="989" ht="20.1" customHeight="1" s="904">
      <c r="A989" s="545" t="n"/>
      <c r="B989" s="909" t="n"/>
      <c r="C989" s="67" t="inlineStr">
        <is>
          <t>Омский НПЗ</t>
        </is>
      </c>
      <c r="D989" s="15" t="n"/>
      <c r="E989" s="15" t="n"/>
      <c r="F989" s="16" t="n"/>
      <c r="G989" s="17" t="inlineStr">
        <is>
          <t>18_100330758</t>
        </is>
      </c>
      <c r="H989" s="636" t="n"/>
      <c r="I989" s="17" t="n"/>
      <c r="J989" s="549" t="inlineStr">
        <is>
          <t>тыс.т.</t>
        </is>
      </c>
    </row>
    <row r="990" ht="20.1" customHeight="1" s="904">
      <c r="A990" s="545" t="n"/>
      <c r="B990" s="909" t="n"/>
      <c r="C990" s="67" t="inlineStr">
        <is>
          <t>Московский НПЗ</t>
        </is>
      </c>
      <c r="D990" s="15" t="n"/>
      <c r="E990" s="15" t="n"/>
      <c r="F990" s="16" t="n"/>
      <c r="G990" s="17" t="inlineStr">
        <is>
          <t>18_100330759</t>
        </is>
      </c>
      <c r="H990" s="636" t="n"/>
      <c r="I990" s="17" t="n"/>
      <c r="J990" s="549" t="inlineStr">
        <is>
          <t>тыс.т.</t>
        </is>
      </c>
    </row>
    <row r="991" ht="20.1" customHeight="1" s="904">
      <c r="A991" s="545" t="n"/>
      <c r="B991" s="909" t="n"/>
      <c r="C991" s="67" t="inlineStr">
        <is>
          <t>Славнефть-ЯНОС</t>
        </is>
      </c>
      <c r="D991" s="15" t="n"/>
      <c r="E991" s="15" t="n"/>
      <c r="F991" s="16" t="n"/>
      <c r="G991" s="17" t="inlineStr">
        <is>
          <t>18_100330760</t>
        </is>
      </c>
      <c r="H991" s="636" t="n"/>
      <c r="I991" s="17" t="n"/>
      <c r="J991" s="24" t="inlineStr">
        <is>
          <t>тыс.т.</t>
        </is>
      </c>
    </row>
    <row r="992" ht="20.1" customHeight="1" s="904">
      <c r="A992" s="545" t="n"/>
      <c r="B992" s="909" t="inlineStr">
        <is>
          <t>1.2</t>
        </is>
      </c>
      <c r="C992" s="64" t="inlineStr">
        <is>
          <t>Переработка газа:</t>
        </is>
      </c>
      <c r="D992" s="15" t="n"/>
      <c r="E992" s="15" t="n"/>
      <c r="F992" s="16" t="n"/>
      <c r="G992" s="17" t="n"/>
      <c r="H992" s="636" t="n"/>
      <c r="I992" s="17" t="n"/>
      <c r="J992" s="549" t="n"/>
    </row>
    <row r="993" ht="20.1" customHeight="1" s="904">
      <c r="A993" s="545" t="n"/>
      <c r="B993" s="909" t="n"/>
      <c r="C993" s="67" t="inlineStr">
        <is>
          <t>Южно-Приобский ГПЗ</t>
        </is>
      </c>
      <c r="D993" s="15" t="n"/>
      <c r="E993" s="15" t="n"/>
      <c r="F993" s="16" t="n"/>
      <c r="G993" s="17" t="inlineStr">
        <is>
          <t>18_100335374</t>
        </is>
      </c>
      <c r="H993" s="636" t="n"/>
      <c r="I993" s="17" t="n"/>
      <c r="J993" s="24" t="inlineStr">
        <is>
          <t>млн куб.м</t>
        </is>
      </c>
    </row>
    <row r="994" ht="20.1" customHeight="1" s="904">
      <c r="A994" s="545" t="n"/>
      <c r="B994" s="909" t="inlineStr">
        <is>
          <t>2.</t>
        </is>
      </c>
      <c r="C994" s="68" t="inlineStr">
        <is>
          <t xml:space="preserve">ПРОДУКЦИЯ    </t>
        </is>
      </c>
      <c r="D994" s="15" t="n"/>
      <c r="E994" s="15" t="n"/>
      <c r="F994" s="16" t="n"/>
      <c r="G994" s="17" t="n"/>
      <c r="H994" s="636" t="n"/>
      <c r="I994" s="17" t="n"/>
      <c r="J994" s="549" t="n"/>
    </row>
    <row r="995" ht="20.1" customHeight="1" s="904">
      <c r="A995" s="545" t="n"/>
      <c r="B995" s="909" t="n"/>
      <c r="C995" s="67" t="inlineStr">
        <is>
          <t>Омский НПЗ</t>
        </is>
      </c>
      <c r="D995" s="15" t="n"/>
      <c r="E995" s="15" t="n"/>
      <c r="F995" s="16" t="n"/>
      <c r="G995" s="17" t="inlineStr">
        <is>
          <t>18_100330761</t>
        </is>
      </c>
      <c r="H995" s="636" t="n"/>
      <c r="I995" s="17" t="n"/>
      <c r="J995" s="549" t="inlineStr">
        <is>
          <t>тыс.т.</t>
        </is>
      </c>
    </row>
    <row r="996" ht="20.1" customHeight="1" s="904">
      <c r="A996" s="545" t="n"/>
      <c r="B996" s="909" t="n"/>
      <c r="C996" s="67" t="inlineStr">
        <is>
          <t>Московский НПЗ</t>
        </is>
      </c>
      <c r="D996" s="15" t="n"/>
      <c r="E996" s="15" t="n"/>
      <c r="F996" s="16" t="n"/>
      <c r="G996" s="17" t="inlineStr">
        <is>
          <t>18_100330762</t>
        </is>
      </c>
      <c r="H996" s="636" t="n"/>
      <c r="I996" s="17" t="n"/>
      <c r="J996" s="549" t="inlineStr">
        <is>
          <t>тыс.т.</t>
        </is>
      </c>
    </row>
    <row r="997" ht="20.1" customHeight="1" s="904">
      <c r="A997" s="545" t="n"/>
      <c r="B997" s="909" t="n"/>
      <c r="C997" s="67" t="inlineStr">
        <is>
          <t>Славнефть-ЯНОС</t>
        </is>
      </c>
      <c r="D997" s="15" t="n"/>
      <c r="E997" s="15" t="n"/>
      <c r="F997" s="16" t="n"/>
      <c r="G997" s="17" t="inlineStr">
        <is>
          <t>18_100330763</t>
        </is>
      </c>
      <c r="H997" s="636" t="n"/>
      <c r="I997" s="17" t="n"/>
      <c r="J997" s="549" t="inlineStr">
        <is>
          <t>тыс.т.</t>
        </is>
      </c>
    </row>
    <row r="998" ht="20.1" customHeight="1" s="904">
      <c r="A998" s="545" t="n"/>
      <c r="B998" s="909" t="inlineStr">
        <is>
          <t>2.1</t>
        </is>
      </c>
      <c r="C998" s="68" t="inlineStr">
        <is>
          <t>Сухой газ:</t>
        </is>
      </c>
      <c r="D998" s="15" t="n"/>
      <c r="E998" s="15" t="n"/>
      <c r="F998" s="16" t="n"/>
      <c r="G998" s="17" t="n"/>
      <c r="H998" s="636" t="n"/>
      <c r="I998" s="17" t="n"/>
      <c r="J998" s="549" t="n"/>
    </row>
    <row r="999" ht="20.1" customHeight="1" s="904">
      <c r="A999" s="545" t="n"/>
      <c r="B999" s="909" t="n"/>
      <c r="C999" s="67" t="inlineStr">
        <is>
          <t>Южно-Приобский ГПЗ</t>
        </is>
      </c>
      <c r="D999" s="15" t="n"/>
      <c r="E999" s="15" t="n"/>
      <c r="F999" s="16" t="n"/>
      <c r="G999" s="17" t="inlineStr">
        <is>
          <t>18_100335379</t>
        </is>
      </c>
      <c r="H999" s="636" t="n"/>
      <c r="I999" s="17" t="n"/>
      <c r="J999" s="24" t="inlineStr">
        <is>
          <t>млн куб.м</t>
        </is>
      </c>
    </row>
    <row r="1000" ht="20.1" customHeight="1" s="904">
      <c r="A1000" s="545" t="n"/>
      <c r="B1000" s="909" t="inlineStr">
        <is>
          <t>2.2</t>
        </is>
      </c>
      <c r="C1000" s="68" t="inlineStr">
        <is>
          <t>Широкая фракция легких углеводородов:</t>
        </is>
      </c>
      <c r="D1000" s="15" t="n"/>
      <c r="E1000" s="15" t="n"/>
      <c r="F1000" s="16" t="n"/>
      <c r="G1000" s="17" t="n"/>
      <c r="H1000" s="636" t="n"/>
      <c r="I1000" s="17" t="n"/>
      <c r="J1000" s="549" t="n"/>
    </row>
    <row r="1001" ht="20.1" customHeight="1" s="904">
      <c r="A1001" s="545" t="n"/>
      <c r="B1001" s="909" t="n"/>
      <c r="C1001" s="67" t="inlineStr">
        <is>
          <t>Южно-Приобский ГПЗ</t>
        </is>
      </c>
      <c r="D1001" s="15" t="n"/>
      <c r="E1001" s="15" t="n"/>
      <c r="F1001" s="16" t="n"/>
      <c r="G1001" s="17" t="inlineStr">
        <is>
          <t>18_100335381</t>
        </is>
      </c>
      <c r="H1001" s="636" t="n"/>
      <c r="I1001" s="17" t="n"/>
      <c r="J1001" s="24" t="inlineStr">
        <is>
          <t>тыс.т.</t>
        </is>
      </c>
    </row>
    <row r="1002" ht="20.1" customHeight="1" s="904">
      <c r="A1002" s="545" t="n"/>
      <c r="B1002" s="909" t="inlineStr">
        <is>
          <t>2.3</t>
        </is>
      </c>
      <c r="C1002" s="68" t="inlineStr">
        <is>
          <t>Бензин автомобильный:</t>
        </is>
      </c>
      <c r="D1002" s="15" t="n"/>
      <c r="E1002" s="15" t="n"/>
      <c r="F1002" s="16" t="n"/>
      <c r="G1002" s="17" t="n"/>
      <c r="H1002" s="636" t="n"/>
      <c r="I1002" s="17" t="n"/>
      <c r="J1002" s="549" t="n"/>
    </row>
    <row r="1003" ht="20.1" customHeight="1" s="904">
      <c r="A1003" s="545" t="n"/>
      <c r="B1003" s="909" t="n"/>
      <c r="C1003" s="67" t="inlineStr">
        <is>
          <t>Омский НПЗ</t>
        </is>
      </c>
      <c r="D1003" s="15" t="n"/>
      <c r="E1003" s="15" t="n"/>
      <c r="F1003" s="16" t="n"/>
      <c r="G1003" s="17" t="inlineStr">
        <is>
          <t>18_100330764</t>
        </is>
      </c>
      <c r="H1003" s="636" t="n"/>
      <c r="I1003" s="17" t="n"/>
      <c r="J1003" s="549" t="inlineStr">
        <is>
          <t>тыс.т.</t>
        </is>
      </c>
    </row>
    <row r="1004" ht="20.1" customHeight="1" s="904">
      <c r="A1004" s="545" t="n"/>
      <c r="B1004" s="909" t="n"/>
      <c r="C1004" s="67" t="inlineStr">
        <is>
          <t>Московский НПЗ</t>
        </is>
      </c>
      <c r="D1004" s="15" t="n"/>
      <c r="E1004" s="15" t="n"/>
      <c r="F1004" s="16" t="n"/>
      <c r="G1004" s="17" t="inlineStr">
        <is>
          <t>18_100330765</t>
        </is>
      </c>
      <c r="H1004" s="636" t="n"/>
      <c r="I1004" s="17" t="n"/>
      <c r="J1004" s="549" t="inlineStr">
        <is>
          <t>тыс.т.</t>
        </is>
      </c>
    </row>
    <row r="1005" ht="20.1" customHeight="1" s="904">
      <c r="A1005" s="545" t="n"/>
      <c r="B1005" s="909" t="n"/>
      <c r="C1005" s="67" t="inlineStr">
        <is>
          <t>Славнефть-ЯНОС</t>
        </is>
      </c>
      <c r="D1005" s="15" t="n"/>
      <c r="E1005" s="15" t="n"/>
      <c r="F1005" s="16" t="n"/>
      <c r="G1005" s="17" t="inlineStr">
        <is>
          <t>18_100330766</t>
        </is>
      </c>
      <c r="H1005" s="636" t="n"/>
      <c r="I1005" s="17" t="n"/>
      <c r="J1005" s="24" t="inlineStr">
        <is>
          <t>тыс.т.</t>
        </is>
      </c>
    </row>
    <row r="1006" ht="20.1" customHeight="1" s="904">
      <c r="A1006" s="545" t="n"/>
      <c r="B1006" s="909" t="inlineStr">
        <is>
          <t>2.4</t>
        </is>
      </c>
      <c r="C1006" s="68" t="inlineStr">
        <is>
          <t>Бензин технологический:</t>
        </is>
      </c>
      <c r="D1006" s="15" t="n"/>
      <c r="E1006" s="15" t="n"/>
      <c r="F1006" s="16" t="n"/>
      <c r="G1006" s="17" t="n"/>
      <c r="H1006" s="636" t="n"/>
      <c r="I1006" s="17" t="n"/>
      <c r="J1006" s="549" t="n"/>
    </row>
    <row r="1007" ht="20.1" customHeight="1" s="904">
      <c r="A1007" s="545" t="n"/>
      <c r="B1007" s="909" t="n"/>
      <c r="C1007" s="67" t="inlineStr">
        <is>
          <t>Омский НПЗ</t>
        </is>
      </c>
      <c r="D1007" s="15" t="n"/>
      <c r="E1007" s="15" t="n"/>
      <c r="F1007" s="16" t="n"/>
      <c r="G1007" s="17" t="inlineStr">
        <is>
          <t>18_100330768</t>
        </is>
      </c>
      <c r="H1007" s="636" t="n"/>
      <c r="I1007" s="17" t="n"/>
      <c r="J1007" s="549" t="inlineStr">
        <is>
          <t>тыс.т.</t>
        </is>
      </c>
    </row>
    <row r="1008" ht="20.1" customHeight="1" s="904">
      <c r="A1008" s="545" t="n"/>
      <c r="B1008" s="909" t="n"/>
      <c r="C1008" s="67" t="inlineStr">
        <is>
          <t>Московский НПЗ</t>
        </is>
      </c>
      <c r="D1008" s="15" t="n"/>
      <c r="E1008" s="15" t="n"/>
      <c r="F1008" s="16" t="n"/>
      <c r="G1008" s="17" t="inlineStr">
        <is>
          <t>18_100330769</t>
        </is>
      </c>
      <c r="H1008" s="636" t="n"/>
      <c r="I1008" s="17" t="n"/>
      <c r="J1008" s="549" t="inlineStr">
        <is>
          <t>тыс.т.</t>
        </is>
      </c>
    </row>
    <row r="1009" ht="20.1" customHeight="1" s="904">
      <c r="A1009" s="545" t="n"/>
      <c r="B1009" s="909" t="n"/>
      <c r="C1009" s="67" t="inlineStr">
        <is>
          <t>Славнефть-ЯНОС</t>
        </is>
      </c>
      <c r="D1009" s="15" t="n"/>
      <c r="E1009" s="15" t="n"/>
      <c r="F1009" s="16" t="n"/>
      <c r="G1009" s="17" t="inlineStr">
        <is>
          <t>18_100330770</t>
        </is>
      </c>
      <c r="H1009" s="636" t="n"/>
      <c r="I1009" s="17" t="n"/>
      <c r="J1009" s="24" t="inlineStr">
        <is>
          <t>тыс.т.</t>
        </is>
      </c>
    </row>
    <row r="1010" ht="20.1" customHeight="1" s="904">
      <c r="A1010" s="545" t="n"/>
      <c r="B1010" s="909" t="inlineStr">
        <is>
          <t>2.5</t>
        </is>
      </c>
      <c r="C1010" s="68" t="inlineStr">
        <is>
          <t>Дизельное топливо:</t>
        </is>
      </c>
      <c r="D1010" s="15" t="n"/>
      <c r="E1010" s="15" t="n"/>
      <c r="F1010" s="16" t="n"/>
      <c r="G1010" s="17" t="n"/>
      <c r="H1010" s="636" t="n"/>
      <c r="I1010" s="17" t="n"/>
      <c r="J1010" s="549" t="n"/>
    </row>
    <row r="1011" ht="20.1" customHeight="1" s="904">
      <c r="A1011" s="545" t="n"/>
      <c r="B1011" s="909" t="n"/>
      <c r="C1011" s="67" t="inlineStr">
        <is>
          <t>Омский НПЗ</t>
        </is>
      </c>
      <c r="D1011" s="15" t="n"/>
      <c r="E1011" s="15" t="n"/>
      <c r="F1011" s="16" t="n"/>
      <c r="G1011" s="17" t="inlineStr">
        <is>
          <t>18_100330771</t>
        </is>
      </c>
      <c r="H1011" s="636" t="n"/>
      <c r="I1011" s="17" t="n"/>
      <c r="J1011" s="549" t="inlineStr">
        <is>
          <t>тыс.т.</t>
        </is>
      </c>
    </row>
    <row r="1012" ht="20.1" customHeight="1" s="904">
      <c r="A1012" s="545" t="n"/>
      <c r="B1012" s="909" t="n"/>
      <c r="C1012" s="67" t="inlineStr">
        <is>
          <t>Московский НПЗ</t>
        </is>
      </c>
      <c r="D1012" s="15" t="n"/>
      <c r="E1012" s="15" t="n"/>
      <c r="F1012" s="16" t="n"/>
      <c r="G1012" s="17" t="inlineStr">
        <is>
          <t>18_100330772</t>
        </is>
      </c>
      <c r="H1012" s="636" t="n"/>
      <c r="I1012" s="17" t="n"/>
      <c r="J1012" s="549" t="inlineStr">
        <is>
          <t>тыс.т.</t>
        </is>
      </c>
    </row>
    <row r="1013" ht="20.1" customHeight="1" s="904">
      <c r="A1013" s="545" t="n"/>
      <c r="B1013" s="909" t="n"/>
      <c r="C1013" s="67" t="inlineStr">
        <is>
          <t>Славнефть-ЯНОС</t>
        </is>
      </c>
      <c r="D1013" s="15" t="n"/>
      <c r="E1013" s="15" t="n"/>
      <c r="F1013" s="16" t="n"/>
      <c r="G1013" s="17" t="inlineStr">
        <is>
          <t>18_100330773</t>
        </is>
      </c>
      <c r="H1013" s="636" t="n"/>
      <c r="I1013" s="17" t="n"/>
      <c r="J1013" s="24" t="inlineStr">
        <is>
          <t>тыс.т.</t>
        </is>
      </c>
    </row>
    <row r="1014" ht="20.1" customHeight="1" s="904">
      <c r="A1014" s="545" t="n"/>
      <c r="B1014" s="909" t="inlineStr">
        <is>
          <t>2.6</t>
        </is>
      </c>
      <c r="C1014" s="68" t="inlineStr">
        <is>
          <t>Мазут топочный:</t>
        </is>
      </c>
      <c r="D1014" s="15" t="n"/>
      <c r="E1014" s="15" t="n"/>
      <c r="F1014" s="16" t="n"/>
      <c r="G1014" s="17" t="n"/>
      <c r="H1014" s="636" t="n"/>
      <c r="I1014" s="17" t="n"/>
      <c r="J1014" s="549" t="n"/>
    </row>
    <row r="1015" ht="20.1" customHeight="1" s="904">
      <c r="A1015" s="545" t="n"/>
      <c r="B1015" s="909" t="n"/>
      <c r="C1015" s="67" t="inlineStr">
        <is>
          <t>Омский НПЗ</t>
        </is>
      </c>
      <c r="D1015" s="15" t="n"/>
      <c r="E1015" s="15" t="n"/>
      <c r="F1015" s="16" t="n"/>
      <c r="G1015" s="17" t="inlineStr">
        <is>
          <t>18_100330775</t>
        </is>
      </c>
      <c r="H1015" s="636" t="n"/>
      <c r="I1015" s="17" t="n"/>
      <c r="J1015" s="549" t="inlineStr">
        <is>
          <t>тыс.т.</t>
        </is>
      </c>
    </row>
    <row r="1016" ht="20.1" customHeight="1" s="904">
      <c r="A1016" s="545" t="n"/>
      <c r="B1016" s="909" t="n"/>
      <c r="C1016" s="67" t="inlineStr">
        <is>
          <t>Московский НПЗ</t>
        </is>
      </c>
      <c r="D1016" s="15" t="n"/>
      <c r="E1016" s="15" t="n"/>
      <c r="F1016" s="16" t="n"/>
      <c r="G1016" s="17" t="inlineStr">
        <is>
          <t>18_100330776</t>
        </is>
      </c>
      <c r="H1016" s="636" t="n"/>
      <c r="I1016" s="17" t="n"/>
      <c r="J1016" s="549" t="inlineStr">
        <is>
          <t>тыс.т.</t>
        </is>
      </c>
    </row>
    <row r="1017" ht="20.1" customHeight="1" s="904">
      <c r="A1017" s="545" t="n"/>
      <c r="B1017" s="909" t="n"/>
      <c r="C1017" s="67" t="inlineStr">
        <is>
          <t>Славнефть-ЯНОС</t>
        </is>
      </c>
      <c r="D1017" s="15" t="n"/>
      <c r="E1017" s="15" t="n"/>
      <c r="F1017" s="16" t="n"/>
      <c r="G1017" s="17" t="inlineStr">
        <is>
          <t>18_100330777</t>
        </is>
      </c>
      <c r="H1017" s="636" t="n"/>
      <c r="I1017" s="17" t="n"/>
      <c r="J1017" s="24" t="inlineStr">
        <is>
          <t>тыс.т.</t>
        </is>
      </c>
    </row>
    <row r="1018" ht="20.1" customHeight="1" s="904">
      <c r="A1018" s="545" t="n"/>
      <c r="B1018" s="909" t="inlineStr">
        <is>
          <t>2.7</t>
        </is>
      </c>
      <c r="C1018" s="68" t="inlineStr">
        <is>
          <t>Авиакеросин:</t>
        </is>
      </c>
      <c r="D1018" s="15" t="n"/>
      <c r="E1018" s="15" t="n"/>
      <c r="F1018" s="16" t="n"/>
      <c r="G1018" s="17" t="n"/>
      <c r="H1018" s="636" t="n"/>
      <c r="I1018" s="17" t="n"/>
      <c r="J1018" s="549" t="n"/>
    </row>
    <row r="1019" ht="20.1" customHeight="1" s="904">
      <c r="A1019" s="545" t="n"/>
      <c r="B1019" s="909" t="n"/>
      <c r="C1019" s="67" t="inlineStr">
        <is>
          <t>Омский НПЗ</t>
        </is>
      </c>
      <c r="D1019" s="15" t="n"/>
      <c r="E1019" s="15" t="n"/>
      <c r="F1019" s="16" t="n"/>
      <c r="G1019" s="17" t="inlineStr">
        <is>
          <t>18_100330779</t>
        </is>
      </c>
      <c r="H1019" s="636" t="n"/>
      <c r="I1019" s="17" t="n"/>
      <c r="J1019" s="549" t="inlineStr">
        <is>
          <t>тыс.т.</t>
        </is>
      </c>
    </row>
    <row r="1020" ht="20.1" customHeight="1" s="904">
      <c r="A1020" s="545" t="n"/>
      <c r="B1020" s="909" t="n"/>
      <c r="C1020" s="67" t="inlineStr">
        <is>
          <t>Московский НПЗ</t>
        </is>
      </c>
      <c r="D1020" s="15" t="n"/>
      <c r="E1020" s="15" t="n"/>
      <c r="F1020" s="16" t="n"/>
      <c r="G1020" s="17" t="inlineStr">
        <is>
          <t>18_100330780</t>
        </is>
      </c>
      <c r="H1020" s="636" t="n"/>
      <c r="I1020" s="17" t="n"/>
      <c r="J1020" s="549" t="inlineStr">
        <is>
          <t>тыс.т.</t>
        </is>
      </c>
    </row>
    <row r="1021" ht="20.1" customHeight="1" s="904">
      <c r="A1021" s="545" t="n"/>
      <c r="B1021" s="909" t="n"/>
      <c r="C1021" s="67" t="inlineStr">
        <is>
          <t>Славнефть-ЯНОС</t>
        </is>
      </c>
      <c r="D1021" s="15" t="n"/>
      <c r="E1021" s="15" t="n"/>
      <c r="F1021" s="16" t="n"/>
      <c r="G1021" s="17" t="inlineStr">
        <is>
          <t>18_100330781</t>
        </is>
      </c>
      <c r="H1021" s="636" t="n"/>
      <c r="I1021" s="17" t="n"/>
      <c r="J1021" s="24" t="inlineStr">
        <is>
          <t>тыс.т.</t>
        </is>
      </c>
    </row>
    <row r="1022" ht="20.1" customHeight="1" s="904">
      <c r="A1022" s="545" t="n"/>
      <c r="B1022" s="909" t="inlineStr">
        <is>
          <t>2.8</t>
        </is>
      </c>
      <c r="C1022" s="68" t="inlineStr">
        <is>
          <t>Судовое топливо:</t>
        </is>
      </c>
      <c r="D1022" s="15" t="n"/>
      <c r="E1022" s="15" t="n"/>
      <c r="F1022" s="16" t="n"/>
      <c r="G1022" s="17" t="n"/>
      <c r="H1022" s="636" t="n"/>
      <c r="I1022" s="17" t="n"/>
      <c r="J1022" s="549" t="n"/>
    </row>
    <row r="1023" ht="20.1" customHeight="1" s="904">
      <c r="A1023" s="545" t="n"/>
      <c r="B1023" s="909" t="n"/>
      <c r="C1023" s="67" t="inlineStr">
        <is>
          <t>Омский НПЗ</t>
        </is>
      </c>
      <c r="D1023" s="15" t="n"/>
      <c r="E1023" s="15" t="n"/>
      <c r="F1023" s="16" t="n"/>
      <c r="G1023" s="17" t="inlineStr">
        <is>
          <t>18_100335388</t>
        </is>
      </c>
      <c r="H1023" s="636" t="n"/>
      <c r="I1023" s="17" t="n"/>
      <c r="J1023" s="549" t="inlineStr">
        <is>
          <t>тыс.т.</t>
        </is>
      </c>
    </row>
    <row r="1024" ht="20.1" customHeight="1" s="904">
      <c r="A1024" s="545" t="n"/>
      <c r="B1024" s="909" t="n"/>
      <c r="C1024" s="67" t="inlineStr">
        <is>
          <t>Московский НПЗ</t>
        </is>
      </c>
      <c r="D1024" s="15" t="n"/>
      <c r="E1024" s="15" t="n"/>
      <c r="F1024" s="16" t="n"/>
      <c r="G1024" s="17" t="inlineStr">
        <is>
          <t>18_100335389</t>
        </is>
      </c>
      <c r="H1024" s="636" t="n"/>
      <c r="I1024" s="17" t="n"/>
      <c r="J1024" s="549" t="inlineStr">
        <is>
          <t>тыс.т.</t>
        </is>
      </c>
    </row>
    <row r="1025" ht="20.1" customHeight="1" s="904">
      <c r="A1025" s="545" t="n"/>
      <c r="B1025" s="909" t="n"/>
      <c r="C1025" s="67" t="inlineStr">
        <is>
          <t>Славнефть-ЯНОС</t>
        </is>
      </c>
      <c r="D1025" s="15" t="n"/>
      <c r="E1025" s="15" t="n"/>
      <c r="F1025" s="16" t="n"/>
      <c r="G1025" s="17" t="inlineStr">
        <is>
          <t>18_100335390</t>
        </is>
      </c>
      <c r="H1025" s="636" t="n"/>
      <c r="I1025" s="17" t="n"/>
      <c r="J1025" s="24" t="inlineStr">
        <is>
          <t>тыс.т.</t>
        </is>
      </c>
    </row>
    <row r="1026" ht="20.1" customHeight="1" s="904">
      <c r="A1026" s="545" t="n"/>
      <c r="B1026" s="909" t="inlineStr">
        <is>
          <t>2.9</t>
        </is>
      </c>
      <c r="C1026" s="68" t="inlineStr">
        <is>
          <t>Масла:</t>
        </is>
      </c>
      <c r="D1026" s="15" t="n"/>
      <c r="E1026" s="15" t="n"/>
      <c r="F1026" s="16" t="n"/>
      <c r="G1026" s="17" t="n"/>
      <c r="H1026" s="636" t="n"/>
      <c r="I1026" s="17" t="n"/>
      <c r="J1026" s="549" t="n"/>
    </row>
    <row r="1027" ht="20.1" customHeight="1" s="904">
      <c r="A1027" s="545" t="n"/>
      <c r="B1027" s="909" t="n"/>
      <c r="C1027" s="67" t="inlineStr">
        <is>
          <t>Омский НПЗ</t>
        </is>
      </c>
      <c r="D1027" s="15" t="n"/>
      <c r="E1027" s="15" t="n"/>
      <c r="F1027" s="16" t="n"/>
      <c r="G1027" s="17" t="inlineStr">
        <is>
          <t>18_100335392</t>
        </is>
      </c>
      <c r="H1027" s="636" t="n"/>
      <c r="I1027" s="17" t="n"/>
      <c r="J1027" s="549" t="inlineStr">
        <is>
          <t>тыс.т.</t>
        </is>
      </c>
    </row>
    <row r="1028" ht="20.1" customHeight="1" s="904">
      <c r="A1028" s="545" t="n"/>
      <c r="B1028" s="909" t="n"/>
      <c r="C1028" s="67" t="inlineStr">
        <is>
          <t>Славнефть-ЯНОС</t>
        </is>
      </c>
      <c r="D1028" s="15" t="n"/>
      <c r="E1028" s="15" t="n"/>
      <c r="F1028" s="16" t="n"/>
      <c r="G1028" s="17" t="inlineStr">
        <is>
          <t>18_100330783</t>
        </is>
      </c>
      <c r="H1028" s="636" t="n"/>
      <c r="I1028" s="17" t="n"/>
      <c r="J1028" s="24" t="inlineStr">
        <is>
          <t>тыс.т.</t>
        </is>
      </c>
    </row>
    <row r="1029" ht="20.1" customHeight="1" s="904">
      <c r="A1029" s="545" t="n"/>
      <c r="B1029" s="909" t="inlineStr">
        <is>
          <t>2.10</t>
        </is>
      </c>
      <c r="C1029" s="68" t="inlineStr">
        <is>
          <t>Газы углеводородные сжиженные:</t>
        </is>
      </c>
      <c r="D1029" s="15" t="n"/>
      <c r="E1029" s="15" t="n"/>
      <c r="F1029" s="16" t="n"/>
      <c r="G1029" s="17" t="n"/>
      <c r="H1029" s="636" t="n"/>
      <c r="I1029" s="17" t="n"/>
      <c r="J1029" s="549" t="n"/>
    </row>
    <row r="1030" ht="20.1" customHeight="1" s="904">
      <c r="A1030" s="545" t="n"/>
      <c r="B1030" s="909" t="n"/>
      <c r="C1030" s="67" t="inlineStr">
        <is>
          <t>Омский НПЗ</t>
        </is>
      </c>
      <c r="D1030" s="15" t="n"/>
      <c r="E1030" s="15" t="n"/>
      <c r="F1030" s="16" t="n"/>
      <c r="G1030" s="17" t="inlineStr">
        <is>
          <t>18_100330784</t>
        </is>
      </c>
      <c r="H1030" s="636" t="n"/>
      <c r="I1030" s="17" t="n"/>
      <c r="J1030" s="549" t="inlineStr">
        <is>
          <t>тыс.т.</t>
        </is>
      </c>
    </row>
    <row r="1031" ht="20.1" customHeight="1" s="904">
      <c r="A1031" s="545" t="n"/>
      <c r="B1031" s="909" t="n"/>
      <c r="C1031" s="67" t="inlineStr">
        <is>
          <t>Московский НПЗ</t>
        </is>
      </c>
      <c r="D1031" s="15" t="n"/>
      <c r="E1031" s="15" t="n"/>
      <c r="F1031" s="16" t="n"/>
      <c r="G1031" s="17" t="inlineStr">
        <is>
          <t>18_100330785</t>
        </is>
      </c>
      <c r="H1031" s="636" t="n"/>
      <c r="I1031" s="17" t="n"/>
      <c r="J1031" s="549" t="inlineStr">
        <is>
          <t>тыс.т.</t>
        </is>
      </c>
    </row>
    <row r="1032" ht="20.1" customHeight="1" s="904">
      <c r="A1032" s="545" t="n"/>
      <c r="B1032" s="909" t="n"/>
      <c r="C1032" s="67" t="inlineStr">
        <is>
          <t>Славнефть-ЯНОС</t>
        </is>
      </c>
      <c r="D1032" s="15" t="n"/>
      <c r="E1032" s="15" t="n"/>
      <c r="F1032" s="16" t="n"/>
      <c r="G1032" s="17" t="inlineStr">
        <is>
          <t>18_100330786</t>
        </is>
      </c>
      <c r="H1032" s="636" t="n"/>
      <c r="I1032" s="17" t="n"/>
      <c r="J1032" s="24" t="inlineStr">
        <is>
          <t>тыс.т.</t>
        </is>
      </c>
    </row>
    <row r="1033" ht="20.1" customHeight="1" s="904">
      <c r="A1033" s="545" t="n"/>
      <c r="B1033" s="909" t="inlineStr">
        <is>
          <t>2.11</t>
        </is>
      </c>
      <c r="C1033" s="68" t="inlineStr">
        <is>
          <t>Битумы:</t>
        </is>
      </c>
      <c r="D1033" s="15" t="n"/>
      <c r="E1033" s="15" t="n"/>
      <c r="F1033" s="16" t="n"/>
      <c r="G1033" s="17" t="n"/>
      <c r="H1033" s="636" t="n"/>
      <c r="I1033" s="17" t="n"/>
      <c r="J1033" s="549" t="n"/>
    </row>
    <row r="1034" ht="20.1" customHeight="1" s="904">
      <c r="A1034" s="545" t="n"/>
      <c r="B1034" s="909" t="n"/>
      <c r="C1034" s="67" t="inlineStr">
        <is>
          <t>Омский НПЗ</t>
        </is>
      </c>
      <c r="D1034" s="15" t="n"/>
      <c r="E1034" s="15" t="n"/>
      <c r="F1034" s="16" t="n"/>
      <c r="G1034" s="17" t="inlineStr">
        <is>
          <t>18_100335397</t>
        </is>
      </c>
      <c r="H1034" s="636" t="n"/>
      <c r="I1034" s="17" t="n"/>
      <c r="J1034" s="549" t="inlineStr">
        <is>
          <t>тыс.т.</t>
        </is>
      </c>
    </row>
    <row r="1035" ht="20.1" customHeight="1" s="904">
      <c r="A1035" s="545" t="n"/>
      <c r="B1035" s="909" t="n"/>
      <c r="C1035" s="67" t="inlineStr">
        <is>
          <t>Московский НПЗ</t>
        </is>
      </c>
      <c r="D1035" s="15" t="n"/>
      <c r="E1035" s="15" t="n"/>
      <c r="F1035" s="16" t="n"/>
      <c r="G1035" s="17" t="inlineStr">
        <is>
          <t>18_100335398</t>
        </is>
      </c>
      <c r="H1035" s="636" t="n"/>
      <c r="I1035" s="17" t="n"/>
      <c r="J1035" s="549" t="inlineStr">
        <is>
          <t>тыс.т.</t>
        </is>
      </c>
    </row>
    <row r="1036" ht="20.1" customHeight="1" s="904">
      <c r="A1036" s="545" t="n"/>
      <c r="B1036" s="909" t="n"/>
      <c r="C1036" s="67" t="inlineStr">
        <is>
          <t>Славнефть-ЯНОС</t>
        </is>
      </c>
      <c r="D1036" s="15" t="n"/>
      <c r="E1036" s="15" t="n"/>
      <c r="F1036" s="16" t="n"/>
      <c r="G1036" s="17" t="inlineStr">
        <is>
          <t>18_100335399</t>
        </is>
      </c>
      <c r="H1036" s="636" t="n"/>
      <c r="I1036" s="17" t="n"/>
      <c r="J1036" s="24" t="inlineStr">
        <is>
          <t>тыс.т.</t>
        </is>
      </c>
    </row>
    <row r="1037" ht="20.1" customHeight="1" s="904">
      <c r="A1037" s="545" t="n"/>
      <c r="B1037" s="909" t="inlineStr">
        <is>
          <t>2.12</t>
        </is>
      </c>
      <c r="C1037" s="68" t="inlineStr">
        <is>
          <t>Сера:</t>
        </is>
      </c>
      <c r="D1037" s="15" t="n"/>
      <c r="E1037" s="15" t="n"/>
      <c r="F1037" s="16" t="n"/>
      <c r="G1037" s="17" t="n"/>
      <c r="H1037" s="636" t="n"/>
      <c r="I1037" s="17" t="n"/>
      <c r="J1037" s="549" t="n"/>
    </row>
    <row r="1038" ht="20.1" customHeight="1" s="904">
      <c r="A1038" s="545" t="n"/>
      <c r="B1038" s="909" t="n"/>
      <c r="C1038" s="67" t="inlineStr">
        <is>
          <t>Омский НПЗ</t>
        </is>
      </c>
      <c r="D1038" s="15" t="n"/>
      <c r="E1038" s="15" t="n"/>
      <c r="F1038" s="16" t="n"/>
      <c r="G1038" s="17" t="inlineStr">
        <is>
          <t>18_100335402</t>
        </is>
      </c>
      <c r="H1038" s="636" t="n"/>
      <c r="I1038" s="17" t="n"/>
      <c r="J1038" s="549" t="inlineStr">
        <is>
          <t>тыс.т.</t>
        </is>
      </c>
    </row>
    <row r="1039" ht="20.1" customHeight="1" s="904">
      <c r="A1039" s="545" t="n"/>
      <c r="B1039" s="909" t="n"/>
      <c r="C1039" s="67" t="inlineStr">
        <is>
          <t>Московский НПЗ</t>
        </is>
      </c>
      <c r="D1039" s="15" t="n"/>
      <c r="E1039" s="15" t="n"/>
      <c r="F1039" s="16" t="n"/>
      <c r="G1039" s="17" t="inlineStr">
        <is>
          <t>18_100335403</t>
        </is>
      </c>
      <c r="H1039" s="636" t="n"/>
      <c r="I1039" s="17" t="n"/>
      <c r="J1039" s="549" t="inlineStr">
        <is>
          <t>тыс.т.</t>
        </is>
      </c>
    </row>
    <row r="1040" ht="20.1" customHeight="1" s="904">
      <c r="A1040" s="545" t="n"/>
      <c r="B1040" s="909" t="n"/>
      <c r="C1040" s="67" t="inlineStr">
        <is>
          <t>Славнефть-ЯНОС</t>
        </is>
      </c>
      <c r="D1040" s="15" t="n"/>
      <c r="E1040" s="15" t="n"/>
      <c r="F1040" s="16" t="n"/>
      <c r="G1040" s="17" t="inlineStr">
        <is>
          <t>18_100335404</t>
        </is>
      </c>
      <c r="H1040" s="636" t="n"/>
      <c r="I1040" s="17" t="n"/>
      <c r="J1040" s="24" t="inlineStr">
        <is>
          <t>тыс.т.</t>
        </is>
      </c>
    </row>
    <row r="1041" ht="20.1" customHeight="1" s="904">
      <c r="A1041" s="545" t="n"/>
      <c r="B1041" s="909" t="inlineStr">
        <is>
          <t>2.13</t>
        </is>
      </c>
      <c r="C1041" s="68" t="inlineStr">
        <is>
          <t>Прочие нефтепродукты:</t>
        </is>
      </c>
      <c r="D1041" s="15" t="n"/>
      <c r="E1041" s="15" t="n"/>
      <c r="F1041" s="16" t="n"/>
      <c r="G1041" s="17" t="n"/>
      <c r="H1041" s="636" t="n"/>
      <c r="I1041" s="17" t="n"/>
      <c r="J1041" s="549" t="n"/>
    </row>
    <row r="1042" ht="20.1" customHeight="1" s="904">
      <c r="A1042" s="545" t="n"/>
      <c r="B1042" s="909" t="n"/>
      <c r="C1042" s="67" t="inlineStr">
        <is>
          <t>Омский НПЗ</t>
        </is>
      </c>
      <c r="D1042" s="15" t="n"/>
      <c r="E1042" s="15" t="n"/>
      <c r="F1042" s="16" t="n"/>
      <c r="G1042" s="17" t="inlineStr">
        <is>
          <t>18_100330788</t>
        </is>
      </c>
      <c r="H1042" s="636" t="n"/>
      <c r="I1042" s="17" t="n"/>
      <c r="J1042" s="549" t="inlineStr">
        <is>
          <t>тыс.т.</t>
        </is>
      </c>
    </row>
    <row r="1043" ht="20.1" customHeight="1" s="904">
      <c r="A1043" s="545" t="n"/>
      <c r="B1043" s="909" t="n"/>
      <c r="C1043" s="67" t="inlineStr">
        <is>
          <t>Московский НПЗ</t>
        </is>
      </c>
      <c r="D1043" s="15" t="n"/>
      <c r="E1043" s="15" t="n"/>
      <c r="F1043" s="16" t="n"/>
      <c r="G1043" s="17" t="inlineStr">
        <is>
          <t>18_100330789</t>
        </is>
      </c>
      <c r="H1043" s="636" t="n"/>
      <c r="I1043" s="17" t="n"/>
      <c r="J1043" s="549" t="inlineStr">
        <is>
          <t>тыс.т.</t>
        </is>
      </c>
    </row>
    <row r="1044" ht="20.1" customHeight="1" s="904">
      <c r="A1044" s="545" t="n"/>
      <c r="B1044" s="909" t="n"/>
      <c r="C1044" s="67" t="inlineStr">
        <is>
          <t>Славнефть-ЯНОС</t>
        </is>
      </c>
      <c r="D1044" s="15" t="n"/>
      <c r="E1044" s="15" t="n"/>
      <c r="F1044" s="16" t="n"/>
      <c r="G1044" s="17" t="inlineStr">
        <is>
          <t>18_100330790</t>
        </is>
      </c>
      <c r="H1044" s="636" t="n"/>
      <c r="I1044" s="17" t="n"/>
      <c r="J1044" s="24" t="inlineStr">
        <is>
          <t>тыс.т.</t>
        </is>
      </c>
    </row>
    <row r="1045" ht="20.1" customHeight="1" s="904">
      <c r="A1045" s="545" t="n"/>
      <c r="B1045" s="909" t="n"/>
      <c r="C1045" s="31" t="n"/>
      <c r="D1045" s="15" t="n"/>
      <c r="E1045" s="15" t="n"/>
      <c r="F1045" s="16" t="n"/>
      <c r="G1045" s="17" t="n"/>
      <c r="H1045" s="636" t="n"/>
      <c r="I1045" s="17" t="n"/>
      <c r="J1045" s="24" t="n"/>
    </row>
    <row r="1046" ht="20.1" customHeight="1" s="904">
      <c r="A1046" s="545" t="n"/>
      <c r="B1046" s="909" t="n"/>
      <c r="C1046" s="69" t="inlineStr">
        <is>
          <t>Группа Газпром нефтехим Салават</t>
        </is>
      </c>
      <c r="D1046" s="15" t="n"/>
      <c r="E1046" s="15" t="n"/>
      <c r="F1046" s="16" t="n"/>
      <c r="G1046" s="17" t="n"/>
      <c r="H1046" s="636" t="n"/>
      <c r="I1046" s="17" t="n"/>
      <c r="J1046" s="70" t="n"/>
    </row>
    <row r="1047" ht="30.75" customHeight="1" s="904">
      <c r="A1047" s="545" t="n"/>
      <c r="B1047" s="909" t="n"/>
      <c r="C1047" s="71" t="inlineStr">
        <is>
          <t>НЕФТЕПЕРЕРАБАТЫВАЮЩИЙ ЗАВОД (НПЗ)</t>
        </is>
      </c>
      <c r="D1047" s="15" t="n"/>
      <c r="E1047" s="15" t="n"/>
      <c r="F1047" s="16" t="n"/>
      <c r="G1047" s="17" t="n"/>
      <c r="H1047" s="636" t="n"/>
      <c r="I1047" s="17" t="n"/>
      <c r="J1047" s="615" t="n"/>
    </row>
    <row r="1048" ht="35.1" customHeight="1" s="904">
      <c r="A1048" s="545" t="n"/>
      <c r="B1048" s="909" t="inlineStr">
        <is>
          <t>1.</t>
        </is>
      </c>
      <c r="C1048" s="58" t="inlineStr">
        <is>
          <t>ПОСТАВКА (ПОКУПКА) СЫРЬЯ  
ООО "ГАЗПРОМ НЕФТЕХИМ САЛАВАТ":</t>
        </is>
      </c>
      <c r="D1048" s="15" t="n"/>
      <c r="E1048" s="15" t="n"/>
      <c r="F1048" s="16" t="n"/>
      <c r="G1048" s="17" t="inlineStr">
        <is>
          <t>17_100335977</t>
        </is>
      </c>
      <c r="H1048" s="636" t="n"/>
      <c r="I1048" s="17" t="n"/>
      <c r="J1048" s="615" t="inlineStr">
        <is>
          <t>тыс.т.</t>
        </is>
      </c>
    </row>
    <row r="1049" ht="20.1" customHeight="1" s="904">
      <c r="A1049" s="545" t="n"/>
      <c r="B1049" s="909" t="inlineStr">
        <is>
          <t>1.1</t>
        </is>
      </c>
      <c r="C1049" s="72" t="inlineStr">
        <is>
          <t>Конденсат газовый стабильный</t>
        </is>
      </c>
      <c r="D1049" s="15" t="n"/>
      <c r="E1049" s="15" t="n"/>
      <c r="F1049" s="16" t="n"/>
      <c r="G1049" s="17" t="inlineStr">
        <is>
          <t>17_100335978</t>
        </is>
      </c>
      <c r="H1049" s="636" t="n"/>
      <c r="I1049" s="17" t="n"/>
      <c r="J1049" s="615" t="inlineStr">
        <is>
          <t>тыс.т.</t>
        </is>
      </c>
    </row>
    <row r="1050" ht="20.1" customHeight="1" s="904">
      <c r="A1050" s="545" t="n"/>
      <c r="B1050" s="909" t="n"/>
      <c r="C1050" s="72" t="inlineStr">
        <is>
          <t>ПАО "Газпром":</t>
        </is>
      </c>
      <c r="D1050" s="15" t="n"/>
      <c r="E1050" s="15" t="n"/>
      <c r="F1050" s="16" t="n"/>
      <c r="G1050" s="17" t="inlineStr">
        <is>
          <t>17_100335979</t>
        </is>
      </c>
      <c r="H1050" s="636" t="n"/>
      <c r="I1050" s="17" t="n"/>
      <c r="J1050" s="549" t="inlineStr">
        <is>
          <t>тыс.т.</t>
        </is>
      </c>
    </row>
    <row r="1051" ht="20.1" customHeight="1" s="904">
      <c r="A1051" s="545" t="n"/>
      <c r="B1051" s="909" t="n"/>
      <c r="C1051" s="73" t="inlineStr">
        <is>
          <t>Астраханский ГПЗ</t>
        </is>
      </c>
      <c r="D1051" s="15" t="n"/>
      <c r="E1051" s="15" t="n"/>
      <c r="F1051" s="16" t="n"/>
      <c r="G1051" s="17" t="inlineStr">
        <is>
          <t>17_100335980</t>
        </is>
      </c>
      <c r="H1051" s="636" t="n"/>
      <c r="I1051" s="17" t="n"/>
      <c r="J1051" s="549" t="inlineStr">
        <is>
          <t>тыс.т.</t>
        </is>
      </c>
    </row>
    <row r="1052" ht="20.1" customHeight="1" s="904">
      <c r="A1052" s="545" t="n"/>
      <c r="B1052" s="909" t="n"/>
      <c r="C1052" s="73" t="inlineStr">
        <is>
          <t>Сургутский ЗСК</t>
        </is>
      </c>
      <c r="D1052" s="15" t="n"/>
      <c r="E1052" s="15" t="n"/>
      <c r="F1052" s="16" t="n"/>
      <c r="G1052" s="17" t="inlineStr">
        <is>
          <t>17_100335981</t>
        </is>
      </c>
      <c r="H1052" s="636" t="n"/>
      <c r="I1052" s="17" t="n"/>
      <c r="J1052" s="549" t="inlineStr">
        <is>
          <t>тыс.т.</t>
        </is>
      </c>
    </row>
    <row r="1053" ht="20.1" customHeight="1" s="904">
      <c r="A1053" s="545" t="n"/>
      <c r="B1053" s="909" t="n"/>
      <c r="C1053" s="73" t="inlineStr">
        <is>
          <t>Сосногорский ГПЗ</t>
        </is>
      </c>
      <c r="D1053" s="15" t="n"/>
      <c r="E1053" s="15" t="n"/>
      <c r="F1053" s="16" t="n"/>
      <c r="G1053" s="17" t="inlineStr">
        <is>
          <t>17_100335982</t>
        </is>
      </c>
      <c r="H1053" s="636" t="n"/>
      <c r="I1053" s="17" t="n"/>
      <c r="J1053" s="549" t="inlineStr">
        <is>
          <t>тыс.т.</t>
        </is>
      </c>
    </row>
    <row r="1054" ht="20.1" customHeight="1" s="904">
      <c r="A1054" s="545" t="n"/>
      <c r="B1054" s="909" t="n"/>
      <c r="C1054" s="72" t="inlineStr">
        <is>
          <t>ООО "Газпром добыча Иркутск"</t>
        </is>
      </c>
      <c r="D1054" s="15" t="n"/>
      <c r="E1054" s="15" t="n"/>
      <c r="F1054" s="16" t="n"/>
      <c r="G1054" s="17" t="inlineStr">
        <is>
          <t>17_100335983</t>
        </is>
      </c>
      <c r="H1054" s="636" t="n"/>
      <c r="I1054" s="17" t="n"/>
      <c r="J1054" s="615" t="inlineStr">
        <is>
          <t>тыс.т.</t>
        </is>
      </c>
    </row>
    <row r="1055" ht="20.1" customHeight="1" s="904">
      <c r="A1055" s="545" t="n"/>
      <c r="B1055" s="909" t="n"/>
      <c r="C1055" s="72" t="inlineStr">
        <is>
          <t xml:space="preserve">ПАО "НОВАТЭК" </t>
        </is>
      </c>
      <c r="D1055" s="15" t="n"/>
      <c r="E1055" s="15" t="n"/>
      <c r="F1055" s="16" t="n"/>
      <c r="G1055" s="17" t="inlineStr">
        <is>
          <t>17_100335984</t>
        </is>
      </c>
      <c r="H1055" s="636" t="n"/>
      <c r="I1055" s="17" t="n"/>
      <c r="J1055" s="615" t="inlineStr">
        <is>
          <t>тыс.т.</t>
        </is>
      </c>
    </row>
    <row r="1056" ht="20.1" customHeight="1" s="904">
      <c r="A1056" s="545" t="n"/>
      <c r="B1056" s="909" t="n"/>
      <c r="C1056" s="72" t="inlineStr">
        <is>
          <t>Прочие поставщики</t>
        </is>
      </c>
      <c r="D1056" s="15" t="n"/>
      <c r="E1056" s="15" t="n"/>
      <c r="F1056" s="16" t="n"/>
      <c r="G1056" s="17" t="inlineStr">
        <is>
          <t>17_100335985</t>
        </is>
      </c>
      <c r="H1056" s="636" t="n"/>
      <c r="I1056" s="17" t="n"/>
      <c r="J1056" s="615" t="inlineStr">
        <is>
          <t>тыс.т.</t>
        </is>
      </c>
    </row>
    <row r="1057" ht="20.1" customHeight="1" s="904">
      <c r="A1057" s="545" t="n"/>
      <c r="B1057" s="909" t="inlineStr">
        <is>
          <t>1.2</t>
        </is>
      </c>
      <c r="C1057" s="72" t="inlineStr">
        <is>
          <t>Нефть</t>
        </is>
      </c>
      <c r="D1057" s="15" t="n"/>
      <c r="E1057" s="15" t="n"/>
      <c r="F1057" s="16" t="n"/>
      <c r="G1057" s="17" t="inlineStr">
        <is>
          <t>17_100335986</t>
        </is>
      </c>
      <c r="H1057" s="636" t="n"/>
      <c r="I1057" s="17" t="n"/>
      <c r="J1057" s="549" t="inlineStr">
        <is>
          <t>тыс.т.</t>
        </is>
      </c>
    </row>
    <row r="1058" ht="20.1" customHeight="1" s="904">
      <c r="A1058" s="545" t="n"/>
      <c r="B1058" s="909" t="n"/>
      <c r="C1058" s="72" t="inlineStr">
        <is>
          <t>ПАО "Газпром" (Оренбургский ГПЗ)</t>
        </is>
      </c>
      <c r="D1058" s="15" t="n"/>
      <c r="E1058" s="15" t="n"/>
      <c r="F1058" s="16" t="n"/>
      <c r="G1058" s="17" t="inlineStr">
        <is>
          <t>17_100335987</t>
        </is>
      </c>
      <c r="H1058" s="636" t="n"/>
      <c r="I1058" s="17" t="n"/>
      <c r="J1058" s="549" t="inlineStr">
        <is>
          <t>тыс.т.</t>
        </is>
      </c>
    </row>
    <row r="1059" ht="20.1" customHeight="1" s="904">
      <c r="A1059" s="545" t="n"/>
      <c r="B1059" s="909" t="n"/>
      <c r="C1059" s="72" t="inlineStr">
        <is>
          <t>ООО "Сервиснефтегаз" (Оренбургский ГПЗ)</t>
        </is>
      </c>
      <c r="D1059" s="15" t="n"/>
      <c r="E1059" s="15" t="n"/>
      <c r="F1059" s="16" t="n"/>
      <c r="G1059" s="17" t="inlineStr">
        <is>
          <t>17_100335989</t>
        </is>
      </c>
      <c r="H1059" s="636" t="n"/>
      <c r="I1059" s="17" t="n"/>
      <c r="J1059" s="549" t="inlineStr">
        <is>
          <t>тыс.т.</t>
        </is>
      </c>
    </row>
    <row r="1060" ht="20.1" customHeight="1" s="904">
      <c r="A1060" s="545" t="n"/>
      <c r="B1060" s="909" t="n"/>
      <c r="C1060" s="72" t="inlineStr">
        <is>
          <t>ТОО "КазРосГаз" (Оренбургский ГПЗ)</t>
        </is>
      </c>
      <c r="D1060" s="15" t="n"/>
      <c r="E1060" s="15" t="n"/>
      <c r="F1060" s="16" t="n"/>
      <c r="G1060" s="17" t="inlineStr">
        <is>
          <t>17_100335990</t>
        </is>
      </c>
      <c r="H1060" s="636" t="n"/>
      <c r="I1060" s="17" t="n"/>
      <c r="J1060" s="549" t="inlineStr">
        <is>
          <t>тыс.т.</t>
        </is>
      </c>
    </row>
    <row r="1061" ht="20.1" customHeight="1" s="904">
      <c r="A1061" s="545" t="n"/>
      <c r="B1061" s="909" t="n"/>
      <c r="C1061" s="72" t="inlineStr">
        <is>
          <t>ООО "ГПН-Трейд Оренбург" (Оренбургский ГПЗ)</t>
        </is>
      </c>
      <c r="D1061" s="15" t="n"/>
      <c r="E1061" s="15" t="n"/>
      <c r="F1061" s="16" t="n"/>
      <c r="G1061" s="17" t="inlineStr">
        <is>
          <t>17_100336105</t>
        </is>
      </c>
      <c r="H1061" s="636" t="n"/>
      <c r="I1061" s="17" t="n"/>
      <c r="J1061" s="549" t="inlineStr">
        <is>
          <t>тыс.т.</t>
        </is>
      </c>
    </row>
    <row r="1062" ht="20.1" customHeight="1" s="904">
      <c r="A1062" s="545" t="n"/>
      <c r="B1062" s="909" t="n"/>
      <c r="C1062" s="72" t="inlineStr">
        <is>
          <t>ООО "Газпром нефть Оренбург" Царичанская нефть</t>
        </is>
      </c>
      <c r="D1062" s="15" t="n"/>
      <c r="E1062" s="15" t="n"/>
      <c r="F1062" s="16" t="n"/>
      <c r="G1062" s="17" t="inlineStr">
        <is>
          <t>17_100335991</t>
        </is>
      </c>
      <c r="H1062" s="636" t="n"/>
      <c r="I1062" s="17" t="n"/>
      <c r="J1062" s="549" t="inlineStr">
        <is>
          <t>тыс.т.</t>
        </is>
      </c>
    </row>
    <row r="1063" ht="20.1" customHeight="1" s="904">
      <c r="A1063" s="545" t="n"/>
      <c r="B1063" s="909" t="n"/>
      <c r="C1063" s="72" t="inlineStr">
        <is>
          <t>ПАО "Газпром нефть и пр. Западно-Сибирская нефть</t>
        </is>
      </c>
      <c r="D1063" s="15" t="n"/>
      <c r="E1063" s="15" t="n"/>
      <c r="F1063" s="16" t="n"/>
      <c r="G1063" s="17" t="inlineStr">
        <is>
          <t>17_100335992</t>
        </is>
      </c>
      <c r="H1063" s="636" t="n"/>
      <c r="I1063" s="17" t="n"/>
      <c r="J1063" s="549" t="inlineStr">
        <is>
          <t>тыс.т.</t>
        </is>
      </c>
    </row>
    <row r="1064" ht="20.1" customHeight="1" s="904">
      <c r="A1064" s="545" t="n"/>
      <c r="B1064" s="909" t="n"/>
      <c r="C1064" s="72" t="inlineStr">
        <is>
          <t>Прочие поставщики</t>
        </is>
      </c>
      <c r="D1064" s="15" t="n"/>
      <c r="E1064" s="15" t="n"/>
      <c r="F1064" s="16" t="n"/>
      <c r="G1064" s="17" t="inlineStr">
        <is>
          <t>17_100335993</t>
        </is>
      </c>
      <c r="H1064" s="636" t="n"/>
      <c r="I1064" s="17" t="n"/>
      <c r="J1064" s="615" t="inlineStr">
        <is>
          <t>тыс.т.</t>
        </is>
      </c>
    </row>
    <row r="1065" ht="20.1" customHeight="1" s="904">
      <c r="A1065" s="545" t="n"/>
      <c r="B1065" s="909" t="inlineStr">
        <is>
          <t>1.3</t>
        </is>
      </c>
      <c r="C1065" s="72" t="inlineStr">
        <is>
          <t>Мазут</t>
        </is>
      </c>
      <c r="D1065" s="15" t="n"/>
      <c r="E1065" s="15" t="n"/>
      <c r="F1065" s="16" t="n"/>
      <c r="G1065" s="17" t="inlineStr">
        <is>
          <t>17_100335994</t>
        </is>
      </c>
      <c r="H1065" s="636" t="n"/>
      <c r="I1065" s="17" t="n"/>
      <c r="J1065" s="549" t="inlineStr">
        <is>
          <t>тыс.т.</t>
        </is>
      </c>
    </row>
    <row r="1066" ht="20.1" customHeight="1" s="904">
      <c r="A1066" s="545" t="n"/>
      <c r="B1066" s="909" t="n"/>
      <c r="C1066" s="73" t="inlineStr">
        <is>
          <t>ПАО "Газпром" (Астраханский ГПЗ)</t>
        </is>
      </c>
      <c r="D1066" s="15" t="n"/>
      <c r="E1066" s="15" t="n"/>
      <c r="F1066" s="16" t="n"/>
      <c r="G1066" s="17" t="inlineStr">
        <is>
          <t>17_100335995</t>
        </is>
      </c>
      <c r="H1066" s="636" t="n"/>
      <c r="I1066" s="17" t="n"/>
      <c r="J1066" s="615" t="inlineStr">
        <is>
          <t>тыс.т.</t>
        </is>
      </c>
    </row>
    <row r="1067" ht="31.5" customHeight="1" s="904">
      <c r="A1067" s="545" t="n"/>
      <c r="B1067" s="909" t="inlineStr">
        <is>
          <t>1.4</t>
        </is>
      </c>
      <c r="C1067" s="71" t="inlineStr">
        <is>
          <t>Прочее углеводородное сырье (вакуумный газойль)</t>
        </is>
      </c>
      <c r="D1067" s="15" t="n"/>
      <c r="E1067" s="15" t="n"/>
      <c r="F1067" s="16" t="n"/>
      <c r="G1067" s="17" t="inlineStr">
        <is>
          <t>17_100335997</t>
        </is>
      </c>
      <c r="H1067" s="636" t="n"/>
      <c r="I1067" s="17" t="n"/>
      <c r="J1067" s="615" t="inlineStr">
        <is>
          <t>тыс.т.</t>
        </is>
      </c>
    </row>
    <row r="1068" ht="35.1" customHeight="1" s="904">
      <c r="A1068" s="545" t="n"/>
      <c r="B1068" s="909" t="inlineStr">
        <is>
          <t>2.</t>
        </is>
      </c>
      <c r="C1068" s="58" t="inlineStr">
        <is>
          <t>ПЕРЕРАБОТКА СЫРЬЯ 
ООО "ГАЗПРОМ НЕФТЕХИМ САЛАВАТ":</t>
        </is>
      </c>
      <c r="D1068" s="15" t="n"/>
      <c r="E1068" s="15" t="n"/>
      <c r="F1068" s="16" t="n"/>
      <c r="G1068" s="17" t="inlineStr">
        <is>
          <t>17_100330802</t>
        </is>
      </c>
      <c r="H1068" s="636" t="n"/>
      <c r="I1068" s="17" t="n"/>
      <c r="J1068" s="615" t="inlineStr">
        <is>
          <t>тыс.т.</t>
        </is>
      </c>
    </row>
    <row r="1069" ht="20.1" customHeight="1" s="904">
      <c r="A1069" s="545" t="n"/>
      <c r="B1069" s="909" t="inlineStr">
        <is>
          <t>2.1</t>
        </is>
      </c>
      <c r="C1069" s="72" t="inlineStr">
        <is>
          <t>Конденсат газовый стабильный</t>
        </is>
      </c>
      <c r="D1069" s="15" t="n"/>
      <c r="E1069" s="15" t="n"/>
      <c r="F1069" s="16" t="n"/>
      <c r="G1069" s="17" t="inlineStr">
        <is>
          <t>17_100330804</t>
        </is>
      </c>
      <c r="H1069" s="636" t="n"/>
      <c r="I1069" s="17" t="n"/>
      <c r="J1069" s="549" t="inlineStr">
        <is>
          <t>тыс.т.</t>
        </is>
      </c>
    </row>
    <row r="1070" ht="20.1" customHeight="1" s="904">
      <c r="A1070" s="545" t="n"/>
      <c r="B1070" s="909" t="n"/>
      <c r="C1070" s="72" t="inlineStr">
        <is>
          <t>ПАО "Газпром":</t>
        </is>
      </c>
      <c r="D1070" s="15" t="n"/>
      <c r="E1070" s="15" t="n"/>
      <c r="F1070" s="16" t="n"/>
      <c r="G1070" s="17" t="inlineStr">
        <is>
          <t>17_100335998</t>
        </is>
      </c>
      <c r="H1070" s="636" t="n"/>
      <c r="I1070" s="17" t="n"/>
      <c r="J1070" s="549" t="inlineStr">
        <is>
          <t>тыс.т.</t>
        </is>
      </c>
    </row>
    <row r="1071" ht="20.1" customHeight="1" s="904">
      <c r="A1071" s="545" t="n"/>
      <c r="B1071" s="909" t="n"/>
      <c r="C1071" s="73" t="inlineStr">
        <is>
          <t xml:space="preserve"> Астраханский ГПЗ</t>
        </is>
      </c>
      <c r="D1071" s="15" t="n"/>
      <c r="E1071" s="15" t="n"/>
      <c r="F1071" s="16" t="n"/>
      <c r="G1071" s="17" t="inlineStr">
        <is>
          <t>17_100335999</t>
        </is>
      </c>
      <c r="H1071" s="636" t="n"/>
      <c r="I1071" s="17" t="n"/>
      <c r="J1071" s="549" t="inlineStr">
        <is>
          <t>тыс.т.</t>
        </is>
      </c>
    </row>
    <row r="1072" ht="20.1" customHeight="1" s="904">
      <c r="A1072" s="545" t="n"/>
      <c r="B1072" s="909" t="n"/>
      <c r="C1072" s="73" t="inlineStr">
        <is>
          <t xml:space="preserve"> Сургутский ЗСК</t>
        </is>
      </c>
      <c r="D1072" s="15" t="n"/>
      <c r="E1072" s="15" t="n"/>
      <c r="F1072" s="16" t="n"/>
      <c r="G1072" s="17" t="inlineStr">
        <is>
          <t>17_100336000</t>
        </is>
      </c>
      <c r="H1072" s="636" t="n"/>
      <c r="I1072" s="17" t="n"/>
      <c r="J1072" s="549" t="inlineStr">
        <is>
          <t>тыс.т.</t>
        </is>
      </c>
    </row>
    <row r="1073" ht="20.1" customHeight="1" s="904">
      <c r="A1073" s="545" t="n"/>
      <c r="B1073" s="909" t="n"/>
      <c r="C1073" s="73" t="inlineStr">
        <is>
          <t xml:space="preserve"> Сосногорский ГПЗ</t>
        </is>
      </c>
      <c r="D1073" s="15" t="n"/>
      <c r="E1073" s="15" t="n"/>
      <c r="F1073" s="16" t="n"/>
      <c r="G1073" s="17" t="inlineStr">
        <is>
          <t>17_100336001</t>
        </is>
      </c>
      <c r="H1073" s="636" t="n"/>
      <c r="I1073" s="17" t="n"/>
      <c r="J1073" s="549" t="inlineStr">
        <is>
          <t>тыс.т.</t>
        </is>
      </c>
    </row>
    <row r="1074" ht="20.1" customHeight="1" s="904">
      <c r="A1074" s="545" t="n"/>
      <c r="B1074" s="909" t="n"/>
      <c r="C1074" s="72" t="inlineStr">
        <is>
          <t>ООО "Газпром добыча Иркутск"</t>
        </is>
      </c>
      <c r="D1074" s="15" t="n"/>
      <c r="E1074" s="15" t="n"/>
      <c r="F1074" s="16" t="n"/>
      <c r="G1074" s="17" t="inlineStr">
        <is>
          <t>17_100336002</t>
        </is>
      </c>
      <c r="H1074" s="636" t="n"/>
      <c r="I1074" s="17" t="n"/>
      <c r="J1074" s="549" t="inlineStr">
        <is>
          <t>тыс.т.</t>
        </is>
      </c>
    </row>
    <row r="1075" ht="20.1" customHeight="1" s="904">
      <c r="A1075" s="545" t="n"/>
      <c r="B1075" s="909" t="n"/>
      <c r="C1075" s="72" t="inlineStr">
        <is>
          <t xml:space="preserve">ПАО "НОВАТЭК" </t>
        </is>
      </c>
      <c r="D1075" s="15" t="n"/>
      <c r="E1075" s="15" t="n"/>
      <c r="F1075" s="16" t="n"/>
      <c r="G1075" s="17" t="inlineStr">
        <is>
          <t>17_100336003</t>
        </is>
      </c>
      <c r="H1075" s="636" t="n"/>
      <c r="I1075" s="17" t="n"/>
      <c r="J1075" s="549" t="inlineStr">
        <is>
          <t>тыс.т.</t>
        </is>
      </c>
    </row>
    <row r="1076" ht="20.1" customHeight="1" s="904">
      <c r="A1076" s="545" t="n"/>
      <c r="B1076" s="909" t="n"/>
      <c r="C1076" s="72" t="inlineStr">
        <is>
          <t>Прочие поставщики</t>
        </is>
      </c>
      <c r="D1076" s="15" t="n"/>
      <c r="E1076" s="15" t="n"/>
      <c r="F1076" s="16" t="n"/>
      <c r="G1076" s="17" t="inlineStr">
        <is>
          <t>17_100336004</t>
        </is>
      </c>
      <c r="H1076" s="636" t="n"/>
      <c r="I1076" s="17" t="n"/>
      <c r="J1076" s="615" t="inlineStr">
        <is>
          <t>тыс.т.</t>
        </is>
      </c>
    </row>
    <row r="1077" ht="20.1" customHeight="1" s="904">
      <c r="A1077" s="545" t="n"/>
      <c r="B1077" s="909" t="inlineStr">
        <is>
          <t>2.2</t>
        </is>
      </c>
      <c r="C1077" s="72" t="inlineStr">
        <is>
          <t>Нефть</t>
        </is>
      </c>
      <c r="D1077" s="15" t="n"/>
      <c r="E1077" s="15" t="n"/>
      <c r="F1077" s="16" t="n"/>
      <c r="G1077" s="17" t="inlineStr">
        <is>
          <t>17_100330803</t>
        </is>
      </c>
      <c r="H1077" s="636" t="n"/>
      <c r="I1077" s="17" t="n"/>
      <c r="J1077" s="549" t="inlineStr">
        <is>
          <t>тыс.т.</t>
        </is>
      </c>
    </row>
    <row r="1078" ht="20.1" customHeight="1" s="904">
      <c r="A1078" s="545" t="n"/>
      <c r="B1078" s="909" t="n"/>
      <c r="C1078" s="72" t="inlineStr">
        <is>
          <t>ПАО "Газпром" (Оренбургский ГПЗ)</t>
        </is>
      </c>
      <c r="D1078" s="15" t="n"/>
      <c r="E1078" s="15" t="n"/>
      <c r="F1078" s="16" t="n"/>
      <c r="G1078" s="17" t="inlineStr">
        <is>
          <t>17_100336005</t>
        </is>
      </c>
      <c r="H1078" s="636" t="n"/>
      <c r="I1078" s="17" t="n"/>
      <c r="J1078" s="549" t="inlineStr">
        <is>
          <t>тыс.т.</t>
        </is>
      </c>
    </row>
    <row r="1079" ht="20.1" customHeight="1" s="904">
      <c r="A1079" s="545" t="n"/>
      <c r="B1079" s="909" t="n"/>
      <c r="C1079" s="72" t="inlineStr">
        <is>
          <t>ООО "Сервиснефтегаз" (Оренбургский ГПЗ)</t>
        </is>
      </c>
      <c r="D1079" s="15" t="n"/>
      <c r="E1079" s="15" t="n"/>
      <c r="F1079" s="16" t="n"/>
      <c r="G1079" s="17" t="inlineStr">
        <is>
          <t>17_100336007</t>
        </is>
      </c>
      <c r="H1079" s="636" t="n"/>
      <c r="I1079" s="17" t="n"/>
      <c r="J1079" s="549" t="inlineStr">
        <is>
          <t>тыс.т.</t>
        </is>
      </c>
    </row>
    <row r="1080" ht="20.1" customHeight="1" s="904">
      <c r="A1080" s="545" t="n"/>
      <c r="B1080" s="909" t="n"/>
      <c r="C1080" s="72" t="inlineStr">
        <is>
          <t>ТОО "КазРосГаз" (Оренбургский ГПЗ)</t>
        </is>
      </c>
      <c r="D1080" s="15" t="n"/>
      <c r="E1080" s="15" t="n"/>
      <c r="F1080" s="16" t="n"/>
      <c r="G1080" s="17" t="inlineStr">
        <is>
          <t>17_100336008</t>
        </is>
      </c>
      <c r="H1080" s="636" t="n"/>
      <c r="I1080" s="17" t="n"/>
      <c r="J1080" s="549" t="inlineStr">
        <is>
          <t>тыс.т.</t>
        </is>
      </c>
    </row>
    <row r="1081" ht="20.1" customHeight="1" s="904">
      <c r="A1081" s="545" t="n"/>
      <c r="B1081" s="909" t="n"/>
      <c r="C1081" s="72" t="inlineStr">
        <is>
          <t>ООО "ГПН-Трейд Оренбург" (Оренбургский ГПЗ)</t>
        </is>
      </c>
      <c r="D1081" s="15" t="n"/>
      <c r="E1081" s="15" t="n"/>
      <c r="F1081" s="16" t="n"/>
      <c r="G1081" s="17" t="inlineStr">
        <is>
          <t>17_100336106</t>
        </is>
      </c>
      <c r="H1081" s="636" t="n"/>
      <c r="I1081" s="17" t="n"/>
      <c r="J1081" s="549" t="inlineStr">
        <is>
          <t>тыс.т.</t>
        </is>
      </c>
    </row>
    <row r="1082" ht="20.1" customHeight="1" s="904">
      <c r="A1082" s="545" t="n"/>
      <c r="B1082" s="909" t="n"/>
      <c r="C1082" s="72" t="inlineStr">
        <is>
          <t>ООО "Газпром нефть Оренбург" Царичанская нефть</t>
        </is>
      </c>
      <c r="D1082" s="15" t="n"/>
      <c r="E1082" s="15" t="n"/>
      <c r="F1082" s="16" t="n"/>
      <c r="G1082" s="17" t="inlineStr">
        <is>
          <t>17_100336009</t>
        </is>
      </c>
      <c r="H1082" s="636" t="n"/>
      <c r="I1082" s="17" t="n"/>
      <c r="J1082" s="549" t="inlineStr">
        <is>
          <t>тыс.т.</t>
        </is>
      </c>
    </row>
    <row r="1083" ht="20.1" customHeight="1" s="904">
      <c r="A1083" s="545" t="n"/>
      <c r="B1083" s="909" t="n"/>
      <c r="C1083" s="72" t="inlineStr">
        <is>
          <t>ПАО "Газпром нефть и пр. Западно-Сибирская нефть</t>
        </is>
      </c>
      <c r="D1083" s="15" t="n"/>
      <c r="E1083" s="15" t="n"/>
      <c r="F1083" s="16" t="n"/>
      <c r="G1083" s="17" t="inlineStr">
        <is>
          <t>17_100336010</t>
        </is>
      </c>
      <c r="H1083" s="636" t="n"/>
      <c r="I1083" s="17" t="n"/>
      <c r="J1083" s="549" t="inlineStr">
        <is>
          <t>тыс.т.</t>
        </is>
      </c>
    </row>
    <row r="1084" ht="20.1" customHeight="1" s="904">
      <c r="A1084" s="545" t="n"/>
      <c r="B1084" s="909" t="inlineStr">
        <is>
          <t>2.3</t>
        </is>
      </c>
      <c r="C1084" s="72" t="inlineStr">
        <is>
          <t>Прочие поставщики</t>
        </is>
      </c>
      <c r="D1084" s="15" t="n"/>
      <c r="E1084" s="15" t="n"/>
      <c r="F1084" s="16" t="n"/>
      <c r="G1084" s="17" t="inlineStr">
        <is>
          <t>17_100336011</t>
        </is>
      </c>
      <c r="H1084" s="636" t="n"/>
      <c r="I1084" s="17" t="n"/>
      <c r="J1084" s="615" t="inlineStr">
        <is>
          <t>тыс.т.</t>
        </is>
      </c>
    </row>
    <row r="1085" ht="20.1" customHeight="1" s="904">
      <c r="A1085" s="545" t="n"/>
      <c r="B1085" s="909" t="inlineStr">
        <is>
          <t>2.4</t>
        </is>
      </c>
      <c r="C1085" s="72" t="inlineStr">
        <is>
          <t>Мазут</t>
        </is>
      </c>
      <c r="D1085" s="15" t="n"/>
      <c r="E1085" s="15" t="n"/>
      <c r="F1085" s="16" t="n"/>
      <c r="G1085" s="17" t="inlineStr">
        <is>
          <t>17_100330807</t>
        </is>
      </c>
      <c r="H1085" s="636" t="n"/>
      <c r="I1085" s="17" t="n"/>
      <c r="J1085" s="549" t="inlineStr">
        <is>
          <t>тыс.т.</t>
        </is>
      </c>
    </row>
    <row r="1086" ht="20.1" customHeight="1" s="904">
      <c r="A1086" s="545" t="n"/>
      <c r="B1086" s="909" t="n"/>
      <c r="C1086" s="74" t="inlineStr">
        <is>
          <t>ПАО "Газпром" (Астраханский ГПЗ)</t>
        </is>
      </c>
      <c r="D1086" s="15" t="n"/>
      <c r="E1086" s="15" t="n"/>
      <c r="F1086" s="16" t="n"/>
      <c r="G1086" s="17" t="inlineStr">
        <is>
          <t>17_100336012</t>
        </is>
      </c>
      <c r="H1086" s="636" t="n"/>
      <c r="I1086" s="17" t="n"/>
      <c r="J1086" s="549" t="inlineStr">
        <is>
          <t>тыс.т.</t>
        </is>
      </c>
    </row>
    <row r="1087" ht="20.1" customHeight="1" s="904">
      <c r="A1087" s="545" t="n"/>
      <c r="B1087" s="909" t="inlineStr">
        <is>
          <t>2.5</t>
        </is>
      </c>
      <c r="C1087" s="71" t="inlineStr">
        <is>
          <t>Прочее углеводородное сырье (вакуумный газойль)</t>
        </is>
      </c>
      <c r="D1087" s="15" t="n"/>
      <c r="E1087" s="15" t="n"/>
      <c r="F1087" s="16" t="n"/>
      <c r="G1087" s="17" t="inlineStr">
        <is>
          <t>17_100336014</t>
        </is>
      </c>
      <c r="H1087" s="636" t="n"/>
      <c r="I1087" s="17" t="n"/>
      <c r="J1087" s="615" t="inlineStr">
        <is>
          <t>тыс.т.</t>
        </is>
      </c>
    </row>
    <row r="1088" ht="20.1" customHeight="1" s="904">
      <c r="A1088" s="545" t="n"/>
      <c r="B1088" s="909" t="inlineStr">
        <is>
          <t>2.6</t>
        </is>
      </c>
      <c r="C1088" s="75" t="inlineStr">
        <is>
          <t xml:space="preserve">Продукция (сырье) с завода "Мономер" </t>
        </is>
      </c>
      <c r="D1088" s="15" t="n"/>
      <c r="E1088" s="15" t="n"/>
      <c r="F1088" s="16" t="n"/>
      <c r="G1088" s="17" t="inlineStr">
        <is>
          <t>17_100336015</t>
        </is>
      </c>
      <c r="H1088" s="636" t="n"/>
      <c r="I1088" s="17" t="n"/>
      <c r="J1088" s="615" t="inlineStr">
        <is>
          <t>тыс.т.</t>
        </is>
      </c>
    </row>
    <row r="1089" ht="20.1" customHeight="1" s="904">
      <c r="A1089" s="545" t="n"/>
      <c r="B1089" s="909" t="inlineStr">
        <is>
          <t>2.7</t>
        </is>
      </c>
      <c r="C1089" s="71" t="inlineStr">
        <is>
          <t>Присадки (добавки)</t>
        </is>
      </c>
      <c r="D1089" s="15" t="n"/>
      <c r="E1089" s="15" t="n"/>
      <c r="F1089" s="16" t="n"/>
      <c r="G1089" s="17" t="inlineStr">
        <is>
          <t>17_100336016</t>
        </is>
      </c>
      <c r="H1089" s="636" t="n"/>
      <c r="I1089" s="17" t="n"/>
      <c r="J1089" s="549" t="inlineStr">
        <is>
          <t>тыс.т.</t>
        </is>
      </c>
    </row>
    <row r="1090" ht="20.1" customHeight="1" s="904">
      <c r="A1090" s="545" t="n"/>
      <c r="B1090" s="909" t="n"/>
      <c r="C1090" s="76" t="inlineStr">
        <is>
          <t xml:space="preserve"> в т.ч. МТБЭ</t>
        </is>
      </c>
      <c r="D1090" s="15" t="n"/>
      <c r="E1090" s="15" t="n"/>
      <c r="F1090" s="16" t="n"/>
      <c r="G1090" s="17" t="inlineStr">
        <is>
          <t>17_100330805</t>
        </is>
      </c>
      <c r="H1090" s="636" t="n"/>
      <c r="I1090" s="17" t="n"/>
      <c r="J1090" s="615" t="inlineStr">
        <is>
          <t>тыс.т.</t>
        </is>
      </c>
    </row>
    <row r="1091" ht="20.1" customHeight="1" s="904">
      <c r="A1091" s="545" t="n"/>
      <c r="B1091" s="909" t="inlineStr">
        <is>
          <t>2.8</t>
        </is>
      </c>
      <c r="C1091" s="71" t="inlineStr">
        <is>
          <t>Прочее сырье (ХОВ, природный газ)</t>
        </is>
      </c>
      <c r="D1091" s="15" t="n"/>
      <c r="E1091" s="15" t="n"/>
      <c r="F1091" s="16" t="n"/>
      <c r="G1091" s="17" t="inlineStr">
        <is>
          <t>17_100336017</t>
        </is>
      </c>
      <c r="H1091" s="636" t="n"/>
      <c r="I1091" s="17" t="n"/>
      <c r="J1091" s="615" t="inlineStr">
        <is>
          <t>тыс.т.</t>
        </is>
      </c>
    </row>
    <row r="1092" ht="20.1" customHeight="1" s="904">
      <c r="A1092" s="545" t="n"/>
      <c r="B1092" s="909" t="inlineStr">
        <is>
          <t>2.9</t>
        </is>
      </c>
      <c r="C1092" s="72" t="inlineStr">
        <is>
          <t>Продукция (сырье) со склада</t>
        </is>
      </c>
      <c r="D1092" s="15" t="n"/>
      <c r="E1092" s="15" t="n"/>
      <c r="F1092" s="16" t="n"/>
      <c r="G1092" s="17" t="inlineStr">
        <is>
          <t>17_100336018</t>
        </is>
      </c>
      <c r="H1092" s="636" t="n"/>
      <c r="I1092" s="17" t="n"/>
      <c r="J1092" s="615" t="inlineStr">
        <is>
          <t>тыс.т.</t>
        </is>
      </c>
    </row>
    <row r="1093" ht="20.1" customHeight="1" s="904">
      <c r="A1093" s="545" t="n"/>
      <c r="B1093" s="909" t="inlineStr">
        <is>
          <t>3.</t>
        </is>
      </c>
      <c r="C1093" s="58" t="inlineStr">
        <is>
          <t xml:space="preserve">ПРОДУКЦИЯ </t>
        </is>
      </c>
      <c r="D1093" s="15" t="n"/>
      <c r="E1093" s="15" t="n"/>
      <c r="F1093" s="16" t="n"/>
      <c r="G1093" s="17" t="n"/>
      <c r="H1093" s="636" t="n"/>
      <c r="I1093" s="17" t="n"/>
      <c r="J1093" s="615" t="n"/>
    </row>
    <row r="1094" ht="20.1" customHeight="1" s="904">
      <c r="A1094" s="545" t="n"/>
      <c r="B1094" s="909" t="inlineStr">
        <is>
          <t>3.1</t>
        </is>
      </c>
      <c r="C1094" s="58" t="inlineStr">
        <is>
          <t>Бензин автомобильный (товарный)</t>
        </is>
      </c>
      <c r="D1094" s="15" t="n"/>
      <c r="E1094" s="15" t="n"/>
      <c r="F1094" s="16" t="n"/>
      <c r="G1094" s="17" t="inlineStr">
        <is>
          <t>17_100330107</t>
        </is>
      </c>
      <c r="H1094" s="636" t="n"/>
      <c r="I1094" s="17" t="n"/>
      <c r="J1094" s="549" t="inlineStr">
        <is>
          <t>тыс.т.</t>
        </is>
      </c>
    </row>
    <row r="1095" ht="20.1" customHeight="1" s="904">
      <c r="A1095" s="545" t="n"/>
      <c r="B1095" s="909" t="n"/>
      <c r="C1095" s="77" t="inlineStr">
        <is>
          <t>Бензин с ОЧ 92 (К5)</t>
        </is>
      </c>
      <c r="D1095" s="15" t="n"/>
      <c r="E1095" s="15" t="n"/>
      <c r="F1095" s="16" t="n"/>
      <c r="G1095" s="17" t="inlineStr">
        <is>
          <t>17_100331906</t>
        </is>
      </c>
      <c r="H1095" s="636" t="n"/>
      <c r="I1095" s="17" t="n"/>
      <c r="J1095" s="549" t="inlineStr">
        <is>
          <t>тыс.т.</t>
        </is>
      </c>
    </row>
    <row r="1096" ht="20.1" customHeight="1" s="904">
      <c r="A1096" s="545" t="n"/>
      <c r="B1096" s="909" t="n"/>
      <c r="C1096" s="77" t="inlineStr">
        <is>
          <t>Бензин с ОЧ 95 (К5)</t>
        </is>
      </c>
      <c r="D1096" s="15" t="n"/>
      <c r="E1096" s="15" t="n"/>
      <c r="F1096" s="16" t="n"/>
      <c r="G1096" s="17" t="inlineStr">
        <is>
          <t>17_100331907</t>
        </is>
      </c>
      <c r="H1096" s="636" t="n"/>
      <c r="I1096" s="17" t="n"/>
      <c r="J1096" s="615" t="inlineStr">
        <is>
          <t>тыс.т.</t>
        </is>
      </c>
    </row>
    <row r="1097" ht="20.1" customHeight="1" s="904">
      <c r="A1097" s="545" t="n"/>
      <c r="B1097" s="909" t="inlineStr">
        <is>
          <t>3.2</t>
        </is>
      </c>
      <c r="C1097" s="58" t="inlineStr">
        <is>
          <t>Бензин на завод "Мономер"</t>
        </is>
      </c>
      <c r="D1097" s="15" t="n"/>
      <c r="E1097" s="15" t="n"/>
      <c r="F1097" s="16" t="n"/>
      <c r="G1097" s="17" t="inlineStr">
        <is>
          <t>17_100336019</t>
        </is>
      </c>
      <c r="H1097" s="636" t="n"/>
      <c r="I1097" s="17" t="n"/>
      <c r="J1097" s="615" t="inlineStr">
        <is>
          <t>тыс.т.</t>
        </is>
      </c>
    </row>
    <row r="1098" ht="20.1" customHeight="1" s="904">
      <c r="A1098" s="545" t="n"/>
      <c r="B1098" s="909" t="inlineStr">
        <is>
          <t>3.3</t>
        </is>
      </c>
      <c r="C1098" s="58" t="inlineStr">
        <is>
          <t>Дистиллят газового конденсата легкий (товарный)</t>
        </is>
      </c>
      <c r="D1098" s="15" t="n"/>
      <c r="E1098" s="15" t="n"/>
      <c r="F1098" s="16" t="n"/>
      <c r="G1098" s="17" t="inlineStr">
        <is>
          <t>17_100330815</t>
        </is>
      </c>
      <c r="H1098" s="636" t="n"/>
      <c r="I1098" s="17" t="n"/>
      <c r="J1098" s="549" t="inlineStr">
        <is>
          <t>тыс.т.</t>
        </is>
      </c>
    </row>
    <row r="1099" ht="20.1" customHeight="1" s="904">
      <c r="A1099" s="545" t="n"/>
      <c r="B1099" s="909" t="n"/>
      <c r="C1099" s="77" t="inlineStr">
        <is>
          <t>ДГКл марки А</t>
        </is>
      </c>
      <c r="D1099" s="15" t="n"/>
      <c r="E1099" s="15" t="n"/>
      <c r="F1099" s="16" t="n"/>
      <c r="G1099" s="17" t="inlineStr">
        <is>
          <t>17_100336020</t>
        </is>
      </c>
      <c r="H1099" s="636" t="n"/>
      <c r="I1099" s="17" t="n"/>
      <c r="J1099" s="549" t="inlineStr">
        <is>
          <t>тыс.т.</t>
        </is>
      </c>
    </row>
    <row r="1100" ht="20.1" customHeight="1" s="904">
      <c r="A1100" s="545" t="n"/>
      <c r="B1100" s="909" t="n"/>
      <c r="C1100" s="77" t="inlineStr">
        <is>
          <t>ДГКл марки Б</t>
        </is>
      </c>
      <c r="D1100" s="15" t="n"/>
      <c r="E1100" s="15" t="n"/>
      <c r="F1100" s="16" t="n"/>
      <c r="G1100" s="17" t="inlineStr">
        <is>
          <t>17_100336021</t>
        </is>
      </c>
      <c r="H1100" s="636" t="n"/>
      <c r="I1100" s="17" t="n"/>
      <c r="J1100" s="615" t="inlineStr">
        <is>
          <t>тыс.т.</t>
        </is>
      </c>
    </row>
    <row r="1101" ht="20.1" customHeight="1" s="904">
      <c r="A1101" s="545" t="n"/>
      <c r="B1101" s="909" t="inlineStr">
        <is>
          <t>3.4</t>
        </is>
      </c>
      <c r="C1101" s="58" t="inlineStr">
        <is>
          <t xml:space="preserve">Бензин технический (товарный) </t>
        </is>
      </c>
      <c r="D1101" s="15" t="n"/>
      <c r="E1101" s="15" t="n"/>
      <c r="F1101" s="16" t="n"/>
      <c r="G1101" s="17" t="inlineStr">
        <is>
          <t>17_100335765</t>
        </is>
      </c>
      <c r="H1101" s="636" t="n"/>
      <c r="I1101" s="17" t="n"/>
      <c r="J1101" s="615" t="inlineStr">
        <is>
          <t>тыс.т.</t>
        </is>
      </c>
    </row>
    <row r="1102" ht="20.1" customHeight="1" s="904">
      <c r="A1102" s="545" t="n"/>
      <c r="B1102" s="909" t="inlineStr">
        <is>
          <t>3.5</t>
        </is>
      </c>
      <c r="C1102" s="58" t="inlineStr">
        <is>
          <t>ШФЛУ</t>
        </is>
      </c>
      <c r="D1102" s="15" t="n"/>
      <c r="E1102" s="15" t="n"/>
      <c r="F1102" s="16" t="n"/>
      <c r="G1102" s="17" t="inlineStr">
        <is>
          <t>17_100330817</t>
        </is>
      </c>
      <c r="H1102" s="636" t="n"/>
      <c r="I1102" s="17" t="n"/>
      <c r="J1102" s="549" t="inlineStr">
        <is>
          <t>тыс.т.</t>
        </is>
      </c>
    </row>
    <row r="1103" ht="20.1" customHeight="1" s="904">
      <c r="A1103" s="545" t="n"/>
      <c r="B1103" s="909" t="n"/>
      <c r="C1103" s="77" t="inlineStr">
        <is>
          <t>в т.ч. товарная</t>
        </is>
      </c>
      <c r="D1103" s="15" t="n"/>
      <c r="E1103" s="15" t="n"/>
      <c r="F1103" s="16" t="n"/>
      <c r="G1103" s="17" t="inlineStr">
        <is>
          <t>17_100336022</t>
        </is>
      </c>
      <c r="H1103" s="636" t="n"/>
      <c r="I1103" s="17" t="n"/>
      <c r="J1103" s="549" t="inlineStr">
        <is>
          <t>тыс.т.</t>
        </is>
      </c>
    </row>
    <row r="1104" ht="20.1" customHeight="1" s="904">
      <c r="A1104" s="545" t="n"/>
      <c r="B1104" s="909" t="n"/>
      <c r="C1104" s="77" t="inlineStr">
        <is>
          <t>На завод "Мономер"</t>
        </is>
      </c>
      <c r="D1104" s="15" t="n"/>
      <c r="E1104" s="15" t="n"/>
      <c r="F1104" s="16" t="n"/>
      <c r="G1104" s="17" t="inlineStr">
        <is>
          <t>17_100336023</t>
        </is>
      </c>
      <c r="H1104" s="636" t="n"/>
      <c r="I1104" s="17" t="n"/>
      <c r="J1104" s="615" t="inlineStr">
        <is>
          <t>тыс.т.</t>
        </is>
      </c>
    </row>
    <row r="1105" ht="20.1" customHeight="1" s="904">
      <c r="A1105" s="545" t="n"/>
      <c r="B1105" s="909" t="inlineStr">
        <is>
          <t>3.6</t>
        </is>
      </c>
      <c r="C1105" s="58" t="inlineStr">
        <is>
          <t>Фракция изопентановая (товарная)</t>
        </is>
      </c>
      <c r="D1105" s="15" t="n"/>
      <c r="E1105" s="15" t="n"/>
      <c r="F1105" s="16" t="n"/>
      <c r="G1105" s="17" t="inlineStr">
        <is>
          <t>17_100330944</t>
        </is>
      </c>
      <c r="H1105" s="636" t="n"/>
      <c r="I1105" s="17" t="n"/>
      <c r="J1105" s="615" t="inlineStr">
        <is>
          <t>тыс.т.</t>
        </is>
      </c>
    </row>
    <row r="1106" ht="20.1" customHeight="1" s="904">
      <c r="A1106" s="545" t="n"/>
      <c r="B1106" s="909" t="inlineStr">
        <is>
          <t>3.7</t>
        </is>
      </c>
      <c r="C1106" s="58" t="inlineStr">
        <is>
          <t>Дизельное топливо (товарное)</t>
        </is>
      </c>
      <c r="D1106" s="15" t="n"/>
      <c r="E1106" s="15" t="n"/>
      <c r="F1106" s="16" t="n"/>
      <c r="G1106" s="17" t="inlineStr">
        <is>
          <t>17_100330123</t>
        </is>
      </c>
      <c r="H1106" s="636" t="n"/>
      <c r="I1106" s="17" t="n"/>
      <c r="J1106" s="549" t="inlineStr">
        <is>
          <t>тыс.т.</t>
        </is>
      </c>
    </row>
    <row r="1107" ht="20.1" customHeight="1" s="904">
      <c r="A1107" s="545" t="n"/>
      <c r="B1107" s="909" t="n"/>
      <c r="C1107" s="77" t="inlineStr">
        <is>
          <t>ДТ летнее</t>
        </is>
      </c>
      <c r="D1107" s="15" t="n"/>
      <c r="E1107" s="15" t="n"/>
      <c r="F1107" s="16" t="n"/>
      <c r="G1107" s="17" t="inlineStr">
        <is>
          <t>17_100330812</t>
        </is>
      </c>
      <c r="H1107" s="636" t="n"/>
      <c r="I1107" s="17" t="n"/>
      <c r="J1107" s="549" t="inlineStr">
        <is>
          <t>тыс.т.</t>
        </is>
      </c>
    </row>
    <row r="1108" ht="20.1" customHeight="1" s="904">
      <c r="A1108" s="545" t="n"/>
      <c r="B1108" s="909" t="n"/>
      <c r="C1108" s="77" t="inlineStr">
        <is>
          <t>ДТ зимнее</t>
        </is>
      </c>
      <c r="D1108" s="15" t="n"/>
      <c r="E1108" s="15" t="n"/>
      <c r="F1108" s="16" t="n"/>
      <c r="G1108" s="17" t="inlineStr">
        <is>
          <t>17_100330813</t>
        </is>
      </c>
      <c r="H1108" s="636" t="n"/>
      <c r="I1108" s="17" t="n"/>
      <c r="J1108" s="549" t="inlineStr">
        <is>
          <t>тыс.т.</t>
        </is>
      </c>
    </row>
    <row r="1109" ht="20.1" customHeight="1" s="904">
      <c r="A1109" s="545" t="n"/>
      <c r="B1109" s="909" t="n"/>
      <c r="C1109" s="77" t="inlineStr">
        <is>
          <t>ДТ арктическое</t>
        </is>
      </c>
      <c r="D1109" s="15" t="n"/>
      <c r="E1109" s="15" t="n"/>
      <c r="F1109" s="16" t="n"/>
      <c r="G1109" s="17" t="inlineStr">
        <is>
          <t>17_100330814</t>
        </is>
      </c>
      <c r="H1109" s="636" t="n"/>
      <c r="I1109" s="17" t="n"/>
      <c r="J1109" s="615" t="inlineStr">
        <is>
          <t>тыс.т.</t>
        </is>
      </c>
    </row>
    <row r="1110" ht="20.1" customHeight="1" s="904">
      <c r="A1110" s="545" t="n"/>
      <c r="B1110" s="909" t="inlineStr">
        <is>
          <t>3.8</t>
        </is>
      </c>
      <c r="C1110" s="58" t="inlineStr">
        <is>
          <t>Газойль (товарный)</t>
        </is>
      </c>
      <c r="D1110" s="15" t="n"/>
      <c r="E1110" s="15" t="n"/>
      <c r="F1110" s="16" t="n"/>
      <c r="G1110" s="17" t="inlineStr">
        <is>
          <t>17_100335767</t>
        </is>
      </c>
      <c r="H1110" s="636" t="n"/>
      <c r="I1110" s="17" t="n"/>
      <c r="J1110" s="549" t="inlineStr">
        <is>
          <t>тыс.т.</t>
        </is>
      </c>
    </row>
    <row r="1111" ht="20.1" customHeight="1" s="904">
      <c r="A1111" s="545" t="n"/>
      <c r="B1111" s="909" t="n"/>
      <c r="C1111" s="77" t="inlineStr">
        <is>
          <t>в т.ч. товарная</t>
        </is>
      </c>
      <c r="D1111" s="15" t="n"/>
      <c r="E1111" s="15" t="n"/>
      <c r="F1111" s="16" t="n"/>
      <c r="G1111" s="17" t="inlineStr">
        <is>
          <t>17_100337107</t>
        </is>
      </c>
      <c r="H1111" s="636" t="n"/>
      <c r="I1111" s="17" t="n"/>
      <c r="J1111" s="549" t="inlineStr">
        <is>
          <t>тыс.т.</t>
        </is>
      </c>
    </row>
    <row r="1112" ht="20.1" customHeight="1" s="904">
      <c r="A1112" s="545" t="n"/>
      <c r="B1112" s="909" t="n"/>
      <c r="C1112" s="77" t="inlineStr">
        <is>
          <t>На завод "Мономер"</t>
        </is>
      </c>
      <c r="D1112" s="15" t="n"/>
      <c r="E1112" s="15" t="n"/>
      <c r="F1112" s="16" t="n"/>
      <c r="G1112" s="17" t="inlineStr">
        <is>
          <t>17_100337108</t>
        </is>
      </c>
      <c r="H1112" s="636" t="n"/>
      <c r="I1112" s="17" t="n"/>
      <c r="J1112" s="615" t="inlineStr">
        <is>
          <t>тыс.т.</t>
        </is>
      </c>
    </row>
    <row r="1113" ht="20.1" customHeight="1" s="904">
      <c r="A1113" s="545" t="n"/>
      <c r="B1113" s="909" t="inlineStr">
        <is>
          <t>3.9</t>
        </is>
      </c>
      <c r="C1113" s="58" t="inlineStr">
        <is>
          <t>Топливо нефтяное АВТ</t>
        </is>
      </c>
      <c r="D1113" s="15" t="n"/>
      <c r="E1113" s="15" t="n"/>
      <c r="F1113" s="16" t="n"/>
      <c r="G1113" s="17" t="inlineStr">
        <is>
          <t>17_100330819</t>
        </is>
      </c>
      <c r="H1113" s="636" t="n"/>
      <c r="I1113" s="17" t="n"/>
      <c r="J1113" s="549" t="inlineStr">
        <is>
          <t>тыс.т.</t>
        </is>
      </c>
    </row>
    <row r="1114" ht="20.1" customHeight="1" s="904">
      <c r="A1114" s="545" t="n"/>
      <c r="B1114" s="909" t="n"/>
      <c r="C1114" s="77" t="inlineStr">
        <is>
          <t>в т.ч. товарный</t>
        </is>
      </c>
      <c r="D1114" s="15" t="n"/>
      <c r="E1114" s="15" t="n"/>
      <c r="F1114" s="16" t="n"/>
      <c r="G1114" s="17" t="inlineStr">
        <is>
          <t>17_100336024</t>
        </is>
      </c>
      <c r="H1114" s="636" t="n"/>
      <c r="I1114" s="17" t="n"/>
      <c r="J1114" s="549" t="inlineStr">
        <is>
          <t>тыс.т.</t>
        </is>
      </c>
    </row>
    <row r="1115" ht="20.1" customHeight="1" s="904">
      <c r="A1115" s="545" t="n"/>
      <c r="B1115" s="909" t="n"/>
      <c r="C1115" s="77" t="inlineStr">
        <is>
          <t>На завод "Мономер"</t>
        </is>
      </c>
      <c r="D1115" s="15" t="n"/>
      <c r="E1115" s="15" t="n"/>
      <c r="F1115" s="16" t="n"/>
      <c r="G1115" s="17" t="inlineStr">
        <is>
          <t>17_100336025</t>
        </is>
      </c>
      <c r="H1115" s="636" t="n"/>
      <c r="I1115" s="17" t="n"/>
      <c r="J1115" s="615" t="inlineStr">
        <is>
          <t>тыс.т.</t>
        </is>
      </c>
    </row>
    <row r="1116" ht="20.1" customHeight="1" s="904">
      <c r="A1116" s="545" t="n"/>
      <c r="B1116" s="909" t="inlineStr">
        <is>
          <t>3.10</t>
        </is>
      </c>
      <c r="C1116" s="58" t="inlineStr">
        <is>
          <t>Мазут топочный (товарный)</t>
        </is>
      </c>
      <c r="D1116" s="15" t="n"/>
      <c r="E1116" s="15" t="n"/>
      <c r="F1116" s="16" t="n"/>
      <c r="G1116" s="17" t="inlineStr">
        <is>
          <t>17_100330822</t>
        </is>
      </c>
      <c r="H1116" s="636" t="n"/>
      <c r="I1116" s="17" t="n"/>
      <c r="J1116" s="615" t="inlineStr">
        <is>
          <t>тыс.т.</t>
        </is>
      </c>
    </row>
    <row r="1117" ht="20.1" customHeight="1" s="904">
      <c r="A1117" s="545" t="n"/>
      <c r="B1117" s="909" t="inlineStr">
        <is>
          <t>3.11</t>
        </is>
      </c>
      <c r="C1117" s="58" t="inlineStr">
        <is>
          <t>Сырье для битума/гудрон (товарный)</t>
        </is>
      </c>
      <c r="D1117" s="15" t="n"/>
      <c r="E1117" s="15" t="n"/>
      <c r="F1117" s="16" t="n"/>
      <c r="G1117" s="17" t="inlineStr">
        <is>
          <t>17_100330820</t>
        </is>
      </c>
      <c r="H1117" s="636" t="n"/>
      <c r="I1117" s="17" t="n"/>
      <c r="J1117" s="615" t="inlineStr">
        <is>
          <t>тыс.т.</t>
        </is>
      </c>
    </row>
    <row r="1118" ht="20.1" customHeight="1" s="904">
      <c r="A1118" s="545" t="n"/>
      <c r="B1118" s="909" t="inlineStr">
        <is>
          <t>3.12</t>
        </is>
      </c>
      <c r="C1118" s="58" t="inlineStr">
        <is>
          <t>Нефтебитум дорожный (товарный)</t>
        </is>
      </c>
      <c r="D1118" s="15" t="n"/>
      <c r="E1118" s="15" t="n"/>
      <c r="F1118" s="16" t="n"/>
      <c r="G1118" s="17" t="inlineStr">
        <is>
          <t>17_100330821</t>
        </is>
      </c>
      <c r="H1118" s="636" t="n"/>
      <c r="I1118" s="17" t="n"/>
      <c r="J1118" s="615" t="inlineStr">
        <is>
          <t>тыс.т.</t>
        </is>
      </c>
    </row>
    <row r="1119" ht="20.1" customHeight="1" s="904">
      <c r="A1119" s="545" t="n"/>
      <c r="B1119" s="909" t="inlineStr">
        <is>
          <t>3.13</t>
        </is>
      </c>
      <c r="C1119" s="58" t="inlineStr">
        <is>
          <t>Толуол</t>
        </is>
      </c>
      <c r="D1119" s="15" t="n"/>
      <c r="E1119" s="15" t="n"/>
      <c r="F1119" s="16" t="n"/>
      <c r="G1119" s="17" t="inlineStr">
        <is>
          <t>17_100335766</t>
        </is>
      </c>
      <c r="H1119" s="636" t="n"/>
      <c r="I1119" s="17" t="n"/>
      <c r="J1119" s="549" t="inlineStr">
        <is>
          <t>тыс.т.</t>
        </is>
      </c>
    </row>
    <row r="1120" ht="20.1" customHeight="1" s="904">
      <c r="A1120" s="545" t="n"/>
      <c r="B1120" s="909" t="n"/>
      <c r="C1120" s="77" t="inlineStr">
        <is>
          <t>в т.ч. товарный</t>
        </is>
      </c>
      <c r="D1120" s="15" t="n"/>
      <c r="E1120" s="15" t="n"/>
      <c r="F1120" s="16" t="n"/>
      <c r="G1120" s="17" t="inlineStr">
        <is>
          <t>17_100336026</t>
        </is>
      </c>
      <c r="H1120" s="636" t="n"/>
      <c r="I1120" s="17" t="n"/>
      <c r="J1120" s="549" t="inlineStr">
        <is>
          <t>тыс.т.</t>
        </is>
      </c>
    </row>
    <row r="1121" ht="20.1" customHeight="1" s="904">
      <c r="A1121" s="545" t="n"/>
      <c r="B1121" s="909" t="n"/>
      <c r="C1121" s="77" t="inlineStr">
        <is>
          <t>На завод "Мономер"</t>
        </is>
      </c>
      <c r="D1121" s="15" t="n"/>
      <c r="E1121" s="15" t="n"/>
      <c r="F1121" s="16" t="n"/>
      <c r="G1121" s="17" t="inlineStr">
        <is>
          <t>17_100336027</t>
        </is>
      </c>
      <c r="H1121" s="636" t="n"/>
      <c r="I1121" s="17" t="n"/>
      <c r="J1121" s="549" t="inlineStr">
        <is>
          <t>тыс.т.</t>
        </is>
      </c>
    </row>
    <row r="1122" ht="20.1" customHeight="1" s="904">
      <c r="A1122" s="545" t="n"/>
      <c r="B1122" s="909" t="n"/>
      <c r="C1122" s="77" t="inlineStr">
        <is>
          <t>На ООО "Акрил-Салават"</t>
        </is>
      </c>
      <c r="D1122" s="15" t="n"/>
      <c r="E1122" s="15" t="n"/>
      <c r="F1122" s="16" t="n"/>
      <c r="G1122" s="17" t="inlineStr">
        <is>
          <t>17_100336028</t>
        </is>
      </c>
      <c r="H1122" s="636" t="n"/>
      <c r="I1122" s="17" t="n"/>
      <c r="J1122" s="615" t="inlineStr">
        <is>
          <t>тыс.т.</t>
        </is>
      </c>
    </row>
    <row r="1123" ht="20.1" customHeight="1" s="904">
      <c r="A1123" s="545" t="n"/>
      <c r="B1123" s="909" t="inlineStr">
        <is>
          <t>3.14</t>
        </is>
      </c>
      <c r="C1123" s="58" t="inlineStr">
        <is>
          <t>Бензол</t>
        </is>
      </c>
      <c r="D1123" s="15" t="n"/>
      <c r="E1123" s="15" t="n"/>
      <c r="F1123" s="16" t="n"/>
      <c r="G1123" s="17" t="inlineStr">
        <is>
          <t>17_100336029</t>
        </is>
      </c>
      <c r="H1123" s="636" t="n"/>
      <c r="I1123" s="17" t="n"/>
      <c r="J1123" s="549" t="inlineStr">
        <is>
          <t>тыс.т.</t>
        </is>
      </c>
    </row>
    <row r="1124" ht="20.1" customHeight="1" s="904">
      <c r="A1124" s="545" t="n"/>
      <c r="B1124" s="909" t="n"/>
      <c r="C1124" s="77" t="inlineStr">
        <is>
          <t>На завод "Мономер"</t>
        </is>
      </c>
      <c r="D1124" s="15" t="n"/>
      <c r="E1124" s="15" t="n"/>
      <c r="F1124" s="16" t="n"/>
      <c r="G1124" s="17" t="inlineStr">
        <is>
          <t>17_100336030</t>
        </is>
      </c>
      <c r="H1124" s="636" t="n"/>
      <c r="I1124" s="17" t="n"/>
      <c r="J1124" s="615" t="inlineStr">
        <is>
          <t>тыс.т.</t>
        </is>
      </c>
    </row>
    <row r="1125" ht="20.1" customHeight="1" s="904">
      <c r="A1125" s="545" t="n"/>
      <c r="B1125" s="909" t="inlineStr">
        <is>
          <t>3.15</t>
        </is>
      </c>
      <c r="C1125" s="58" t="inlineStr">
        <is>
          <t>Сольвент</t>
        </is>
      </c>
      <c r="D1125" s="15" t="n"/>
      <c r="E1125" s="15" t="n"/>
      <c r="F1125" s="16" t="n"/>
      <c r="G1125" s="17" t="inlineStr">
        <is>
          <t>17_100336031</t>
        </is>
      </c>
      <c r="H1125" s="636" t="n"/>
      <c r="I1125" s="17" t="n"/>
      <c r="J1125" s="549" t="inlineStr">
        <is>
          <t>тыс.т.</t>
        </is>
      </c>
    </row>
    <row r="1126" ht="20.1" customHeight="1" s="904">
      <c r="A1126" s="545" t="n"/>
      <c r="B1126" s="909" t="n"/>
      <c r="C1126" s="77" t="inlineStr">
        <is>
          <t>На завод "Мономер"</t>
        </is>
      </c>
      <c r="D1126" s="15" t="n"/>
      <c r="E1126" s="15" t="n"/>
      <c r="F1126" s="16" t="n"/>
      <c r="G1126" s="17" t="inlineStr">
        <is>
          <t>17_100336032</t>
        </is>
      </c>
      <c r="H1126" s="636" t="n"/>
      <c r="I1126" s="17" t="n"/>
      <c r="J1126" s="615" t="inlineStr">
        <is>
          <t>тыс.т.</t>
        </is>
      </c>
    </row>
    <row r="1127" ht="20.1" customHeight="1" s="904">
      <c r="A1127" s="545" t="n"/>
      <c r="B1127" s="909" t="inlineStr">
        <is>
          <t>3.16</t>
        </is>
      </c>
      <c r="C1127" s="58" t="inlineStr">
        <is>
          <t>Фракция пропан-пропиленовая ККФ</t>
        </is>
      </c>
      <c r="D1127" s="15" t="n"/>
      <c r="E1127" s="15" t="n"/>
      <c r="F1127" s="16" t="n"/>
      <c r="G1127" s="17" t="inlineStr">
        <is>
          <t>17_100335102</t>
        </is>
      </c>
      <c r="H1127" s="636" t="n"/>
      <c r="I1127" s="17" t="n"/>
      <c r="J1127" s="549" t="inlineStr">
        <is>
          <t>тыс.т.</t>
        </is>
      </c>
    </row>
    <row r="1128" ht="20.1" customHeight="1" s="904">
      <c r="A1128" s="545" t="n"/>
      <c r="B1128" s="909" t="n"/>
      <c r="C1128" s="77" t="inlineStr">
        <is>
          <t>в т.ч. товарный</t>
        </is>
      </c>
      <c r="D1128" s="15" t="n"/>
      <c r="E1128" s="15" t="n"/>
      <c r="F1128" s="16" t="n"/>
      <c r="G1128" s="17" t="inlineStr">
        <is>
          <t>17_100336033</t>
        </is>
      </c>
      <c r="H1128" s="636" t="n"/>
      <c r="I1128" s="17" t="n"/>
      <c r="J1128" s="549" t="inlineStr">
        <is>
          <t>тыс.т.</t>
        </is>
      </c>
    </row>
    <row r="1129" ht="20.1" customHeight="1" s="904">
      <c r="A1129" s="545" t="n"/>
      <c r="B1129" s="909" t="n"/>
      <c r="C1129" s="77" t="inlineStr">
        <is>
          <t>На завод "Мономер" (производство бутиловых спиртов)</t>
        </is>
      </c>
      <c r="D1129" s="15" t="n"/>
      <c r="E1129" s="15" t="n"/>
      <c r="F1129" s="16" t="n"/>
      <c r="G1129" s="17" t="inlineStr">
        <is>
          <t>17_100336034</t>
        </is>
      </c>
      <c r="H1129" s="636" t="n"/>
      <c r="I1129" s="17" t="n"/>
      <c r="J1129" s="549" t="inlineStr">
        <is>
          <t>тыс.т.</t>
        </is>
      </c>
    </row>
    <row r="1130" ht="20.1" customHeight="1" s="904">
      <c r="A1130" s="545" t="n"/>
      <c r="B1130" s="909" t="n"/>
      <c r="C1130" s="77" t="inlineStr">
        <is>
          <t>На завод "Мономер" (производство ЭП-355)</t>
        </is>
      </c>
      <c r="D1130" s="15" t="n"/>
      <c r="E1130" s="15" t="n"/>
      <c r="F1130" s="16" t="n"/>
      <c r="G1130" s="17" t="inlineStr">
        <is>
          <t>17_100336035</t>
        </is>
      </c>
      <c r="H1130" s="636" t="n"/>
      <c r="I1130" s="17" t="n"/>
      <c r="J1130" s="615" t="inlineStr">
        <is>
          <t>тыс.т.</t>
        </is>
      </c>
    </row>
    <row r="1131" ht="20.1" customHeight="1" s="904">
      <c r="A1131" s="545" t="n"/>
      <c r="B1131" s="909" t="inlineStr">
        <is>
          <t>3.17</t>
        </is>
      </c>
      <c r="C1131" s="58" t="inlineStr">
        <is>
          <t>Фракция бутан-бутиленовая ККФ</t>
        </is>
      </c>
      <c r="D1131" s="15" t="n"/>
      <c r="E1131" s="15" t="n"/>
      <c r="F1131" s="16" t="n"/>
      <c r="G1131" s="17" t="inlineStr">
        <is>
          <t>17_100335103</t>
        </is>
      </c>
      <c r="H1131" s="636" t="n"/>
      <c r="I1131" s="17" t="n"/>
      <c r="J1131" s="549" t="inlineStr">
        <is>
          <t>тыс.т.</t>
        </is>
      </c>
    </row>
    <row r="1132" ht="20.1" customHeight="1" s="904">
      <c r="A1132" s="545" t="n"/>
      <c r="B1132" s="909" t="n"/>
      <c r="C1132" s="77" t="inlineStr">
        <is>
          <t>в т.ч. товарный</t>
        </is>
      </c>
      <c r="D1132" s="15" t="n"/>
      <c r="E1132" s="15" t="n"/>
      <c r="F1132" s="16" t="n"/>
      <c r="G1132" s="17" t="inlineStr">
        <is>
          <t>17_100336036</t>
        </is>
      </c>
      <c r="H1132" s="636" t="n"/>
      <c r="I1132" s="17" t="n"/>
      <c r="J1132" s="549" t="inlineStr">
        <is>
          <t>тыс.т.</t>
        </is>
      </c>
    </row>
    <row r="1133" ht="20.1" customHeight="1" s="904">
      <c r="A1133" s="545" t="n"/>
      <c r="B1133" s="909" t="n"/>
      <c r="C1133" s="77" t="inlineStr">
        <is>
          <t xml:space="preserve">На завод "Мономер" </t>
        </is>
      </c>
      <c r="D1133" s="15" t="n"/>
      <c r="E1133" s="15" t="n"/>
      <c r="F1133" s="16" t="n"/>
      <c r="G1133" s="17" t="inlineStr">
        <is>
          <t>17_100336037</t>
        </is>
      </c>
      <c r="H1133" s="636" t="n"/>
      <c r="I1133" s="17" t="n"/>
      <c r="J1133" s="615" t="inlineStr">
        <is>
          <t>тыс.т.</t>
        </is>
      </c>
    </row>
    <row r="1134" ht="20.1" customHeight="1" s="904">
      <c r="A1134" s="545" t="n"/>
      <c r="B1134" s="909" t="inlineStr">
        <is>
          <t>3.18</t>
        </is>
      </c>
      <c r="C1134" s="75" t="inlineStr">
        <is>
          <t>Сероводород технический всего</t>
        </is>
      </c>
      <c r="D1134" s="15" t="n"/>
      <c r="E1134" s="15" t="n"/>
      <c r="F1134" s="16" t="n"/>
      <c r="G1134" s="17" t="inlineStr">
        <is>
          <t>17_100336038</t>
        </is>
      </c>
      <c r="H1134" s="636" t="n"/>
      <c r="I1134" s="17" t="n"/>
      <c r="J1134" s="549" t="inlineStr">
        <is>
          <t>тыс.т.</t>
        </is>
      </c>
    </row>
    <row r="1135" ht="20.1" customHeight="1" s="904">
      <c r="A1135" s="545" t="n"/>
      <c r="B1135" s="909" t="n"/>
      <c r="C1135" s="78" t="inlineStr">
        <is>
          <t>в т.ч. сера (товарная)</t>
        </is>
      </c>
      <c r="D1135" s="15" t="n"/>
      <c r="E1135" s="15" t="n"/>
      <c r="F1135" s="16" t="n"/>
      <c r="G1135" s="17" t="inlineStr">
        <is>
          <t>17_100330809</t>
        </is>
      </c>
      <c r="H1135" s="636" t="n"/>
      <c r="I1135" s="17" t="n"/>
      <c r="J1135" s="615" t="inlineStr">
        <is>
          <t>тыс.т.</t>
        </is>
      </c>
    </row>
    <row r="1136" ht="20.1" customHeight="1" s="904">
      <c r="A1136" s="545" t="n"/>
      <c r="B1136" s="909" t="inlineStr">
        <is>
          <t>3.19</t>
        </is>
      </c>
      <c r="C1136" s="58" t="inlineStr">
        <is>
          <t>Керосин гидроочищенный</t>
        </is>
      </c>
      <c r="D1136" s="15" t="n"/>
      <c r="E1136" s="15" t="n"/>
      <c r="F1136" s="16" t="n"/>
      <c r="G1136" s="17" t="inlineStr">
        <is>
          <t>17_100336039</t>
        </is>
      </c>
      <c r="H1136" s="636" t="n"/>
      <c r="I1136" s="17" t="n"/>
      <c r="J1136" s="549" t="inlineStr">
        <is>
          <t>тыс.т.</t>
        </is>
      </c>
    </row>
    <row r="1137" ht="20.1" customHeight="1" s="904">
      <c r="A1137" s="545" t="n"/>
      <c r="B1137" s="909" t="n"/>
      <c r="C1137" s="77" t="inlineStr">
        <is>
          <t>в т.ч. товарный</t>
        </is>
      </c>
      <c r="D1137" s="15" t="n"/>
      <c r="E1137" s="15" t="n"/>
      <c r="F1137" s="16" t="n"/>
      <c r="G1137" s="17" t="inlineStr">
        <is>
          <t>17_100336040</t>
        </is>
      </c>
      <c r="H1137" s="636" t="n"/>
      <c r="I1137" s="17" t="n"/>
      <c r="J1137" s="615" t="inlineStr">
        <is>
          <t>тыс.т.</t>
        </is>
      </c>
    </row>
    <row r="1138" ht="20.1" customHeight="1" s="904">
      <c r="A1138" s="545" t="n"/>
      <c r="B1138" s="909" t="inlineStr">
        <is>
          <t>3.20</t>
        </is>
      </c>
      <c r="C1138" s="58" t="inlineStr">
        <is>
          <t>Топливо на собственные нужды</t>
        </is>
      </c>
      <c r="D1138" s="15" t="n"/>
      <c r="E1138" s="15" t="n"/>
      <c r="F1138" s="16" t="n"/>
      <c r="G1138" s="17" t="inlineStr">
        <is>
          <t>17_100336041</t>
        </is>
      </c>
      <c r="H1138" s="636" t="n"/>
      <c r="I1138" s="17" t="n"/>
      <c r="J1138" s="615" t="inlineStr">
        <is>
          <t>тыс.т.</t>
        </is>
      </c>
    </row>
    <row r="1139" ht="20.1" customHeight="1" s="904">
      <c r="A1139" s="545" t="n"/>
      <c r="B1139" s="909" t="inlineStr">
        <is>
          <t>3.21</t>
        </is>
      </c>
      <c r="C1139" s="79" t="inlineStr">
        <is>
          <t>Продукция (сырье) переданная на склад</t>
        </is>
      </c>
      <c r="D1139" s="15" t="n"/>
      <c r="E1139" s="15" t="n"/>
      <c r="F1139" s="16" t="n"/>
      <c r="G1139" s="17" t="inlineStr">
        <is>
          <t>17_100336042</t>
        </is>
      </c>
      <c r="H1139" s="636" t="n"/>
      <c r="I1139" s="17" t="n"/>
      <c r="J1139" s="24" t="inlineStr">
        <is>
          <t>тыс.т.</t>
        </is>
      </c>
    </row>
    <row r="1140" ht="20.1" customHeight="1" s="904">
      <c r="A1140" s="545" t="n"/>
      <c r="B1140" s="909" t="n"/>
      <c r="C1140" s="80" t="n"/>
      <c r="D1140" s="15" t="n"/>
      <c r="E1140" s="15" t="n"/>
      <c r="F1140" s="16" t="n"/>
      <c r="G1140" s="17" t="n"/>
      <c r="H1140" s="636" t="n"/>
      <c r="I1140" s="17" t="n"/>
      <c r="J1140" s="70" t="n"/>
    </row>
    <row r="1141" ht="32.25" customHeight="1" s="904">
      <c r="A1141" s="545" t="n"/>
      <c r="B1141" s="909" t="n"/>
      <c r="C1141" s="71" t="inlineStr">
        <is>
          <t>ЗАВОД "МОНОМЕР"</t>
        </is>
      </c>
      <c r="D1141" s="15" t="n"/>
      <c r="E1141" s="15" t="n"/>
      <c r="F1141" s="16" t="n"/>
      <c r="G1141" s="17" t="n"/>
      <c r="H1141" s="636" t="n"/>
      <c r="I1141" s="17" t="n"/>
      <c r="J1141" s="615" t="n"/>
    </row>
    <row r="1142" ht="35.1" customHeight="1" s="904">
      <c r="A1142" s="545" t="n"/>
      <c r="B1142" s="909" t="inlineStr">
        <is>
          <t>1.</t>
        </is>
      </c>
      <c r="C1142" s="58" t="inlineStr">
        <is>
          <t>ПОСТАВКА (ПОКУПКА) СЫРЬЯ  
ООО "ГАЗПРОМ НЕФТЕХИМ САЛАВАТ":</t>
        </is>
      </c>
      <c r="D1142" s="15" t="n"/>
      <c r="E1142" s="15" t="n"/>
      <c r="F1142" s="16" t="n"/>
      <c r="G1142" s="17" t="inlineStr">
        <is>
          <t>17_100336045</t>
        </is>
      </c>
      <c r="H1142" s="636" t="n"/>
      <c r="I1142" s="17" t="n"/>
      <c r="J1142" s="615" t="inlineStr">
        <is>
          <t>тыс.т.</t>
        </is>
      </c>
    </row>
    <row r="1143" ht="20.1" customHeight="1" s="904">
      <c r="A1143" s="545" t="n"/>
      <c r="B1143" s="909" t="inlineStr">
        <is>
          <t>1.1</t>
        </is>
      </c>
      <c r="C1143" s="72" t="inlineStr">
        <is>
          <t>Бензин</t>
        </is>
      </c>
      <c r="D1143" s="15" t="n"/>
      <c r="E1143" s="15" t="n"/>
      <c r="F1143" s="16" t="n"/>
      <c r="G1143" s="17" t="inlineStr">
        <is>
          <t>17_100336046</t>
        </is>
      </c>
      <c r="H1143" s="636" t="n"/>
      <c r="I1143" s="17" t="n"/>
      <c r="J1143" s="549" t="inlineStr">
        <is>
          <t>тыс.т.</t>
        </is>
      </c>
    </row>
    <row r="1144" ht="20.1" customHeight="1" s="904">
      <c r="A1144" s="545" t="n"/>
      <c r="B1144" s="909" t="n"/>
      <c r="C1144" s="74" t="inlineStr">
        <is>
          <t>НПЗ ООО "Газпром нефтехим Салават"</t>
        </is>
      </c>
      <c r="D1144" s="15" t="n"/>
      <c r="E1144" s="15" t="n"/>
      <c r="F1144" s="16" t="n"/>
      <c r="G1144" s="17" t="inlineStr">
        <is>
          <t>17_100336047</t>
        </is>
      </c>
      <c r="H1144" s="636" t="n"/>
      <c r="I1144" s="17" t="n"/>
      <c r="J1144" s="615" t="inlineStr">
        <is>
          <t>тыс.т.</t>
        </is>
      </c>
    </row>
    <row r="1145" ht="20.1" customHeight="1" s="904">
      <c r="A1145" s="545" t="n"/>
      <c r="B1145" s="909" t="inlineStr">
        <is>
          <t>1.2</t>
        </is>
      </c>
      <c r="C1145" s="72" t="inlineStr">
        <is>
          <t>ШФЛУ</t>
        </is>
      </c>
      <c r="D1145" s="15" t="n"/>
      <c r="E1145" s="15" t="n"/>
      <c r="F1145" s="16" t="n"/>
      <c r="G1145" s="17" t="inlineStr">
        <is>
          <t>17_100330826</t>
        </is>
      </c>
      <c r="H1145" s="636" t="n"/>
      <c r="I1145" s="17" t="n"/>
      <c r="J1145" s="549" t="inlineStr">
        <is>
          <t>тыс.т.</t>
        </is>
      </c>
    </row>
    <row r="1146" ht="20.1" customHeight="1" s="904">
      <c r="A1146" s="545" t="n"/>
      <c r="B1146" s="909" t="n"/>
      <c r="C1146" s="72" t="inlineStr">
        <is>
          <t>ПАО "Газпром":</t>
        </is>
      </c>
      <c r="D1146" s="15" t="n"/>
      <c r="E1146" s="15" t="n"/>
      <c r="F1146" s="16" t="n"/>
      <c r="G1146" s="17" t="inlineStr">
        <is>
          <t>17_100336048</t>
        </is>
      </c>
      <c r="H1146" s="636" t="n"/>
      <c r="I1146" s="17" t="n"/>
      <c r="J1146" s="549" t="inlineStr">
        <is>
          <t>тыс.т.</t>
        </is>
      </c>
    </row>
    <row r="1147" ht="20.1" customHeight="1" s="904">
      <c r="A1147" s="545" t="n"/>
      <c r="B1147" s="909" t="n"/>
      <c r="C1147" s="73" t="inlineStr">
        <is>
          <t>Астраханский ГПЗ</t>
        </is>
      </c>
      <c r="D1147" s="15" t="n"/>
      <c r="E1147" s="15" t="n"/>
      <c r="F1147" s="16" t="n"/>
      <c r="G1147" s="17" t="inlineStr">
        <is>
          <t>17_100336049</t>
        </is>
      </c>
      <c r="H1147" s="636" t="n"/>
      <c r="I1147" s="17" t="n"/>
      <c r="J1147" s="549" t="inlineStr">
        <is>
          <t>тыс.т.</t>
        </is>
      </c>
    </row>
    <row r="1148" ht="20.1" customHeight="1" s="904">
      <c r="A1148" s="545" t="n"/>
      <c r="B1148" s="909" t="n"/>
      <c r="C1148" s="73" t="inlineStr">
        <is>
          <t>Оренбургский ГПЗ</t>
        </is>
      </c>
      <c r="D1148" s="15" t="n"/>
      <c r="E1148" s="15" t="n"/>
      <c r="F1148" s="16" t="n"/>
      <c r="G1148" s="17" t="inlineStr">
        <is>
          <t>17_100336050</t>
        </is>
      </c>
      <c r="H1148" s="636" t="n"/>
      <c r="I1148" s="17" t="n"/>
      <c r="J1148" s="549" t="inlineStr">
        <is>
          <t>тыс.т.</t>
        </is>
      </c>
    </row>
    <row r="1149" ht="20.1" customHeight="1" s="904">
      <c r="A1149" s="545" t="n"/>
      <c r="B1149" s="909" t="n"/>
      <c r="C1149" s="72" t="inlineStr">
        <is>
          <t>НПЗ ООО "Газпром нефтехим Салават"</t>
        </is>
      </c>
      <c r="D1149" s="15" t="n"/>
      <c r="E1149" s="15" t="n"/>
      <c r="F1149" s="16" t="n"/>
      <c r="G1149" s="17" t="inlineStr">
        <is>
          <t>17_100336051</t>
        </is>
      </c>
      <c r="H1149" s="636" t="n"/>
      <c r="I1149" s="17" t="n"/>
      <c r="J1149" s="615" t="inlineStr">
        <is>
          <t>тыс.т.</t>
        </is>
      </c>
    </row>
    <row r="1150" ht="20.1" customHeight="1" s="904">
      <c r="A1150" s="545" t="n"/>
      <c r="B1150" s="909" t="inlineStr">
        <is>
          <t>1.3</t>
        </is>
      </c>
      <c r="C1150" s="79" t="inlineStr">
        <is>
          <t>Газы углеводородные сжиженные</t>
        </is>
      </c>
      <c r="D1150" s="15" t="n"/>
      <c r="E1150" s="15" t="n"/>
      <c r="F1150" s="16" t="n"/>
      <c r="G1150" s="17" t="inlineStr">
        <is>
          <t>17_100336052</t>
        </is>
      </c>
      <c r="H1150" s="636" t="n"/>
      <c r="I1150" s="17" t="n"/>
      <c r="J1150" s="549" t="inlineStr">
        <is>
          <t>тыс.т.</t>
        </is>
      </c>
    </row>
    <row r="1151" ht="20.1" customHeight="1" s="904">
      <c r="A1151" s="545" t="n"/>
      <c r="B1151" s="909" t="n"/>
      <c r="C1151" s="74" t="inlineStr">
        <is>
          <t>Сургутский ЗСК</t>
        </is>
      </c>
      <c r="D1151" s="15" t="n"/>
      <c r="E1151" s="15" t="n"/>
      <c r="F1151" s="16" t="n"/>
      <c r="G1151" s="17" t="inlineStr">
        <is>
          <t>17_100336053</t>
        </is>
      </c>
      <c r="H1151" s="636" t="n"/>
      <c r="I1151" s="17" t="n"/>
      <c r="J1151" s="615" t="inlineStr">
        <is>
          <t>тыс.т.</t>
        </is>
      </c>
    </row>
    <row r="1152" ht="20.1" customHeight="1" s="904">
      <c r="A1152" s="545" t="n"/>
      <c r="B1152" s="909" t="inlineStr">
        <is>
          <t>1.4</t>
        </is>
      </c>
      <c r="C1152" s="72" t="inlineStr">
        <is>
          <t>Фракция этановая</t>
        </is>
      </c>
      <c r="D1152" s="15" t="n"/>
      <c r="E1152" s="15" t="n"/>
      <c r="F1152" s="16" t="n"/>
      <c r="G1152" s="17" t="inlineStr">
        <is>
          <t>17_100330827</t>
        </is>
      </c>
      <c r="H1152" s="636" t="n"/>
      <c r="I1152" s="17" t="n"/>
      <c r="J1152" s="549" t="inlineStr">
        <is>
          <t>тыс.т.</t>
        </is>
      </c>
    </row>
    <row r="1153" ht="20.1" customHeight="1" s="904">
      <c r="A1153" s="545" t="n"/>
      <c r="B1153" s="909" t="n"/>
      <c r="C1153" s="76" t="inlineStr">
        <is>
          <t>ПАО "Газпром":</t>
        </is>
      </c>
      <c r="D1153" s="15" t="n"/>
      <c r="E1153" s="15" t="n"/>
      <c r="F1153" s="16" t="n"/>
      <c r="G1153" s="17" t="inlineStr">
        <is>
          <t>17_100336054</t>
        </is>
      </c>
      <c r="H1153" s="636" t="n"/>
      <c r="I1153" s="17" t="n"/>
      <c r="J1153" s="549" t="inlineStr">
        <is>
          <t>тыс.т.</t>
        </is>
      </c>
    </row>
    <row r="1154" ht="34.5" customHeight="1" s="904">
      <c r="A1154" s="545" t="n"/>
      <c r="B1154" s="909" t="n"/>
      <c r="C1154" s="73" t="inlineStr">
        <is>
          <t>Оренбургский ГЗ</t>
        </is>
      </c>
      <c r="D1154" s="15" t="n"/>
      <c r="E1154" s="15" t="n"/>
      <c r="F1154" s="16" t="n"/>
      <c r="G1154" s="17" t="inlineStr">
        <is>
          <t>17_100336055</t>
        </is>
      </c>
      <c r="H1154" s="636" t="n"/>
      <c r="I1154" s="17" t="n"/>
      <c r="J1154" s="615" t="inlineStr">
        <is>
          <t>тыс.т.</t>
        </is>
      </c>
    </row>
    <row r="1155" ht="35.1" customHeight="1" s="904">
      <c r="A1155" s="545" t="n"/>
      <c r="B1155" s="909" t="inlineStr">
        <is>
          <t>1.5</t>
        </is>
      </c>
      <c r="C1155" s="81" t="inlineStr">
        <is>
          <t xml:space="preserve">Продукция (сырье) с НПЗ ООО "Газпром нефтехим Салават" </t>
        </is>
      </c>
      <c r="D1155" s="15" t="n"/>
      <c r="E1155" s="15" t="n"/>
      <c r="F1155" s="16" t="n"/>
      <c r="G1155" s="17" t="inlineStr">
        <is>
          <t>17_100336056</t>
        </is>
      </c>
      <c r="H1155" s="636" t="n"/>
      <c r="I1155" s="17" t="n"/>
      <c r="J1155" s="615" t="inlineStr">
        <is>
          <t>тыс.т.</t>
        </is>
      </c>
    </row>
    <row r="1156" ht="20.1" customHeight="1" s="904">
      <c r="A1156" s="545" t="n"/>
      <c r="B1156" s="909" t="inlineStr">
        <is>
          <t>1.6</t>
        </is>
      </c>
      <c r="C1156" s="72" t="inlineStr">
        <is>
          <t>Пропилен</t>
        </is>
      </c>
      <c r="D1156" s="15" t="n"/>
      <c r="E1156" s="15" t="n"/>
      <c r="F1156" s="16" t="n"/>
      <c r="G1156" s="17" t="inlineStr">
        <is>
          <t>17_100336057</t>
        </is>
      </c>
      <c r="H1156" s="636" t="n"/>
      <c r="I1156" s="17" t="n"/>
      <c r="J1156" s="549" t="inlineStr">
        <is>
          <t>тыс.т.</t>
        </is>
      </c>
    </row>
    <row r="1157" ht="20.1" customHeight="1" s="904">
      <c r="A1157" s="545" t="n"/>
      <c r="B1157" s="909" t="n"/>
      <c r="C1157" s="74" t="inlineStr">
        <is>
          <t>Пропилен покупной</t>
        </is>
      </c>
      <c r="D1157" s="15" t="n"/>
      <c r="E1157" s="15" t="n"/>
      <c r="F1157" s="16" t="n"/>
      <c r="G1157" s="17" t="inlineStr">
        <is>
          <t>17_100336058</t>
        </is>
      </c>
      <c r="H1157" s="636" t="n"/>
      <c r="I1157" s="17" t="n"/>
      <c r="J1157" s="549" t="inlineStr">
        <is>
          <t>тыс.т.</t>
        </is>
      </c>
    </row>
    <row r="1158" ht="20.1" customHeight="1" s="904">
      <c r="A1158" s="545" t="n"/>
      <c r="B1158" s="909" t="n"/>
      <c r="C1158" s="74" t="inlineStr">
        <is>
          <t>Завод "Мономер" ООО "Газпром нефтехим Салават"</t>
        </is>
      </c>
      <c r="D1158" s="15" t="n"/>
      <c r="E1158" s="15" t="n"/>
      <c r="F1158" s="16" t="n"/>
      <c r="G1158" s="17" t="inlineStr">
        <is>
          <t>17_100336059</t>
        </is>
      </c>
      <c r="H1158" s="636" t="n"/>
      <c r="I1158" s="17" t="n"/>
      <c r="J1158" s="549" t="inlineStr">
        <is>
          <t>тыс.т.</t>
        </is>
      </c>
    </row>
    <row r="1159" ht="20.1" customHeight="1" s="904">
      <c r="A1159" s="545" t="n"/>
      <c r="B1159" s="909" t="n"/>
      <c r="C1159" s="82" t="inlineStr">
        <is>
          <t>НПЗ ООО "Газпром нефтехим Салават" (ККФ)</t>
        </is>
      </c>
      <c r="D1159" s="15" t="n"/>
      <c r="E1159" s="15" t="n"/>
      <c r="F1159" s="16" t="n"/>
      <c r="G1159" s="17" t="inlineStr">
        <is>
          <t>17_100336060</t>
        </is>
      </c>
      <c r="H1159" s="636" t="n"/>
      <c r="I1159" s="17" t="n"/>
      <c r="J1159" s="615" t="inlineStr">
        <is>
          <t>тыс.т.</t>
        </is>
      </c>
    </row>
    <row r="1160" ht="32.25" customHeight="1" s="904">
      <c r="A1160" s="545" t="n"/>
      <c r="B1160" s="909" t="inlineStr">
        <is>
          <t>1.7</t>
        </is>
      </c>
      <c r="C1160" s="79" t="inlineStr">
        <is>
          <t>Ортоксилол</t>
        </is>
      </c>
      <c r="D1160" s="15" t="n"/>
      <c r="E1160" s="15" t="n"/>
      <c r="F1160" s="16" t="n"/>
      <c r="G1160" s="17" t="inlineStr">
        <is>
          <t>17_100336061</t>
        </is>
      </c>
      <c r="H1160" s="636" t="n"/>
      <c r="I1160" s="17" t="n"/>
      <c r="J1160" s="615" t="inlineStr">
        <is>
          <t>тыс.т.</t>
        </is>
      </c>
    </row>
    <row r="1161" ht="35.1" customHeight="1" s="904">
      <c r="A1161" s="545" t="n"/>
      <c r="B1161" s="909" t="inlineStr">
        <is>
          <t>2.</t>
        </is>
      </c>
      <c r="C1161" s="58" t="inlineStr">
        <is>
          <t>ПЕРЕРАБОТКА СЫРЬЯ 
ООО "ГАЗПРОМ НЕФТЕХИМ САЛАВАТ":</t>
        </is>
      </c>
      <c r="D1161" s="15" t="n"/>
      <c r="E1161" s="15" t="n"/>
      <c r="F1161" s="16" t="n"/>
      <c r="G1161" s="17" t="inlineStr">
        <is>
          <t>17_100330823</t>
        </is>
      </c>
      <c r="H1161" s="636" t="n"/>
      <c r="I1161" s="17" t="n"/>
      <c r="J1161" s="615" t="inlineStr">
        <is>
          <t>тыс.т.</t>
        </is>
      </c>
    </row>
    <row r="1162" ht="20.1" customHeight="1" s="904">
      <c r="A1162" s="545" t="n"/>
      <c r="B1162" s="909" t="inlineStr">
        <is>
          <t>2.1</t>
        </is>
      </c>
      <c r="C1162" s="72" t="inlineStr">
        <is>
          <t>Бензин</t>
        </is>
      </c>
      <c r="D1162" s="15" t="n"/>
      <c r="E1162" s="15" t="n"/>
      <c r="F1162" s="16" t="n"/>
      <c r="G1162" s="17" t="inlineStr">
        <is>
          <t>17_100330824</t>
        </is>
      </c>
      <c r="H1162" s="636" t="n"/>
      <c r="I1162" s="17" t="n"/>
      <c r="J1162" s="549" t="inlineStr">
        <is>
          <t>тыс.т.</t>
        </is>
      </c>
    </row>
    <row r="1163" ht="20.1" customHeight="1" s="904">
      <c r="A1163" s="545" t="n"/>
      <c r="B1163" s="909" t="n"/>
      <c r="C1163" s="74" t="inlineStr">
        <is>
          <t>НПЗ ООО "Газпром нефтехим Салават"</t>
        </is>
      </c>
      <c r="D1163" s="15" t="n"/>
      <c r="E1163" s="15" t="n"/>
      <c r="F1163" s="16" t="n"/>
      <c r="G1163" s="17" t="inlineStr">
        <is>
          <t>17_100336062</t>
        </is>
      </c>
      <c r="H1163" s="636" t="n"/>
      <c r="I1163" s="17" t="n"/>
      <c r="J1163" s="615" t="inlineStr">
        <is>
          <t>тыс.т.</t>
        </is>
      </c>
    </row>
    <row r="1164" ht="20.1" customHeight="1" s="904">
      <c r="A1164" s="545" t="n"/>
      <c r="B1164" s="909" t="inlineStr">
        <is>
          <t>2.2</t>
        </is>
      </c>
      <c r="C1164" s="72" t="inlineStr">
        <is>
          <t>ШФЛУ</t>
        </is>
      </c>
      <c r="D1164" s="15" t="n"/>
      <c r="E1164" s="15" t="n"/>
      <c r="F1164" s="16" t="n"/>
      <c r="G1164" s="17" t="inlineStr">
        <is>
          <t>17_100330825</t>
        </is>
      </c>
      <c r="H1164" s="636" t="n"/>
      <c r="I1164" s="17" t="n"/>
      <c r="J1164" s="549" t="inlineStr">
        <is>
          <t>тыс.т.</t>
        </is>
      </c>
    </row>
    <row r="1165" ht="20.1" customHeight="1" s="904">
      <c r="A1165" s="545" t="n"/>
      <c r="B1165" s="909" t="n"/>
      <c r="C1165" s="74" t="inlineStr">
        <is>
          <t>ПАО "Газпром"</t>
        </is>
      </c>
      <c r="D1165" s="15" t="n"/>
      <c r="E1165" s="15" t="n"/>
      <c r="F1165" s="16" t="n"/>
      <c r="G1165" s="17" t="inlineStr">
        <is>
          <t>17_100336063</t>
        </is>
      </c>
      <c r="H1165" s="636" t="n"/>
      <c r="I1165" s="17" t="n"/>
      <c r="J1165" s="549" t="inlineStr">
        <is>
          <t>тыс.т.</t>
        </is>
      </c>
    </row>
    <row r="1166" ht="20.1" customHeight="1" s="904">
      <c r="A1166" s="545" t="n"/>
      <c r="B1166" s="909" t="n"/>
      <c r="C1166" s="74" t="inlineStr">
        <is>
          <t>Астраханский ГПЗ</t>
        </is>
      </c>
      <c r="D1166" s="15" t="n"/>
      <c r="E1166" s="15" t="n"/>
      <c r="F1166" s="16" t="n"/>
      <c r="G1166" s="17" t="inlineStr">
        <is>
          <t>17_100336064</t>
        </is>
      </c>
      <c r="H1166" s="636" t="n"/>
      <c r="I1166" s="17" t="n"/>
      <c r="J1166" s="549" t="inlineStr">
        <is>
          <t>тыс.т.</t>
        </is>
      </c>
    </row>
    <row r="1167" ht="20.1" customHeight="1" s="904">
      <c r="A1167" s="545" t="n"/>
      <c r="B1167" s="909" t="n"/>
      <c r="C1167" s="74" t="inlineStr">
        <is>
          <t>Оренбургский ГПЗ</t>
        </is>
      </c>
      <c r="D1167" s="15" t="n"/>
      <c r="E1167" s="15" t="n"/>
      <c r="F1167" s="16" t="n"/>
      <c r="G1167" s="17" t="inlineStr">
        <is>
          <t>17_100336065</t>
        </is>
      </c>
      <c r="H1167" s="636" t="n"/>
      <c r="I1167" s="17" t="n"/>
      <c r="J1167" s="615" t="inlineStr">
        <is>
          <t>тыс.т.</t>
        </is>
      </c>
    </row>
    <row r="1168" ht="20.1" customHeight="1" s="904">
      <c r="A1168" s="545" t="n"/>
      <c r="B1168" s="909" t="n"/>
      <c r="C1168" s="82" t="inlineStr">
        <is>
          <t xml:space="preserve">        НПЗ ООО "Газпром нефтехим Салават"</t>
        </is>
      </c>
      <c r="D1168" s="15" t="n"/>
      <c r="E1168" s="15" t="n"/>
      <c r="F1168" s="16" t="n"/>
      <c r="G1168" s="17" t="inlineStr">
        <is>
          <t>17_100336066</t>
        </is>
      </c>
      <c r="H1168" s="636" t="n"/>
      <c r="I1168" s="17" t="n"/>
      <c r="J1168" s="615" t="inlineStr">
        <is>
          <t>тыс.т.</t>
        </is>
      </c>
    </row>
    <row r="1169" ht="20.1" customHeight="1" s="904">
      <c r="A1169" s="545" t="n"/>
      <c r="B1169" s="909" t="inlineStr">
        <is>
          <t>2.3</t>
        </is>
      </c>
      <c r="C1169" s="72" t="inlineStr">
        <is>
          <t>Газы углеводородные сжиженные</t>
        </is>
      </c>
      <c r="D1169" s="15" t="n"/>
      <c r="E1169" s="15" t="n"/>
      <c r="F1169" s="16" t="n"/>
      <c r="G1169" s="17" t="inlineStr">
        <is>
          <t>17_100336067</t>
        </is>
      </c>
      <c r="H1169" s="636" t="n"/>
      <c r="I1169" s="17" t="n"/>
      <c r="J1169" s="549" t="inlineStr">
        <is>
          <t>тыс.т.</t>
        </is>
      </c>
    </row>
    <row r="1170" ht="20.1" customHeight="1" s="904">
      <c r="A1170" s="545" t="n"/>
      <c r="B1170" s="909" t="n"/>
      <c r="C1170" s="74" t="inlineStr">
        <is>
          <t>Сургутский ЗСК</t>
        </is>
      </c>
      <c r="D1170" s="15" t="n"/>
      <c r="E1170" s="15" t="n"/>
      <c r="F1170" s="16" t="n"/>
      <c r="G1170" s="17" t="inlineStr">
        <is>
          <t>17_100336068</t>
        </is>
      </c>
      <c r="H1170" s="636" t="n"/>
      <c r="I1170" s="17" t="n"/>
      <c r="J1170" s="615" t="inlineStr">
        <is>
          <t>тыс.т.</t>
        </is>
      </c>
    </row>
    <row r="1171" ht="20.1" customHeight="1" s="904">
      <c r="A1171" s="545" t="n"/>
      <c r="B1171" s="909" t="inlineStr">
        <is>
          <t>2.4</t>
        </is>
      </c>
      <c r="C1171" s="72" t="inlineStr">
        <is>
          <t>Фракция этановая</t>
        </is>
      </c>
      <c r="D1171" s="15" t="n"/>
      <c r="E1171" s="15" t="n"/>
      <c r="F1171" s="16" t="n"/>
      <c r="G1171" s="17" t="inlineStr">
        <is>
          <t>17_100336069</t>
        </is>
      </c>
      <c r="H1171" s="636" t="n"/>
      <c r="I1171" s="17" t="n"/>
      <c r="J1171" s="549" t="inlineStr">
        <is>
          <t>тыс.т.</t>
        </is>
      </c>
    </row>
    <row r="1172" ht="20.1" customHeight="1" s="904">
      <c r="A1172" s="545" t="n"/>
      <c r="B1172" s="909" t="n"/>
      <c r="C1172" s="74" t="inlineStr">
        <is>
          <t>ПАО "Газпром"</t>
        </is>
      </c>
      <c r="D1172" s="15" t="n"/>
      <c r="E1172" s="15" t="n"/>
      <c r="F1172" s="16" t="n"/>
      <c r="G1172" s="17" t="inlineStr">
        <is>
          <t>17_100336070</t>
        </is>
      </c>
      <c r="H1172" s="636" t="n"/>
      <c r="I1172" s="17" t="n"/>
      <c r="J1172" s="549" t="inlineStr">
        <is>
          <t>тыс.т.</t>
        </is>
      </c>
    </row>
    <row r="1173" ht="34.5" customHeight="1" s="904">
      <c r="A1173" s="545" t="n"/>
      <c r="B1173" s="909" t="n"/>
      <c r="C1173" s="74" t="inlineStr">
        <is>
          <t>Оренбургский ГЗ</t>
        </is>
      </c>
      <c r="D1173" s="15" t="n"/>
      <c r="E1173" s="15" t="n"/>
      <c r="F1173" s="16" t="n"/>
      <c r="G1173" s="17" t="inlineStr">
        <is>
          <t>17_100336071</t>
        </is>
      </c>
      <c r="H1173" s="636" t="n"/>
      <c r="I1173" s="17" t="n"/>
      <c r="J1173" s="615" t="inlineStr">
        <is>
          <t>тыс.т.</t>
        </is>
      </c>
    </row>
    <row r="1174" ht="35.1" customHeight="1" s="904">
      <c r="A1174" s="545" t="n"/>
      <c r="B1174" s="909" t="inlineStr">
        <is>
          <t>2.5</t>
        </is>
      </c>
      <c r="C1174" s="58" t="inlineStr">
        <is>
          <t>Продукция (сырье) с НПЗ 
ООО "Газпром нефтехим Салават"</t>
        </is>
      </c>
      <c r="D1174" s="15" t="n"/>
      <c r="E1174" s="15" t="n"/>
      <c r="F1174" s="16" t="n"/>
      <c r="G1174" s="17" t="inlineStr">
        <is>
          <t>17_100336072</t>
        </is>
      </c>
      <c r="H1174" s="636" t="n"/>
      <c r="I1174" s="17" t="n"/>
      <c r="J1174" s="615" t="inlineStr">
        <is>
          <t>тыс.т.</t>
        </is>
      </c>
    </row>
    <row r="1175" ht="20.1" customHeight="1" s="904">
      <c r="A1175" s="545" t="n"/>
      <c r="B1175" s="909" t="inlineStr">
        <is>
          <t>2.6</t>
        </is>
      </c>
      <c r="C1175" s="72" t="inlineStr">
        <is>
          <t>Пропилен</t>
        </is>
      </c>
      <c r="D1175" s="15" t="n"/>
      <c r="E1175" s="15" t="n"/>
      <c r="F1175" s="16" t="n"/>
      <c r="G1175" s="17" t="inlineStr">
        <is>
          <t>17_100336073</t>
        </is>
      </c>
      <c r="H1175" s="636" t="n"/>
      <c r="I1175" s="17" t="n"/>
      <c r="J1175" s="549" t="inlineStr">
        <is>
          <t>тыс.т.</t>
        </is>
      </c>
    </row>
    <row r="1176" ht="20.1" customHeight="1" s="904">
      <c r="A1176" s="545" t="n"/>
      <c r="B1176" s="909" t="n"/>
      <c r="C1176" s="74" t="inlineStr">
        <is>
          <t>Пропилен покупной</t>
        </is>
      </c>
      <c r="D1176" s="15" t="n"/>
      <c r="E1176" s="15" t="n"/>
      <c r="F1176" s="16" t="n"/>
      <c r="G1176" s="17" t="inlineStr">
        <is>
          <t>17_100336074</t>
        </is>
      </c>
      <c r="H1176" s="636" t="n"/>
      <c r="I1176" s="17" t="n"/>
      <c r="J1176" s="549" t="inlineStr">
        <is>
          <t>тыс.т.</t>
        </is>
      </c>
    </row>
    <row r="1177" ht="20.1" customHeight="1" s="904">
      <c r="A1177" s="545" t="n"/>
      <c r="B1177" s="909" t="n"/>
      <c r="C1177" s="74" t="inlineStr">
        <is>
          <t>Завод "Мономер" ООО "Газпром нефтехим Салават"</t>
        </is>
      </c>
      <c r="D1177" s="15" t="n"/>
      <c r="E1177" s="15" t="n"/>
      <c r="F1177" s="16" t="n"/>
      <c r="G1177" s="17" t="inlineStr">
        <is>
          <t>17_100336075</t>
        </is>
      </c>
      <c r="H1177" s="636" t="n"/>
      <c r="I1177" s="17" t="n"/>
      <c r="J1177" s="549" t="inlineStr">
        <is>
          <t>тыс.т.</t>
        </is>
      </c>
    </row>
    <row r="1178" ht="20.1" customHeight="1" s="904">
      <c r="A1178" s="545" t="n"/>
      <c r="B1178" s="909" t="n"/>
      <c r="C1178" s="82" t="inlineStr">
        <is>
          <t>НПЗ ООО "Газпром нефтехим Салават" (ККФ)</t>
        </is>
      </c>
      <c r="D1178" s="15" t="n"/>
      <c r="E1178" s="15" t="n"/>
      <c r="F1178" s="16" t="n"/>
      <c r="G1178" s="17" t="inlineStr">
        <is>
          <t>17_100336076</t>
        </is>
      </c>
      <c r="H1178" s="636" t="n"/>
      <c r="I1178" s="17" t="n"/>
      <c r="J1178" s="615" t="inlineStr">
        <is>
          <t>тыс.т.</t>
        </is>
      </c>
    </row>
    <row r="1179" ht="20.1" customHeight="1" s="904">
      <c r="A1179" s="545" t="n"/>
      <c r="B1179" s="909" t="inlineStr">
        <is>
          <t>2.7</t>
        </is>
      </c>
      <c r="C1179" s="72" t="inlineStr">
        <is>
          <t>Ортоксилол</t>
        </is>
      </c>
      <c r="D1179" s="15" t="n"/>
      <c r="E1179" s="15" t="n"/>
      <c r="F1179" s="16" t="n"/>
      <c r="G1179" s="17" t="inlineStr">
        <is>
          <t>17_100336077</t>
        </is>
      </c>
      <c r="H1179" s="636" t="n"/>
      <c r="I1179" s="17" t="n"/>
      <c r="J1179" s="615" t="inlineStr">
        <is>
          <t>тыс.т.</t>
        </is>
      </c>
    </row>
    <row r="1180" ht="20.1" customHeight="1" s="904">
      <c r="A1180" s="545" t="n"/>
      <c r="B1180" s="909" t="inlineStr">
        <is>
          <t>2.8</t>
        </is>
      </c>
      <c r="C1180" s="72" t="inlineStr">
        <is>
          <t xml:space="preserve">Природный газ </t>
        </is>
      </c>
      <c r="D1180" s="15" t="n"/>
      <c r="E1180" s="15" t="n"/>
      <c r="F1180" s="16" t="n"/>
      <c r="G1180" s="17" t="inlineStr">
        <is>
          <t>17_100335597</t>
        </is>
      </c>
      <c r="H1180" s="636" t="n"/>
      <c r="I1180" s="17" t="n"/>
      <c r="J1180" s="615" t="inlineStr">
        <is>
          <t>млн.м3</t>
        </is>
      </c>
    </row>
    <row r="1181" ht="20.1" customHeight="1" s="904">
      <c r="A1181" s="545" t="n"/>
      <c r="B1181" s="909" t="inlineStr">
        <is>
          <t>3.</t>
        </is>
      </c>
      <c r="C1181" s="58" t="inlineStr">
        <is>
          <t xml:space="preserve">ПРОДУКЦИЯ </t>
        </is>
      </c>
      <c r="D1181" s="15" t="n"/>
      <c r="E1181" s="15" t="n"/>
      <c r="F1181" s="16" t="n"/>
      <c r="G1181" s="17" t="n"/>
      <c r="H1181" s="636" t="n"/>
      <c r="I1181" s="17" t="n"/>
      <c r="J1181" s="615" t="n"/>
    </row>
    <row r="1182" ht="20.1" customHeight="1" s="904">
      <c r="A1182" s="545" t="n"/>
      <c r="B1182" s="909" t="inlineStr">
        <is>
          <t>3.1</t>
        </is>
      </c>
      <c r="C1182" s="72" t="inlineStr">
        <is>
          <t xml:space="preserve">Этилен </t>
        </is>
      </c>
      <c r="D1182" s="15" t="n"/>
      <c r="E1182" s="15" t="n"/>
      <c r="F1182" s="16" t="n"/>
      <c r="G1182" s="17" t="inlineStr">
        <is>
          <t>17_100330831</t>
        </is>
      </c>
      <c r="H1182" s="636" t="n"/>
      <c r="I1182" s="17" t="n"/>
      <c r="J1182" s="549" t="inlineStr">
        <is>
          <t>тыс.т.</t>
        </is>
      </c>
    </row>
    <row r="1183" ht="20.1" customHeight="1" s="904">
      <c r="A1183" s="545" t="n"/>
      <c r="B1183" s="909" t="n"/>
      <c r="C1183" s="83" t="inlineStr">
        <is>
          <t>в т.ч. товарный</t>
        </is>
      </c>
      <c r="D1183" s="15" t="n"/>
      <c r="E1183" s="15" t="n"/>
      <c r="F1183" s="16" t="n"/>
      <c r="G1183" s="17" t="inlineStr">
        <is>
          <t>17_100330832</t>
        </is>
      </c>
      <c r="H1183" s="636" t="n"/>
      <c r="I1183" s="17" t="n"/>
      <c r="J1183" s="615" t="inlineStr">
        <is>
          <t>тыс.т.</t>
        </is>
      </c>
    </row>
    <row r="1184" ht="20.1" customHeight="1" s="904">
      <c r="A1184" s="545" t="n"/>
      <c r="B1184" s="909" t="inlineStr">
        <is>
          <t>3.2</t>
        </is>
      </c>
      <c r="C1184" s="72" t="inlineStr">
        <is>
          <t xml:space="preserve">Пропилен </t>
        </is>
      </c>
      <c r="D1184" s="15" t="n"/>
      <c r="E1184" s="15" t="n"/>
      <c r="F1184" s="16" t="n"/>
      <c r="G1184" s="17" t="inlineStr">
        <is>
          <t>17_100330833</t>
        </is>
      </c>
      <c r="H1184" s="636" t="n"/>
      <c r="I1184" s="17" t="n"/>
      <c r="J1184" s="549" t="inlineStr">
        <is>
          <t>тыс.т.</t>
        </is>
      </c>
    </row>
    <row r="1185" ht="20.1" customHeight="1" s="904">
      <c r="A1185" s="545" t="n"/>
      <c r="B1185" s="909" t="n"/>
      <c r="C1185" s="83" t="inlineStr">
        <is>
          <t>в т.ч. товарный</t>
        </is>
      </c>
      <c r="D1185" s="15" t="n"/>
      <c r="E1185" s="15" t="n"/>
      <c r="F1185" s="16" t="n"/>
      <c r="G1185" s="17" t="inlineStr">
        <is>
          <t>17_100332346</t>
        </is>
      </c>
      <c r="H1185" s="636" t="n"/>
      <c r="I1185" s="17" t="n"/>
      <c r="J1185" s="549" t="inlineStr">
        <is>
          <t>тыс.т.</t>
        </is>
      </c>
    </row>
    <row r="1186" ht="20.1" customHeight="1" s="904">
      <c r="A1186" s="545" t="n"/>
      <c r="B1186" s="909" t="n"/>
      <c r="C1186" s="83" t="inlineStr">
        <is>
          <t>На ООО "Акрил-Салават"</t>
        </is>
      </c>
      <c r="D1186" s="15" t="n"/>
      <c r="E1186" s="15" t="n"/>
      <c r="F1186" s="16" t="n"/>
      <c r="G1186" s="17" t="inlineStr">
        <is>
          <t>17_100336079</t>
        </is>
      </c>
      <c r="H1186" s="636" t="n"/>
      <c r="I1186" s="17" t="n"/>
      <c r="J1186" s="615" t="inlineStr">
        <is>
          <t>тыс.т.</t>
        </is>
      </c>
    </row>
    <row r="1187" ht="20.1" customHeight="1" s="904">
      <c r="A1187" s="545" t="n"/>
      <c r="B1187" s="909" t="inlineStr">
        <is>
          <t>3.3</t>
        </is>
      </c>
      <c r="C1187" s="72" t="inlineStr">
        <is>
          <t xml:space="preserve">Бутилен-бутадиеновая фракция </t>
        </is>
      </c>
      <c r="D1187" s="15" t="n"/>
      <c r="E1187" s="15" t="n"/>
      <c r="F1187" s="16" t="n"/>
      <c r="G1187" s="17" t="inlineStr">
        <is>
          <t>17_100330835</t>
        </is>
      </c>
      <c r="H1187" s="636" t="n"/>
      <c r="I1187" s="17" t="n"/>
      <c r="J1187" s="549" t="inlineStr">
        <is>
          <t>тыс.т.</t>
        </is>
      </c>
    </row>
    <row r="1188" ht="20.1" customHeight="1" s="904">
      <c r="A1188" s="545" t="n"/>
      <c r="B1188" s="909" t="n"/>
      <c r="C1188" s="83" t="inlineStr">
        <is>
          <t>в т.ч. товарный</t>
        </is>
      </c>
      <c r="D1188" s="15" t="n"/>
      <c r="E1188" s="15" t="n"/>
      <c r="F1188" s="16" t="n"/>
      <c r="G1188" s="17" t="inlineStr">
        <is>
          <t>17_100335105</t>
        </is>
      </c>
      <c r="H1188" s="636" t="n"/>
      <c r="I1188" s="17" t="n"/>
      <c r="J1188" s="615" t="inlineStr">
        <is>
          <t>тыс.т.</t>
        </is>
      </c>
    </row>
    <row r="1189" ht="20.1" customHeight="1" s="904">
      <c r="A1189" s="545" t="n"/>
      <c r="B1189" s="909" t="inlineStr">
        <is>
          <t>3.4</t>
        </is>
      </c>
      <c r="C1189" s="72" t="inlineStr">
        <is>
          <t xml:space="preserve">Тяжелая смола </t>
        </is>
      </c>
      <c r="D1189" s="15" t="n"/>
      <c r="E1189" s="15" t="n"/>
      <c r="F1189" s="16" t="n"/>
      <c r="G1189" s="17" t="inlineStr">
        <is>
          <t>17_100330836</t>
        </is>
      </c>
      <c r="H1189" s="636" t="n"/>
      <c r="I1189" s="17" t="n"/>
      <c r="J1189" s="549" t="inlineStr">
        <is>
          <t>тыс.т.</t>
        </is>
      </c>
    </row>
    <row r="1190" ht="20.1" customHeight="1" s="904">
      <c r="A1190" s="545" t="n"/>
      <c r="B1190" s="909" t="n"/>
      <c r="C1190" s="83" t="inlineStr">
        <is>
          <t>в т.ч. товарный</t>
        </is>
      </c>
      <c r="D1190" s="15" t="n"/>
      <c r="E1190" s="15" t="n"/>
      <c r="F1190" s="16" t="n"/>
      <c r="G1190" s="17" t="inlineStr">
        <is>
          <t>17_100335106</t>
        </is>
      </c>
      <c r="H1190" s="636" t="n"/>
      <c r="I1190" s="17" t="n"/>
      <c r="J1190" s="615" t="inlineStr">
        <is>
          <t>тыс.т.</t>
        </is>
      </c>
    </row>
    <row r="1191" ht="20.1" customHeight="1" s="904">
      <c r="A1191" s="545" t="n"/>
      <c r="B1191" s="909" t="inlineStr">
        <is>
          <t>3.5</t>
        </is>
      </c>
      <c r="C1191" s="72" t="inlineStr">
        <is>
          <t xml:space="preserve">Пироконденсат  </t>
        </is>
      </c>
      <c r="D1191" s="15" t="n"/>
      <c r="E1191" s="15" t="n"/>
      <c r="F1191" s="16" t="n"/>
      <c r="G1191" s="17" t="inlineStr">
        <is>
          <t>17_100332907</t>
        </is>
      </c>
      <c r="H1191" s="636" t="n"/>
      <c r="I1191" s="17" t="n"/>
      <c r="J1191" s="549" t="inlineStr">
        <is>
          <t>тыс.т.</t>
        </is>
      </c>
    </row>
    <row r="1192" ht="20.1" customHeight="1" s="904">
      <c r="A1192" s="545" t="n"/>
      <c r="B1192" s="909" t="n"/>
      <c r="C1192" s="83" t="inlineStr">
        <is>
          <t>в т.ч. товарный</t>
        </is>
      </c>
      <c r="D1192" s="15" t="n"/>
      <c r="E1192" s="15" t="n"/>
      <c r="F1192" s="16" t="n"/>
      <c r="G1192" s="17" t="inlineStr">
        <is>
          <t>17_100335107</t>
        </is>
      </c>
      <c r="H1192" s="636" t="n"/>
      <c r="I1192" s="17" t="n"/>
      <c r="J1192" s="615" t="inlineStr">
        <is>
          <t>тыс.т.</t>
        </is>
      </c>
    </row>
    <row r="1193" ht="20.1" customHeight="1" s="904">
      <c r="A1193" s="545" t="n"/>
      <c r="B1193" s="909" t="inlineStr">
        <is>
          <t>3.6</t>
        </is>
      </c>
      <c r="C1193" s="72" t="inlineStr">
        <is>
          <t xml:space="preserve">Бензол </t>
        </is>
      </c>
      <c r="D1193" s="15" t="n"/>
      <c r="E1193" s="15" t="n"/>
      <c r="F1193" s="16" t="n"/>
      <c r="G1193" s="17" t="inlineStr">
        <is>
          <t>17_100335108</t>
        </is>
      </c>
      <c r="H1193" s="636" t="n"/>
      <c r="I1193" s="17" t="n"/>
      <c r="J1193" s="549" t="inlineStr">
        <is>
          <t>тыс.т.</t>
        </is>
      </c>
    </row>
    <row r="1194" ht="20.1" customHeight="1" s="904">
      <c r="A1194" s="545" t="n"/>
      <c r="B1194" s="909" t="n"/>
      <c r="C1194" s="83" t="inlineStr">
        <is>
          <t>в т.ч. товарный</t>
        </is>
      </c>
      <c r="D1194" s="15" t="n"/>
      <c r="E1194" s="15" t="n"/>
      <c r="F1194" s="16" t="n"/>
      <c r="G1194" s="17" t="inlineStr">
        <is>
          <t>17_100335109</t>
        </is>
      </c>
      <c r="H1194" s="636" t="n"/>
      <c r="I1194" s="17" t="n"/>
      <c r="J1194" s="615" t="inlineStr">
        <is>
          <t>тыс.т.</t>
        </is>
      </c>
    </row>
    <row r="1195" ht="20.1" customHeight="1" s="904">
      <c r="A1195" s="545" t="n"/>
      <c r="B1195" s="909" t="inlineStr">
        <is>
          <t>3.7</t>
        </is>
      </c>
      <c r="C1195" s="72" t="inlineStr">
        <is>
          <t xml:space="preserve">Кубовый Остаток Ректификации Бензола </t>
        </is>
      </c>
      <c r="D1195" s="15" t="n"/>
      <c r="E1195" s="15" t="n"/>
      <c r="F1195" s="16" t="n"/>
      <c r="G1195" s="17" t="inlineStr">
        <is>
          <t>17_100336080</t>
        </is>
      </c>
      <c r="H1195" s="636" t="n"/>
      <c r="I1195" s="17" t="n"/>
      <c r="J1195" s="549" t="inlineStr">
        <is>
          <t>тыс.т.</t>
        </is>
      </c>
    </row>
    <row r="1196" ht="20.1" customHeight="1" s="904">
      <c r="A1196" s="545" t="n"/>
      <c r="B1196" s="909" t="n"/>
      <c r="C1196" s="83" t="inlineStr">
        <is>
          <t>в т.ч. товарный</t>
        </is>
      </c>
      <c r="D1196" s="15" t="n"/>
      <c r="E1196" s="15" t="n"/>
      <c r="F1196" s="16" t="n"/>
      <c r="G1196" s="17" t="inlineStr">
        <is>
          <t>17_100336081</t>
        </is>
      </c>
      <c r="H1196" s="636" t="n"/>
      <c r="I1196" s="17" t="n"/>
      <c r="J1196" s="615" t="inlineStr">
        <is>
          <t>тыс.т.</t>
        </is>
      </c>
    </row>
    <row r="1197" ht="20.1" customHeight="1" s="904">
      <c r="A1197" s="545" t="n"/>
      <c r="B1197" s="909" t="inlineStr">
        <is>
          <t>3.8</t>
        </is>
      </c>
      <c r="C1197" s="72" t="inlineStr">
        <is>
          <t xml:space="preserve">Стирол </t>
        </is>
      </c>
      <c r="D1197" s="15" t="n"/>
      <c r="E1197" s="15" t="n"/>
      <c r="F1197" s="16" t="n"/>
      <c r="G1197" s="17" t="inlineStr">
        <is>
          <t>17_100330837</t>
        </is>
      </c>
      <c r="H1197" s="636" t="n"/>
      <c r="I1197" s="17" t="n"/>
      <c r="J1197" s="549" t="inlineStr">
        <is>
          <t>тыс.т.</t>
        </is>
      </c>
    </row>
    <row r="1198" ht="20.1" customHeight="1" s="904">
      <c r="A1198" s="545" t="n"/>
      <c r="B1198" s="909" t="n"/>
      <c r="C1198" s="83" t="inlineStr">
        <is>
          <t>в т.ч. товарный</t>
        </is>
      </c>
      <c r="D1198" s="15" t="n"/>
      <c r="E1198" s="15" t="n"/>
      <c r="F1198" s="16" t="n"/>
      <c r="G1198" s="17" t="inlineStr">
        <is>
          <t>17_100330838</t>
        </is>
      </c>
      <c r="H1198" s="636" t="n"/>
      <c r="I1198" s="17" t="n"/>
      <c r="J1198" s="615" t="inlineStr">
        <is>
          <t>тыс.т.</t>
        </is>
      </c>
    </row>
    <row r="1199" ht="20.1" customHeight="1" s="904">
      <c r="A1199" s="545" t="n"/>
      <c r="B1199" s="909" t="inlineStr">
        <is>
          <t>3.9</t>
        </is>
      </c>
      <c r="C1199" s="72" t="inlineStr">
        <is>
          <t xml:space="preserve">Кубовый Остаток Ректификации Стирола </t>
        </is>
      </c>
      <c r="D1199" s="15" t="n"/>
      <c r="E1199" s="15" t="n"/>
      <c r="F1199" s="16" t="n"/>
      <c r="G1199" s="17" t="inlineStr">
        <is>
          <t>17_100336082</t>
        </is>
      </c>
      <c r="H1199" s="636" t="n"/>
      <c r="I1199" s="17" t="n"/>
      <c r="J1199" s="549" t="inlineStr">
        <is>
          <t>тыс.т.</t>
        </is>
      </c>
    </row>
    <row r="1200" ht="20.1" customHeight="1" s="904">
      <c r="A1200" s="545" t="n"/>
      <c r="B1200" s="909" t="n"/>
      <c r="C1200" s="83" t="inlineStr">
        <is>
          <t>в т.ч. товарный</t>
        </is>
      </c>
      <c r="D1200" s="15" t="n"/>
      <c r="E1200" s="15" t="n"/>
      <c r="F1200" s="16" t="n"/>
      <c r="G1200" s="17" t="inlineStr">
        <is>
          <t>17_100336083</t>
        </is>
      </c>
      <c r="H1200" s="636" t="n"/>
      <c r="I1200" s="17" t="n"/>
      <c r="J1200" s="615" t="inlineStr">
        <is>
          <t>тыс.т.</t>
        </is>
      </c>
    </row>
    <row r="1201" ht="20.1" customHeight="1" s="904">
      <c r="A1201" s="545" t="n"/>
      <c r="B1201" s="909" t="inlineStr">
        <is>
          <t>3.10</t>
        </is>
      </c>
      <c r="C1201" s="72" t="inlineStr">
        <is>
          <t xml:space="preserve">Этилбензол </t>
        </is>
      </c>
      <c r="D1201" s="15" t="n"/>
      <c r="E1201" s="15" t="n"/>
      <c r="F1201" s="16" t="n"/>
      <c r="G1201" s="17" t="inlineStr">
        <is>
          <t>17_100336084</t>
        </is>
      </c>
      <c r="H1201" s="636" t="n"/>
      <c r="I1201" s="17" t="n"/>
      <c r="J1201" s="549" t="inlineStr">
        <is>
          <t>тыс.т.</t>
        </is>
      </c>
    </row>
    <row r="1202" ht="20.1" customHeight="1" s="904">
      <c r="A1202" s="545" t="n"/>
      <c r="B1202" s="909" t="n"/>
      <c r="C1202" s="83" t="inlineStr">
        <is>
          <t>в т.ч. товарный</t>
        </is>
      </c>
      <c r="D1202" s="15" t="n"/>
      <c r="E1202" s="15" t="n"/>
      <c r="F1202" s="16" t="n"/>
      <c r="G1202" s="17" t="inlineStr">
        <is>
          <t>17_100336085</t>
        </is>
      </c>
      <c r="H1202" s="636" t="n"/>
      <c r="I1202" s="17" t="n"/>
      <c r="J1202" s="615" t="inlineStr">
        <is>
          <t>тыс.т.</t>
        </is>
      </c>
    </row>
    <row r="1203" ht="20.1" customHeight="1" s="904">
      <c r="A1203" s="545" t="n"/>
      <c r="B1203" s="909" t="inlineStr">
        <is>
          <t>3.11</t>
        </is>
      </c>
      <c r="C1203" s="72" t="inlineStr">
        <is>
          <t xml:space="preserve">Полиэтилен высокого давления </t>
        </is>
      </c>
      <c r="D1203" s="15" t="n"/>
      <c r="E1203" s="15" t="n"/>
      <c r="F1203" s="16" t="n"/>
      <c r="G1203" s="17" t="inlineStr">
        <is>
          <t>17_100330840</t>
        </is>
      </c>
      <c r="H1203" s="636" t="n"/>
      <c r="I1203" s="17" t="n"/>
      <c r="J1203" s="549" t="inlineStr">
        <is>
          <t>тыс.т.</t>
        </is>
      </c>
    </row>
    <row r="1204" ht="20.1" customHeight="1" s="904">
      <c r="A1204" s="545" t="n"/>
      <c r="B1204" s="909" t="n"/>
      <c r="C1204" s="83" t="inlineStr">
        <is>
          <t>в т.ч. товарный</t>
        </is>
      </c>
      <c r="D1204" s="15" t="n"/>
      <c r="E1204" s="15" t="n"/>
      <c r="F1204" s="16" t="n"/>
      <c r="G1204" s="17" t="inlineStr">
        <is>
          <t>17_100335112</t>
        </is>
      </c>
      <c r="H1204" s="636" t="n"/>
      <c r="I1204" s="17" t="n"/>
      <c r="J1204" s="615" t="inlineStr">
        <is>
          <t>тыс.т.</t>
        </is>
      </c>
    </row>
    <row r="1205" ht="20.1" customHeight="1" s="904">
      <c r="A1205" s="545" t="n"/>
      <c r="B1205" s="909" t="inlineStr">
        <is>
          <t>3.12</t>
        </is>
      </c>
      <c r="C1205" s="72" t="inlineStr">
        <is>
          <t xml:space="preserve">Полиэтилен низкого давления </t>
        </is>
      </c>
      <c r="D1205" s="15" t="n"/>
      <c r="E1205" s="15" t="n"/>
      <c r="F1205" s="16" t="n"/>
      <c r="G1205" s="17" t="inlineStr">
        <is>
          <t>17_100330841</t>
        </is>
      </c>
      <c r="H1205" s="636" t="n"/>
      <c r="I1205" s="17" t="n"/>
      <c r="J1205" s="549" t="inlineStr">
        <is>
          <t>тыс.т.</t>
        </is>
      </c>
    </row>
    <row r="1206" ht="20.1" customHeight="1" s="904">
      <c r="A1206" s="545" t="n"/>
      <c r="B1206" s="909" t="n"/>
      <c r="C1206" s="83" t="inlineStr">
        <is>
          <t>в т.ч. товарный</t>
        </is>
      </c>
      <c r="D1206" s="15" t="n"/>
      <c r="E1206" s="15" t="n"/>
      <c r="F1206" s="16" t="n"/>
      <c r="G1206" s="17" t="inlineStr">
        <is>
          <t>17_100335113</t>
        </is>
      </c>
      <c r="H1206" s="636" t="n"/>
      <c r="I1206" s="17" t="n"/>
      <c r="J1206" s="615" t="inlineStr">
        <is>
          <t>тыс.т.</t>
        </is>
      </c>
    </row>
    <row r="1207" ht="20.1" customHeight="1" s="904">
      <c r="A1207" s="545" t="n"/>
      <c r="B1207" s="909" t="inlineStr">
        <is>
          <t>3.13</t>
        </is>
      </c>
      <c r="C1207" s="72" t="inlineStr">
        <is>
          <t xml:space="preserve">Полистирол (ПСМ) </t>
        </is>
      </c>
      <c r="D1207" s="15" t="n"/>
      <c r="E1207" s="15" t="n"/>
      <c r="F1207" s="16" t="n"/>
      <c r="G1207" s="17" t="inlineStr">
        <is>
          <t>17_100330839</t>
        </is>
      </c>
      <c r="H1207" s="636" t="n"/>
      <c r="I1207" s="17" t="n"/>
      <c r="J1207" s="549" t="inlineStr">
        <is>
          <t>тыс.т.</t>
        </is>
      </c>
    </row>
    <row r="1208" ht="20.1" customHeight="1" s="904">
      <c r="A1208" s="545" t="n"/>
      <c r="B1208" s="909" t="n"/>
      <c r="C1208" s="83" t="inlineStr">
        <is>
          <t>в т.ч. товарный</t>
        </is>
      </c>
      <c r="D1208" s="15" t="n"/>
      <c r="E1208" s="15" t="n"/>
      <c r="F1208" s="16" t="n"/>
      <c r="G1208" s="17" t="inlineStr">
        <is>
          <t>17_100335111</t>
        </is>
      </c>
      <c r="H1208" s="636" t="n"/>
      <c r="I1208" s="17" t="n"/>
      <c r="J1208" s="615" t="inlineStr">
        <is>
          <t>тыс.т.</t>
        </is>
      </c>
    </row>
    <row r="1209" ht="20.1" customHeight="1" s="904">
      <c r="A1209" s="545" t="n"/>
      <c r="B1209" s="909" t="n"/>
      <c r="C1209" s="72" t="inlineStr">
        <is>
          <t xml:space="preserve">Нормальный  бутанол </t>
        </is>
      </c>
      <c r="D1209" s="15" t="n"/>
      <c r="E1209" s="15" t="n"/>
      <c r="F1209" s="16" t="n"/>
      <c r="G1209" s="17" t="inlineStr">
        <is>
          <t>17_100330842</t>
        </is>
      </c>
      <c r="H1209" s="636" t="n"/>
      <c r="I1209" s="17" t="n"/>
      <c r="J1209" s="549" t="inlineStr">
        <is>
          <t>тыс.т.</t>
        </is>
      </c>
    </row>
    <row r="1210" ht="20.1" customHeight="1" s="904">
      <c r="A1210" s="545" t="n"/>
      <c r="B1210" s="909" t="n"/>
      <c r="C1210" s="83" t="inlineStr">
        <is>
          <t>в т.ч. товарный</t>
        </is>
      </c>
      <c r="D1210" s="15" t="n"/>
      <c r="E1210" s="15" t="n"/>
      <c r="F1210" s="16" t="n"/>
      <c r="G1210" s="17" t="inlineStr">
        <is>
          <t>17_100330843</t>
        </is>
      </c>
      <c r="H1210" s="636" t="n"/>
      <c r="I1210" s="17" t="n"/>
      <c r="J1210" s="549" t="inlineStr">
        <is>
          <t>тыс.т.</t>
        </is>
      </c>
    </row>
    <row r="1211" ht="20.1" customHeight="1" s="904">
      <c r="A1211" s="545" t="n"/>
      <c r="B1211" s="909" t="n"/>
      <c r="C1211" s="83" t="inlineStr">
        <is>
          <t>На ООО "Акрил-Салават"</t>
        </is>
      </c>
      <c r="D1211" s="15" t="n"/>
      <c r="E1211" s="15" t="n"/>
      <c r="F1211" s="16" t="n"/>
      <c r="G1211" s="17" t="inlineStr">
        <is>
          <t>17_100336086</t>
        </is>
      </c>
      <c r="H1211" s="636" t="n"/>
      <c r="I1211" s="17" t="n"/>
      <c r="J1211" s="549" t="inlineStr">
        <is>
          <t>тыс.т.</t>
        </is>
      </c>
    </row>
    <row r="1212" ht="20.1" customHeight="1" s="904">
      <c r="A1212" s="545" t="n"/>
      <c r="B1212" s="909" t="n"/>
      <c r="C1212" s="83" t="inlineStr">
        <is>
          <t>На Дмитриевский хим.завод (производство бутилацетата)</t>
        </is>
      </c>
      <c r="D1212" s="15" t="n"/>
      <c r="E1212" s="15" t="n"/>
      <c r="F1212" s="16" t="n"/>
      <c r="G1212" s="17" t="inlineStr">
        <is>
          <t>17_100336087</t>
        </is>
      </c>
      <c r="H1212" s="636" t="n"/>
      <c r="I1212" s="17" t="n"/>
      <c r="J1212" s="615" t="inlineStr">
        <is>
          <t>тыс.т.</t>
        </is>
      </c>
    </row>
    <row r="1213" ht="20.1" customHeight="1" s="904">
      <c r="A1213" s="545" t="n"/>
      <c r="B1213" s="909" t="inlineStr">
        <is>
          <t>3.14</t>
        </is>
      </c>
      <c r="C1213" s="72" t="inlineStr">
        <is>
          <t xml:space="preserve">Изобутанол </t>
        </is>
      </c>
      <c r="D1213" s="15" t="n"/>
      <c r="E1213" s="15" t="n"/>
      <c r="F1213" s="16" t="n"/>
      <c r="G1213" s="17" t="inlineStr">
        <is>
          <t>17_100330844</t>
        </is>
      </c>
      <c r="H1213" s="636" t="n"/>
      <c r="I1213" s="17" t="n"/>
      <c r="J1213" s="549" t="inlineStr">
        <is>
          <t>тыс.т.</t>
        </is>
      </c>
    </row>
    <row r="1214" ht="20.1" customHeight="1" s="904">
      <c r="A1214" s="545" t="n"/>
      <c r="B1214" s="909" t="n"/>
      <c r="C1214" s="83" t="inlineStr">
        <is>
          <t>в т.ч. товарный</t>
        </is>
      </c>
      <c r="D1214" s="15" t="n"/>
      <c r="E1214" s="15" t="n"/>
      <c r="F1214" s="16" t="n"/>
      <c r="G1214" s="17" t="inlineStr">
        <is>
          <t>17_100330845</t>
        </is>
      </c>
      <c r="H1214" s="636" t="n"/>
      <c r="I1214" s="17" t="n"/>
      <c r="J1214" s="615" t="inlineStr">
        <is>
          <t>тыс.т.</t>
        </is>
      </c>
    </row>
    <row r="1215" ht="21.75" customHeight="1" s="904">
      <c r="A1215" s="545" t="n"/>
      <c r="B1215" s="909" t="n"/>
      <c r="C1215" s="83" t="inlineStr">
        <is>
          <t>На НПЗ</t>
        </is>
      </c>
      <c r="D1215" s="15" t="n"/>
      <c r="E1215" s="15" t="n"/>
      <c r="F1215" s="16" t="n"/>
      <c r="G1215" s="17" t="inlineStr">
        <is>
          <t>17_100336088</t>
        </is>
      </c>
      <c r="H1215" s="636" t="n"/>
      <c r="I1215" s="17" t="n"/>
      <c r="J1215" s="615" t="inlineStr">
        <is>
          <t>тыс.т.</t>
        </is>
      </c>
    </row>
    <row r="1216" ht="20.1" customHeight="1" s="904">
      <c r="A1216" s="545" t="n"/>
      <c r="B1216" s="909" t="inlineStr">
        <is>
          <t>3.15</t>
        </is>
      </c>
      <c r="C1216" s="58" t="inlineStr">
        <is>
          <t>Кубовый остаток бутиловых спиртов (КОБС)</t>
        </is>
      </c>
      <c r="D1216" s="15" t="n"/>
      <c r="E1216" s="15" t="n"/>
      <c r="F1216" s="16" t="n"/>
      <c r="G1216" s="17" t="inlineStr">
        <is>
          <t>17_100336089</t>
        </is>
      </c>
      <c r="H1216" s="636" t="n"/>
      <c r="I1216" s="17" t="n"/>
      <c r="J1216" s="549" t="inlineStr">
        <is>
          <t>тыс.т.</t>
        </is>
      </c>
    </row>
    <row r="1217" ht="20.1" customHeight="1" s="904">
      <c r="A1217" s="545" t="n"/>
      <c r="B1217" s="909" t="n"/>
      <c r="C1217" s="83" t="inlineStr">
        <is>
          <t>в т.ч. товарный</t>
        </is>
      </c>
      <c r="D1217" s="15" t="n"/>
      <c r="E1217" s="15" t="n"/>
      <c r="F1217" s="16" t="n"/>
      <c r="G1217" s="17" t="inlineStr">
        <is>
          <t>17_100336090</t>
        </is>
      </c>
      <c r="H1217" s="636" t="n"/>
      <c r="I1217" s="17" t="n"/>
      <c r="J1217" s="549" t="inlineStr">
        <is>
          <t>тыс.т.</t>
        </is>
      </c>
    </row>
    <row r="1218" ht="20.1" customHeight="1" s="904">
      <c r="A1218" s="545" t="n"/>
      <c r="B1218" s="909" t="n"/>
      <c r="C1218" s="83" t="inlineStr">
        <is>
          <t>На НПЗ</t>
        </is>
      </c>
      <c r="D1218" s="15" t="n"/>
      <c r="E1218" s="15" t="n"/>
      <c r="F1218" s="16" t="n"/>
      <c r="G1218" s="17" t="inlineStr">
        <is>
          <t>17_100336091</t>
        </is>
      </c>
      <c r="H1218" s="636" t="n"/>
      <c r="I1218" s="17" t="n"/>
      <c r="J1218" s="615" t="inlineStr">
        <is>
          <t>тыс.т.</t>
        </is>
      </c>
    </row>
    <row r="1219" ht="20.1" customHeight="1" s="904">
      <c r="A1219" s="545" t="n"/>
      <c r="B1219" s="909" t="inlineStr">
        <is>
          <t>3.16</t>
        </is>
      </c>
      <c r="C1219" s="72" t="inlineStr">
        <is>
          <t xml:space="preserve">Фталевый ангидрид </t>
        </is>
      </c>
      <c r="D1219" s="15" t="n"/>
      <c r="E1219" s="15" t="n"/>
      <c r="F1219" s="16" t="n"/>
      <c r="G1219" s="17" t="inlineStr">
        <is>
          <t>17_100336092</t>
        </is>
      </c>
      <c r="H1219" s="636" t="n"/>
      <c r="I1219" s="17" t="n"/>
      <c r="J1219" s="549" t="inlineStr">
        <is>
          <t>тыс.т.</t>
        </is>
      </c>
    </row>
    <row r="1220" ht="20.1" customHeight="1" s="904">
      <c r="A1220" s="545" t="n"/>
      <c r="B1220" s="909" t="n"/>
      <c r="C1220" s="83" t="inlineStr">
        <is>
          <t>в т.ч. товарный</t>
        </is>
      </c>
      <c r="D1220" s="15" t="n"/>
      <c r="E1220" s="15" t="n"/>
      <c r="F1220" s="16" t="n"/>
      <c r="G1220" s="17" t="inlineStr">
        <is>
          <t>17_100336093</t>
        </is>
      </c>
      <c r="H1220" s="636" t="n"/>
      <c r="I1220" s="17" t="n"/>
      <c r="J1220" s="615" t="inlineStr">
        <is>
          <t>тыс.т.</t>
        </is>
      </c>
    </row>
    <row r="1221" ht="20.1" customHeight="1" s="904">
      <c r="A1221" s="545" t="n"/>
      <c r="B1221" s="909" t="inlineStr">
        <is>
          <t>3.17</t>
        </is>
      </c>
      <c r="C1221" s="72" t="inlineStr">
        <is>
          <t>Эфирная головка</t>
        </is>
      </c>
      <c r="D1221" s="15" t="n"/>
      <c r="E1221" s="15" t="n"/>
      <c r="F1221" s="16" t="n"/>
      <c r="G1221" s="17" t="inlineStr">
        <is>
          <t>17_100336094</t>
        </is>
      </c>
      <c r="H1221" s="636" t="n"/>
      <c r="I1221" s="17" t="n"/>
      <c r="J1221" s="549" t="inlineStr">
        <is>
          <t>тыс.т.</t>
        </is>
      </c>
    </row>
    <row r="1222" ht="20.1" customHeight="1" s="904">
      <c r="A1222" s="545" t="n"/>
      <c r="B1222" s="909" t="n"/>
      <c r="C1222" s="83" t="inlineStr">
        <is>
          <t>в т.ч. товарный</t>
        </is>
      </c>
      <c r="D1222" s="15" t="n"/>
      <c r="E1222" s="15" t="n"/>
      <c r="F1222" s="16" t="n"/>
      <c r="G1222" s="17" t="inlineStr">
        <is>
          <t>17_100336095</t>
        </is>
      </c>
      <c r="H1222" s="636" t="n"/>
      <c r="I1222" s="17" t="n"/>
      <c r="J1222" s="549" t="inlineStr">
        <is>
          <t>тыс.т.</t>
        </is>
      </c>
    </row>
    <row r="1223" ht="20.1" customHeight="1" s="904">
      <c r="A1223" s="545" t="n"/>
      <c r="B1223" s="909" t="n"/>
      <c r="C1223" s="83" t="inlineStr">
        <is>
          <t>На НПЗ</t>
        </is>
      </c>
      <c r="D1223" s="15" t="n"/>
      <c r="E1223" s="15" t="n"/>
      <c r="F1223" s="16" t="n"/>
      <c r="G1223" s="17" t="inlineStr">
        <is>
          <t>17_100336096</t>
        </is>
      </c>
      <c r="H1223" s="636" t="n"/>
      <c r="I1223" s="17" t="n"/>
      <c r="J1223" s="615" t="inlineStr">
        <is>
          <t>тыс.т.</t>
        </is>
      </c>
    </row>
    <row r="1224" ht="20.1" customHeight="1" s="904">
      <c r="A1224" s="545" t="n"/>
      <c r="B1224" s="909" t="inlineStr">
        <is>
          <t>3.18</t>
        </is>
      </c>
      <c r="C1224" s="72" t="inlineStr">
        <is>
          <t xml:space="preserve">Пластификаторы </t>
        </is>
      </c>
      <c r="D1224" s="15" t="n"/>
      <c r="E1224" s="15" t="n"/>
      <c r="F1224" s="16" t="n"/>
      <c r="G1224" s="17" t="inlineStr">
        <is>
          <t>17_100330846</t>
        </is>
      </c>
      <c r="H1224" s="636" t="n"/>
      <c r="I1224" s="17" t="n"/>
      <c r="J1224" s="549" t="inlineStr">
        <is>
          <t>тыс.т.</t>
        </is>
      </c>
    </row>
    <row r="1225" ht="20.1" customHeight="1" s="904">
      <c r="A1225" s="545" t="n"/>
      <c r="B1225" s="909" t="n"/>
      <c r="C1225" s="83" t="inlineStr">
        <is>
          <t>в т.ч. товарный</t>
        </is>
      </c>
      <c r="D1225" s="15" t="n"/>
      <c r="E1225" s="15" t="n"/>
      <c r="F1225" s="16" t="n"/>
      <c r="G1225" s="17" t="inlineStr">
        <is>
          <t>17_100336097</t>
        </is>
      </c>
      <c r="H1225" s="636" t="n"/>
      <c r="I1225" s="17" t="n"/>
      <c r="J1225" s="615" t="inlineStr">
        <is>
          <t>тыс.т.</t>
        </is>
      </c>
    </row>
    <row r="1226" ht="20.1" customHeight="1" s="904">
      <c r="A1226" s="545" t="n"/>
      <c r="B1226" s="909" t="inlineStr">
        <is>
          <t>3.19</t>
        </is>
      </c>
      <c r="C1226" s="72" t="inlineStr">
        <is>
          <t xml:space="preserve">Дваэтилгексанол </t>
        </is>
      </c>
      <c r="D1226" s="15" t="n"/>
      <c r="E1226" s="15" t="n"/>
      <c r="F1226" s="16" t="n"/>
      <c r="G1226" s="17" t="inlineStr">
        <is>
          <t>17_100336098</t>
        </is>
      </c>
      <c r="H1226" s="636" t="n"/>
      <c r="I1226" s="17" t="n"/>
      <c r="J1226" s="549" t="inlineStr">
        <is>
          <t>тыс.т.</t>
        </is>
      </c>
    </row>
    <row r="1227" ht="20.1" customHeight="1" s="904">
      <c r="A1227" s="545" t="n"/>
      <c r="B1227" s="909" t="n"/>
      <c r="C1227" s="83" t="inlineStr">
        <is>
          <t>в т.ч. товарный</t>
        </is>
      </c>
      <c r="D1227" s="15" t="n"/>
      <c r="E1227" s="15" t="n"/>
      <c r="F1227" s="16" t="n"/>
      <c r="G1227" s="17" t="inlineStr">
        <is>
          <t>17_100336099</t>
        </is>
      </c>
      <c r="H1227" s="636" t="n"/>
      <c r="I1227" s="17" t="n"/>
      <c r="J1227" s="615" t="inlineStr">
        <is>
          <t>тыс.т.</t>
        </is>
      </c>
    </row>
    <row r="1228" ht="20.1" customHeight="1" s="904">
      <c r="A1228" s="545" t="n"/>
      <c r="B1228" s="909" t="inlineStr">
        <is>
          <t>3.20</t>
        </is>
      </c>
      <c r="C1228" s="58" t="inlineStr">
        <is>
          <t xml:space="preserve">Кубовый остаток от дваэтилгексанола (КОРДЭГ) </t>
        </is>
      </c>
      <c r="D1228" s="15" t="n"/>
      <c r="E1228" s="15" t="n"/>
      <c r="F1228" s="16" t="n"/>
      <c r="G1228" s="17" t="inlineStr">
        <is>
          <t>17_100336100</t>
        </is>
      </c>
      <c r="H1228" s="636" t="n"/>
      <c r="I1228" s="17" t="n"/>
      <c r="J1228" s="549" t="inlineStr">
        <is>
          <t>тыс.т.</t>
        </is>
      </c>
    </row>
    <row r="1229" ht="20.1" customHeight="1" s="904">
      <c r="A1229" s="545" t="n"/>
      <c r="B1229" s="909" t="n"/>
      <c r="C1229" s="83" t="inlineStr">
        <is>
          <t>в т.ч. товарный</t>
        </is>
      </c>
      <c r="D1229" s="15" t="n"/>
      <c r="E1229" s="15" t="n"/>
      <c r="F1229" s="16" t="n"/>
      <c r="G1229" s="17" t="inlineStr">
        <is>
          <t>17_100336101</t>
        </is>
      </c>
      <c r="H1229" s="636" t="n"/>
      <c r="I1229" s="17" t="n"/>
      <c r="J1229" s="615" t="inlineStr">
        <is>
          <t>тыс.т.</t>
        </is>
      </c>
    </row>
    <row r="1230" ht="20.1" customHeight="1" s="904">
      <c r="A1230" s="545" t="n"/>
      <c r="B1230" s="909" t="n"/>
      <c r="C1230" s="83" t="n"/>
      <c r="D1230" s="15" t="n"/>
      <c r="E1230" s="15" t="n"/>
      <c r="F1230" s="16" t="n"/>
      <c r="G1230" s="17" t="n"/>
      <c r="H1230" s="636" t="n"/>
      <c r="I1230" s="17" t="n"/>
      <c r="J1230" s="615" t="n"/>
    </row>
    <row r="1231" ht="20.1" customHeight="1" s="904">
      <c r="A1231" s="545" t="n"/>
      <c r="B1231" s="909" t="n"/>
      <c r="C1231" s="71" t="inlineStr">
        <is>
          <t>ГАЗОХИМИЧЕСКИЙ ЗАВОД (ГХЗ)</t>
        </is>
      </c>
      <c r="D1231" s="15" t="n"/>
      <c r="E1231" s="15" t="n"/>
      <c r="F1231" s="16" t="n"/>
      <c r="G1231" s="17" t="n"/>
      <c r="H1231" s="636" t="n"/>
      <c r="I1231" s="17" t="n"/>
      <c r="J1231" s="615" t="n"/>
    </row>
    <row r="1232" ht="20.1" customHeight="1" s="904">
      <c r="A1232" s="545" t="n"/>
      <c r="B1232" s="909" t="inlineStr">
        <is>
          <t>1.</t>
        </is>
      </c>
      <c r="C1232" s="58" t="inlineStr">
        <is>
          <t xml:space="preserve">ПЕРЕРАБОТКА СЫРЬЯ </t>
        </is>
      </c>
      <c r="D1232" s="15" t="n"/>
      <c r="E1232" s="15" t="n"/>
      <c r="F1232" s="16" t="n"/>
      <c r="G1232" s="17" t="n"/>
      <c r="H1232" s="636" t="n"/>
      <c r="I1232" s="17" t="n"/>
      <c r="J1232" s="615" t="n"/>
    </row>
    <row r="1233" ht="20.1" customHeight="1" s="904">
      <c r="A1233" s="545" t="n"/>
      <c r="B1233" s="909" t="inlineStr">
        <is>
          <t>1.1</t>
        </is>
      </c>
      <c r="C1233" s="72" t="inlineStr">
        <is>
          <t>Природный газ</t>
        </is>
      </c>
      <c r="D1233" s="15" t="n"/>
      <c r="E1233" s="15" t="n"/>
      <c r="F1233" s="16" t="n"/>
      <c r="G1233" s="17" t="inlineStr">
        <is>
          <t>17_100330794</t>
        </is>
      </c>
      <c r="H1233" s="636" t="n"/>
      <c r="I1233" s="17" t="n"/>
      <c r="J1233" s="615" t="inlineStr">
        <is>
          <t>млн.м3</t>
        </is>
      </c>
    </row>
    <row r="1234" ht="20.1" customHeight="1" s="904">
      <c r="A1234" s="545" t="n"/>
      <c r="B1234" s="909" t="inlineStr">
        <is>
          <t>2.</t>
        </is>
      </c>
      <c r="C1234" s="58" t="inlineStr">
        <is>
          <t xml:space="preserve">ПРОДУКЦИЯ </t>
        </is>
      </c>
      <c r="D1234" s="15" t="n"/>
      <c r="E1234" s="15" t="n"/>
      <c r="F1234" s="16" t="n"/>
      <c r="G1234" s="17" t="n"/>
      <c r="H1234" s="636" t="n"/>
      <c r="I1234" s="17" t="n"/>
      <c r="J1234" s="615" t="n"/>
    </row>
    <row r="1235" ht="20.1" customHeight="1" s="904">
      <c r="A1235" s="545" t="n"/>
      <c r="B1235" s="909" t="inlineStr">
        <is>
          <t>2.1</t>
        </is>
      </c>
      <c r="C1235" s="72" t="inlineStr">
        <is>
          <t xml:space="preserve">Аммиак </t>
        </is>
      </c>
      <c r="D1235" s="15" t="n"/>
      <c r="E1235" s="15" t="n"/>
      <c r="F1235" s="16" t="n"/>
      <c r="G1235" s="17" t="inlineStr">
        <is>
          <t>17_100330798</t>
        </is>
      </c>
      <c r="H1235" s="636" t="n"/>
      <c r="I1235" s="17" t="n"/>
      <c r="J1235" s="549" t="inlineStr">
        <is>
          <t>тыс.т.</t>
        </is>
      </c>
    </row>
    <row r="1236" ht="20.1" customHeight="1" s="904">
      <c r="A1236" s="545" t="n"/>
      <c r="B1236" s="909" t="n"/>
      <c r="C1236" s="83" t="inlineStr">
        <is>
          <t>в т.ч. товарный</t>
        </is>
      </c>
      <c r="D1236" s="15" t="n"/>
      <c r="E1236" s="15" t="n"/>
      <c r="F1236" s="16" t="n"/>
      <c r="G1236" s="17" t="inlineStr">
        <is>
          <t>17_100330799</t>
        </is>
      </c>
      <c r="H1236" s="636" t="n"/>
      <c r="I1236" s="17" t="n"/>
      <c r="J1236" s="615" t="inlineStr">
        <is>
          <t>тыс.т.</t>
        </is>
      </c>
    </row>
    <row r="1237" ht="20.1" customHeight="1" s="904">
      <c r="A1237" s="545" t="n"/>
      <c r="B1237" s="909" t="inlineStr">
        <is>
          <t>2.2</t>
        </is>
      </c>
      <c r="C1237" s="72" t="inlineStr">
        <is>
          <t xml:space="preserve">Карбамид </t>
        </is>
      </c>
      <c r="D1237" s="15" t="n"/>
      <c r="E1237" s="15" t="n"/>
      <c r="F1237" s="16" t="n"/>
      <c r="G1237" s="17" t="inlineStr">
        <is>
          <t>17_100330796</t>
        </is>
      </c>
      <c r="H1237" s="636" t="n"/>
      <c r="I1237" s="17" t="n"/>
      <c r="J1237" s="549" t="inlineStr">
        <is>
          <t>тыс.т.</t>
        </is>
      </c>
    </row>
    <row r="1238" ht="20.1" customHeight="1" s="904">
      <c r="A1238" s="545" t="n"/>
      <c r="B1238" s="909" t="n"/>
      <c r="C1238" s="83" t="inlineStr">
        <is>
          <t>в т.ч. товарный</t>
        </is>
      </c>
      <c r="D1238" s="15" t="n"/>
      <c r="E1238" s="15" t="n"/>
      <c r="F1238" s="16" t="n"/>
      <c r="G1238" s="17" t="inlineStr">
        <is>
          <t>17_100336102</t>
        </is>
      </c>
      <c r="H1238" s="636" t="n"/>
      <c r="I1238" s="17" t="n"/>
      <c r="J1238" s="615" t="inlineStr">
        <is>
          <t>тыс.т.</t>
        </is>
      </c>
    </row>
    <row r="1239" ht="20.1" customHeight="1" s="904">
      <c r="A1239" s="545" t="n"/>
      <c r="B1239" s="909" t="inlineStr">
        <is>
          <t>2.3</t>
        </is>
      </c>
      <c r="C1239" s="72" t="inlineStr">
        <is>
          <t xml:space="preserve">Аммиачная вода </t>
        </is>
      </c>
      <c r="D1239" s="15" t="n"/>
      <c r="E1239" s="15" t="n"/>
      <c r="F1239" s="16" t="n"/>
      <c r="G1239" s="17" t="inlineStr">
        <is>
          <t>17_100330800</t>
        </is>
      </c>
      <c r="H1239" s="636" t="n"/>
      <c r="I1239" s="17" t="n"/>
      <c r="J1239" s="549" t="inlineStr">
        <is>
          <t>тыс.т.</t>
        </is>
      </c>
    </row>
    <row r="1240" ht="20.1" customHeight="1" s="904">
      <c r="A1240" s="545" t="n"/>
      <c r="B1240" s="909" t="n"/>
      <c r="C1240" s="83" t="inlineStr">
        <is>
          <t>в т.ч. товарный</t>
        </is>
      </c>
      <c r="D1240" s="15" t="n"/>
      <c r="E1240" s="15" t="n"/>
      <c r="F1240" s="16" t="n"/>
      <c r="G1240" s="17" t="inlineStr">
        <is>
          <t>17_100336103</t>
        </is>
      </c>
      <c r="H1240" s="636" t="n"/>
      <c r="I1240" s="17" t="n"/>
      <c r="J1240" s="615" t="inlineStr">
        <is>
          <t>тыс.т.</t>
        </is>
      </c>
    </row>
    <row r="1241" ht="20.1" customHeight="1" s="904">
      <c r="A1241" s="545" t="n"/>
      <c r="B1241" s="909" t="n"/>
      <c r="C1241" s="83" t="n"/>
      <c r="D1241" s="15" t="n"/>
      <c r="E1241" s="15" t="n"/>
      <c r="F1241" s="16" t="n"/>
      <c r="G1241" s="17" t="n"/>
      <c r="H1241" s="636" t="n"/>
      <c r="I1241" s="17" t="n"/>
      <c r="J1241" s="615" t="n"/>
    </row>
    <row r="1242" ht="20.1" customHeight="1" s="904">
      <c r="A1242" s="545" t="n"/>
      <c r="B1242" s="909" t="n"/>
      <c r="C1242" s="71" t="inlineStr">
        <is>
          <t>ООО "АКРИЛ-САЛАВАТ"</t>
        </is>
      </c>
      <c r="D1242" s="15" t="n"/>
      <c r="E1242" s="15" t="n"/>
      <c r="F1242" s="16" t="n"/>
      <c r="G1242" s="17" t="n"/>
      <c r="H1242" s="636" t="n"/>
      <c r="I1242" s="17" t="n"/>
      <c r="J1242" s="615" t="n"/>
    </row>
    <row r="1243" ht="31.5" customHeight="1" s="904">
      <c r="A1243" s="545" t="n"/>
      <c r="B1243" s="909" t="inlineStr">
        <is>
          <t>1.</t>
        </is>
      </c>
      <c r="C1243" s="58" t="inlineStr">
        <is>
          <t xml:space="preserve">ПЕРЕРАБОТКА СЫРЬЯ </t>
        </is>
      </c>
      <c r="D1243" s="15" t="n"/>
      <c r="E1243" s="15" t="n"/>
      <c r="F1243" s="16" t="n"/>
      <c r="G1243" s="17" t="inlineStr">
        <is>
          <t>17_100332347</t>
        </is>
      </c>
      <c r="H1243" s="636" t="n"/>
      <c r="I1243" s="17" t="n"/>
      <c r="J1243" s="615" t="inlineStr">
        <is>
          <t>тыс.т.</t>
        </is>
      </c>
    </row>
    <row r="1244" ht="35.1" customHeight="1" s="904">
      <c r="A1244" s="545" t="n"/>
      <c r="B1244" s="909" t="inlineStr">
        <is>
          <t>1.1</t>
        </is>
      </c>
      <c r="C1244" s="75" t="inlineStr">
        <is>
          <t>Пропилен с завода "Мономер" 
ООО "Газпром нефтехим Салават"</t>
        </is>
      </c>
      <c r="D1244" s="15" t="n"/>
      <c r="E1244" s="15" t="n"/>
      <c r="F1244" s="16" t="n"/>
      <c r="G1244" s="17" t="inlineStr">
        <is>
          <t>17_100332348</t>
        </is>
      </c>
      <c r="H1244" s="636" t="n"/>
      <c r="I1244" s="17" t="n"/>
      <c r="J1244" s="615" t="inlineStr">
        <is>
          <t>тыс.т.</t>
        </is>
      </c>
    </row>
    <row r="1245" ht="35.1" customHeight="1" s="904">
      <c r="A1245" s="545" t="n"/>
      <c r="B1245" s="909" t="inlineStr">
        <is>
          <t>1.2</t>
        </is>
      </c>
      <c r="C1245" s="75" t="inlineStr">
        <is>
          <t>Бутанол с завода "Мономер" 
ООО "Газпром нефтехим Салават"</t>
        </is>
      </c>
      <c r="D1245" s="15" t="n"/>
      <c r="E1245" s="15" t="n"/>
      <c r="F1245" s="16" t="n"/>
      <c r="G1245" s="17" t="inlineStr">
        <is>
          <t>17_100332349</t>
        </is>
      </c>
      <c r="H1245" s="636" t="n"/>
      <c r="I1245" s="17" t="n"/>
      <c r="J1245" s="615" t="inlineStr">
        <is>
          <t>тыс.т.</t>
        </is>
      </c>
    </row>
    <row r="1246" ht="20.1" customHeight="1" s="904">
      <c r="A1246" s="545" t="n"/>
      <c r="B1246" s="909" t="inlineStr">
        <is>
          <t>2.</t>
        </is>
      </c>
      <c r="C1246" s="58" t="inlineStr">
        <is>
          <t xml:space="preserve">ПРОДУКЦИЯ </t>
        </is>
      </c>
      <c r="D1246" s="15" t="n"/>
      <c r="E1246" s="15" t="n"/>
      <c r="F1246" s="16" t="n"/>
      <c r="G1246" s="17" t="n"/>
      <c r="H1246" s="636" t="n"/>
      <c r="I1246" s="17" t="n"/>
      <c r="J1246" s="615" t="n"/>
    </row>
    <row r="1247" ht="20.1" customHeight="1" s="904">
      <c r="A1247" s="545" t="n"/>
      <c r="B1247" s="909" t="inlineStr">
        <is>
          <t>2.1</t>
        </is>
      </c>
      <c r="C1247" s="72" t="inlineStr">
        <is>
          <t>Бутилакрилат (товарный)</t>
        </is>
      </c>
      <c r="D1247" s="15" t="n"/>
      <c r="E1247" s="15" t="n"/>
      <c r="F1247" s="16" t="n"/>
      <c r="G1247" s="17" t="inlineStr">
        <is>
          <t>17_100332352</t>
        </is>
      </c>
      <c r="H1247" s="636" t="n"/>
      <c r="I1247" s="17" t="n"/>
      <c r="J1247" s="615" t="inlineStr">
        <is>
          <t>тыс.т.</t>
        </is>
      </c>
    </row>
    <row r="1248" ht="20.1" customHeight="1" s="904">
      <c r="A1248" s="545" t="n"/>
      <c r="B1248" s="909" t="inlineStr">
        <is>
          <t>2.2</t>
        </is>
      </c>
      <c r="C1248" s="72" t="inlineStr">
        <is>
          <t>Ледяная акриловая кислота (товарный)</t>
        </is>
      </c>
      <c r="D1248" s="15" t="n"/>
      <c r="E1248" s="15" t="n"/>
      <c r="F1248" s="16" t="n"/>
      <c r="G1248" s="17" t="inlineStr">
        <is>
          <t>17_100332353</t>
        </is>
      </c>
      <c r="H1248" s="636" t="n"/>
      <c r="I1248" s="17" t="n"/>
      <c r="J1248" s="24" t="inlineStr">
        <is>
          <t>тыс.т.</t>
        </is>
      </c>
    </row>
    <row r="1249" ht="20.1" customHeight="1" s="904">
      <c r="A1249" s="545" t="n"/>
      <c r="B1249" s="909" t="n"/>
      <c r="C1249" s="84" t="n"/>
      <c r="D1249" s="15" t="n"/>
      <c r="E1249" s="15" t="n"/>
      <c r="F1249" s="16" t="n"/>
      <c r="G1249" s="17" t="n"/>
      <c r="H1249" s="636" t="n"/>
      <c r="I1249" s="17" t="n"/>
      <c r="J1249" s="63" t="n"/>
    </row>
    <row r="1250" ht="20.1" customHeight="1" s="904">
      <c r="A1250" s="545" t="n"/>
      <c r="B1250" s="735" t="inlineStr">
        <is>
          <t>Раздел 3. Прогноз  переработки давальческого углеводородного сырья ассоциированных обществ  и совместных предприятий на предприятиях Группы Газпром</t>
        </is>
      </c>
      <c r="C1250" s="63" t="n"/>
      <c r="D1250" s="15" t="n"/>
      <c r="E1250" s="15" t="n"/>
      <c r="F1250" s="16" t="n"/>
      <c r="G1250" s="17" t="n"/>
      <c r="H1250" s="636" t="n"/>
      <c r="I1250" s="17" t="n"/>
      <c r="J1250" s="24" t="n"/>
    </row>
    <row r="1251" ht="20.1" customHeight="1" s="904">
      <c r="A1251" s="545" t="n"/>
      <c r="B1251" s="909" t="n"/>
      <c r="C1251" s="735" t="inlineStr">
        <is>
          <t>ТОО "КазРосГаз" (Оренбургский ГПЗ)</t>
        </is>
      </c>
      <c r="D1251" s="15" t="n"/>
      <c r="E1251" s="15" t="n"/>
      <c r="F1251" s="16" t="n"/>
      <c r="G1251" s="17" t="n"/>
      <c r="H1251" s="636" t="n"/>
      <c r="I1251" s="17" t="n"/>
      <c r="J1251" s="24" t="n"/>
    </row>
    <row r="1252" ht="20.1" customHeight="1" s="904">
      <c r="A1252" s="545" t="n"/>
      <c r="B1252" s="14" t="inlineStr">
        <is>
          <t>1.</t>
        </is>
      </c>
      <c r="C1252" s="14" t="inlineStr">
        <is>
          <t>CЫРЬЕ</t>
        </is>
      </c>
      <c r="D1252" s="15" t="n"/>
      <c r="E1252" s="15" t="n"/>
      <c r="F1252" s="16" t="n"/>
      <c r="G1252" s="17" t="n"/>
      <c r="H1252" s="636" t="n"/>
      <c r="I1252" s="17" t="n"/>
      <c r="J1252" s="24" t="n"/>
    </row>
    <row r="1253" ht="20.1" customHeight="1" s="904">
      <c r="A1253" s="545" t="n"/>
      <c r="B1253" s="909" t="inlineStr">
        <is>
          <t>1.1</t>
        </is>
      </c>
      <c r="C1253" s="569" t="inlineStr">
        <is>
          <t>Переработка газа на Оренбургском ГПЗ</t>
        </is>
      </c>
      <c r="D1253" s="15" t="n"/>
      <c r="E1253" s="15" t="n"/>
      <c r="F1253" s="16" t="n"/>
      <c r="G1253" s="17">
        <f>G1254</f>
        <v/>
      </c>
      <c r="H1253" s="636" t="n"/>
      <c r="I1253" s="17" t="n"/>
      <c r="J1253" s="549" t="inlineStr">
        <is>
          <t>млн куб. м</t>
        </is>
      </c>
    </row>
    <row r="1254" ht="20.1" customHeight="1" s="904">
      <c r="A1254" s="545" t="n"/>
      <c r="B1254" s="909" t="n"/>
      <c r="C1254" s="51" t="inlineStr">
        <is>
          <t xml:space="preserve">   ТОО "КазРосГаз"(газ КГКМ)</t>
        </is>
      </c>
      <c r="D1254" s="15" t="n"/>
      <c r="E1254" s="15" t="n"/>
      <c r="F1254" s="16" t="n"/>
      <c r="G1254" s="17" t="inlineStr">
        <is>
          <t>2_100332046</t>
        </is>
      </c>
      <c r="H1254" s="636" t="n"/>
      <c r="I1254" s="17" t="n"/>
      <c r="J1254" s="549" t="inlineStr">
        <is>
          <t>млн куб. м</t>
        </is>
      </c>
    </row>
    <row r="1255" ht="20.1" customHeight="1" s="904">
      <c r="A1255" s="545" t="n"/>
      <c r="B1255" s="909" t="n"/>
      <c r="C1255" s="51" t="inlineStr">
        <is>
          <t>в т.ч. на У-01 АО "ЮУПК"</t>
        </is>
      </c>
      <c r="D1255" s="15" t="n"/>
      <c r="E1255" s="15" t="n"/>
      <c r="F1255" s="16" t="n"/>
      <c r="G1255" s="17" t="inlineStr">
        <is>
          <t>2_100332048</t>
        </is>
      </c>
      <c r="H1255" s="636" t="n"/>
      <c r="I1255" s="17" t="n"/>
      <c r="J1255" s="24" t="inlineStr">
        <is>
          <t>млн куб. м</t>
        </is>
      </c>
    </row>
    <row r="1256" ht="20.1" customHeight="1" s="904">
      <c r="A1256" s="545" t="n"/>
      <c r="B1256" s="909" t="inlineStr">
        <is>
          <t>1.2</t>
        </is>
      </c>
      <c r="C1256" s="9" t="inlineStr">
        <is>
          <t>Переработка газа на Оренбургском гелиевом заводе:</t>
        </is>
      </c>
      <c r="D1256" s="15" t="n"/>
      <c r="E1256" s="15" t="n"/>
      <c r="F1256" s="16" t="n"/>
      <c r="G1256" s="17">
        <f>G1257</f>
        <v/>
      </c>
      <c r="H1256" s="636" t="n"/>
      <c r="I1256" s="17" t="n"/>
      <c r="J1256" s="549" t="inlineStr">
        <is>
          <t>млн куб. м</t>
        </is>
      </c>
    </row>
    <row r="1257" ht="20.1" customHeight="1" s="904">
      <c r="A1257" s="545" t="n"/>
      <c r="B1257" s="909" t="n"/>
      <c r="C1257" s="51" t="inlineStr">
        <is>
          <t xml:space="preserve">   ТОО "КазРосГаз"(газ КГКМ)</t>
        </is>
      </c>
      <c r="D1257" s="15" t="n"/>
      <c r="E1257" s="15" t="n"/>
      <c r="F1257" s="16" t="n"/>
      <c r="G1257" s="17" t="inlineStr">
        <is>
          <t>2_100332058</t>
        </is>
      </c>
      <c r="H1257" s="636" t="n"/>
      <c r="I1257" s="17" t="n"/>
      <c r="J1257" s="24" t="inlineStr">
        <is>
          <t>млн куб. м</t>
        </is>
      </c>
    </row>
    <row r="1258" ht="20.1" customHeight="1" s="904">
      <c r="A1258" s="545" t="n"/>
      <c r="B1258" s="14" t="n"/>
      <c r="C1258" s="14" t="inlineStr">
        <is>
          <t xml:space="preserve">ПРОДУКЦИЯ    </t>
        </is>
      </c>
      <c r="D1258" s="15" t="n"/>
      <c r="E1258" s="15" t="n"/>
      <c r="F1258" s="16" t="n"/>
      <c r="G1258" s="17" t="n"/>
      <c r="H1258" s="636" t="n"/>
      <c r="I1258" s="17" t="n"/>
      <c r="J1258" s="24" t="n"/>
    </row>
    <row r="1259" ht="20.1" customHeight="1" s="904">
      <c r="A1259" s="545" t="n"/>
      <c r="B1259" s="909" t="inlineStr">
        <is>
          <t>2.</t>
        </is>
      </c>
      <c r="C1259" s="9" t="inlineStr">
        <is>
          <t>Сера техническая</t>
        </is>
      </c>
      <c r="D1259" s="15" t="n"/>
      <c r="E1259" s="15" t="n"/>
      <c r="F1259" s="16" t="n"/>
      <c r="G1259" s="17" t="n"/>
      <c r="H1259" s="636" t="n"/>
      <c r="I1259" s="17" t="n"/>
      <c r="J1259" s="24" t="n"/>
    </row>
    <row r="1260" ht="20.1" customHeight="1" s="904">
      <c r="A1260" s="545" t="n"/>
      <c r="B1260" s="909" t="n"/>
      <c r="C1260" s="85" t="inlineStr">
        <is>
          <t>Оренбургский ГХК:</t>
        </is>
      </c>
      <c r="D1260" s="15" t="n"/>
      <c r="E1260" s="15" t="n"/>
      <c r="F1260" s="16" t="n"/>
      <c r="G1260" s="17">
        <f>G1261</f>
        <v/>
      </c>
      <c r="H1260" s="636" t="n"/>
      <c r="I1260" s="17" t="n"/>
      <c r="J1260" s="549" t="inlineStr">
        <is>
          <t>тыс.т</t>
        </is>
      </c>
    </row>
    <row r="1261" ht="20.1" customHeight="1" s="904">
      <c r="A1261" s="545" t="n"/>
      <c r="B1261" s="909" t="n"/>
      <c r="C1261" s="51" t="inlineStr">
        <is>
          <t xml:space="preserve">   ТОО "КазРосГаз"(из газа КГКМ)</t>
        </is>
      </c>
      <c r="D1261" s="15" t="n"/>
      <c r="E1261" s="15" t="n"/>
      <c r="F1261" s="16" t="n"/>
      <c r="G1261" s="17" t="inlineStr">
        <is>
          <t>2_100332198</t>
        </is>
      </c>
      <c r="H1261" s="636" t="n"/>
      <c r="I1261" s="17" t="n"/>
      <c r="J1261" s="24" t="inlineStr">
        <is>
          <t>тыс.т</t>
        </is>
      </c>
    </row>
    <row r="1262" ht="20.1" customHeight="1" s="904">
      <c r="A1262" s="545" t="n"/>
      <c r="B1262" s="909" t="inlineStr">
        <is>
          <t>2.1</t>
        </is>
      </c>
      <c r="C1262" s="9" t="inlineStr">
        <is>
          <t>Стабильный газовый конденсат и нефть товарные</t>
        </is>
      </c>
      <c r="D1262" s="15" t="n"/>
      <c r="E1262" s="15" t="n"/>
      <c r="F1262" s="16" t="n"/>
      <c r="G1262" s="17" t="n"/>
      <c r="H1262" s="636" t="n"/>
      <c r="I1262" s="17" t="n"/>
      <c r="J1262" s="24" t="n"/>
    </row>
    <row r="1263" ht="20.1" customHeight="1" s="904">
      <c r="A1263" s="545" t="n"/>
      <c r="B1263" s="909" t="n"/>
      <c r="C1263" s="85" t="inlineStr">
        <is>
          <t>Оренбургский ГХК:</t>
        </is>
      </c>
      <c r="D1263" s="15" t="n"/>
      <c r="E1263" s="15" t="n"/>
      <c r="F1263" s="16" t="n"/>
      <c r="G1263" s="17">
        <f>G1264</f>
        <v/>
      </c>
      <c r="H1263" s="636" t="n"/>
      <c r="I1263" s="17" t="n"/>
      <c r="J1263" s="549" t="inlineStr">
        <is>
          <t>тыс.т</t>
        </is>
      </c>
    </row>
    <row r="1264" ht="20.1" customHeight="1" s="904">
      <c r="A1264" s="545" t="n"/>
      <c r="B1264" s="909" t="n"/>
      <c r="C1264" s="51" t="inlineStr">
        <is>
          <t xml:space="preserve">   ТОО "КазРосГаз"(из газа КГКМ)</t>
        </is>
      </c>
      <c r="D1264" s="15" t="n"/>
      <c r="E1264" s="15" t="n"/>
      <c r="F1264" s="16" t="n"/>
      <c r="G1264" s="17" t="inlineStr">
        <is>
          <t>2_100332259</t>
        </is>
      </c>
      <c r="H1264" s="636" t="n"/>
      <c r="I1264" s="17" t="n"/>
      <c r="J1264" s="24" t="inlineStr">
        <is>
          <t>тыс.т</t>
        </is>
      </c>
    </row>
    <row r="1265" ht="20.1" customHeight="1" s="904">
      <c r="A1265" s="545" t="n"/>
      <c r="B1265" s="909" t="inlineStr">
        <is>
          <t>2.2</t>
        </is>
      </c>
      <c r="C1265" s="9" t="inlineStr">
        <is>
          <t xml:space="preserve">Газы углеводородные сжиженные  </t>
        </is>
      </c>
      <c r="D1265" s="15" t="n"/>
      <c r="E1265" s="15" t="n"/>
      <c r="F1265" s="16" t="n"/>
      <c r="G1265" s="17" t="n"/>
      <c r="H1265" s="636" t="n"/>
      <c r="I1265" s="17" t="n"/>
      <c r="J1265" s="24" t="n"/>
    </row>
    <row r="1266" ht="20.1" customHeight="1" s="904">
      <c r="A1266" s="545" t="n"/>
      <c r="B1266" s="909" t="n"/>
      <c r="C1266" s="85" t="inlineStr">
        <is>
          <t>Оренбургский ГХК:</t>
        </is>
      </c>
      <c r="D1266" s="15" t="n"/>
      <c r="E1266" s="15" t="n"/>
      <c r="F1266" s="16" t="n"/>
      <c r="G1266" s="17">
        <f>G1267</f>
        <v/>
      </c>
      <c r="H1266" s="636" t="n"/>
      <c r="I1266" s="17" t="n"/>
      <c r="J1266" s="549" t="inlineStr">
        <is>
          <t>тыс.т</t>
        </is>
      </c>
    </row>
    <row r="1267" ht="20.1" customHeight="1" s="904">
      <c r="A1267" s="545" t="n"/>
      <c r="B1267" s="909" t="n"/>
      <c r="C1267" s="51" t="inlineStr">
        <is>
          <t xml:space="preserve">   ТОО "КазРосГаз"(из газа КГКМ)</t>
        </is>
      </c>
      <c r="D1267" s="15" t="n"/>
      <c r="E1267" s="15" t="n"/>
      <c r="F1267" s="16" t="n"/>
      <c r="G1267" s="17" t="inlineStr">
        <is>
          <t>2_100332227</t>
        </is>
      </c>
      <c r="H1267" s="636" t="n"/>
      <c r="I1267" s="17" t="n"/>
      <c r="J1267" s="24" t="inlineStr">
        <is>
          <t>тыс.т</t>
        </is>
      </c>
    </row>
    <row r="1268" ht="20.1" customHeight="1" s="904">
      <c r="A1268" s="545" t="n"/>
      <c r="B1268" s="909" t="inlineStr">
        <is>
          <t>2.3</t>
        </is>
      </c>
      <c r="C1268" s="9" t="inlineStr">
        <is>
          <t>ШФЛУ</t>
        </is>
      </c>
      <c r="D1268" s="15" t="n"/>
      <c r="E1268" s="15" t="n"/>
      <c r="F1268" s="16" t="n"/>
      <c r="G1268" s="17" t="n"/>
      <c r="H1268" s="636" t="n"/>
      <c r="I1268" s="17" t="n"/>
      <c r="J1268" s="24" t="n"/>
    </row>
    <row r="1269" ht="20.1" customHeight="1" s="904">
      <c r="A1269" s="545" t="n"/>
      <c r="B1269" s="909" t="n"/>
      <c r="C1269" s="85" t="inlineStr">
        <is>
          <t>Оренбургский ГХК:</t>
        </is>
      </c>
      <c r="D1269" s="15" t="n"/>
      <c r="E1269" s="15" t="n"/>
      <c r="F1269" s="16" t="n"/>
      <c r="G1269" s="17">
        <f>G1270</f>
        <v/>
      </c>
      <c r="H1269" s="636" t="n"/>
      <c r="I1269" s="17" t="n"/>
      <c r="J1269" s="549" t="inlineStr">
        <is>
          <t>тыс.т</t>
        </is>
      </c>
    </row>
    <row r="1270" ht="20.1" customHeight="1" s="904">
      <c r="A1270" s="545" t="n"/>
      <c r="B1270" s="909" t="n"/>
      <c r="C1270" s="51" t="inlineStr">
        <is>
          <t xml:space="preserve">   ТОО "КазРосГаз"(из газа КГКМ)</t>
        </is>
      </c>
      <c r="D1270" s="15" t="n"/>
      <c r="E1270" s="15" t="n"/>
      <c r="F1270" s="16" t="n"/>
      <c r="G1270" s="17" t="inlineStr">
        <is>
          <t>2_100336104</t>
        </is>
      </c>
      <c r="H1270" s="636" t="n"/>
      <c r="I1270" s="17" t="n"/>
      <c r="J1270" s="24" t="inlineStr">
        <is>
          <t>тыс.т</t>
        </is>
      </c>
    </row>
    <row r="1271" ht="20.1" customHeight="1" s="904">
      <c r="A1271" s="545" t="n"/>
      <c r="B1271" s="909" t="inlineStr">
        <is>
          <t>2.4</t>
        </is>
      </c>
      <c r="C1271" s="9" t="inlineStr">
        <is>
          <t>Этановая фракция</t>
        </is>
      </c>
      <c r="D1271" s="15" t="n"/>
      <c r="E1271" s="15" t="n"/>
      <c r="F1271" s="16" t="n"/>
      <c r="G1271" s="17" t="n"/>
      <c r="H1271" s="636" t="n"/>
      <c r="I1271" s="17" t="n"/>
      <c r="J1271" s="24" t="n"/>
    </row>
    <row r="1272" ht="20.1" customHeight="1" s="904">
      <c r="A1272" s="545" t="n"/>
      <c r="B1272" s="909" t="n"/>
      <c r="C1272" s="85" t="inlineStr">
        <is>
          <t>Оренбургский ГХК:</t>
        </is>
      </c>
      <c r="D1272" s="15" t="n"/>
      <c r="E1272" s="15" t="n"/>
      <c r="F1272" s="16" t="n"/>
      <c r="G1272" s="17">
        <f>G1273</f>
        <v/>
      </c>
      <c r="H1272" s="636" t="n"/>
      <c r="I1272" s="17" t="n"/>
      <c r="J1272" s="549" t="inlineStr">
        <is>
          <t>тыс.т</t>
        </is>
      </c>
    </row>
    <row r="1273" ht="20.1" customHeight="1" s="904">
      <c r="A1273" s="545" t="n"/>
      <c r="B1273" s="909" t="n"/>
      <c r="C1273" s="51" t="inlineStr">
        <is>
          <t xml:space="preserve">   ТОО "КазРосГаз"(из газа КГКМ)</t>
        </is>
      </c>
      <c r="D1273" s="15" t="n"/>
      <c r="E1273" s="15" t="n"/>
      <c r="F1273" s="16" t="n"/>
      <c r="G1273" s="17" t="inlineStr">
        <is>
          <t>2_100332244</t>
        </is>
      </c>
      <c r="H1273" s="636" t="n"/>
      <c r="I1273" s="17" t="n"/>
      <c r="J1273" s="24" t="inlineStr">
        <is>
          <t>тыс.т</t>
        </is>
      </c>
    </row>
    <row r="1274" ht="20.1" customHeight="1" s="904">
      <c r="A1274" s="545" t="n"/>
      <c r="B1274" s="909" t="inlineStr">
        <is>
          <t>2.5</t>
        </is>
      </c>
      <c r="C1274" s="9" t="inlineStr">
        <is>
          <t xml:space="preserve">Топливный газ </t>
        </is>
      </c>
      <c r="D1274" s="15" t="n"/>
      <c r="E1274" s="15" t="n"/>
      <c r="F1274" s="16" t="n"/>
      <c r="G1274" s="17" t="n"/>
      <c r="H1274" s="636" t="n"/>
      <c r="I1274" s="17" t="n"/>
      <c r="J1274" s="24" t="n"/>
    </row>
    <row r="1275" ht="20.1" customHeight="1" s="904">
      <c r="A1275" s="545" t="n"/>
      <c r="B1275" s="909" t="n"/>
      <c r="C1275" s="85" t="inlineStr">
        <is>
          <t>Оренбургский ГХК:</t>
        </is>
      </c>
      <c r="D1275" s="15" t="n"/>
      <c r="E1275" s="15" t="n"/>
      <c r="F1275" s="16" t="n"/>
      <c r="G1275" s="17">
        <f>G1276</f>
        <v/>
      </c>
      <c r="H1275" s="636" t="n"/>
      <c r="I1275" s="17" t="n"/>
      <c r="J1275" s="549" t="inlineStr">
        <is>
          <t>млн куб. м</t>
        </is>
      </c>
    </row>
    <row r="1276" ht="20.1" customHeight="1" s="904">
      <c r="A1276" s="545" t="n"/>
      <c r="B1276" s="909" t="n"/>
      <c r="C1276" s="51" t="inlineStr">
        <is>
          <t xml:space="preserve">   ТОО "КазРосГаз"(из газа КГКМ)</t>
        </is>
      </c>
      <c r="D1276" s="15" t="n"/>
      <c r="E1276" s="15" t="n"/>
      <c r="F1276" s="16" t="n"/>
      <c r="G1276" s="17" t="inlineStr">
        <is>
          <t>2_100332185</t>
        </is>
      </c>
      <c r="H1276" s="636" t="n"/>
      <c r="I1276" s="17" t="n"/>
      <c r="J1276" s="24" t="inlineStr">
        <is>
          <t>млн куб. м</t>
        </is>
      </c>
    </row>
    <row r="1277" ht="20.1" customHeight="1" s="904">
      <c r="A1277" s="545" t="n"/>
      <c r="B1277" s="909" t="inlineStr">
        <is>
          <t>2.6</t>
        </is>
      </c>
      <c r="C1277" s="9" t="inlineStr">
        <is>
          <t xml:space="preserve">Пентан-гексановая фракция </t>
        </is>
      </c>
      <c r="D1277" s="15" t="n"/>
      <c r="E1277" s="15" t="n"/>
      <c r="F1277" s="16" t="n"/>
      <c r="G1277" s="17" t="n"/>
      <c r="H1277" s="636" t="n"/>
      <c r="I1277" s="17" t="n"/>
      <c r="J1277" s="24" t="n"/>
    </row>
    <row r="1278" ht="20.1" customHeight="1" s="904">
      <c r="A1278" s="545" t="n"/>
      <c r="B1278" s="909" t="n"/>
      <c r="C1278" s="85" t="inlineStr">
        <is>
          <t>Оренбургский ГХК:</t>
        </is>
      </c>
      <c r="D1278" s="15" t="n"/>
      <c r="E1278" s="15" t="n"/>
      <c r="F1278" s="16" t="n"/>
      <c r="G1278" s="17">
        <f>G1279</f>
        <v/>
      </c>
      <c r="H1278" s="636" t="n"/>
      <c r="I1278" s="17" t="n"/>
      <c r="J1278" s="549" t="inlineStr">
        <is>
          <t>тыс.т</t>
        </is>
      </c>
    </row>
    <row r="1279" ht="20.1" customHeight="1" s="904">
      <c r="A1279" s="545" t="n"/>
      <c r="B1279" s="909" t="n"/>
      <c r="C1279" s="51" t="inlineStr">
        <is>
          <t xml:space="preserve">   ТОО "КазРосГаз"(из газа КГКМ)</t>
        </is>
      </c>
      <c r="D1279" s="15" t="n"/>
      <c r="E1279" s="15" t="n"/>
      <c r="F1279" s="16" t="n"/>
      <c r="G1279" s="17" t="inlineStr">
        <is>
          <t>2_100332236</t>
        </is>
      </c>
      <c r="H1279" s="636" t="n"/>
      <c r="I1279" s="17" t="n"/>
      <c r="J1279" s="24" t="inlineStr">
        <is>
          <t>тыс.т</t>
        </is>
      </c>
    </row>
    <row r="1280" ht="20.1" customHeight="1" s="904">
      <c r="A1280" s="545" t="n"/>
      <c r="B1280" s="909" t="inlineStr">
        <is>
          <t>2.7</t>
        </is>
      </c>
      <c r="C1280" s="9" t="inlineStr">
        <is>
          <t xml:space="preserve">Сухой отбензиненный газ </t>
        </is>
      </c>
      <c r="D1280" s="15" t="n"/>
      <c r="E1280" s="15" t="n"/>
      <c r="F1280" s="16" t="n"/>
      <c r="G1280" s="17" t="n"/>
      <c r="H1280" s="636" t="n"/>
      <c r="I1280" s="17" t="n"/>
      <c r="J1280" s="24" t="n"/>
    </row>
    <row r="1281" ht="20.1" customHeight="1" s="904">
      <c r="A1281" s="545" t="n"/>
      <c r="B1281" s="909" t="n"/>
      <c r="C1281" s="85" t="inlineStr">
        <is>
          <t>Оренбургский ГХК:</t>
        </is>
      </c>
      <c r="D1281" s="15" t="n"/>
      <c r="E1281" s="15" t="n"/>
      <c r="F1281" s="16" t="n"/>
      <c r="G1281" s="17">
        <f>G1282</f>
        <v/>
      </c>
      <c r="H1281" s="636" t="n"/>
      <c r="I1281" s="17" t="n"/>
      <c r="J1281" s="549" t="inlineStr">
        <is>
          <t>млн куб. м</t>
        </is>
      </c>
    </row>
    <row r="1282" ht="18.75" customFormat="1" customHeight="1" s="975">
      <c r="A1282" s="545" t="n"/>
      <c r="B1282" s="86" t="n"/>
      <c r="C1282" s="87" t="inlineStr">
        <is>
          <t xml:space="preserve">   ТОО "КазРосГаз"(из газа КГКМ)</t>
        </is>
      </c>
      <c r="D1282" s="15" t="n"/>
      <c r="E1282" s="15" t="n"/>
      <c r="F1282" s="16" t="n"/>
      <c r="G1282" s="17" t="inlineStr">
        <is>
          <t>2_100332119</t>
        </is>
      </c>
      <c r="H1282" s="636" t="n"/>
      <c r="I1282" s="17" t="n"/>
      <c r="J1282" s="975" t="inlineStr">
        <is>
          <t>млн куб. м</t>
        </is>
      </c>
    </row>
    <row r="1286" ht="18.75" customHeight="1" s="904">
      <c r="B1286" s="506" t="n"/>
      <c r="C1286" s="579" t="inlineStr">
        <is>
          <t xml:space="preserve"> Проверки:</t>
        </is>
      </c>
      <c r="D1286" s="506" t="n"/>
      <c r="E1286" s="506" t="n"/>
      <c r="F1286" s="506" t="n"/>
      <c r="G1286" s="506" t="n"/>
      <c r="H1286" s="506" t="n"/>
      <c r="I1286" s="506" t="n"/>
      <c r="J1286" s="506" t="n"/>
    </row>
    <row r="1287" ht="78.75" customHeight="1" s="904">
      <c r="B1287" s="507" t="n">
        <v>1</v>
      </c>
      <c r="C1287" s="580" t="inlineStr">
        <is>
          <t>Астраханский ГПЗ</t>
        </is>
      </c>
      <c r="D1287" s="508" t="n"/>
      <c r="E1287" s="509" t="inlineStr">
        <is>
          <t>V</t>
        </is>
      </c>
      <c r="F1287" s="510" t="n"/>
      <c r="G1287" s="511" t="inlineStr">
        <is>
          <t>(1_100335806+1_100331985+1_100331986)-1_100331992+1_100332942-1_100335430-1_100331989-G345-G369-G386-G541-G617-G644-G659-G666-G681-G690-G758</t>
        </is>
      </c>
      <c r="H1287" s="731" t="n"/>
      <c r="I1287" s="511" t="n"/>
      <c r="J1287" s="581" t="inlineStr">
        <is>
          <t>тыс.т</t>
        </is>
      </c>
    </row>
    <row r="1288" ht="15.75" customHeight="1" s="904">
      <c r="B1288" s="507" t="inlineStr">
        <is>
          <t>1.1</t>
        </is>
      </c>
      <c r="C1288" s="580" t="inlineStr">
        <is>
          <t>ШФЛУ валовый =ШФЛУ переработка - ШФЛУ товар</t>
        </is>
      </c>
      <c r="D1288" s="508" t="n"/>
      <c r="E1288" s="509" t="inlineStr">
        <is>
          <t>V</t>
        </is>
      </c>
      <c r="F1288" s="510" t="n"/>
      <c r="G1288" s="511" t="inlineStr">
        <is>
          <t>G230-G252-G369</t>
        </is>
      </c>
      <c r="H1288" s="731" t="n"/>
      <c r="I1288" s="511" t="n"/>
      <c r="J1288" s="581" t="inlineStr">
        <is>
          <t>тыс.т</t>
        </is>
      </c>
    </row>
    <row r="1289" ht="78.75" customHeight="1" s="904">
      <c r="B1289" s="507" t="n">
        <v>2</v>
      </c>
      <c r="C1289" s="580" t="inlineStr">
        <is>
          <t>Оренбургский ГХК</t>
        </is>
      </c>
      <c r="D1289" s="508" t="n"/>
      <c r="E1289" s="509" t="inlineStr">
        <is>
          <t>V</t>
        </is>
      </c>
      <c r="F1289" s="510" t="n"/>
      <c r="G1289" s="511" t="inlineStr">
        <is>
          <t>(2_100332033+G79+G130)-2_100332070-2_100331992-G344-G387-G441-G542-G715/1000-G739/1000-G771-G699-G370-G1245-G1242-G1248-G1251-G1254-G1257-G1260</t>
        </is>
      </c>
      <c r="H1289" s="731" t="n"/>
      <c r="I1289" s="511" t="n"/>
      <c r="J1289" s="581" t="inlineStr">
        <is>
          <t>тыс.т</t>
        </is>
      </c>
    </row>
    <row r="1290" ht="15.75" customHeight="1" s="904">
      <c r="B1290" s="507" t="inlineStr">
        <is>
          <t>2.1</t>
        </is>
      </c>
      <c r="C1290" s="580" t="inlineStr">
        <is>
          <t>ШФЛУ валовый =ШФЛУ переработка - ШФЛУ товар</t>
        </is>
      </c>
      <c r="D1290" s="508" t="n"/>
      <c r="E1290" s="509" t="inlineStr">
        <is>
          <t>V</t>
        </is>
      </c>
      <c r="F1290" s="510" t="n"/>
      <c r="G1290" s="511" t="inlineStr">
        <is>
          <t>G231-G254-G370</t>
        </is>
      </c>
      <c r="H1290" s="731" t="n"/>
      <c r="I1290" s="511" t="n"/>
      <c r="J1290" s="581" t="inlineStr">
        <is>
          <t>тыс.т</t>
        </is>
      </c>
    </row>
    <row r="1291" ht="47.25" customHeight="1" s="904">
      <c r="B1291" s="507" t="n">
        <v>3</v>
      </c>
      <c r="C1291" s="580" t="inlineStr">
        <is>
          <t>Сосногорский ГПЗ</t>
        </is>
      </c>
      <c r="D1291" s="508" t="n"/>
      <c r="E1291" s="509" t="inlineStr">
        <is>
          <t>V</t>
        </is>
      </c>
      <c r="F1291" s="510" t="n"/>
      <c r="G1291" s="511" t="inlineStr">
        <is>
          <t>(3_100332033+3_100332283)-3_100332285-3_100330561-G390-G543-(G747/1000)-G850</t>
        </is>
      </c>
      <c r="H1291" s="731" t="n"/>
      <c r="I1291" s="511" t="n"/>
      <c r="J1291" s="581" t="inlineStr">
        <is>
          <t>тыс.т</t>
        </is>
      </c>
    </row>
    <row r="1292" ht="126" customHeight="1" s="904">
      <c r="B1292" s="507" t="inlineStr">
        <is>
          <t>4</t>
        </is>
      </c>
      <c r="C1292" s="580" t="inlineStr">
        <is>
          <t>УЗПКТ-СЗСК</t>
        </is>
      </c>
      <c r="D1292" s="508" t="n"/>
      <c r="E1292" s="509" t="inlineStr">
        <is>
          <t>V</t>
        </is>
      </c>
      <c r="F1292" s="510" t="n"/>
      <c r="G1292" s="511" t="inlineStr">
        <is>
          <t>(G81+G132+G133+4_100331847-4_100331851-4_100331852-4_100335361-4_100335362+4_100335292-4_100335295)-G268-G371-G372-G391-G392-G442-G544-G545-G618-G635-G636-G645-G646-G667-G668-G810-G848-G849</t>
        </is>
      </c>
      <c r="H1292" s="731" t="n"/>
      <c r="I1292" s="511" t="n"/>
      <c r="J1292" s="581" t="inlineStr">
        <is>
          <t>тыс.т</t>
        </is>
      </c>
    </row>
    <row r="1293" ht="31.5" customHeight="1" s="904">
      <c r="B1293" s="507" t="inlineStr">
        <is>
          <t>7</t>
        </is>
      </c>
      <c r="C1293" s="580" t="inlineStr">
        <is>
          <t>Газпром добыча Ямбург</t>
        </is>
      </c>
      <c r="D1293" s="508" t="n"/>
      <c r="E1293" s="509" t="inlineStr">
        <is>
          <t>V</t>
        </is>
      </c>
      <c r="F1293" s="510" t="n"/>
      <c r="G1293" s="511" t="inlineStr">
        <is>
          <t>G82+G158-G395-G550-G647-7_100330598-G821-7_100330623</t>
        </is>
      </c>
      <c r="H1293" s="731" t="n"/>
      <c r="I1293" s="511" t="n"/>
      <c r="J1293" s="581" t="inlineStr">
        <is>
          <t>тыс.т</t>
        </is>
      </c>
    </row>
    <row r="1294" ht="15.75" customHeight="1" s="904">
      <c r="B1294" s="507" t="inlineStr">
        <is>
          <t>8</t>
        </is>
      </c>
      <c r="C1294" s="580" t="inlineStr">
        <is>
          <t>Газпром добыча Уренгой</t>
        </is>
      </c>
      <c r="D1294" s="508" t="n"/>
      <c r="E1294" s="509" t="inlineStr">
        <is>
          <t>V</t>
        </is>
      </c>
      <c r="F1294" s="510" t="n"/>
      <c r="G1294" s="511" t="inlineStr">
        <is>
          <t>G159+G181-G546-G829</t>
        </is>
      </c>
      <c r="H1294" s="731" t="n"/>
      <c r="I1294" s="511" t="n"/>
      <c r="J1294" s="581" t="inlineStr">
        <is>
          <t>тыс.т</t>
        </is>
      </c>
    </row>
    <row r="1295" ht="15.75" customHeight="1" s="904">
      <c r="B1295" s="507" t="inlineStr">
        <is>
          <t>9</t>
        </is>
      </c>
      <c r="C1295" s="580" t="inlineStr">
        <is>
          <t>Газпром добыча Краснодар</t>
        </is>
      </c>
      <c r="D1295" s="508" t="n"/>
      <c r="E1295" s="509" t="inlineStr">
        <is>
          <t>V</t>
        </is>
      </c>
      <c r="F1295" s="510" t="n"/>
      <c r="G1295" s="511" t="inlineStr">
        <is>
          <t>G87+G134-G547-9_100330676</t>
        </is>
      </c>
      <c r="H1295" s="731" t="n"/>
      <c r="I1295" s="511" t="n"/>
      <c r="J1295" s="581" t="inlineStr">
        <is>
          <t>тыс.т</t>
        </is>
      </c>
    </row>
    <row r="1296" ht="31.5" customHeight="1" s="904">
      <c r="B1296" s="507" t="inlineStr">
        <is>
          <t>10</t>
        </is>
      </c>
      <c r="C1296" s="580" t="inlineStr">
        <is>
          <t>Газпром добыча Ноябрьск</t>
        </is>
      </c>
      <c r="D1296" s="508" t="n"/>
      <c r="E1296" s="509" t="inlineStr">
        <is>
          <t>V</t>
        </is>
      </c>
      <c r="F1296" s="510" t="n"/>
      <c r="G1296" s="511" t="inlineStr">
        <is>
          <t>G85+G160+G183-G553-G823-10_100332336</t>
        </is>
      </c>
      <c r="H1296" s="731" t="n"/>
      <c r="I1296" s="511" t="n"/>
      <c r="J1296" s="581" t="inlineStr">
        <is>
          <t>тыс.т</t>
        </is>
      </c>
    </row>
    <row r="1297" ht="31.5" customHeight="1" s="904">
      <c r="B1297" s="507" t="n">
        <v>11</v>
      </c>
      <c r="C1297" s="580" t="inlineStr">
        <is>
          <t>Газпром добыча Надым</t>
        </is>
      </c>
      <c r="D1297" s="508" t="n"/>
      <c r="E1297" s="509" t="inlineStr">
        <is>
          <t>V</t>
        </is>
      </c>
      <c r="F1297" s="510" t="n"/>
      <c r="G1297" s="511" t="inlineStr">
        <is>
          <t>G86-G554-11_100332334-11_100330037</t>
        </is>
      </c>
      <c r="H1297" s="731" t="n"/>
      <c r="I1297" s="511" t="n"/>
      <c r="J1297" s="581" t="inlineStr">
        <is>
          <t>тыс.т</t>
        </is>
      </c>
    </row>
    <row r="1298" ht="31.5" customHeight="1" s="904">
      <c r="B1298" s="507" t="n">
        <v>12</v>
      </c>
      <c r="C1298" s="580" t="inlineStr">
        <is>
          <t>Газпром добыча Иркутск</t>
        </is>
      </c>
      <c r="D1298" s="508" t="n"/>
      <c r="E1298" s="509" t="inlineStr">
        <is>
          <t>V</t>
        </is>
      </c>
      <c r="F1298" s="510" t="n"/>
      <c r="G1298" s="511" t="inlineStr">
        <is>
          <t>G83-G396+G578-G574-G825-12_100330736</t>
        </is>
      </c>
      <c r="H1298" s="731" t="n"/>
      <c r="I1298" s="511" t="n"/>
      <c r="J1298" s="581" t="inlineStr">
        <is>
          <t>тыс.т</t>
        </is>
      </c>
    </row>
    <row r="1299" ht="15.75" customHeight="1" s="904">
      <c r="B1299" s="507" t="inlineStr">
        <is>
          <t>13</t>
        </is>
      </c>
      <c r="C1299" s="512" t="inlineStr">
        <is>
          <t>Газпром добыча шельф Южно-Сахалинск</t>
        </is>
      </c>
      <c r="D1299" s="508" t="n"/>
      <c r="E1299" s="509" t="inlineStr">
        <is>
          <t>V</t>
        </is>
      </c>
      <c r="F1299" s="510" t="n"/>
      <c r="G1299" s="511" t="inlineStr">
        <is>
          <t>G84-G552-G827-13_100330736</t>
        </is>
      </c>
      <c r="H1299" s="731" t="n"/>
      <c r="I1299" s="511" t="n"/>
      <c r="J1299" s="581" t="inlineStr">
        <is>
          <t>тыс.т</t>
        </is>
      </c>
    </row>
    <row r="1300" ht="47.25" customHeight="1" s="904">
      <c r="B1300" s="507" t="inlineStr">
        <is>
          <t>14</t>
        </is>
      </c>
      <c r="C1300" s="580" t="inlineStr">
        <is>
          <t>Газпром переработка Благовещенск</t>
        </is>
      </c>
      <c r="D1300" s="508" t="n"/>
      <c r="E1300" s="509" t="inlineStr">
        <is>
          <t>V</t>
        </is>
      </c>
      <c r="F1300" s="510" t="n"/>
      <c r="G1300" s="511" t="inlineStr">
        <is>
          <t>14_100335061-14_100335077-14_100332358-14_100335311-G393-G443-G700-G773-G718/1000</t>
        </is>
      </c>
      <c r="H1300" s="731" t="n"/>
      <c r="I1300" s="511" t="n"/>
      <c r="J1300" s="581" t="inlineStr">
        <is>
          <t>тыс.т</t>
        </is>
      </c>
    </row>
  </sheetData>
  <mergeCells count="65">
    <mergeCell ref="C285:C286"/>
    <mergeCell ref="C967:C968"/>
    <mergeCell ref="C943:C944"/>
    <mergeCell ref="B969:B970"/>
    <mergeCell ref="C951:C952"/>
    <mergeCell ref="B963:B964"/>
    <mergeCell ref="B941:B942"/>
    <mergeCell ref="G7:G8"/>
    <mergeCell ref="B890:B891"/>
    <mergeCell ref="I7:I8"/>
    <mergeCell ref="B975:B976"/>
    <mergeCell ref="B953:B954"/>
    <mergeCell ref="C961:C962"/>
    <mergeCell ref="C923:C924"/>
    <mergeCell ref="C957:C958"/>
    <mergeCell ref="C295:C296"/>
    <mergeCell ref="C953:C954"/>
    <mergeCell ref="C973:C974"/>
    <mergeCell ref="C882:C883"/>
    <mergeCell ref="D7:D8"/>
    <mergeCell ref="C925:C926"/>
    <mergeCell ref="C919:C920"/>
    <mergeCell ref="C963:C964"/>
    <mergeCell ref="H7:H8"/>
    <mergeCell ref="B967:B968"/>
    <mergeCell ref="C291:C292"/>
    <mergeCell ref="C890:C891"/>
    <mergeCell ref="C900:C901"/>
    <mergeCell ref="C949:C950"/>
    <mergeCell ref="C969:C970"/>
    <mergeCell ref="C931:C932"/>
    <mergeCell ref="C945:C946"/>
    <mergeCell ref="C959:C960"/>
    <mergeCell ref="C921:C922"/>
    <mergeCell ref="C293:C294"/>
    <mergeCell ref="C977:C978"/>
    <mergeCell ref="C939:C940"/>
    <mergeCell ref="C915:C916"/>
    <mergeCell ref="C929:C930"/>
    <mergeCell ref="C287:C288"/>
    <mergeCell ref="B894:B895"/>
    <mergeCell ref="E7:E8"/>
    <mergeCell ref="C896:C897"/>
    <mergeCell ref="J6:J8"/>
    <mergeCell ref="B6:C8"/>
    <mergeCell ref="B955:B956"/>
    <mergeCell ref="B913:B914"/>
    <mergeCell ref="C927:C928"/>
    <mergeCell ref="C941:C942"/>
    <mergeCell ref="C917:C918"/>
    <mergeCell ref="C888:C889"/>
    <mergeCell ref="C289:C290"/>
    <mergeCell ref="C975:C976"/>
    <mergeCell ref="B939:B940"/>
    <mergeCell ref="C892:C893"/>
    <mergeCell ref="C965:C966"/>
    <mergeCell ref="C947:C948"/>
    <mergeCell ref="B949:B950"/>
    <mergeCell ref="C955:C956"/>
    <mergeCell ref="C894:C895"/>
    <mergeCell ref="D6:I6"/>
    <mergeCell ref="F7:F8"/>
    <mergeCell ref="C971:C972"/>
    <mergeCell ref="B923:B924"/>
    <mergeCell ref="C913:C914"/>
  </mergeCells>
  <conditionalFormatting sqref="M10:N1300 Q10:R1300 U10:V1300 Y10:Z1300 AC10:AD1300 AG10:AH1300 AK10:AL1300 AO10:AP1300 AS10:AT1300 AW10:AX1300 BA10:BB1300 BE10:BF1300 BI10:BJ1300 BM10:BN1300 BQ10:BR1300 BU10:BV1300 BY10:BZ1300">
    <cfRule type="cellIs" priority="3" operator="equal" dxfId="0">
      <formula>0</formula>
    </cfRule>
    <cfRule type="cellIs" priority="4" operator="lessThan" dxfId="25">
      <formula>0</formula>
    </cfRule>
    <cfRule type="cellIs" priority="5" operator="greaterThan" dxfId="21">
      <formula>0</formula>
    </cfRule>
    <cfRule type="cellIs" priority="6" operator="lessThan" dxfId="25">
      <formula>0</formula>
    </cfRule>
    <cfRule type="cellIs" priority="6" operator="greaterThan" dxfId="21">
      <formula>0</formula>
    </cfRule>
    <cfRule type="cellIs" priority="6" operator="equal" dxfId="0">
      <formula>0</formula>
    </cfRule>
  </conditionalFormatting>
  <conditionalFormatting sqref="M10:M1300 N10:N1300 Q10:Q1300 R10:R1300 U10:U1300 V10:V1300 Y10:Y1300 Z10:Z1300 AC10:AC1300 AD10:AD1300 AG10:AG1300 AH10:AH1300 AK10:AK1300 AL10:AL1300 AO10:AO1300 AP10:AP1300 AS10:AS1300 AT10:AT1300 AW10:AW1300 AX10:AX1300 BA10:BA1300 BB10:BB1300 BE10:BE1300 BF10:BF1300 BI10:BI1300 BJ10:BJ1300 BM10:BM1300 BN10:BN1300 BQ10:BQ1300 BR10:BR1300 BU10:BU1300 BV10:BV1300 BY10:BY1300 BZ10:BZ1300">
    <cfRule type="cellIs" priority="1" operator="equal" dxfId="0">
      <formula>0</formula>
    </cfRule>
    <cfRule type="cellIs" priority="2" operator="lessThan" dxfId="25">
      <formula>0</formula>
    </cfRule>
    <cfRule type="cellIs" priority="7" operator="lessThan" dxfId="25">
      <formula>0</formula>
    </cfRule>
    <cfRule type="cellIs" priority="7" operator="greaterThan" dxfId="21">
      <formula>0</formula>
    </cfRule>
    <cfRule type="cellIs" priority="7" operator="greaterThan" dxfId="21">
      <formula>0</formula>
    </cfRule>
    <cfRule type="cellIs" priority="7" operator="equal" dxfId="0">
      <formula>0</formula>
    </cfRule>
  </conditionalFormatting>
  <conditionalFormatting sqref="A12:A1282">
    <cfRule type="cellIs" priority="9" operator="equal" dxfId="622">
      <formula>FALSE</formula>
    </cfRule>
  </conditionalFormatting>
  <pageMargins left="0.7" right="0.7" top="0.75" bottom="0.75" header="0.3" footer="0.3"/>
  <pageSetup orientation="portrait" paperSize="8" scale="75" fitToHeight="0"/>
  <legacyDrawing xmlns:r="http://schemas.openxmlformats.org/officeDocument/2006/relationships" r:id="anysvml"/>
</worksheet>
</file>

<file path=xl/worksheets/sheet4.xml><?xml version="1.0" encoding="utf-8"?>
<worksheet xmlns="http://schemas.openxmlformats.org/spreadsheetml/2006/main">
  <sheetPr codeName="Лист21">
    <outlinePr summaryBelow="1" summaryRight="1"/>
    <pageSetUpPr/>
  </sheetPr>
  <dimension ref="A3:J665"/>
  <sheetViews>
    <sheetView zoomScale="70" zoomScaleNormal="70" workbookViewId="0">
      <pane xSplit="10" ySplit="9" topLeftCell="K10" activePane="bottomRight" state="frozen"/>
      <selection activeCell="G332" sqref="G332"/>
      <selection pane="topRight" activeCell="G332" sqref="G332"/>
      <selection pane="bottomLeft" activeCell="G332" sqref="G332"/>
      <selection pane="bottomRight" activeCell="L84" sqref="L84"/>
    </sheetView>
  </sheetViews>
  <sheetFormatPr baseColWidth="8" defaultRowHeight="15"/>
  <cols>
    <col hidden="1" outlineLevel="1" width="16.28515625" customWidth="1" style="904" min="1" max="1"/>
    <col collapsed="1" width="9.42578125" customWidth="1" style="904" min="2" max="2"/>
    <col width="67.140625" customWidth="1" style="904" min="3" max="3"/>
    <col hidden="1" outlineLevel="1" width="25.85546875" customWidth="1" style="904" min="4" max="4"/>
    <col hidden="1" outlineLevel="1" width="25" customWidth="1" style="904" min="5" max="6"/>
    <col hidden="1" outlineLevel="1" width="40.5703125" customWidth="1" style="904" min="7" max="8"/>
    <col hidden="1" outlineLevel="1" width="17" customWidth="1" style="904" min="9" max="9"/>
    <col collapsed="1" width="12.28515625" customWidth="1" style="904" min="10" max="10"/>
    <col width="8.42578125" customWidth="1" style="904" min="11" max="27"/>
  </cols>
  <sheetData>
    <row r="3" ht="20.25" customHeight="1" s="904">
      <c r="B3" s="932" t="inlineStr">
        <is>
          <t>1-003-О_1 План переработки сырья и производства продукции</t>
        </is>
      </c>
    </row>
    <row r="6" ht="20.1" customHeight="1" s="904">
      <c r="B6" s="917" t="inlineStr">
        <is>
          <t>Показатели</t>
        </is>
      </c>
      <c r="C6" s="918" t="n"/>
      <c r="D6" s="924" t="inlineStr">
        <is>
          <t>Внутренние настройки листа</t>
        </is>
      </c>
      <c r="E6" s="925" t="n"/>
      <c r="F6" s="925" t="n"/>
      <c r="G6" s="925" t="n"/>
      <c r="H6" s="925" t="n"/>
      <c r="I6" s="926" t="n"/>
      <c r="J6" s="915" t="inlineStr">
        <is>
          <t>Един.
 изм.</t>
        </is>
      </c>
    </row>
    <row r="7" ht="39.95" customHeight="1" s="904">
      <c r="B7" s="919" t="n"/>
      <c r="C7" s="906" t="n"/>
      <c r="D7" s="910" t="inlineStr">
        <is>
          <t>Ключ статьи</t>
        </is>
      </c>
      <c r="E7" s="910" t="inlineStr">
        <is>
          <t>Ключ спец</t>
        </is>
      </c>
      <c r="F7" s="910" t="inlineStr">
        <is>
          <t>Ключ ввод данных</t>
        </is>
      </c>
      <c r="G7" s="910" t="inlineStr">
        <is>
          <t>Формулы месяца</t>
        </is>
      </c>
      <c r="H7" s="910" t="inlineStr">
        <is>
          <t>Формулы % выхода</t>
        </is>
      </c>
      <c r="I7" s="910" t="inlineStr">
        <is>
          <t>Строка проверка</t>
        </is>
      </c>
      <c r="J7" s="916" t="n"/>
    </row>
    <row r="8" ht="20.1" customHeight="1" s="904">
      <c r="B8" s="920" t="n"/>
      <c r="C8" s="921" t="n"/>
      <c r="D8" s="911" t="n"/>
      <c r="E8" s="911" t="n"/>
      <c r="F8" s="911" t="n"/>
      <c r="G8" s="911" t="n"/>
      <c r="H8" s="911" t="n"/>
      <c r="I8" s="911" t="n"/>
      <c r="J8" s="911" t="n"/>
    </row>
    <row r="9" hidden="1" ht="20.1" customHeight="1" s="904"/>
    <row r="10" ht="18.75" customHeight="1" s="904">
      <c r="B10" s="766" t="n"/>
      <c r="C10" s="765" t="inlineStr">
        <is>
          <t>Бюдж статья Производ</t>
        </is>
      </c>
      <c r="D10" s="15" t="n"/>
      <c r="E10" s="15" t="n"/>
      <c r="F10" s="16" t="n"/>
      <c r="G10" s="17" t="n"/>
      <c r="H10" s="636" t="n"/>
      <c r="I10" s="17" t="n"/>
      <c r="J10" s="767" t="n"/>
    </row>
    <row r="11" ht="18.75" customHeight="1" s="904">
      <c r="B11" s="766" t="n"/>
      <c r="C11" s="788" t="inlineStr">
        <is>
          <t>ООО "Газпром добыча Уренгой"</t>
        </is>
      </c>
      <c r="D11" s="15" t="n"/>
      <c r="E11" s="15" t="n"/>
      <c r="F11" s="16" t="n"/>
      <c r="G11" s="17" t="n"/>
      <c r="H11" s="636" t="n"/>
      <c r="I11" s="17" t="n"/>
      <c r="J11" s="767" t="n"/>
    </row>
    <row r="12" ht="18.75" customHeight="1" s="904">
      <c r="B12" s="766" t="n"/>
      <c r="C12" s="769" t="inlineStr">
        <is>
          <t xml:space="preserve">   Раздел I (Группа Газпром)</t>
        </is>
      </c>
      <c r="D12" s="15" t="n"/>
      <c r="E12" s="15" t="n"/>
      <c r="F12" s="16" t="n"/>
      <c r="G12" s="17" t="n"/>
      <c r="H12" s="636" t="n"/>
      <c r="I12" s="17" t="n"/>
      <c r="J12" s="767" t="n"/>
    </row>
    <row r="13" ht="25.5" customHeight="1" s="904">
      <c r="B13" s="766" t="n"/>
      <c r="C13" s="786" t="inlineStr">
        <is>
          <t xml:space="preserve">      Поставка нестабильного газового конденсата 
(собственность ООО "Газпром переработка")</t>
        </is>
      </c>
      <c r="D13" s="15" t="n"/>
      <c r="E13" s="15" t="n"/>
      <c r="F13" s="16" t="n"/>
      <c r="G13" s="17" t="inlineStr">
        <is>
          <t>8_100333680</t>
        </is>
      </c>
      <c r="H13" s="636" t="n"/>
      <c r="I13" s="17" t="n"/>
      <c r="J13" s="767" t="inlineStr">
        <is>
          <t>тыс.т</t>
        </is>
      </c>
    </row>
    <row r="14" ht="25.5" customHeight="1" s="904">
      <c r="B14" s="766" t="n"/>
      <c r="C14" s="786" t="inlineStr">
        <is>
          <t xml:space="preserve">      Поставка нестабильного газового конденсата и ШФЛУ 
(собственность ПАО "Газпром")</t>
        </is>
      </c>
      <c r="D14" s="15" t="n"/>
      <c r="E14" s="15" t="n"/>
      <c r="F14" s="16" t="n"/>
      <c r="G14" s="17">
        <f>G15+G28+G23+G26+G18+G20+G27</f>
        <v/>
      </c>
      <c r="H14" s="636" t="n"/>
      <c r="I14" s="17" t="n"/>
      <c r="J14" s="767" t="inlineStr">
        <is>
          <t>тыс.т</t>
        </is>
      </c>
    </row>
    <row r="15" ht="18.75" customHeight="1" s="904">
      <c r="B15" s="766" t="n"/>
      <c r="C15" s="769" t="inlineStr">
        <is>
          <t xml:space="preserve">         в т.ч. от ООО "Газпром добыча Уренгой" (исключая ДРОД)</t>
        </is>
      </c>
      <c r="D15" s="15" t="n"/>
      <c r="E15" s="15" t="n"/>
      <c r="F15" s="16" t="n"/>
      <c r="G15" s="17">
        <f>G16+G19+G21+G22+G17</f>
        <v/>
      </c>
      <c r="H15" s="636" t="n"/>
      <c r="I15" s="17" t="n"/>
      <c r="J15" s="767" t="inlineStr">
        <is>
          <t>тыс.т</t>
        </is>
      </c>
    </row>
    <row r="16" ht="18.75" customHeight="1" s="904">
      <c r="B16" s="766" t="n"/>
      <c r="C16" s="769" t="inlineStr">
        <is>
          <t xml:space="preserve">                  c Уренгойское НГКМ</t>
        </is>
      </c>
      <c r="D16" s="15" t="n"/>
      <c r="E16" s="15" t="n"/>
      <c r="F16" s="16" t="n"/>
      <c r="G16" s="17" t="inlineStr">
        <is>
          <t>8_100330637</t>
        </is>
      </c>
      <c r="H16" s="636" t="n"/>
      <c r="I16" s="17" t="n"/>
      <c r="J16" s="767" t="inlineStr">
        <is>
          <t>тыс.т</t>
        </is>
      </c>
    </row>
    <row r="17" ht="18.75" customHeight="1" s="904">
      <c r="B17" s="766" t="n"/>
      <c r="C17" s="769" t="inlineStr">
        <is>
          <t xml:space="preserve">                  C5+ от подготовки газа деэтанизации</t>
        </is>
      </c>
      <c r="D17" s="15" t="n"/>
      <c r="E17" s="15" t="n"/>
      <c r="F17" s="16" t="n"/>
      <c r="G17" s="17" t="inlineStr">
        <is>
          <t>8_100337099</t>
        </is>
      </c>
      <c r="H17" s="636" t="n"/>
      <c r="I17" s="17" t="n"/>
      <c r="J17" s="767" t="inlineStr">
        <is>
          <t>тыс.т</t>
        </is>
      </c>
    </row>
    <row r="18" ht="18.75" customHeight="1" s="904">
      <c r="B18" s="766" t="n"/>
      <c r="C18" s="769" t="inlineStr">
        <is>
          <t xml:space="preserve">                  c Уренгойское НГКМ (Фаза 3)</t>
        </is>
      </c>
      <c r="D18" s="15" t="n"/>
      <c r="E18" s="15" t="n"/>
      <c r="F18" s="16" t="n"/>
      <c r="G18" s="17" t="inlineStr">
        <is>
          <t>8_100335598</t>
        </is>
      </c>
      <c r="H18" s="636" t="n"/>
      <c r="I18" s="17" t="n"/>
      <c r="J18" s="767" t="inlineStr">
        <is>
          <t>тыс.т</t>
        </is>
      </c>
    </row>
    <row r="19" ht="18.75" customHeight="1" s="904">
      <c r="B19" s="766" t="n"/>
      <c r="C19" s="769" t="inlineStr">
        <is>
          <t xml:space="preserve">                  c Ен-Яхинское НГКМ</t>
        </is>
      </c>
      <c r="D19" s="15" t="n"/>
      <c r="E19" s="15" t="n"/>
      <c r="F19" s="16" t="n"/>
      <c r="G19" s="17" t="inlineStr">
        <is>
          <t>8_100330638</t>
        </is>
      </c>
      <c r="H19" s="636" t="n"/>
      <c r="I19" s="17" t="n"/>
      <c r="J19" s="767" t="inlineStr">
        <is>
          <t>тыс.т</t>
        </is>
      </c>
    </row>
    <row r="20" ht="18.75" customHeight="1" s="904">
      <c r="B20" s="766" t="n"/>
      <c r="C20" s="769" t="inlineStr">
        <is>
          <t xml:space="preserve">                  c Ен-Яхинское НГКМ БУ-12  (включая ШФЛУ)</t>
        </is>
      </c>
      <c r="D20" s="15" t="n"/>
      <c r="E20" s="15" t="n"/>
      <c r="F20" s="16" t="n"/>
      <c r="G20" s="17" t="inlineStr">
        <is>
          <t>8_100335599</t>
        </is>
      </c>
      <c r="H20" s="636" t="n"/>
      <c r="I20" s="17" t="n"/>
      <c r="J20" s="767" t="inlineStr">
        <is>
          <t>тыс.т</t>
        </is>
      </c>
    </row>
    <row r="21" ht="18.75" customHeight="1" s="904">
      <c r="B21" s="766" t="n"/>
      <c r="C21" s="769" t="inlineStr">
        <is>
          <t xml:space="preserve">                  c Уренгойское НГКМ ачим. 1 уч.</t>
        </is>
      </c>
      <c r="D21" s="15" t="n"/>
      <c r="E21" s="15" t="n"/>
      <c r="F21" s="16" t="n"/>
      <c r="G21" s="17" t="inlineStr">
        <is>
          <t>8_100330639</t>
        </is>
      </c>
      <c r="H21" s="636" t="n"/>
      <c r="I21" s="17" t="n"/>
      <c r="J21" s="767" t="inlineStr">
        <is>
          <t>тыс.т</t>
        </is>
      </c>
    </row>
    <row r="22" ht="18.75" customHeight="1" s="904">
      <c r="B22" s="766" t="n"/>
      <c r="C22" s="769" t="inlineStr">
        <is>
          <t xml:space="preserve">                  c Уренгойское НГКМ ачим. 2 уч.</t>
        </is>
      </c>
      <c r="D22" s="15" t="n"/>
      <c r="E22" s="15" t="n"/>
      <c r="F22" s="16" t="n"/>
      <c r="G22" s="17" t="inlineStr">
        <is>
          <t>8_100330640</t>
        </is>
      </c>
      <c r="H22" s="636" t="n"/>
      <c r="I22" s="17" t="n"/>
      <c r="J22" s="767" t="inlineStr">
        <is>
          <t>тыс.т</t>
        </is>
      </c>
    </row>
    <row r="23" ht="18.75" customHeight="1" s="904">
      <c r="B23" s="766" t="n"/>
      <c r="C23" s="769" t="inlineStr">
        <is>
          <t xml:space="preserve">                  с Уренгойского НГКМ 3 уч. ачим отл.</t>
        </is>
      </c>
      <c r="D23" s="15" t="n"/>
      <c r="E23" s="15" t="n"/>
      <c r="F23" s="16" t="n"/>
      <c r="G23" s="17">
        <f>G24+G25</f>
        <v/>
      </c>
      <c r="H23" s="636" t="n"/>
      <c r="I23" s="17" t="n"/>
      <c r="J23" s="767" t="inlineStr">
        <is>
          <t>тыс.т</t>
        </is>
      </c>
    </row>
    <row r="24" ht="25.5" customHeight="1" s="904">
      <c r="B24" s="766" t="n"/>
      <c r="C24" s="769" t="inlineStr">
        <is>
          <t xml:space="preserve">                        в т.ч  ШФЛУ с Уренгойского НГКМ 3 уч. ачим отл. (с УСК ГПНЗ на УЗПКТ-СЗСК)</t>
        </is>
      </c>
      <c r="D24" s="15" t="n"/>
      <c r="E24" s="15" t="n"/>
      <c r="F24" s="16" t="n"/>
      <c r="G24" s="17" t="inlineStr">
        <is>
          <t>8_100335600</t>
        </is>
      </c>
      <c r="H24" s="636" t="n"/>
      <c r="I24" s="17" t="n"/>
      <c r="J24" s="767" t="inlineStr">
        <is>
          <t>тыс.т</t>
        </is>
      </c>
    </row>
    <row r="25" ht="18.75" customHeight="1" s="904">
      <c r="B25" s="766" t="n"/>
      <c r="C25" s="769" t="inlineStr">
        <is>
          <t xml:space="preserve">                        НК (на УЗПКТ-СЗСК)</t>
        </is>
      </c>
      <c r="D25" s="15" t="n"/>
      <c r="E25" s="15" t="n"/>
      <c r="F25" s="16" t="n"/>
      <c r="G25" s="17" t="inlineStr">
        <is>
          <t>8_100335601</t>
        </is>
      </c>
      <c r="H25" s="636" t="n"/>
      <c r="I25" s="17" t="n"/>
      <c r="J25" s="767" t="inlineStr">
        <is>
          <t>тыс.т</t>
        </is>
      </c>
    </row>
    <row r="26" ht="18.75" customHeight="1" s="904">
      <c r="B26" s="766" t="n"/>
      <c r="C26" s="769" t="inlineStr">
        <is>
          <t xml:space="preserve">                  с Песцового НГКМ (неоком) (включая ШФЛУ)</t>
        </is>
      </c>
      <c r="D26" s="15" t="n"/>
      <c r="E26" s="15" t="n"/>
      <c r="F26" s="16" t="n"/>
      <c r="G26" s="17" t="inlineStr">
        <is>
          <t>8_100335471</t>
        </is>
      </c>
      <c r="H26" s="636" t="n"/>
      <c r="I26" s="17" t="n"/>
      <c r="J26" s="767" t="inlineStr">
        <is>
          <t>тыс.т</t>
        </is>
      </c>
    </row>
    <row r="27" ht="18.75" customHeight="1" s="904">
      <c r="B27" s="766" t="n"/>
      <c r="C27" s="769" t="inlineStr">
        <is>
          <t xml:space="preserve">                  с Песцового НГКМ ачим (включая ШФЛУ)</t>
        </is>
      </c>
      <c r="D27" s="15" t="n"/>
      <c r="E27" s="15" t="n"/>
      <c r="F27" s="16" t="n"/>
      <c r="G27" s="17" t="inlineStr">
        <is>
          <t>8_100335602</t>
        </is>
      </c>
      <c r="H27" s="636" t="n"/>
      <c r="I27" s="17" t="n"/>
      <c r="J27" s="767" t="inlineStr">
        <is>
          <t>тыс.т</t>
        </is>
      </c>
    </row>
    <row r="28" ht="18.75" customHeight="1" s="904">
      <c r="B28" s="766" t="n"/>
      <c r="C28" s="769" t="inlineStr">
        <is>
          <t xml:space="preserve">            от АО "Ачим сбыт" 4,5 Ачимовс. отл.</t>
        </is>
      </c>
      <c r="D28" s="15" t="n"/>
      <c r="E28" s="15" t="n"/>
      <c r="F28" s="16" t="n"/>
      <c r="G28" s="17" t="inlineStr">
        <is>
          <t>8_100335052</t>
        </is>
      </c>
      <c r="H28" s="636" t="n"/>
      <c r="I28" s="17" t="n"/>
      <c r="J28" s="767" t="inlineStr">
        <is>
          <t>тыс.т</t>
        </is>
      </c>
    </row>
    <row r="29" ht="25.5" customHeight="1" s="904">
      <c r="B29" s="766" t="n"/>
      <c r="C29" s="769" t="inlineStr">
        <is>
          <t xml:space="preserve">      Поставка нестабильного газового конденсата собственности ГдУ в адрес ПАО "НОВАТЭК"</t>
        </is>
      </c>
      <c r="D29" s="15" t="n"/>
      <c r="E29" s="15" t="n"/>
      <c r="F29" s="16" t="n"/>
      <c r="G29" s="17" t="inlineStr">
        <is>
          <t>8_100333321</t>
        </is>
      </c>
      <c r="H29" s="636" t="n"/>
      <c r="I29" s="17" t="n"/>
      <c r="J29" s="767" t="inlineStr">
        <is>
          <t>тыс.т</t>
        </is>
      </c>
    </row>
    <row r="30" ht="25.5" customHeight="1" s="904">
      <c r="B30" s="766" t="n"/>
      <c r="C30" s="769" t="inlineStr">
        <is>
          <t xml:space="preserve">      Поставка газового конденсата в рамках ДРОД в адрес ООО "Газпромнефть-Заполярье" минуя альтсхему</t>
        </is>
      </c>
      <c r="D30" s="15" t="n"/>
      <c r="E30" s="15" t="n"/>
      <c r="F30" s="16" t="n"/>
      <c r="G30" s="17" t="inlineStr">
        <is>
          <t>8_100335911</t>
        </is>
      </c>
      <c r="H30" s="636" t="n"/>
      <c r="I30" s="17" t="n"/>
      <c r="J30" s="767" t="inlineStr">
        <is>
          <t>тыс.т</t>
        </is>
      </c>
    </row>
    <row r="31" ht="18.75" customHeight="1" s="904">
      <c r="B31" s="766" t="n"/>
      <c r="C31" s="769" t="inlineStr">
        <is>
          <t xml:space="preserve">         Уренгойское НГКМ 3 уч. ачим отл.</t>
        </is>
      </c>
      <c r="D31" s="15" t="n"/>
      <c r="E31" s="15" t="n"/>
      <c r="F31" s="16" t="n"/>
      <c r="G31" s="17" t="inlineStr">
        <is>
          <t>8_100335912</t>
        </is>
      </c>
      <c r="H31" s="636" t="n"/>
      <c r="I31" s="17" t="n"/>
      <c r="J31" s="767" t="inlineStr">
        <is>
          <t>тыс.т</t>
        </is>
      </c>
    </row>
    <row r="32" ht="18.75" customHeight="1" s="904">
      <c r="B32" s="766" t="n"/>
      <c r="C32" s="769" t="inlineStr">
        <is>
          <t xml:space="preserve">         Ен-Яхинское НГКМ  БУ-12</t>
        </is>
      </c>
      <c r="D32" s="15" t="n"/>
      <c r="E32" s="15" t="n"/>
      <c r="F32" s="16" t="n"/>
      <c r="G32" s="17" t="inlineStr">
        <is>
          <t>8_100335913</t>
        </is>
      </c>
      <c r="H32" s="636" t="n"/>
      <c r="I32" s="17" t="n"/>
      <c r="J32" s="767" t="inlineStr">
        <is>
          <t>тыс.т</t>
        </is>
      </c>
    </row>
    <row r="33" ht="18.75" customHeight="1" s="904">
      <c r="B33" s="766" t="n"/>
      <c r="C33" s="769" t="inlineStr">
        <is>
          <t xml:space="preserve">         Песцовое НГКМ (неоком)</t>
        </is>
      </c>
      <c r="D33" s="15" t="n"/>
      <c r="E33" s="15" t="n"/>
      <c r="F33" s="16" t="n"/>
      <c r="G33" s="17" t="inlineStr">
        <is>
          <t>8_100335914</t>
        </is>
      </c>
      <c r="H33" s="636" t="n"/>
      <c r="I33" s="17" t="n"/>
      <c r="J33" s="767" t="inlineStr">
        <is>
          <t>тыс.т</t>
        </is>
      </c>
    </row>
    <row r="34" ht="18.75" customHeight="1" s="904">
      <c r="B34" s="766" t="n"/>
      <c r="C34" s="769" t="inlineStr">
        <is>
          <t xml:space="preserve">         Песцовое НГКМ (ачим)</t>
        </is>
      </c>
      <c r="D34" s="15" t="n"/>
      <c r="E34" s="15" t="n"/>
      <c r="F34" s="16" t="n"/>
      <c r="G34" s="17" t="inlineStr">
        <is>
          <t>8_100335915</t>
        </is>
      </c>
      <c r="H34" s="636" t="n"/>
      <c r="I34" s="17" t="n"/>
      <c r="J34" s="767" t="inlineStr">
        <is>
          <t>тыс.т</t>
        </is>
      </c>
    </row>
    <row r="35" ht="18.75" customHeight="1" s="904">
      <c r="B35" s="766" t="n"/>
      <c r="C35" s="769" t="inlineStr">
        <is>
          <t xml:space="preserve">      Выработка  газа выветривания в рамках ДРОД</t>
        </is>
      </c>
      <c r="D35" s="15" t="n"/>
      <c r="E35" s="15" t="n"/>
      <c r="F35" s="16" t="n"/>
      <c r="G35" s="17" t="inlineStr">
        <is>
          <t>8_100335492</t>
        </is>
      </c>
      <c r="H35" s="636" t="n"/>
      <c r="I35" s="17" t="n"/>
      <c r="J35" s="767" t="inlineStr">
        <is>
          <t>тыс.т</t>
        </is>
      </c>
    </row>
    <row r="36" ht="18.75" customHeight="1" s="904">
      <c r="B36" s="766" t="n"/>
      <c r="C36" s="769" t="inlineStr">
        <is>
          <t xml:space="preserve">      Выработка  газа выветривания в рамках ДРОД</t>
        </is>
      </c>
      <c r="D36" s="15" t="n"/>
      <c r="E36" s="15" t="n"/>
      <c r="F36" s="16" t="n"/>
      <c r="G36" s="17" t="inlineStr">
        <is>
          <t>8_100335493</t>
        </is>
      </c>
      <c r="H36" s="636" t="n"/>
      <c r="I36" s="17" t="n"/>
      <c r="J36" s="767" t="inlineStr">
        <is>
          <t>млн м3</t>
        </is>
      </c>
    </row>
    <row r="37" ht="18.75" customHeight="1" s="904">
      <c r="B37" s="766" t="n"/>
      <c r="C37" s="769" t="inlineStr">
        <is>
          <t xml:space="preserve">         Песцовое НГКМ (неоком)</t>
        </is>
      </c>
      <c r="D37" s="15" t="n"/>
      <c r="E37" s="15" t="n"/>
      <c r="F37" s="16" t="n"/>
      <c r="G37" s="17" t="inlineStr">
        <is>
          <t>8_100335494</t>
        </is>
      </c>
      <c r="H37" s="636" t="n"/>
      <c r="I37" s="17" t="n"/>
      <c r="J37" s="767" t="inlineStr">
        <is>
          <t>тыс.т</t>
        </is>
      </c>
    </row>
    <row r="38" ht="18.75" customHeight="1" s="904">
      <c r="B38" s="766" t="n"/>
      <c r="C38" s="769" t="inlineStr">
        <is>
          <t xml:space="preserve">         Песцовое НГКМ (неоком)</t>
        </is>
      </c>
      <c r="D38" s="15" t="n"/>
      <c r="E38" s="15" t="n"/>
      <c r="F38" s="16" t="n"/>
      <c r="G38" s="17" t="inlineStr">
        <is>
          <t>8_100335495</t>
        </is>
      </c>
      <c r="H38" s="636" t="n"/>
      <c r="I38" s="17" t="n"/>
      <c r="J38" s="767" t="inlineStr">
        <is>
          <t>млн м3</t>
        </is>
      </c>
    </row>
    <row r="39" ht="18.75" customHeight="1" s="904">
      <c r="B39" s="766" t="n"/>
      <c r="C39" s="769" t="inlineStr">
        <is>
          <t xml:space="preserve">         Песцовое НГКМ (ачим)</t>
        </is>
      </c>
      <c r="D39" s="15" t="n"/>
      <c r="E39" s="15" t="n"/>
      <c r="F39" s="16" t="n"/>
      <c r="G39" s="17" t="inlineStr">
        <is>
          <t>8_100335606</t>
        </is>
      </c>
      <c r="H39" s="636" t="n"/>
      <c r="I39" s="17" t="n"/>
      <c r="J39" s="767" t="inlineStr">
        <is>
          <t>тыс.т</t>
        </is>
      </c>
    </row>
    <row r="40" ht="18.75" customHeight="1" s="904">
      <c r="B40" s="766" t="n"/>
      <c r="C40" s="769" t="inlineStr">
        <is>
          <t xml:space="preserve">         Песцовое НГКМ (ачим)</t>
        </is>
      </c>
      <c r="D40" s="15" t="n"/>
      <c r="E40" s="15" t="n"/>
      <c r="F40" s="16" t="n"/>
      <c r="G40" s="17" t="inlineStr">
        <is>
          <t>8_100335607</t>
        </is>
      </c>
      <c r="H40" s="636" t="n"/>
      <c r="I40" s="17" t="n"/>
      <c r="J40" s="767" t="inlineStr">
        <is>
          <t>млн.м3</t>
        </is>
      </c>
    </row>
    <row r="41" ht="18.75" customHeight="1" s="904">
      <c r="B41" s="766" t="n"/>
      <c r="C41" s="769" t="inlineStr">
        <is>
          <t xml:space="preserve">         Уренгойского НГКМ 3 уч. ачим отл.</t>
        </is>
      </c>
      <c r="D41" s="15" t="n"/>
      <c r="E41" s="15" t="n"/>
      <c r="F41" s="16" t="n"/>
      <c r="G41" s="17" t="inlineStr">
        <is>
          <t>8_100335496</t>
        </is>
      </c>
      <c r="H41" s="636" t="n"/>
      <c r="I41" s="17" t="n"/>
      <c r="J41" s="767" t="inlineStr">
        <is>
          <t>тыс.т</t>
        </is>
      </c>
    </row>
    <row r="42" ht="18.75" customHeight="1" s="904">
      <c r="B42" s="766" t="n"/>
      <c r="C42" s="769" t="inlineStr">
        <is>
          <t xml:space="preserve">         Уренгойского НГКМ 3 уч. ачим отл.</t>
        </is>
      </c>
      <c r="D42" s="15" t="n"/>
      <c r="E42" s="15" t="n"/>
      <c r="F42" s="16" t="n"/>
      <c r="G42" s="17" t="inlineStr">
        <is>
          <t>8_100335497</t>
        </is>
      </c>
      <c r="H42" s="636" t="n"/>
      <c r="I42" s="17" t="n"/>
      <c r="J42" s="767" t="inlineStr">
        <is>
          <t>млн м3</t>
        </is>
      </c>
    </row>
    <row r="43" ht="18.75" customHeight="1" s="904">
      <c r="B43" s="766" t="n"/>
      <c r="C43" s="769" t="inlineStr">
        <is>
          <t xml:space="preserve">         Ен-Яхинское НГКМ БУ-12</t>
        </is>
      </c>
      <c r="D43" s="15" t="n"/>
      <c r="E43" s="15" t="n"/>
      <c r="F43" s="16" t="n"/>
      <c r="G43" s="17" t="inlineStr">
        <is>
          <t>8_100335517</t>
        </is>
      </c>
      <c r="H43" s="636" t="n"/>
      <c r="I43" s="17" t="n"/>
      <c r="J43" s="767" t="inlineStr">
        <is>
          <t>тыс.т</t>
        </is>
      </c>
    </row>
    <row r="44" ht="18.75" customHeight="1" s="904">
      <c r="B44" s="766" t="n"/>
      <c r="C44" s="769" t="inlineStr">
        <is>
          <t xml:space="preserve">         Ен-Яхинское НГКМ БУ-12</t>
        </is>
      </c>
      <c r="D44" s="15" t="n"/>
      <c r="E44" s="15" t="n"/>
      <c r="F44" s="16" t="n"/>
      <c r="G44" s="17" t="inlineStr">
        <is>
          <t>8_100335518</t>
        </is>
      </c>
      <c r="H44" s="636" t="n"/>
      <c r="I44" s="17" t="n"/>
      <c r="J44" s="767" t="inlineStr">
        <is>
          <t>млн м3</t>
        </is>
      </c>
    </row>
    <row r="45" ht="18.75" customHeight="1" s="904">
      <c r="B45" s="766" t="n"/>
      <c r="C45" s="769" t="inlineStr">
        <is>
          <t xml:space="preserve">      Покупка газа деэтанизации по договору поставки у ПАО "Газпром"</t>
        </is>
      </c>
      <c r="D45" s="15" t="n"/>
      <c r="E45" s="15" t="n"/>
      <c r="F45" s="16" t="n"/>
      <c r="G45" s="17" t="inlineStr">
        <is>
          <t>8_100332322</t>
        </is>
      </c>
      <c r="H45" s="636" t="n"/>
      <c r="I45" s="17" t="n"/>
      <c r="J45" s="767" t="inlineStr">
        <is>
          <t>млн.м3</t>
        </is>
      </c>
    </row>
    <row r="46" ht="18.75" customHeight="1" s="904">
      <c r="B46" s="766" t="n"/>
      <c r="C46" s="769" t="inlineStr">
        <is>
          <t xml:space="preserve">      Покупка газа деэтанизации по договору поставки у ПАО "Газпром"</t>
        </is>
      </c>
      <c r="D46" s="15" t="n"/>
      <c r="E46" s="15" t="n"/>
      <c r="F46" s="16" t="n"/>
      <c r="G46" s="17" t="inlineStr">
        <is>
          <t>8_100332321</t>
        </is>
      </c>
      <c r="H46" s="636" t="n"/>
      <c r="I46" s="17" t="n"/>
      <c r="J46" s="767" t="inlineStr">
        <is>
          <t>тыс.т</t>
        </is>
      </c>
    </row>
    <row r="47" ht="25.5" customHeight="1" s="904">
      <c r="B47" s="766" t="n"/>
      <c r="C47" s="769" t="inlineStr">
        <is>
          <t xml:space="preserve">      Поставка газа деэтанизации на подготовку на мощностях ГДУ, собственность ПАО "Газпром"</t>
        </is>
      </c>
      <c r="D47" s="15" t="n"/>
      <c r="E47" s="15" t="n"/>
      <c r="F47" s="16" t="n"/>
      <c r="G47" s="17" t="inlineStr">
        <is>
          <t>8_100337115</t>
        </is>
      </c>
      <c r="H47" s="636" t="n"/>
      <c r="I47" s="17" t="n"/>
      <c r="J47" s="767" t="inlineStr">
        <is>
          <t>млн м3</t>
        </is>
      </c>
    </row>
    <row r="48" ht="25.5" customHeight="1" s="904">
      <c r="B48" s="766" t="n"/>
      <c r="C48" s="769" t="inlineStr">
        <is>
          <t xml:space="preserve">      Поставка газа деэтанизации на подготовку на мощностях ГДУ, собственность ПАО "Газпром"</t>
        </is>
      </c>
      <c r="D48" s="15" t="n"/>
      <c r="E48" s="15" t="n"/>
      <c r="F48" s="16" t="n"/>
      <c r="G48" s="17" t="inlineStr">
        <is>
          <t>8_100337114</t>
        </is>
      </c>
      <c r="H48" s="636" t="n"/>
      <c r="I48" s="17" t="n"/>
      <c r="J48" s="767" t="inlineStr">
        <is>
          <t>тыс.т</t>
        </is>
      </c>
    </row>
    <row r="49" ht="18.75" customHeight="1" s="904">
      <c r="B49" s="766" t="n"/>
      <c r="C49" s="769" t="inlineStr">
        <is>
          <t xml:space="preserve">      Поставка газа деэтанизации на Новоуренгойский ГХК</t>
        </is>
      </c>
      <c r="D49" s="15" t="n"/>
      <c r="E49" s="15" t="n"/>
      <c r="F49" s="16" t="n"/>
      <c r="G49" s="17" t="inlineStr">
        <is>
          <t>8_100337117</t>
        </is>
      </c>
      <c r="H49" s="636" t="n"/>
      <c r="I49" s="17" t="n"/>
      <c r="J49" s="767" t="inlineStr">
        <is>
          <t>млн м3</t>
        </is>
      </c>
    </row>
    <row r="50" ht="18.75" customHeight="1" s="904">
      <c r="B50" s="766" t="n"/>
      <c r="C50" s="769" t="inlineStr">
        <is>
          <t xml:space="preserve">      Поставка газа деэтанизации на Новоуренгойский ГХК</t>
        </is>
      </c>
      <c r="D50" s="15" t="n"/>
      <c r="E50" s="15" t="n"/>
      <c r="F50" s="16" t="n"/>
      <c r="G50" s="17" t="inlineStr">
        <is>
          <t>8_100337116</t>
        </is>
      </c>
      <c r="H50" s="636" t="n"/>
      <c r="I50" s="17" t="n"/>
      <c r="J50" s="767" t="inlineStr">
        <is>
          <t>тыс.т</t>
        </is>
      </c>
    </row>
    <row r="51" ht="18.75" customHeight="1" s="904">
      <c r="B51" s="766" t="n"/>
      <c r="C51" s="786" t="inlineStr">
        <is>
          <t xml:space="preserve">      Поставка СК и нефти</t>
        </is>
      </c>
      <c r="D51" s="15" t="n"/>
      <c r="E51" s="15" t="n"/>
      <c r="F51" s="16" t="n"/>
      <c r="G51" s="17">
        <f>G52+G53+G54+G55+G66</f>
        <v/>
      </c>
      <c r="H51" s="636" t="n"/>
      <c r="I51" s="17" t="n"/>
      <c r="J51" s="767" t="inlineStr">
        <is>
          <t>тыс.т</t>
        </is>
      </c>
    </row>
    <row r="52" ht="18.75" customHeight="1" s="904">
      <c r="B52" s="766" t="n"/>
      <c r="C52" s="769" t="inlineStr">
        <is>
          <t xml:space="preserve">         в т.ч.  ООО "Газпром переработка"</t>
        </is>
      </c>
      <c r="D52" s="15" t="n"/>
      <c r="E52" s="15" t="n"/>
      <c r="F52" s="16" t="n"/>
      <c r="G52" s="17" t="inlineStr">
        <is>
          <t>8_100333681</t>
        </is>
      </c>
      <c r="H52" s="636" t="n"/>
      <c r="I52" s="17" t="n"/>
      <c r="J52" s="767" t="inlineStr">
        <is>
          <t>тыс.т</t>
        </is>
      </c>
    </row>
    <row r="53" ht="18.75" customHeight="1" s="904">
      <c r="B53" s="766" t="n"/>
      <c r="C53" s="769" t="inlineStr">
        <is>
          <t xml:space="preserve">         в т.ч.: ПАО "Газпром"</t>
        </is>
      </c>
      <c r="D53" s="15" t="n"/>
      <c r="E53" s="15" t="n"/>
      <c r="F53" s="16" t="n"/>
      <c r="G53" s="17" t="inlineStr">
        <is>
          <t>8_100330648</t>
        </is>
      </c>
      <c r="H53" s="636" t="n"/>
      <c r="I53" s="17" t="n"/>
      <c r="J53" s="767" t="inlineStr">
        <is>
          <t>тыс.т</t>
        </is>
      </c>
    </row>
    <row r="54" ht="18.75" customHeight="1" s="904">
      <c r="B54" s="766" t="n"/>
      <c r="C54" s="769" t="inlineStr">
        <is>
          <t xml:space="preserve">         в т.ч.  ГД Уренгой</t>
        </is>
      </c>
      <c r="D54" s="15" t="n"/>
      <c r="E54" s="15" t="n"/>
      <c r="F54" s="16" t="n"/>
      <c r="G54" s="17" t="inlineStr">
        <is>
          <t>8_100335156</t>
        </is>
      </c>
      <c r="H54" s="636" t="n"/>
      <c r="I54" s="17" t="n"/>
      <c r="J54" s="767" t="inlineStr">
        <is>
          <t>тыс.т</t>
        </is>
      </c>
    </row>
    <row r="55" ht="18.75" customHeight="1" s="904">
      <c r="B55" s="766" t="n"/>
      <c r="C55" s="769" t="inlineStr">
        <is>
          <t xml:space="preserve">         в т.ч.: ГД Уренгой в рамках ДРОД в адрес трейдера</t>
        </is>
      </c>
      <c r="D55" s="15" t="n"/>
      <c r="E55" s="15" t="n"/>
      <c r="F55" s="16" t="n"/>
      <c r="G55" s="17">
        <f>G56+G57+G58+G59+G60+G61+G62+G63+G64+G65</f>
        <v/>
      </c>
      <c r="H55" s="636" t="n"/>
      <c r="I55" s="17" t="n"/>
      <c r="J55" s="767" t="inlineStr">
        <is>
          <t>тыс.т</t>
        </is>
      </c>
    </row>
    <row r="56" ht="18.75" customHeight="1" s="904">
      <c r="B56" s="766" t="n"/>
      <c r="C56" s="769" t="inlineStr">
        <is>
          <t xml:space="preserve">            Уренгойское НГКМ Фаза 2 (Нефть)</t>
        </is>
      </c>
      <c r="D56" s="15" t="n"/>
      <c r="E56" s="15" t="n"/>
      <c r="F56" s="16" t="n"/>
      <c r="G56" s="17" t="inlineStr">
        <is>
          <t>8_100335670</t>
        </is>
      </c>
      <c r="H56" s="636" t="n"/>
      <c r="I56" s="17" t="n"/>
      <c r="J56" s="767" t="inlineStr">
        <is>
          <t>тыс.т</t>
        </is>
      </c>
    </row>
    <row r="57" ht="18.75" customHeight="1" s="904">
      <c r="B57" s="766" t="n"/>
      <c r="C57" s="769" t="inlineStr">
        <is>
          <t xml:space="preserve">            Уренгойского НГКМ 3 уч. ачим отл. (СК)</t>
        </is>
      </c>
      <c r="D57" s="15" t="n"/>
      <c r="E57" s="15" t="n"/>
      <c r="F57" s="16" t="n"/>
      <c r="G57" s="17" t="inlineStr">
        <is>
          <t>8_100335051</t>
        </is>
      </c>
      <c r="H57" s="636" t="n"/>
      <c r="I57" s="17" t="n"/>
      <c r="J57" s="767" t="inlineStr">
        <is>
          <t>тыс.т</t>
        </is>
      </c>
    </row>
    <row r="58" ht="18.75" customHeight="1" s="904">
      <c r="B58" s="766" t="n"/>
      <c r="C58" s="768" t="inlineStr">
        <is>
          <t xml:space="preserve">           'Уренгойское НГКМ (ачимовский участок 3А) (Нефть)</t>
        </is>
      </c>
      <c r="D58" s="15" t="n"/>
      <c r="E58" s="15" t="n"/>
      <c r="F58" s="16" t="n"/>
      <c r="G58" s="17" t="inlineStr">
        <is>
          <t>8_100337142</t>
        </is>
      </c>
      <c r="H58" s="636" t="n"/>
      <c r="I58" s="17" t="n"/>
      <c r="J58" s="767" t="n"/>
    </row>
    <row r="59" ht="18.75" customHeight="1" s="904">
      <c r="B59" s="766" t="n"/>
      <c r="C59" s="769" t="inlineStr">
        <is>
          <t xml:space="preserve">            Уренгойское НГКМ ачим. 5 уч.  (Нефть)</t>
        </is>
      </c>
      <c r="D59" s="15" t="n"/>
      <c r="E59" s="15" t="n"/>
      <c r="F59" s="16" t="n"/>
      <c r="G59" s="17" t="inlineStr">
        <is>
          <t>8_100337111</t>
        </is>
      </c>
      <c r="H59" s="636" t="n"/>
      <c r="I59" s="17" t="n"/>
      <c r="J59" s="767" t="inlineStr">
        <is>
          <t>тыс.т</t>
        </is>
      </c>
    </row>
    <row r="60" ht="18.75" customHeight="1" s="904">
      <c r="B60" s="766" t="n"/>
      <c r="C60" s="769" t="inlineStr">
        <is>
          <t xml:space="preserve">            Уренгойское НГКМ ачим. 6 уч.  (Нефть)</t>
        </is>
      </c>
      <c r="D60" s="15" t="n"/>
      <c r="E60" s="15" t="n"/>
      <c r="F60" s="16" t="n"/>
      <c r="G60" s="17" t="inlineStr">
        <is>
          <t>8_100336114</t>
        </is>
      </c>
      <c r="H60" s="636" t="n"/>
      <c r="I60" s="17" t="n"/>
      <c r="J60" s="767" t="inlineStr">
        <is>
          <t>тыс.т</t>
        </is>
      </c>
    </row>
    <row r="61" ht="18.75" customHeight="1" s="904">
      <c r="B61" s="766" t="n"/>
      <c r="C61" s="769" t="inlineStr">
        <is>
          <t xml:space="preserve">            Ен-Яхинское НГКМ БУ-12 (Нефть)</t>
        </is>
      </c>
      <c r="D61" s="15" t="n"/>
      <c r="E61" s="15" t="n"/>
      <c r="F61" s="16" t="n"/>
      <c r="G61" s="17" t="inlineStr">
        <is>
          <t>8_100330646</t>
        </is>
      </c>
      <c r="H61" s="636" t="n"/>
      <c r="I61" s="17" t="n"/>
      <c r="J61" s="767" t="inlineStr">
        <is>
          <t>тыс.т</t>
        </is>
      </c>
    </row>
    <row r="62" ht="18.75" customHeight="1" s="904">
      <c r="B62" s="766" t="n"/>
      <c r="C62" s="769" t="inlineStr">
        <is>
          <t xml:space="preserve">            Ен-Яхинское НГКМ  БУ-12 (СК)</t>
        </is>
      </c>
      <c r="D62" s="15" t="n"/>
      <c r="E62" s="15" t="n"/>
      <c r="F62" s="16" t="n"/>
      <c r="G62" s="17" t="inlineStr">
        <is>
          <t>8_100335516</t>
        </is>
      </c>
      <c r="H62" s="636" t="n"/>
      <c r="I62" s="17" t="n"/>
      <c r="J62" s="767" t="inlineStr">
        <is>
          <t>тыс.т</t>
        </is>
      </c>
    </row>
    <row r="63" ht="18.75" customHeight="1" s="904">
      <c r="B63" s="766" t="n"/>
      <c r="C63" s="769" t="inlineStr">
        <is>
          <t xml:space="preserve">            Песцовое НГКМ неоком (Нефть)</t>
        </is>
      </c>
      <c r="D63" s="15" t="n"/>
      <c r="E63" s="15" t="n"/>
      <c r="F63" s="16" t="n"/>
      <c r="G63" s="17" t="inlineStr">
        <is>
          <t>8_100330647</t>
        </is>
      </c>
      <c r="H63" s="636" t="n"/>
      <c r="I63" s="17" t="n"/>
      <c r="J63" s="767" t="inlineStr">
        <is>
          <t>тыс.т</t>
        </is>
      </c>
    </row>
    <row r="64" ht="18.75" customHeight="1" s="904">
      <c r="B64" s="766" t="n"/>
      <c r="C64" s="769" t="inlineStr">
        <is>
          <t xml:space="preserve">            Песцовое НГКМ (неоком) (СК)</t>
        </is>
      </c>
      <c r="D64" s="15" t="n"/>
      <c r="E64" s="15" t="n"/>
      <c r="F64" s="16" t="n"/>
      <c r="G64" s="17" t="inlineStr">
        <is>
          <t>8_100330643</t>
        </is>
      </c>
      <c r="H64" s="636" t="n"/>
      <c r="I64" s="17" t="n"/>
      <c r="J64" s="767" t="inlineStr">
        <is>
          <t>тыс.т</t>
        </is>
      </c>
    </row>
    <row r="65" ht="18.75" customHeight="1" s="904">
      <c r="B65" s="766" t="n"/>
      <c r="C65" s="769" t="inlineStr">
        <is>
          <t xml:space="preserve">            Песцовое НГКМ (ачим) (СК)</t>
        </is>
      </c>
      <c r="D65" s="15" t="n"/>
      <c r="E65" s="15" t="n"/>
      <c r="F65" s="16" t="n"/>
      <c r="G65" s="17" t="inlineStr">
        <is>
          <t>8_100333691</t>
        </is>
      </c>
      <c r="H65" s="636" t="n"/>
      <c r="I65" s="17" t="n"/>
      <c r="J65" s="767" t="inlineStr">
        <is>
          <t>тыс.т</t>
        </is>
      </c>
    </row>
    <row r="66" ht="25.5" customHeight="1" s="904">
      <c r="B66" s="766" t="n"/>
      <c r="C66" s="769" t="inlineStr">
        <is>
          <t xml:space="preserve">         в т.ч.: ГД Уренгой  в рамках ДРОД в адрес ГПНефть-Заполярье (автовывоз)</t>
        </is>
      </c>
      <c r="D66" s="15" t="n"/>
      <c r="E66" s="15" t="n"/>
      <c r="F66" s="16" t="n"/>
      <c r="G66" s="17">
        <f>G67+G69+G68+G70</f>
        <v/>
      </c>
      <c r="H66" s="636" t="n"/>
      <c r="I66" s="17" t="n"/>
      <c r="J66" s="767" t="inlineStr">
        <is>
          <t>тыс.т</t>
        </is>
      </c>
    </row>
    <row r="67" ht="18.75" customHeight="1" s="904">
      <c r="B67" s="766" t="n"/>
      <c r="C67" s="769" t="inlineStr">
        <is>
          <t xml:space="preserve">            Уренгойское НГКМ Фаза 2</t>
        </is>
      </c>
      <c r="D67" s="15" t="n"/>
      <c r="E67" s="15" t="n"/>
      <c r="F67" s="16" t="n"/>
      <c r="G67" s="17" t="inlineStr">
        <is>
          <t>8_100335918</t>
        </is>
      </c>
      <c r="H67" s="636" t="n"/>
      <c r="I67" s="17" t="n"/>
      <c r="J67" s="767" t="inlineStr">
        <is>
          <t>тыс.т</t>
        </is>
      </c>
    </row>
    <row r="68" ht="18.75" customHeight="1" s="904">
      <c r="B68" s="766" t="n"/>
      <c r="C68" s="769" t="inlineStr">
        <is>
          <t xml:space="preserve">            Уренгойское НГКМ ачим. 6 уч.  (Нефть)</t>
        </is>
      </c>
      <c r="D68" s="15" t="n"/>
      <c r="E68" s="15" t="n"/>
      <c r="F68" s="16" t="n"/>
      <c r="G68" s="17" t="inlineStr">
        <is>
          <t>8_100337105</t>
        </is>
      </c>
      <c r="H68" s="636" t="n"/>
      <c r="I68" s="17" t="n"/>
      <c r="J68" s="767" t="inlineStr">
        <is>
          <t>тыс.т</t>
        </is>
      </c>
    </row>
    <row r="69" ht="18.75" customHeight="1" s="904">
      <c r="B69" s="766" t="n"/>
      <c r="C69" s="769" t="inlineStr">
        <is>
          <t xml:space="preserve">            Ен-Яхинское НГКМ</t>
        </is>
      </c>
      <c r="D69" s="15" t="n"/>
      <c r="E69" s="15" t="n"/>
      <c r="F69" s="16" t="n"/>
      <c r="G69" s="17" t="inlineStr">
        <is>
          <t>8_100335919</t>
        </is>
      </c>
      <c r="H69" s="636" t="n"/>
      <c r="I69" s="17" t="n"/>
      <c r="J69" s="767" t="inlineStr">
        <is>
          <t>тыс.т</t>
        </is>
      </c>
    </row>
    <row r="70" ht="18.75" customHeight="1" s="904">
      <c r="B70" s="766" t="n"/>
      <c r="C70" s="769" t="inlineStr">
        <is>
          <t xml:space="preserve">            Песцовое НГКМ</t>
        </is>
      </c>
      <c r="D70" s="15" t="n"/>
      <c r="E70" s="15" t="n"/>
      <c r="F70" s="16" t="n"/>
      <c r="G70" s="17" t="inlineStr">
        <is>
          <t>8_100335920</t>
        </is>
      </c>
      <c r="H70" s="636" t="n"/>
      <c r="I70" s="17" t="n"/>
      <c r="J70" s="767" t="inlineStr">
        <is>
          <t>тыс.т</t>
        </is>
      </c>
    </row>
    <row r="71" ht="18.75" customHeight="1" s="904">
      <c r="B71" s="766" t="n"/>
      <c r="C71" s="769" t="inlineStr">
        <is>
          <t xml:space="preserve">      Справочно:</t>
        </is>
      </c>
      <c r="D71" s="15" t="n"/>
      <c r="E71" s="15" t="n"/>
      <c r="F71" s="16" t="n"/>
      <c r="G71" s="17" t="n"/>
      <c r="H71" s="636" t="n"/>
      <c r="I71" s="17" t="n"/>
      <c r="J71" s="767" t="n"/>
    </row>
    <row r="72" ht="18.75" customHeight="1" s="904">
      <c r="B72" s="766" t="n"/>
      <c r="C72" s="769" t="inlineStr">
        <is>
          <t xml:space="preserve">         Добыча Ачимовские отложения 1 участок (услуги Ачимгаза)</t>
        </is>
      </c>
      <c r="D72" s="15" t="n"/>
      <c r="E72" s="15" t="n"/>
      <c r="F72" s="16" t="n"/>
      <c r="G72" s="17" t="n"/>
      <c r="H72" s="636" t="n"/>
      <c r="I72" s="17" t="n"/>
      <c r="J72" s="767" t="n"/>
    </row>
    <row r="73" ht="18.75" customHeight="1" s="904">
      <c r="B73" s="766" t="n"/>
      <c r="C73" s="769" t="inlineStr">
        <is>
          <t xml:space="preserve">            конденсат</t>
        </is>
      </c>
      <c r="D73" s="15" t="n"/>
      <c r="E73" s="15" t="n"/>
      <c r="F73" s="16" t="n"/>
      <c r="G73" s="17" t="inlineStr">
        <is>
          <t>8_100330639</t>
        </is>
      </c>
      <c r="H73" s="636" t="n"/>
      <c r="I73" s="17" t="n"/>
      <c r="J73" s="767" t="inlineStr">
        <is>
          <t>тыс.т</t>
        </is>
      </c>
    </row>
    <row r="74" ht="18.75" customHeight="1" s="904">
      <c r="B74" s="766" t="n"/>
      <c r="C74" s="769" t="inlineStr">
        <is>
          <t xml:space="preserve">               в.т.ч  на УСК НПТР</t>
        </is>
      </c>
      <c r="D74" s="15" t="n"/>
      <c r="E74" s="15" t="n"/>
      <c r="F74" s="16" t="n"/>
      <c r="G74" s="17" t="inlineStr">
        <is>
          <t>8_100335373</t>
        </is>
      </c>
      <c r="H74" s="636" t="n"/>
      <c r="I74" s="17" t="n"/>
      <c r="J74" s="767" t="inlineStr">
        <is>
          <t>тыс.т</t>
        </is>
      </c>
    </row>
    <row r="75" ht="18.75" customHeight="1" s="904">
      <c r="B75" s="766" t="n"/>
      <c r="C75" s="788" t="inlineStr">
        <is>
          <t>ООО "Газпром добыча Ямбург"</t>
        </is>
      </c>
      <c r="D75" s="15" t="n"/>
      <c r="E75" s="15" t="n"/>
      <c r="F75" s="16" t="n"/>
      <c r="G75" s="17" t="n"/>
      <c r="H75" s="636" t="n"/>
      <c r="I75" s="17" t="n"/>
      <c r="J75" s="767" t="n"/>
    </row>
    <row r="76" ht="18.75" customHeight="1" s="904">
      <c r="B76" s="766" t="n"/>
      <c r="C76" s="769" t="inlineStr">
        <is>
          <t xml:space="preserve">   Поставка НГК на Уренгойский ЗПКТ, всего:</t>
        </is>
      </c>
      <c r="D76" s="15" t="n"/>
      <c r="E76" s="15" t="n"/>
      <c r="F76" s="16" t="n"/>
      <c r="G76" s="17" t="inlineStr">
        <is>
          <t>7_100330893</t>
        </is>
      </c>
      <c r="H76" s="636" t="n"/>
      <c r="I76" s="17" t="n"/>
      <c r="J76" s="767" t="inlineStr">
        <is>
          <t>тыс.т</t>
        </is>
      </c>
    </row>
    <row r="77" ht="18.75" customHeight="1" s="904">
      <c r="B77" s="766" t="n"/>
      <c r="C77" s="769" t="inlineStr">
        <is>
          <t xml:space="preserve">      Заполярное НГКМ, собственность Газпром</t>
        </is>
      </c>
      <c r="D77" s="15" t="n"/>
      <c r="E77" s="15" t="n"/>
      <c r="F77" s="16" t="n"/>
      <c r="G77" s="17" t="inlineStr">
        <is>
          <t>7_100330894</t>
        </is>
      </c>
      <c r="H77" s="636" t="n"/>
      <c r="I77" s="17" t="n"/>
      <c r="J77" s="767" t="inlineStr">
        <is>
          <t>тыс.т</t>
        </is>
      </c>
    </row>
    <row r="78" ht="18.75" customHeight="1" s="904">
      <c r="B78" s="766" t="n"/>
      <c r="C78" s="769" t="inlineStr">
        <is>
          <t xml:space="preserve">      Ямбургское НГКМ, собственность Газпром</t>
        </is>
      </c>
      <c r="D78" s="15" t="n"/>
      <c r="E78" s="15" t="n"/>
      <c r="F78" s="16" t="n"/>
      <c r="G78" s="17" t="inlineStr">
        <is>
          <t>7_100330895</t>
        </is>
      </c>
      <c r="H78" s="636" t="n"/>
      <c r="I78" s="17" t="n"/>
      <c r="J78" s="767" t="inlineStr">
        <is>
          <t>тыс.т</t>
        </is>
      </c>
    </row>
    <row r="79" ht="18.75" customHeight="1" s="904">
      <c r="B79" s="766" t="n"/>
      <c r="C79" s="769" t="inlineStr">
        <is>
          <t xml:space="preserve">   Поставка нефти</t>
        </is>
      </c>
      <c r="D79" s="15" t="n"/>
      <c r="E79" s="15" t="n"/>
      <c r="F79" s="16" t="n"/>
      <c r="G79" s="17" t="inlineStr">
        <is>
          <t>7_100330589</t>
        </is>
      </c>
      <c r="H79" s="636" t="n"/>
      <c r="I79" s="17" t="n"/>
      <c r="J79" s="767" t="inlineStr">
        <is>
          <t>тыс.т</t>
        </is>
      </c>
    </row>
    <row r="80" ht="25.5" customHeight="1" s="904">
      <c r="B80" s="766" t="n"/>
      <c r="C80" s="769" t="inlineStr">
        <is>
          <t xml:space="preserve">      в т.ч. Ямбургское НГКМ, собственность ООО "Газпром добыча Ямбург" в рамках ДРОД:</t>
        </is>
      </c>
      <c r="D80" s="15" t="n"/>
      <c r="E80" s="15" t="n"/>
      <c r="F80" s="16" t="n"/>
      <c r="G80" s="17" t="inlineStr">
        <is>
          <t>7_100330593</t>
        </is>
      </c>
      <c r="H80" s="636" t="n"/>
      <c r="I80" s="17" t="n"/>
      <c r="J80" s="767" t="inlineStr">
        <is>
          <t>тыс.т</t>
        </is>
      </c>
    </row>
    <row r="81" ht="18.75" customHeight="1" s="904">
      <c r="B81" s="766" t="n"/>
      <c r="C81" s="769" t="inlineStr">
        <is>
          <t xml:space="preserve">         автовывоз</t>
        </is>
      </c>
      <c r="D81" s="15" t="n"/>
      <c r="E81" s="15" t="n"/>
      <c r="F81" s="16" t="n"/>
      <c r="G81" s="17" t="inlineStr">
        <is>
          <t>7_100337154</t>
        </is>
      </c>
      <c r="H81" s="636" t="n"/>
      <c r="I81" s="17" t="n"/>
      <c r="J81" s="767" t="inlineStr">
        <is>
          <t>тыс.т</t>
        </is>
      </c>
    </row>
    <row r="82" ht="18.75" customHeight="1" s="904">
      <c r="B82" s="766" t="n"/>
      <c r="C82" s="769" t="inlineStr">
        <is>
          <t xml:space="preserve">         альтернативная схема</t>
        </is>
      </c>
      <c r="D82" s="15" t="n"/>
      <c r="E82" s="15" t="n"/>
      <c r="F82" s="16" t="n"/>
      <c r="G82" s="17" t="inlineStr">
        <is>
          <t>7_100337155</t>
        </is>
      </c>
      <c r="H82" s="636" t="n"/>
      <c r="I82" s="17" t="n"/>
      <c r="J82" s="767" t="inlineStr">
        <is>
          <t>тыс.т</t>
        </is>
      </c>
    </row>
    <row r="83" ht="25.5" customHeight="1" s="904">
      <c r="B83" s="766" t="n"/>
      <c r="C83" s="769" t="inlineStr">
        <is>
          <t xml:space="preserve">   Переработка нестабильного газового конденсата ( УПМТ -15 ЗНГКМ, УПМТ -1 ЯНГКМ)</t>
        </is>
      </c>
      <c r="D83" s="15" t="n"/>
      <c r="E83" s="15" t="n"/>
      <c r="F83" s="16" t="n"/>
      <c r="G83" s="17" t="inlineStr">
        <is>
          <t>7_100330594</t>
        </is>
      </c>
      <c r="H83" s="636" t="n"/>
      <c r="I83" s="17" t="n"/>
      <c r="J83" s="767" t="inlineStr">
        <is>
          <t>тыс.т</t>
        </is>
      </c>
    </row>
    <row r="84" ht="18.75" customHeight="1" s="904">
      <c r="B84" s="766" t="n"/>
      <c r="C84" s="769" t="inlineStr">
        <is>
          <t xml:space="preserve">      Переработка НГК, собственность ООО "Газпром добыча Ямбург"</t>
        </is>
      </c>
      <c r="D84" s="15" t="n"/>
      <c r="E84" s="15" t="n"/>
      <c r="F84" s="16" t="n"/>
      <c r="G84" s="17" t="inlineStr">
        <is>
          <t>7_100330595</t>
        </is>
      </c>
      <c r="H84" s="636" t="n"/>
      <c r="I84" s="17" t="n"/>
      <c r="J84" s="767" t="inlineStr">
        <is>
          <t>тыс.т</t>
        </is>
      </c>
    </row>
    <row r="85" ht="18.75" customHeight="1" s="904">
      <c r="B85" s="766" t="n"/>
      <c r="C85" s="769" t="inlineStr">
        <is>
          <t xml:space="preserve">   Производство продукции, всего:</t>
        </is>
      </c>
      <c r="D85" s="15" t="n"/>
      <c r="E85" s="15" t="n"/>
      <c r="F85" s="16" t="n"/>
      <c r="G85" s="17" t="inlineStr">
        <is>
          <t>7_100330049</t>
        </is>
      </c>
      <c r="H85" s="636" t="n"/>
      <c r="I85" s="17" t="n"/>
      <c r="J85" s="767" t="inlineStr">
        <is>
          <t>тыс.т</t>
        </is>
      </c>
    </row>
    <row r="86" ht="18.75" customHeight="1" s="904">
      <c r="B86" s="766" t="n"/>
      <c r="C86" s="769" t="inlineStr">
        <is>
          <t xml:space="preserve">      Стабильный газовый конденсат - товарный</t>
        </is>
      </c>
      <c r="D86" s="15" t="n"/>
      <c r="E86" s="15" t="n"/>
      <c r="F86" s="16" t="n"/>
      <c r="G86" s="17" t="inlineStr">
        <is>
          <t>7_100330601</t>
        </is>
      </c>
      <c r="H86" s="636" t="n"/>
      <c r="I86" s="17" t="n"/>
      <c r="J86" s="767" t="inlineStr">
        <is>
          <t>тыс.т</t>
        </is>
      </c>
    </row>
    <row r="87" ht="18.75" customHeight="1" s="904">
      <c r="B87" s="766" t="n"/>
      <c r="C87" s="769" t="inlineStr">
        <is>
          <t xml:space="preserve">         в т.ч. на собственные нужды</t>
        </is>
      </c>
      <c r="D87" s="15" t="n"/>
      <c r="E87" s="15" t="n"/>
      <c r="F87" s="16" t="n"/>
      <c r="G87" s="17" t="inlineStr">
        <is>
          <t>7_100330604</t>
        </is>
      </c>
      <c r="H87" s="636" t="n"/>
      <c r="I87" s="17" t="n"/>
      <c r="J87" s="767" t="inlineStr">
        <is>
          <t>тыс.т</t>
        </is>
      </c>
    </row>
    <row r="88" ht="18.75" customHeight="1" s="904">
      <c r="B88" s="766" t="n"/>
      <c r="C88" s="769" t="inlineStr">
        <is>
          <t xml:space="preserve">      Дизельное топливо</t>
        </is>
      </c>
      <c r="D88" s="15" t="n"/>
      <c r="E88" s="15" t="n"/>
      <c r="F88" s="16" t="n"/>
      <c r="G88" s="17" t="inlineStr">
        <is>
          <t>7_100330605</t>
        </is>
      </c>
      <c r="H88" s="636" t="n"/>
      <c r="I88" s="17" t="n"/>
      <c r="J88" s="767" t="inlineStr">
        <is>
          <t>тыс.т</t>
        </is>
      </c>
    </row>
    <row r="89" ht="18.75" customHeight="1" s="904">
      <c r="B89" s="766" t="n"/>
      <c r="C89" s="769" t="inlineStr">
        <is>
          <t xml:space="preserve">         в т.ч.  на собственные нужды</t>
        </is>
      </c>
      <c r="D89" s="15" t="n"/>
      <c r="E89" s="15" t="n"/>
      <c r="F89" s="16" t="n"/>
      <c r="G89" s="17" t="inlineStr">
        <is>
          <t>7_100336116</t>
        </is>
      </c>
      <c r="H89" s="636" t="n"/>
      <c r="I89" s="17" t="n"/>
      <c r="J89" s="767" t="inlineStr">
        <is>
          <t>тыс.т</t>
        </is>
      </c>
    </row>
    <row r="90" ht="18.75" customHeight="1" s="904">
      <c r="B90" s="766" t="n"/>
      <c r="C90" s="769" t="inlineStr">
        <is>
          <t xml:space="preserve">      Фракция пропан-бутановая</t>
        </is>
      </c>
      <c r="D90" s="15" t="n"/>
      <c r="E90" s="15" t="n"/>
      <c r="F90" s="16" t="n"/>
      <c r="G90" s="17" t="inlineStr">
        <is>
          <t>7_100330609</t>
        </is>
      </c>
      <c r="H90" s="636" t="n"/>
      <c r="I90" s="17" t="n"/>
      <c r="J90" s="767" t="inlineStr">
        <is>
          <t>тыс.т</t>
        </is>
      </c>
    </row>
    <row r="91" ht="18.75" customHeight="1" s="904">
      <c r="B91" s="766" t="n"/>
      <c r="C91" s="769" t="inlineStr">
        <is>
          <t xml:space="preserve">      Газы деэтанизации и стабилизации</t>
        </is>
      </c>
      <c r="D91" s="15" t="n"/>
      <c r="E91" s="15" t="n"/>
      <c r="F91" s="16" t="n"/>
      <c r="G91" s="17" t="inlineStr">
        <is>
          <t>7_100330611</t>
        </is>
      </c>
      <c r="H91" s="636" t="n"/>
      <c r="I91" s="17" t="n"/>
      <c r="J91" s="767" t="inlineStr">
        <is>
          <t>тыс.т</t>
        </is>
      </c>
    </row>
    <row r="92" ht="18.75" customHeight="1" s="904">
      <c r="B92" s="766" t="n"/>
      <c r="C92" s="769" t="inlineStr">
        <is>
          <t xml:space="preserve">      Газы деэтанизации и стабилизации</t>
        </is>
      </c>
      <c r="D92" s="15" t="n"/>
      <c r="E92" s="15" t="n"/>
      <c r="F92" s="16" t="n"/>
      <c r="G92" s="17" t="inlineStr">
        <is>
          <t>7_100330612</t>
        </is>
      </c>
      <c r="H92" s="636" t="n"/>
      <c r="I92" s="17" t="n"/>
      <c r="J92" s="767" t="inlineStr">
        <is>
          <t>млн.м3</t>
        </is>
      </c>
    </row>
    <row r="93" ht="18.75" customHeight="1" s="904">
      <c r="B93" s="766" t="n"/>
      <c r="C93" s="769" t="inlineStr">
        <is>
          <t xml:space="preserve">         в т.ч.  на собственные нужды</t>
        </is>
      </c>
      <c r="D93" s="15" t="n"/>
      <c r="E93" s="15" t="n"/>
      <c r="F93" s="16" t="n"/>
      <c r="G93" s="17" t="inlineStr">
        <is>
          <t>7_100330617</t>
        </is>
      </c>
      <c r="H93" s="636" t="n"/>
      <c r="I93" s="17" t="n"/>
      <c r="J93" s="767" t="inlineStr">
        <is>
          <t>тыс.т</t>
        </is>
      </c>
    </row>
    <row r="94" ht="18.75" customHeight="1" s="904">
      <c r="B94" s="766" t="n"/>
      <c r="C94" s="769" t="inlineStr">
        <is>
          <t xml:space="preserve">         в т.ч.  на собственные нужды</t>
        </is>
      </c>
      <c r="D94" s="15" t="n"/>
      <c r="E94" s="15" t="n"/>
      <c r="F94" s="16" t="n"/>
      <c r="G94" s="17" t="inlineStr">
        <is>
          <t>7_100330618</t>
        </is>
      </c>
      <c r="H94" s="636" t="n"/>
      <c r="I94" s="17" t="n"/>
      <c r="J94" s="767" t="inlineStr">
        <is>
          <t>млн.м3</t>
        </is>
      </c>
    </row>
    <row r="95" ht="18.75" customHeight="1" s="904">
      <c r="B95" s="766" t="n"/>
      <c r="C95" s="769" t="inlineStr">
        <is>
          <t xml:space="preserve">      Возврат в нестабильный конденсат</t>
        </is>
      </c>
      <c r="D95" s="15" t="n"/>
      <c r="E95" s="15" t="n"/>
      <c r="F95" s="16" t="n"/>
      <c r="G95" s="17" t="inlineStr">
        <is>
          <t>7_100330623</t>
        </is>
      </c>
      <c r="H95" s="636" t="n"/>
      <c r="I95" s="17" t="n"/>
      <c r="J95" s="767" t="inlineStr">
        <is>
          <t>тыс.т</t>
        </is>
      </c>
    </row>
    <row r="96" ht="18.75" customHeight="1" s="904">
      <c r="B96" s="766" t="n"/>
      <c r="C96" s="769" t="inlineStr">
        <is>
          <t xml:space="preserve">   Справочно:</t>
        </is>
      </c>
      <c r="D96" s="15" t="n"/>
      <c r="E96" s="15" t="n"/>
      <c r="F96" s="16" t="n"/>
      <c r="G96" s="17" t="n"/>
      <c r="H96" s="636" t="n"/>
      <c r="I96" s="17" t="n"/>
      <c r="J96" s="767" t="inlineStr">
        <is>
          <t>тыс.т</t>
        </is>
      </c>
    </row>
    <row r="97" ht="18.75" customHeight="1" s="904">
      <c r="B97" s="766" t="n"/>
      <c r="C97" s="769" t="inlineStr">
        <is>
          <t xml:space="preserve">      Стабильный газовый конденсат - валовый</t>
        </is>
      </c>
      <c r="D97" s="15" t="n"/>
      <c r="E97" s="15" t="n"/>
      <c r="F97" s="16" t="n"/>
      <c r="G97" s="17" t="inlineStr">
        <is>
          <t>7_100330626</t>
        </is>
      </c>
      <c r="H97" s="636" t="n"/>
      <c r="I97" s="17" t="n"/>
      <c r="J97" s="767" t="inlineStr">
        <is>
          <t>тыс.т</t>
        </is>
      </c>
    </row>
    <row r="98" ht="18.75" customHeight="1" s="904">
      <c r="B98" s="766" t="n"/>
      <c r="C98" s="769" t="inlineStr">
        <is>
          <t>ООО "Газпром переработка"</t>
        </is>
      </c>
      <c r="D98" s="15" t="n"/>
      <c r="E98" s="15" t="n"/>
      <c r="F98" s="16" t="n"/>
      <c r="G98" s="17" t="n"/>
      <c r="H98" s="636" t="n"/>
      <c r="I98" s="17" t="n"/>
      <c r="J98" s="767" t="n"/>
    </row>
    <row r="99" ht="18.75" customHeight="1" s="904">
      <c r="B99" s="766" t="n"/>
      <c r="C99" s="788" t="inlineStr">
        <is>
          <t xml:space="preserve">   СОСНОГОРСКИЙ ГПЗ</t>
        </is>
      </c>
      <c r="D99" s="15" t="n"/>
      <c r="E99" s="15" t="n"/>
      <c r="F99" s="16" t="n"/>
      <c r="G99" s="17" t="n"/>
      <c r="H99" s="636" t="n"/>
      <c r="I99" s="17" t="n"/>
      <c r="J99" s="767" t="n"/>
    </row>
    <row r="100" ht="18.75" customHeight="1" s="904">
      <c r="B100" s="766" t="n"/>
      <c r="C100" s="769" t="inlineStr">
        <is>
          <t xml:space="preserve">      Раздел I</t>
        </is>
      </c>
      <c r="D100" s="15" t="n"/>
      <c r="E100" s="15" t="n"/>
      <c r="F100" s="16" t="n"/>
      <c r="G100" s="17" t="n"/>
      <c r="H100" s="636" t="n"/>
      <c r="I100" s="17" t="n"/>
      <c r="J100" s="767" t="n"/>
    </row>
    <row r="101" ht="18.75" customHeight="1" s="904">
      <c r="B101" s="766" t="n"/>
      <c r="C101" s="769" t="inlineStr">
        <is>
          <t xml:space="preserve">         Переработка углеводородного сырья (оказание услуг ПАО "Газпром")</t>
        </is>
      </c>
      <c r="D101" s="15" t="n"/>
      <c r="E101" s="15" t="n"/>
      <c r="F101" s="16" t="n"/>
      <c r="G101" s="17" t="n"/>
      <c r="H101" s="636" t="n"/>
      <c r="I101" s="17" t="n"/>
      <c r="J101" s="767" t="n"/>
    </row>
    <row r="102" ht="18.75" customHeight="1" s="904">
      <c r="B102" s="766" t="n"/>
      <c r="C102" s="769" t="inlineStr">
        <is>
          <t xml:space="preserve">            природный газ</t>
        </is>
      </c>
      <c r="D102" s="15" t="n"/>
      <c r="E102" s="15" t="n"/>
      <c r="F102" s="16" t="n"/>
      <c r="G102" s="17" t="inlineStr">
        <is>
          <t>3_100330008</t>
        </is>
      </c>
      <c r="H102" s="636" t="n"/>
      <c r="I102" s="17" t="n"/>
      <c r="J102" s="767" t="inlineStr">
        <is>
          <t>млн.м3</t>
        </is>
      </c>
    </row>
    <row r="103" ht="18.75" customHeight="1" s="904">
      <c r="B103" s="766" t="n"/>
      <c r="C103" s="769" t="inlineStr">
        <is>
          <t xml:space="preserve">               в т.ч. покупка газа у ПАО "Газпром" для газлифта</t>
        </is>
      </c>
      <c r="D103" s="15" t="n"/>
      <c r="E103" s="15" t="n"/>
      <c r="F103" s="16" t="n"/>
      <c r="G103" s="17" t="inlineStr">
        <is>
          <t>9_100330666</t>
        </is>
      </c>
      <c r="H103" s="636" t="n"/>
      <c r="I103" s="17" t="n"/>
      <c r="J103" s="767" t="inlineStr">
        <is>
          <t>млн.м3</t>
        </is>
      </c>
    </row>
    <row r="104" ht="18.75" customHeight="1" s="904">
      <c r="B104" s="766" t="n"/>
      <c r="C104" s="769" t="inlineStr">
        <is>
          <t xml:space="preserve">            природный газ</t>
        </is>
      </c>
      <c r="D104" s="15" t="n"/>
      <c r="E104" s="15" t="n"/>
      <c r="F104" s="16" t="n"/>
      <c r="G104" s="17" t="inlineStr">
        <is>
          <t>3_100330007</t>
        </is>
      </c>
      <c r="H104" s="636" t="n"/>
      <c r="I104" s="17" t="n"/>
      <c r="J104" s="767" t="inlineStr">
        <is>
          <t>тыс.т</t>
        </is>
      </c>
    </row>
    <row r="105" ht="18.75" customHeight="1" s="904">
      <c r="B105" s="766" t="n"/>
      <c r="C105" s="769" t="inlineStr">
        <is>
          <t xml:space="preserve">            углеводородное сырье</t>
        </is>
      </c>
      <c r="D105" s="15" t="n"/>
      <c r="E105" s="15" t="n"/>
      <c r="F105" s="16" t="n"/>
      <c r="G105" s="17">
        <f>G106+G107</f>
        <v/>
      </c>
      <c r="H105" s="636" t="n"/>
      <c r="I105" s="17" t="n"/>
      <c r="J105" s="767" t="inlineStr">
        <is>
          <t>тыс.т</t>
        </is>
      </c>
    </row>
    <row r="106" ht="18.75" customHeight="1" s="904">
      <c r="B106" s="766" t="n"/>
      <c r="C106" s="769" t="inlineStr">
        <is>
          <t xml:space="preserve">               в т.ч. нестабильный газовый конденсат</t>
        </is>
      </c>
      <c r="D106" s="15" t="n"/>
      <c r="E106" s="15" t="n"/>
      <c r="F106" s="16" t="n"/>
      <c r="G106" s="17" t="inlineStr">
        <is>
          <t>3_100330017</t>
        </is>
      </c>
      <c r="H106" s="636" t="n"/>
      <c r="I106" s="17" t="n"/>
      <c r="J106" s="767" t="inlineStr">
        <is>
          <t>тыс.т</t>
        </is>
      </c>
    </row>
    <row r="107" ht="18.75" customHeight="1" s="904">
      <c r="B107" s="766" t="n"/>
      <c r="C107" s="769" t="inlineStr">
        <is>
          <t xml:space="preserve">               нефть</t>
        </is>
      </c>
      <c r="D107" s="15" t="n"/>
      <c r="E107" s="15" t="n"/>
      <c r="F107" s="16" t="n"/>
      <c r="G107" s="17" t="inlineStr">
        <is>
          <t>3_100330196</t>
        </is>
      </c>
      <c r="H107" s="636" t="n"/>
      <c r="I107" s="17" t="n"/>
      <c r="J107" s="767" t="inlineStr">
        <is>
          <t>тыс.т</t>
        </is>
      </c>
    </row>
    <row r="108" ht="18.75" customHeight="1" s="904">
      <c r="B108" s="766" t="n"/>
      <c r="C108" s="769" t="inlineStr">
        <is>
          <t xml:space="preserve">         Производство продукции (собственность ПАО "Газпром")</t>
        </is>
      </c>
      <c r="D108" s="15" t="n"/>
      <c r="E108" s="15" t="n"/>
      <c r="F108" s="16" t="n"/>
      <c r="G108" s="17" t="n"/>
      <c r="H108" s="636" t="n"/>
      <c r="I108" s="17" t="n"/>
      <c r="J108" s="767" t="n"/>
    </row>
    <row r="109" ht="18.75" customHeight="1" s="904">
      <c r="B109" s="766" t="n"/>
      <c r="C109" s="769" t="inlineStr">
        <is>
          <t xml:space="preserve">            Стабильный газовый конденсат - валовый</t>
        </is>
      </c>
      <c r="D109" s="15" t="n"/>
      <c r="E109" s="15" t="n"/>
      <c r="F109" s="16" t="n"/>
      <c r="G109" s="17" t="inlineStr">
        <is>
          <t>3_100330098</t>
        </is>
      </c>
      <c r="H109" s="636" t="n"/>
      <c r="I109" s="17" t="n"/>
      <c r="J109" s="767" t="inlineStr">
        <is>
          <t>тыс.т</t>
        </is>
      </c>
    </row>
    <row r="110" ht="18.75" customHeight="1" s="904">
      <c r="B110" s="766" t="n"/>
      <c r="C110" s="769" t="inlineStr">
        <is>
          <t xml:space="preserve">            Стабильный газовый конденсат - товарный</t>
        </is>
      </c>
      <c r="D110" s="15" t="n"/>
      <c r="E110" s="15" t="n"/>
      <c r="F110" s="16" t="n"/>
      <c r="G110" s="17" t="inlineStr">
        <is>
          <t>3_100330098</t>
        </is>
      </c>
      <c r="H110" s="636" t="n"/>
      <c r="I110" s="17" t="n"/>
      <c r="J110" s="767" t="inlineStr">
        <is>
          <t>тыс.т</t>
        </is>
      </c>
    </row>
    <row r="111" ht="18.75" customHeight="1" s="904">
      <c r="B111" s="766" t="n"/>
      <c r="C111" s="769" t="inlineStr">
        <is>
          <t xml:space="preserve">            ШФЛУ</t>
        </is>
      </c>
      <c r="D111" s="15" t="n"/>
      <c r="E111" s="15" t="n"/>
      <c r="F111" s="16" t="n"/>
      <c r="G111" s="17" t="n"/>
      <c r="H111" s="636" t="n"/>
      <c r="I111" s="17" t="n"/>
      <c r="J111" s="767" t="inlineStr">
        <is>
          <t>тыс.т</t>
        </is>
      </c>
    </row>
    <row r="112" ht="18.75" customHeight="1" s="904">
      <c r="B112" s="766" t="n"/>
      <c r="C112" s="769" t="inlineStr">
        <is>
          <t xml:space="preserve">            Газы углеводородные сжиженные</t>
        </is>
      </c>
      <c r="D112" s="15" t="n"/>
      <c r="E112" s="15" t="n"/>
      <c r="F112" s="16" t="n"/>
      <c r="G112" s="17" t="inlineStr">
        <is>
          <t>3_100332287</t>
        </is>
      </c>
      <c r="H112" s="636" t="n"/>
      <c r="I112" s="17" t="n"/>
      <c r="J112" s="767" t="inlineStr">
        <is>
          <t>тыс.т</t>
        </is>
      </c>
    </row>
    <row r="113" ht="18.75" customHeight="1" s="904">
      <c r="B113" s="766" t="n"/>
      <c r="C113" s="769" t="inlineStr">
        <is>
          <t xml:space="preserve">               в т.ч.: ПБА/ПБТ</t>
        </is>
      </c>
      <c r="D113" s="15" t="n"/>
      <c r="E113" s="15" t="n"/>
      <c r="F113" s="16" t="n"/>
      <c r="G113" s="17" t="inlineStr">
        <is>
          <t>3_100332287</t>
        </is>
      </c>
      <c r="H113" s="636" t="n"/>
      <c r="I113" s="17" t="n"/>
      <c r="J113" s="767" t="inlineStr">
        <is>
          <t>тыс.т</t>
        </is>
      </c>
    </row>
    <row r="114" ht="18.75" customHeight="1" s="904">
      <c r="B114" s="766" t="n"/>
      <c r="C114" s="769" t="inlineStr">
        <is>
          <t xml:space="preserve">            Техуглерод - всего</t>
        </is>
      </c>
      <c r="D114" s="15" t="n"/>
      <c r="E114" s="15" t="n"/>
      <c r="F114" s="16" t="n"/>
      <c r="G114" s="17">
        <f>G115+G116</f>
        <v/>
      </c>
      <c r="H114" s="636" t="n"/>
      <c r="I114" s="17" t="n"/>
      <c r="J114" s="767" t="inlineStr">
        <is>
          <t>тыс.т</t>
        </is>
      </c>
    </row>
    <row r="115" ht="18.75" customHeight="1" s="904">
      <c r="B115" s="766" t="n"/>
      <c r="C115" s="769" t="inlineStr">
        <is>
          <t xml:space="preserve">               в т.ч. турбулентный (П-701)</t>
        </is>
      </c>
      <c r="D115" s="15" t="n"/>
      <c r="E115" s="15" t="n"/>
      <c r="F115" s="16" t="n"/>
      <c r="G115" s="17" t="inlineStr">
        <is>
          <t>3_100330580</t>
        </is>
      </c>
      <c r="H115" s="636" t="n"/>
      <c r="I115" s="17" t="n"/>
      <c r="J115" s="767" t="inlineStr">
        <is>
          <t>тыс.т</t>
        </is>
      </c>
    </row>
    <row r="116" ht="18.75" customHeight="1" s="904">
      <c r="B116" s="766" t="n"/>
      <c r="C116" s="769" t="inlineStr">
        <is>
          <t xml:space="preserve">               термический (Т-900)</t>
        </is>
      </c>
      <c r="D116" s="15" t="n"/>
      <c r="E116" s="15" t="n"/>
      <c r="F116" s="16" t="n"/>
      <c r="G116" s="17" t="inlineStr">
        <is>
          <t>3_100330581</t>
        </is>
      </c>
      <c r="H116" s="636" t="n"/>
      <c r="I116" s="17" t="n"/>
      <c r="J116" s="767" t="inlineStr">
        <is>
          <t>тыс.т</t>
        </is>
      </c>
    </row>
    <row r="117" ht="18.75" customHeight="1" s="904">
      <c r="B117" s="766" t="n"/>
      <c r="C117" s="769" t="inlineStr">
        <is>
          <t xml:space="preserve">            Газ горючий природный сухой отбензиненный, всего</t>
        </is>
      </c>
      <c r="D117" s="15" t="n"/>
      <c r="E117" s="15" t="n"/>
      <c r="F117" s="16" t="n"/>
      <c r="G117" s="17" t="inlineStr">
        <is>
          <t>3_100330564</t>
        </is>
      </c>
      <c r="H117" s="636" t="n"/>
      <c r="I117" s="17" t="n"/>
      <c r="J117" s="767" t="inlineStr">
        <is>
          <t>млн.м3</t>
        </is>
      </c>
    </row>
    <row r="118" ht="18.75" customHeight="1" s="904">
      <c r="B118" s="766" t="n"/>
      <c r="C118" s="769" t="inlineStr">
        <is>
          <t xml:space="preserve">               в т.ч. в газотранспортную систему</t>
        </is>
      </c>
      <c r="D118" s="15" t="n"/>
      <c r="E118" s="15" t="n"/>
      <c r="F118" s="16" t="n"/>
      <c r="G118" s="17" t="inlineStr">
        <is>
          <t>3_100330570</t>
        </is>
      </c>
      <c r="H118" s="636" t="n"/>
      <c r="I118" s="17" t="n"/>
      <c r="J118" s="767" t="inlineStr">
        <is>
          <t>млн.м3</t>
        </is>
      </c>
    </row>
    <row r="119" ht="18.75" customHeight="1" s="904">
      <c r="B119" s="766" t="n"/>
      <c r="C119" s="769" t="inlineStr">
        <is>
          <t xml:space="preserve">               в т.ч. на Сосногорскую ТЭЦ</t>
        </is>
      </c>
      <c r="D119" s="15" t="n"/>
      <c r="E119" s="15" t="n"/>
      <c r="F119" s="16" t="n"/>
      <c r="G119" s="17" t="inlineStr">
        <is>
          <t>3_100330568</t>
        </is>
      </c>
      <c r="H119" s="636" t="n"/>
      <c r="I119" s="17" t="n"/>
      <c r="J119" s="767" t="inlineStr">
        <is>
          <t>млн.м3</t>
        </is>
      </c>
    </row>
    <row r="120" ht="18.75" customHeight="1" s="904">
      <c r="B120" s="766" t="n"/>
      <c r="C120" s="769" t="inlineStr">
        <is>
          <t xml:space="preserve">               в т.ч. на СТН  ООО "Газпром переработка"</t>
        </is>
      </c>
      <c r="D120" s="15" t="n"/>
      <c r="E120" s="15" t="n"/>
      <c r="F120" s="16" t="n"/>
      <c r="G120" s="17" t="inlineStr">
        <is>
          <t>3_100330566</t>
        </is>
      </c>
      <c r="H120" s="636" t="n"/>
      <c r="I120" s="17" t="n"/>
      <c r="J120" s="767" t="inlineStr">
        <is>
          <t>млн.м3</t>
        </is>
      </c>
    </row>
    <row r="121" ht="18.75" customHeight="1" s="904">
      <c r="B121" s="766" t="n"/>
      <c r="C121" s="769" t="inlineStr">
        <is>
          <t xml:space="preserve">            Газ горючий природный сухой отбензиненный, всего</t>
        </is>
      </c>
      <c r="D121" s="15" t="n"/>
      <c r="E121" s="15" t="n"/>
      <c r="F121" s="16" t="n"/>
      <c r="G121" s="17" t="inlineStr">
        <is>
          <t>3_100330563</t>
        </is>
      </c>
      <c r="H121" s="636" t="n"/>
      <c r="I121" s="17" t="n"/>
      <c r="J121" s="767" t="inlineStr">
        <is>
          <t>тыс.т</t>
        </is>
      </c>
    </row>
    <row r="122" ht="18.75" customHeight="1" s="904">
      <c r="B122" s="766" t="n"/>
      <c r="C122" s="769" t="inlineStr">
        <is>
          <t xml:space="preserve">               в т.ч. в газотранспортную систему</t>
        </is>
      </c>
      <c r="D122" s="15" t="n"/>
      <c r="E122" s="15" t="n"/>
      <c r="F122" s="16" t="n"/>
      <c r="G122" s="17" t="inlineStr">
        <is>
          <t>3_100330569</t>
        </is>
      </c>
      <c r="H122" s="636" t="n"/>
      <c r="I122" s="17" t="n"/>
      <c r="J122" s="767" t="inlineStr">
        <is>
          <t>тыс.т</t>
        </is>
      </c>
    </row>
    <row r="123" ht="18.75" customHeight="1" s="904">
      <c r="B123" s="766" t="n"/>
      <c r="C123" s="769" t="inlineStr">
        <is>
          <t xml:space="preserve">               в т.ч. на Сосногорскую ТЭЦ</t>
        </is>
      </c>
      <c r="D123" s="15" t="n"/>
      <c r="E123" s="15" t="n"/>
      <c r="F123" s="16" t="n"/>
      <c r="G123" s="17" t="inlineStr">
        <is>
          <t>3_100330567</t>
        </is>
      </c>
      <c r="H123" s="636" t="n"/>
      <c r="I123" s="17" t="n"/>
      <c r="J123" s="767" t="inlineStr">
        <is>
          <t>тыс.т</t>
        </is>
      </c>
    </row>
    <row r="124" ht="18.75" customHeight="1" s="904">
      <c r="B124" s="766" t="n"/>
      <c r="C124" s="769" t="inlineStr">
        <is>
          <t xml:space="preserve">               в т.ч. на СТН  ООО "Газпром переработка"</t>
        </is>
      </c>
      <c r="D124" s="15" t="n"/>
      <c r="E124" s="15" t="n"/>
      <c r="F124" s="16" t="n"/>
      <c r="G124" s="17" t="inlineStr">
        <is>
          <t>3_100330565</t>
        </is>
      </c>
      <c r="H124" s="636" t="n"/>
      <c r="I124" s="17" t="n"/>
      <c r="J124" s="767" t="inlineStr">
        <is>
          <t>тыс.т</t>
        </is>
      </c>
    </row>
    <row r="125" ht="18.75" customHeight="1" s="904">
      <c r="B125" s="766" t="n"/>
      <c r="C125" s="769" t="inlineStr">
        <is>
          <t xml:space="preserve">         МЕТАНОЛ, собственность ПАО "Газпром"</t>
        </is>
      </c>
      <c r="D125" s="15" t="n"/>
      <c r="E125" s="15" t="n"/>
      <c r="F125" s="16" t="n"/>
      <c r="G125" s="17" t="inlineStr">
        <is>
          <t>3_100335432/1000</t>
        </is>
      </c>
      <c r="H125" s="636" t="n"/>
      <c r="I125" s="17" t="n"/>
      <c r="J125" s="767" t="inlineStr">
        <is>
          <t>тыс.т</t>
        </is>
      </c>
    </row>
    <row r="126" ht="18.75" customHeight="1" s="904">
      <c r="B126" s="766" t="n"/>
      <c r="C126" s="769" t="inlineStr">
        <is>
          <t xml:space="preserve">      Раздел II</t>
        </is>
      </c>
      <c r="D126" s="15" t="n"/>
      <c r="E126" s="15" t="n"/>
      <c r="F126" s="16" t="n"/>
      <c r="G126" s="17" t="n"/>
      <c r="H126" s="636" t="n"/>
      <c r="I126" s="17" t="n"/>
      <c r="J126" s="767" t="n"/>
    </row>
    <row r="127" ht="18.75" customHeight="1" s="904">
      <c r="B127" s="766" t="n"/>
      <c r="C127" s="769" t="inlineStr">
        <is>
          <t xml:space="preserve">         Переработка попутного нефтяного газа ООО "Газпром ГНП Холдинг"</t>
        </is>
      </c>
      <c r="D127" s="15" t="n"/>
      <c r="E127" s="15" t="n"/>
      <c r="F127" s="16" t="n"/>
      <c r="G127" s="17" t="inlineStr">
        <is>
          <t>3_100330552</t>
        </is>
      </c>
      <c r="H127" s="636" t="n"/>
      <c r="I127" s="17" t="n"/>
      <c r="J127" s="767" t="inlineStr">
        <is>
          <t>млн.м3</t>
        </is>
      </c>
    </row>
    <row r="128" ht="18.75" customHeight="1" s="904">
      <c r="B128" s="766" t="n"/>
      <c r="C128" s="769" t="inlineStr">
        <is>
          <t xml:space="preserve">         Переработка попутного нефтяного газа ООО "Газпром ГНП холдинг"</t>
        </is>
      </c>
      <c r="D128" s="15" t="n"/>
      <c r="E128" s="15" t="n"/>
      <c r="F128" s="16" t="n"/>
      <c r="G128" s="17" t="inlineStr">
        <is>
          <t>3_100330551</t>
        </is>
      </c>
      <c r="H128" s="636" t="n"/>
      <c r="I128" s="17" t="n"/>
      <c r="J128" s="767" t="inlineStr">
        <is>
          <t>тыс.т</t>
        </is>
      </c>
    </row>
    <row r="129" ht="25.5" customHeight="1" s="904">
      <c r="B129" s="766" t="n"/>
      <c r="C129" s="769" t="inlineStr">
        <is>
          <t xml:space="preserve">         Производство продукции (собственность ООО "Газпром ГНП Холдинг")</t>
        </is>
      </c>
      <c r="D129" s="15" t="n"/>
      <c r="E129" s="15" t="n"/>
      <c r="F129" s="16" t="n"/>
      <c r="G129" s="17" t="n"/>
      <c r="H129" s="636" t="n"/>
      <c r="I129" s="17" t="n"/>
      <c r="J129" s="767" t="n"/>
    </row>
    <row r="130" ht="18.75" customHeight="1" s="904">
      <c r="B130" s="766" t="n"/>
      <c r="C130" s="769" t="inlineStr">
        <is>
          <t xml:space="preserve">            Стабильный газ.конд-т - валовый</t>
        </is>
      </c>
      <c r="D130" s="15" t="n"/>
      <c r="E130" s="15" t="n"/>
      <c r="F130" s="16" t="n"/>
      <c r="G130" s="17" t="inlineStr">
        <is>
          <t>3_100330582</t>
        </is>
      </c>
      <c r="H130" s="636" t="n"/>
      <c r="I130" s="17" t="n"/>
      <c r="J130" s="767" t="inlineStr">
        <is>
          <t>тыс.т</t>
        </is>
      </c>
    </row>
    <row r="131" ht="18.75" customHeight="1" s="904">
      <c r="B131" s="766" t="n"/>
      <c r="C131" s="769" t="inlineStr">
        <is>
          <t xml:space="preserve">            Стабильный газ.конд-т - товарный</t>
        </is>
      </c>
      <c r="D131" s="15" t="n"/>
      <c r="E131" s="15" t="n"/>
      <c r="F131" s="16" t="n"/>
      <c r="G131" s="17" t="inlineStr">
        <is>
          <t>3_100330582</t>
        </is>
      </c>
      <c r="H131" s="636" t="n"/>
      <c r="I131" s="17" t="n"/>
      <c r="J131" s="767" t="inlineStr">
        <is>
          <t>тыс.т</t>
        </is>
      </c>
    </row>
    <row r="132" ht="18.75" customHeight="1" s="904">
      <c r="B132" s="766" t="n"/>
      <c r="C132" s="769" t="inlineStr">
        <is>
          <t xml:space="preserve">            ШФЛУ</t>
        </is>
      </c>
      <c r="D132" s="15" t="n"/>
      <c r="E132" s="15" t="n"/>
      <c r="F132" s="16" t="n"/>
      <c r="G132" s="17" t="n"/>
      <c r="H132" s="636" t="n"/>
      <c r="I132" s="17" t="n"/>
      <c r="J132" s="767" t="inlineStr">
        <is>
          <t>тыс.т</t>
        </is>
      </c>
    </row>
    <row r="133" ht="18.75" customHeight="1" s="904">
      <c r="B133" s="766" t="n"/>
      <c r="C133" s="769" t="inlineStr">
        <is>
          <t xml:space="preserve">            Газы углеводородные сжиженные</t>
        </is>
      </c>
      <c r="D133" s="15" t="n"/>
      <c r="E133" s="15" t="n"/>
      <c r="F133" s="16" t="n"/>
      <c r="G133" s="17" t="inlineStr">
        <is>
          <t>3_100332288</t>
        </is>
      </c>
      <c r="H133" s="636" t="n"/>
      <c r="I133" s="17" t="n"/>
      <c r="J133" s="767" t="inlineStr">
        <is>
          <t>тыс.т</t>
        </is>
      </c>
    </row>
    <row r="134" ht="18.75" customHeight="1" s="904">
      <c r="B134" s="766" t="n"/>
      <c r="C134" s="769" t="inlineStr">
        <is>
          <t xml:space="preserve">            Газ горюч.природ.сух.отбензиненный</t>
        </is>
      </c>
      <c r="D134" s="15" t="n"/>
      <c r="E134" s="15" t="n"/>
      <c r="F134" s="16" t="n"/>
      <c r="G134" s="17" t="inlineStr">
        <is>
          <t>3_100330574</t>
        </is>
      </c>
      <c r="H134" s="636" t="n"/>
      <c r="I134" s="17" t="n"/>
      <c r="J134" s="767" t="inlineStr">
        <is>
          <t>млн.м3</t>
        </is>
      </c>
    </row>
    <row r="135" ht="18.75" customHeight="1" s="904">
      <c r="B135" s="766" t="n"/>
      <c r="C135" s="769" t="inlineStr">
        <is>
          <t xml:space="preserve">            Газ горюч.природ.сух.отбензиненный</t>
        </is>
      </c>
      <c r="D135" s="15" t="n"/>
      <c r="E135" s="15" t="n"/>
      <c r="F135" s="16" t="n"/>
      <c r="G135" s="17" t="inlineStr">
        <is>
          <t>3_100330573</t>
        </is>
      </c>
      <c r="H135" s="636" t="n"/>
      <c r="I135" s="17" t="n"/>
      <c r="J135" s="767" t="inlineStr">
        <is>
          <t>тыс.т</t>
        </is>
      </c>
    </row>
    <row r="136" ht="18.75" customHeight="1" s="904">
      <c r="B136" s="766" t="n"/>
      <c r="C136" s="788" t="inlineStr">
        <is>
          <t>Комплекс Уренгойский ЗПКТ-Сургутский ЗСК  и привлеченные мощности</t>
        </is>
      </c>
      <c r="D136" s="15" t="n"/>
      <c r="E136" s="15" t="n"/>
      <c r="F136" s="16" t="n"/>
      <c r="G136" s="17" t="n"/>
      <c r="H136" s="636" t="n"/>
      <c r="I136" s="17" t="n"/>
      <c r="J136" s="767" t="n"/>
    </row>
    <row r="137" ht="18.75" customHeight="1" s="904">
      <c r="B137" s="766" t="n"/>
      <c r="C137" s="769" t="inlineStr">
        <is>
          <t xml:space="preserve">   Поставка сырья, всего</t>
        </is>
      </c>
      <c r="D137" s="15" t="n"/>
      <c r="E137" s="15" t="n"/>
      <c r="F137" s="16" t="n"/>
      <c r="G137" s="17" t="inlineStr">
        <is>
          <t>4_100335853</t>
        </is>
      </c>
      <c r="H137" s="636" t="n"/>
      <c r="I137" s="17" t="n"/>
      <c r="J137" s="767" t="inlineStr">
        <is>
          <t>тыс.т</t>
        </is>
      </c>
    </row>
    <row r="138" ht="25.5" customHeight="1" s="904">
      <c r="B138" s="766" t="n"/>
      <c r="C138" s="769" t="inlineStr">
        <is>
          <t xml:space="preserve">      Поставка (покупка) сырья в собственность Газпром переработка у Газпром добыча Уренгой</t>
        </is>
      </c>
      <c r="D138" s="15" t="n"/>
      <c r="E138" s="15" t="n"/>
      <c r="F138" s="16" t="n"/>
      <c r="G138" s="17" t="inlineStr">
        <is>
          <t>4_0100333682+4_0100333678</t>
        </is>
      </c>
      <c r="H138" s="636" t="n"/>
      <c r="I138" s="17" t="n"/>
      <c r="J138" s="767" t="inlineStr">
        <is>
          <t>тыс.т</t>
        </is>
      </c>
    </row>
    <row r="139" ht="18.75" customHeight="1" s="904">
      <c r="B139" s="766" t="n"/>
      <c r="C139" s="769" t="inlineStr">
        <is>
          <t xml:space="preserve">         конденсата газового нестабильного</t>
        </is>
      </c>
      <c r="D139" s="15" t="n"/>
      <c r="E139" s="15" t="n"/>
      <c r="F139" s="16" t="n"/>
      <c r="G139" s="17" t="inlineStr">
        <is>
          <t>4_100333682</t>
        </is>
      </c>
      <c r="H139" s="636" t="n"/>
      <c r="I139" s="17" t="n"/>
      <c r="J139" s="767" t="inlineStr">
        <is>
          <t>тыс.т</t>
        </is>
      </c>
    </row>
    <row r="140" ht="18.75" customHeight="1" s="904">
      <c r="B140" s="766" t="n"/>
      <c r="C140" s="769" t="inlineStr">
        <is>
          <t xml:space="preserve">         нефти</t>
        </is>
      </c>
      <c r="D140" s="15" t="n"/>
      <c r="E140" s="15" t="n"/>
      <c r="F140" s="16" t="n"/>
      <c r="G140" s="17" t="inlineStr">
        <is>
          <t>4_100333678</t>
        </is>
      </c>
      <c r="H140" s="636" t="n"/>
      <c r="I140" s="17" t="n"/>
      <c r="J140" s="767" t="inlineStr">
        <is>
          <t>тыс.т</t>
        </is>
      </c>
    </row>
    <row r="141" ht="25.5" customHeight="1" s="904">
      <c r="B141" s="766" t="n"/>
      <c r="C141" s="769" t="inlineStr">
        <is>
          <t xml:space="preserve">      Поставка (покупка) конденсата газового нестабильного,  собственность ПАО "Газпром"</t>
        </is>
      </c>
      <c r="D141" s="15" t="n"/>
      <c r="E141" s="15" t="n"/>
      <c r="F141" s="16" t="n"/>
      <c r="G141" s="17">
        <f>G142+G144+G145+G148+G150+G152+G153+G147+G154</f>
        <v/>
      </c>
      <c r="H141" s="636" t="n"/>
      <c r="I141" s="17" t="n"/>
      <c r="J141" s="767" t="inlineStr">
        <is>
          <t>тыс.т</t>
        </is>
      </c>
    </row>
    <row r="142" ht="18.75" customHeight="1" s="904">
      <c r="B142" s="766" t="n"/>
      <c r="C142" s="769" t="inlineStr">
        <is>
          <t xml:space="preserve">         Ямбургское НГКМ</t>
        </is>
      </c>
      <c r="D142" s="15" t="n"/>
      <c r="E142" s="15" t="n"/>
      <c r="F142" s="16" t="n"/>
      <c r="G142" s="17" t="inlineStr">
        <is>
          <t>4_100331803</t>
        </is>
      </c>
      <c r="H142" s="636" t="n"/>
      <c r="I142" s="17" t="n"/>
      <c r="J142" s="767" t="inlineStr">
        <is>
          <t>тыс.т</t>
        </is>
      </c>
    </row>
    <row r="143" ht="18.75" customHeight="1" s="904">
      <c r="B143" s="766" t="n"/>
      <c r="C143" s="769" t="inlineStr">
        <is>
          <t xml:space="preserve">            в т.ч.  на мощности ПАО "НОВАТЭК" на процессинг</t>
        </is>
      </c>
      <c r="D143" s="15" t="n"/>
      <c r="E143" s="15" t="n"/>
      <c r="F143" s="16" t="n"/>
      <c r="G143" s="17" t="inlineStr">
        <is>
          <t>4_100335352</t>
        </is>
      </c>
      <c r="H143" s="636" t="n"/>
      <c r="I143" s="17" t="n"/>
      <c r="J143" s="767" t="inlineStr">
        <is>
          <t>тыс.т</t>
        </is>
      </c>
    </row>
    <row r="144" ht="18.75" customHeight="1" s="904">
      <c r="B144" s="766" t="n"/>
      <c r="C144" s="769" t="inlineStr">
        <is>
          <t xml:space="preserve">         Заполярное НГКМ</t>
        </is>
      </c>
      <c r="D144" s="15" t="n"/>
      <c r="E144" s="15" t="n"/>
      <c r="F144" s="16" t="n"/>
      <c r="G144" s="17" t="inlineStr">
        <is>
          <t>4_100331802</t>
        </is>
      </c>
      <c r="H144" s="636" t="n"/>
      <c r="I144" s="17" t="n"/>
      <c r="J144" s="767" t="inlineStr">
        <is>
          <t>тыс.т</t>
        </is>
      </c>
    </row>
    <row r="145" ht="18.75" customHeight="1" s="904">
      <c r="B145" s="766" t="n"/>
      <c r="C145" s="769" t="inlineStr">
        <is>
          <t xml:space="preserve">         Уренгойское НГКМ</t>
        </is>
      </c>
      <c r="D145" s="15" t="n"/>
      <c r="E145" s="15" t="n"/>
      <c r="F145" s="16" t="n"/>
      <c r="G145" s="17" t="inlineStr">
        <is>
          <t>4_100331805</t>
        </is>
      </c>
      <c r="H145" s="636" t="n"/>
      <c r="I145" s="17" t="n"/>
      <c r="J145" s="767" t="inlineStr">
        <is>
          <t>тыс.т</t>
        </is>
      </c>
    </row>
    <row r="146" ht="18.75" customHeight="1" s="904">
      <c r="B146" s="766" t="n"/>
      <c r="C146" s="769" t="inlineStr">
        <is>
          <t xml:space="preserve">            в т.ч. поставка на СЗСК</t>
        </is>
      </c>
      <c r="D146" s="15" t="n"/>
      <c r="E146" s="15" t="n"/>
      <c r="F146" s="16" t="n"/>
      <c r="G146" s="17" t="inlineStr">
        <is>
          <t>4_100335334</t>
        </is>
      </c>
      <c r="H146" s="636" t="n"/>
      <c r="I146" s="17" t="n"/>
      <c r="J146" s="767" t="inlineStr">
        <is>
          <t>тыс.т</t>
        </is>
      </c>
    </row>
    <row r="147" ht="18.75" customHeight="1" s="904">
      <c r="B147" s="766" t="n"/>
      <c r="C147" s="769" t="inlineStr">
        <is>
          <t xml:space="preserve">         C5+ от подготовки газа деэтанизации</t>
        </is>
      </c>
      <c r="D147" s="15" t="n"/>
      <c r="E147" s="15" t="n"/>
      <c r="F147" s="16" t="n"/>
      <c r="G147" s="17" t="inlineStr">
        <is>
          <t>4_100337100</t>
        </is>
      </c>
      <c r="H147" s="636" t="n"/>
      <c r="I147" s="17" t="n"/>
      <c r="J147" s="767" t="inlineStr">
        <is>
          <t>тыс.т</t>
        </is>
      </c>
    </row>
    <row r="148" ht="18.75" customHeight="1" s="904">
      <c r="B148" s="766" t="n"/>
      <c r="C148" s="769" t="inlineStr">
        <is>
          <t xml:space="preserve">         Ен-Яхинское НГКМ</t>
        </is>
      </c>
      <c r="D148" s="15" t="n"/>
      <c r="E148" s="15" t="n"/>
      <c r="F148" s="16" t="n"/>
      <c r="G148" s="17" t="inlineStr">
        <is>
          <t>4_100331806</t>
        </is>
      </c>
      <c r="H148" s="636" t="n"/>
      <c r="I148" s="17" t="n"/>
      <c r="J148" s="767" t="inlineStr">
        <is>
          <t>тыс.т</t>
        </is>
      </c>
    </row>
    <row r="149" ht="18.75" customHeight="1" s="904">
      <c r="B149" s="766" t="n"/>
      <c r="C149" s="769" t="inlineStr">
        <is>
          <t xml:space="preserve">            в т.ч.  на мощности ПАО "НОВАТЭК" на процессинг</t>
        </is>
      </c>
      <c r="D149" s="15" t="n"/>
      <c r="E149" s="15" t="n"/>
      <c r="F149" s="16" t="n"/>
      <c r="G149" s="17" t="inlineStr">
        <is>
          <t>4_100335353</t>
        </is>
      </c>
      <c r="H149" s="636" t="n"/>
      <c r="I149" s="17" t="n"/>
      <c r="J149" s="767" t="inlineStr">
        <is>
          <t>тыс.т</t>
        </is>
      </c>
    </row>
    <row r="150" ht="24" customHeight="1" s="904">
      <c r="B150" s="766" t="n"/>
      <c r="C150" s="769" t="inlineStr">
        <is>
          <t xml:space="preserve">         Ачимовские отл.</t>
        </is>
      </c>
      <c r="D150" s="15" t="n"/>
      <c r="E150" s="15" t="n"/>
      <c r="F150" s="16" t="n"/>
      <c r="G150" s="17" t="inlineStr">
        <is>
          <t>4_100331807+4_100331808+4_100331809+4_100331810</t>
        </is>
      </c>
      <c r="H150" s="636" t="n"/>
      <c r="I150" s="17" t="n"/>
      <c r="J150" s="767" t="inlineStr">
        <is>
          <t>тыс.т</t>
        </is>
      </c>
    </row>
    <row r="151" ht="18.75" customHeight="1" s="904">
      <c r="B151" s="766" t="n"/>
      <c r="C151" s="769" t="inlineStr">
        <is>
          <t xml:space="preserve">            в т.ч.  на мощности мобильных уст. на процессинг</t>
        </is>
      </c>
      <c r="D151" s="15" t="n"/>
      <c r="E151" s="15" t="n"/>
      <c r="F151" s="16" t="n"/>
      <c r="G151" s="17" t="inlineStr">
        <is>
          <t>4_100335355</t>
        </is>
      </c>
      <c r="H151" s="636" t="n"/>
      <c r="I151" s="17" t="n"/>
      <c r="J151" s="767" t="inlineStr">
        <is>
          <t>тыс.т</t>
        </is>
      </c>
    </row>
    <row r="152" ht="18.75" customHeight="1" s="904">
      <c r="B152" s="766" t="n"/>
      <c r="C152" s="769" t="inlineStr">
        <is>
          <t xml:space="preserve">         Береговое НГКМ</t>
        </is>
      </c>
      <c r="D152" s="15" t="n"/>
      <c r="E152" s="15" t="n"/>
      <c r="F152" s="16" t="n"/>
      <c r="G152" s="17" t="inlineStr">
        <is>
          <t>4_100331811</t>
        </is>
      </c>
      <c r="H152" s="636" t="n"/>
      <c r="I152" s="17" t="n"/>
      <c r="J152" s="767" t="inlineStr">
        <is>
          <t>тыс.т</t>
        </is>
      </c>
    </row>
    <row r="153" ht="18.75" customHeight="1" s="904">
      <c r="B153" s="766" t="n"/>
      <c r="C153" s="769" t="inlineStr">
        <is>
          <t xml:space="preserve">         Западно-Таркосалинское НГКМ</t>
        </is>
      </c>
      <c r="D153" s="15" t="n"/>
      <c r="E153" s="15" t="n"/>
      <c r="F153" s="16" t="n"/>
      <c r="G153" s="17" t="inlineStr">
        <is>
          <t>4_100331812</t>
        </is>
      </c>
      <c r="H153" s="636" t="n"/>
      <c r="I153" s="17" t="n"/>
      <c r="J153" s="767" t="inlineStr">
        <is>
          <t>тыс.т</t>
        </is>
      </c>
    </row>
    <row r="154" ht="24" customHeight="1" s="904">
      <c r="B154" s="766" t="n"/>
      <c r="C154" s="769" t="inlineStr">
        <is>
          <t xml:space="preserve">         НК включая ШФЛУ по ДРОД</t>
        </is>
      </c>
      <c r="D154" s="15" t="n"/>
      <c r="E154" s="15" t="n"/>
      <c r="F154" s="16" t="n"/>
      <c r="G154" s="17" t="inlineStr">
        <is>
          <t>4_100335855+4_100335856+4_100335857+4_100335859+4_100335860</t>
        </is>
      </c>
      <c r="H154" s="636" t="n"/>
      <c r="I154" s="17" t="n"/>
      <c r="J154" s="767" t="inlineStr">
        <is>
          <t>тыс.т</t>
        </is>
      </c>
    </row>
    <row r="155" ht="18.75" customHeight="1" s="904">
      <c r="B155" s="766" t="n"/>
      <c r="C155" s="769" t="inlineStr">
        <is>
          <t xml:space="preserve">      Поставка (покупка) нефти, собственность Газпром</t>
        </is>
      </c>
      <c r="D155" s="15" t="n"/>
      <c r="E155" s="15" t="n"/>
      <c r="F155" s="16" t="n"/>
      <c r="G155" s="17">
        <f>G156+G157</f>
        <v/>
      </c>
      <c r="H155" s="636" t="n"/>
      <c r="I155" s="17" t="n"/>
      <c r="J155" s="767" t="inlineStr">
        <is>
          <t>тыс.т</t>
        </is>
      </c>
    </row>
    <row r="156" ht="18.75" customHeight="1" s="904">
      <c r="B156" s="766" t="n"/>
      <c r="C156" s="769" t="inlineStr">
        <is>
          <t xml:space="preserve">         в т.ч. на переработку на СЗСК</t>
        </is>
      </c>
      <c r="D156" s="15" t="n"/>
      <c r="E156" s="15" t="n"/>
      <c r="F156" s="16" t="n"/>
      <c r="G156" s="17" t="inlineStr">
        <is>
          <t>4_100331815</t>
        </is>
      </c>
      <c r="H156" s="636" t="n"/>
      <c r="I156" s="17" t="n"/>
      <c r="J156" s="767" t="inlineStr">
        <is>
          <t>тыс.т</t>
        </is>
      </c>
    </row>
    <row r="157" ht="18.75" customHeight="1" s="904">
      <c r="B157" s="766" t="n"/>
      <c r="C157" s="769" t="inlineStr">
        <is>
          <t xml:space="preserve">         в т.ч. в  трубопровод  Уренгой-Пурпэ (альтернат. схема)</t>
        </is>
      </c>
      <c r="D157" s="15" t="n"/>
      <c r="E157" s="15" t="n"/>
      <c r="F157" s="16" t="n"/>
      <c r="G157" s="17" t="inlineStr">
        <is>
          <t>4_100331963</t>
        </is>
      </c>
      <c r="H157" s="636" t="n"/>
      <c r="I157" s="17" t="n"/>
      <c r="J157" s="767" t="inlineStr">
        <is>
          <t>тыс.т</t>
        </is>
      </c>
    </row>
    <row r="158" ht="18.75" customHeight="1" s="904">
      <c r="B158" s="766" t="n"/>
      <c r="C158" s="769" t="inlineStr">
        <is>
          <t xml:space="preserve">      Справочно:</t>
        </is>
      </c>
      <c r="D158" s="15" t="n"/>
      <c r="E158" s="15" t="n"/>
      <c r="F158" s="16" t="n"/>
      <c r="G158" s="17" t="n"/>
      <c r="H158" s="636" t="n"/>
      <c r="I158" s="17" t="n"/>
      <c r="J158" s="767" t="n"/>
    </row>
    <row r="159" ht="18.75" customHeight="1" s="904">
      <c r="B159" s="766" t="n"/>
      <c r="C159" s="769" t="inlineStr">
        <is>
          <t xml:space="preserve">         Поставка конденсата в альт. схему, ГДУ в адрес трейдера</t>
        </is>
      </c>
      <c r="D159" s="15" t="n"/>
      <c r="E159" s="15" t="n"/>
      <c r="F159" s="16" t="n"/>
      <c r="G159" s="17" t="inlineStr">
        <is>
          <t>4_100335903</t>
        </is>
      </c>
      <c r="H159" s="636" t="n"/>
      <c r="I159" s="17" t="n"/>
      <c r="J159" s="767" t="inlineStr">
        <is>
          <t>тыс.т</t>
        </is>
      </c>
    </row>
    <row r="160" ht="18.75" customHeight="1" s="904">
      <c r="B160" s="766" t="n"/>
      <c r="C160" s="769" t="inlineStr">
        <is>
          <t xml:space="preserve">         Поставка нефти в альт. схему, ГДУ в адрес трейдера:</t>
        </is>
      </c>
      <c r="D160" s="15" t="n"/>
      <c r="E160" s="15" t="n"/>
      <c r="F160" s="16" t="n"/>
      <c r="G160" s="17" t="inlineStr">
        <is>
          <t>4_100335907</t>
        </is>
      </c>
      <c r="H160" s="636" t="n"/>
      <c r="I160" s="17" t="n"/>
      <c r="J160" s="767" t="inlineStr">
        <is>
          <t>тыс.т</t>
        </is>
      </c>
    </row>
    <row r="161" ht="18.75" customHeight="1" s="904">
      <c r="B161" s="766" t="n"/>
      <c r="C161" s="769" t="inlineStr">
        <is>
          <t xml:space="preserve">      Справочно:</t>
        </is>
      </c>
      <c r="D161" s="15" t="n"/>
      <c r="E161" s="15" t="n"/>
      <c r="F161" s="16" t="n"/>
      <c r="G161" s="17" t="n"/>
      <c r="H161" s="636" t="n"/>
      <c r="I161" s="17" t="n"/>
      <c r="J161" s="767" t="n"/>
    </row>
    <row r="162" ht="18.75" customHeight="1" s="904">
      <c r="B162" s="766" t="n"/>
      <c r="C162" s="769" t="inlineStr">
        <is>
          <t xml:space="preserve">         Заполнение конденсатопровода Ямбург - Уренгой</t>
        </is>
      </c>
      <c r="D162" s="15" t="n"/>
      <c r="E162" s="15" t="n"/>
      <c r="F162" s="16" t="n"/>
      <c r="G162" s="17" t="inlineStr">
        <is>
          <t>4_100331822</t>
        </is>
      </c>
      <c r="H162" s="636" t="n"/>
      <c r="I162" s="17" t="n"/>
      <c r="J162" s="767" t="inlineStr">
        <is>
          <t>тыс.т</t>
        </is>
      </c>
    </row>
    <row r="163" ht="18.75" customHeight="1" s="904">
      <c r="B163" s="766" t="n"/>
      <c r="C163" s="769" t="inlineStr">
        <is>
          <t xml:space="preserve">         Вытеснение конденсатопровода Ямбург  - Уренгой</t>
        </is>
      </c>
      <c r="D163" s="15" t="n"/>
      <c r="E163" s="15" t="n"/>
      <c r="F163" s="16" t="n"/>
      <c r="G163" s="17" t="inlineStr">
        <is>
          <t>4_100331823</t>
        </is>
      </c>
      <c r="H163" s="636" t="n"/>
      <c r="I163" s="17" t="n"/>
      <c r="J163" s="767" t="inlineStr">
        <is>
          <t>тыс.т</t>
        </is>
      </c>
    </row>
    <row r="164" ht="18.75" customHeight="1" s="904">
      <c r="B164" s="766" t="n"/>
      <c r="C164" s="769" t="inlineStr">
        <is>
          <t xml:space="preserve">         Заполнение систем объектов альтернативной схемы</t>
        </is>
      </c>
      <c r="D164" s="15" t="n"/>
      <c r="E164" s="15" t="n"/>
      <c r="F164" s="16" t="n"/>
      <c r="G164" s="17" t="inlineStr">
        <is>
          <t>4_100331818</t>
        </is>
      </c>
      <c r="H164" s="636" t="n"/>
      <c r="I164" s="17" t="n"/>
      <c r="J164" s="767" t="inlineStr">
        <is>
          <t>тыс.т</t>
        </is>
      </c>
    </row>
    <row r="165" ht="18.75" customHeight="1" s="904">
      <c r="B165" s="766" t="n"/>
      <c r="C165" s="769" t="inlineStr">
        <is>
          <t xml:space="preserve">         Вытеснение из систем объектов альтернативной схемы</t>
        </is>
      </c>
      <c r="D165" s="15" t="n"/>
      <c r="E165" s="15" t="n"/>
      <c r="F165" s="16" t="n"/>
      <c r="G165" s="17" t="inlineStr">
        <is>
          <t>4_100331819</t>
        </is>
      </c>
      <c r="H165" s="636" t="n"/>
      <c r="I165" s="17" t="n"/>
      <c r="J165" s="767" t="inlineStr">
        <is>
          <t>тыс.т</t>
        </is>
      </c>
    </row>
    <row r="166" ht="18.75" customHeight="1" s="904">
      <c r="B166" s="766" t="n"/>
      <c r="C166" s="769" t="inlineStr">
        <is>
          <t xml:space="preserve">         Заполнение трубопровода Уренгой-Сургут</t>
        </is>
      </c>
      <c r="D166" s="15" t="n"/>
      <c r="E166" s="15" t="n"/>
      <c r="F166" s="16" t="n"/>
      <c r="G166" s="17" t="inlineStr">
        <is>
          <t>4_100331824</t>
        </is>
      </c>
      <c r="H166" s="636" t="n"/>
      <c r="I166" s="17" t="n"/>
      <c r="J166" s="767" t="inlineStr">
        <is>
          <t>тыс.т</t>
        </is>
      </c>
    </row>
    <row r="167" ht="18.75" customHeight="1" s="904">
      <c r="B167" s="766" t="n"/>
      <c r="C167" s="769" t="inlineStr">
        <is>
          <t xml:space="preserve">         Вытеснение трубопровода Уренгой-Сургут</t>
        </is>
      </c>
      <c r="D167" s="15" t="n"/>
      <c r="E167" s="15" t="n"/>
      <c r="F167" s="16" t="n"/>
      <c r="G167" s="17" t="inlineStr">
        <is>
          <t>4_100331825</t>
        </is>
      </c>
      <c r="H167" s="636" t="n"/>
      <c r="I167" s="17" t="n"/>
      <c r="J167" s="767" t="inlineStr">
        <is>
          <t>тыс.т</t>
        </is>
      </c>
    </row>
    <row r="168" ht="25.5" customHeight="1" s="904">
      <c r="B168" s="766" t="n"/>
      <c r="C168" s="769" t="inlineStr">
        <is>
          <t xml:space="preserve">         Транспортировка НК (собств. ПАО "Газпром") по конденсатопроводу Заполярное НГКМ - Уренгой</t>
        </is>
      </c>
      <c r="D168" s="15" t="n"/>
      <c r="E168" s="15" t="n"/>
      <c r="F168" s="16" t="n"/>
      <c r="G168" s="17" t="inlineStr">
        <is>
          <t>4_100331802</t>
        </is>
      </c>
      <c r="H168" s="636" t="n"/>
      <c r="I168" s="17" t="n"/>
      <c r="J168" s="767" t="inlineStr">
        <is>
          <t>тыс.т</t>
        </is>
      </c>
    </row>
    <row r="169" ht="25.5" customHeight="1" s="904">
      <c r="B169" s="766" t="n"/>
      <c r="C169" s="769" t="inlineStr">
        <is>
          <t xml:space="preserve">   Переработка сырья на УЗПКТ-СЗСК и привлеченных мощностях, собственность ПАО "Газпром" всего</t>
        </is>
      </c>
      <c r="D169" s="15" t="n"/>
      <c r="E169" s="15" t="n"/>
      <c r="F169" s="16" t="n"/>
      <c r="G169" s="17" t="inlineStr">
        <is>
          <t>4_100331826</t>
        </is>
      </c>
      <c r="H169" s="636" t="n"/>
      <c r="I169" s="17" t="n"/>
      <c r="J169" s="767" t="inlineStr">
        <is>
          <t>тыс.т</t>
        </is>
      </c>
    </row>
    <row r="170" ht="25.5" customHeight="1" s="904">
      <c r="B170" s="766" t="n"/>
      <c r="C170" s="769" t="inlineStr">
        <is>
          <t xml:space="preserve">      Переработка конденсата газового нестабильного,  собственность Газпром</t>
        </is>
      </c>
      <c r="D170" s="15" t="n"/>
      <c r="E170" s="15" t="n"/>
      <c r="F170" s="16" t="n"/>
      <c r="G170" s="17">
        <f>G171+G172+G173+G176+G177+G178+G179+G175+G180</f>
        <v/>
      </c>
      <c r="H170" s="636" t="n"/>
      <c r="I170" s="17" t="n"/>
      <c r="J170" s="767" t="inlineStr">
        <is>
          <t>тыс.т</t>
        </is>
      </c>
    </row>
    <row r="171" ht="18.75" customHeight="1" s="904">
      <c r="B171" s="766" t="n"/>
      <c r="C171" s="769" t="inlineStr">
        <is>
          <t xml:space="preserve">         Ямбургское НГКМ</t>
        </is>
      </c>
      <c r="D171" s="15" t="n"/>
      <c r="E171" s="15" t="n"/>
      <c r="F171" s="16" t="n"/>
      <c r="G171" s="17" t="inlineStr">
        <is>
          <t>4_100331830+4_100335352</t>
        </is>
      </c>
      <c r="H171" s="636" t="n"/>
      <c r="I171" s="17" t="n"/>
      <c r="J171" s="767" t="inlineStr">
        <is>
          <t>тыс.т</t>
        </is>
      </c>
    </row>
    <row r="172" ht="18.75" customHeight="1" s="904">
      <c r="B172" s="766" t="n"/>
      <c r="C172" s="769" t="inlineStr">
        <is>
          <t xml:space="preserve">         Заполярное НГКМ</t>
        </is>
      </c>
      <c r="D172" s="15" t="n"/>
      <c r="E172" s="15" t="n"/>
      <c r="F172" s="16" t="n"/>
      <c r="G172" s="17" t="inlineStr">
        <is>
          <t>4_100331829</t>
        </is>
      </c>
      <c r="H172" s="636" t="n"/>
      <c r="I172" s="17" t="n"/>
      <c r="J172" s="767" t="inlineStr">
        <is>
          <t>тыс.т</t>
        </is>
      </c>
    </row>
    <row r="173" ht="18.75" customHeight="1" s="904">
      <c r="B173" s="766" t="n"/>
      <c r="C173" s="769" t="inlineStr">
        <is>
          <t xml:space="preserve">         Уренгойское НГКМ</t>
        </is>
      </c>
      <c r="D173" s="15" t="n"/>
      <c r="E173" s="15" t="n"/>
      <c r="F173" s="16" t="n"/>
      <c r="G173" s="17" t="inlineStr">
        <is>
          <t>4_100331832</t>
        </is>
      </c>
      <c r="H173" s="636" t="n"/>
      <c r="I173" s="17" t="n"/>
      <c r="J173" s="767" t="inlineStr">
        <is>
          <t>тыс.т</t>
        </is>
      </c>
    </row>
    <row r="174" ht="18.75" customHeight="1" s="904">
      <c r="B174" s="766" t="n"/>
      <c r="C174" s="769" t="inlineStr">
        <is>
          <t xml:space="preserve">            в т.ч. переработка на СЗСК</t>
        </is>
      </c>
      <c r="D174" s="15" t="n"/>
      <c r="E174" s="15" t="n"/>
      <c r="F174" s="16" t="n"/>
      <c r="G174" s="17" t="inlineStr">
        <is>
          <t>4_100335335</t>
        </is>
      </c>
      <c r="H174" s="636" t="n"/>
      <c r="I174" s="17" t="n"/>
      <c r="J174" s="767" t="inlineStr">
        <is>
          <t>тыс.т</t>
        </is>
      </c>
    </row>
    <row r="175" ht="18.75" customHeight="1" s="904">
      <c r="B175" s="766" t="n"/>
      <c r="C175" s="769" t="inlineStr">
        <is>
          <t xml:space="preserve">         C5+ от подготовки газа деэтанизации</t>
        </is>
      </c>
      <c r="D175" s="15" t="n"/>
      <c r="E175" s="15" t="n"/>
      <c r="F175" s="16" t="n"/>
      <c r="G175" s="17" t="inlineStr">
        <is>
          <t>4_100337100</t>
        </is>
      </c>
      <c r="H175" s="636" t="n"/>
      <c r="I175" s="17" t="n"/>
      <c r="J175" s="767" t="inlineStr">
        <is>
          <t>тыс.т</t>
        </is>
      </c>
    </row>
    <row r="176" ht="18.75" customHeight="1" s="904">
      <c r="B176" s="766" t="n"/>
      <c r="C176" s="769" t="inlineStr">
        <is>
          <t xml:space="preserve">         Ен-Яхинское НГКМ</t>
        </is>
      </c>
      <c r="D176" s="15" t="n"/>
      <c r="E176" s="15" t="n"/>
      <c r="F176" s="16" t="n"/>
      <c r="G176" s="17" t="inlineStr">
        <is>
          <t>4_100331833</t>
        </is>
      </c>
      <c r="H176" s="636" t="n"/>
      <c r="I176" s="17" t="n"/>
      <c r="J176" s="767" t="inlineStr">
        <is>
          <t>тыс.т</t>
        </is>
      </c>
    </row>
    <row r="177" ht="18.75" customHeight="1" s="904">
      <c r="B177" s="766" t="n"/>
      <c r="C177" s="769" t="inlineStr">
        <is>
          <t xml:space="preserve">         Ачимовские отл.</t>
        </is>
      </c>
      <c r="D177" s="15" t="n"/>
      <c r="E177" s="15" t="n"/>
      <c r="F177" s="16" t="n"/>
      <c r="G177" s="17" t="inlineStr">
        <is>
          <t>4_100335354+4_100335355</t>
        </is>
      </c>
      <c r="H177" s="636" t="n"/>
      <c r="I177" s="17" t="n"/>
      <c r="J177" s="767" t="inlineStr">
        <is>
          <t>тыс.т</t>
        </is>
      </c>
    </row>
    <row r="178" ht="18.75" customHeight="1" s="904">
      <c r="B178" s="766" t="n"/>
      <c r="C178" s="769" t="inlineStr">
        <is>
          <t xml:space="preserve">         Береговое НГКМ</t>
        </is>
      </c>
      <c r="D178" s="15" t="n"/>
      <c r="E178" s="15" t="n"/>
      <c r="F178" s="16" t="n"/>
      <c r="G178" s="17" t="inlineStr">
        <is>
          <t>4_100331835</t>
        </is>
      </c>
      <c r="H178" s="636" t="n"/>
      <c r="I178" s="17" t="n"/>
      <c r="J178" s="767" t="inlineStr">
        <is>
          <t>тыс.т</t>
        </is>
      </c>
    </row>
    <row r="179" ht="18.75" customHeight="1" s="904">
      <c r="B179" s="766" t="n"/>
      <c r="C179" s="769" t="inlineStr">
        <is>
          <t xml:space="preserve">         Западно-Таркосалинское НГКМ</t>
        </is>
      </c>
      <c r="D179" s="15" t="n"/>
      <c r="E179" s="15" t="n"/>
      <c r="F179" s="16" t="n"/>
      <c r="G179" s="17" t="inlineStr">
        <is>
          <t>4_100331836</t>
        </is>
      </c>
      <c r="H179" s="636" t="n"/>
      <c r="I179" s="17" t="n"/>
      <c r="J179" s="767" t="inlineStr">
        <is>
          <t>тыс.т</t>
        </is>
      </c>
    </row>
    <row r="180" ht="24" customHeight="1" s="904">
      <c r="B180" s="766" t="n"/>
      <c r="C180" s="769" t="inlineStr">
        <is>
          <t xml:space="preserve">         НК включая ШФЛУ по ДРОД</t>
        </is>
      </c>
      <c r="D180" s="15" t="n"/>
      <c r="E180" s="15" t="n"/>
      <c r="F180" s="16" t="n"/>
      <c r="G180" s="17" t="inlineStr">
        <is>
          <t>4_100335866+4_100335867+4_100335869+4_100335870+4_100335871</t>
        </is>
      </c>
      <c r="H180" s="636" t="n"/>
      <c r="I180" s="17" t="n"/>
      <c r="J180" s="767" t="inlineStr">
        <is>
          <t>тыс.т</t>
        </is>
      </c>
    </row>
    <row r="181" ht="25.5" customHeight="1" s="904">
      <c r="B181" s="766" t="n"/>
      <c r="C181" s="769" t="inlineStr">
        <is>
          <t>Переработка конденсата газового нестабильного на привлечённых мощностях, (собственность Газпром)</t>
        </is>
      </c>
      <c r="D181" s="15" t="n"/>
      <c r="E181" s="15" t="n"/>
      <c r="F181" s="16" t="n"/>
      <c r="G181" s="17" t="inlineStr">
        <is>
          <t>4_100335358+4_100335357</t>
        </is>
      </c>
      <c r="H181" s="636" t="n"/>
      <c r="I181" s="17" t="n"/>
      <c r="J181" s="767" t="inlineStr">
        <is>
          <t>тыс.т</t>
        </is>
      </c>
    </row>
    <row r="182" ht="18.75" customHeight="1" s="904">
      <c r="B182" s="766" t="n"/>
      <c r="C182" s="769" t="inlineStr">
        <is>
          <t xml:space="preserve">   в т.ч.  на мощности ПАО "НОВАТЭК" на процессинг</t>
        </is>
      </c>
      <c r="D182" s="15" t="n"/>
      <c r="E182" s="15" t="n"/>
      <c r="F182" s="16" t="n"/>
      <c r="G182" s="17" t="inlineStr">
        <is>
          <t>4_100335357</t>
        </is>
      </c>
      <c r="H182" s="636" t="n"/>
      <c r="I182" s="17" t="n"/>
      <c r="J182" s="767" t="inlineStr">
        <is>
          <t>тыс.т</t>
        </is>
      </c>
    </row>
    <row r="183" ht="18.75" customHeight="1" s="904">
      <c r="B183" s="766" t="n"/>
      <c r="C183" s="769" t="inlineStr">
        <is>
          <t xml:space="preserve">   на  мобильных уст. на процессинг</t>
        </is>
      </c>
      <c r="D183" s="15" t="n"/>
      <c r="E183" s="15" t="n"/>
      <c r="F183" s="16" t="n"/>
      <c r="G183" s="17" t="inlineStr">
        <is>
          <t>4_100335358</t>
        </is>
      </c>
      <c r="H183" s="636" t="n"/>
      <c r="I183" s="17" t="n"/>
      <c r="J183" s="767" t="inlineStr">
        <is>
          <t>тыс.т</t>
        </is>
      </c>
    </row>
    <row r="184" ht="18.75" customHeight="1" s="904">
      <c r="B184" s="766" t="n"/>
      <c r="C184" s="769" t="inlineStr">
        <is>
          <t xml:space="preserve">      Переработка нефти, собственность Газпром</t>
        </is>
      </c>
      <c r="D184" s="15" t="n"/>
      <c r="E184" s="15" t="n"/>
      <c r="F184" s="16" t="n"/>
      <c r="G184" s="17" t="inlineStr">
        <is>
          <t>4_100331837</t>
        </is>
      </c>
      <c r="H184" s="636" t="n"/>
      <c r="I184" s="17" t="n"/>
      <c r="J184" s="767" t="inlineStr">
        <is>
          <t>тыс.т</t>
        </is>
      </c>
    </row>
    <row r="185" ht="18.75" customHeight="1" s="904">
      <c r="B185" s="766" t="n"/>
      <c r="C185" s="769" t="inlineStr">
        <is>
          <t xml:space="preserve">         в т.ч. на СЗСК</t>
        </is>
      </c>
      <c r="D185" s="15" t="n"/>
      <c r="E185" s="15" t="n"/>
      <c r="F185" s="16" t="n"/>
      <c r="G185" s="17" t="inlineStr">
        <is>
          <t>4_100331838</t>
        </is>
      </c>
      <c r="H185" s="636" t="n"/>
      <c r="I185" s="17" t="n"/>
      <c r="J185" s="767" t="inlineStr">
        <is>
          <t>тыс.т</t>
        </is>
      </c>
    </row>
    <row r="186" ht="18.75" customHeight="1" s="904">
      <c r="B186" s="766" t="n"/>
      <c r="C186" s="769" t="inlineStr">
        <is>
          <t xml:space="preserve">         в т.ч нефть на НПС</t>
        </is>
      </c>
      <c r="D186" s="15" t="n"/>
      <c r="E186" s="15" t="n"/>
      <c r="F186" s="16" t="n"/>
      <c r="G186" s="17" t="inlineStr">
        <is>
          <t>4_100335093</t>
        </is>
      </c>
      <c r="H186" s="636" t="n"/>
      <c r="I186" s="17" t="n"/>
      <c r="J186" s="767" t="inlineStr">
        <is>
          <t>тыс.т</t>
        </is>
      </c>
    </row>
    <row r="187" ht="18.75" customHeight="1" s="904">
      <c r="B187" s="766" t="n"/>
      <c r="C187" s="769" t="inlineStr">
        <is>
          <t xml:space="preserve">   Присадки и добавки</t>
        </is>
      </c>
      <c r="D187" s="15" t="n"/>
      <c r="E187" s="15" t="n"/>
      <c r="F187" s="16" t="n"/>
      <c r="G187" s="17" t="n"/>
      <c r="H187" s="636" t="n"/>
      <c r="I187" s="17" t="n"/>
      <c r="J187" s="767" t="n"/>
    </row>
    <row r="188" ht="18.75" customHeight="1" s="904">
      <c r="B188" s="766" t="n"/>
      <c r="C188" s="769" t="inlineStr">
        <is>
          <t xml:space="preserve">      в т.ч. ЗПКТ</t>
        </is>
      </c>
      <c r="D188" s="15" t="n"/>
      <c r="E188" s="15" t="n"/>
      <c r="F188" s="16" t="n"/>
      <c r="G188" s="17" t="inlineStr">
        <is>
          <t>4_100331848</t>
        </is>
      </c>
      <c r="H188" s="636" t="n"/>
      <c r="I188" s="17" t="n"/>
      <c r="J188" s="767" t="inlineStr">
        <is>
          <t>тыс.т</t>
        </is>
      </c>
    </row>
    <row r="189" ht="18.75" customHeight="1" s="904">
      <c r="A189" s="787" t="n"/>
      <c r="B189" s="766" t="n"/>
      <c r="C189" s="769" t="inlineStr">
        <is>
          <t xml:space="preserve">      в т.ч. ЗСК</t>
        </is>
      </c>
      <c r="D189" s="15" t="n"/>
      <c r="E189" s="15" t="n"/>
      <c r="F189" s="16" t="n"/>
      <c r="G189" s="17" t="inlineStr">
        <is>
          <t>4_100331849-4_100335042</t>
        </is>
      </c>
      <c r="H189" s="636" t="n"/>
      <c r="I189" s="17" t="n"/>
      <c r="J189" s="767" t="inlineStr">
        <is>
          <t>тыс.т</t>
        </is>
      </c>
    </row>
    <row r="190" ht="18.75" customHeight="1" s="904">
      <c r="B190" s="766" t="n"/>
      <c r="C190" s="769" t="inlineStr">
        <is>
          <t xml:space="preserve">      МТБЭ</t>
        </is>
      </c>
      <c r="D190" s="15" t="n"/>
      <c r="E190" s="15" t="n"/>
      <c r="F190" s="16" t="n"/>
      <c r="G190" s="17" t="inlineStr">
        <is>
          <t>4_100335042</t>
        </is>
      </c>
      <c r="H190" s="636" t="n"/>
      <c r="I190" s="17" t="n"/>
      <c r="J190" s="767" t="inlineStr">
        <is>
          <t>тыс.т</t>
        </is>
      </c>
    </row>
    <row r="191" ht="18.75" customHeight="1" s="904">
      <c r="B191" s="766" t="n"/>
      <c r="C191" s="769" t="inlineStr">
        <is>
          <t xml:space="preserve">         в т.ч. ЗСК</t>
        </is>
      </c>
      <c r="D191" s="15" t="n"/>
      <c r="E191" s="15" t="n"/>
      <c r="F191" s="16" t="n"/>
      <c r="G191" s="17" t="inlineStr">
        <is>
          <t>4_100335042</t>
        </is>
      </c>
      <c r="H191" s="636" t="n"/>
      <c r="I191" s="17" t="n"/>
      <c r="J191" s="767" t="inlineStr">
        <is>
          <t>тыс.т</t>
        </is>
      </c>
    </row>
    <row r="192" ht="18.75" customHeight="1" s="904">
      <c r="B192" s="766" t="n"/>
      <c r="C192" s="769" t="inlineStr">
        <is>
          <t xml:space="preserve">   Потери</t>
        </is>
      </c>
      <c r="D192" s="15" t="n"/>
      <c r="E192" s="15" t="n"/>
      <c r="F192" s="16" t="n"/>
      <c r="G192" s="17" t="n"/>
      <c r="H192" s="636" t="n"/>
      <c r="I192" s="17" t="n"/>
      <c r="J192" s="767" t="n"/>
    </row>
    <row r="193" ht="18.75" customHeight="1" s="904">
      <c r="B193" s="766" t="n"/>
      <c r="C193" s="769" t="inlineStr">
        <is>
          <t xml:space="preserve">      в т.ч. ЗПКТ</t>
        </is>
      </c>
      <c r="D193" s="15" t="n"/>
      <c r="E193" s="15" t="n"/>
      <c r="F193" s="16" t="n"/>
      <c r="G193" s="17" t="inlineStr">
        <is>
          <t>4_100331851</t>
        </is>
      </c>
      <c r="H193" s="636" t="n"/>
      <c r="I193" s="17" t="n"/>
      <c r="J193" s="767" t="inlineStr">
        <is>
          <t>тыс.т</t>
        </is>
      </c>
    </row>
    <row r="194" ht="18.75" customHeight="1" s="904">
      <c r="B194" s="766" t="n"/>
      <c r="C194" s="769" t="inlineStr">
        <is>
          <t xml:space="preserve">      в т.ч. ЗСК</t>
        </is>
      </c>
      <c r="D194" s="15" t="n"/>
      <c r="E194" s="15" t="n"/>
      <c r="F194" s="16" t="n"/>
      <c r="G194" s="17" t="inlineStr">
        <is>
          <t>4_100331852</t>
        </is>
      </c>
      <c r="H194" s="636" t="n"/>
      <c r="I194" s="17" t="n"/>
      <c r="J194" s="767" t="inlineStr">
        <is>
          <t>тыс.т</t>
        </is>
      </c>
    </row>
    <row r="195" ht="18.75" customHeight="1" s="904">
      <c r="B195" s="766" t="n"/>
      <c r="C195" s="769" t="inlineStr">
        <is>
          <t xml:space="preserve">      в т.ч.  на мощностях  ПАО "НОВАТЭК"</t>
        </is>
      </c>
      <c r="D195" s="15" t="n"/>
      <c r="E195" s="15" t="n"/>
      <c r="F195" s="16" t="n"/>
      <c r="G195" s="17" t="inlineStr">
        <is>
          <t>4_100335361</t>
        </is>
      </c>
      <c r="H195" s="636" t="n"/>
      <c r="I195" s="17" t="n"/>
      <c r="J195" s="767" t="inlineStr">
        <is>
          <t>тыс.т</t>
        </is>
      </c>
    </row>
    <row r="196" ht="18.75" customHeight="1" s="904">
      <c r="B196" s="766" t="n"/>
      <c r="C196" s="769" t="inlineStr">
        <is>
          <t xml:space="preserve">      в т.ч.  на мобильных уст.</t>
        </is>
      </c>
      <c r="D196" s="15" t="n"/>
      <c r="E196" s="15" t="n"/>
      <c r="F196" s="16" t="n"/>
      <c r="G196" s="17" t="inlineStr">
        <is>
          <t>4_100335362</t>
        </is>
      </c>
      <c r="H196" s="636" t="n"/>
      <c r="I196" s="17" t="n"/>
      <c r="J196" s="767" t="inlineStr">
        <is>
          <t>тыс.т</t>
        </is>
      </c>
    </row>
    <row r="197" ht="18.75" customHeight="1" s="904">
      <c r="B197" s="766" t="n"/>
      <c r="C197" s="769" t="inlineStr">
        <is>
          <t xml:space="preserve">   Продукция</t>
        </is>
      </c>
      <c r="D197" s="15" t="n"/>
      <c r="E197" s="15" t="n"/>
      <c r="F197" s="16" t="n"/>
      <c r="G197" s="17" t="n"/>
      <c r="H197" s="636" t="n"/>
      <c r="I197" s="17" t="n"/>
      <c r="J197" s="767" t="n"/>
    </row>
    <row r="198" ht="18.75" customHeight="1" s="904">
      <c r="B198" s="766" t="n"/>
      <c r="C198" s="769" t="inlineStr">
        <is>
          <t xml:space="preserve">      в т.ч. ЗПКТ</t>
        </is>
      </c>
      <c r="D198" s="15" t="n"/>
      <c r="E198" s="15" t="n"/>
      <c r="F198" s="16" t="n"/>
      <c r="G198" s="17" t="inlineStr">
        <is>
          <t>4_100331854</t>
        </is>
      </c>
      <c r="H198" s="636" t="n"/>
      <c r="I198" s="17" t="n"/>
      <c r="J198" s="767" t="inlineStr">
        <is>
          <t>тыс.т</t>
        </is>
      </c>
    </row>
    <row r="199" ht="18.75" customHeight="1" s="904">
      <c r="B199" s="766" t="n"/>
      <c r="C199" s="769" t="inlineStr">
        <is>
          <t xml:space="preserve">      в т.ч. ЗСК</t>
        </is>
      </c>
      <c r="D199" s="15" t="n"/>
      <c r="E199" s="15" t="n"/>
      <c r="F199" s="16" t="n"/>
      <c r="G199" s="17" t="inlineStr">
        <is>
          <t>4_100331855</t>
        </is>
      </c>
      <c r="H199" s="636" t="n"/>
      <c r="I199" s="17" t="n"/>
      <c r="J199" s="767" t="inlineStr">
        <is>
          <t>тыс.т</t>
        </is>
      </c>
    </row>
    <row r="200" ht="18.75" customHeight="1" s="904">
      <c r="B200" s="766" t="n"/>
      <c r="C200" s="769" t="inlineStr">
        <is>
          <t xml:space="preserve">      в т.ч.  на мощностях  ПАО "НОВАТЭК"</t>
        </is>
      </c>
      <c r="D200" s="15" t="n"/>
      <c r="E200" s="15" t="n"/>
      <c r="F200" s="16" t="n"/>
      <c r="G200" s="17" t="inlineStr">
        <is>
          <t>4_100335363</t>
        </is>
      </c>
      <c r="H200" s="636" t="n"/>
      <c r="I200" s="17" t="n"/>
      <c r="J200" s="767" t="inlineStr">
        <is>
          <t>тыс.т</t>
        </is>
      </c>
    </row>
    <row r="201" ht="18.75" customHeight="1" s="904">
      <c r="B201" s="766" t="n"/>
      <c r="C201" s="769" t="inlineStr">
        <is>
          <t xml:space="preserve">      в т.ч.  на мобильных уст.</t>
        </is>
      </c>
      <c r="D201" s="15" t="n"/>
      <c r="E201" s="15" t="n"/>
      <c r="F201" s="16" t="n"/>
      <c r="G201" s="17" t="inlineStr">
        <is>
          <t>4_100335364</t>
        </is>
      </c>
      <c r="H201" s="636" t="n"/>
      <c r="I201" s="17" t="n"/>
      <c r="J201" s="767" t="inlineStr">
        <is>
          <t>тыс.т</t>
        </is>
      </c>
    </row>
    <row r="202" ht="18.75" customHeight="1" s="904">
      <c r="B202" s="766" t="n"/>
      <c r="C202" s="769" t="inlineStr">
        <is>
          <t xml:space="preserve">   Газ деэтанизации УЗПКТ</t>
        </is>
      </c>
      <c r="D202" s="15" t="n"/>
      <c r="E202" s="15" t="n"/>
      <c r="F202" s="16" t="n"/>
      <c r="G202" s="17" t="inlineStr">
        <is>
          <t>4_100331856+4_100337118+4_100337120</t>
        </is>
      </c>
      <c r="H202" s="636" t="n"/>
      <c r="I202" s="17" t="n"/>
      <c r="J202" s="767" t="inlineStr">
        <is>
          <t>тыс.т</t>
        </is>
      </c>
    </row>
    <row r="203" ht="18.75" customHeight="1" s="904">
      <c r="B203" s="766" t="n"/>
      <c r="C203" s="769" t="inlineStr">
        <is>
          <t xml:space="preserve">   Газ деэтанизации УЗПКТ</t>
        </is>
      </c>
      <c r="D203" s="15" t="n"/>
      <c r="E203" s="15" t="n"/>
      <c r="F203" s="16" t="n"/>
      <c r="G203" s="17" t="inlineStr">
        <is>
          <t>4_100331857+4_100337119+4_100337121</t>
        </is>
      </c>
      <c r="H203" s="636" t="n"/>
      <c r="I203" s="17" t="n"/>
      <c r="J203" s="767" t="inlineStr">
        <is>
          <t>млн.м3</t>
        </is>
      </c>
    </row>
    <row r="204" ht="18.75" customHeight="1" s="904">
      <c r="B204" s="766" t="n"/>
      <c r="C204" s="769" t="inlineStr">
        <is>
          <t xml:space="preserve">   Газ деэтанизации УЗПКТ, на собственные нужды ГПП</t>
        </is>
      </c>
      <c r="D204" s="15" t="n"/>
      <c r="E204" s="15" t="n"/>
      <c r="F204" s="16" t="n"/>
      <c r="G204" s="17" t="inlineStr">
        <is>
          <t>4_100331858</t>
        </is>
      </c>
      <c r="H204" s="636" t="n"/>
      <c r="I204" s="17" t="n"/>
      <c r="J204" s="767" t="inlineStr">
        <is>
          <t>тыс.т</t>
        </is>
      </c>
    </row>
    <row r="205" ht="18.75" customHeight="1" s="904">
      <c r="B205" s="766" t="n"/>
      <c r="C205" s="769" t="inlineStr">
        <is>
          <t xml:space="preserve">   Газ деэтанизации УЗПКТ, на собственные нужды ГПП</t>
        </is>
      </c>
      <c r="D205" s="15" t="n"/>
      <c r="E205" s="15" t="n"/>
      <c r="F205" s="16" t="n"/>
      <c r="G205" s="17" t="inlineStr">
        <is>
          <t>4_100331859</t>
        </is>
      </c>
      <c r="H205" s="636" t="n"/>
      <c r="I205" s="17" t="n"/>
      <c r="J205" s="767" t="inlineStr">
        <is>
          <t>млн.м3</t>
        </is>
      </c>
    </row>
    <row r="206" ht="18.75" customHeight="1" s="904">
      <c r="B206" s="766" t="n"/>
      <c r="C206" s="769" t="inlineStr">
        <is>
          <t xml:space="preserve">   Газ горючий природный с мощностей ПАО "НОВАТЭК" в систему ЕСГ</t>
        </is>
      </c>
      <c r="D206" s="15" t="n"/>
      <c r="E206" s="15" t="n"/>
      <c r="F206" s="16" t="n"/>
      <c r="G206" s="17" t="inlineStr">
        <is>
          <t>4_100335365</t>
        </is>
      </c>
      <c r="H206" s="636" t="n"/>
      <c r="I206" s="17" t="n"/>
      <c r="J206" s="767" t="inlineStr">
        <is>
          <t>тыс.т</t>
        </is>
      </c>
    </row>
    <row r="207" ht="18.75" customHeight="1" s="904">
      <c r="B207" s="766" t="n"/>
      <c r="C207" s="769" t="inlineStr">
        <is>
          <t xml:space="preserve">   Газ горючий природный с мощностей ПАО "НОВАТЭК" в систему ЕСГ</t>
        </is>
      </c>
      <c r="D207" s="15" t="n"/>
      <c r="E207" s="15" t="n"/>
      <c r="F207" s="16" t="n"/>
      <c r="G207" s="17" t="inlineStr">
        <is>
          <t>4_100335366</t>
        </is>
      </c>
      <c r="H207" s="636" t="n"/>
      <c r="I207" s="17" t="n"/>
      <c r="J207" s="767" t="inlineStr">
        <is>
          <t>тыс.т</t>
        </is>
      </c>
    </row>
    <row r="208" ht="18.75" customHeight="1" s="904">
      <c r="B208" s="766" t="n"/>
      <c r="C208" s="769" t="inlineStr">
        <is>
          <t xml:space="preserve">   Газ деэтанизации с мобильных уст. на СТН</t>
        </is>
      </c>
      <c r="D208" s="15" t="n"/>
      <c r="E208" s="15" t="n"/>
      <c r="F208" s="16" t="n"/>
      <c r="G208" s="17" t="inlineStr">
        <is>
          <t>4_100335367</t>
        </is>
      </c>
      <c r="H208" s="636" t="n"/>
      <c r="I208" s="17" t="n"/>
      <c r="J208" s="767" t="inlineStr">
        <is>
          <t>тыс.т</t>
        </is>
      </c>
    </row>
    <row r="209" ht="18.75" customHeight="1" s="904">
      <c r="B209" s="766" t="n"/>
      <c r="C209" s="769" t="inlineStr">
        <is>
          <t xml:space="preserve">   Газ деэтанизации с мобильных уст. на СТН</t>
        </is>
      </c>
      <c r="D209" s="15" t="n"/>
      <c r="E209" s="15" t="n"/>
      <c r="F209" s="16" t="n"/>
      <c r="G209" s="17" t="inlineStr">
        <is>
          <t>4_100335368</t>
        </is>
      </c>
      <c r="H209" s="636" t="n"/>
      <c r="I209" s="17" t="n"/>
      <c r="J209" s="767" t="inlineStr">
        <is>
          <t>млн.м3</t>
        </is>
      </c>
    </row>
    <row r="210" ht="18.75" customHeight="1" s="904">
      <c r="B210" s="766" t="n"/>
      <c r="C210" s="769" t="inlineStr">
        <is>
          <t xml:space="preserve">   Газ горючий природный (осушенный ) УЗПКТ</t>
        </is>
      </c>
      <c r="D210" s="15" t="n"/>
      <c r="E210" s="15" t="n"/>
      <c r="F210" s="16" t="n"/>
      <c r="G210" s="17" t="inlineStr">
        <is>
          <t>4_100331870</t>
        </is>
      </c>
      <c r="H210" s="636" t="n"/>
      <c r="I210" s="17" t="n"/>
      <c r="J210" s="767" t="inlineStr">
        <is>
          <t>тыс.т</t>
        </is>
      </c>
    </row>
    <row r="211" ht="18.75" customHeight="1" s="904">
      <c r="B211" s="766" t="n"/>
      <c r="C211" s="769" t="inlineStr">
        <is>
          <t xml:space="preserve">   Газ горючий природный (осушенный) УЗПКТ</t>
        </is>
      </c>
      <c r="D211" s="15" t="n"/>
      <c r="E211" s="15" t="n"/>
      <c r="F211" s="16" t="n"/>
      <c r="G211" s="17" t="inlineStr">
        <is>
          <t>4_100331871</t>
        </is>
      </c>
      <c r="H211" s="636" t="n"/>
      <c r="I211" s="17" t="n"/>
      <c r="J211" s="767" t="inlineStr">
        <is>
          <t>млн.м3</t>
        </is>
      </c>
    </row>
    <row r="212" ht="18.75" customHeight="1" s="904">
      <c r="B212" s="766" t="n"/>
      <c r="C212" s="769" t="inlineStr">
        <is>
          <t xml:space="preserve">   Бензин автомобильный</t>
        </is>
      </c>
      <c r="D212" s="15" t="n"/>
      <c r="E212" s="15" t="n"/>
      <c r="F212" s="16" t="n"/>
      <c r="G212" s="17" t="inlineStr">
        <is>
          <t>4_100331905</t>
        </is>
      </c>
      <c r="H212" s="636" t="n"/>
      <c r="I212" s="17" t="n"/>
      <c r="J212" s="767" t="inlineStr">
        <is>
          <t>тыс.т</t>
        </is>
      </c>
    </row>
    <row r="213" ht="18.75" customHeight="1" s="904">
      <c r="B213" s="766" t="n"/>
      <c r="C213" s="769" t="inlineStr">
        <is>
          <t xml:space="preserve">      в т.ч. ЗСК</t>
        </is>
      </c>
      <c r="D213" s="15" t="n"/>
      <c r="E213" s="15" t="n"/>
      <c r="F213" s="16" t="n"/>
      <c r="G213" s="17" t="inlineStr">
        <is>
          <t>4_100331905</t>
        </is>
      </c>
      <c r="H213" s="636" t="n"/>
      <c r="I213" s="17" t="n"/>
      <c r="J213" s="767" t="inlineStr">
        <is>
          <t>тыс.т</t>
        </is>
      </c>
    </row>
    <row r="214" ht="18.75" customHeight="1" s="904">
      <c r="B214" s="766" t="n"/>
      <c r="C214" s="769" t="inlineStr">
        <is>
          <t xml:space="preserve">      Бензин ОЧ-92</t>
        </is>
      </c>
      <c r="D214" s="15" t="n"/>
      <c r="E214" s="15" t="n"/>
      <c r="F214" s="16" t="n"/>
      <c r="G214" s="17" t="inlineStr">
        <is>
          <t>4_100331906</t>
        </is>
      </c>
      <c r="H214" s="636" t="n"/>
      <c r="I214" s="17" t="n"/>
      <c r="J214" s="767" t="inlineStr">
        <is>
          <t>тыс.т</t>
        </is>
      </c>
    </row>
    <row r="215" ht="18.75" customHeight="1" s="904">
      <c r="B215" s="766" t="n"/>
      <c r="C215" s="769" t="inlineStr">
        <is>
          <t xml:space="preserve">      Бензин ОЧ-95</t>
        </is>
      </c>
      <c r="D215" s="15" t="n"/>
      <c r="E215" s="15" t="n"/>
      <c r="F215" s="16" t="n"/>
      <c r="G215" s="17" t="inlineStr">
        <is>
          <t>4_100331907</t>
        </is>
      </c>
      <c r="H215" s="636" t="n"/>
      <c r="I215" s="17" t="n"/>
      <c r="J215" s="767" t="inlineStr">
        <is>
          <t>тыс.т</t>
        </is>
      </c>
    </row>
    <row r="216" ht="18.75" customHeight="1" s="904">
      <c r="B216" s="766" t="n"/>
      <c r="C216" s="769" t="inlineStr">
        <is>
          <t xml:space="preserve">   Топливо для реактивных двигателей</t>
        </is>
      </c>
      <c r="D216" s="15" t="n"/>
      <c r="E216" s="15" t="n"/>
      <c r="F216" s="16" t="n"/>
      <c r="G216" s="17" t="inlineStr">
        <is>
          <t>4_100331908</t>
        </is>
      </c>
      <c r="H216" s="636" t="n"/>
      <c r="I216" s="17" t="n"/>
      <c r="J216" s="767" t="inlineStr">
        <is>
          <t>тыс.т</t>
        </is>
      </c>
    </row>
    <row r="217" ht="18.75" customHeight="1" s="904">
      <c r="B217" s="766" t="n"/>
      <c r="C217" s="769" t="inlineStr">
        <is>
          <t xml:space="preserve">      в т.ч. ЗПКТ</t>
        </is>
      </c>
      <c r="D217" s="15" t="n"/>
      <c r="E217" s="15" t="n"/>
      <c r="F217" s="16" t="n"/>
      <c r="G217" s="17" t="inlineStr">
        <is>
          <t>4_100331909</t>
        </is>
      </c>
      <c r="H217" s="636" t="n"/>
      <c r="I217" s="17" t="n"/>
      <c r="J217" s="767" t="inlineStr">
        <is>
          <t>тыс.т</t>
        </is>
      </c>
    </row>
    <row r="218" ht="18.75" customHeight="1" s="904">
      <c r="B218" s="766" t="n"/>
      <c r="C218" s="769" t="inlineStr">
        <is>
          <t xml:space="preserve">      в т.ч. ЗСК</t>
        </is>
      </c>
      <c r="D218" s="15" t="n"/>
      <c r="E218" s="15" t="n"/>
      <c r="F218" s="16" t="n"/>
      <c r="G218" s="17" t="inlineStr">
        <is>
          <t>4_100331910</t>
        </is>
      </c>
      <c r="H218" s="636" t="n"/>
      <c r="I218" s="17" t="n"/>
      <c r="J218" s="767" t="inlineStr">
        <is>
          <t>тыс.т</t>
        </is>
      </c>
    </row>
    <row r="219" ht="18.75" customHeight="1" s="904">
      <c r="B219" s="766" t="n"/>
      <c r="C219" s="769" t="inlineStr">
        <is>
          <t xml:space="preserve">   Дизельное топливо</t>
        </is>
      </c>
      <c r="D219" s="15" t="n"/>
      <c r="E219" s="15" t="n"/>
      <c r="F219" s="16" t="n"/>
      <c r="G219" s="17" t="inlineStr">
        <is>
          <t>4_100331911</t>
        </is>
      </c>
      <c r="H219" s="636" t="n"/>
      <c r="I219" s="17" t="n"/>
      <c r="J219" s="767" t="inlineStr">
        <is>
          <t>тыс.т</t>
        </is>
      </c>
    </row>
    <row r="220" ht="18.75" customHeight="1" s="904">
      <c r="B220" s="766" t="n"/>
      <c r="C220" s="769" t="inlineStr">
        <is>
          <t xml:space="preserve">      в т.ч. ЗПКТ</t>
        </is>
      </c>
      <c r="D220" s="15" t="n"/>
      <c r="E220" s="15" t="n"/>
      <c r="F220" s="16" t="n"/>
      <c r="G220" s="17" t="inlineStr">
        <is>
          <t>4_100331912</t>
        </is>
      </c>
      <c r="H220" s="636" t="n"/>
      <c r="I220" s="17" t="n"/>
      <c r="J220" s="767" t="inlineStr">
        <is>
          <t>тыс.т</t>
        </is>
      </c>
    </row>
    <row r="221" ht="18.75" customHeight="1" s="904">
      <c r="B221" s="766" t="n"/>
      <c r="C221" s="769" t="inlineStr">
        <is>
          <t xml:space="preserve">      в т.ч. ЗСК</t>
        </is>
      </c>
      <c r="D221" s="15" t="n"/>
      <c r="E221" s="15" t="n"/>
      <c r="F221" s="16" t="n"/>
      <c r="G221" s="17" t="inlineStr">
        <is>
          <t>4_100331913</t>
        </is>
      </c>
      <c r="H221" s="636" t="n"/>
      <c r="I221" s="17" t="n"/>
      <c r="J221" s="767" t="inlineStr">
        <is>
          <t>тыс.т</t>
        </is>
      </c>
    </row>
    <row r="222" ht="18.75" customHeight="1" s="904">
      <c r="B222" s="766" t="n"/>
      <c r="C222" s="769" t="inlineStr">
        <is>
          <t xml:space="preserve">   Дистиллят газового конденсата легкий</t>
        </is>
      </c>
      <c r="D222" s="15" t="n"/>
      <c r="E222" s="15" t="n"/>
      <c r="F222" s="16" t="n"/>
      <c r="G222" s="17" t="inlineStr">
        <is>
          <t>4_100331914</t>
        </is>
      </c>
      <c r="H222" s="636" t="n"/>
      <c r="I222" s="17" t="n"/>
      <c r="J222" s="767" t="inlineStr">
        <is>
          <t>тыс.т</t>
        </is>
      </c>
    </row>
    <row r="223" ht="18.75" customHeight="1" s="904">
      <c r="B223" s="766" t="n"/>
      <c r="C223" s="769" t="inlineStr">
        <is>
          <t xml:space="preserve">      в т.ч. ЗПКТ</t>
        </is>
      </c>
      <c r="D223" s="15" t="n"/>
      <c r="E223" s="15" t="n"/>
      <c r="F223" s="16" t="n"/>
      <c r="G223" s="17" t="inlineStr">
        <is>
          <t>4_100331916</t>
        </is>
      </c>
      <c r="H223" s="636" t="n"/>
      <c r="I223" s="17" t="n"/>
      <c r="J223" s="767" t="inlineStr">
        <is>
          <t>тыс.т</t>
        </is>
      </c>
    </row>
    <row r="224" ht="18.75" customHeight="1" s="904">
      <c r="B224" s="766" t="n"/>
      <c r="C224" s="769" t="inlineStr">
        <is>
          <t xml:space="preserve">      в т.ч. с УПГД</t>
        </is>
      </c>
      <c r="D224" s="15" t="n"/>
      <c r="E224" s="15" t="n"/>
      <c r="F224" s="16" t="n"/>
      <c r="G224" s="17" t="inlineStr">
        <is>
          <t>4_100335043</t>
        </is>
      </c>
      <c r="H224" s="636" t="n"/>
      <c r="I224" s="17" t="n"/>
      <c r="J224" s="767" t="inlineStr">
        <is>
          <t>тыс.т</t>
        </is>
      </c>
    </row>
    <row r="225" ht="18.75" customHeight="1" s="904">
      <c r="B225" s="766" t="n"/>
      <c r="C225" s="769" t="inlineStr">
        <is>
          <t xml:space="preserve">      в т.ч. ЗСК</t>
        </is>
      </c>
      <c r="D225" s="15" t="n"/>
      <c r="E225" s="15" t="n"/>
      <c r="F225" s="16" t="n"/>
      <c r="G225" s="17" t="inlineStr">
        <is>
          <t>4_100331917</t>
        </is>
      </c>
      <c r="H225" s="636" t="n"/>
      <c r="I225" s="17" t="n"/>
      <c r="J225" s="767" t="inlineStr">
        <is>
          <t>тыс.т</t>
        </is>
      </c>
    </row>
    <row r="226" ht="18.75" customHeight="1" s="904">
      <c r="B226" s="766" t="n"/>
      <c r="C226" s="769" t="inlineStr">
        <is>
          <t xml:space="preserve">   Газ углеводородный сжиженный (СУГ)</t>
        </is>
      </c>
      <c r="D226" s="15" t="n"/>
      <c r="E226" s="15" t="n"/>
      <c r="F226" s="16" t="n"/>
      <c r="G226" s="17" t="inlineStr">
        <is>
          <t>4_100331898</t>
        </is>
      </c>
      <c r="H226" s="636" t="n"/>
      <c r="I226" s="17" t="n"/>
      <c r="J226" s="767" t="inlineStr">
        <is>
          <t>тыс.т</t>
        </is>
      </c>
    </row>
    <row r="227" ht="18.75" customHeight="1" s="904">
      <c r="B227" s="766" t="n"/>
      <c r="C227" s="769" t="inlineStr">
        <is>
          <t xml:space="preserve">      в т.ч. ЗПКТ</t>
        </is>
      </c>
      <c r="D227" s="15" t="n"/>
      <c r="E227" s="15" t="n"/>
      <c r="F227" s="16" t="n"/>
      <c r="G227" s="17" t="inlineStr">
        <is>
          <t>4_100331900</t>
        </is>
      </c>
      <c r="H227" s="636" t="n"/>
      <c r="I227" s="17" t="n"/>
      <c r="J227" s="767" t="inlineStr">
        <is>
          <t>тыс.т</t>
        </is>
      </c>
    </row>
    <row r="228" ht="18.75" customHeight="1" s="904">
      <c r="B228" s="766" t="n"/>
      <c r="C228" s="769" t="inlineStr">
        <is>
          <t xml:space="preserve">      фракция пропановая</t>
        </is>
      </c>
      <c r="D228" s="15" t="n"/>
      <c r="E228" s="15" t="n"/>
      <c r="F228" s="16" t="n"/>
      <c r="G228" s="17" t="inlineStr">
        <is>
          <t>4_100332910</t>
        </is>
      </c>
      <c r="H228" s="636" t="n"/>
      <c r="I228" s="17" t="n"/>
      <c r="J228" s="767" t="inlineStr">
        <is>
          <t>тыс.т</t>
        </is>
      </c>
    </row>
    <row r="229" ht="18.75" customHeight="1" s="904">
      <c r="B229" s="766" t="n"/>
      <c r="C229" s="769" t="inlineStr">
        <is>
          <t xml:space="preserve">      ПБТ/ПБА</t>
        </is>
      </c>
      <c r="D229" s="15" t="n"/>
      <c r="E229" s="15" t="n"/>
      <c r="F229" s="16" t="n"/>
      <c r="G229" s="17" t="inlineStr">
        <is>
          <t>4_100335420</t>
        </is>
      </c>
      <c r="H229" s="636" t="n"/>
      <c r="I229" s="17" t="n"/>
      <c r="J229" s="767" t="inlineStr">
        <is>
          <t>тыс.т</t>
        </is>
      </c>
    </row>
    <row r="230" ht="18.75" customHeight="1" s="904">
      <c r="B230" s="766" t="n"/>
      <c r="C230" s="769" t="inlineStr">
        <is>
          <t xml:space="preserve">      в т.ч. ЗСК</t>
        </is>
      </c>
      <c r="D230" s="15" t="n"/>
      <c r="E230" s="15" t="n"/>
      <c r="F230" s="16" t="n"/>
      <c r="G230" s="17" t="inlineStr">
        <is>
          <t>4_100331901</t>
        </is>
      </c>
      <c r="H230" s="636" t="n"/>
      <c r="I230" s="17" t="n"/>
      <c r="J230" s="767" t="inlineStr">
        <is>
          <t>тыс.т</t>
        </is>
      </c>
    </row>
    <row r="231" ht="18.75" customHeight="1" s="904">
      <c r="B231" s="766" t="n"/>
      <c r="C231" s="769" t="inlineStr">
        <is>
          <t xml:space="preserve">      ПБТ/ПБА</t>
        </is>
      </c>
      <c r="D231" s="15" t="n"/>
      <c r="E231" s="15" t="n"/>
      <c r="F231" s="16" t="n"/>
      <c r="G231" s="17" t="inlineStr">
        <is>
          <t>4_100332911</t>
        </is>
      </c>
      <c r="H231" s="636" t="n"/>
      <c r="I231" s="17" t="n"/>
      <c r="J231" s="767" t="inlineStr">
        <is>
          <t>тыс.т</t>
        </is>
      </c>
    </row>
    <row r="232" ht="18.75" customHeight="1" s="904">
      <c r="B232" s="766" t="n"/>
      <c r="C232" s="769" t="inlineStr">
        <is>
          <t xml:space="preserve">      ПТ</t>
        </is>
      </c>
      <c r="D232" s="15" t="n"/>
      <c r="E232" s="15" t="n"/>
      <c r="F232" s="16" t="n"/>
      <c r="G232" s="17" t="inlineStr">
        <is>
          <t>4_100332912</t>
        </is>
      </c>
      <c r="H232" s="636" t="n"/>
      <c r="I232" s="17" t="n"/>
      <c r="J232" s="767" t="inlineStr">
        <is>
          <t>тыс.т</t>
        </is>
      </c>
    </row>
    <row r="233" ht="18.75" customHeight="1" s="904">
      <c r="B233" s="766" t="n"/>
      <c r="C233" s="769" t="inlineStr">
        <is>
          <t xml:space="preserve">      Фракция бутановая</t>
        </is>
      </c>
      <c r="D233" s="15" t="n"/>
      <c r="E233" s="15" t="n"/>
      <c r="F233" s="16" t="n"/>
      <c r="G233" s="17" t="inlineStr">
        <is>
          <t>4_100332913</t>
        </is>
      </c>
      <c r="H233" s="636" t="n"/>
      <c r="I233" s="17" t="n"/>
      <c r="J233" s="767" t="inlineStr">
        <is>
          <t>тыс.т</t>
        </is>
      </c>
    </row>
    <row r="234" ht="18.75" customHeight="1" s="904">
      <c r="B234" s="766" t="n"/>
      <c r="C234" s="769" t="inlineStr">
        <is>
          <t xml:space="preserve">   Углеводородная фракция / ПГФ</t>
        </is>
      </c>
      <c r="D234" s="15" t="n"/>
      <c r="E234" s="15" t="n"/>
      <c r="F234" s="16" t="n"/>
      <c r="G234" s="17" t="inlineStr">
        <is>
          <t>4_100331904</t>
        </is>
      </c>
      <c r="H234" s="636" t="n"/>
      <c r="I234" s="17" t="n"/>
      <c r="J234" s="767" t="inlineStr">
        <is>
          <t>тыс.т</t>
        </is>
      </c>
    </row>
    <row r="235" ht="18.75" customHeight="1" s="904">
      <c r="B235" s="766" t="n"/>
      <c r="C235" s="769" t="inlineStr">
        <is>
          <t xml:space="preserve">      в т.ч. ЗСК</t>
        </is>
      </c>
      <c r="D235" s="15" t="n"/>
      <c r="E235" s="15" t="n"/>
      <c r="F235" s="16" t="n"/>
      <c r="G235" s="17" t="inlineStr">
        <is>
          <t>4_100331904</t>
        </is>
      </c>
      <c r="H235" s="636" t="n"/>
      <c r="I235" s="17" t="n"/>
      <c r="J235" s="767" t="inlineStr">
        <is>
          <t>тыс.т</t>
        </is>
      </c>
    </row>
    <row r="236" ht="18.75" customHeight="1" s="904">
      <c r="B236" s="766" t="n"/>
      <c r="C236" s="769" t="inlineStr">
        <is>
          <t xml:space="preserve">   Вода подтоварная</t>
        </is>
      </c>
      <c r="D236" s="15" t="n"/>
      <c r="E236" s="15" t="n"/>
      <c r="F236" s="16" t="n"/>
      <c r="G236" s="17" t="inlineStr">
        <is>
          <t>4_100331942</t>
        </is>
      </c>
      <c r="H236" s="636" t="n"/>
      <c r="I236" s="17" t="n"/>
      <c r="J236" s="767" t="inlineStr">
        <is>
          <t>тыс.т</t>
        </is>
      </c>
    </row>
    <row r="237" ht="18.75" customHeight="1" s="904">
      <c r="B237" s="766" t="n"/>
      <c r="C237" s="769" t="inlineStr">
        <is>
          <t xml:space="preserve">      в т.ч. ЗПКТ</t>
        </is>
      </c>
      <c r="D237" s="15" t="n"/>
      <c r="E237" s="15" t="n"/>
      <c r="F237" s="16" t="n"/>
      <c r="G237" s="17" t="inlineStr">
        <is>
          <t>4_100331942</t>
        </is>
      </c>
      <c r="H237" s="636" t="n"/>
      <c r="I237" s="17" t="n"/>
      <c r="J237" s="767" t="inlineStr">
        <is>
          <t>тыс.т</t>
        </is>
      </c>
    </row>
    <row r="238" ht="18.75" customHeight="1" s="904">
      <c r="B238" s="766" t="n"/>
      <c r="C238" s="769" t="inlineStr">
        <is>
          <t xml:space="preserve">   Метанол</t>
        </is>
      </c>
      <c r="D238" s="15" t="n"/>
      <c r="E238" s="15" t="n"/>
      <c r="F238" s="16" t="n"/>
      <c r="G238" s="17" t="inlineStr">
        <is>
          <t>4_100335442/1000</t>
        </is>
      </c>
      <c r="H238" s="636" t="n"/>
      <c r="I238" s="17" t="n"/>
      <c r="J238" s="767" t="inlineStr">
        <is>
          <t>тыс.т</t>
        </is>
      </c>
    </row>
    <row r="239" ht="18.75" customHeight="1" s="904">
      <c r="B239" s="766" t="n"/>
      <c r="C239" s="769" t="inlineStr">
        <is>
          <t xml:space="preserve">      в т.ч. ЗПКТ</t>
        </is>
      </c>
      <c r="D239" s="15" t="n"/>
      <c r="E239" s="15" t="n"/>
      <c r="F239" s="16" t="n"/>
      <c r="G239" s="17" t="inlineStr">
        <is>
          <t>4_100335444/1000</t>
        </is>
      </c>
      <c r="H239" s="636" t="n"/>
      <c r="I239" s="17" t="n"/>
      <c r="J239" s="767" t="inlineStr">
        <is>
          <t>тыс.т</t>
        </is>
      </c>
    </row>
    <row r="240" ht="18.75" customHeight="1" s="904">
      <c r="B240" s="766" t="n"/>
      <c r="C240" s="769" t="inlineStr">
        <is>
          <t xml:space="preserve">      в т.ч. ЗСК</t>
        </is>
      </c>
      <c r="D240" s="15" t="n"/>
      <c r="E240" s="15" t="n"/>
      <c r="F240" s="16" t="n"/>
      <c r="G240" s="17" t="inlineStr">
        <is>
          <t>4_100335445/1000</t>
        </is>
      </c>
      <c r="H240" s="636" t="n"/>
      <c r="I240" s="17" t="n"/>
      <c r="J240" s="767" t="inlineStr">
        <is>
          <t>тыс.т</t>
        </is>
      </c>
    </row>
    <row r="241" ht="18.75" customHeight="1" s="904">
      <c r="B241" s="766" t="n"/>
      <c r="C241" s="769" t="inlineStr">
        <is>
          <t xml:space="preserve">   Газ на собственные нужды ГПП</t>
        </is>
      </c>
      <c r="D241" s="15" t="n"/>
      <c r="E241" s="15" t="n"/>
      <c r="F241" s="16" t="n"/>
      <c r="G241" s="17" t="inlineStr">
        <is>
          <t>4_100331876</t>
        </is>
      </c>
      <c r="H241" s="636" t="n"/>
      <c r="I241" s="17" t="n"/>
      <c r="J241" s="767" t="inlineStr">
        <is>
          <t>тыс.т</t>
        </is>
      </c>
    </row>
    <row r="242" ht="18.75" customHeight="1" s="904">
      <c r="B242" s="766" t="n"/>
      <c r="C242" s="769" t="inlineStr">
        <is>
          <t xml:space="preserve">   Газ на собственные нужды ГПП</t>
        </is>
      </c>
      <c r="D242" s="15" t="n"/>
      <c r="E242" s="15" t="n"/>
      <c r="F242" s="16" t="n"/>
      <c r="G242" s="17" t="inlineStr">
        <is>
          <t>4_100331877</t>
        </is>
      </c>
      <c r="H242" s="636" t="n"/>
      <c r="I242" s="17" t="n"/>
      <c r="J242" s="767" t="inlineStr">
        <is>
          <t>млн.м3</t>
        </is>
      </c>
    </row>
    <row r="243" ht="18.75" customHeight="1" s="904">
      <c r="B243" s="766" t="n"/>
      <c r="C243" s="769" t="inlineStr">
        <is>
          <t xml:space="preserve">      в т.ч. ЗСК</t>
        </is>
      </c>
      <c r="D243" s="15" t="n"/>
      <c r="E243" s="15" t="n"/>
      <c r="F243" s="16" t="n"/>
      <c r="G243" s="17" t="inlineStr">
        <is>
          <t>4_100331876</t>
        </is>
      </c>
      <c r="H243" s="636" t="n"/>
      <c r="I243" s="17" t="n"/>
      <c r="J243" s="767" t="inlineStr">
        <is>
          <t>тыс.т</t>
        </is>
      </c>
    </row>
    <row r="244" ht="18.75" customHeight="1" s="904">
      <c r="B244" s="766" t="n"/>
      <c r="C244" s="769" t="inlineStr">
        <is>
          <t xml:space="preserve">      газ сбросной</t>
        </is>
      </c>
      <c r="D244" s="15" t="n"/>
      <c r="E244" s="15" t="n"/>
      <c r="F244" s="16" t="n"/>
      <c r="G244" s="17" t="inlineStr">
        <is>
          <t>4_100331878</t>
        </is>
      </c>
      <c r="H244" s="636" t="n"/>
      <c r="I244" s="17" t="n"/>
      <c r="J244" s="767" t="inlineStr">
        <is>
          <t>тыс.т</t>
        </is>
      </c>
    </row>
    <row r="245" ht="18.75" customHeight="1" s="904">
      <c r="B245" s="766" t="n"/>
      <c r="C245" s="769" t="inlineStr">
        <is>
          <t xml:space="preserve">      газ сбросной</t>
        </is>
      </c>
      <c r="D245" s="15" t="n"/>
      <c r="E245" s="15" t="n"/>
      <c r="F245" s="16" t="n"/>
      <c r="G245" s="17" t="inlineStr">
        <is>
          <t>4_100331879</t>
        </is>
      </c>
      <c r="H245" s="636" t="n"/>
      <c r="I245" s="17" t="n"/>
      <c r="J245" s="767" t="inlineStr">
        <is>
          <t>млн.м3</t>
        </is>
      </c>
    </row>
    <row r="246" ht="18.75" customHeight="1" s="904">
      <c r="B246" s="766" t="n"/>
      <c r="C246" s="769" t="inlineStr">
        <is>
          <t xml:space="preserve">   ШФЛУ (товарная)</t>
        </is>
      </c>
      <c r="D246" s="15" t="n"/>
      <c r="E246" s="15" t="n"/>
      <c r="F246" s="16" t="n"/>
      <c r="G246" s="17" t="inlineStr">
        <is>
          <t>4_100331886</t>
        </is>
      </c>
      <c r="H246" s="636" t="n"/>
      <c r="I246" s="17" t="n"/>
      <c r="J246" s="767" t="inlineStr">
        <is>
          <t>тыс.т</t>
        </is>
      </c>
    </row>
    <row r="247" ht="18.75" customHeight="1" s="904">
      <c r="B247" s="766" t="n"/>
      <c r="C247" s="769" t="inlineStr">
        <is>
          <t xml:space="preserve">      в т.ч. ЗПКТ</t>
        </is>
      </c>
      <c r="D247" s="15" t="n"/>
      <c r="E247" s="15" t="n"/>
      <c r="F247" s="16" t="n"/>
      <c r="G247" s="17" t="inlineStr">
        <is>
          <t>4_100331888</t>
        </is>
      </c>
      <c r="H247" s="636" t="n"/>
      <c r="I247" s="17" t="n"/>
      <c r="J247" s="767" t="inlineStr">
        <is>
          <t>тыс.т</t>
        </is>
      </c>
    </row>
    <row r="248" ht="18.75" customHeight="1" s="904">
      <c r="B248" s="766" t="n"/>
      <c r="C248" s="769" t="inlineStr">
        <is>
          <t xml:space="preserve">      в т.ч. ЗСК</t>
        </is>
      </c>
      <c r="D248" s="15" t="n"/>
      <c r="E248" s="15" t="n"/>
      <c r="F248" s="16" t="n"/>
      <c r="G248" s="17" t="inlineStr">
        <is>
          <t>4_100331889</t>
        </is>
      </c>
      <c r="H248" s="636" t="n"/>
      <c r="I248" s="17" t="n"/>
      <c r="J248" s="767" t="inlineStr">
        <is>
          <t>тыс.т</t>
        </is>
      </c>
    </row>
    <row r="249" ht="18.75" customHeight="1" s="904">
      <c r="B249" s="766" t="n"/>
      <c r="C249" s="769" t="inlineStr">
        <is>
          <t xml:space="preserve">   Стабильный конденсат (товарный)</t>
        </is>
      </c>
      <c r="D249" s="15" t="n"/>
      <c r="E249" s="15" t="n"/>
      <c r="F249" s="16" t="n"/>
      <c r="G249" s="17" t="inlineStr">
        <is>
          <t>4_100331920</t>
        </is>
      </c>
      <c r="H249" s="636" t="n"/>
      <c r="I249" s="17" t="n"/>
      <c r="J249" s="767" t="inlineStr">
        <is>
          <t>тыс.т</t>
        </is>
      </c>
    </row>
    <row r="250" ht="18.75" customHeight="1" s="904">
      <c r="B250" s="766" t="n"/>
      <c r="C250" s="769" t="inlineStr">
        <is>
          <t xml:space="preserve">      в т.ч. ЗПКТ</t>
        </is>
      </c>
      <c r="D250" s="15" t="n"/>
      <c r="E250" s="15" t="n"/>
      <c r="F250" s="16" t="n"/>
      <c r="G250" s="17" t="inlineStr">
        <is>
          <t>4_100331921</t>
        </is>
      </c>
      <c r="H250" s="636" t="n"/>
      <c r="I250" s="17" t="n"/>
      <c r="J250" s="767" t="inlineStr">
        <is>
          <t>тыс.т</t>
        </is>
      </c>
    </row>
    <row r="251" ht="18.75" customHeight="1" s="904">
      <c r="B251" s="766" t="n"/>
      <c r="C251" s="769" t="inlineStr">
        <is>
          <t xml:space="preserve">      в т.ч. ЗСК</t>
        </is>
      </c>
      <c r="D251" s="15" t="n"/>
      <c r="E251" s="15" t="n"/>
      <c r="F251" s="16" t="n"/>
      <c r="G251" s="17" t="inlineStr">
        <is>
          <t>4_100331922</t>
        </is>
      </c>
      <c r="H251" s="636" t="n"/>
      <c r="I251" s="17" t="n"/>
      <c r="J251" s="767" t="inlineStr">
        <is>
          <t>тыс.т</t>
        </is>
      </c>
    </row>
    <row r="252" ht="18.75" customHeight="1" s="904">
      <c r="B252" s="766" t="n"/>
      <c r="C252" s="769" t="inlineStr">
        <is>
          <t xml:space="preserve">   Конденсат газовый стабильный (нефть)</t>
        </is>
      </c>
      <c r="D252" s="15" t="n"/>
      <c r="E252" s="15" t="n"/>
      <c r="F252" s="16" t="n"/>
      <c r="G252" s="17" t="inlineStr">
        <is>
          <t>4_100331923</t>
        </is>
      </c>
      <c r="H252" s="636" t="n"/>
      <c r="I252" s="17" t="n"/>
      <c r="J252" s="767" t="inlineStr">
        <is>
          <t>тыс.т</t>
        </is>
      </c>
    </row>
    <row r="253" ht="18.75" customHeight="1" s="904">
      <c r="B253" s="766" t="n"/>
      <c r="C253" s="769" t="inlineStr">
        <is>
          <t xml:space="preserve">      в т.ч. ЗПКТ</t>
        </is>
      </c>
      <c r="D253" s="15" t="n"/>
      <c r="E253" s="15" t="n"/>
      <c r="F253" s="16" t="n"/>
      <c r="G253" s="17">
        <f>G255+G254</f>
        <v/>
      </c>
      <c r="H253" s="636" t="n"/>
      <c r="I253" s="17" t="n"/>
      <c r="J253" s="767" t="inlineStr">
        <is>
          <t>тыс.т</t>
        </is>
      </c>
    </row>
    <row r="254" ht="18.75" customHeight="1" s="904">
      <c r="B254" s="766" t="n"/>
      <c r="C254" s="769" t="inlineStr">
        <is>
          <t xml:space="preserve">         в т.ч. с УСК-2</t>
        </is>
      </c>
      <c r="D254" s="15" t="n"/>
      <c r="E254" s="15" t="n"/>
      <c r="F254" s="16" t="n"/>
      <c r="G254" s="17" t="inlineStr">
        <is>
          <t>4_100335091</t>
        </is>
      </c>
      <c r="H254" s="636" t="n"/>
      <c r="I254" s="17" t="n"/>
      <c r="J254" s="767" t="inlineStr">
        <is>
          <t>тыс.т</t>
        </is>
      </c>
    </row>
    <row r="255" ht="18.75" customHeight="1" s="904">
      <c r="B255" s="766" t="n"/>
      <c r="C255" s="769" t="inlineStr">
        <is>
          <t xml:space="preserve">         в т.ч. нефть на НПС</t>
        </is>
      </c>
      <c r="D255" s="15" t="n"/>
      <c r="E255" s="15" t="n"/>
      <c r="F255" s="16" t="n"/>
      <c r="G255" s="17" t="inlineStr">
        <is>
          <t>4_100335092</t>
        </is>
      </c>
      <c r="H255" s="636" t="n"/>
      <c r="I255" s="17" t="n"/>
      <c r="J255" s="767" t="inlineStr">
        <is>
          <t>тыс.т</t>
        </is>
      </c>
    </row>
    <row r="256" ht="18.75" customHeight="1" s="904">
      <c r="B256" s="766" t="n"/>
      <c r="C256" s="769" t="inlineStr">
        <is>
          <t xml:space="preserve">      в т.ч. ЗСК</t>
        </is>
      </c>
      <c r="D256" s="15" t="n"/>
      <c r="E256" s="15" t="n"/>
      <c r="F256" s="16" t="n"/>
      <c r="G256" s="17" t="inlineStr">
        <is>
          <t>4_100331925</t>
        </is>
      </c>
      <c r="H256" s="636" t="n"/>
      <c r="I256" s="17" t="n"/>
      <c r="J256" s="767" t="inlineStr">
        <is>
          <t>тыс.т</t>
        </is>
      </c>
    </row>
    <row r="257" ht="18.75" customHeight="1" s="904">
      <c r="B257" s="766" t="n"/>
      <c r="C257" s="769" t="inlineStr">
        <is>
          <t xml:space="preserve">   Справочно (собственность Газпром):</t>
        </is>
      </c>
      <c r="D257" s="15" t="n"/>
      <c r="E257" s="15" t="n"/>
      <c r="F257" s="16" t="n"/>
      <c r="G257" s="17" t="n"/>
      <c r="H257" s="636" t="n"/>
      <c r="I257" s="17" t="n"/>
      <c r="J257" s="767" t="n"/>
    </row>
    <row r="258" ht="18.75" customHeight="1" s="904">
      <c r="B258" s="766" t="n"/>
      <c r="C258" s="769" t="inlineStr">
        <is>
          <t xml:space="preserve">   Переработка сырья на УЗПКТ, всего</t>
        </is>
      </c>
      <c r="D258" s="15" t="n"/>
      <c r="E258" s="15" t="n"/>
      <c r="F258" s="16" t="n"/>
      <c r="G258" s="17" t="inlineStr">
        <is>
          <t>4_100331839</t>
        </is>
      </c>
      <c r="H258" s="636" t="n"/>
      <c r="I258" s="17" t="n"/>
      <c r="J258" s="767" t="inlineStr">
        <is>
          <t>тыс.т</t>
        </is>
      </c>
    </row>
    <row r="259" ht="18.75" customHeight="1" s="904">
      <c r="B259" s="766" t="n"/>
      <c r="C259" s="769" t="inlineStr">
        <is>
          <t xml:space="preserve">      в том числе на УСК-2</t>
        </is>
      </c>
      <c r="D259" s="15" t="n"/>
      <c r="E259" s="15" t="n"/>
      <c r="F259" s="16" t="n"/>
      <c r="G259" s="17" t="inlineStr">
        <is>
          <t>4_100331841</t>
        </is>
      </c>
      <c r="H259" s="636" t="n"/>
      <c r="I259" s="17" t="n"/>
      <c r="J259" s="767" t="inlineStr">
        <is>
          <t>тыс.т</t>
        </is>
      </c>
    </row>
    <row r="260" ht="18.75" customHeight="1" s="904">
      <c r="B260" s="766" t="n"/>
      <c r="C260" s="769" t="inlineStr">
        <is>
          <t xml:space="preserve">   Деэтанизированный конденсат газовый выработка на УЗПКТ, всего:</t>
        </is>
      </c>
      <c r="D260" s="15" t="n"/>
      <c r="E260" s="15" t="n"/>
      <c r="F260" s="16" t="n"/>
      <c r="G260" s="17" t="inlineStr">
        <is>
          <t>4_100331944</t>
        </is>
      </c>
      <c r="H260" s="636" t="n"/>
      <c r="I260" s="17" t="n"/>
      <c r="J260" s="767" t="inlineStr">
        <is>
          <t>тыс.т</t>
        </is>
      </c>
    </row>
    <row r="261" ht="18.75" customHeight="1" s="904">
      <c r="B261" s="766" t="n"/>
      <c r="C261" s="769" t="inlineStr">
        <is>
          <t xml:space="preserve">      ДК (с УДК/УСК)</t>
        </is>
      </c>
      <c r="D261" s="15" t="n"/>
      <c r="E261" s="15" t="n"/>
      <c r="F261" s="16" t="n"/>
      <c r="G261" s="17" t="inlineStr">
        <is>
          <t>4_100331945</t>
        </is>
      </c>
      <c r="H261" s="636" t="n"/>
      <c r="I261" s="17" t="n"/>
      <c r="J261" s="767" t="inlineStr">
        <is>
          <t>тыс.т</t>
        </is>
      </c>
    </row>
    <row r="262" ht="18.75" customHeight="1" s="904">
      <c r="B262" s="766" t="n"/>
      <c r="C262" s="769" t="inlineStr">
        <is>
          <t xml:space="preserve">      ДК(с УПГД)</t>
        </is>
      </c>
      <c r="D262" s="15" t="n"/>
      <c r="E262" s="15" t="n"/>
      <c r="F262" s="16" t="n"/>
      <c r="G262" s="17" t="inlineStr">
        <is>
          <t>4_100335044</t>
        </is>
      </c>
      <c r="H262" s="636" t="n"/>
      <c r="I262" s="17" t="n"/>
      <c r="J262" s="767" t="inlineStr">
        <is>
          <t>тыс.т</t>
        </is>
      </c>
    </row>
    <row r="263" ht="18.75" customHeight="1" s="904">
      <c r="B263" s="766" t="n"/>
      <c r="C263" s="769" t="inlineStr">
        <is>
          <t xml:space="preserve">      ДК(с УСК-2)</t>
        </is>
      </c>
      <c r="D263" s="15" t="n"/>
      <c r="E263" s="15" t="n"/>
      <c r="F263" s="16" t="n"/>
      <c r="G263" s="17" t="inlineStr">
        <is>
          <t>4_100331947</t>
        </is>
      </c>
      <c r="H263" s="636" t="n"/>
      <c r="I263" s="17" t="n"/>
      <c r="J263" s="767" t="inlineStr">
        <is>
          <t>тыс.т</t>
        </is>
      </c>
    </row>
    <row r="264" ht="18.75" customHeight="1" s="904">
      <c r="B264" s="766" t="n"/>
      <c r="C264" s="769" t="inlineStr">
        <is>
          <t xml:space="preserve">   Переработка сырья на ЗСК собственность Газпром, всего</t>
        </is>
      </c>
      <c r="D264" s="15" t="n"/>
      <c r="E264" s="15" t="n"/>
      <c r="F264" s="16" t="n"/>
      <c r="G264" s="17" t="inlineStr">
        <is>
          <t>4_100331842</t>
        </is>
      </c>
      <c r="H264" s="636" t="n"/>
      <c r="I264" s="17" t="n"/>
      <c r="J264" s="767" t="inlineStr">
        <is>
          <t>тыс.т</t>
        </is>
      </c>
    </row>
    <row r="265" ht="18.75" customHeight="1" s="904">
      <c r="B265" s="766" t="n"/>
      <c r="C265" s="769" t="inlineStr">
        <is>
          <t xml:space="preserve">      в т.ч. ДК с УЗПКТ, собственность ПАО "Газпром"</t>
        </is>
      </c>
      <c r="D265" s="15" t="n"/>
      <c r="E265" s="15" t="n"/>
      <c r="F265" s="16" t="n"/>
      <c r="G265" s="17" t="inlineStr">
        <is>
          <t>4_100331944-4_100331824+4_100331825</t>
        </is>
      </c>
      <c r="H265" s="636" t="n"/>
      <c r="I265" s="17" t="n"/>
      <c r="J265" s="767" t="inlineStr">
        <is>
          <t>тыс.т</t>
        </is>
      </c>
    </row>
    <row r="266" ht="18.75" customHeight="1" s="904">
      <c r="B266" s="766" t="n"/>
      <c r="C266" s="769" t="inlineStr">
        <is>
          <t xml:space="preserve">      в т.ч. ДК с мощностей ПАО "НОВАТЭК"</t>
        </is>
      </c>
      <c r="D266" s="15" t="n"/>
      <c r="E266" s="15" t="n"/>
      <c r="F266" s="16" t="n"/>
      <c r="G266" s="17" t="inlineStr">
        <is>
          <t>4_100335359</t>
        </is>
      </c>
      <c r="H266" s="636" t="n"/>
      <c r="I266" s="17" t="n"/>
      <c r="J266" s="767" t="inlineStr">
        <is>
          <t>тыс.т</t>
        </is>
      </c>
    </row>
    <row r="267" ht="18.75" customHeight="1" s="904">
      <c r="B267" s="766" t="n"/>
      <c r="C267" s="769" t="inlineStr">
        <is>
          <t xml:space="preserve">      в т.ч. ДК с мобильных уст.</t>
        </is>
      </c>
      <c r="D267" s="15" t="n"/>
      <c r="E267" s="15" t="n"/>
      <c r="F267" s="16" t="n"/>
      <c r="G267" s="17" t="inlineStr">
        <is>
          <t>4_100335360</t>
        </is>
      </c>
      <c r="H267" s="636" t="n"/>
      <c r="I267" s="17" t="n"/>
      <c r="J267" s="767" t="inlineStr">
        <is>
          <t>тыс.т</t>
        </is>
      </c>
    </row>
    <row r="268" ht="18.75" customHeight="1" s="904">
      <c r="B268" s="766" t="n"/>
      <c r="C268" s="769" t="inlineStr">
        <is>
          <t xml:space="preserve">      в т.ч. КГН  ГД Ноябрьск</t>
        </is>
      </c>
      <c r="D268" s="15" t="n"/>
      <c r="E268" s="15" t="n"/>
      <c r="F268" s="16" t="n"/>
      <c r="G268" s="17" t="inlineStr">
        <is>
          <t>4_100331845</t>
        </is>
      </c>
      <c r="H268" s="636" t="n"/>
      <c r="I268" s="17" t="n"/>
      <c r="J268" s="767" t="inlineStr">
        <is>
          <t>тыс.т</t>
        </is>
      </c>
    </row>
    <row r="269" ht="18.75" customHeight="1" s="904">
      <c r="B269" s="766" t="n"/>
      <c r="C269" s="769" t="inlineStr">
        <is>
          <t xml:space="preserve">      в т.ч  нефть , Уренгойское НГКМ</t>
        </is>
      </c>
      <c r="D269" s="15" t="n"/>
      <c r="E269" s="15" t="n"/>
      <c r="F269" s="16" t="n"/>
      <c r="G269" s="17" t="inlineStr">
        <is>
          <t>4_100331838</t>
        </is>
      </c>
      <c r="H269" s="636" t="n"/>
      <c r="I269" s="17" t="n"/>
      <c r="J269" s="767" t="inlineStr">
        <is>
          <t>тыс.т</t>
        </is>
      </c>
    </row>
    <row r="270" ht="18.75" customHeight="1" s="904">
      <c r="B270" s="766" t="n"/>
      <c r="C270" s="769" t="inlineStr">
        <is>
          <t xml:space="preserve">      в т.ч. КГН Уренгойское НГКМ</t>
        </is>
      </c>
      <c r="D270" s="15" t="n"/>
      <c r="E270" s="15" t="n"/>
      <c r="F270" s="16" t="n"/>
      <c r="G270" s="17" t="inlineStr">
        <is>
          <t>4_100335336</t>
        </is>
      </c>
      <c r="H270" s="636" t="n"/>
      <c r="I270" s="17" t="n"/>
      <c r="J270" s="767" t="inlineStr">
        <is>
          <t>тыс.т</t>
        </is>
      </c>
    </row>
    <row r="271" ht="18.75" customHeight="1" s="904">
      <c r="B271" s="766" t="n"/>
      <c r="C271" s="769" t="inlineStr">
        <is>
          <t xml:space="preserve">      в т.ч. ШФЛУ по ДРОД</t>
        </is>
      </c>
      <c r="D271" s="15" t="n"/>
      <c r="E271" s="15" t="n"/>
      <c r="F271" s="16" t="n"/>
      <c r="G271" s="17" t="inlineStr">
        <is>
          <t>4_100335470</t>
        </is>
      </c>
      <c r="H271" s="636" t="n"/>
      <c r="I271" s="17" t="n"/>
      <c r="J271" s="767" t="inlineStr">
        <is>
          <t>тыс.т</t>
        </is>
      </c>
    </row>
    <row r="272" ht="18.75" customHeight="1" s="904">
      <c r="B272" s="766" t="n"/>
      <c r="C272" s="769" t="inlineStr">
        <is>
          <t xml:space="preserve">   Газ деэтанизации УЗПКТ, валовая выработка</t>
        </is>
      </c>
      <c r="D272" s="15" t="n"/>
      <c r="E272" s="15" t="n"/>
      <c r="F272" s="16" t="n"/>
      <c r="G272" s="17" t="inlineStr">
        <is>
          <t>4_100331860</t>
        </is>
      </c>
      <c r="H272" s="636" t="n"/>
      <c r="I272" s="17" t="n"/>
      <c r="J272" s="767" t="inlineStr">
        <is>
          <t>тыс.т</t>
        </is>
      </c>
    </row>
    <row r="273" ht="18.75" customHeight="1" s="904">
      <c r="B273" s="766" t="n"/>
      <c r="C273" s="769" t="inlineStr">
        <is>
          <t xml:space="preserve">   Газ деэтанизации УЗПКТ, валовая выработка</t>
        </is>
      </c>
      <c r="D273" s="15" t="n"/>
      <c r="E273" s="15" t="n"/>
      <c r="F273" s="16" t="n"/>
      <c r="G273" s="17" t="inlineStr">
        <is>
          <t>4_100331861</t>
        </is>
      </c>
      <c r="H273" s="636" t="n"/>
      <c r="I273" s="17" t="n"/>
      <c r="J273" s="767" t="inlineStr">
        <is>
          <t>млн.м3</t>
        </is>
      </c>
    </row>
    <row r="274" ht="18.75" customHeight="1" s="904">
      <c r="B274" s="766" t="n"/>
      <c r="C274" s="769" t="inlineStr">
        <is>
          <t xml:space="preserve">      в т.ч. продажа ГДУ по договору поставки</t>
        </is>
      </c>
      <c r="D274" s="15" t="n"/>
      <c r="E274" s="15" t="n"/>
      <c r="F274" s="16" t="n"/>
      <c r="G274" s="17" t="inlineStr">
        <is>
          <t>4_100331856</t>
        </is>
      </c>
      <c r="H274" s="636" t="n"/>
      <c r="I274" s="17" t="n"/>
      <c r="J274" s="767" t="inlineStr">
        <is>
          <t>тыс.т</t>
        </is>
      </c>
    </row>
    <row r="275" ht="18.75" customHeight="1" s="904">
      <c r="B275" s="766" t="n"/>
      <c r="C275" s="769" t="inlineStr">
        <is>
          <t xml:space="preserve">      в т.ч. продажа ГДУ по договору поставки</t>
        </is>
      </c>
      <c r="D275" s="15" t="n"/>
      <c r="E275" s="15" t="n"/>
      <c r="F275" s="16" t="n"/>
      <c r="G275" s="17" t="inlineStr">
        <is>
          <t>4_100331857</t>
        </is>
      </c>
      <c r="H275" s="636" t="n"/>
      <c r="I275" s="17" t="n"/>
      <c r="J275" s="767" t="inlineStr">
        <is>
          <t>млн.м3</t>
        </is>
      </c>
    </row>
    <row r="276" ht="18.75" customHeight="1" s="904">
      <c r="B276" s="766" t="n"/>
      <c r="C276" s="769" t="inlineStr">
        <is>
          <t xml:space="preserve">   Стабильный конденсат (валовый), включая нефть</t>
        </is>
      </c>
      <c r="D276" s="15" t="n"/>
      <c r="E276" s="15" t="n"/>
      <c r="F276" s="16" t="n"/>
      <c r="G276" s="17" t="inlineStr">
        <is>
          <t>4_100331926</t>
        </is>
      </c>
      <c r="H276" s="636" t="n"/>
      <c r="I276" s="17" t="n"/>
      <c r="J276" s="767" t="inlineStr">
        <is>
          <t>тыс.т</t>
        </is>
      </c>
    </row>
    <row r="277" ht="18.75" customHeight="1" s="904">
      <c r="B277" s="766" t="n"/>
      <c r="C277" s="769" t="inlineStr">
        <is>
          <t xml:space="preserve">      в т.ч. ЗПКТ</t>
        </is>
      </c>
      <c r="D277" s="15" t="n"/>
      <c r="E277" s="15" t="n"/>
      <c r="F277" s="16" t="n"/>
      <c r="G277" s="17" t="inlineStr">
        <is>
          <t>4_100335099</t>
        </is>
      </c>
      <c r="H277" s="636" t="n"/>
      <c r="I277" s="17" t="n"/>
      <c r="J277" s="767" t="inlineStr">
        <is>
          <t>тыс.т</t>
        </is>
      </c>
    </row>
    <row r="278" ht="18.75" customHeight="1" s="904">
      <c r="B278" s="766" t="n"/>
      <c r="C278" s="769" t="inlineStr">
        <is>
          <t xml:space="preserve">      с УСК/УДК</t>
        </is>
      </c>
      <c r="D278" s="15" t="n"/>
      <c r="E278" s="15" t="n"/>
      <c r="F278" s="16" t="n"/>
      <c r="G278" s="17" t="inlineStr">
        <is>
          <t>4_100331927</t>
        </is>
      </c>
      <c r="H278" s="636" t="n"/>
      <c r="I278" s="17" t="n"/>
      <c r="J278" s="767" t="inlineStr">
        <is>
          <t>тыс.т</t>
        </is>
      </c>
    </row>
    <row r="279" ht="18.75" customHeight="1" s="904">
      <c r="B279" s="766" t="n"/>
      <c r="C279" s="769" t="inlineStr">
        <is>
          <t xml:space="preserve">      с УСК-2</t>
        </is>
      </c>
      <c r="D279" s="15" t="n"/>
      <c r="E279" s="15" t="n"/>
      <c r="F279" s="16" t="n"/>
      <c r="G279" s="17" t="inlineStr">
        <is>
          <t>4_100331928</t>
        </is>
      </c>
      <c r="H279" s="636" t="n"/>
      <c r="I279" s="17" t="n"/>
      <c r="J279" s="767" t="inlineStr">
        <is>
          <t>тыс.т</t>
        </is>
      </c>
    </row>
    <row r="280" ht="18.75" customHeight="1" s="904">
      <c r="B280" s="766" t="n"/>
      <c r="C280" s="769" t="inlineStr">
        <is>
          <t xml:space="preserve">      в т.ч. ЗСК</t>
        </is>
      </c>
      <c r="D280" s="15" t="n"/>
      <c r="E280" s="15" t="n"/>
      <c r="F280" s="16" t="n"/>
      <c r="G280" s="17" t="inlineStr">
        <is>
          <t>4_100331929</t>
        </is>
      </c>
      <c r="H280" s="636" t="n"/>
      <c r="I280" s="17" t="n"/>
      <c r="J280" s="767" t="inlineStr">
        <is>
          <t>тыс.т</t>
        </is>
      </c>
    </row>
    <row r="281" ht="18.75" customHeight="1" s="904">
      <c r="B281" s="766" t="n"/>
      <c r="C281" s="769" t="inlineStr">
        <is>
          <t xml:space="preserve">   Стабильный конденсат (первичная)</t>
        </is>
      </c>
      <c r="D281" s="15" t="n"/>
      <c r="E281" s="15" t="n"/>
      <c r="F281" s="16" t="n"/>
      <c r="G281" s="17" t="inlineStr">
        <is>
          <t>4_100331930</t>
        </is>
      </c>
      <c r="H281" s="636" t="n"/>
      <c r="I281" s="17" t="n"/>
      <c r="J281" s="767" t="inlineStr">
        <is>
          <t>тыс.т</t>
        </is>
      </c>
    </row>
    <row r="282" ht="18.75" customHeight="1" s="904">
      <c r="B282" s="766" t="n"/>
      <c r="C282" s="769" t="inlineStr">
        <is>
          <t xml:space="preserve">      в т.ч. ЗПКТ</t>
        </is>
      </c>
      <c r="D282" s="15" t="n"/>
      <c r="E282" s="15" t="n"/>
      <c r="F282" s="16" t="n"/>
      <c r="G282" s="17" t="inlineStr">
        <is>
          <t>4_100331931</t>
        </is>
      </c>
      <c r="H282" s="636" t="n"/>
      <c r="I282" s="17" t="n"/>
      <c r="J282" s="767" t="inlineStr">
        <is>
          <t>тыс.т</t>
        </is>
      </c>
    </row>
    <row r="283" ht="18.75" customHeight="1" s="904">
      <c r="B283" s="766" t="n"/>
      <c r="C283" s="769" t="inlineStr">
        <is>
          <t xml:space="preserve">      в т.ч. ЗСК</t>
        </is>
      </c>
      <c r="D283" s="15" t="n"/>
      <c r="E283" s="15" t="n"/>
      <c r="F283" s="16" t="n"/>
      <c r="G283" s="17" t="inlineStr">
        <is>
          <t>4_100331932</t>
        </is>
      </c>
      <c r="H283" s="636" t="n"/>
      <c r="I283" s="17" t="n"/>
      <c r="J283" s="767" t="inlineStr">
        <is>
          <t>тыс.т</t>
        </is>
      </c>
    </row>
    <row r="284" ht="18.75" customHeight="1" s="904">
      <c r="B284" s="766" t="n"/>
      <c r="C284" s="769" t="inlineStr">
        <is>
          <t xml:space="preserve">   Стабильный конденсат (переработка)</t>
        </is>
      </c>
      <c r="D284" s="15" t="n"/>
      <c r="E284" s="15" t="n"/>
      <c r="F284" s="16" t="n"/>
      <c r="G284" s="17" t="inlineStr">
        <is>
          <t>4_100331933</t>
        </is>
      </c>
      <c r="H284" s="636" t="n"/>
      <c r="I284" s="17" t="n"/>
      <c r="J284" s="767" t="inlineStr">
        <is>
          <t>тыс.т</t>
        </is>
      </c>
    </row>
    <row r="285" ht="18.75" customHeight="1" s="904">
      <c r="B285" s="766" t="n"/>
      <c r="C285" s="769" t="inlineStr">
        <is>
          <t xml:space="preserve">      в т.ч. ЗПКТ</t>
        </is>
      </c>
      <c r="D285" s="15" t="n"/>
      <c r="E285" s="15" t="n"/>
      <c r="F285" s="16" t="n"/>
      <c r="G285" s="17" t="inlineStr">
        <is>
          <t>4_100331934</t>
        </is>
      </c>
      <c r="H285" s="636" t="n"/>
      <c r="I285" s="17" t="n"/>
      <c r="J285" s="767" t="inlineStr">
        <is>
          <t>тыс.т</t>
        </is>
      </c>
    </row>
    <row r="286" ht="18.75" customHeight="1" s="904">
      <c r="B286" s="766" t="n"/>
      <c r="C286" s="769" t="inlineStr">
        <is>
          <t xml:space="preserve">         в т.ч. по договору переработки</t>
        </is>
      </c>
      <c r="D286" s="15" t="n"/>
      <c r="E286" s="15" t="n"/>
      <c r="F286" s="16" t="n"/>
      <c r="G286" s="17" t="inlineStr">
        <is>
          <t>4_100335887</t>
        </is>
      </c>
      <c r="H286" s="636" t="n"/>
      <c r="I286" s="17" t="n"/>
      <c r="J286" s="767" t="inlineStr">
        <is>
          <t>тыс.т</t>
        </is>
      </c>
    </row>
    <row r="287" ht="18.75" customHeight="1" s="904">
      <c r="B287" s="766" t="n"/>
      <c r="C287" s="769" t="inlineStr">
        <is>
          <t xml:space="preserve">      в т.ч. ЗСК</t>
        </is>
      </c>
      <c r="D287" s="15" t="n"/>
      <c r="E287" s="15" t="n"/>
      <c r="F287" s="16" t="n"/>
      <c r="G287" s="17" t="inlineStr">
        <is>
          <t>4_100331935</t>
        </is>
      </c>
      <c r="H287" s="636" t="n"/>
      <c r="I287" s="17" t="n"/>
      <c r="J287" s="767" t="inlineStr">
        <is>
          <t>тыс.т</t>
        </is>
      </c>
    </row>
    <row r="288" ht="18.75" customHeight="1" s="904">
      <c r="B288" s="766" t="n"/>
      <c r="C288" s="769" t="inlineStr">
        <is>
          <t xml:space="preserve">         в т.ч. по договору переработки</t>
        </is>
      </c>
      <c r="D288" s="15" t="n"/>
      <c r="E288" s="15" t="n"/>
      <c r="F288" s="16" t="n"/>
      <c r="G288" s="17" t="inlineStr">
        <is>
          <t>4_100335888</t>
        </is>
      </c>
      <c r="H288" s="636" t="n"/>
      <c r="I288" s="17" t="n"/>
      <c r="J288" s="767" t="inlineStr">
        <is>
          <t>тыс.т</t>
        </is>
      </c>
    </row>
    <row r="289" ht="18.75" customHeight="1" s="904">
      <c r="B289" s="766" t="n"/>
      <c r="C289" s="769" t="inlineStr">
        <is>
          <t xml:space="preserve">   ШФЛУ (валовая)</t>
        </is>
      </c>
      <c r="D289" s="15" t="n"/>
      <c r="E289" s="15" t="n"/>
      <c r="F289" s="16" t="n"/>
      <c r="G289" s="17" t="inlineStr">
        <is>
          <t>4_100331892</t>
        </is>
      </c>
      <c r="H289" s="636" t="n"/>
      <c r="I289" s="17" t="n"/>
      <c r="J289" s="767" t="inlineStr">
        <is>
          <t>тыс.т</t>
        </is>
      </c>
    </row>
    <row r="290" ht="18.75" customHeight="1" s="904">
      <c r="B290" s="766" t="n"/>
      <c r="C290" s="769" t="inlineStr">
        <is>
          <t xml:space="preserve">      в т.ч. ЗПКТ</t>
        </is>
      </c>
      <c r="D290" s="15" t="n"/>
      <c r="E290" s="15" t="n"/>
      <c r="F290" s="16" t="n"/>
      <c r="G290" s="17" t="inlineStr">
        <is>
          <t>4_100331893</t>
        </is>
      </c>
      <c r="H290" s="636" t="n"/>
      <c r="I290" s="17" t="n"/>
      <c r="J290" s="767" t="inlineStr">
        <is>
          <t>тыс.т</t>
        </is>
      </c>
    </row>
    <row r="291" ht="18.75" customHeight="1" s="904">
      <c r="B291" s="766" t="n"/>
      <c r="C291" s="769" t="inlineStr">
        <is>
          <t xml:space="preserve">      в т.ч. ЗСК</t>
        </is>
      </c>
      <c r="D291" s="15" t="n"/>
      <c r="E291" s="15" t="n"/>
      <c r="F291" s="16" t="n"/>
      <c r="G291" s="17" t="inlineStr">
        <is>
          <t>4_100331894</t>
        </is>
      </c>
      <c r="H291" s="636" t="n"/>
      <c r="I291" s="17" t="n"/>
      <c r="J291" s="767" t="inlineStr">
        <is>
          <t>тыс.т</t>
        </is>
      </c>
    </row>
    <row r="292" ht="18.75" customHeight="1" s="904">
      <c r="B292" s="766" t="n"/>
      <c r="C292" s="769" t="inlineStr">
        <is>
          <t xml:space="preserve">   ШФЛУ (переработка)</t>
        </is>
      </c>
      <c r="D292" s="15" t="n"/>
      <c r="E292" s="15" t="n"/>
      <c r="F292" s="16" t="n"/>
      <c r="G292" s="17" t="inlineStr">
        <is>
          <t>4_100331895</t>
        </is>
      </c>
      <c r="H292" s="636" t="n"/>
      <c r="I292" s="17" t="n"/>
      <c r="J292" s="767" t="inlineStr">
        <is>
          <t>тыс.т</t>
        </is>
      </c>
    </row>
    <row r="293" ht="18.75" customHeight="1" s="904">
      <c r="B293" s="766" t="n"/>
      <c r="C293" s="769" t="inlineStr">
        <is>
          <t xml:space="preserve">      в т.ч. ЗПКТ</t>
        </is>
      </c>
      <c r="D293" s="15" t="n"/>
      <c r="E293" s="15" t="n"/>
      <c r="F293" s="16" t="n"/>
      <c r="G293" s="17" t="inlineStr">
        <is>
          <t>4_100331896</t>
        </is>
      </c>
      <c r="H293" s="636" t="n"/>
      <c r="I293" s="17" t="n"/>
      <c r="J293" s="767" t="inlineStr">
        <is>
          <t>тыс.т</t>
        </is>
      </c>
    </row>
    <row r="294" ht="18.75" customHeight="1" s="904">
      <c r="B294" s="766" t="n"/>
      <c r="C294" s="769" t="inlineStr">
        <is>
          <t xml:space="preserve">      в т.ч. ЗСК</t>
        </is>
      </c>
      <c r="D294" s="15" t="n"/>
      <c r="E294" s="15" t="n"/>
      <c r="F294" s="16" t="n"/>
      <c r="G294" s="17" t="inlineStr">
        <is>
          <t>4_100331897</t>
        </is>
      </c>
      <c r="H294" s="636" t="n"/>
      <c r="I294" s="17" t="n"/>
      <c r="J294" s="767" t="inlineStr">
        <is>
          <t>тыс.т</t>
        </is>
      </c>
    </row>
    <row r="295" ht="18.75" customHeight="1" s="904">
      <c r="B295" s="766" t="n"/>
      <c r="C295" s="769" t="inlineStr">
        <is>
          <t xml:space="preserve">   Газ сбросной с УСК на СЗСК</t>
        </is>
      </c>
      <c r="D295" s="15" t="n"/>
      <c r="E295" s="15" t="n"/>
      <c r="F295" s="16" t="n"/>
      <c r="G295" s="17" t="inlineStr">
        <is>
          <t>4_100331882</t>
        </is>
      </c>
      <c r="H295" s="636" t="n"/>
      <c r="I295" s="17" t="n"/>
      <c r="J295" s="767" t="inlineStr">
        <is>
          <t>тыс.т</t>
        </is>
      </c>
    </row>
    <row r="296" ht="18.75" customHeight="1" s="904">
      <c r="B296" s="766" t="n"/>
      <c r="C296" s="769" t="inlineStr">
        <is>
          <t xml:space="preserve">      в т.ч. ЗСК</t>
        </is>
      </c>
      <c r="D296" s="15" t="n"/>
      <c r="E296" s="15" t="n"/>
      <c r="F296" s="16" t="n"/>
      <c r="G296" s="17" t="inlineStr">
        <is>
          <t>4_100331882</t>
        </is>
      </c>
      <c r="H296" s="636" t="n"/>
      <c r="I296" s="17" t="n"/>
      <c r="J296" s="767" t="inlineStr">
        <is>
          <t>тыс.т</t>
        </is>
      </c>
    </row>
    <row r="297" ht="18.75" customHeight="1" s="904">
      <c r="B297" s="766" t="n"/>
      <c r="C297" s="769" t="inlineStr">
        <is>
          <t xml:space="preserve">   Газ сбросной с УСК на ЗСК (переработка)</t>
        </is>
      </c>
      <c r="D297" s="15" t="n"/>
      <c r="E297" s="15" t="n"/>
      <c r="F297" s="16" t="n"/>
      <c r="G297" s="17" t="inlineStr">
        <is>
          <t>4_100331884</t>
        </is>
      </c>
      <c r="H297" s="636" t="n"/>
      <c r="I297" s="17" t="n"/>
      <c r="J297" s="767" t="inlineStr">
        <is>
          <t>тыс.т</t>
        </is>
      </c>
    </row>
    <row r="298" ht="18.75" customHeight="1" s="904">
      <c r="B298" s="766" t="n"/>
      <c r="C298" s="769" t="inlineStr">
        <is>
          <t xml:space="preserve">      в т.ч. ЗСК</t>
        </is>
      </c>
      <c r="D298" s="15" t="n"/>
      <c r="E298" s="15" t="n"/>
      <c r="F298" s="16" t="n"/>
      <c r="G298" s="17" t="inlineStr">
        <is>
          <t>4_100331884</t>
        </is>
      </c>
      <c r="H298" s="636" t="n"/>
      <c r="I298" s="17" t="n"/>
      <c r="J298" s="767" t="inlineStr">
        <is>
          <t>тыс.т</t>
        </is>
      </c>
    </row>
    <row r="299" ht="18.75" customHeight="1" s="904">
      <c r="B299" s="766" t="n"/>
      <c r="C299" s="769" t="inlineStr">
        <is>
          <t xml:space="preserve">   Водометанольная смесь</t>
        </is>
      </c>
      <c r="D299" s="15" t="n"/>
      <c r="E299" s="15" t="n"/>
      <c r="F299" s="16" t="n"/>
      <c r="G299" s="17" t="inlineStr">
        <is>
          <t>4_100331943</t>
        </is>
      </c>
      <c r="H299" s="636" t="n"/>
      <c r="I299" s="17" t="n"/>
      <c r="J299" s="767" t="inlineStr">
        <is>
          <t>тыс.т</t>
        </is>
      </c>
    </row>
    <row r="300" ht="18.75" customHeight="1" s="904">
      <c r="B300" s="766" t="n"/>
      <c r="C300" s="769" t="inlineStr">
        <is>
          <t xml:space="preserve">      в т.ч. ЗСК</t>
        </is>
      </c>
      <c r="D300" s="15" t="n"/>
      <c r="E300" s="15" t="n"/>
      <c r="F300" s="16" t="n"/>
      <c r="G300" s="17" t="inlineStr">
        <is>
          <t>4_100331943</t>
        </is>
      </c>
      <c r="H300" s="636" t="n"/>
      <c r="I300" s="17" t="n"/>
      <c r="J300" s="767" t="inlineStr">
        <is>
          <t>тыс.т</t>
        </is>
      </c>
    </row>
    <row r="301" ht="18.75" customHeight="1" s="904">
      <c r="B301" s="766" t="n"/>
      <c r="C301" s="788" t="inlineStr">
        <is>
          <t>ООО "Газпром добыча Краснодар"</t>
        </is>
      </c>
      <c r="D301" s="15" t="n"/>
      <c r="E301" s="15" t="n"/>
      <c r="F301" s="16" t="n"/>
      <c r="G301" s="17" t="n"/>
      <c r="H301" s="636" t="n"/>
      <c r="I301" s="17" t="n"/>
      <c r="J301" s="767" t="n"/>
    </row>
    <row r="302" ht="18.75" customHeight="1" s="904">
      <c r="B302" s="766" t="n"/>
      <c r="C302" s="769" t="inlineStr">
        <is>
          <t xml:space="preserve">   Поставка сырья ПАО "Газпром" для переработки на Сосногорском ГПЗ</t>
        </is>
      </c>
      <c r="D302" s="15" t="n"/>
      <c r="E302" s="15" t="n"/>
      <c r="F302" s="16" t="n"/>
      <c r="G302" s="17" t="n"/>
      <c r="H302" s="636" t="n"/>
      <c r="I302" s="17" t="n"/>
      <c r="J302" s="767" t="n"/>
    </row>
    <row r="303" ht="18.75" customHeight="1" s="904">
      <c r="B303" s="766" t="n"/>
      <c r="C303" s="769" t="inlineStr">
        <is>
          <t xml:space="preserve">      природный газ</t>
        </is>
      </c>
      <c r="D303" s="15" t="n"/>
      <c r="E303" s="15" t="n"/>
      <c r="F303" s="16" t="n"/>
      <c r="G303" s="17" t="inlineStr">
        <is>
          <t>9_100330869</t>
        </is>
      </c>
      <c r="H303" s="636" t="n"/>
      <c r="I303" s="17" t="n"/>
      <c r="J303" s="767" t="inlineStr">
        <is>
          <t>млн.м3</t>
        </is>
      </c>
    </row>
    <row r="304" ht="18.75" customHeight="1" s="904">
      <c r="B304" s="766" t="n"/>
      <c r="C304" s="769" t="inlineStr">
        <is>
          <t xml:space="preserve">      нефтегазоконденсатн.смесь-всего</t>
        </is>
      </c>
      <c r="D304" s="15" t="n"/>
      <c r="E304" s="15" t="n"/>
      <c r="F304" s="16" t="n"/>
      <c r="G304" s="17">
        <f>G305+G306</f>
        <v/>
      </c>
      <c r="H304" s="636" t="n"/>
      <c r="I304" s="17" t="n"/>
      <c r="J304" s="767" t="inlineStr">
        <is>
          <t>тыс.т</t>
        </is>
      </c>
    </row>
    <row r="305" ht="18.75" customHeight="1" s="904">
      <c r="B305" s="766" t="n"/>
      <c r="C305" s="769" t="inlineStr">
        <is>
          <t xml:space="preserve">         в т.ч. нестабильный газовый конденсат</t>
        </is>
      </c>
      <c r="D305" s="15" t="n"/>
      <c r="E305" s="15" t="n"/>
      <c r="F305" s="16" t="n"/>
      <c r="G305" s="17" t="inlineStr">
        <is>
          <t>9_100330875</t>
        </is>
      </c>
      <c r="H305" s="636" t="n"/>
      <c r="I305" s="17" t="n"/>
      <c r="J305" s="767" t="inlineStr">
        <is>
          <t>тыс.т</t>
        </is>
      </c>
    </row>
    <row r="306" ht="18.75" customHeight="1" s="904">
      <c r="B306" s="766" t="n"/>
      <c r="C306" s="769" t="inlineStr">
        <is>
          <t xml:space="preserve">         нефть</t>
        </is>
      </c>
      <c r="D306" s="15" t="n"/>
      <c r="E306" s="15" t="n"/>
      <c r="F306" s="16" t="n"/>
      <c r="G306" s="17" t="inlineStr">
        <is>
          <t>9_100330876</t>
        </is>
      </c>
      <c r="H306" s="636" t="n"/>
      <c r="I306" s="17" t="n"/>
      <c r="J306" s="767" t="inlineStr">
        <is>
          <t>тыс.т</t>
        </is>
      </c>
    </row>
    <row r="307" ht="25.5" customHeight="1" s="904">
      <c r="B307" s="766" t="n"/>
      <c r="C307" s="769" t="inlineStr">
        <is>
          <t xml:space="preserve">   Производство продукции (собственность ООО "Газпром добыча Краснодар")</t>
        </is>
      </c>
      <c r="D307" s="15" t="n"/>
      <c r="E307" s="15" t="n"/>
      <c r="F307" s="16" t="n"/>
      <c r="G307" s="17" t="n"/>
      <c r="H307" s="636" t="n"/>
      <c r="I307" s="17" t="n"/>
      <c r="J307" s="767" t="n"/>
    </row>
    <row r="308" ht="18.75" customHeight="1" s="904">
      <c r="B308" s="766" t="n"/>
      <c r="C308" s="769" t="inlineStr">
        <is>
          <t xml:space="preserve">      Газовый конденсат - валовый</t>
        </is>
      </c>
      <c r="D308" s="15" t="n"/>
      <c r="E308" s="15" t="n"/>
      <c r="F308" s="16" t="n"/>
      <c r="G308" s="17" t="inlineStr">
        <is>
          <t>9_100330879</t>
        </is>
      </c>
      <c r="H308" s="636" t="n"/>
      <c r="I308" s="17" t="n"/>
      <c r="J308" s="767" t="inlineStr">
        <is>
          <t>тыс.т</t>
        </is>
      </c>
    </row>
    <row r="309" ht="18.75" customHeight="1" s="904">
      <c r="B309" s="766" t="n"/>
      <c r="C309" s="769" t="inlineStr">
        <is>
          <t xml:space="preserve">      Газовый конденсат - товарный</t>
        </is>
      </c>
      <c r="D309" s="15" t="n"/>
      <c r="E309" s="15" t="n"/>
      <c r="F309" s="16" t="n"/>
      <c r="G309" s="17" t="inlineStr">
        <is>
          <t>9_100335068</t>
        </is>
      </c>
      <c r="H309" s="636" t="n"/>
      <c r="I309" s="17" t="n"/>
      <c r="J309" s="767" t="inlineStr">
        <is>
          <t>тыс.т</t>
        </is>
      </c>
    </row>
    <row r="310" ht="18.75" customHeight="1" s="904">
      <c r="B310" s="766" t="n"/>
      <c r="C310" s="769" t="inlineStr">
        <is>
          <t xml:space="preserve">      Нефтегазоконденсатная смесь - валовая</t>
        </is>
      </c>
      <c r="D310" s="15" t="n"/>
      <c r="E310" s="15" t="n"/>
      <c r="F310" s="16" t="n"/>
      <c r="G310" s="17" t="inlineStr">
        <is>
          <t>9_100330684</t>
        </is>
      </c>
      <c r="H310" s="636" t="n"/>
      <c r="I310" s="17" t="n"/>
      <c r="J310" s="767" t="inlineStr">
        <is>
          <t>тыс.т</t>
        </is>
      </c>
    </row>
    <row r="311" ht="18.75" customHeight="1" s="904">
      <c r="B311" s="766" t="n"/>
      <c r="C311" s="769" t="inlineStr">
        <is>
          <t xml:space="preserve">      HГКС-товарная</t>
        </is>
      </c>
      <c r="D311" s="15" t="n"/>
      <c r="E311" s="15" t="n"/>
      <c r="F311" s="16" t="n"/>
      <c r="G311" s="17" t="inlineStr">
        <is>
          <t>9_100330683</t>
        </is>
      </c>
      <c r="H311" s="636" t="n"/>
      <c r="I311" s="17" t="n"/>
      <c r="J311" s="767" t="inlineStr">
        <is>
          <t>тыс.т</t>
        </is>
      </c>
    </row>
    <row r="312" ht="18.75" customHeight="1" s="904">
      <c r="B312" s="766" t="n"/>
      <c r="C312" s="788" t="inlineStr">
        <is>
          <t>ООО "Газпром добыча Иркутск"</t>
        </is>
      </c>
      <c r="D312" s="15" t="n"/>
      <c r="E312" s="15" t="n"/>
      <c r="F312" s="16" t="n"/>
      <c r="G312" s="17" t="n"/>
      <c r="H312" s="636" t="n"/>
      <c r="I312" s="17" t="n"/>
      <c r="J312" s="767" t="n"/>
    </row>
    <row r="313" ht="18.75" customHeight="1" s="904">
      <c r="B313" s="766" t="n"/>
      <c r="C313" s="769" t="inlineStr">
        <is>
          <t xml:space="preserve">   Переработка углеводородного сырья  (оказание услуг ПАО "Газпром")</t>
        </is>
      </c>
      <c r="D313" s="15" t="n"/>
      <c r="E313" s="15" t="n"/>
      <c r="F313" s="16" t="n"/>
      <c r="G313" s="17" t="n"/>
      <c r="H313" s="636" t="n"/>
      <c r="I313" s="17" t="n"/>
      <c r="J313" s="767" t="n"/>
    </row>
    <row r="314" ht="18.75" customHeight="1" s="904">
      <c r="B314" s="766" t="n"/>
      <c r="C314" s="769" t="inlineStr">
        <is>
          <t xml:space="preserve">      Нестабильный газовый конденсат</t>
        </is>
      </c>
      <c r="D314" s="15" t="n"/>
      <c r="E314" s="15" t="n"/>
      <c r="F314" s="16" t="n"/>
      <c r="G314" s="17" t="inlineStr">
        <is>
          <t>12_100330735</t>
        </is>
      </c>
      <c r="H314" s="636" t="n"/>
      <c r="I314" s="17" t="n"/>
      <c r="J314" s="767" t="inlineStr">
        <is>
          <t>тыс.т</t>
        </is>
      </c>
    </row>
    <row r="315" ht="18.75" customHeight="1" s="904">
      <c r="B315" s="766" t="n"/>
      <c r="C315" s="769" t="inlineStr">
        <is>
          <t xml:space="preserve">   Производство продукции (собственность ПАО "Газпром")</t>
        </is>
      </c>
      <c r="D315" s="15" t="n"/>
      <c r="E315" s="15" t="n"/>
      <c r="F315" s="16" t="n"/>
      <c r="G315" s="17" t="n"/>
      <c r="H315" s="636" t="n"/>
      <c r="I315" s="17" t="n"/>
      <c r="J315" s="767" t="n"/>
    </row>
    <row r="316" ht="18.75" customHeight="1" s="904">
      <c r="B316" s="766" t="n"/>
      <c r="C316" s="769" t="inlineStr">
        <is>
          <t xml:space="preserve">      Стабильный газовый конденсат - валовый</t>
        </is>
      </c>
      <c r="D316" s="15" t="n"/>
      <c r="E316" s="15" t="n"/>
      <c r="F316" s="16" t="n"/>
      <c r="G316" s="17" t="inlineStr">
        <is>
          <t>12_100335331</t>
        </is>
      </c>
      <c r="H316" s="636" t="n"/>
      <c r="I316" s="17" t="n"/>
      <c r="J316" s="767" t="inlineStr">
        <is>
          <t>тыс.т</t>
        </is>
      </c>
    </row>
    <row r="317" ht="18.75" customHeight="1" s="904">
      <c r="B317" s="766" t="n"/>
      <c r="C317" s="769" t="inlineStr">
        <is>
          <t xml:space="preserve">      Стабильный газовый конденсат - товарный</t>
        </is>
      </c>
      <c r="D317" s="15" t="n"/>
      <c r="E317" s="15" t="n"/>
      <c r="F317" s="16" t="n"/>
      <c r="G317" s="17" t="inlineStr">
        <is>
          <t>12_100330867</t>
        </is>
      </c>
      <c r="H317" s="636" t="n"/>
      <c r="I317" s="17" t="n"/>
      <c r="J317" s="767" t="inlineStr">
        <is>
          <t>тыс.т</t>
        </is>
      </c>
    </row>
    <row r="318" ht="18.75" customHeight="1" s="904">
      <c r="B318" s="766" t="n"/>
      <c r="C318" s="769" t="inlineStr">
        <is>
          <t xml:space="preserve">      Газы углеводородные сжиженные</t>
        </is>
      </c>
      <c r="D318" s="15" t="n"/>
      <c r="E318" s="15" t="n"/>
      <c r="F318" s="16" t="n"/>
      <c r="G318" s="17" t="inlineStr">
        <is>
          <t>12_100330866</t>
        </is>
      </c>
      <c r="H318" s="636" t="n"/>
      <c r="I318" s="17" t="n"/>
      <c r="J318" s="767" t="inlineStr">
        <is>
          <t>тыс.т</t>
        </is>
      </c>
    </row>
    <row r="319" ht="18.75" customHeight="1" s="904">
      <c r="B319" s="766" t="n"/>
      <c r="C319" s="769" t="inlineStr">
        <is>
          <t xml:space="preserve">   Справочно:</t>
        </is>
      </c>
      <c r="D319" s="15" t="n"/>
      <c r="E319" s="15" t="n"/>
      <c r="F319" s="16" t="n"/>
      <c r="G319" s="17" t="n"/>
      <c r="H319" s="636" t="n"/>
      <c r="I319" s="17" t="n"/>
      <c r="J319" s="767" t="n"/>
    </row>
    <row r="320" ht="18.75" customHeight="1" s="904">
      <c r="B320" s="766" t="n"/>
      <c r="C320" s="769" t="inlineStr">
        <is>
          <t xml:space="preserve">      СК на собственные нужды ООО "Газпром добыча Иркутск"</t>
        </is>
      </c>
      <c r="D320" s="15" t="n"/>
      <c r="E320" s="15" t="n"/>
      <c r="F320" s="16" t="n"/>
      <c r="G320" s="17" t="inlineStr">
        <is>
          <t>12_100330737</t>
        </is>
      </c>
      <c r="H320" s="636" t="n"/>
      <c r="I320" s="17" t="n"/>
      <c r="J320" s="767" t="inlineStr">
        <is>
          <t>тыс.т</t>
        </is>
      </c>
    </row>
    <row r="321" ht="18.75" customHeight="1" s="904">
      <c r="B321" s="766" t="n"/>
      <c r="C321" s="769" t="inlineStr">
        <is>
          <t xml:space="preserve">      СК на  заполнение конденсатопровода  (собственность ПАО "Газпром")</t>
        </is>
      </c>
      <c r="D321" s="15" t="n"/>
      <c r="E321" s="15" t="n"/>
      <c r="F321" s="16" t="n"/>
      <c r="G321" s="17" t="inlineStr">
        <is>
          <t>12_100335698</t>
        </is>
      </c>
      <c r="H321" s="636" t="n"/>
      <c r="I321" s="17" t="n"/>
      <c r="J321" s="767" t="inlineStr">
        <is>
          <t>тыс.т</t>
        </is>
      </c>
    </row>
    <row r="322" ht="25.5" customHeight="1" s="904">
      <c r="B322" s="766" t="n"/>
      <c r="C322" s="769" t="inlineStr">
        <is>
          <t xml:space="preserve">      СК на  вытеснение  из конденсатопровода (собственность ПАО "Газпром")</t>
        </is>
      </c>
      <c r="D322" s="15" t="n"/>
      <c r="E322" s="15" t="n"/>
      <c r="F322" s="16" t="n"/>
      <c r="G322" s="17" t="inlineStr">
        <is>
          <t>12_100335699</t>
        </is>
      </c>
      <c r="H322" s="636" t="n"/>
      <c r="I322" s="17" t="n"/>
      <c r="J322" s="767" t="inlineStr">
        <is>
          <t>тыс.т</t>
        </is>
      </c>
    </row>
    <row r="323" ht="25.5" customHeight="1" s="904">
      <c r="B323" s="766" t="n"/>
      <c r="C323" s="769" t="inlineStr">
        <is>
          <t xml:space="preserve">      Транспортировка СК (собств. ПАО "Газпром") по конденсатопроводу от УКПГ-2 до ТОК "Окунайский"</t>
        </is>
      </c>
      <c r="D323" s="15" t="n"/>
      <c r="E323" s="15" t="n"/>
      <c r="F323" s="16" t="n"/>
      <c r="G323" s="17" t="inlineStr">
        <is>
          <t>12_100336108</t>
        </is>
      </c>
      <c r="H323" s="636" t="n"/>
      <c r="I323" s="17" t="n"/>
      <c r="J323" s="767" t="inlineStr">
        <is>
          <t>тыс.т</t>
        </is>
      </c>
    </row>
    <row r="324" ht="18.75" customHeight="1" s="904">
      <c r="B324" s="766" t="n"/>
      <c r="C324" s="769" t="inlineStr">
        <is>
          <t xml:space="preserve">      Нефть товар</t>
        </is>
      </c>
      <c r="D324" s="15" t="n"/>
      <c r="E324" s="15" t="n"/>
      <c r="F324" s="16" t="n"/>
      <c r="G324" s="17" t="inlineStr">
        <is>
          <t>12_100336112</t>
        </is>
      </c>
      <c r="H324" s="636" t="n"/>
      <c r="I324" s="17" t="n"/>
      <c r="J324" s="767" t="inlineStr">
        <is>
          <t>тыс.т</t>
        </is>
      </c>
    </row>
    <row r="325" ht="18.75" customHeight="1" s="904">
      <c r="B325" s="766" t="n"/>
      <c r="C325" s="769" t="inlineStr">
        <is>
          <t xml:space="preserve">         в т.ч. нефть на компаундирование, покупка</t>
        </is>
      </c>
      <c r="D325" s="15" t="n"/>
      <c r="E325" s="15" t="n"/>
      <c r="F325" s="16" t="n"/>
      <c r="G325" s="17" t="inlineStr">
        <is>
          <t>12_100336113</t>
        </is>
      </c>
      <c r="H325" s="636" t="n"/>
      <c r="I325" s="17" t="n"/>
      <c r="J325" s="767" t="inlineStr">
        <is>
          <t>тыс.т</t>
        </is>
      </c>
    </row>
    <row r="326" ht="18.75" customHeight="1" s="904">
      <c r="B326" s="766" t="n"/>
      <c r="C326" s="788" t="inlineStr">
        <is>
          <t>ООО "Газпром добыча шельф Южно-Сахалинск"</t>
        </is>
      </c>
      <c r="D326" s="15" t="n"/>
      <c r="E326" s="15" t="n"/>
      <c r="F326" s="16" t="n"/>
      <c r="G326" s="17" t="n"/>
      <c r="H326" s="636" t="n"/>
      <c r="I326" s="17" t="n"/>
      <c r="J326" s="767" t="n"/>
    </row>
    <row r="327" ht="25.5" customHeight="1" s="904">
      <c r="B327" s="766" t="n"/>
      <c r="C327" s="769" t="inlineStr">
        <is>
          <t xml:space="preserve">   Переработка нестабильного газового конденсата  (собственность ПАО "Газпром")</t>
        </is>
      </c>
      <c r="D327" s="15" t="n"/>
      <c r="E327" s="15" t="n"/>
      <c r="F327" s="16" t="n"/>
      <c r="G327" s="17" t="inlineStr">
        <is>
          <t>13_100332291</t>
        </is>
      </c>
      <c r="H327" s="636" t="n"/>
      <c r="I327" s="17" t="n"/>
      <c r="J327" s="767" t="inlineStr">
        <is>
          <t>тыс.т</t>
        </is>
      </c>
    </row>
    <row r="328" ht="18.75" customHeight="1" s="904">
      <c r="B328" s="766" t="n"/>
      <c r="C328" s="769" t="inlineStr">
        <is>
          <t xml:space="preserve">      Производство продукции (собственность ПАО "Газпром")</t>
        </is>
      </c>
      <c r="D328" s="15" t="n"/>
      <c r="E328" s="15" t="n"/>
      <c r="F328" s="16" t="n"/>
      <c r="G328" s="17" t="n"/>
      <c r="H328" s="636" t="n"/>
      <c r="I328" s="17" t="n"/>
      <c r="J328" s="767" t="n"/>
    </row>
    <row r="329" ht="18.75" customHeight="1" s="904">
      <c r="B329" s="766" t="n"/>
      <c r="C329" s="769" t="inlineStr">
        <is>
          <t xml:space="preserve">         Стабильный газовый конденсат - производство</t>
        </is>
      </c>
      <c r="D329" s="15" t="n"/>
      <c r="E329" s="15" t="n"/>
      <c r="F329" s="16" t="n"/>
      <c r="G329" s="17" t="inlineStr">
        <is>
          <t>13_100330880</t>
        </is>
      </c>
      <c r="H329" s="636" t="n"/>
      <c r="I329" s="17" t="n"/>
      <c r="J329" s="767" t="inlineStr">
        <is>
          <t>тыс.т</t>
        </is>
      </c>
    </row>
    <row r="330" ht="18.75" customHeight="1" s="904">
      <c r="B330" s="766" t="n"/>
      <c r="C330" s="769" t="inlineStr">
        <is>
          <t xml:space="preserve">            в т.ч. Киринское ГКМ</t>
        </is>
      </c>
      <c r="D330" s="15" t="n"/>
      <c r="E330" s="15" t="n"/>
      <c r="F330" s="16" t="n"/>
      <c r="G330" s="17" t="inlineStr">
        <is>
          <t>13_100335769</t>
        </is>
      </c>
      <c r="H330" s="636" t="n"/>
      <c r="I330" s="17" t="n"/>
      <c r="J330" s="767" t="inlineStr">
        <is>
          <t>тыс.т</t>
        </is>
      </c>
    </row>
    <row r="331" ht="18.75" customHeight="1" s="904">
      <c r="B331" s="766" t="n"/>
      <c r="C331" s="769" t="inlineStr">
        <is>
          <t xml:space="preserve">         Стабильный газовый конденсат - товарный</t>
        </is>
      </c>
      <c r="D331" s="15" t="n"/>
      <c r="E331" s="15" t="n"/>
      <c r="F331" s="16" t="n"/>
      <c r="G331" s="17" t="inlineStr">
        <is>
          <t>13_100330880</t>
        </is>
      </c>
      <c r="H331" s="636" t="n"/>
      <c r="I331" s="17" t="n"/>
      <c r="J331" s="767" t="inlineStr">
        <is>
          <t>тыс.т</t>
        </is>
      </c>
    </row>
    <row r="332" ht="18.75" customHeight="1" s="904">
      <c r="B332" s="766" t="n"/>
      <c r="C332" s="769" t="inlineStr">
        <is>
          <t xml:space="preserve">            в т.ч. Киринское ГКМ</t>
        </is>
      </c>
      <c r="D332" s="15" t="n"/>
      <c r="E332" s="15" t="n"/>
      <c r="F332" s="16" t="n"/>
      <c r="G332" s="17" t="inlineStr">
        <is>
          <t>13_100335769</t>
        </is>
      </c>
      <c r="H332" s="636" t="n"/>
      <c r="I332" s="17" t="n"/>
      <c r="J332" s="767" t="inlineStr">
        <is>
          <t>тыс.т</t>
        </is>
      </c>
    </row>
    <row r="333" ht="18.75" customHeight="1" s="904">
      <c r="B333" s="766" t="n"/>
      <c r="C333" s="788" t="inlineStr">
        <is>
          <t>ООО "Газпром добыча Надым"</t>
        </is>
      </c>
      <c r="D333" s="15" t="n"/>
      <c r="E333" s="15" t="n"/>
      <c r="F333" s="16" t="n"/>
      <c r="G333" s="17" t="n"/>
      <c r="H333" s="636" t="n"/>
      <c r="I333" s="17" t="n"/>
      <c r="J333" s="767" t="n"/>
    </row>
    <row r="334" ht="25.5" customHeight="1" s="904">
      <c r="B334" s="766" t="n"/>
      <c r="C334" s="769" t="inlineStr">
        <is>
          <t xml:space="preserve">   Поставка сырья в адрес ГПНЗ   (собственность ООО "Газпром добыча Надым")</t>
        </is>
      </c>
      <c r="D334" s="15" t="n"/>
      <c r="E334" s="15" t="n"/>
      <c r="F334" s="16" t="n"/>
      <c r="G334" s="17" t="inlineStr">
        <is>
          <t>11_100335592</t>
        </is>
      </c>
      <c r="H334" s="636" t="n"/>
      <c r="I334" s="17" t="n"/>
      <c r="J334" s="767" t="inlineStr">
        <is>
          <t>тыс.т</t>
        </is>
      </c>
    </row>
    <row r="335" ht="18.75" customHeight="1" s="904">
      <c r="B335" s="766" t="n"/>
      <c r="C335" s="769" t="inlineStr">
        <is>
          <t xml:space="preserve">      Бованенковское НГКМ (неоком-юра)</t>
        </is>
      </c>
      <c r="D335" s="15" t="n"/>
      <c r="E335" s="15" t="n"/>
      <c r="F335" s="16" t="n"/>
      <c r="G335" s="17" t="inlineStr">
        <is>
          <t>11_100335593</t>
        </is>
      </c>
      <c r="H335" s="636" t="n"/>
      <c r="I335" s="17" t="n"/>
      <c r="J335" s="767" t="inlineStr">
        <is>
          <t>тыс.т</t>
        </is>
      </c>
    </row>
    <row r="336" ht="18.75" customHeight="1" s="904">
      <c r="B336" s="766" t="n"/>
      <c r="C336" s="769" t="inlineStr">
        <is>
          <t xml:space="preserve">      Харасавэйское ГКМ (неоком-юра)</t>
        </is>
      </c>
      <c r="D336" s="15" t="n"/>
      <c r="E336" s="15" t="n"/>
      <c r="F336" s="16" t="n"/>
      <c r="G336" s="17" t="inlineStr">
        <is>
          <t>11_100335658</t>
        </is>
      </c>
      <c r="H336" s="636" t="n"/>
      <c r="I336" s="17" t="n"/>
      <c r="J336" s="767" t="inlineStr">
        <is>
          <t>тыс.т</t>
        </is>
      </c>
    </row>
    <row r="337" ht="25.5" customHeight="1" s="904">
      <c r="B337" s="766" t="n"/>
      <c r="C337" s="769" t="inlineStr">
        <is>
          <t xml:space="preserve">   Переработка углеводородного сырья (собственность ООО "Газпром добыча Надым")</t>
        </is>
      </c>
      <c r="D337" s="15" t="n"/>
      <c r="E337" s="15" t="n"/>
      <c r="F337" s="16" t="n"/>
      <c r="G337" s="17" t="n"/>
      <c r="H337" s="636" t="n"/>
      <c r="I337" s="17" t="n"/>
      <c r="J337" s="767" t="n"/>
    </row>
    <row r="338" ht="18.75" customHeight="1" s="904">
      <c r="B338" s="766" t="n"/>
      <c r="C338" s="769" t="inlineStr">
        <is>
          <t xml:space="preserve">   нестабильный газовый конденсат</t>
        </is>
      </c>
      <c r="D338" s="15" t="n"/>
      <c r="E338" s="15" t="n"/>
      <c r="F338" s="16" t="n"/>
      <c r="G338" s="17" t="inlineStr">
        <is>
          <t>11_100330015</t>
        </is>
      </c>
      <c r="H338" s="636" t="n"/>
      <c r="I338" s="17" t="n"/>
      <c r="J338" s="767" t="inlineStr">
        <is>
          <t>тыс.т</t>
        </is>
      </c>
    </row>
    <row r="339" ht="18.75" customHeight="1" s="904">
      <c r="B339" s="766" t="n"/>
      <c r="C339" s="769" t="inlineStr">
        <is>
          <t xml:space="preserve">   Производство продукции (собственность ООО "Газпром добыча Надым")</t>
        </is>
      </c>
      <c r="D339" s="15" t="n"/>
      <c r="E339" s="15" t="n"/>
      <c r="F339" s="16" t="n"/>
      <c r="G339" s="17" t="n"/>
      <c r="H339" s="636" t="n"/>
      <c r="I339" s="17" t="n"/>
      <c r="J339" s="767" t="n"/>
    </row>
    <row r="340" ht="18.75" customHeight="1" s="904">
      <c r="B340" s="766" t="n"/>
      <c r="C340" s="769" t="inlineStr">
        <is>
          <t xml:space="preserve">      Стабильный газовый конденсат - валовый</t>
        </is>
      </c>
      <c r="D340" s="15" t="n"/>
      <c r="E340" s="15" t="n"/>
      <c r="F340" s="16" t="n"/>
      <c r="G340" s="17" t="inlineStr">
        <is>
          <t>11_100330100</t>
        </is>
      </c>
      <c r="H340" s="636" t="n"/>
      <c r="I340" s="17" t="n"/>
      <c r="J340" s="767" t="inlineStr">
        <is>
          <t>тыс.т</t>
        </is>
      </c>
    </row>
    <row r="341" ht="18.75" customHeight="1" s="904">
      <c r="B341" s="766" t="n"/>
      <c r="C341" s="769" t="inlineStr">
        <is>
          <t xml:space="preserve">         в т.ч. Бованенковское НГКМ (апт)</t>
        </is>
      </c>
      <c r="D341" s="15" t="n"/>
      <c r="E341" s="15" t="n"/>
      <c r="F341" s="16" t="n"/>
      <c r="G341" s="17" t="inlineStr">
        <is>
          <t>11_100330704</t>
        </is>
      </c>
      <c r="H341" s="636" t="n"/>
      <c r="I341" s="17" t="n"/>
      <c r="J341" s="767" t="inlineStr">
        <is>
          <t>тыс.т</t>
        </is>
      </c>
    </row>
    <row r="342" ht="18.75" customHeight="1" s="904">
      <c r="B342" s="766" t="n"/>
      <c r="C342" s="769" t="inlineStr">
        <is>
          <t xml:space="preserve">         Медвежье НГКМ (апт-альб)</t>
        </is>
      </c>
      <c r="D342" s="15" t="n"/>
      <c r="E342" s="15" t="n"/>
      <c r="F342" s="16" t="n"/>
      <c r="G342" s="17" t="inlineStr">
        <is>
          <t>11_100330702</t>
        </is>
      </c>
      <c r="H342" s="636" t="n"/>
      <c r="I342" s="17" t="n"/>
      <c r="J342" s="767" t="inlineStr">
        <is>
          <t>тыс.т</t>
        </is>
      </c>
    </row>
    <row r="343" ht="18.75" customHeight="1" s="904">
      <c r="B343" s="766" t="n"/>
      <c r="C343" s="769" t="inlineStr">
        <is>
          <t xml:space="preserve">         Юбилейное НГКМ (апт-альб)</t>
        </is>
      </c>
      <c r="D343" s="15" t="n"/>
      <c r="E343" s="15" t="n"/>
      <c r="F343" s="16" t="n"/>
      <c r="G343" s="17" t="inlineStr">
        <is>
          <t>11_100330703</t>
        </is>
      </c>
      <c r="H343" s="636" t="n"/>
      <c r="I343" s="17" t="n"/>
      <c r="J343" s="767" t="inlineStr">
        <is>
          <t>тыс.т</t>
        </is>
      </c>
    </row>
    <row r="344" ht="18.75" customHeight="1" s="904">
      <c r="B344" s="766" t="n"/>
      <c r="C344" s="769" t="inlineStr">
        <is>
          <t xml:space="preserve">         Харасавэйское ГКМ</t>
        </is>
      </c>
      <c r="D344" s="15" t="n"/>
      <c r="E344" s="15" t="n"/>
      <c r="F344" s="16" t="n"/>
      <c r="G344" s="17" t="inlineStr">
        <is>
          <t>11_100333688</t>
        </is>
      </c>
      <c r="H344" s="636" t="n"/>
      <c r="I344" s="17" t="n"/>
      <c r="J344" s="767" t="inlineStr">
        <is>
          <t>тыс.т</t>
        </is>
      </c>
    </row>
    <row r="345" ht="18.75" customHeight="1" s="904">
      <c r="B345" s="766" t="n"/>
      <c r="C345" s="769" t="inlineStr">
        <is>
          <t xml:space="preserve">      Стабильный газовый конденсат на собственные нужды</t>
        </is>
      </c>
      <c r="D345" s="15" t="n"/>
      <c r="E345" s="15" t="n"/>
      <c r="F345" s="16" t="n"/>
      <c r="G345" s="17" t="inlineStr">
        <is>
          <t>11_100330705</t>
        </is>
      </c>
      <c r="H345" s="636" t="n"/>
      <c r="I345" s="17" t="n"/>
      <c r="J345" s="767" t="inlineStr">
        <is>
          <t>тыс.т</t>
        </is>
      </c>
    </row>
    <row r="346" ht="18.75" customHeight="1" s="904">
      <c r="B346" s="766" t="n"/>
      <c r="C346" s="769" t="inlineStr">
        <is>
          <t xml:space="preserve">         в т.ч. Бованенковское НГКМ (апт)</t>
        </is>
      </c>
      <c r="D346" s="15" t="n"/>
      <c r="E346" s="15" t="n"/>
      <c r="F346" s="16" t="n"/>
      <c r="G346" s="17" t="inlineStr">
        <is>
          <t>11_100330708</t>
        </is>
      </c>
      <c r="H346" s="636" t="n"/>
      <c r="I346" s="17" t="n"/>
      <c r="J346" s="767" t="inlineStr">
        <is>
          <t>тыс.т</t>
        </is>
      </c>
    </row>
    <row r="347" ht="18.75" customHeight="1" s="904">
      <c r="B347" s="766" t="n"/>
      <c r="C347" s="769" t="inlineStr">
        <is>
          <t xml:space="preserve">         Медвежье НГКМ (апт-альб)</t>
        </is>
      </c>
      <c r="D347" s="15" t="n"/>
      <c r="E347" s="15" t="n"/>
      <c r="F347" s="16" t="n"/>
      <c r="G347" s="17" t="inlineStr">
        <is>
          <t>11_100330706</t>
        </is>
      </c>
      <c r="H347" s="636" t="n"/>
      <c r="I347" s="17" t="n"/>
      <c r="J347" s="767" t="inlineStr">
        <is>
          <t>тыс.т</t>
        </is>
      </c>
    </row>
    <row r="348" ht="18.75" customHeight="1" s="904">
      <c r="B348" s="766" t="n"/>
      <c r="C348" s="769" t="inlineStr">
        <is>
          <t xml:space="preserve">         Юбилейное НГКМ (апт-альб)</t>
        </is>
      </c>
      <c r="D348" s="15" t="n"/>
      <c r="E348" s="15" t="n"/>
      <c r="F348" s="16" t="n"/>
      <c r="G348" s="17" t="inlineStr">
        <is>
          <t>11_100330707</t>
        </is>
      </c>
      <c r="H348" s="636" t="n"/>
      <c r="I348" s="17" t="n"/>
      <c r="J348" s="767" t="inlineStr">
        <is>
          <t>тыс.т</t>
        </is>
      </c>
    </row>
    <row r="349" ht="18.75" customHeight="1" s="904">
      <c r="B349" s="766" t="n"/>
      <c r="C349" s="769" t="inlineStr">
        <is>
          <t xml:space="preserve">         Харасавэйское ГКМ</t>
        </is>
      </c>
      <c r="D349" s="15" t="n"/>
      <c r="E349" s="15" t="n"/>
      <c r="F349" s="16" t="n"/>
      <c r="G349" s="17" t="inlineStr">
        <is>
          <t>11_100333689</t>
        </is>
      </c>
      <c r="H349" s="636" t="n"/>
      <c r="I349" s="17" t="n"/>
      <c r="J349" s="767" t="inlineStr">
        <is>
          <t>тыс.т</t>
        </is>
      </c>
    </row>
    <row r="350" ht="18.75" customHeight="1" s="904">
      <c r="B350" s="766" t="n"/>
      <c r="C350" s="769" t="inlineStr">
        <is>
          <t xml:space="preserve">      Стабильный газовый конденсат - товарный</t>
        </is>
      </c>
      <c r="D350" s="15" t="n"/>
      <c r="E350" s="15" t="n"/>
      <c r="F350" s="16" t="n"/>
      <c r="G350" s="17" t="inlineStr">
        <is>
          <t>11_100330954</t>
        </is>
      </c>
      <c r="H350" s="636" t="n"/>
      <c r="I350" s="17" t="n"/>
      <c r="J350" s="767" t="inlineStr">
        <is>
          <t>тыс.т</t>
        </is>
      </c>
    </row>
    <row r="351" ht="18.75" customHeight="1" s="904">
      <c r="B351" s="766" t="n"/>
      <c r="C351" s="769" t="inlineStr">
        <is>
          <t xml:space="preserve">         в т.ч. Бованенковское НГКМ (апт)</t>
        </is>
      </c>
      <c r="D351" s="15" t="n"/>
      <c r="E351" s="15" t="n"/>
      <c r="F351" s="16" t="n"/>
      <c r="G351" s="17" t="inlineStr">
        <is>
          <t>11_100330695</t>
        </is>
      </c>
      <c r="H351" s="636" t="n"/>
      <c r="I351" s="17" t="n"/>
      <c r="J351" s="767" t="inlineStr">
        <is>
          <t>тыс.т</t>
        </is>
      </c>
    </row>
    <row r="352" ht="18.75" customHeight="1" s="904">
      <c r="B352" s="766" t="n"/>
      <c r="C352" s="769" t="inlineStr">
        <is>
          <t xml:space="preserve">         Медвежье НГКМ (апт-альб)</t>
        </is>
      </c>
      <c r="D352" s="15" t="n"/>
      <c r="E352" s="15" t="n"/>
      <c r="F352" s="16" t="n"/>
      <c r="G352" s="17" t="inlineStr">
        <is>
          <t>11_100330693</t>
        </is>
      </c>
      <c r="H352" s="636" t="n"/>
      <c r="I352" s="17" t="n"/>
      <c r="J352" s="767" t="inlineStr">
        <is>
          <t>тыс.т</t>
        </is>
      </c>
    </row>
    <row r="353" ht="18.75" customHeight="1" s="904">
      <c r="B353" s="766" t="n"/>
      <c r="C353" s="769" t="inlineStr">
        <is>
          <t xml:space="preserve">         Юбилейное НГКМ (апт-альб)</t>
        </is>
      </c>
      <c r="D353" s="15" t="n"/>
      <c r="E353" s="15" t="n"/>
      <c r="F353" s="16" t="n"/>
      <c r="G353" s="17" t="inlineStr">
        <is>
          <t>11_100330694</t>
        </is>
      </c>
      <c r="H353" s="636" t="n"/>
      <c r="I353" s="17" t="n"/>
      <c r="J353" s="767" t="inlineStr">
        <is>
          <t>тыс.т</t>
        </is>
      </c>
    </row>
    <row r="354" ht="18.75" customHeight="1" s="904">
      <c r="B354" s="766" t="n"/>
      <c r="C354" s="769" t="inlineStr">
        <is>
          <t xml:space="preserve">         Харасавэйское ГКМ</t>
        </is>
      </c>
      <c r="D354" s="15" t="n"/>
      <c r="E354" s="15" t="n"/>
      <c r="F354" s="16" t="n"/>
      <c r="G354" s="17" t="inlineStr">
        <is>
          <t>11_100333685</t>
        </is>
      </c>
      <c r="H354" s="636" t="n"/>
      <c r="I354" s="17" t="n"/>
      <c r="J354" s="767" t="inlineStr">
        <is>
          <t>тыс.т</t>
        </is>
      </c>
    </row>
    <row r="355" ht="18.75" customHeight="1" s="904">
      <c r="B355" s="766" t="n"/>
      <c r="C355" s="769" t="inlineStr">
        <is>
          <t>ООО "Газпром добыча Ноябрьск"</t>
        </is>
      </c>
      <c r="D355" s="15" t="n"/>
      <c r="E355" s="15" t="n"/>
      <c r="F355" s="16" t="n"/>
      <c r="G355" s="17" t="n"/>
      <c r="H355" s="636" t="n"/>
      <c r="I355" s="17" t="n"/>
      <c r="J355" s="767" t="n"/>
    </row>
    <row r="356" ht="25.5" customHeight="1" s="904">
      <c r="B356" s="766" t="n"/>
      <c r="C356" s="769" t="inlineStr">
        <is>
          <t xml:space="preserve">   Переработка углеводородного сырья (собственность ООО "Газпром добыча Ноябрьск")</t>
        </is>
      </c>
      <c r="D356" s="15" t="n"/>
      <c r="E356" s="15" t="n"/>
      <c r="F356" s="16" t="n"/>
      <c r="G356" s="17" t="n"/>
      <c r="H356" s="636" t="n"/>
      <c r="I356" s="17" t="n"/>
      <c r="J356" s="767" t="n"/>
    </row>
    <row r="357" ht="18.75" customHeight="1" s="904">
      <c r="B357" s="766" t="n"/>
      <c r="C357" s="769" t="inlineStr">
        <is>
          <t xml:space="preserve">   Нестабильный газовый конденсат (Камчатское ГПУ)</t>
        </is>
      </c>
      <c r="D357" s="15" t="n"/>
      <c r="E357" s="15" t="n"/>
      <c r="F357" s="16" t="n"/>
      <c r="G357" s="17" t="inlineStr">
        <is>
          <t>10_100330718</t>
        </is>
      </c>
      <c r="H357" s="636" t="n"/>
      <c r="I357" s="17" t="n"/>
      <c r="J357" s="767" t="inlineStr">
        <is>
          <t>тыс.т</t>
        </is>
      </c>
    </row>
    <row r="358" ht="18.75" customHeight="1" s="904">
      <c r="B358" s="766" t="n"/>
      <c r="C358" s="769" t="inlineStr">
        <is>
          <t xml:space="preserve">   Нестабильный газовый конденсат (Западно-Таркосалинское НГКМ)</t>
        </is>
      </c>
      <c r="D358" s="15" t="n"/>
      <c r="E358" s="15" t="n"/>
      <c r="F358" s="16" t="n"/>
      <c r="G358" s="17" t="inlineStr">
        <is>
          <t>10_100330719</t>
        </is>
      </c>
      <c r="H358" s="636" t="n"/>
      <c r="I358" s="17" t="n"/>
      <c r="J358" s="767" t="inlineStr">
        <is>
          <t>тыс.т</t>
        </is>
      </c>
    </row>
    <row r="359" ht="18.75" customHeight="1" s="904">
      <c r="B359" s="766" t="n"/>
      <c r="C359" s="769" t="inlineStr">
        <is>
          <t xml:space="preserve">   Нестабильный газовый конденсат (Тас-Юряхское НГКМ, ДРОД)</t>
        </is>
      </c>
      <c r="D359" s="15" t="n"/>
      <c r="E359" s="15" t="n"/>
      <c r="F359" s="16" t="n"/>
      <c r="G359" s="17" t="inlineStr">
        <is>
          <t>10_100336327</t>
        </is>
      </c>
      <c r="H359" s="636" t="n"/>
      <c r="I359" s="17" t="n"/>
      <c r="J359" s="767" t="inlineStr">
        <is>
          <t>тыс.т</t>
        </is>
      </c>
    </row>
    <row r="360" ht="18.75" customHeight="1" s="904">
      <c r="B360" s="766" t="n"/>
      <c r="C360" s="769" t="inlineStr">
        <is>
          <t xml:space="preserve">   Нестабильный газовый конденсат (Верхневилючанское НГКМ, ДРОД)</t>
        </is>
      </c>
      <c r="D360" s="15" t="n"/>
      <c r="E360" s="15" t="n"/>
      <c r="F360" s="16" t="n"/>
      <c r="G360" s="17" t="inlineStr">
        <is>
          <t>10_100337128</t>
        </is>
      </c>
      <c r="H360" s="636" t="n"/>
      <c r="I360" s="17" t="n"/>
      <c r="J360" s="767" t="inlineStr">
        <is>
          <t>тыс.т</t>
        </is>
      </c>
    </row>
    <row r="361" ht="18.75" customHeight="1" s="904">
      <c r="B361" s="766" t="n"/>
      <c r="C361" s="769" t="inlineStr">
        <is>
          <t xml:space="preserve">   Нестабильный газовый конденсат (Чаяндинское НГКМ)</t>
        </is>
      </c>
      <c r="D361" s="15" t="n"/>
      <c r="E361" s="15" t="n"/>
      <c r="F361" s="16" t="n"/>
      <c r="G361" s="17" t="inlineStr">
        <is>
          <t>10_100337143</t>
        </is>
      </c>
      <c r="H361" s="636" t="n"/>
      <c r="I361" s="17" t="n"/>
      <c r="J361" s="767" t="inlineStr">
        <is>
          <t>тыс.т</t>
        </is>
      </c>
    </row>
    <row r="362" ht="18.75" customHeight="1" s="904">
      <c r="B362" s="766" t="n"/>
      <c r="C362" s="769" t="inlineStr">
        <is>
          <t xml:space="preserve">   Нефть (Западно-Таркосалинское НГКМ)</t>
        </is>
      </c>
      <c r="D362" s="15" t="n"/>
      <c r="E362" s="15" t="n"/>
      <c r="F362" s="16" t="n"/>
      <c r="G362" s="17" t="inlineStr">
        <is>
          <t>10_100330722</t>
        </is>
      </c>
      <c r="H362" s="636" t="n"/>
      <c r="I362" s="17" t="n"/>
      <c r="J362" s="767" t="inlineStr">
        <is>
          <t>тыс.т</t>
        </is>
      </c>
    </row>
    <row r="363" ht="18.75" customHeight="1" s="904">
      <c r="B363" s="766" t="n"/>
      <c r="C363" s="769" t="inlineStr">
        <is>
          <t xml:space="preserve">   Нефть (Тас-Юряхское НГКМ, ДРОД)</t>
        </is>
      </c>
      <c r="D363" s="15" t="n"/>
      <c r="E363" s="15" t="n"/>
      <c r="F363" s="16" t="n"/>
      <c r="G363" s="17" t="inlineStr">
        <is>
          <t>10_100336141</t>
        </is>
      </c>
      <c r="H363" s="636" t="n"/>
      <c r="I363" s="17" t="n"/>
      <c r="J363" s="767" t="inlineStr">
        <is>
          <t>тыс.т</t>
        </is>
      </c>
    </row>
    <row r="364" ht="18.75" customHeight="1" s="904">
      <c r="B364" s="766" t="n"/>
      <c r="C364" s="769" t="inlineStr">
        <is>
          <t xml:space="preserve">   Нефть (Верхневилючанское НГКМ, ДРОД)</t>
        </is>
      </c>
      <c r="D364" s="15" t="n"/>
      <c r="E364" s="15" t="n"/>
      <c r="F364" s="16" t="n"/>
      <c r="G364" s="17" t="inlineStr">
        <is>
          <t>10_100337129</t>
        </is>
      </c>
      <c r="H364" s="636" t="n"/>
      <c r="I364" s="17" t="n"/>
      <c r="J364" s="767" t="inlineStr">
        <is>
          <t>тыс.т</t>
        </is>
      </c>
    </row>
    <row r="365" ht="18.75" customHeight="1" s="904">
      <c r="B365" s="766" t="n"/>
      <c r="C365" s="769" t="inlineStr">
        <is>
          <t xml:space="preserve">   Нефть (Чаяндинское НГКМ, ДРОД)</t>
        </is>
      </c>
      <c r="D365" s="15" t="n"/>
      <c r="E365" s="15" t="n"/>
      <c r="F365" s="16" t="n"/>
      <c r="G365" s="17" t="inlineStr">
        <is>
          <t>10_100337144</t>
        </is>
      </c>
      <c r="H365" s="636" t="n"/>
      <c r="I365" s="17" t="n"/>
      <c r="J365" s="767" t="inlineStr">
        <is>
          <t>тыс.т</t>
        </is>
      </c>
    </row>
    <row r="366" ht="25.5" customHeight="1" s="904">
      <c r="B366" s="766" t="n"/>
      <c r="C366" s="769" t="inlineStr">
        <is>
          <t xml:space="preserve">   Производство продукции (собственность ООО "Газпром добыча Ноябрьск")</t>
        </is>
      </c>
      <c r="D366" s="15" t="n"/>
      <c r="E366" s="15" t="n"/>
      <c r="F366" s="16" t="n"/>
      <c r="G366" s="17" t="n"/>
      <c r="H366" s="636" t="n"/>
      <c r="I366" s="17" t="n"/>
      <c r="J366" s="767" t="n"/>
    </row>
    <row r="367" ht="18.75" customHeight="1" s="904">
      <c r="B367" s="766" t="n"/>
      <c r="C367" s="769" t="inlineStr">
        <is>
          <t xml:space="preserve">      Стабильн.газовый конденсат-производство (Камчатское ГПУ)</t>
        </is>
      </c>
      <c r="D367" s="15" t="n"/>
      <c r="E367" s="15" t="n"/>
      <c r="F367" s="16" t="n"/>
      <c r="G367" s="17" t="inlineStr">
        <is>
          <t>10_100330725</t>
        </is>
      </c>
      <c r="H367" s="636" t="n"/>
      <c r="I367" s="17" t="n"/>
      <c r="J367" s="767" t="inlineStr">
        <is>
          <t>тыс.т</t>
        </is>
      </c>
    </row>
    <row r="368" ht="25.5" customHeight="1" s="904">
      <c r="B368" s="766" t="n"/>
      <c r="C368" s="769" t="inlineStr">
        <is>
          <t xml:space="preserve">      Стабильный газовый конденсат на собственные нужды (Камчатское ГПУ)</t>
        </is>
      </c>
      <c r="D368" s="15" t="n"/>
      <c r="E368" s="15" t="n"/>
      <c r="F368" s="16" t="n"/>
      <c r="G368" s="17" t="n"/>
      <c r="H368" s="636" t="n"/>
      <c r="I368" s="17" t="n"/>
      <c r="J368" s="767" t="inlineStr">
        <is>
          <t>тыс.т</t>
        </is>
      </c>
    </row>
    <row r="369" ht="18.75" customHeight="1" s="904">
      <c r="B369" s="766" t="n"/>
      <c r="C369" s="769" t="inlineStr">
        <is>
          <t xml:space="preserve">      Стабильный газовый конденсат-товарный (Камчатское ГПУ)</t>
        </is>
      </c>
      <c r="D369" s="15" t="n"/>
      <c r="E369" s="15" t="n"/>
      <c r="F369" s="16" t="n"/>
      <c r="G369" s="17" t="inlineStr">
        <is>
          <t>10_100330725</t>
        </is>
      </c>
      <c r="H369" s="636" t="n"/>
      <c r="I369" s="17" t="n"/>
      <c r="J369" s="767" t="inlineStr">
        <is>
          <t>тыс.т</t>
        </is>
      </c>
    </row>
    <row r="370" ht="18.75" customHeight="1" s="904">
      <c r="B370" s="766" t="n"/>
      <c r="C370" s="769" t="inlineStr">
        <is>
          <t xml:space="preserve">   Hефть-производство</t>
        </is>
      </c>
      <c r="D370" s="15" t="n"/>
      <c r="E370" s="15" t="n"/>
      <c r="F370" s="16" t="n"/>
      <c r="G370" s="17" t="inlineStr">
        <is>
          <t>10_100330722</t>
        </is>
      </c>
      <c r="H370" s="636" t="n"/>
      <c r="I370" s="17" t="n"/>
      <c r="J370" s="767" t="inlineStr">
        <is>
          <t>тыс.т</t>
        </is>
      </c>
    </row>
    <row r="371" ht="18.75" customHeight="1" s="904">
      <c r="B371" s="766" t="n"/>
      <c r="C371" s="769" t="inlineStr">
        <is>
          <t xml:space="preserve">      в т.ч. Западно-Таркосалинское HГКМ</t>
        </is>
      </c>
      <c r="D371" s="15" t="n"/>
      <c r="E371" s="15" t="n"/>
      <c r="F371" s="16" t="n"/>
      <c r="G371" s="17" t="inlineStr">
        <is>
          <t>10_100330722</t>
        </is>
      </c>
      <c r="H371" s="636" t="n"/>
      <c r="I371" s="17" t="n"/>
      <c r="J371" s="767" t="inlineStr">
        <is>
          <t>тыс.т</t>
        </is>
      </c>
    </row>
    <row r="372" ht="18.75" customHeight="1" s="904">
      <c r="B372" s="766" t="n"/>
      <c r="C372" s="769" t="inlineStr">
        <is>
          <t xml:space="preserve">   Hефть-товарная</t>
        </is>
      </c>
      <c r="D372" s="15" t="n"/>
      <c r="E372" s="15" t="n"/>
      <c r="F372" s="16" t="n"/>
      <c r="G372" s="17" t="inlineStr">
        <is>
          <t>10_100330862</t>
        </is>
      </c>
      <c r="H372" s="636" t="n"/>
      <c r="I372" s="17" t="n"/>
      <c r="J372" s="767" t="inlineStr">
        <is>
          <t>тыс.т</t>
        </is>
      </c>
    </row>
    <row r="373" ht="18.75" customHeight="1" s="904">
      <c r="B373" s="766" t="n"/>
      <c r="C373" s="769" t="inlineStr">
        <is>
          <t xml:space="preserve">      в т.ч. Западно-Таркосалинское HГКМ</t>
        </is>
      </c>
      <c r="D373" s="15" t="n"/>
      <c r="E373" s="15" t="n"/>
      <c r="F373" s="16" t="n"/>
      <c r="G373" s="17" t="inlineStr">
        <is>
          <t>10_100330862</t>
        </is>
      </c>
      <c r="H373" s="636" t="n"/>
      <c r="I373" s="17" t="n"/>
      <c r="J373" s="767" t="inlineStr">
        <is>
          <t>тыс.т</t>
        </is>
      </c>
    </row>
    <row r="374" ht="18.75" customHeight="1" s="904">
      <c r="B374" s="766" t="n"/>
      <c r="C374" s="769" t="inlineStr">
        <is>
          <t xml:space="preserve">   НГКС</t>
        </is>
      </c>
      <c r="D374" s="15" t="n"/>
      <c r="E374" s="15" t="n"/>
      <c r="F374" s="16" t="n"/>
      <c r="G374" s="17" t="inlineStr">
        <is>
          <t>10_100336142+10_100337134+10_100337147</t>
        </is>
      </c>
      <c r="H374" s="636" t="n"/>
      <c r="I374" s="17" t="n"/>
      <c r="J374" s="767" t="inlineStr">
        <is>
          <t>тыс.т</t>
        </is>
      </c>
    </row>
    <row r="375" ht="18.75" customHeight="1" s="904">
      <c r="B375" s="766" t="n"/>
      <c r="C375" s="769" t="inlineStr">
        <is>
          <t xml:space="preserve">      в т.ч. Тас-Юряхское НГКМ (ДРОД)</t>
        </is>
      </c>
      <c r="D375" s="15" t="n"/>
      <c r="E375" s="15" t="n"/>
      <c r="F375" s="16" t="n"/>
      <c r="G375" s="17" t="inlineStr">
        <is>
          <t>10_100336142</t>
        </is>
      </c>
      <c r="H375" s="636" t="n"/>
      <c r="I375" s="17" t="n"/>
      <c r="J375" s="767" t="inlineStr">
        <is>
          <t>тыс.т</t>
        </is>
      </c>
    </row>
    <row r="376" ht="18.75" customHeight="1" s="904">
      <c r="B376" s="766" t="n"/>
      <c r="C376" s="769" t="inlineStr">
        <is>
          <t xml:space="preserve">      в т.ч. Верхневилючанское НГКМ (ДРОД)</t>
        </is>
      </c>
      <c r="D376" s="15" t="n"/>
      <c r="E376" s="15" t="n"/>
      <c r="F376" s="16" t="n"/>
      <c r="G376" s="17" t="inlineStr">
        <is>
          <t>10_100337134</t>
        </is>
      </c>
      <c r="H376" s="636" t="n"/>
      <c r="I376" s="17" t="n"/>
      <c r="J376" s="767" t="inlineStr">
        <is>
          <t>тыс.т</t>
        </is>
      </c>
    </row>
    <row r="377" ht="18.75" customHeight="1" s="904">
      <c r="B377" s="766" t="n"/>
      <c r="C377" s="769" t="inlineStr">
        <is>
          <t xml:space="preserve">      в т.ч. Чаяндинское НГКМ (ДРОД)</t>
        </is>
      </c>
      <c r="D377" s="15" t="n"/>
      <c r="E377" s="15" t="n"/>
      <c r="F377" s="16" t="n"/>
      <c r="G377" s="17" t="inlineStr">
        <is>
          <t>10_100337147</t>
        </is>
      </c>
      <c r="H377" s="636" t="n"/>
      <c r="I377" s="17" t="n"/>
      <c r="J377" s="767" t="inlineStr">
        <is>
          <t>тыс.т</t>
        </is>
      </c>
    </row>
    <row r="378" ht="18.75" customHeight="1" s="904">
      <c r="B378" s="766" t="n"/>
      <c r="C378" s="770" t="inlineStr">
        <is>
          <t>в т.ч. стабильный газовый конденсат</t>
        </is>
      </c>
      <c r="D378" s="15" t="n"/>
      <c r="E378" s="15" t="n"/>
      <c r="F378" s="16" t="n"/>
      <c r="G378" s="17" t="inlineStr">
        <is>
          <t>10_100337148</t>
        </is>
      </c>
      <c r="H378" s="636" t="n"/>
      <c r="I378" s="17" t="n"/>
      <c r="J378" s="767" t="inlineStr">
        <is>
          <t>тыс.т</t>
        </is>
      </c>
    </row>
    <row r="379" ht="18.75" customHeight="1" s="904">
      <c r="B379" s="766" t="n"/>
      <c r="C379" s="770" t="inlineStr">
        <is>
          <t>в т.ч. нефть</t>
        </is>
      </c>
      <c r="D379" s="15" t="n"/>
      <c r="E379" s="15" t="n"/>
      <c r="F379" s="16" t="n"/>
      <c r="G379" s="17" t="inlineStr">
        <is>
          <t>10_100337149</t>
        </is>
      </c>
      <c r="H379" s="636" t="n"/>
      <c r="I379" s="17" t="n"/>
      <c r="J379" s="767" t="inlineStr">
        <is>
          <t>тыс.т</t>
        </is>
      </c>
    </row>
    <row r="380" ht="18.75" customHeight="1" s="904">
      <c r="B380" s="766" t="n"/>
      <c r="C380" s="771" t="inlineStr">
        <is>
          <t xml:space="preserve">   Справочно: НГКС на собственные нужды</t>
        </is>
      </c>
      <c r="D380" s="15" t="n"/>
      <c r="E380" s="15" t="n"/>
      <c r="F380" s="16" t="n"/>
      <c r="G380" s="17" t="inlineStr">
        <is>
          <t>10_100337151</t>
        </is>
      </c>
      <c r="H380" s="636" t="n"/>
      <c r="I380" s="17" t="n"/>
      <c r="J380" s="767" t="inlineStr">
        <is>
          <t>тыс.т</t>
        </is>
      </c>
    </row>
    <row r="381" ht="18.75" customHeight="1" s="904">
      <c r="B381" s="766" t="n"/>
      <c r="C381" s="769" t="inlineStr">
        <is>
          <t xml:space="preserve">   Переработка углеводородного сырья (собственность ПАО "Газпром")</t>
        </is>
      </c>
      <c r="D381" s="15" t="n"/>
      <c r="E381" s="15" t="n"/>
      <c r="F381" s="16" t="n"/>
      <c r="G381" s="17" t="n"/>
      <c r="H381" s="636" t="n"/>
      <c r="I381" s="17" t="n"/>
      <c r="J381" s="767" t="inlineStr">
        <is>
          <t>тыс.т</t>
        </is>
      </c>
    </row>
    <row r="382" ht="18.75" customHeight="1" s="904">
      <c r="B382" s="766" t="n"/>
      <c r="C382" s="769" t="inlineStr">
        <is>
          <t xml:space="preserve">   Нестабильный газовый конденсат  (Чаяндинское НГКМ)</t>
        </is>
      </c>
      <c r="D382" s="15" t="n"/>
      <c r="E382" s="15" t="n"/>
      <c r="F382" s="16" t="n"/>
      <c r="G382" s="17" t="inlineStr">
        <is>
          <t>10_100330715</t>
        </is>
      </c>
      <c r="H382" s="636" t="n"/>
      <c r="I382" s="17" t="n"/>
      <c r="J382" s="767" t="inlineStr">
        <is>
          <t>тыс.т</t>
        </is>
      </c>
    </row>
    <row r="383" ht="18.75" customHeight="1" s="904">
      <c r="B383" s="766" t="n"/>
      <c r="C383" s="769" t="inlineStr">
        <is>
          <t xml:space="preserve">   Hефть (Чаяндинское НГКМ)</t>
        </is>
      </c>
      <c r="D383" s="15" t="n"/>
      <c r="E383" s="15" t="n"/>
      <c r="F383" s="16" t="n"/>
      <c r="G383" s="17" t="inlineStr">
        <is>
          <t>10_100332333</t>
        </is>
      </c>
      <c r="H383" s="636" t="n"/>
      <c r="I383" s="17" t="n"/>
      <c r="J383" s="767" t="inlineStr">
        <is>
          <t>тыс.т</t>
        </is>
      </c>
    </row>
    <row r="384" ht="18.75" customHeight="1" s="904">
      <c r="B384" s="766" t="n"/>
      <c r="C384" s="769" t="inlineStr">
        <is>
          <t xml:space="preserve">      в т.ч. конденсат по ДРОД</t>
        </is>
      </c>
      <c r="D384" s="15" t="n"/>
      <c r="E384" s="15" t="n"/>
      <c r="F384" s="16" t="n"/>
      <c r="G384" s="17" t="inlineStr">
        <is>
          <t>10_100335709</t>
        </is>
      </c>
      <c r="H384" s="636" t="n"/>
      <c r="I384" s="17" t="n"/>
      <c r="J384" s="767" t="inlineStr">
        <is>
          <t>тыс.т</t>
        </is>
      </c>
    </row>
    <row r="385" ht="18.75" customHeight="1" s="904">
      <c r="B385" s="766" t="n"/>
      <c r="C385" s="769" t="inlineStr">
        <is>
          <t xml:space="preserve">   Производство продукции (собственность ООО "Газпром")</t>
        </is>
      </c>
      <c r="D385" s="15" t="n"/>
      <c r="E385" s="15" t="n"/>
      <c r="F385" s="16" t="n"/>
      <c r="G385" s="17" t="n"/>
      <c r="H385" s="636" t="n"/>
      <c r="I385" s="17" t="n"/>
      <c r="J385" s="767" t="n"/>
    </row>
    <row r="386" ht="18.75" customHeight="1" s="904">
      <c r="B386" s="766" t="n"/>
      <c r="C386" s="769" t="inlineStr">
        <is>
          <t xml:space="preserve">   НГКС , всего</t>
        </is>
      </c>
      <c r="D386" s="15" t="n"/>
      <c r="E386" s="15" t="n"/>
      <c r="F386" s="16" t="n"/>
      <c r="G386" s="17">
        <f>G387+G388</f>
        <v/>
      </c>
      <c r="H386" s="636" t="n"/>
      <c r="I386" s="17" t="n"/>
      <c r="J386" s="767" t="inlineStr">
        <is>
          <t>тыс.т</t>
        </is>
      </c>
    </row>
    <row r="387" ht="18.75" customHeight="1" s="904">
      <c r="B387" s="766" t="n"/>
      <c r="C387" s="769" t="inlineStr">
        <is>
          <t xml:space="preserve">      в т.ч. стабильный газовый конденсат</t>
        </is>
      </c>
      <c r="D387" s="15" t="n"/>
      <c r="E387" s="15" t="n"/>
      <c r="F387" s="16" t="n"/>
      <c r="G387" s="17" t="inlineStr">
        <is>
          <t>10_100335046</t>
        </is>
      </c>
      <c r="H387" s="636" t="n"/>
      <c r="I387" s="17" t="n"/>
      <c r="J387" s="767" t="inlineStr">
        <is>
          <t>тыс.т</t>
        </is>
      </c>
    </row>
    <row r="388" ht="18.75" customHeight="1" s="904">
      <c r="B388" s="766" t="n"/>
      <c r="C388" s="769" t="inlineStr">
        <is>
          <t xml:space="preserve">      в т.ч. нефть</t>
        </is>
      </c>
      <c r="D388" s="15" t="n"/>
      <c r="E388" s="15" t="n"/>
      <c r="F388" s="16" t="n"/>
      <c r="G388" s="17" t="inlineStr">
        <is>
          <t>10_100335047</t>
        </is>
      </c>
      <c r="H388" s="636" t="n"/>
      <c r="I388" s="17" t="n"/>
      <c r="J388" s="767" t="inlineStr">
        <is>
          <t>тыс.т</t>
        </is>
      </c>
    </row>
    <row r="389" ht="18.75" customHeight="1" s="904">
      <c r="B389" s="766" t="n"/>
      <c r="C389" s="769" t="inlineStr">
        <is>
          <t xml:space="preserve">   Справочно: НГКС на собственные нужды</t>
        </is>
      </c>
      <c r="D389" s="15" t="n"/>
      <c r="E389" s="15" t="n"/>
      <c r="F389" s="16" t="n"/>
      <c r="G389" s="17" t="inlineStr">
        <is>
          <t>10_100335048</t>
        </is>
      </c>
      <c r="H389" s="636" t="n"/>
      <c r="I389" s="17" t="n"/>
      <c r="J389" s="767" t="inlineStr">
        <is>
          <t>тыс.т</t>
        </is>
      </c>
    </row>
    <row r="390" ht="25.5" customHeight="1" s="904">
      <c r="B390" s="766" t="n"/>
      <c r="C390" s="769" t="inlineStr">
        <is>
          <t xml:space="preserve">   Поставка природного газа  ПАО "Газпром" для переработки на Амурском  ГПЗ  (Чаяндинское НГКМ)</t>
        </is>
      </c>
      <c r="D390" s="15" t="n"/>
      <c r="E390" s="15" t="n"/>
      <c r="F390" s="16" t="n"/>
      <c r="G390" s="17" t="n"/>
      <c r="H390" s="636" t="n"/>
      <c r="I390" s="17" t="n"/>
      <c r="J390" s="767" t="inlineStr">
        <is>
          <t>млн.м3</t>
        </is>
      </c>
    </row>
    <row r="391" ht="18.75" customHeight="1" s="904">
      <c r="B391" s="766" t="n"/>
      <c r="C391" s="769" t="inlineStr">
        <is>
          <t xml:space="preserve">   Оказание  услуг ГПНЗ по транспортировке нефти (Чонская гр. МС)</t>
        </is>
      </c>
      <c r="D391" s="15" t="n"/>
      <c r="E391" s="15" t="n"/>
      <c r="F391" s="16" t="n"/>
      <c r="G391" s="17" t="inlineStr">
        <is>
          <t>10_100335836</t>
        </is>
      </c>
      <c r="H391" s="636" t="n"/>
      <c r="I391" s="17" t="n"/>
      <c r="J391" s="767" t="inlineStr">
        <is>
          <t>тыс.т</t>
        </is>
      </c>
    </row>
    <row r="392" ht="18.75" customHeight="1" s="904">
      <c r="B392" s="766" t="n"/>
      <c r="C392" s="788" t="inlineStr">
        <is>
          <t>ООО "Газпром переработка" - АСТРАХАНСКИЙ ГПЗ</t>
        </is>
      </c>
      <c r="D392" s="15" t="n"/>
      <c r="E392" s="15" t="n"/>
      <c r="F392" s="16" t="n"/>
      <c r="G392" s="17" t="n"/>
      <c r="H392" s="636" t="n"/>
      <c r="I392" s="17" t="n"/>
      <c r="J392" s="767" t="n"/>
    </row>
    <row r="393" ht="18.75" customHeight="1" s="904">
      <c r="B393" s="766" t="n"/>
      <c r="C393" s="769" t="inlineStr">
        <is>
          <t xml:space="preserve">   ОКАЗАНИЕ УСЛУГ ПО СЕПАРАЦИИ  ООО "ГД Астрахань"</t>
        </is>
      </c>
      <c r="D393" s="15" t="n"/>
      <c r="E393" s="15" t="n"/>
      <c r="F393" s="16" t="n"/>
      <c r="G393" s="17" t="n"/>
      <c r="H393" s="636" t="n"/>
      <c r="I393" s="17" t="n"/>
      <c r="J393" s="767" t="n"/>
    </row>
    <row r="394" ht="18.75" customHeight="1" s="904">
      <c r="B394" s="766" t="n"/>
      <c r="C394" s="769" t="inlineStr">
        <is>
          <t xml:space="preserve">      природный газ</t>
        </is>
      </c>
      <c r="D394" s="15" t="n"/>
      <c r="E394" s="15" t="n"/>
      <c r="F394" s="16" t="n"/>
      <c r="G394" s="17" t="inlineStr">
        <is>
          <t>1_100331978</t>
        </is>
      </c>
      <c r="H394" s="636" t="n"/>
      <c r="I394" s="17" t="n"/>
      <c r="J394" s="767" t="inlineStr">
        <is>
          <t>тыс.т</t>
        </is>
      </c>
    </row>
    <row r="395" ht="18.75" customHeight="1" s="904">
      <c r="B395" s="766" t="n"/>
      <c r="C395" s="769" t="inlineStr">
        <is>
          <t xml:space="preserve">      природный газ</t>
        </is>
      </c>
      <c r="D395" s="15" t="n"/>
      <c r="E395" s="15" t="n"/>
      <c r="F395" s="16" t="n"/>
      <c r="G395" s="17" t="inlineStr">
        <is>
          <t>1_100331979</t>
        </is>
      </c>
      <c r="H395" s="636" t="n"/>
      <c r="I395" s="17" t="n"/>
      <c r="J395" s="767" t="inlineStr">
        <is>
          <t>млн.м3</t>
        </is>
      </c>
    </row>
    <row r="396" ht="18.75" customHeight="1" s="904">
      <c r="B396" s="766" t="n"/>
      <c r="C396" s="769" t="inlineStr">
        <is>
          <t xml:space="preserve">      нестабильный газовый конденсат</t>
        </is>
      </c>
      <c r="D396" s="15" t="n"/>
      <c r="E396" s="15" t="n"/>
      <c r="F396" s="16" t="n"/>
      <c r="G396" s="17" t="inlineStr">
        <is>
          <t>1_100335798</t>
        </is>
      </c>
      <c r="H396" s="636" t="n"/>
      <c r="I396" s="17" t="n"/>
      <c r="J396" s="767" t="inlineStr">
        <is>
          <t>тыс.т</t>
        </is>
      </c>
    </row>
    <row r="397" ht="18.75" customHeight="1" s="904">
      <c r="B397" s="766" t="n"/>
      <c r="C397" s="769" t="inlineStr">
        <is>
          <t xml:space="preserve">   Производство продукции (собственность ООО "ГД Астрахань")</t>
        </is>
      </c>
      <c r="D397" s="15" t="n"/>
      <c r="E397" s="15" t="n"/>
      <c r="F397" s="16" t="n"/>
      <c r="G397" s="17" t="n"/>
      <c r="H397" s="636" t="n"/>
      <c r="I397" s="17" t="n"/>
      <c r="J397" s="767" t="n"/>
    </row>
    <row r="398" ht="18.75" customHeight="1" s="904">
      <c r="B398" s="766" t="n"/>
      <c r="C398" s="769" t="inlineStr">
        <is>
          <t xml:space="preserve">      отсепарированный газ</t>
        </is>
      </c>
      <c r="D398" s="15" t="n"/>
      <c r="E398" s="15" t="n"/>
      <c r="F398" s="16" t="n"/>
      <c r="G398" s="17" t="inlineStr">
        <is>
          <t>1_100335802</t>
        </is>
      </c>
      <c r="H398" s="636" t="n"/>
      <c r="I398" s="17" t="n"/>
      <c r="J398" s="767" t="inlineStr">
        <is>
          <t>тыс.т</t>
        </is>
      </c>
    </row>
    <row r="399" ht="18.75" customHeight="1" s="904">
      <c r="B399" s="766" t="n"/>
      <c r="C399" s="769" t="inlineStr">
        <is>
          <t xml:space="preserve">      отсепарированный газ</t>
        </is>
      </c>
      <c r="D399" s="15" t="n"/>
      <c r="E399" s="15" t="n"/>
      <c r="F399" s="16" t="n"/>
      <c r="G399" s="17" t="inlineStr">
        <is>
          <t>1_100335803</t>
        </is>
      </c>
      <c r="H399" s="636" t="n"/>
      <c r="I399" s="17" t="n"/>
      <c r="J399" s="767" t="inlineStr">
        <is>
          <t>млн.м3</t>
        </is>
      </c>
    </row>
    <row r="400" ht="18.75" customHeight="1" s="904">
      <c r="B400" s="766" t="n"/>
      <c r="C400" s="769" t="inlineStr">
        <is>
          <t xml:space="preserve">      нестабильный газовый конденсат</t>
        </is>
      </c>
      <c r="D400" s="15" t="n"/>
      <c r="E400" s="15" t="n"/>
      <c r="F400" s="16" t="n"/>
      <c r="G400" s="17" t="inlineStr">
        <is>
          <t>1_100335804</t>
        </is>
      </c>
      <c r="H400" s="636" t="n"/>
      <c r="I400" s="17" t="n"/>
      <c r="J400" s="767" t="inlineStr">
        <is>
          <t>тыс.т</t>
        </is>
      </c>
    </row>
    <row r="401" ht="25.5" customHeight="1" s="904">
      <c r="B401" s="766" t="n"/>
      <c r="C401" s="769" t="inlineStr">
        <is>
          <t xml:space="preserve">   ПЕРЕРАБОТКА УГЛЕВОДОРОДНОГО СЫРЬЯ, собственность ПАО "Газпром" (покупка у ООО "Газпром добыча Астрахань" )</t>
        </is>
      </c>
      <c r="D401" s="15" t="n"/>
      <c r="E401" s="15" t="n"/>
      <c r="F401" s="16" t="n"/>
      <c r="G401" s="17" t="n"/>
      <c r="H401" s="636" t="n"/>
      <c r="I401" s="17" t="n"/>
      <c r="J401" s="767" t="n"/>
    </row>
    <row r="402" ht="18.75" customHeight="1" s="904">
      <c r="B402" s="766" t="n"/>
      <c r="C402" s="769" t="inlineStr">
        <is>
          <t xml:space="preserve">      отсепарированный газ</t>
        </is>
      </c>
      <c r="D402" s="15" t="n"/>
      <c r="E402" s="15" t="n"/>
      <c r="F402" s="16" t="n"/>
      <c r="G402" s="17" t="inlineStr">
        <is>
          <t>1_100335806</t>
        </is>
      </c>
      <c r="H402" s="636" t="n"/>
      <c r="I402" s="17" t="n"/>
      <c r="J402" s="767" t="inlineStr">
        <is>
          <t>тыс.т</t>
        </is>
      </c>
    </row>
    <row r="403" ht="18.75" customHeight="1" s="904">
      <c r="B403" s="766" t="n"/>
      <c r="C403" s="769" t="inlineStr">
        <is>
          <t xml:space="preserve">      отсепарированный газ</t>
        </is>
      </c>
      <c r="D403" s="15" t="n"/>
      <c r="E403" s="15" t="n"/>
      <c r="F403" s="16" t="n"/>
      <c r="G403" s="17" t="inlineStr">
        <is>
          <t>1_1003335807</t>
        </is>
      </c>
      <c r="H403" s="636" t="n"/>
      <c r="I403" s="17" t="n"/>
      <c r="J403" s="767" t="inlineStr">
        <is>
          <t>млн.м3</t>
        </is>
      </c>
    </row>
    <row r="404" ht="18.75" customHeight="1" s="904">
      <c r="B404" s="766" t="n"/>
      <c r="C404" s="769" t="inlineStr">
        <is>
          <t xml:space="preserve">      нестабильный газовый конденсат</t>
        </is>
      </c>
      <c r="D404" s="15" t="n"/>
      <c r="E404" s="15" t="n"/>
      <c r="F404" s="16" t="n"/>
      <c r="G404" s="17" t="inlineStr">
        <is>
          <t>1_100331985</t>
        </is>
      </c>
      <c r="H404" s="636" t="n"/>
      <c r="I404" s="17" t="n"/>
      <c r="J404" s="767" t="inlineStr">
        <is>
          <t>тыс.т</t>
        </is>
      </c>
    </row>
    <row r="405" ht="18.75" customHeight="1" s="904">
      <c r="B405" s="766" t="n"/>
      <c r="C405" s="769" t="inlineStr">
        <is>
          <t xml:space="preserve">      МТБЭ (добавка в бензин)</t>
        </is>
      </c>
      <c r="D405" s="15" t="n"/>
      <c r="E405" s="15" t="n"/>
      <c r="F405" s="16" t="n"/>
      <c r="G405" s="17" t="inlineStr">
        <is>
          <t>1_100334996</t>
        </is>
      </c>
      <c r="H405" s="636" t="n"/>
      <c r="I405" s="17" t="n"/>
      <c r="J405" s="767" t="inlineStr">
        <is>
          <t>тыс.т</t>
        </is>
      </c>
    </row>
    <row r="406" ht="18.75" customHeight="1" s="904">
      <c r="B406" s="766" t="n"/>
      <c r="C406" s="769" t="inlineStr">
        <is>
          <t xml:space="preserve">      Присадки и добавки</t>
        </is>
      </c>
      <c r="D406" s="15" t="n"/>
      <c r="E406" s="15" t="n"/>
      <c r="F406" s="16" t="n"/>
      <c r="G406" s="17" t="inlineStr">
        <is>
          <t>1_100331987-1_100334996</t>
        </is>
      </c>
      <c r="H406" s="636" t="n"/>
      <c r="I406" s="17" t="n"/>
      <c r="J406" s="767" t="inlineStr">
        <is>
          <t>тыс.т</t>
        </is>
      </c>
    </row>
    <row r="407" ht="18.75" customHeight="1" s="904">
      <c r="B407" s="766" t="n"/>
      <c r="C407" s="769" t="inlineStr">
        <is>
          <t xml:space="preserve">   Производство продукции (собственность ПАО "Газпром")</t>
        </is>
      </c>
      <c r="D407" s="15" t="n"/>
      <c r="E407" s="15" t="n"/>
      <c r="F407" s="16" t="n"/>
      <c r="G407" s="17" t="n"/>
      <c r="H407" s="636" t="n"/>
      <c r="I407" s="17" t="n"/>
      <c r="J407" s="767" t="n"/>
    </row>
    <row r="408" ht="18.75" customHeight="1" s="904">
      <c r="B408" s="766" t="n"/>
      <c r="C408" s="769" t="inlineStr">
        <is>
          <t xml:space="preserve">      Газ горючий природный сухой отбензиненный, всего</t>
        </is>
      </c>
      <c r="D408" s="15" t="n"/>
      <c r="E408" s="15" t="n"/>
      <c r="F408" s="16" t="n"/>
      <c r="G408" s="17" t="inlineStr">
        <is>
          <t>1_100331993</t>
        </is>
      </c>
      <c r="H408" s="636" t="n"/>
      <c r="I408" s="17" t="n"/>
      <c r="J408" s="767" t="inlineStr">
        <is>
          <t>млн.м3</t>
        </is>
      </c>
    </row>
    <row r="409" ht="18.75" customHeight="1" s="904">
      <c r="B409" s="766" t="n"/>
      <c r="C409" s="769" t="inlineStr">
        <is>
          <t xml:space="preserve">      Газ горючий природный сухой отбензиненный, всего</t>
        </is>
      </c>
      <c r="D409" s="15" t="n"/>
      <c r="E409" s="15" t="n"/>
      <c r="F409" s="16" t="n"/>
      <c r="G409" s="17" t="inlineStr">
        <is>
          <t>1_100331992</t>
        </is>
      </c>
      <c r="H409" s="636" t="n"/>
      <c r="I409" s="17" t="n"/>
      <c r="J409" s="767" t="inlineStr">
        <is>
          <t>тыс.т</t>
        </is>
      </c>
    </row>
    <row r="410" ht="18.75" customHeight="1" s="904">
      <c r="B410" s="766" t="n"/>
      <c r="C410" s="769" t="inlineStr">
        <is>
          <t xml:space="preserve">         в т.ч. в газотранспортную систему</t>
        </is>
      </c>
      <c r="D410" s="15" t="n"/>
      <c r="E410" s="15" t="n"/>
      <c r="F410" s="16" t="n"/>
      <c r="G410" s="17" t="inlineStr">
        <is>
          <t>1_100331995</t>
        </is>
      </c>
      <c r="H410" s="636" t="n"/>
      <c r="I410" s="17" t="n"/>
      <c r="J410" s="767" t="inlineStr">
        <is>
          <t>млн.м3</t>
        </is>
      </c>
    </row>
    <row r="411" ht="18.75" customHeight="1" s="904">
      <c r="B411" s="766" t="n"/>
      <c r="C411" s="769" t="inlineStr">
        <is>
          <t xml:space="preserve">         в т.ч. в газотранспортную систему</t>
        </is>
      </c>
      <c r="D411" s="15" t="n"/>
      <c r="E411" s="15" t="n"/>
      <c r="F411" s="16" t="n"/>
      <c r="G411" s="17" t="inlineStr">
        <is>
          <t>1_100331994</t>
        </is>
      </c>
      <c r="H411" s="636" t="n"/>
      <c r="I411" s="17" t="n"/>
      <c r="J411" s="767" t="inlineStr">
        <is>
          <t>тыс.т</t>
        </is>
      </c>
    </row>
    <row r="412" ht="18.75" customHeight="1" s="904">
      <c r="B412" s="766" t="n"/>
      <c r="C412" s="769" t="inlineStr">
        <is>
          <t xml:space="preserve">         в т.ч. на СТН  ООО "Газпром переработка"</t>
        </is>
      </c>
      <c r="D412" s="15" t="n"/>
      <c r="E412" s="15" t="n"/>
      <c r="F412" s="16" t="n"/>
      <c r="G412" s="17" t="inlineStr">
        <is>
          <t>1_100331999</t>
        </is>
      </c>
      <c r="H412" s="636" t="n"/>
      <c r="I412" s="17" t="n"/>
      <c r="J412" s="767" t="inlineStr">
        <is>
          <t>млн.м3</t>
        </is>
      </c>
    </row>
    <row r="413" ht="18.75" customHeight="1" s="904">
      <c r="B413" s="766" t="n"/>
      <c r="C413" s="769" t="inlineStr">
        <is>
          <t xml:space="preserve">         в т.ч. на СТН  ООО "Газпром переработка"</t>
        </is>
      </c>
      <c r="D413" s="15" t="n"/>
      <c r="E413" s="15" t="n"/>
      <c r="F413" s="16" t="n"/>
      <c r="G413" s="17" t="inlineStr">
        <is>
          <t>1_100331998</t>
        </is>
      </c>
      <c r="H413" s="636" t="n"/>
      <c r="I413" s="17" t="n"/>
      <c r="J413" s="767" t="inlineStr">
        <is>
          <t>тыс.т</t>
        </is>
      </c>
    </row>
    <row r="414" ht="18.75" customHeight="1" s="904">
      <c r="B414" s="766" t="n"/>
      <c r="C414" s="769" t="inlineStr">
        <is>
          <t xml:space="preserve">         в т.ч. на СТН газодобывающих обществ</t>
        </is>
      </c>
      <c r="D414" s="15" t="n"/>
      <c r="E414" s="15" t="n"/>
      <c r="F414" s="16" t="n"/>
      <c r="G414" s="17" t="inlineStr">
        <is>
          <t>1_100331997</t>
        </is>
      </c>
      <c r="H414" s="636" t="n"/>
      <c r="I414" s="17" t="n"/>
      <c r="J414" s="767" t="inlineStr">
        <is>
          <t>млн.м3</t>
        </is>
      </c>
    </row>
    <row r="415" ht="18.75" customHeight="1" s="904">
      <c r="B415" s="766" t="n"/>
      <c r="C415" s="769" t="inlineStr">
        <is>
          <t xml:space="preserve">         в т.ч. на СТН газодобывающих обществ</t>
        </is>
      </c>
      <c r="D415" s="15" t="n"/>
      <c r="E415" s="15" t="n"/>
      <c r="F415" s="16" t="n"/>
      <c r="G415" s="17" t="inlineStr">
        <is>
          <t>1_100331996</t>
        </is>
      </c>
      <c r="H415" s="636" t="n"/>
      <c r="I415" s="17" t="n"/>
      <c r="J415" s="767" t="inlineStr">
        <is>
          <t>тыс.т</t>
        </is>
      </c>
    </row>
    <row r="416" ht="18.75" customHeight="1" s="904">
      <c r="B416" s="766" t="n"/>
      <c r="C416" s="769" t="inlineStr">
        <is>
          <t xml:space="preserve">      Сера</t>
        </is>
      </c>
      <c r="D416" s="15" t="n"/>
      <c r="E416" s="15" t="n"/>
      <c r="F416" s="16" t="n"/>
      <c r="G416" s="17" t="inlineStr">
        <is>
          <t>1_100332000</t>
        </is>
      </c>
      <c r="H416" s="636" t="n"/>
      <c r="I416" s="17" t="n"/>
      <c r="J416" s="767" t="inlineStr">
        <is>
          <t>тыс.т</t>
        </is>
      </c>
    </row>
    <row r="417" ht="18.75" customHeight="1" s="904">
      <c r="B417" s="766" t="n"/>
      <c r="C417" s="769" t="inlineStr">
        <is>
          <t xml:space="preserve">         в.т.ч.: жидкая</t>
        </is>
      </c>
      <c r="D417" s="15" t="n"/>
      <c r="E417" s="15" t="n"/>
      <c r="F417" s="16" t="n"/>
      <c r="G417" s="17" t="inlineStr">
        <is>
          <t>1_100330068</t>
        </is>
      </c>
      <c r="H417" s="636" t="n"/>
      <c r="I417" s="17" t="n"/>
      <c r="J417" s="767" t="inlineStr">
        <is>
          <t>тыс.т</t>
        </is>
      </c>
    </row>
    <row r="418" ht="18.75" customHeight="1" s="904">
      <c r="B418" s="766" t="n"/>
      <c r="C418" s="769" t="inlineStr">
        <is>
          <t xml:space="preserve">         комовая</t>
        </is>
      </c>
      <c r="D418" s="15" t="n"/>
      <c r="E418" s="15" t="n"/>
      <c r="F418" s="16" t="n"/>
      <c r="G418" s="17" t="inlineStr">
        <is>
          <t>1_100330069</t>
        </is>
      </c>
      <c r="H418" s="636" t="n"/>
      <c r="I418" s="17" t="n"/>
      <c r="J418" s="767" t="inlineStr">
        <is>
          <t>тыс.т</t>
        </is>
      </c>
    </row>
    <row r="419" ht="18.75" customHeight="1" s="904">
      <c r="B419" s="766" t="n"/>
      <c r="C419" s="769" t="inlineStr">
        <is>
          <t xml:space="preserve">         гранулированная</t>
        </is>
      </c>
      <c r="D419" s="15" t="n"/>
      <c r="E419" s="15" t="n"/>
      <c r="F419" s="16" t="n"/>
      <c r="G419" s="17" t="inlineStr">
        <is>
          <t>1_100330070+1_100330071</t>
        </is>
      </c>
      <c r="H419" s="636" t="n"/>
      <c r="I419" s="17" t="n"/>
      <c r="J419" s="767" t="inlineStr">
        <is>
          <t>тыс.т</t>
        </is>
      </c>
    </row>
    <row r="420" ht="18.75" customHeight="1" s="904">
      <c r="B420" s="766" t="n"/>
      <c r="C420" s="769" t="inlineStr">
        <is>
          <t xml:space="preserve">            в.т.ч.: марка М</t>
        </is>
      </c>
      <c r="D420" s="15" t="n"/>
      <c r="E420" s="15" t="n"/>
      <c r="F420" s="16" t="n"/>
      <c r="G420" s="17" t="inlineStr">
        <is>
          <t>1_100330071</t>
        </is>
      </c>
      <c r="H420" s="636" t="n"/>
      <c r="I420" s="17" t="n"/>
      <c r="J420" s="767" t="inlineStr">
        <is>
          <t>тыс.т</t>
        </is>
      </c>
    </row>
    <row r="421" ht="18.75" customHeight="1" s="904">
      <c r="B421" s="766" t="n"/>
      <c r="C421" s="769" t="inlineStr">
        <is>
          <t xml:space="preserve">               в.т.ч.: микрофильтрованная вода</t>
        </is>
      </c>
      <c r="D421" s="15" t="n"/>
      <c r="E421" s="15" t="n"/>
      <c r="F421" s="16" t="n"/>
      <c r="G421" s="17" t="inlineStr">
        <is>
          <t>1_100331988</t>
        </is>
      </c>
      <c r="H421" s="636" t="n"/>
      <c r="I421" s="17" t="n"/>
      <c r="J421" s="767" t="inlineStr">
        <is>
          <t>тыс.т</t>
        </is>
      </c>
    </row>
    <row r="422" ht="18.75" customHeight="1" s="904">
      <c r="B422" s="766" t="n"/>
      <c r="C422" s="769" t="inlineStr">
        <is>
          <t xml:space="preserve">            марка С</t>
        </is>
      </c>
      <c r="D422" s="15" t="n"/>
      <c r="E422" s="15" t="n"/>
      <c r="F422" s="16" t="n"/>
      <c r="G422" s="17" t="inlineStr">
        <is>
          <t>1_100330070</t>
        </is>
      </c>
      <c r="H422" s="636" t="n"/>
      <c r="I422" s="17" t="n"/>
      <c r="J422" s="767" t="inlineStr">
        <is>
          <t>тыс.т</t>
        </is>
      </c>
    </row>
    <row r="423" ht="18.75" customHeight="1" s="904">
      <c r="B423" s="766" t="n"/>
      <c r="C423" s="769" t="inlineStr">
        <is>
          <t xml:space="preserve">            марка СМ</t>
        </is>
      </c>
      <c r="D423" s="15" t="n"/>
      <c r="E423" s="15" t="n"/>
      <c r="F423" s="16" t="n"/>
      <c r="G423" s="17" t="inlineStr">
        <is>
          <t>1_100337112</t>
        </is>
      </c>
      <c r="H423" s="636" t="n"/>
      <c r="I423" s="17" t="n"/>
      <c r="J423" s="767" t="inlineStr">
        <is>
          <t>тыс.т</t>
        </is>
      </c>
    </row>
    <row r="424" ht="18.75" customHeight="1" s="904">
      <c r="B424" s="766" t="n"/>
      <c r="C424" s="769" t="inlineStr">
        <is>
          <t xml:space="preserve">         комовая (сорт 7000)</t>
        </is>
      </c>
      <c r="D424" s="15" t="n"/>
      <c r="E424" s="15" t="n"/>
      <c r="F424" s="16" t="n"/>
      <c r="G424" s="17" t="n"/>
      <c r="H424" s="636" t="n"/>
      <c r="I424" s="17" t="n"/>
      <c r="J424" s="767" t="inlineStr">
        <is>
          <t>тыс.т</t>
        </is>
      </c>
    </row>
    <row r="425" ht="18.75" customHeight="1" s="904">
      <c r="B425" s="766" t="n"/>
      <c r="C425" s="769" t="inlineStr">
        <is>
          <t xml:space="preserve">      Справочно:</t>
        </is>
      </c>
      <c r="D425" s="15" t="n"/>
      <c r="E425" s="15" t="n"/>
      <c r="F425" s="16" t="n"/>
      <c r="G425" s="17" t="n"/>
      <c r="H425" s="636" t="n"/>
      <c r="I425" s="17" t="n"/>
      <c r="J425" s="767" t="n"/>
    </row>
    <row r="426" ht="18.75" customHeight="1" s="904">
      <c r="B426" s="766" t="n"/>
      <c r="C426" s="769" t="inlineStr">
        <is>
          <t xml:space="preserve">         Кислый газ</t>
        </is>
      </c>
      <c r="D426" s="15" t="n"/>
      <c r="E426" s="15" t="n"/>
      <c r="F426" s="16" t="n"/>
      <c r="G426" s="17" t="inlineStr">
        <is>
          <t>1_100330010</t>
        </is>
      </c>
      <c r="H426" s="636" t="n"/>
      <c r="I426" s="17" t="n"/>
      <c r="J426" s="767" t="inlineStr">
        <is>
          <t>тыс.т</t>
        </is>
      </c>
    </row>
    <row r="427" ht="18.75" customHeight="1" s="904">
      <c r="B427" s="766" t="n"/>
      <c r="C427" s="769" t="inlineStr">
        <is>
          <t xml:space="preserve">            в т.ч. кислый газ с производства № 3</t>
        </is>
      </c>
      <c r="D427" s="15" t="n"/>
      <c r="E427" s="15" t="n"/>
      <c r="F427" s="16" t="n"/>
      <c r="G427" s="17" t="inlineStr">
        <is>
          <t>1_100331980</t>
        </is>
      </c>
      <c r="H427" s="636" t="n"/>
      <c r="I427" s="17" t="n"/>
      <c r="J427" s="767" t="inlineStr">
        <is>
          <t>тыс.т</t>
        </is>
      </c>
    </row>
    <row r="428" ht="18.75" customHeight="1" s="904">
      <c r="B428" s="766" t="n"/>
      <c r="C428" s="769" t="inlineStr">
        <is>
          <t xml:space="preserve">            в т.ч. кислый газ с производства № 1, 5</t>
        </is>
      </c>
      <c r="D428" s="15" t="n"/>
      <c r="E428" s="15" t="n"/>
      <c r="F428" s="16" t="n"/>
      <c r="G428" s="17" t="inlineStr">
        <is>
          <t>1_100331981</t>
        </is>
      </c>
      <c r="H428" s="636" t="n"/>
      <c r="I428" s="17" t="n"/>
      <c r="J428" s="767" t="inlineStr">
        <is>
          <t>тыс.т</t>
        </is>
      </c>
    </row>
    <row r="429" ht="18.75" customHeight="1" s="904">
      <c r="B429" s="766" t="n"/>
      <c r="C429" s="769" t="inlineStr">
        <is>
          <t xml:space="preserve">      Бензин автомобильный - всего</t>
        </is>
      </c>
      <c r="D429" s="15" t="n"/>
      <c r="E429" s="15" t="n"/>
      <c r="F429" s="16" t="n"/>
      <c r="G429" s="17" t="inlineStr">
        <is>
          <t>1_100332017</t>
        </is>
      </c>
      <c r="H429" s="636" t="n"/>
      <c r="I429" s="17" t="n"/>
      <c r="J429" s="767" t="inlineStr">
        <is>
          <t>тыс.т</t>
        </is>
      </c>
    </row>
    <row r="430" ht="18.75" customHeight="1" s="904">
      <c r="B430" s="766" t="n"/>
      <c r="C430" s="769" t="inlineStr">
        <is>
          <t xml:space="preserve">         ОЧ-92</t>
        </is>
      </c>
      <c r="D430" s="15" t="n"/>
      <c r="E430" s="15" t="n"/>
      <c r="F430" s="16" t="n"/>
      <c r="G430" s="17" t="inlineStr">
        <is>
          <t>1_100332018</t>
        </is>
      </c>
      <c r="H430" s="636" t="n"/>
      <c r="I430" s="17" t="n"/>
      <c r="J430" s="767" t="inlineStr">
        <is>
          <t>тыс.т</t>
        </is>
      </c>
    </row>
    <row r="431" ht="18.75" customHeight="1" s="904">
      <c r="B431" s="766" t="n"/>
      <c r="C431" s="769" t="inlineStr">
        <is>
          <t xml:space="preserve">            на собственные нужды ГПП</t>
        </is>
      </c>
      <c r="D431" s="15" t="n"/>
      <c r="E431" s="15" t="n"/>
      <c r="F431" s="16" t="n"/>
      <c r="G431" s="17" t="n"/>
      <c r="H431" s="636" t="n"/>
      <c r="I431" s="17" t="n"/>
      <c r="J431" s="767" t="inlineStr">
        <is>
          <t>тыс.т</t>
        </is>
      </c>
    </row>
    <row r="432" ht="18.75" customHeight="1" s="904">
      <c r="B432" s="766" t="n"/>
      <c r="C432" s="769" t="inlineStr">
        <is>
          <t xml:space="preserve">         ОЧ-95</t>
        </is>
      </c>
      <c r="D432" s="15" t="n"/>
      <c r="E432" s="15" t="n"/>
      <c r="F432" s="16" t="n"/>
      <c r="G432" s="17" t="inlineStr">
        <is>
          <t>1_100332019</t>
        </is>
      </c>
      <c r="H432" s="636" t="n"/>
      <c r="I432" s="17" t="n"/>
      <c r="J432" s="767" t="inlineStr">
        <is>
          <t>тыс.т</t>
        </is>
      </c>
    </row>
    <row r="433" ht="18.75" customHeight="1" s="904">
      <c r="B433" s="766" t="n"/>
      <c r="C433" s="769" t="inlineStr">
        <is>
          <t xml:space="preserve">            на собственные нужды ГПП</t>
        </is>
      </c>
      <c r="D433" s="15" t="n"/>
      <c r="E433" s="15" t="n"/>
      <c r="F433" s="16" t="n"/>
      <c r="G433" s="17" t="n"/>
      <c r="H433" s="636" t="n"/>
      <c r="I433" s="17" t="n"/>
      <c r="J433" s="767" t="inlineStr">
        <is>
          <t>тыс.т</t>
        </is>
      </c>
    </row>
    <row r="434" ht="18.75" customHeight="1" s="904">
      <c r="B434" s="766" t="n"/>
      <c r="C434" s="769" t="inlineStr">
        <is>
          <t xml:space="preserve">         Дизельное топливо</t>
        </is>
      </c>
      <c r="D434" s="15" t="n"/>
      <c r="E434" s="15" t="n"/>
      <c r="F434" s="16" t="n"/>
      <c r="G434" s="17" t="inlineStr">
        <is>
          <t>1_100332023</t>
        </is>
      </c>
      <c r="H434" s="636" t="n"/>
      <c r="I434" s="17" t="n"/>
      <c r="J434" s="767" t="inlineStr">
        <is>
          <t>тыс.т</t>
        </is>
      </c>
    </row>
    <row r="435" ht="18.75" customHeight="1" s="904">
      <c r="B435" s="766" t="n"/>
      <c r="C435" s="769" t="inlineStr">
        <is>
          <t xml:space="preserve">            на собственные нужды ГПП</t>
        </is>
      </c>
      <c r="D435" s="15" t="n"/>
      <c r="E435" s="15" t="n"/>
      <c r="F435" s="16" t="n"/>
      <c r="G435" s="17" t="n"/>
      <c r="H435" s="636" t="n"/>
      <c r="I435" s="17" t="n"/>
      <c r="J435" s="767" t="inlineStr">
        <is>
          <t>тыс.т</t>
        </is>
      </c>
    </row>
    <row r="436" ht="18.75" customHeight="1" s="904">
      <c r="B436" s="766" t="n"/>
      <c r="C436" s="769" t="inlineStr">
        <is>
          <t xml:space="preserve">      ДГК средний</t>
        </is>
      </c>
      <c r="D436" s="15" t="n"/>
      <c r="E436" s="15" t="n"/>
      <c r="F436" s="16" t="n"/>
      <c r="G436" s="17" t="inlineStr">
        <is>
          <t>1_100332021</t>
        </is>
      </c>
      <c r="H436" s="636" t="n"/>
      <c r="I436" s="17" t="n"/>
      <c r="J436" s="767" t="inlineStr">
        <is>
          <t>тыс.т</t>
        </is>
      </c>
    </row>
    <row r="437" ht="18.75" customHeight="1" s="904">
      <c r="B437" s="766" t="n"/>
      <c r="C437" s="769" t="inlineStr">
        <is>
          <t xml:space="preserve">      ДГК легкий</t>
        </is>
      </c>
      <c r="D437" s="15" t="n"/>
      <c r="E437" s="15" t="n"/>
      <c r="F437" s="16" t="n"/>
      <c r="G437" s="17" t="inlineStr">
        <is>
          <t>1_100332020</t>
        </is>
      </c>
      <c r="H437" s="636" t="n"/>
      <c r="I437" s="17" t="n"/>
      <c r="J437" s="767" t="inlineStr">
        <is>
          <t>тыс.т</t>
        </is>
      </c>
    </row>
    <row r="438" ht="18.75" customHeight="1" s="904">
      <c r="B438" s="766" t="n"/>
      <c r="C438" s="769" t="inlineStr">
        <is>
          <t xml:space="preserve">      Мазут топочный</t>
        </is>
      </c>
      <c r="D438" s="15" t="n"/>
      <c r="E438" s="15" t="n"/>
      <c r="F438" s="16" t="n"/>
      <c r="G438" s="17" t="inlineStr">
        <is>
          <t>1_100332024</t>
        </is>
      </c>
      <c r="H438" s="636" t="n"/>
      <c r="I438" s="17" t="n"/>
      <c r="J438" s="767" t="inlineStr">
        <is>
          <t>тыс.т</t>
        </is>
      </c>
    </row>
    <row r="439" ht="18.75" customHeight="1" s="904">
      <c r="B439" s="766" t="n"/>
      <c r="C439" s="769" t="inlineStr">
        <is>
          <t xml:space="preserve">      ДГК тяжелый</t>
        </is>
      </c>
      <c r="D439" s="15" t="n"/>
      <c r="E439" s="15" t="n"/>
      <c r="F439" s="16" t="n"/>
      <c r="G439" s="17" t="inlineStr">
        <is>
          <t>1_100332022</t>
        </is>
      </c>
      <c r="H439" s="636" t="n"/>
      <c r="I439" s="17" t="n"/>
      <c r="J439" s="767" t="inlineStr">
        <is>
          <t>тыс.т</t>
        </is>
      </c>
    </row>
    <row r="440" ht="18.75" customHeight="1" s="904">
      <c r="B440" s="766" t="n"/>
      <c r="C440" s="769" t="inlineStr">
        <is>
          <t xml:space="preserve">      Газы углеводородные сжиженные (ПБТ/ПБА)</t>
        </is>
      </c>
      <c r="D440" s="15" t="n"/>
      <c r="E440" s="15" t="n"/>
      <c r="F440" s="16" t="n"/>
      <c r="G440" s="17" t="inlineStr">
        <is>
          <t>1_100332010</t>
        </is>
      </c>
      <c r="H440" s="636" t="n"/>
      <c r="I440" s="17" t="n"/>
      <c r="J440" s="767" t="inlineStr">
        <is>
          <t>тыс.т</t>
        </is>
      </c>
    </row>
    <row r="441" ht="18.75" customHeight="1" s="904">
      <c r="B441" s="766" t="n"/>
      <c r="C441" s="769" t="inlineStr">
        <is>
          <t xml:space="preserve">      Газ стабилизации на собственные нужды ГПП</t>
        </is>
      </c>
      <c r="D441" s="15" t="n"/>
      <c r="E441" s="15" t="n"/>
      <c r="F441" s="16" t="n"/>
      <c r="G441" s="17" t="inlineStr">
        <is>
          <t>1_100332026</t>
        </is>
      </c>
      <c r="H441" s="636" t="n"/>
      <c r="I441" s="17" t="n"/>
      <c r="J441" s="767" t="inlineStr">
        <is>
          <t>млн.м3</t>
        </is>
      </c>
    </row>
    <row r="442" ht="18.75" customHeight="1" s="904">
      <c r="B442" s="766" t="n"/>
      <c r="C442" s="769" t="inlineStr">
        <is>
          <t xml:space="preserve">      Газ стабилизации на собственные нужды ГПП</t>
        </is>
      </c>
      <c r="D442" s="15" t="n"/>
      <c r="E442" s="15" t="n"/>
      <c r="F442" s="16" t="n"/>
      <c r="G442" s="17" t="inlineStr">
        <is>
          <t>1_100332025</t>
        </is>
      </c>
      <c r="H442" s="636" t="n"/>
      <c r="I442" s="17" t="n"/>
      <c r="J442" s="767" t="inlineStr">
        <is>
          <t>тыс.т</t>
        </is>
      </c>
    </row>
    <row r="443" ht="18.75" customHeight="1" s="904">
      <c r="B443" s="766" t="n"/>
      <c r="C443" s="769" t="inlineStr">
        <is>
          <t xml:space="preserve">      ШФЛУ товарная</t>
        </is>
      </c>
      <c r="D443" s="15" t="n"/>
      <c r="E443" s="15" t="n"/>
      <c r="F443" s="16" t="n"/>
      <c r="G443" s="17" t="inlineStr">
        <is>
          <t>1_100330073</t>
        </is>
      </c>
      <c r="H443" s="636" t="n"/>
      <c r="I443" s="17" t="n"/>
      <c r="J443" s="767" t="inlineStr">
        <is>
          <t>тыс.т</t>
        </is>
      </c>
    </row>
    <row r="444" ht="18.75" customHeight="1" s="904">
      <c r="B444" s="766" t="n"/>
      <c r="C444" s="769" t="inlineStr">
        <is>
          <t xml:space="preserve">         в т.ч. стабильный конденсат</t>
        </is>
      </c>
      <c r="D444" s="15" t="n"/>
      <c r="E444" s="15" t="n"/>
      <c r="F444" s="16" t="n"/>
      <c r="G444" s="17" t="inlineStr">
        <is>
          <t>1_100332004</t>
        </is>
      </c>
      <c r="H444" s="636" t="n"/>
      <c r="I444" s="17" t="n"/>
      <c r="J444" s="767" t="inlineStr">
        <is>
          <t>тыс.т</t>
        </is>
      </c>
    </row>
    <row r="445" ht="18.75" customHeight="1" s="904">
      <c r="B445" s="766" t="n"/>
      <c r="C445" s="769" t="inlineStr">
        <is>
          <t xml:space="preserve">         Справочно:</t>
        </is>
      </c>
      <c r="D445" s="15" t="n"/>
      <c r="E445" s="15" t="n"/>
      <c r="F445" s="16" t="n"/>
      <c r="G445" s="17" t="n"/>
      <c r="H445" s="636" t="n"/>
      <c r="I445" s="17" t="n"/>
      <c r="J445" s="767" t="n"/>
    </row>
    <row r="446" ht="18.75" customHeight="1" s="904">
      <c r="B446" s="766" t="n"/>
      <c r="C446" s="769" t="inlineStr">
        <is>
          <t xml:space="preserve">            ШФЛУ валовая</t>
        </is>
      </c>
      <c r="D446" s="15" t="n"/>
      <c r="E446" s="15" t="n"/>
      <c r="F446" s="16" t="n"/>
      <c r="G446" s="17" t="inlineStr">
        <is>
          <t>1_100332006</t>
        </is>
      </c>
      <c r="H446" s="636" t="n"/>
      <c r="I446" s="17" t="n"/>
      <c r="J446" s="767" t="inlineStr">
        <is>
          <t>тыс.т</t>
        </is>
      </c>
    </row>
    <row r="447" ht="18.75" customHeight="1" s="904">
      <c r="B447" s="766" t="n"/>
      <c r="C447" s="769" t="inlineStr">
        <is>
          <t xml:space="preserve">               в т.ч. стабильный конденсат</t>
        </is>
      </c>
      <c r="D447" s="15" t="n"/>
      <c r="E447" s="15" t="n"/>
      <c r="F447" s="16" t="n"/>
      <c r="G447" s="17" t="inlineStr">
        <is>
          <t>1_100334997</t>
        </is>
      </c>
      <c r="H447" s="636" t="n"/>
      <c r="I447" s="17" t="n"/>
      <c r="J447" s="767" t="inlineStr">
        <is>
          <t>тыс.т</t>
        </is>
      </c>
    </row>
    <row r="448" ht="18.75" customHeight="1" s="904">
      <c r="B448" s="766" t="n"/>
      <c r="C448" s="769" t="inlineStr">
        <is>
          <t xml:space="preserve">            ШФЛУ - переработка</t>
        </is>
      </c>
      <c r="D448" s="15" t="n"/>
      <c r="E448" s="15" t="n"/>
      <c r="F448" s="16" t="n"/>
      <c r="G448" s="17" t="inlineStr">
        <is>
          <t>1_100332008</t>
        </is>
      </c>
      <c r="H448" s="636" t="n"/>
      <c r="I448" s="17" t="n"/>
      <c r="J448" s="767" t="inlineStr">
        <is>
          <t>тыс.т</t>
        </is>
      </c>
    </row>
    <row r="449" ht="18.75" customHeight="1" s="904">
      <c r="B449" s="766" t="n"/>
      <c r="C449" s="769" t="inlineStr">
        <is>
          <t xml:space="preserve">      Стабильный газовый конденсат - товарный</t>
        </is>
      </c>
      <c r="D449" s="15" t="n"/>
      <c r="E449" s="15" t="n"/>
      <c r="F449" s="16" t="n"/>
      <c r="G449" s="17" t="inlineStr">
        <is>
          <t>1_100332012</t>
        </is>
      </c>
      <c r="H449" s="636" t="n"/>
      <c r="I449" s="17" t="n"/>
      <c r="J449" s="767" t="inlineStr">
        <is>
          <t>тыс.т</t>
        </is>
      </c>
    </row>
    <row r="450" ht="18.75" customHeight="1" s="904">
      <c r="B450" s="766" t="n"/>
      <c r="C450" s="769" t="inlineStr">
        <is>
          <t xml:space="preserve">         Справочно:</t>
        </is>
      </c>
      <c r="D450" s="15" t="n"/>
      <c r="E450" s="15" t="n"/>
      <c r="F450" s="16" t="n"/>
      <c r="G450" s="17" t="n"/>
      <c r="H450" s="636" t="n"/>
      <c r="I450" s="17" t="n"/>
      <c r="J450" s="767" t="n"/>
    </row>
    <row r="451" ht="18.75" customHeight="1" s="904">
      <c r="B451" s="766" t="n"/>
      <c r="C451" s="769" t="inlineStr">
        <is>
          <t xml:space="preserve">            Стабильный газовый конденсат валовый</t>
        </is>
      </c>
      <c r="D451" s="15" t="n"/>
      <c r="E451" s="15" t="n"/>
      <c r="F451" s="16" t="n"/>
      <c r="G451" s="17" t="inlineStr">
        <is>
          <t>1_100332014</t>
        </is>
      </c>
      <c r="H451" s="636" t="n"/>
      <c r="I451" s="17" t="n"/>
      <c r="J451" s="767" t="inlineStr">
        <is>
          <t>тыс.т</t>
        </is>
      </c>
    </row>
    <row r="452" ht="18.75" customHeight="1" s="904">
      <c r="B452" s="766" t="n"/>
      <c r="C452" s="769" t="inlineStr">
        <is>
          <t xml:space="preserve">            Стабильный газовый конденсат -  переработка</t>
        </is>
      </c>
      <c r="D452" s="15" t="n"/>
      <c r="E452" s="15" t="n"/>
      <c r="F452" s="16" t="n"/>
      <c r="G452" s="17" t="inlineStr">
        <is>
          <t>1_100332016</t>
        </is>
      </c>
      <c r="H452" s="636" t="n"/>
      <c r="I452" s="17" t="n"/>
      <c r="J452" s="767" t="inlineStr">
        <is>
          <t>тыс.т</t>
        </is>
      </c>
    </row>
    <row r="453" ht="18.75" customHeight="1" s="904">
      <c r="B453" s="766" t="n"/>
      <c r="C453" s="769" t="inlineStr">
        <is>
          <t xml:space="preserve">      Отгрузка с учетом изменения остатков</t>
        </is>
      </c>
      <c r="D453" s="15" t="n"/>
      <c r="E453" s="15" t="n"/>
      <c r="F453" s="16" t="n"/>
      <c r="G453" s="17" t="inlineStr">
        <is>
          <t>1_100332013</t>
        </is>
      </c>
      <c r="H453" s="636" t="n"/>
      <c r="I453" s="17" t="n"/>
      <c r="J453" s="767" t="inlineStr">
        <is>
          <t>тыс.т</t>
        </is>
      </c>
    </row>
    <row r="454" ht="18.75" customHeight="1" s="904">
      <c r="B454" s="766" t="n"/>
      <c r="C454" s="788" t="inlineStr">
        <is>
          <t>ООО "Газпром переработка"  - ОРЕНБУРГСКИЙ ГХК</t>
        </is>
      </c>
      <c r="D454" s="15" t="n"/>
      <c r="E454" s="15" t="n"/>
      <c r="F454" s="16" t="n"/>
      <c r="G454" s="17" t="n"/>
      <c r="H454" s="636" t="n"/>
      <c r="I454" s="17" t="n"/>
      <c r="J454" s="767" t="n"/>
    </row>
    <row r="455" ht="18.75" customHeight="1" s="904">
      <c r="B455" s="766" t="n"/>
      <c r="C455" s="769" t="inlineStr">
        <is>
          <t xml:space="preserve">   Раздел I (Группа Газпром)</t>
        </is>
      </c>
      <c r="D455" s="15" t="n"/>
      <c r="E455" s="15" t="n"/>
      <c r="F455" s="16" t="n"/>
      <c r="G455" s="17" t="n"/>
      <c r="H455" s="636" t="n"/>
      <c r="I455" s="17" t="n"/>
      <c r="J455" s="767" t="n"/>
    </row>
    <row r="456" ht="25.5" customHeight="1" s="904">
      <c r="B456" s="766" t="n"/>
      <c r="C456" s="769" t="inlineStr">
        <is>
          <t xml:space="preserve">      Поставка природного газа от ГД Оренбург для ООО "Газпром переработка", всего</t>
        </is>
      </c>
      <c r="D456" s="15" t="n"/>
      <c r="E456" s="15" t="n"/>
      <c r="F456" s="16" t="n"/>
      <c r="G456" s="17" t="inlineStr">
        <is>
          <t>2_100332036</t>
        </is>
      </c>
      <c r="H456" s="636" t="n"/>
      <c r="I456" s="17" t="n"/>
      <c r="J456" s="767" t="inlineStr">
        <is>
          <t>млн.м3</t>
        </is>
      </c>
    </row>
    <row r="457" ht="25.5" customHeight="1" s="904">
      <c r="B457" s="766" t="n"/>
      <c r="C457" s="769" t="inlineStr">
        <is>
          <t xml:space="preserve">      Поставка природного газа от ГД Оренбург для ООО "Газпром переработка", всего</t>
        </is>
      </c>
      <c r="D457" s="15" t="n"/>
      <c r="E457" s="15" t="n"/>
      <c r="F457" s="16" t="n"/>
      <c r="G457" s="17" t="inlineStr">
        <is>
          <t>2_100332035</t>
        </is>
      </c>
      <c r="H457" s="636" t="n"/>
      <c r="I457" s="17" t="n"/>
      <c r="J457" s="767" t="inlineStr">
        <is>
          <t>тыс.т</t>
        </is>
      </c>
    </row>
    <row r="458" ht="18.75" customHeight="1" s="904">
      <c r="B458" s="766" t="n"/>
      <c r="C458" s="769" t="inlineStr">
        <is>
          <t xml:space="preserve">         из сырья ГД Оренбург</t>
        </is>
      </c>
      <c r="D458" s="15" t="n"/>
      <c r="E458" s="15" t="n"/>
      <c r="F458" s="16" t="n"/>
      <c r="G458" s="17" t="inlineStr">
        <is>
          <t>2_100332038</t>
        </is>
      </c>
      <c r="H458" s="636" t="n"/>
      <c r="I458" s="17" t="n"/>
      <c r="J458" s="767" t="inlineStr">
        <is>
          <t>млн.м3</t>
        </is>
      </c>
    </row>
    <row r="459" ht="18.75" customHeight="1" s="904">
      <c r="B459" s="766" t="n"/>
      <c r="C459" s="769" t="inlineStr">
        <is>
          <t xml:space="preserve">            в т.ч. ДРОД (Филипповская залежь и др.)</t>
        </is>
      </c>
      <c r="D459" s="15" t="n"/>
      <c r="E459" s="15" t="n"/>
      <c r="F459" s="16" t="n"/>
      <c r="G459" s="17" t="inlineStr">
        <is>
          <t>2_100334999</t>
        </is>
      </c>
      <c r="H459" s="636" t="n"/>
      <c r="I459" s="17" t="n"/>
      <c r="J459" s="767" t="inlineStr">
        <is>
          <t>млн.м3</t>
        </is>
      </c>
    </row>
    <row r="460" ht="18.75" customHeight="1" s="904">
      <c r="B460" s="766" t="n"/>
      <c r="C460" s="769" t="inlineStr">
        <is>
          <t xml:space="preserve">         из сырья ГД Оренбург</t>
        </is>
      </c>
      <c r="D460" s="15" t="n"/>
      <c r="E460" s="15" t="n"/>
      <c r="F460" s="16" t="n"/>
      <c r="G460" s="17" t="inlineStr">
        <is>
          <t>2_100332037</t>
        </is>
      </c>
      <c r="H460" s="636" t="n"/>
      <c r="I460" s="17" t="n"/>
      <c r="J460" s="767" t="inlineStr">
        <is>
          <t>тыс.т</t>
        </is>
      </c>
    </row>
    <row r="461" ht="18.75" customHeight="1" s="904">
      <c r="B461" s="766" t="n"/>
      <c r="C461" s="769" t="inlineStr">
        <is>
          <t xml:space="preserve">            в т.ч. ДРОД (Филипповская залежь и др.)</t>
        </is>
      </c>
      <c r="D461" s="15" t="n"/>
      <c r="E461" s="15" t="n"/>
      <c r="F461" s="16" t="n"/>
      <c r="G461" s="17" t="inlineStr">
        <is>
          <t>2_100334998</t>
        </is>
      </c>
      <c r="H461" s="636" t="n"/>
      <c r="I461" s="17" t="n"/>
      <c r="J461" s="767" t="inlineStr">
        <is>
          <t>тыс.т</t>
        </is>
      </c>
    </row>
    <row r="462" ht="18.75" customHeight="1" s="904">
      <c r="B462" s="766" t="n"/>
      <c r="C462" s="769" t="inlineStr">
        <is>
          <t xml:space="preserve">         из сырья ГПнефть</t>
        </is>
      </c>
      <c r="D462" s="15" t="n"/>
      <c r="E462" s="15" t="n"/>
      <c r="F462" s="16" t="n"/>
      <c r="G462" s="17" t="inlineStr">
        <is>
          <t>2_100332040</t>
        </is>
      </c>
      <c r="H462" s="636" t="n"/>
      <c r="I462" s="17" t="n"/>
      <c r="J462" s="767" t="inlineStr">
        <is>
          <t>млн.м3</t>
        </is>
      </c>
    </row>
    <row r="463" ht="18.75" customHeight="1" s="904">
      <c r="B463" s="766" t="n"/>
      <c r="C463" s="769" t="inlineStr">
        <is>
          <t xml:space="preserve">         из сырья ГПнефть</t>
        </is>
      </c>
      <c r="D463" s="15" t="n"/>
      <c r="E463" s="15" t="n"/>
      <c r="F463" s="16" t="n"/>
      <c r="G463" s="17" t="inlineStr">
        <is>
          <t>2_100332039</t>
        </is>
      </c>
      <c r="H463" s="636" t="n"/>
      <c r="I463" s="17" t="n"/>
      <c r="J463" s="767" t="inlineStr">
        <is>
          <t>тыс.т</t>
        </is>
      </c>
    </row>
    <row r="464" ht="18.75" customHeight="1" s="904">
      <c r="B464" s="766" t="n"/>
      <c r="C464" s="769" t="inlineStr">
        <is>
          <t xml:space="preserve">         из сырья УНГП</t>
        </is>
      </c>
      <c r="D464" s="15" t="n"/>
      <c r="E464" s="15" t="n"/>
      <c r="F464" s="16" t="n"/>
      <c r="G464" s="17" t="inlineStr">
        <is>
          <t>2_100332042</t>
        </is>
      </c>
      <c r="H464" s="636" t="n"/>
      <c r="I464" s="17" t="n"/>
      <c r="J464" s="767" t="inlineStr">
        <is>
          <t>млн.м3</t>
        </is>
      </c>
    </row>
    <row r="465" ht="18.75" customHeight="1" s="904">
      <c r="B465" s="766" t="n"/>
      <c r="C465" s="769" t="inlineStr">
        <is>
          <t xml:space="preserve">         из сырья УНГП</t>
        </is>
      </c>
      <c r="D465" s="15" t="n"/>
      <c r="E465" s="15" t="n"/>
      <c r="F465" s="16" t="n"/>
      <c r="G465" s="17" t="inlineStr">
        <is>
          <t>2_100332041</t>
        </is>
      </c>
      <c r="H465" s="636" t="n"/>
      <c r="I465" s="17" t="n"/>
      <c r="J465" s="767" t="inlineStr">
        <is>
          <t>тыс.т</t>
        </is>
      </c>
    </row>
    <row r="466" ht="18.75" customHeight="1" s="904">
      <c r="B466" s="766" t="n"/>
      <c r="C466" s="769" t="inlineStr">
        <is>
          <t xml:space="preserve">         из сырья Сервиснефтегаз</t>
        </is>
      </c>
      <c r="D466" s="15" t="n"/>
      <c r="E466" s="15" t="n"/>
      <c r="F466" s="16" t="n"/>
      <c r="G466" s="17" t="inlineStr">
        <is>
          <t>2_100332044</t>
        </is>
      </c>
      <c r="H466" s="636" t="n"/>
      <c r="I466" s="17" t="n"/>
      <c r="J466" s="767" t="inlineStr">
        <is>
          <t>млн.м3</t>
        </is>
      </c>
    </row>
    <row r="467" ht="18.75" customHeight="1" s="904">
      <c r="B467" s="766" t="n"/>
      <c r="C467" s="769" t="inlineStr">
        <is>
          <t xml:space="preserve">         из сырья Сервиснефтегаз</t>
        </is>
      </c>
      <c r="D467" s="15" t="n"/>
      <c r="E467" s="15" t="n"/>
      <c r="F467" s="16" t="n"/>
      <c r="G467" s="17" t="inlineStr">
        <is>
          <t>2_100332043</t>
        </is>
      </c>
      <c r="H467" s="636" t="n"/>
      <c r="I467" s="17" t="n"/>
      <c r="J467" s="767" t="inlineStr">
        <is>
          <t>тыс.т</t>
        </is>
      </c>
    </row>
    <row r="468" ht="18.75" customHeight="1" s="904">
      <c r="B468" s="766" t="n"/>
      <c r="C468" s="769" t="inlineStr">
        <is>
          <t xml:space="preserve">         из сырья Карбон</t>
        </is>
      </c>
      <c r="D468" s="15" t="n"/>
      <c r="E468" s="15" t="n"/>
      <c r="F468" s="16" t="n"/>
      <c r="G468" s="17" t="inlineStr">
        <is>
          <t>2_100332916</t>
        </is>
      </c>
      <c r="H468" s="636" t="n"/>
      <c r="I468" s="17" t="n"/>
      <c r="J468" s="767" t="inlineStr">
        <is>
          <t>млн.м3</t>
        </is>
      </c>
    </row>
    <row r="469" ht="18.75" customHeight="1" s="904">
      <c r="B469" s="766" t="n"/>
      <c r="C469" s="769" t="inlineStr">
        <is>
          <t xml:space="preserve">         из сырья Карбон</t>
        </is>
      </c>
      <c r="D469" s="15" t="n"/>
      <c r="E469" s="15" t="n"/>
      <c r="F469" s="16" t="n"/>
      <c r="G469" s="17" t="inlineStr">
        <is>
          <t>2_100332915</t>
        </is>
      </c>
      <c r="H469" s="636" t="n"/>
      <c r="I469" s="17" t="n"/>
      <c r="J469" s="767" t="inlineStr">
        <is>
          <t>тыс.т</t>
        </is>
      </c>
    </row>
    <row r="470" ht="18.75" customHeight="1" s="904">
      <c r="B470" s="766" t="n"/>
      <c r="C470" s="769" t="inlineStr">
        <is>
          <t xml:space="preserve">         из сырья ГПнефть-Заполярье</t>
        </is>
      </c>
      <c r="D470" s="15" t="n"/>
      <c r="E470" s="15" t="n"/>
      <c r="F470" s="16" t="n"/>
      <c r="G470" s="17" t="inlineStr">
        <is>
          <t>2_100332944</t>
        </is>
      </c>
      <c r="H470" s="636" t="n"/>
      <c r="I470" s="17" t="n"/>
      <c r="J470" s="767" t="inlineStr">
        <is>
          <t>млн.м3</t>
        </is>
      </c>
    </row>
    <row r="471" ht="18.75" customHeight="1" s="904">
      <c r="B471" s="766" t="n"/>
      <c r="C471" s="769" t="inlineStr">
        <is>
          <t xml:space="preserve">         из сырья ГПнефть-Заполярье</t>
        </is>
      </c>
      <c r="D471" s="15" t="n"/>
      <c r="E471" s="15" t="n"/>
      <c r="F471" s="16" t="n"/>
      <c r="G471" s="17" t="inlineStr">
        <is>
          <t>2_100332943</t>
        </is>
      </c>
      <c r="H471" s="636" t="n"/>
      <c r="I471" s="17" t="n"/>
      <c r="J471" s="767" t="inlineStr">
        <is>
          <t>тыс.т</t>
        </is>
      </c>
    </row>
    <row r="472" ht="18.75" customHeight="1" s="904">
      <c r="B472" s="766" t="n"/>
      <c r="C472" s="769" t="inlineStr">
        <is>
          <t xml:space="preserve">            из сырья ООО "Сладковско-Заречное"</t>
        </is>
      </c>
      <c r="D472" s="15" t="n"/>
      <c r="E472" s="15" t="n"/>
      <c r="F472" s="16" t="n"/>
      <c r="G472" s="17" t="inlineStr">
        <is>
          <t>2_100335129</t>
        </is>
      </c>
      <c r="H472" s="636" t="n"/>
      <c r="I472" s="17" t="n"/>
      <c r="J472" s="767" t="inlineStr">
        <is>
          <t>млн.м3</t>
        </is>
      </c>
    </row>
    <row r="473" ht="18.75" customHeight="1" s="904">
      <c r="B473" s="766" t="n"/>
      <c r="C473" s="769" t="inlineStr">
        <is>
          <t xml:space="preserve">            из сырья ООО "Сладковско-Заречное"</t>
        </is>
      </c>
      <c r="D473" s="15" t="n"/>
      <c r="E473" s="15" t="n"/>
      <c r="F473" s="16" t="n"/>
      <c r="G473" s="17" t="inlineStr">
        <is>
          <t>2_100335128</t>
        </is>
      </c>
      <c r="H473" s="636" t="n"/>
      <c r="I473" s="17" t="n"/>
      <c r="J473" s="767" t="inlineStr">
        <is>
          <t>тыс.т</t>
        </is>
      </c>
    </row>
    <row r="474" ht="25.5" customHeight="1" s="904">
      <c r="B474" s="766" t="n"/>
      <c r="C474" s="769" t="inlineStr">
        <is>
          <t xml:space="preserve">      Переработка природного газа (собственность ООО "Газпром переработка"), всего:</t>
        </is>
      </c>
      <c r="D474" s="15" t="n"/>
      <c r="E474" s="15" t="n"/>
      <c r="F474" s="16" t="n"/>
      <c r="G474" s="17" t="inlineStr">
        <is>
          <t>2_100332036</t>
        </is>
      </c>
      <c r="H474" s="636" t="n"/>
      <c r="I474" s="17" t="n"/>
      <c r="J474" s="767" t="inlineStr">
        <is>
          <t>млн.м3</t>
        </is>
      </c>
    </row>
    <row r="475" ht="25.5" customHeight="1" s="904">
      <c r="B475" s="766" t="n"/>
      <c r="C475" s="769" t="inlineStr">
        <is>
          <t xml:space="preserve">      Переработка природного газа (собственность ООО "Газпром переработка"), всего:</t>
        </is>
      </c>
      <c r="D475" s="15" t="n"/>
      <c r="E475" s="15" t="n"/>
      <c r="F475" s="16" t="n"/>
      <c r="G475" s="17" t="inlineStr">
        <is>
          <t>2_100332035</t>
        </is>
      </c>
      <c r="H475" s="636" t="n"/>
      <c r="I475" s="17" t="n"/>
      <c r="J475" s="767" t="inlineStr">
        <is>
          <t>тыс.т</t>
        </is>
      </c>
    </row>
    <row r="476" ht="18.75" customHeight="1" s="904">
      <c r="B476" s="766" t="n"/>
      <c r="C476" s="769" t="inlineStr">
        <is>
          <t xml:space="preserve">      Переработка газа на ОГЗ, всего</t>
        </is>
      </c>
      <c r="D476" s="15" t="n"/>
      <c r="E476" s="15" t="n"/>
      <c r="F476" s="16" t="n"/>
      <c r="G476" s="17" t="inlineStr">
        <is>
          <t>2_100332052</t>
        </is>
      </c>
      <c r="H476" s="636" t="n"/>
      <c r="I476" s="17" t="n"/>
      <c r="J476" s="767" t="inlineStr">
        <is>
          <t>млн.м3</t>
        </is>
      </c>
    </row>
    <row r="477" ht="18.75" customHeight="1" s="904">
      <c r="B477" s="766" t="n"/>
      <c r="C477" s="769" t="inlineStr">
        <is>
          <t xml:space="preserve">      Переработка газа на ОГЗ, всего</t>
        </is>
      </c>
      <c r="D477" s="15" t="n"/>
      <c r="E477" s="15" t="n"/>
      <c r="F477" s="16" t="n"/>
      <c r="G477" s="17" t="inlineStr">
        <is>
          <t>2_100332051</t>
        </is>
      </c>
      <c r="H477" s="636" t="n"/>
      <c r="I477" s="17" t="n"/>
      <c r="J477" s="767" t="inlineStr">
        <is>
          <t>тыс.т</t>
        </is>
      </c>
    </row>
    <row r="478" ht="18.75" customHeight="1" s="904">
      <c r="B478" s="766" t="n"/>
      <c r="C478" s="769" t="inlineStr">
        <is>
          <t xml:space="preserve">         из сырья ГД Оренбург</t>
        </is>
      </c>
      <c r="D478" s="15" t="n"/>
      <c r="E478" s="15" t="n"/>
      <c r="F478" s="16" t="n"/>
      <c r="G478" s="17" t="inlineStr">
        <is>
          <t>2_100332054</t>
        </is>
      </c>
      <c r="H478" s="636" t="n"/>
      <c r="I478" s="17" t="n"/>
      <c r="J478" s="767" t="inlineStr">
        <is>
          <t>млн.м3</t>
        </is>
      </c>
    </row>
    <row r="479" ht="18.75" customHeight="1" s="904">
      <c r="B479" s="766" t="n"/>
      <c r="C479" s="769" t="inlineStr">
        <is>
          <t xml:space="preserve">         из сырья ГД Оренбург</t>
        </is>
      </c>
      <c r="D479" s="15" t="n"/>
      <c r="E479" s="15" t="n"/>
      <c r="F479" s="16" t="n"/>
      <c r="G479" s="17" t="inlineStr">
        <is>
          <t>2_100332053</t>
        </is>
      </c>
      <c r="H479" s="636" t="n"/>
      <c r="I479" s="17" t="n"/>
      <c r="J479" s="767" t="inlineStr">
        <is>
          <t>тыс.т</t>
        </is>
      </c>
    </row>
    <row r="480" ht="18.75" customHeight="1" s="904">
      <c r="B480" s="766" t="n"/>
      <c r="C480" s="769" t="inlineStr">
        <is>
          <t xml:space="preserve">         из сырья ГПнефть</t>
        </is>
      </c>
      <c r="D480" s="15" t="n"/>
      <c r="E480" s="15" t="n"/>
      <c r="F480" s="16" t="n"/>
      <c r="G480" s="17" t="inlineStr">
        <is>
          <t>2_100332056</t>
        </is>
      </c>
      <c r="H480" s="636" t="n"/>
      <c r="I480" s="17" t="n"/>
      <c r="J480" s="767" t="inlineStr">
        <is>
          <t>млн.м3</t>
        </is>
      </c>
    </row>
    <row r="481" ht="18.75" customHeight="1" s="904">
      <c r="B481" s="766" t="n"/>
      <c r="C481" s="769" t="inlineStr">
        <is>
          <t xml:space="preserve">         из сырья ГПнефть</t>
        </is>
      </c>
      <c r="D481" s="15" t="n"/>
      <c r="E481" s="15" t="n"/>
      <c r="F481" s="16" t="n"/>
      <c r="G481" s="17" t="inlineStr">
        <is>
          <t>2_100332055</t>
        </is>
      </c>
      <c r="H481" s="636" t="n"/>
      <c r="I481" s="17" t="n"/>
      <c r="J481" s="767" t="inlineStr">
        <is>
          <t>тыс.т</t>
        </is>
      </c>
    </row>
    <row r="482" ht="18.75" customHeight="1" s="904">
      <c r="B482" s="766" t="n"/>
      <c r="C482" s="769" t="inlineStr">
        <is>
          <t xml:space="preserve">            из сырья прочих поставщиков</t>
        </is>
      </c>
      <c r="D482" s="15" t="n"/>
      <c r="E482" s="15" t="n"/>
      <c r="F482" s="16" t="n"/>
      <c r="G482" s="17" t="inlineStr">
        <is>
          <t>2_100335131</t>
        </is>
      </c>
      <c r="H482" s="636" t="n"/>
      <c r="I482" s="17" t="n"/>
      <c r="J482" s="767" t="inlineStr">
        <is>
          <t>млн.м3</t>
        </is>
      </c>
    </row>
    <row r="483" ht="18.75" customHeight="1" s="904">
      <c r="B483" s="766" t="n"/>
      <c r="C483" s="769" t="inlineStr">
        <is>
          <t xml:space="preserve">            из сырья прочих поставщиков</t>
        </is>
      </c>
      <c r="D483" s="15" t="n"/>
      <c r="E483" s="15" t="n"/>
      <c r="F483" s="16" t="n"/>
      <c r="G483" s="17" t="inlineStr">
        <is>
          <t>2_100335130</t>
        </is>
      </c>
      <c r="H483" s="636" t="n"/>
      <c r="I483" s="17" t="n"/>
      <c r="J483" s="767" t="inlineStr">
        <is>
          <t>тыс.т</t>
        </is>
      </c>
    </row>
    <row r="484" ht="18.75" customHeight="1" s="904">
      <c r="B484" s="766" t="n"/>
      <c r="C484" s="769" t="inlineStr">
        <is>
          <t xml:space="preserve">      Производство продукции  (собственность ООО "Газпром переработка")</t>
        </is>
      </c>
      <c r="D484" s="15" t="n"/>
      <c r="E484" s="15" t="n"/>
      <c r="F484" s="16" t="n"/>
      <c r="G484" s="17" t="n"/>
      <c r="H484" s="636" t="n"/>
      <c r="I484" s="17" t="n"/>
      <c r="J484" s="767" t="n"/>
    </row>
    <row r="485" ht="18.75" customHeight="1" s="904">
      <c r="B485" s="766" t="n"/>
      <c r="C485" s="769" t="inlineStr">
        <is>
          <t xml:space="preserve">         Сера</t>
        </is>
      </c>
      <c r="D485" s="15" t="n"/>
      <c r="E485" s="15" t="n"/>
      <c r="F485" s="16" t="n"/>
      <c r="G485" s="17" t="inlineStr">
        <is>
          <t>2_100332191+2_100335030</t>
        </is>
      </c>
      <c r="H485" s="636" t="n"/>
      <c r="I485" s="17" t="n"/>
      <c r="J485" s="767" t="inlineStr">
        <is>
          <t>тыс.т</t>
        </is>
      </c>
    </row>
    <row r="486" ht="18.75" customHeight="1" s="904">
      <c r="B486" s="766" t="n"/>
      <c r="C486" s="769" t="inlineStr">
        <is>
          <t xml:space="preserve">            в.т.ч.: гранулированная</t>
        </is>
      </c>
      <c r="D486" s="15" t="n"/>
      <c r="E486" s="15" t="n"/>
      <c r="F486" s="16" t="n"/>
      <c r="G486" s="17" t="inlineStr">
        <is>
          <t>2_100332193</t>
        </is>
      </c>
      <c r="H486" s="636" t="n"/>
      <c r="I486" s="17" t="n"/>
      <c r="J486" s="767" t="inlineStr">
        <is>
          <t>тыс.т</t>
        </is>
      </c>
    </row>
    <row r="487" ht="18.75" customHeight="1" s="904">
      <c r="B487" s="766" t="n"/>
      <c r="C487" s="769" t="inlineStr">
        <is>
          <t xml:space="preserve">         ШФЛУ ГЗ</t>
        </is>
      </c>
      <c r="D487" s="15" t="n"/>
      <c r="E487" s="15" t="n"/>
      <c r="F487" s="16" t="n"/>
      <c r="G487" s="17" t="inlineStr">
        <is>
          <t>2_100332206</t>
        </is>
      </c>
      <c r="H487" s="636" t="n"/>
      <c r="I487" s="17" t="n"/>
      <c r="J487" s="767" t="inlineStr">
        <is>
          <t>тыс.т</t>
        </is>
      </c>
    </row>
    <row r="488" ht="24" customHeight="1" s="904">
      <c r="B488" s="766" t="n"/>
      <c r="C488" s="769" t="inlineStr">
        <is>
          <t xml:space="preserve">         Стабильный газовый конденсат с нефтью ГПЗ</t>
        </is>
      </c>
      <c r="D488" s="15" t="n"/>
      <c r="E488" s="15" t="n"/>
      <c r="F488" s="16" t="n"/>
      <c r="G488" s="17" t="inlineStr">
        <is>
          <t>2_100332269+2_100332271+2_100332959-2_100332960</t>
        </is>
      </c>
      <c r="H488" s="636" t="n"/>
      <c r="I488" s="17" t="n"/>
      <c r="J488" s="767" t="inlineStr">
        <is>
          <t>тыс.т</t>
        </is>
      </c>
    </row>
    <row r="489" ht="18.75" customHeight="1" s="904">
      <c r="B489" s="766" t="n"/>
      <c r="C489" s="769" t="inlineStr">
        <is>
          <t xml:space="preserve">            в т.ч. собственная потребность</t>
        </is>
      </c>
      <c r="D489" s="15" t="n"/>
      <c r="E489" s="15" t="n"/>
      <c r="F489" s="16" t="n"/>
      <c r="G489" s="17" t="inlineStr">
        <is>
          <t>2_100332958</t>
        </is>
      </c>
      <c r="H489" s="636" t="n"/>
      <c r="I489" s="17" t="n"/>
      <c r="J489" s="767" t="inlineStr">
        <is>
          <t>тыс.т</t>
        </is>
      </c>
    </row>
    <row r="490" ht="18.75" customHeight="1" s="904">
      <c r="B490" s="766" t="n"/>
      <c r="C490" s="769" t="inlineStr">
        <is>
          <t xml:space="preserve">               в т.ч. потребность ООО "Газпром добыча Оренбург"</t>
        </is>
      </c>
      <c r="D490" s="15" t="n"/>
      <c r="E490" s="15" t="n"/>
      <c r="F490" s="16" t="n"/>
      <c r="G490" s="17" t="inlineStr">
        <is>
          <t>2_100332270</t>
        </is>
      </c>
      <c r="H490" s="636" t="n"/>
      <c r="I490" s="17" t="n"/>
      <c r="J490" s="767" t="inlineStr">
        <is>
          <t>тыс.т</t>
        </is>
      </c>
    </row>
    <row r="491" ht="24" customHeight="1" s="904">
      <c r="B491" s="766" t="n"/>
      <c r="C491" s="769" t="inlineStr">
        <is>
          <t xml:space="preserve">         Газы углеводородные сжиженные ГПЗ</t>
        </is>
      </c>
      <c r="D491" s="15" t="n"/>
      <c r="E491" s="15" t="n"/>
      <c r="F491" s="16" t="n"/>
      <c r="G491" s="17" t="inlineStr">
        <is>
          <t>2_100332221+2_100332223+2_100332224-2_100335668</t>
        </is>
      </c>
      <c r="H491" s="636" t="n"/>
      <c r="I491" s="17" t="n"/>
      <c r="J491" s="767" t="inlineStr">
        <is>
          <t>тыс.т</t>
        </is>
      </c>
    </row>
    <row r="492" ht="24" customHeight="1" s="904">
      <c r="B492" s="766" t="n"/>
      <c r="C492" s="769" t="inlineStr">
        <is>
          <t xml:space="preserve">            ПБТ/ПБА</t>
        </is>
      </c>
      <c r="D492" s="15" t="n"/>
      <c r="E492" s="15" t="n"/>
      <c r="F492" s="16" t="n"/>
      <c r="G492" s="17" t="inlineStr">
        <is>
          <t>2_100332221+2_100332223+2_100332224-2_100335668</t>
        </is>
      </c>
      <c r="H492" s="636" t="n"/>
      <c r="I492" s="17" t="n"/>
      <c r="J492" s="767" t="inlineStr">
        <is>
          <t>тыс.т</t>
        </is>
      </c>
    </row>
    <row r="493" ht="18.75" customHeight="1" s="904">
      <c r="B493" s="766" t="n"/>
      <c r="C493" s="769" t="inlineStr">
        <is>
          <t xml:space="preserve">               в т.ч. собственная потребность</t>
        </is>
      </c>
      <c r="D493" s="15" t="n"/>
      <c r="E493" s="15" t="n"/>
      <c r="F493" s="16" t="n"/>
      <c r="G493" s="17" t="inlineStr">
        <is>
          <t>2_100332222</t>
        </is>
      </c>
      <c r="H493" s="636" t="n"/>
      <c r="I493" s="17" t="n"/>
      <c r="J493" s="767" t="inlineStr">
        <is>
          <t>тыс.т</t>
        </is>
      </c>
    </row>
    <row r="494" ht="18.75" customHeight="1" s="904">
      <c r="B494" s="766" t="n"/>
      <c r="C494" s="769" t="inlineStr">
        <is>
          <t xml:space="preserve">                  в т.ч. потребность ООО "Газпром добыча Оренбург"</t>
        </is>
      </c>
      <c r="D494" s="15" t="n"/>
      <c r="E494" s="15" t="n"/>
      <c r="F494" s="16" t="n"/>
      <c r="G494" s="17" t="n"/>
      <c r="H494" s="636" t="n"/>
      <c r="I494" s="17" t="n"/>
      <c r="J494" s="767" t="inlineStr">
        <is>
          <t>тыс.т</t>
        </is>
      </c>
    </row>
    <row r="495" ht="18.75" customHeight="1" s="904">
      <c r="B495" s="766" t="n"/>
      <c r="C495" s="769" t="inlineStr">
        <is>
          <t xml:space="preserve">         Этановая фракция ГЗ</t>
        </is>
      </c>
      <c r="D495" s="15" t="n"/>
      <c r="E495" s="15" t="n"/>
      <c r="F495" s="16" t="n"/>
      <c r="G495" s="17" t="inlineStr">
        <is>
          <t>2_100332241</t>
        </is>
      </c>
      <c r="H495" s="636" t="n"/>
      <c r="I495" s="17" t="n"/>
      <c r="J495" s="767" t="inlineStr">
        <is>
          <t>тыс.т</t>
        </is>
      </c>
    </row>
    <row r="496" ht="18.75" customHeight="1" s="904">
      <c r="B496" s="766" t="n"/>
      <c r="C496" s="769" t="inlineStr">
        <is>
          <t xml:space="preserve">         Одорант ГПЗ</t>
        </is>
      </c>
      <c r="D496" s="15" t="n"/>
      <c r="E496" s="15" t="n"/>
      <c r="F496" s="16" t="n"/>
      <c r="G496" s="17" t="inlineStr">
        <is>
          <t>2_100332238</t>
        </is>
      </c>
      <c r="H496" s="636" t="n"/>
      <c r="I496" s="17" t="n"/>
      <c r="J496" s="767" t="inlineStr">
        <is>
          <t>тыс.т</t>
        </is>
      </c>
    </row>
    <row r="497" ht="18.75" customHeight="1" s="904">
      <c r="B497" s="766" t="n"/>
      <c r="C497" s="769" t="inlineStr">
        <is>
          <t xml:space="preserve">            в т.ч. собственная потребность</t>
        </is>
      </c>
      <c r="D497" s="15" t="n"/>
      <c r="E497" s="15" t="n"/>
      <c r="F497" s="16" t="n"/>
      <c r="G497" s="17" t="n"/>
      <c r="H497" s="636" t="n"/>
      <c r="I497" s="17" t="n"/>
      <c r="J497" s="767" t="inlineStr">
        <is>
          <t>тыс.т</t>
        </is>
      </c>
    </row>
    <row r="498" ht="18.75" customHeight="1" s="904">
      <c r="B498" s="766" t="n"/>
      <c r="C498" s="769" t="inlineStr">
        <is>
          <t xml:space="preserve">         Гелий, всего ГЗ</t>
        </is>
      </c>
      <c r="D498" s="15" t="n"/>
      <c r="E498" s="15" t="n"/>
      <c r="F498" s="16" t="n"/>
      <c r="G498" s="17" t="inlineStr">
        <is>
          <t>2_100332245</t>
        </is>
      </c>
      <c r="H498" s="636" t="n"/>
      <c r="I498" s="17" t="n"/>
      <c r="J498" s="767" t="inlineStr">
        <is>
          <t>тыс. м3</t>
        </is>
      </c>
    </row>
    <row r="499" ht="18.75" customHeight="1" s="904">
      <c r="B499" s="766" t="n"/>
      <c r="C499" s="769" t="inlineStr">
        <is>
          <t xml:space="preserve">         Гелий, всего ГЗ</t>
        </is>
      </c>
      <c r="D499" s="15" t="n"/>
      <c r="E499" s="15" t="n"/>
      <c r="F499" s="16" t="n"/>
      <c r="G499" s="17" t="inlineStr">
        <is>
          <t>2_100335421</t>
        </is>
      </c>
      <c r="H499" s="636" t="n"/>
      <c r="I499" s="17" t="n"/>
      <c r="J499" s="767" t="inlineStr">
        <is>
          <t>тыс.т</t>
        </is>
      </c>
    </row>
    <row r="500" ht="18.75" customHeight="1" s="904">
      <c r="B500" s="766" t="n"/>
      <c r="C500" s="769" t="inlineStr">
        <is>
          <t xml:space="preserve">            гелий газообразный</t>
        </is>
      </c>
      <c r="D500" s="15" t="n"/>
      <c r="E500" s="15" t="n"/>
      <c r="F500" s="16" t="n"/>
      <c r="G500" s="17" t="inlineStr">
        <is>
          <t>2_100332248</t>
        </is>
      </c>
      <c r="H500" s="636" t="n"/>
      <c r="I500" s="17" t="n"/>
      <c r="J500" s="767" t="inlineStr">
        <is>
          <t>тыс. м3</t>
        </is>
      </c>
    </row>
    <row r="501" ht="18.75" customHeight="1" s="904">
      <c r="B501" s="766" t="n"/>
      <c r="C501" s="769" t="inlineStr">
        <is>
          <t xml:space="preserve">            гелий газообразный</t>
        </is>
      </c>
      <c r="D501" s="15" t="n"/>
      <c r="E501" s="15" t="n"/>
      <c r="F501" s="16" t="n"/>
      <c r="G501" s="17" t="inlineStr">
        <is>
          <t>2_100335422</t>
        </is>
      </c>
      <c r="H501" s="636" t="n"/>
      <c r="I501" s="17" t="n"/>
      <c r="J501" s="767" t="inlineStr">
        <is>
          <t>тыс.т</t>
        </is>
      </c>
    </row>
    <row r="502" ht="18.75" customHeight="1" s="904">
      <c r="B502" s="766" t="n"/>
      <c r="C502" s="769" t="inlineStr">
        <is>
          <t xml:space="preserve">               в т.ч. собственная потребность</t>
        </is>
      </c>
      <c r="D502" s="15" t="n"/>
      <c r="E502" s="15" t="n"/>
      <c r="F502" s="16" t="n"/>
      <c r="G502" s="17" t="inlineStr">
        <is>
          <t>2_100332249</t>
        </is>
      </c>
      <c r="H502" s="636" t="n"/>
      <c r="I502" s="17" t="n"/>
      <c r="J502" s="767" t="inlineStr">
        <is>
          <t>тыс. м3</t>
        </is>
      </c>
    </row>
    <row r="503" ht="18.75" customHeight="1" s="904">
      <c r="B503" s="766" t="n"/>
      <c r="C503" s="769" t="inlineStr">
        <is>
          <t xml:space="preserve">                  в т.ч. потребность ООО "Газпром добыча Оренбург"</t>
        </is>
      </c>
      <c r="D503" s="15" t="n"/>
      <c r="E503" s="15" t="n"/>
      <c r="F503" s="16" t="n"/>
      <c r="G503" s="17" t="n"/>
      <c r="H503" s="636" t="n"/>
      <c r="I503" s="17" t="n"/>
      <c r="J503" s="767" t="inlineStr">
        <is>
          <t>тыс. м3</t>
        </is>
      </c>
    </row>
    <row r="504" ht="18.75" customHeight="1" s="904">
      <c r="B504" s="766" t="n"/>
      <c r="C504" s="769" t="inlineStr">
        <is>
          <t xml:space="preserve">            гелий жидкий</t>
        </is>
      </c>
      <c r="D504" s="15" t="n"/>
      <c r="E504" s="15" t="n"/>
      <c r="F504" s="16" t="n"/>
      <c r="G504" s="17" t="inlineStr">
        <is>
          <t>2_100332250</t>
        </is>
      </c>
      <c r="H504" s="636" t="n"/>
      <c r="I504" s="17" t="n"/>
      <c r="J504" s="767" t="inlineStr">
        <is>
          <t>тыс. м3</t>
        </is>
      </c>
    </row>
    <row r="505" ht="18.75" customHeight="1" s="904">
      <c r="B505" s="766" t="n"/>
      <c r="C505" s="769" t="inlineStr">
        <is>
          <t xml:space="preserve">            гелий жидкий</t>
        </is>
      </c>
      <c r="D505" s="15" t="n"/>
      <c r="E505" s="15" t="n"/>
      <c r="F505" s="16" t="n"/>
      <c r="G505" s="17" t="inlineStr">
        <is>
          <t>2_100332251</t>
        </is>
      </c>
      <c r="H505" s="636" t="n"/>
      <c r="I505" s="17" t="n"/>
      <c r="J505" s="767" t="inlineStr">
        <is>
          <t>тыс.т</t>
        </is>
      </c>
    </row>
    <row r="506" ht="18.75" customHeight="1" s="904">
      <c r="B506" s="766" t="n"/>
      <c r="C506" s="769" t="inlineStr">
        <is>
          <t xml:space="preserve">         Газ горючий природный сухой отбензиненный, всего</t>
        </is>
      </c>
      <c r="D506" s="15" t="n"/>
      <c r="E506" s="15" t="n"/>
      <c r="F506" s="16" t="n"/>
      <c r="G506" s="17" t="inlineStr">
        <is>
          <t>2_100332109-2_100335001</t>
        </is>
      </c>
      <c r="H506" s="636" t="n"/>
      <c r="I506" s="17" t="n"/>
      <c r="J506" s="767" t="inlineStr">
        <is>
          <t>млн.м3</t>
        </is>
      </c>
    </row>
    <row r="507" ht="18.75" customHeight="1" s="904">
      <c r="B507" s="766" t="n"/>
      <c r="C507" s="769" t="inlineStr">
        <is>
          <t xml:space="preserve">         Газ горючий природный сухой отбензиненный, всего</t>
        </is>
      </c>
      <c r="D507" s="15" t="n"/>
      <c r="E507" s="15" t="n"/>
      <c r="F507" s="16" t="n"/>
      <c r="G507" s="17" t="inlineStr">
        <is>
          <t>2_100332108-2_100335000</t>
        </is>
      </c>
      <c r="H507" s="636" t="n"/>
      <c r="I507" s="17" t="n"/>
      <c r="J507" s="767" t="inlineStr">
        <is>
          <t>тыс.т</t>
        </is>
      </c>
    </row>
    <row r="508" ht="18.75" customHeight="1" s="904">
      <c r="B508" s="766" t="n"/>
      <c r="C508" s="769" t="inlineStr">
        <is>
          <t xml:space="preserve">            в т.ч. в газотранспортную систему с ГПЗ</t>
        </is>
      </c>
      <c r="D508" s="15" t="n"/>
      <c r="E508" s="15" t="n"/>
      <c r="F508" s="16" t="n"/>
      <c r="G508" s="17" t="inlineStr">
        <is>
          <t>2_100335007</t>
        </is>
      </c>
      <c r="H508" s="636" t="n"/>
      <c r="I508" s="17" t="n"/>
      <c r="J508" s="767" t="inlineStr">
        <is>
          <t>млн.м3</t>
        </is>
      </c>
    </row>
    <row r="509" ht="18.75" customHeight="1" s="904">
      <c r="B509" s="766" t="n"/>
      <c r="C509" s="769" t="inlineStr">
        <is>
          <t xml:space="preserve">            в т.ч. в газотранспортную систему с ГПЗ</t>
        </is>
      </c>
      <c r="D509" s="15" t="n"/>
      <c r="E509" s="15" t="n"/>
      <c r="F509" s="16" t="n"/>
      <c r="G509" s="17" t="inlineStr">
        <is>
          <t>2_100335006</t>
        </is>
      </c>
      <c r="H509" s="636" t="n"/>
      <c r="I509" s="17" t="n"/>
      <c r="J509" s="767" t="inlineStr">
        <is>
          <t>тыс.т</t>
        </is>
      </c>
    </row>
    <row r="510" ht="18.75" customHeight="1" s="904">
      <c r="B510" s="766" t="n"/>
      <c r="C510" s="769" t="inlineStr">
        <is>
          <t xml:space="preserve">            в т.ч. в газотранспортную систему с ГЗ</t>
        </is>
      </c>
      <c r="D510" s="15" t="n"/>
      <c r="E510" s="15" t="n"/>
      <c r="F510" s="16" t="n"/>
      <c r="G510" s="17" t="inlineStr">
        <is>
          <t>2_100335009</t>
        </is>
      </c>
      <c r="H510" s="636" t="n"/>
      <c r="I510" s="17" t="n"/>
      <c r="J510" s="767" t="inlineStr">
        <is>
          <t>млн.м3</t>
        </is>
      </c>
    </row>
    <row r="511" ht="18.75" customHeight="1" s="904">
      <c r="B511" s="766" t="n"/>
      <c r="C511" s="769" t="inlineStr">
        <is>
          <t xml:space="preserve">            в т.ч. в газотранспортную систему с ГЗ</t>
        </is>
      </c>
      <c r="D511" s="15" t="n"/>
      <c r="E511" s="15" t="n"/>
      <c r="F511" s="16" t="n"/>
      <c r="G511" s="17" t="inlineStr">
        <is>
          <t>2_100335008</t>
        </is>
      </c>
      <c r="H511" s="636" t="n"/>
      <c r="I511" s="17" t="n"/>
      <c r="J511" s="767" t="inlineStr">
        <is>
          <t>тыс.т</t>
        </is>
      </c>
    </row>
    <row r="512" ht="18.75" customHeight="1" s="904">
      <c r="B512" s="766" t="n"/>
      <c r="C512" s="769" t="inlineStr">
        <is>
          <t xml:space="preserve">            в т.ч. поставка на КТЭЦ с ГПЗ</t>
        </is>
      </c>
      <c r="D512" s="15" t="n"/>
      <c r="E512" s="15" t="n"/>
      <c r="F512" s="16" t="n"/>
      <c r="G512" s="17" t="inlineStr">
        <is>
          <t>2_100335011</t>
        </is>
      </c>
      <c r="H512" s="636" t="n"/>
      <c r="I512" s="17" t="n"/>
      <c r="J512" s="767" t="inlineStr">
        <is>
          <t>млн.м3</t>
        </is>
      </c>
    </row>
    <row r="513" ht="18.75" customHeight="1" s="904">
      <c r="B513" s="766" t="n"/>
      <c r="C513" s="769" t="inlineStr">
        <is>
          <t xml:space="preserve">            в т.ч. поставка на КТЭЦ с ГПЗ</t>
        </is>
      </c>
      <c r="D513" s="15" t="n"/>
      <c r="E513" s="15" t="n"/>
      <c r="F513" s="16" t="n"/>
      <c r="G513" s="17" t="inlineStr">
        <is>
          <t>2_100335010</t>
        </is>
      </c>
      <c r="H513" s="636" t="n"/>
      <c r="I513" s="17" t="n"/>
      <c r="J513" s="767" t="inlineStr">
        <is>
          <t>тыс.т</t>
        </is>
      </c>
    </row>
    <row r="514" ht="18.75" customHeight="1" s="904">
      <c r="B514" s="766" t="n"/>
      <c r="C514" s="769" t="inlineStr">
        <is>
          <t xml:space="preserve">            в т.ч. поставка на КТЭЦ с ГЗ</t>
        </is>
      </c>
      <c r="D514" s="15" t="n"/>
      <c r="E514" s="15" t="n"/>
      <c r="F514" s="16" t="n"/>
      <c r="G514" s="17" t="inlineStr">
        <is>
          <t>2_100335013</t>
        </is>
      </c>
      <c r="H514" s="636" t="n"/>
      <c r="I514" s="17" t="n"/>
      <c r="J514" s="767" t="inlineStr">
        <is>
          <t>млн.м3</t>
        </is>
      </c>
    </row>
    <row r="515" ht="18.75" customHeight="1" s="904">
      <c r="B515" s="766" t="n"/>
      <c r="C515" s="769" t="inlineStr">
        <is>
          <t xml:space="preserve">            в т.ч. поставка на КТЭЦ с ГЗ</t>
        </is>
      </c>
      <c r="D515" s="15" t="n"/>
      <c r="E515" s="15" t="n"/>
      <c r="F515" s="16" t="n"/>
      <c r="G515" s="17" t="inlineStr">
        <is>
          <t>2_100335012</t>
        </is>
      </c>
      <c r="H515" s="636" t="n"/>
      <c r="I515" s="17" t="n"/>
      <c r="J515" s="767" t="inlineStr">
        <is>
          <t>тыс.т</t>
        </is>
      </c>
    </row>
    <row r="516" ht="18.75" customHeight="1" s="904">
      <c r="B516" s="766" t="n"/>
      <c r="C516" s="769" t="inlineStr">
        <is>
          <t xml:space="preserve">            в т.ч. на СТН  ООО "Газпром переработка" ГПЗ</t>
        </is>
      </c>
      <c r="D516" s="15" t="n"/>
      <c r="E516" s="15" t="n"/>
      <c r="F516" s="16" t="n"/>
      <c r="G516" s="17" t="inlineStr">
        <is>
          <t>2_100335015</t>
        </is>
      </c>
      <c r="H516" s="636" t="n"/>
      <c r="I516" s="17" t="n"/>
      <c r="J516" s="767" t="inlineStr">
        <is>
          <t>млн.м3</t>
        </is>
      </c>
    </row>
    <row r="517" ht="18.75" customHeight="1" s="904">
      <c r="B517" s="766" t="n"/>
      <c r="C517" s="769" t="inlineStr">
        <is>
          <t xml:space="preserve">            в т.ч. на СТН  ООО "Газпром переработка" ГПЗ</t>
        </is>
      </c>
      <c r="D517" s="15" t="n"/>
      <c r="E517" s="15" t="n"/>
      <c r="F517" s="16" t="n"/>
      <c r="G517" s="17" t="inlineStr">
        <is>
          <t>2_100335014</t>
        </is>
      </c>
      <c r="H517" s="636" t="n"/>
      <c r="I517" s="17" t="n"/>
      <c r="J517" s="767" t="inlineStr">
        <is>
          <t>тыс.т</t>
        </is>
      </c>
    </row>
    <row r="518" ht="18.75" customHeight="1" s="904">
      <c r="B518" s="766" t="n"/>
      <c r="C518" s="769" t="inlineStr">
        <is>
          <t xml:space="preserve">            в т.ч. на СТН  ООО "Газпром переработка" ГЗ</t>
        </is>
      </c>
      <c r="D518" s="15" t="n"/>
      <c r="E518" s="15" t="n"/>
      <c r="F518" s="16" t="n"/>
      <c r="G518" s="17" t="inlineStr">
        <is>
          <t>2_100335017</t>
        </is>
      </c>
      <c r="H518" s="636" t="n"/>
      <c r="I518" s="17" t="n"/>
      <c r="J518" s="767" t="inlineStr">
        <is>
          <t>млн.м3</t>
        </is>
      </c>
    </row>
    <row r="519" ht="18.75" customHeight="1" s="904">
      <c r="B519" s="766" t="n"/>
      <c r="C519" s="769" t="inlineStr">
        <is>
          <t xml:space="preserve">            в т.ч. на СТН  ООО "Газпром переработка" ГЗ</t>
        </is>
      </c>
      <c r="D519" s="15" t="n"/>
      <c r="E519" s="15" t="n"/>
      <c r="F519" s="16" t="n"/>
      <c r="G519" s="17" t="inlineStr">
        <is>
          <t>2_100335016</t>
        </is>
      </c>
      <c r="H519" s="636" t="n"/>
      <c r="I519" s="17" t="n"/>
      <c r="J519" s="767" t="inlineStr">
        <is>
          <t>тыс.т</t>
        </is>
      </c>
    </row>
    <row r="520" ht="18.75" customHeight="1" s="904">
      <c r="B520" s="766" t="n"/>
      <c r="C520" s="769" t="inlineStr">
        <is>
          <t xml:space="preserve">            в т.ч. на СТН газодобывающих обществ</t>
        </is>
      </c>
      <c r="D520" s="15" t="n"/>
      <c r="E520" s="15" t="n"/>
      <c r="F520" s="16" t="n"/>
      <c r="G520" s="17" t="inlineStr">
        <is>
          <t>2_100335019</t>
        </is>
      </c>
      <c r="H520" s="636" t="n"/>
      <c r="I520" s="17" t="n"/>
      <c r="J520" s="767" t="inlineStr">
        <is>
          <t>млн.м3</t>
        </is>
      </c>
    </row>
    <row r="521" ht="18.75" customHeight="1" s="904">
      <c r="B521" s="766" t="n"/>
      <c r="C521" s="769" t="inlineStr">
        <is>
          <t xml:space="preserve">            в т.ч. на СТН газодобывающих обществ</t>
        </is>
      </c>
      <c r="D521" s="15" t="n"/>
      <c r="E521" s="15" t="n"/>
      <c r="F521" s="16" t="n"/>
      <c r="G521" s="17" t="inlineStr">
        <is>
          <t>2_100335018</t>
        </is>
      </c>
      <c r="H521" s="636" t="n"/>
      <c r="I521" s="17" t="n"/>
      <c r="J521" s="767" t="inlineStr">
        <is>
          <t>тыс.т</t>
        </is>
      </c>
    </row>
    <row r="522" ht="18.75" customHeight="1" s="904">
      <c r="B522" s="766" t="n"/>
      <c r="C522" s="769" t="inlineStr">
        <is>
          <t xml:space="preserve">            Справочно:</t>
        </is>
      </c>
      <c r="D522" s="15" t="n"/>
      <c r="E522" s="15" t="n"/>
      <c r="F522" s="16" t="n"/>
      <c r="G522" s="17" t="n"/>
      <c r="H522" s="636" t="n"/>
      <c r="I522" s="17" t="n"/>
      <c r="J522" s="767" t="n"/>
    </row>
    <row r="523" ht="18.75" customHeight="1" s="904">
      <c r="B523" s="766" t="n"/>
      <c r="C523" s="769" t="inlineStr">
        <is>
          <t xml:space="preserve">               Газ  для транспортировки через МГ "Совхозное"</t>
        </is>
      </c>
      <c r="D523" s="15" t="n"/>
      <c r="E523" s="15" t="n"/>
      <c r="F523" s="16" t="n"/>
      <c r="G523" s="17" t="inlineStr">
        <is>
          <t>2_100335333</t>
        </is>
      </c>
      <c r="H523" s="636" t="n"/>
      <c r="I523" s="17" t="n"/>
      <c r="J523" s="767" t="inlineStr">
        <is>
          <t>млн.м3</t>
        </is>
      </c>
    </row>
    <row r="524" ht="18.75" customHeight="1" s="904">
      <c r="B524" s="766" t="n"/>
      <c r="C524" s="769" t="inlineStr">
        <is>
          <t xml:space="preserve">               Газ  для транспортировки через МГ "Совхозное"</t>
        </is>
      </c>
      <c r="D524" s="15" t="n"/>
      <c r="E524" s="15" t="n"/>
      <c r="F524" s="16" t="n"/>
      <c r="G524" s="17" t="inlineStr">
        <is>
          <t>2_100335332</t>
        </is>
      </c>
      <c r="H524" s="636" t="n"/>
      <c r="I524" s="17" t="n"/>
      <c r="J524" s="767" t="inlineStr">
        <is>
          <t>тыс.т</t>
        </is>
      </c>
    </row>
    <row r="525" ht="18.75" customHeight="1" s="904">
      <c r="B525" s="766" t="n"/>
      <c r="C525" s="769" t="inlineStr">
        <is>
          <t xml:space="preserve">         Топливный газ на КТЭЦ с ГПЗ</t>
        </is>
      </c>
      <c r="D525" s="15" t="n"/>
      <c r="E525" s="15" t="n"/>
      <c r="F525" s="16" t="n"/>
      <c r="G525" s="17" t="inlineStr">
        <is>
          <t>2_100332175-2_100335686</t>
        </is>
      </c>
      <c r="H525" s="636" t="n"/>
      <c r="I525" s="17" t="n"/>
      <c r="J525" s="767" t="inlineStr">
        <is>
          <t>млн.м3</t>
        </is>
      </c>
    </row>
    <row r="526" ht="18.75" customHeight="1" s="904">
      <c r="B526" s="766" t="n"/>
      <c r="C526" s="769" t="inlineStr">
        <is>
          <t xml:space="preserve">         Топливный газ на КТЭЦ с ГПЗ</t>
        </is>
      </c>
      <c r="D526" s="15" t="n"/>
      <c r="E526" s="15" t="n"/>
      <c r="F526" s="16" t="n"/>
      <c r="G526" s="17" t="inlineStr">
        <is>
          <t>2_100332174-2_100335685</t>
        </is>
      </c>
      <c r="H526" s="636" t="n"/>
      <c r="I526" s="17" t="n"/>
      <c r="J526" s="767" t="inlineStr">
        <is>
          <t>тыс.т</t>
        </is>
      </c>
    </row>
    <row r="527" ht="25.5" customHeight="1" s="904">
      <c r="B527" s="766" t="n"/>
      <c r="C527" s="769" t="inlineStr">
        <is>
          <t xml:space="preserve">      Поставка жидких углеводородов от ГД Оренбург для ПАО "Газпром", всего</t>
        </is>
      </c>
      <c r="D527" s="15" t="n"/>
      <c r="E527" s="15" t="n"/>
      <c r="F527" s="16" t="n"/>
      <c r="G527" s="17">
        <f>G528+G530+G532</f>
        <v/>
      </c>
      <c r="H527" s="636" t="n"/>
      <c r="I527" s="17" t="n"/>
      <c r="J527" s="767" t="n"/>
    </row>
    <row r="528" ht="18.75" customHeight="1" s="904">
      <c r="B528" s="766" t="n"/>
      <c r="C528" s="769" t="inlineStr">
        <is>
          <t xml:space="preserve">         нестабильный газовый конденсат от добычи ГД Оренбург</t>
        </is>
      </c>
      <c r="D528" s="15" t="n"/>
      <c r="E528" s="15" t="n"/>
      <c r="F528" s="16" t="n"/>
      <c r="G528" s="17" t="inlineStr">
        <is>
          <t>2_100332061</t>
        </is>
      </c>
      <c r="H528" s="636" t="n"/>
      <c r="I528" s="17" t="n"/>
      <c r="J528" s="767" t="inlineStr">
        <is>
          <t>тыс.т</t>
        </is>
      </c>
    </row>
    <row r="529" ht="18.75" customHeight="1" s="904">
      <c r="B529" s="766" t="n"/>
      <c r="C529" s="769" t="inlineStr">
        <is>
          <t xml:space="preserve">            в том числе из сырья в рамках ДРОД</t>
        </is>
      </c>
      <c r="D529" s="15" t="n"/>
      <c r="E529" s="15" t="n"/>
      <c r="F529" s="16" t="n"/>
      <c r="G529" s="17" t="inlineStr">
        <is>
          <t>2_100335946</t>
        </is>
      </c>
      <c r="H529" s="636" t="n"/>
      <c r="I529" s="17" t="n"/>
      <c r="J529" s="767" t="inlineStr">
        <is>
          <t>тыс.т</t>
        </is>
      </c>
    </row>
    <row r="530" ht="18.75" customHeight="1" s="904">
      <c r="B530" s="766" t="n"/>
      <c r="C530" s="769" t="inlineStr">
        <is>
          <t xml:space="preserve">         нефть от добычи  ГД Оренбург</t>
        </is>
      </c>
      <c r="D530" s="15" t="n"/>
      <c r="E530" s="15" t="n"/>
      <c r="F530" s="16" t="n"/>
      <c r="G530" s="17" t="inlineStr">
        <is>
          <t>2_100332066</t>
        </is>
      </c>
      <c r="H530" s="636" t="n"/>
      <c r="I530" s="17" t="n"/>
      <c r="J530" s="767" t="n"/>
    </row>
    <row r="531" ht="18.75" customHeight="1" s="904">
      <c r="B531" s="766" t="n"/>
      <c r="C531" s="769" t="inlineStr">
        <is>
          <t xml:space="preserve">            в том числе из сырья в рамках ДРОД</t>
        </is>
      </c>
      <c r="D531" s="15" t="n"/>
      <c r="E531" s="15" t="n"/>
      <c r="F531" s="16" t="n"/>
      <c r="G531" s="17" t="inlineStr">
        <is>
          <t>2_100335947</t>
        </is>
      </c>
      <c r="H531" s="636" t="n"/>
      <c r="I531" s="17" t="n"/>
      <c r="J531" s="767" t="inlineStr">
        <is>
          <t>тыс.т</t>
        </is>
      </c>
    </row>
    <row r="532" ht="18.75" customHeight="1" s="904">
      <c r="B532" s="766" t="n"/>
      <c r="C532" s="769" t="inlineStr">
        <is>
          <t xml:space="preserve">         нефть  от добычи ГПнефть</t>
        </is>
      </c>
      <c r="D532" s="15" t="n"/>
      <c r="E532" s="15" t="n"/>
      <c r="F532" s="16" t="n"/>
      <c r="G532" s="17" t="inlineStr">
        <is>
          <t>2_100332067</t>
        </is>
      </c>
      <c r="H532" s="636" t="n"/>
      <c r="I532" s="17" t="n"/>
      <c r="J532" s="767" t="inlineStr">
        <is>
          <t>тыс.т</t>
        </is>
      </c>
    </row>
    <row r="533" ht="25.5" customHeight="1" s="904">
      <c r="B533" s="766" t="n"/>
      <c r="C533" s="769" t="inlineStr">
        <is>
          <t xml:space="preserve">      Переработка жидких углеводородов (оказание услуг ПАО "Газпром"), всего</t>
        </is>
      </c>
      <c r="D533" s="15" t="n"/>
      <c r="E533" s="15" t="n"/>
      <c r="F533" s="16" t="n"/>
      <c r="G533" s="17">
        <f>G534+G536+G538+G539</f>
        <v/>
      </c>
      <c r="H533" s="636" t="n"/>
      <c r="I533" s="17" t="n"/>
      <c r="J533" s="767" t="n"/>
    </row>
    <row r="534" ht="18.75" customHeight="1" s="904">
      <c r="B534" s="766" t="n"/>
      <c r="C534" s="769" t="inlineStr">
        <is>
          <t xml:space="preserve">         нестабильный газовый конденсат от добычи ГД Оренбург</t>
        </is>
      </c>
      <c r="D534" s="15" t="n"/>
      <c r="E534" s="15" t="n"/>
      <c r="F534" s="16" t="n"/>
      <c r="G534" s="17" t="inlineStr">
        <is>
          <t>2_100332061</t>
        </is>
      </c>
      <c r="H534" s="636" t="n"/>
      <c r="I534" s="17" t="n"/>
      <c r="J534" s="767" t="inlineStr">
        <is>
          <t>тыс.т</t>
        </is>
      </c>
    </row>
    <row r="535" ht="18.75" customHeight="1" s="904">
      <c r="B535" s="766" t="n"/>
      <c r="C535" s="769" t="inlineStr">
        <is>
          <t xml:space="preserve">            в том числе из сырья в рамках ДРОД</t>
        </is>
      </c>
      <c r="D535" s="15" t="n"/>
      <c r="E535" s="15" t="n"/>
      <c r="F535" s="16" t="n"/>
      <c r="G535" s="17" t="inlineStr">
        <is>
          <t>2_100335946</t>
        </is>
      </c>
      <c r="H535" s="636" t="n"/>
      <c r="I535" s="17" t="n"/>
      <c r="J535" s="767" t="inlineStr">
        <is>
          <t>тыс.т</t>
        </is>
      </c>
    </row>
    <row r="536" ht="18.75" customHeight="1" s="904">
      <c r="B536" s="766" t="n"/>
      <c r="C536" s="769" t="inlineStr">
        <is>
          <t xml:space="preserve">         нефть от добычи  ГД Оренбург</t>
        </is>
      </c>
      <c r="D536" s="15" t="n"/>
      <c r="E536" s="15" t="n"/>
      <c r="F536" s="16" t="n"/>
      <c r="G536" s="17" t="inlineStr">
        <is>
          <t>2_100332066</t>
        </is>
      </c>
      <c r="H536" s="636" t="n"/>
      <c r="I536" s="17" t="n"/>
      <c r="J536" s="767" t="inlineStr">
        <is>
          <t>тыс.т</t>
        </is>
      </c>
    </row>
    <row r="537" ht="18.75" customHeight="1" s="904">
      <c r="B537" s="766" t="n"/>
      <c r="C537" s="769" t="inlineStr">
        <is>
          <t xml:space="preserve">            в том числе из сырья в рамках ДРОД</t>
        </is>
      </c>
      <c r="D537" s="15" t="n"/>
      <c r="E537" s="15" t="n"/>
      <c r="F537" s="16" t="n"/>
      <c r="G537" s="17" t="inlineStr">
        <is>
          <t>2_100335947</t>
        </is>
      </c>
      <c r="H537" s="636" t="n"/>
      <c r="I537" s="17" t="n"/>
      <c r="J537" s="767" t="inlineStr">
        <is>
          <t>тыс.т</t>
        </is>
      </c>
    </row>
    <row r="538" ht="18.75" customHeight="1" s="904">
      <c r="B538" s="766" t="n"/>
      <c r="C538" s="769" t="inlineStr">
        <is>
          <t xml:space="preserve">         нефть  от добычи ГПнефть</t>
        </is>
      </c>
      <c r="D538" s="15" t="n"/>
      <c r="E538" s="15" t="n"/>
      <c r="F538" s="16" t="n"/>
      <c r="G538" s="17" t="inlineStr">
        <is>
          <t>2_100332067</t>
        </is>
      </c>
      <c r="H538" s="636" t="n"/>
      <c r="I538" s="17" t="n"/>
      <c r="J538" s="767" t="n"/>
    </row>
    <row r="539" ht="18.75" customHeight="1" s="904">
      <c r="B539" s="766" t="n"/>
      <c r="C539" s="769" t="inlineStr">
        <is>
          <t xml:space="preserve">         ШФЛУ ГЗ от  ГПП</t>
        </is>
      </c>
      <c r="D539" s="15" t="n"/>
      <c r="E539" s="15" t="n"/>
      <c r="F539" s="16" t="n"/>
      <c r="G539" s="17" t="inlineStr">
        <is>
          <t>2_100332209</t>
        </is>
      </c>
      <c r="H539" s="636" t="n"/>
      <c r="I539" s="17" t="n"/>
      <c r="J539" s="767" t="inlineStr">
        <is>
          <t>тыс.т</t>
        </is>
      </c>
    </row>
    <row r="540" ht="18.75" customHeight="1" s="904">
      <c r="B540" s="766" t="n"/>
      <c r="C540" s="769" t="inlineStr">
        <is>
          <t xml:space="preserve">      Производство продукции (собственность ПАО "Газпром")</t>
        </is>
      </c>
      <c r="D540" s="15" t="n"/>
      <c r="E540" s="15" t="n"/>
      <c r="F540" s="16" t="n"/>
      <c r="G540" s="17" t="n"/>
      <c r="H540" s="636" t="n"/>
      <c r="I540" s="17" t="n"/>
      <c r="J540" s="767" t="n"/>
    </row>
    <row r="541" ht="18.75" customHeight="1" s="904">
      <c r="B541" s="766" t="n"/>
      <c r="C541" s="769" t="inlineStr">
        <is>
          <t xml:space="preserve">         Сера ГПЗ</t>
        </is>
      </c>
      <c r="D541" s="15" t="n"/>
      <c r="E541" s="15" t="n"/>
      <c r="F541" s="16" t="n"/>
      <c r="G541" s="17" t="inlineStr">
        <is>
          <t>2_100332188</t>
        </is>
      </c>
      <c r="H541" s="636" t="n"/>
      <c r="I541" s="17" t="n"/>
      <c r="J541" s="767" t="inlineStr">
        <is>
          <t>тыс.т</t>
        </is>
      </c>
    </row>
    <row r="542" ht="18.75" customHeight="1" s="904">
      <c r="B542" s="766" t="n"/>
      <c r="C542" s="769" t="inlineStr">
        <is>
          <t xml:space="preserve">         ШФЛУ ГЗ</t>
        </is>
      </c>
      <c r="D542" s="15" t="n"/>
      <c r="E542" s="15" t="n"/>
      <c r="F542" s="16" t="n"/>
      <c r="G542" s="17" t="inlineStr">
        <is>
          <t>2_100332203</t>
        </is>
      </c>
      <c r="H542" s="636" t="n"/>
      <c r="I542" s="17" t="n"/>
      <c r="J542" s="767" t="inlineStr">
        <is>
          <t>тыс.т</t>
        </is>
      </c>
    </row>
    <row r="543" ht="18.75" customHeight="1" s="904">
      <c r="B543" s="766" t="n"/>
      <c r="C543" s="769" t="inlineStr">
        <is>
          <t xml:space="preserve">         Стабильный газовый конденсат с нефтью ГПЗ</t>
        </is>
      </c>
      <c r="D543" s="15" t="n"/>
      <c r="E543" s="15" t="n"/>
      <c r="F543" s="16" t="n"/>
      <c r="G543" s="17" t="inlineStr">
        <is>
          <t>2_100332265</t>
        </is>
      </c>
      <c r="H543" s="636" t="n"/>
      <c r="I543" s="17" t="n"/>
      <c r="J543" s="767" t="inlineStr">
        <is>
          <t>тыс.т</t>
        </is>
      </c>
    </row>
    <row r="544" ht="18.75" customHeight="1" s="904">
      <c r="B544" s="766" t="n"/>
      <c r="C544" s="769" t="inlineStr">
        <is>
          <t xml:space="preserve">         Газы углеводородные сжиженные</t>
        </is>
      </c>
      <c r="D544" s="15" t="n"/>
      <c r="E544" s="15" t="n"/>
      <c r="F544" s="16" t="n"/>
      <c r="G544" s="17" t="inlineStr">
        <is>
          <t>2_100332215</t>
        </is>
      </c>
      <c r="H544" s="636" t="n"/>
      <c r="I544" s="17" t="n"/>
      <c r="J544" s="767" t="inlineStr">
        <is>
          <t>тыс.т</t>
        </is>
      </c>
    </row>
    <row r="545" ht="18.75" customHeight="1" s="904">
      <c r="B545" s="766" t="n"/>
      <c r="C545" s="769" t="inlineStr">
        <is>
          <t xml:space="preserve">            ГПЗ</t>
        </is>
      </c>
      <c r="D545" s="15" t="n"/>
      <c r="E545" s="15" t="n"/>
      <c r="F545" s="16" t="n"/>
      <c r="G545" s="17" t="inlineStr">
        <is>
          <t>2_100332217+2_100332219</t>
        </is>
      </c>
      <c r="H545" s="636" t="n"/>
      <c r="I545" s="17" t="n"/>
      <c r="J545" s="767" t="inlineStr">
        <is>
          <t>тыс.т</t>
        </is>
      </c>
    </row>
    <row r="546" ht="18.75" customHeight="1" s="904">
      <c r="B546" s="766" t="n"/>
      <c r="C546" s="769" t="inlineStr">
        <is>
          <t xml:space="preserve">               ПБТ/ПБА</t>
        </is>
      </c>
      <c r="D546" s="15" t="n"/>
      <c r="E546" s="15" t="n"/>
      <c r="F546" s="16" t="n"/>
      <c r="G546" s="17" t="inlineStr">
        <is>
          <t>2_100332217+2_100332219</t>
        </is>
      </c>
      <c r="H546" s="636" t="n"/>
      <c r="I546" s="17" t="n"/>
      <c r="J546" s="767" t="inlineStr">
        <is>
          <t>тыс.т</t>
        </is>
      </c>
    </row>
    <row r="547" ht="18.75" customHeight="1" s="904">
      <c r="B547" s="766" t="n"/>
      <c r="C547" s="769" t="inlineStr">
        <is>
          <t xml:space="preserve">            ГЗ</t>
        </is>
      </c>
      <c r="D547" s="15" t="n"/>
      <c r="E547" s="15" t="n"/>
      <c r="F547" s="16" t="n"/>
      <c r="G547" s="17" t="inlineStr">
        <is>
          <t>2_100330955+2_100330956+2_100335148</t>
        </is>
      </c>
      <c r="H547" s="636" t="n"/>
      <c r="I547" s="17" t="n"/>
      <c r="J547" s="767" t="inlineStr">
        <is>
          <t>тыс.т</t>
        </is>
      </c>
    </row>
    <row r="548" ht="18.75" customHeight="1" s="904">
      <c r="B548" s="766" t="n"/>
      <c r="C548" s="769" t="inlineStr">
        <is>
          <t xml:space="preserve">               ПБТ/ПБА</t>
        </is>
      </c>
      <c r="D548" s="15" t="n"/>
      <c r="E548" s="15" t="n"/>
      <c r="F548" s="16" t="n"/>
      <c r="G548" s="17" t="inlineStr">
        <is>
          <t>2_100330955+2_100330956+2_100335148</t>
        </is>
      </c>
      <c r="H548" s="636" t="n"/>
      <c r="I548" s="17" t="n"/>
      <c r="J548" s="767" t="inlineStr">
        <is>
          <t>тыс.т</t>
        </is>
      </c>
    </row>
    <row r="549" ht="18.75" customHeight="1" s="904">
      <c r="B549" s="766" t="n"/>
      <c r="C549" s="769" t="inlineStr">
        <is>
          <t xml:space="preserve">               Бутан технический</t>
        </is>
      </c>
      <c r="D549" s="15" t="n"/>
      <c r="E549" s="15" t="n"/>
      <c r="F549" s="16" t="n"/>
      <c r="G549" s="17" t="inlineStr">
        <is>
          <t>2_100332955</t>
        </is>
      </c>
      <c r="H549" s="636" t="n"/>
      <c r="I549" s="17" t="n"/>
      <c r="J549" s="767" t="inlineStr">
        <is>
          <t>тыс.т</t>
        </is>
      </c>
    </row>
    <row r="550" ht="18.75" customHeight="1" s="904">
      <c r="B550" s="766" t="n"/>
      <c r="C550" s="769" t="inlineStr">
        <is>
          <t xml:space="preserve">         Топливный газ на КТЭЦ с ГПЗ</t>
        </is>
      </c>
      <c r="D550" s="15" t="n"/>
      <c r="E550" s="15" t="n"/>
      <c r="F550" s="16" t="n"/>
      <c r="G550" s="17" t="inlineStr">
        <is>
          <t>2_100332169</t>
        </is>
      </c>
      <c r="H550" s="636" t="n"/>
      <c r="I550" s="17" t="n"/>
      <c r="J550" s="767" t="inlineStr">
        <is>
          <t>млн.м3</t>
        </is>
      </c>
    </row>
    <row r="551" ht="18.75" customHeight="1" s="904">
      <c r="B551" s="766" t="n"/>
      <c r="C551" s="769" t="inlineStr">
        <is>
          <t xml:space="preserve">         Топливный газ на КТЭЦ с ГПЗ</t>
        </is>
      </c>
      <c r="D551" s="15" t="n"/>
      <c r="E551" s="15" t="n"/>
      <c r="F551" s="16" t="n"/>
      <c r="G551" s="17" t="inlineStr">
        <is>
          <t>2_100332168</t>
        </is>
      </c>
      <c r="H551" s="636" t="n"/>
      <c r="I551" s="17" t="n"/>
      <c r="J551" s="767" t="inlineStr">
        <is>
          <t>тыс.т</t>
        </is>
      </c>
    </row>
    <row r="552" ht="18.75" customHeight="1" s="904">
      <c r="B552" s="766" t="n"/>
      <c r="C552" s="769" t="inlineStr">
        <is>
          <t xml:space="preserve">         Углеводородная фракция / ПГФ ГЗ</t>
        </is>
      </c>
      <c r="D552" s="15" t="n"/>
      <c r="E552" s="15" t="n"/>
      <c r="F552" s="16" t="n"/>
      <c r="G552" s="17" t="inlineStr">
        <is>
          <t>2_100332233</t>
        </is>
      </c>
      <c r="H552" s="636" t="n"/>
      <c r="I552" s="17" t="n"/>
      <c r="J552" s="767" t="inlineStr">
        <is>
          <t>тыс.т</t>
        </is>
      </c>
    </row>
    <row r="553" ht="25.5" customHeight="1" s="904">
      <c r="B553" s="766" t="n"/>
      <c r="C553" s="769" t="inlineStr">
        <is>
          <t xml:space="preserve">      Поставка жидких углеводородов от УНГП и ГПНЗ для  ООО "Газпром переработка"</t>
        </is>
      </c>
      <c r="D553" s="15" t="n"/>
      <c r="E553" s="15" t="n"/>
      <c r="F553" s="16" t="n"/>
      <c r="G553" s="17">
        <f>G554+G555+G557</f>
        <v/>
      </c>
      <c r="H553" s="636" t="n"/>
      <c r="I553" s="17" t="n"/>
      <c r="J553" s="767" t="n"/>
    </row>
    <row r="554" ht="18.75" customHeight="1" s="904">
      <c r="B554" s="766" t="n"/>
      <c r="C554" s="769" t="inlineStr">
        <is>
          <t xml:space="preserve">         газовый конденсат от добычи УНГП</t>
        </is>
      </c>
      <c r="D554" s="15" t="n"/>
      <c r="E554" s="15" t="n"/>
      <c r="F554" s="16" t="n"/>
      <c r="G554" s="17" t="inlineStr">
        <is>
          <t>2_100332062</t>
        </is>
      </c>
      <c r="H554" s="636" t="n"/>
      <c r="I554" s="17" t="n"/>
      <c r="J554" s="767" t="inlineStr">
        <is>
          <t>тыс.т</t>
        </is>
      </c>
    </row>
    <row r="555" ht="18.75" customHeight="1" s="904">
      <c r="B555" s="766" t="n"/>
      <c r="C555" s="769" t="inlineStr">
        <is>
          <t xml:space="preserve">         нефть от добычи УНГП</t>
        </is>
      </c>
      <c r="D555" s="15" t="n"/>
      <c r="E555" s="15" t="n"/>
      <c r="F555" s="16" t="n"/>
      <c r="G555" s="17" t="inlineStr">
        <is>
          <t>2_100332068</t>
        </is>
      </c>
      <c r="H555" s="636" t="n"/>
      <c r="I555" s="17" t="n"/>
      <c r="J555" s="767" t="inlineStr">
        <is>
          <t>тыс.т</t>
        </is>
      </c>
    </row>
    <row r="556" ht="18.75" customHeight="1" s="904">
      <c r="B556" s="766" t="n"/>
      <c r="C556" s="769" t="inlineStr">
        <is>
          <t xml:space="preserve">         газовый конденсат ГПНЗ</t>
        </is>
      </c>
      <c r="D556" s="15" t="n"/>
      <c r="E556" s="15" t="n"/>
      <c r="F556" s="16" t="n"/>
      <c r="G556" s="17" t="inlineStr">
        <is>
          <t>2_100335697</t>
        </is>
      </c>
      <c r="H556" s="636" t="n"/>
      <c r="I556" s="17" t="n"/>
      <c r="J556" s="767" t="inlineStr">
        <is>
          <t>тыс.т</t>
        </is>
      </c>
    </row>
    <row r="557" ht="18.75" customHeight="1" s="904">
      <c r="B557" s="766" t="n"/>
      <c r="C557" s="769" t="inlineStr">
        <is>
          <t xml:space="preserve">         нефть от добычи ГПНЗ</t>
        </is>
      </c>
      <c r="D557" s="15" t="n"/>
      <c r="E557" s="15" t="n"/>
      <c r="F557" s="16" t="n"/>
      <c r="G557" s="17" t="inlineStr">
        <is>
          <t>2_100332947</t>
        </is>
      </c>
      <c r="H557" s="636" t="n"/>
      <c r="I557" s="17" t="n"/>
      <c r="J557" s="767" t="inlineStr">
        <is>
          <t>тыс.т</t>
        </is>
      </c>
    </row>
    <row r="558" ht="25.5" customHeight="1" s="904">
      <c r="B558" s="766" t="n"/>
      <c r="C558" s="769" t="inlineStr">
        <is>
          <t xml:space="preserve">      Переработка жидких углеводородов от добычи УНГП и ГПНЗ (собственность ООО "Газпром переработка")</t>
        </is>
      </c>
      <c r="D558" s="15" t="n"/>
      <c r="E558" s="15" t="n"/>
      <c r="F558" s="16" t="n"/>
      <c r="G558" s="17">
        <f>G559+G560+G561+G562</f>
        <v/>
      </c>
      <c r="H558" s="636" t="n"/>
      <c r="I558" s="17" t="n"/>
      <c r="J558" s="767" t="n"/>
    </row>
    <row r="559" ht="18.75" customHeight="1" s="904">
      <c r="B559" s="766" t="n"/>
      <c r="C559" s="769" t="inlineStr">
        <is>
          <t xml:space="preserve">         газовый конденсат УНГП</t>
        </is>
      </c>
      <c r="D559" s="15" t="n"/>
      <c r="E559" s="15" t="n"/>
      <c r="F559" s="16" t="n"/>
      <c r="G559" s="17" t="inlineStr">
        <is>
          <t>2_100332062</t>
        </is>
      </c>
      <c r="H559" s="636" t="n"/>
      <c r="I559" s="17" t="n"/>
      <c r="J559" s="767" t="inlineStr">
        <is>
          <t>тыс.т</t>
        </is>
      </c>
    </row>
    <row r="560" ht="18.75" customHeight="1" s="904">
      <c r="B560" s="766" t="n"/>
      <c r="C560" s="769" t="inlineStr">
        <is>
          <t xml:space="preserve">         нефть УНГП</t>
        </is>
      </c>
      <c r="D560" s="15" t="n"/>
      <c r="E560" s="15" t="n"/>
      <c r="F560" s="16" t="n"/>
      <c r="G560" s="17" t="inlineStr">
        <is>
          <t>2_100332068</t>
        </is>
      </c>
      <c r="H560" s="636" t="n"/>
      <c r="I560" s="17" t="n"/>
      <c r="J560" s="767" t="inlineStr">
        <is>
          <t>тыс.т</t>
        </is>
      </c>
    </row>
    <row r="561" ht="18.75" customHeight="1" s="904">
      <c r="B561" s="766" t="n"/>
      <c r="C561" s="769" t="inlineStr">
        <is>
          <t xml:space="preserve">         газовый конденсат ГПНЗ</t>
        </is>
      </c>
      <c r="D561" s="15" t="n"/>
      <c r="E561" s="15" t="n"/>
      <c r="F561" s="16" t="n"/>
      <c r="G561" s="17" t="inlineStr">
        <is>
          <t>2_100335697</t>
        </is>
      </c>
      <c r="H561" s="636" t="n"/>
      <c r="I561" s="17" t="n"/>
      <c r="J561" s="767" t="inlineStr">
        <is>
          <t>тыс.т</t>
        </is>
      </c>
    </row>
    <row r="562" ht="18.75" customHeight="1" s="904">
      <c r="B562" s="766" t="n"/>
      <c r="C562" s="769" t="inlineStr">
        <is>
          <t xml:space="preserve">         нефть ГПНЗ</t>
        </is>
      </c>
      <c r="D562" s="15" t="n"/>
      <c r="E562" s="15" t="n"/>
      <c r="F562" s="16" t="n"/>
      <c r="G562" s="17" t="inlineStr">
        <is>
          <t>2_100332947</t>
        </is>
      </c>
      <c r="H562" s="636" t="n"/>
      <c r="I562" s="17" t="n"/>
      <c r="J562" s="767" t="inlineStr">
        <is>
          <t>тыс.т</t>
        </is>
      </c>
    </row>
    <row r="563" ht="18.75" customHeight="1" s="904">
      <c r="B563" s="766" t="n"/>
      <c r="C563" s="769" t="inlineStr">
        <is>
          <t xml:space="preserve">      Производство продукции  (собственность ООО "Газпром переработка")</t>
        </is>
      </c>
      <c r="D563" s="15" t="n"/>
      <c r="E563" s="15" t="n"/>
      <c r="F563" s="16" t="n"/>
      <c r="G563" s="17" t="n"/>
      <c r="H563" s="636" t="n"/>
      <c r="I563" s="17" t="n"/>
      <c r="J563" s="767" t="n"/>
    </row>
    <row r="564" ht="18.75" customHeight="1" s="904">
      <c r="B564" s="766" t="n"/>
      <c r="C564" s="769" t="inlineStr">
        <is>
          <t xml:space="preserve">         Сера</t>
        </is>
      </c>
      <c r="D564" s="15" t="n"/>
      <c r="E564" s="15" t="n"/>
      <c r="F564" s="16" t="n"/>
      <c r="G564" s="17" t="inlineStr">
        <is>
          <t>2_100335030</t>
        </is>
      </c>
      <c r="H564" s="636" t="n"/>
      <c r="I564" s="17" t="n"/>
      <c r="J564" s="767" t="inlineStr">
        <is>
          <t>тыс.т</t>
        </is>
      </c>
    </row>
    <row r="565" ht="18.75" customHeight="1" s="904">
      <c r="B565" s="766" t="n"/>
      <c r="C565" s="769" t="inlineStr">
        <is>
          <t xml:space="preserve">         ШФЛУ</t>
        </is>
      </c>
      <c r="D565" s="15" t="n"/>
      <c r="E565" s="15" t="n"/>
      <c r="F565" s="16" t="n"/>
      <c r="G565" s="17" t="n"/>
      <c r="H565" s="636" t="n"/>
      <c r="I565" s="17" t="n"/>
      <c r="J565" s="767" t="inlineStr">
        <is>
          <t>тыс.т</t>
        </is>
      </c>
    </row>
    <row r="566" ht="18.75" customHeight="1" s="904">
      <c r="B566" s="766" t="n"/>
      <c r="C566" s="769" t="inlineStr">
        <is>
          <t xml:space="preserve">         Стабильный газовый конденсат с нефтью товарный - всего</t>
        </is>
      </c>
      <c r="D566" s="15" t="n"/>
      <c r="E566" s="15" t="n"/>
      <c r="F566" s="16" t="n"/>
      <c r="G566" s="17" t="inlineStr">
        <is>
          <t>2_100332960</t>
        </is>
      </c>
      <c r="H566" s="636" t="n"/>
      <c r="I566" s="17" t="n"/>
      <c r="J566" s="767" t="inlineStr">
        <is>
          <t>тыс.т</t>
        </is>
      </c>
    </row>
    <row r="567" ht="18.75" customHeight="1" s="904">
      <c r="B567" s="766" t="n"/>
      <c r="C567" s="769" t="inlineStr">
        <is>
          <t xml:space="preserve">         Газы углеводородные сжиженные (ПБТ/ПБА)</t>
        </is>
      </c>
      <c r="D567" s="15" t="n"/>
      <c r="E567" s="15" t="n"/>
      <c r="F567" s="16" t="n"/>
      <c r="G567" s="17" t="inlineStr">
        <is>
          <t>2_100335668</t>
        </is>
      </c>
      <c r="H567" s="636" t="n"/>
      <c r="I567" s="17" t="n"/>
      <c r="J567" s="767" t="inlineStr">
        <is>
          <t>тыс.т</t>
        </is>
      </c>
    </row>
    <row r="568" ht="18.75" customHeight="1" s="904">
      <c r="B568" s="766" t="n"/>
      <c r="C568" s="769" t="inlineStr">
        <is>
          <t xml:space="preserve">         Топливный газ на КТЭЦ с ГПЗ</t>
        </is>
      </c>
      <c r="D568" s="15" t="n"/>
      <c r="E568" s="15" t="n"/>
      <c r="F568" s="16" t="n"/>
      <c r="G568" s="17" t="inlineStr">
        <is>
          <t>2_100335686</t>
        </is>
      </c>
      <c r="H568" s="636" t="n"/>
      <c r="I568" s="17" t="n"/>
      <c r="J568" s="767" t="inlineStr">
        <is>
          <t>млн.м3</t>
        </is>
      </c>
    </row>
    <row r="569" ht="18.75" customHeight="1" s="904">
      <c r="B569" s="766" t="n"/>
      <c r="C569" s="769" t="inlineStr">
        <is>
          <t xml:space="preserve">         Топливный газ на КТЭЦ с ГПЗ</t>
        </is>
      </c>
      <c r="D569" s="15" t="n"/>
      <c r="E569" s="15" t="n"/>
      <c r="F569" s="16" t="n"/>
      <c r="G569" s="17" t="inlineStr">
        <is>
          <t>2_100335685</t>
        </is>
      </c>
      <c r="H569" s="636" t="n"/>
      <c r="I569" s="17" t="n"/>
      <c r="J569" s="767" t="inlineStr">
        <is>
          <t>тыс.т</t>
        </is>
      </c>
    </row>
    <row r="570" ht="18.75" customHeight="1" s="904">
      <c r="B570" s="766" t="n"/>
      <c r="C570" s="769" t="inlineStr">
        <is>
          <t xml:space="preserve">         Газ горючий природный сухой отбензиненный</t>
        </is>
      </c>
      <c r="D570" s="15" t="n"/>
      <c r="E570" s="15" t="n"/>
      <c r="F570" s="16" t="n"/>
      <c r="G570" s="17" t="inlineStr">
        <is>
          <t>2_100335001</t>
        </is>
      </c>
      <c r="H570" s="636" t="n"/>
      <c r="I570" s="17" t="n"/>
      <c r="J570" s="767" t="inlineStr">
        <is>
          <t>млн.м3</t>
        </is>
      </c>
    </row>
    <row r="571" ht="18.75" customHeight="1" s="904">
      <c r="B571" s="766" t="n"/>
      <c r="C571" s="769" t="inlineStr">
        <is>
          <t xml:space="preserve">         Газ горючий природный сухой отбензиненный</t>
        </is>
      </c>
      <c r="D571" s="15" t="n"/>
      <c r="E571" s="15" t="n"/>
      <c r="F571" s="16" t="n"/>
      <c r="G571" s="17" t="inlineStr">
        <is>
          <t>2_100335000</t>
        </is>
      </c>
      <c r="H571" s="636" t="n"/>
      <c r="I571" s="17" t="n"/>
      <c r="J571" s="767" t="inlineStr">
        <is>
          <t>тыс.т</t>
        </is>
      </c>
    </row>
    <row r="572" ht="25.5" customHeight="1" s="904">
      <c r="B572" s="766" t="n"/>
      <c r="C572" s="769" t="inlineStr">
        <is>
          <t xml:space="preserve">      Переработка жидких углеводородов от добычи Сервиснефтегаз (оказание услуг ООО "Сервиснефтегаз")</t>
        </is>
      </c>
      <c r="D572" s="15" t="n"/>
      <c r="E572" s="15" t="n"/>
      <c r="F572" s="16" t="n"/>
      <c r="G572" s="17" t="inlineStr">
        <is>
          <t>2_100332069</t>
        </is>
      </c>
      <c r="H572" s="636" t="n"/>
      <c r="I572" s="17" t="n"/>
      <c r="J572" s="767" t="inlineStr">
        <is>
          <t>тыс.т</t>
        </is>
      </c>
    </row>
    <row r="573" ht="18.75" customHeight="1" s="904">
      <c r="B573" s="766" t="n"/>
      <c r="C573" s="769" t="inlineStr">
        <is>
          <t xml:space="preserve">         газовый конденсат</t>
        </is>
      </c>
      <c r="D573" s="15" t="n"/>
      <c r="E573" s="15" t="n"/>
      <c r="F573" s="16" t="n"/>
      <c r="G573" s="17" t="n"/>
      <c r="H573" s="636" t="n"/>
      <c r="I573" s="17" t="n"/>
      <c r="J573" s="767" t="inlineStr">
        <is>
          <t>тыс.т</t>
        </is>
      </c>
    </row>
    <row r="574" ht="18.75" customHeight="1" s="904">
      <c r="B574" s="766" t="n"/>
      <c r="C574" s="769" t="inlineStr">
        <is>
          <t xml:space="preserve">         нефть</t>
        </is>
      </c>
      <c r="D574" s="15" t="n"/>
      <c r="E574" s="15" t="n"/>
      <c r="F574" s="16" t="n"/>
      <c r="G574" s="17" t="inlineStr">
        <is>
          <t>2_100332069</t>
        </is>
      </c>
      <c r="H574" s="636" t="n"/>
      <c r="I574" s="17" t="n"/>
      <c r="J574" s="767" t="inlineStr">
        <is>
          <t>тыс.т</t>
        </is>
      </c>
    </row>
    <row r="575" ht="18.75" customHeight="1" s="904">
      <c r="B575" s="766" t="n"/>
      <c r="C575" s="769" t="inlineStr">
        <is>
          <t xml:space="preserve">      Производство продукции (собственность ООО "Сервиснефтегаз")</t>
        </is>
      </c>
      <c r="D575" s="15" t="n"/>
      <c r="E575" s="15" t="n"/>
      <c r="F575" s="16" t="n"/>
      <c r="G575" s="17" t="n"/>
      <c r="H575" s="636" t="n"/>
      <c r="I575" s="17" t="n"/>
      <c r="J575" s="767" t="n"/>
    </row>
    <row r="576" ht="18.75" customHeight="1" s="904">
      <c r="B576" s="766" t="n"/>
      <c r="C576" s="769" t="inlineStr">
        <is>
          <t xml:space="preserve">         Сера</t>
        </is>
      </c>
      <c r="D576" s="15" t="n"/>
      <c r="E576" s="15" t="n"/>
      <c r="F576" s="16" t="n"/>
      <c r="G576" s="17" t="inlineStr">
        <is>
          <t>2_100332197</t>
        </is>
      </c>
      <c r="H576" s="636" t="n"/>
      <c r="I576" s="17" t="n"/>
      <c r="J576" s="767" t="inlineStr">
        <is>
          <t>тыс.т</t>
        </is>
      </c>
    </row>
    <row r="577" ht="18.75" customHeight="1" s="904">
      <c r="B577" s="766" t="n"/>
      <c r="C577" s="769" t="inlineStr">
        <is>
          <t xml:space="preserve">         ШФЛУ</t>
        </is>
      </c>
      <c r="D577" s="15" t="n"/>
      <c r="E577" s="15" t="n"/>
      <c r="F577" s="16" t="n"/>
      <c r="G577" s="17" t="n"/>
      <c r="H577" s="636" t="n"/>
      <c r="I577" s="17" t="n"/>
      <c r="J577" s="767" t="inlineStr">
        <is>
          <t>тыс.т</t>
        </is>
      </c>
    </row>
    <row r="578" ht="18.75" customHeight="1" s="904">
      <c r="B578" s="766" t="n"/>
      <c r="C578" s="769" t="inlineStr">
        <is>
          <t xml:space="preserve">         Стабильный газовый конденсат с нефтью товарный - всего</t>
        </is>
      </c>
      <c r="D578" s="15" t="n"/>
      <c r="E578" s="15" t="n"/>
      <c r="F578" s="16" t="n"/>
      <c r="G578" s="17" t="inlineStr">
        <is>
          <t>2_100332273</t>
        </is>
      </c>
      <c r="H578" s="636" t="n"/>
      <c r="I578" s="17" t="n"/>
      <c r="J578" s="767" t="inlineStr">
        <is>
          <t>тыс.т</t>
        </is>
      </c>
    </row>
    <row r="579" ht="18.75" customHeight="1" s="904">
      <c r="B579" s="766" t="n"/>
      <c r="C579" s="769" t="inlineStr">
        <is>
          <t xml:space="preserve">         Газы углеводородные сжиженные (ПБТ/ПБА)</t>
        </is>
      </c>
      <c r="D579" s="15" t="n"/>
      <c r="E579" s="15" t="n"/>
      <c r="F579" s="16" t="n"/>
      <c r="G579" s="17" t="inlineStr">
        <is>
          <t>2_100332226</t>
        </is>
      </c>
      <c r="H579" s="636" t="n"/>
      <c r="I579" s="17" t="n"/>
      <c r="J579" s="767" t="inlineStr">
        <is>
          <t>тыс.т</t>
        </is>
      </c>
    </row>
    <row r="580" ht="18.75" customHeight="1" s="904">
      <c r="B580" s="766" t="n"/>
      <c r="C580" s="769" t="inlineStr">
        <is>
          <t xml:space="preserve">         Топливный газ на КТЭЦ с ГПЗ</t>
        </is>
      </c>
      <c r="D580" s="15" t="n"/>
      <c r="E580" s="15" t="n"/>
      <c r="F580" s="16" t="n"/>
      <c r="G580" s="17" t="n"/>
      <c r="H580" s="636" t="n"/>
      <c r="I580" s="17" t="n"/>
      <c r="J580" s="767" t="inlineStr">
        <is>
          <t>млн.м3</t>
        </is>
      </c>
    </row>
    <row r="581" ht="18.75" customHeight="1" s="904">
      <c r="B581" s="766" t="n"/>
      <c r="C581" s="769" t="inlineStr">
        <is>
          <t xml:space="preserve">         Топливный газ на КТЭЦ с ГПЗ</t>
        </is>
      </c>
      <c r="D581" s="15" t="n"/>
      <c r="E581" s="15" t="n"/>
      <c r="F581" s="16" t="n"/>
      <c r="G581" s="17" t="n"/>
      <c r="H581" s="636" t="n"/>
      <c r="I581" s="17" t="n"/>
      <c r="J581" s="767" t="inlineStr">
        <is>
          <t>тыс.т</t>
        </is>
      </c>
    </row>
    <row r="582" ht="18.75" customHeight="1" s="904">
      <c r="B582" s="766" t="n"/>
      <c r="C582" s="769" t="inlineStr">
        <is>
          <t xml:space="preserve">      Газ природный сухой отбензиненный на СТН ГП переработка ГПЗ</t>
        </is>
      </c>
      <c r="D582" s="15" t="n"/>
      <c r="E582" s="15" t="n"/>
      <c r="F582" s="16" t="n"/>
      <c r="G582" s="17" t="inlineStr">
        <is>
          <t>2_100335696</t>
        </is>
      </c>
      <c r="H582" s="636" t="n"/>
      <c r="I582" s="17" t="n"/>
      <c r="J582" s="767" t="inlineStr">
        <is>
          <t>млн.м3</t>
        </is>
      </c>
    </row>
    <row r="583" ht="18.75" customHeight="1" s="904">
      <c r="B583" s="766" t="n"/>
      <c r="C583" s="769" t="inlineStr">
        <is>
          <t xml:space="preserve">      Газ природный сухой отбензиненный на СТН ГП переработка ГПЗ</t>
        </is>
      </c>
      <c r="D583" s="15" t="n"/>
      <c r="E583" s="15" t="n"/>
      <c r="F583" s="16" t="n"/>
      <c r="G583" s="17" t="inlineStr">
        <is>
          <t>2_100335695</t>
        </is>
      </c>
      <c r="H583" s="636" t="n"/>
      <c r="I583" s="17" t="n"/>
      <c r="J583" s="767" t="inlineStr">
        <is>
          <t>тыс.т</t>
        </is>
      </c>
    </row>
    <row r="584" ht="18.75" customHeight="1" s="904">
      <c r="B584" s="766" t="n"/>
      <c r="C584" s="769" t="inlineStr">
        <is>
          <t xml:space="preserve">   Раздел II (Организации не входящие в Группу Газпром)</t>
        </is>
      </c>
      <c r="D584" s="15" t="n"/>
      <c r="E584" s="15" t="n"/>
      <c r="F584" s="16" t="n"/>
      <c r="G584" s="17" t="n"/>
      <c r="H584" s="636" t="n"/>
      <c r="I584" s="17" t="n"/>
      <c r="J584" s="767" t="n"/>
    </row>
    <row r="585" ht="25.5" customHeight="1" s="904">
      <c r="B585" s="766" t="n"/>
      <c r="C585" s="769" t="inlineStr">
        <is>
          <t xml:space="preserve">      Переработка природного газа   ТОО "КазРосГаз"  (оказание услуг ТОО "КазРосГаз")</t>
        </is>
      </c>
      <c r="D585" s="15" t="n"/>
      <c r="E585" s="15" t="n"/>
      <c r="F585" s="16" t="n"/>
      <c r="G585" s="17" t="inlineStr">
        <is>
          <t>2_100332046</t>
        </is>
      </c>
      <c r="H585" s="636" t="n"/>
      <c r="I585" s="17" t="n"/>
      <c r="J585" s="767" t="inlineStr">
        <is>
          <t>млн.м3</t>
        </is>
      </c>
    </row>
    <row r="586" ht="25.5" customHeight="1" s="904">
      <c r="B586" s="766" t="n"/>
      <c r="C586" s="769" t="inlineStr">
        <is>
          <t xml:space="preserve">      Переработка природного газа   ТОО "КазРосГаз"  (оказание услуг ТОО "КазРосГаз")</t>
        </is>
      </c>
      <c r="D586" s="15" t="n"/>
      <c r="E586" s="15" t="n"/>
      <c r="F586" s="16" t="n"/>
      <c r="G586" s="17" t="inlineStr">
        <is>
          <t>2_100332045</t>
        </is>
      </c>
      <c r="H586" s="636" t="n"/>
      <c r="I586" s="17" t="n"/>
      <c r="J586" s="767" t="inlineStr">
        <is>
          <t>тыс.т</t>
        </is>
      </c>
    </row>
    <row r="587" ht="18.75" customHeight="1" s="904">
      <c r="B587" s="766" t="n"/>
      <c r="C587" s="769" t="inlineStr">
        <is>
          <t xml:space="preserve">         в том числе на У-01 АО "ЮУПК"</t>
        </is>
      </c>
      <c r="D587" s="15" t="n"/>
      <c r="E587" s="15" t="n"/>
      <c r="F587" s="16" t="n"/>
      <c r="G587" s="17" t="inlineStr">
        <is>
          <t>2_100332048</t>
        </is>
      </c>
      <c r="H587" s="636" t="n"/>
      <c r="I587" s="17" t="n"/>
      <c r="J587" s="767" t="inlineStr">
        <is>
          <t>млн.м3</t>
        </is>
      </c>
    </row>
    <row r="588" ht="18.75" customHeight="1" s="904">
      <c r="B588" s="766" t="n"/>
      <c r="C588" s="769" t="inlineStr">
        <is>
          <t xml:space="preserve">      Переработка газа ТОО "КазРосГаз" на ОГЗ</t>
        </is>
      </c>
      <c r="D588" s="15" t="n"/>
      <c r="E588" s="15" t="n"/>
      <c r="F588" s="16" t="n"/>
      <c r="G588" s="17" t="inlineStr">
        <is>
          <t>2_100332058</t>
        </is>
      </c>
      <c r="H588" s="636" t="n"/>
      <c r="I588" s="17" t="n"/>
      <c r="J588" s="767" t="inlineStr">
        <is>
          <t>млн.м3</t>
        </is>
      </c>
    </row>
    <row r="589" ht="18.75" customHeight="1" s="904">
      <c r="B589" s="766" t="n"/>
      <c r="C589" s="769" t="inlineStr">
        <is>
          <t xml:space="preserve">      Переработка газа ТОО "КазРосГаз" на ОГЗ</t>
        </is>
      </c>
      <c r="D589" s="15" t="n"/>
      <c r="E589" s="15" t="n"/>
      <c r="F589" s="16" t="n"/>
      <c r="G589" s="17" t="inlineStr">
        <is>
          <t>2_100332057</t>
        </is>
      </c>
      <c r="H589" s="636" t="n"/>
      <c r="I589" s="17" t="n"/>
      <c r="J589" s="767" t="inlineStr">
        <is>
          <t>тыс.т</t>
        </is>
      </c>
    </row>
    <row r="590" ht="25.5" customHeight="1" s="904">
      <c r="B590" s="766" t="n"/>
      <c r="C590" s="769" t="inlineStr">
        <is>
          <t xml:space="preserve">      Производство продукции  ТОО "КазРосГаз" (собственность ТОО "КазРосГаз" )</t>
        </is>
      </c>
      <c r="D590" s="15" t="n"/>
      <c r="E590" s="15" t="n"/>
      <c r="F590" s="16" t="n"/>
      <c r="G590" s="17" t="n"/>
      <c r="H590" s="636" t="n"/>
      <c r="I590" s="17" t="n"/>
      <c r="J590" s="767" t="n"/>
    </row>
    <row r="591" ht="18.75" customHeight="1" s="904">
      <c r="B591" s="766" t="n"/>
      <c r="C591" s="769" t="inlineStr">
        <is>
          <t xml:space="preserve">         Сера ГПЗ</t>
        </is>
      </c>
      <c r="D591" s="15" t="n"/>
      <c r="E591" s="15" t="n"/>
      <c r="F591" s="16" t="n"/>
      <c r="G591" s="17" t="inlineStr">
        <is>
          <t>2_100332198</t>
        </is>
      </c>
      <c r="H591" s="636" t="n"/>
      <c r="I591" s="17" t="n"/>
      <c r="J591" s="767" t="inlineStr">
        <is>
          <t>тыс.т</t>
        </is>
      </c>
    </row>
    <row r="592" ht="18.75" customHeight="1" s="904">
      <c r="B592" s="766" t="n"/>
      <c r="C592" s="769" t="inlineStr">
        <is>
          <t xml:space="preserve">         ШФЛУ</t>
        </is>
      </c>
      <c r="D592" s="15" t="n"/>
      <c r="E592" s="15" t="n"/>
      <c r="F592" s="16" t="n"/>
      <c r="G592" s="17" t="inlineStr">
        <is>
          <t>2_100336104</t>
        </is>
      </c>
      <c r="H592" s="636" t="n"/>
      <c r="I592" s="17" t="n"/>
      <c r="J592" s="767" t="inlineStr">
        <is>
          <t>тыс.т</t>
        </is>
      </c>
    </row>
    <row r="593" ht="18.75" customHeight="1" s="904">
      <c r="B593" s="766" t="n"/>
      <c r="C593" s="769" t="inlineStr">
        <is>
          <t xml:space="preserve">         Стабильный газовый конденсат с нефтью товарный ГПЗ</t>
        </is>
      </c>
      <c r="D593" s="15" t="n"/>
      <c r="E593" s="15" t="n"/>
      <c r="F593" s="16" t="n"/>
      <c r="G593" s="17" t="inlineStr">
        <is>
          <t>2_100332274</t>
        </is>
      </c>
      <c r="H593" s="636" t="n"/>
      <c r="I593" s="17" t="n"/>
      <c r="J593" s="767" t="inlineStr">
        <is>
          <t>тыс.т</t>
        </is>
      </c>
    </row>
    <row r="594" ht="18.75" customHeight="1" s="904">
      <c r="B594" s="766" t="n"/>
      <c r="C594" s="769" t="inlineStr">
        <is>
          <t xml:space="preserve">         Газы углеводородные сжиженные (ПБТ/ПБА)</t>
        </is>
      </c>
      <c r="D594" s="15" t="n"/>
      <c r="E594" s="15" t="n"/>
      <c r="F594" s="16" t="n"/>
      <c r="G594" s="17" t="inlineStr">
        <is>
          <t>2_100332227</t>
        </is>
      </c>
      <c r="H594" s="636" t="n"/>
      <c r="I594" s="17" t="n"/>
      <c r="J594" s="767" t="inlineStr">
        <is>
          <t>тыс.т</t>
        </is>
      </c>
    </row>
    <row r="595" ht="18.75" customHeight="1" s="904">
      <c r="B595" s="766" t="n"/>
      <c r="C595" s="769" t="inlineStr">
        <is>
          <t xml:space="preserve">            ГПЗ</t>
        </is>
      </c>
      <c r="D595" s="15" t="n"/>
      <c r="E595" s="15" t="n"/>
      <c r="F595" s="16" t="n"/>
      <c r="G595" s="17" t="inlineStr">
        <is>
          <t>2_100332228</t>
        </is>
      </c>
      <c r="H595" s="636" t="n"/>
      <c r="I595" s="17" t="n"/>
      <c r="J595" s="767" t="inlineStr">
        <is>
          <t>тыс.т</t>
        </is>
      </c>
    </row>
    <row r="596" ht="18.75" customHeight="1" s="904">
      <c r="B596" s="766" t="n"/>
      <c r="C596" s="769" t="inlineStr">
        <is>
          <t xml:space="preserve">            ГЗ</t>
        </is>
      </c>
      <c r="D596" s="15" t="n"/>
      <c r="E596" s="15" t="n"/>
      <c r="F596" s="16" t="n"/>
      <c r="G596" s="17" t="inlineStr">
        <is>
          <t>2_100330957</t>
        </is>
      </c>
      <c r="H596" s="636" t="n"/>
      <c r="I596" s="17" t="n"/>
      <c r="J596" s="767" t="inlineStr">
        <is>
          <t>тыс.т</t>
        </is>
      </c>
    </row>
    <row r="597" ht="18.75" customHeight="1" s="904">
      <c r="B597" s="766" t="n"/>
      <c r="C597" s="769" t="inlineStr">
        <is>
          <t xml:space="preserve">         Этановая фракция ГЗ</t>
        </is>
      </c>
      <c r="D597" s="15" t="n"/>
      <c r="E597" s="15" t="n"/>
      <c r="F597" s="16" t="n"/>
      <c r="G597" s="17" t="inlineStr">
        <is>
          <t>2_100332244</t>
        </is>
      </c>
      <c r="H597" s="636" t="n"/>
      <c r="I597" s="17" t="n"/>
      <c r="J597" s="767" t="inlineStr">
        <is>
          <t>тыс.т</t>
        </is>
      </c>
    </row>
    <row r="598" ht="18.75" customHeight="1" s="904">
      <c r="B598" s="766" t="n"/>
      <c r="C598" s="769" t="inlineStr">
        <is>
          <t xml:space="preserve">         Топливный газ на КТЭЦ с ГПЗ</t>
        </is>
      </c>
      <c r="D598" s="15" t="n"/>
      <c r="E598" s="15" t="n"/>
      <c r="F598" s="16" t="n"/>
      <c r="G598" s="17" t="inlineStr">
        <is>
          <t>2_100332185</t>
        </is>
      </c>
      <c r="H598" s="636" t="n"/>
      <c r="I598" s="17" t="n"/>
      <c r="J598" s="767" t="inlineStr">
        <is>
          <t>млн.м3</t>
        </is>
      </c>
    </row>
    <row r="599" ht="18.75" customHeight="1" s="904">
      <c r="B599" s="766" t="n"/>
      <c r="C599" s="769" t="inlineStr">
        <is>
          <t xml:space="preserve">         Топливный газ на КТЭЦ с ГПЗ</t>
        </is>
      </c>
      <c r="D599" s="15" t="n"/>
      <c r="E599" s="15" t="n"/>
      <c r="F599" s="16" t="n"/>
      <c r="G599" s="17" t="inlineStr">
        <is>
          <t>2_100332184</t>
        </is>
      </c>
      <c r="H599" s="636" t="n"/>
      <c r="I599" s="17" t="n"/>
      <c r="J599" s="767" t="inlineStr">
        <is>
          <t>тыс.т</t>
        </is>
      </c>
    </row>
    <row r="600" ht="18.75" customHeight="1" s="904">
      <c r="B600" s="766" t="n"/>
      <c r="C600" s="769" t="inlineStr">
        <is>
          <t xml:space="preserve">         Углеводородная фракция / ПГФ ГЗ</t>
        </is>
      </c>
      <c r="D600" s="15" t="n"/>
      <c r="E600" s="15" t="n"/>
      <c r="F600" s="16" t="n"/>
      <c r="G600" s="17" t="inlineStr">
        <is>
          <t>2_100332236</t>
        </is>
      </c>
      <c r="H600" s="636" t="n"/>
      <c r="I600" s="17" t="n"/>
      <c r="J600" s="767" t="inlineStr">
        <is>
          <t>тыс.т</t>
        </is>
      </c>
    </row>
    <row r="601" ht="18.75" customHeight="1" s="904">
      <c r="B601" s="766" t="n"/>
      <c r="C601" s="769" t="inlineStr">
        <is>
          <t xml:space="preserve">         Газ горючий природный сухой отбензиненный, всего</t>
        </is>
      </c>
      <c r="D601" s="15" t="n"/>
      <c r="E601" s="15" t="n"/>
      <c r="F601" s="16" t="n"/>
      <c r="G601" s="17" t="inlineStr">
        <is>
          <t>2_100335021</t>
        </is>
      </c>
      <c r="H601" s="636" t="n"/>
      <c r="I601" s="17" t="n"/>
      <c r="J601" s="767" t="inlineStr">
        <is>
          <t>млн.м3</t>
        </is>
      </c>
    </row>
    <row r="602" ht="18.75" customHeight="1" s="904">
      <c r="B602" s="766" t="n"/>
      <c r="C602" s="769" t="inlineStr">
        <is>
          <t xml:space="preserve">         Газ горючий природный сухой отбензиненный, всего</t>
        </is>
      </c>
      <c r="D602" s="15" t="n"/>
      <c r="E602" s="15" t="n"/>
      <c r="F602" s="16" t="n"/>
      <c r="G602" s="17" t="inlineStr">
        <is>
          <t>2_100335020</t>
        </is>
      </c>
      <c r="H602" s="636" t="n"/>
      <c r="I602" s="17" t="n"/>
      <c r="J602" s="767" t="inlineStr">
        <is>
          <t>тыс.т</t>
        </is>
      </c>
    </row>
    <row r="603" ht="18.75" customHeight="1" s="904">
      <c r="B603" s="766" t="n"/>
      <c r="C603" s="769" t="inlineStr">
        <is>
          <t xml:space="preserve">            в т.ч. в газотранспортную систему с ГПЗ</t>
        </is>
      </c>
      <c r="D603" s="15" t="n"/>
      <c r="E603" s="15" t="n"/>
      <c r="F603" s="16" t="n"/>
      <c r="G603" s="17" t="inlineStr">
        <is>
          <t>2_100335023</t>
        </is>
      </c>
      <c r="H603" s="636" t="n"/>
      <c r="I603" s="17" t="n"/>
      <c r="J603" s="767" t="inlineStr">
        <is>
          <t>млн.м3</t>
        </is>
      </c>
    </row>
    <row r="604" ht="18.75" customHeight="1" s="904">
      <c r="B604" s="766" t="n"/>
      <c r="C604" s="769" t="inlineStr">
        <is>
          <t xml:space="preserve">            в т.ч. в газотранспортную систему с ГПЗ</t>
        </is>
      </c>
      <c r="D604" s="15" t="n"/>
      <c r="E604" s="15" t="n"/>
      <c r="F604" s="16" t="n"/>
      <c r="G604" s="17" t="inlineStr">
        <is>
          <t>2_100335022</t>
        </is>
      </c>
      <c r="H604" s="636" t="n"/>
      <c r="I604" s="17" t="n"/>
      <c r="J604" s="767" t="inlineStr">
        <is>
          <t>тыс.т</t>
        </is>
      </c>
    </row>
    <row r="605" ht="18.75" customHeight="1" s="904">
      <c r="B605" s="766" t="n"/>
      <c r="C605" s="769" t="inlineStr">
        <is>
          <t xml:space="preserve">            в т.ч. в газотранспортную систему с ГЗ</t>
        </is>
      </c>
      <c r="D605" s="15" t="n"/>
      <c r="E605" s="15" t="n"/>
      <c r="F605" s="16" t="n"/>
      <c r="G605" s="17" t="inlineStr">
        <is>
          <t>2_100335025</t>
        </is>
      </c>
      <c r="H605" s="636" t="n"/>
      <c r="I605" s="17" t="n"/>
      <c r="J605" s="767" t="inlineStr">
        <is>
          <t>млн.м3</t>
        </is>
      </c>
    </row>
    <row r="606" ht="18.75" customHeight="1" s="904">
      <c r="B606" s="766" t="n"/>
      <c r="C606" s="769" t="inlineStr">
        <is>
          <t xml:space="preserve">            в т.ч. в газотранспортную систему с ГЗ</t>
        </is>
      </c>
      <c r="D606" s="15" t="n"/>
      <c r="E606" s="15" t="n"/>
      <c r="F606" s="16" t="n"/>
      <c r="G606" s="17" t="inlineStr">
        <is>
          <t>2_100335024</t>
        </is>
      </c>
      <c r="H606" s="636" t="n"/>
      <c r="I606" s="17" t="n"/>
      <c r="J606" s="767" t="inlineStr">
        <is>
          <t>тыс.т</t>
        </is>
      </c>
    </row>
    <row r="607" ht="18.75" customHeight="1" s="904">
      <c r="B607" s="766" t="n"/>
      <c r="C607" s="769" t="inlineStr">
        <is>
          <t xml:space="preserve">            в т.ч газ на СТН ГП переработка ГПЗ</t>
        </is>
      </c>
      <c r="D607" s="15" t="n"/>
      <c r="E607" s="15" t="n"/>
      <c r="F607" s="16" t="n"/>
      <c r="G607" s="17" t="inlineStr">
        <is>
          <t>2_100335027</t>
        </is>
      </c>
      <c r="H607" s="636" t="n"/>
      <c r="I607" s="17" t="n"/>
      <c r="J607" s="767" t="inlineStr">
        <is>
          <t>млн.м3</t>
        </is>
      </c>
    </row>
    <row r="608" ht="18.75" customHeight="1" s="904">
      <c r="B608" s="766" t="n"/>
      <c r="C608" s="769" t="inlineStr">
        <is>
          <t xml:space="preserve">            в т.ч газ на СТН ГП переработка ГПЗ</t>
        </is>
      </c>
      <c r="D608" s="15" t="n"/>
      <c r="E608" s="15" t="n"/>
      <c r="F608" s="16" t="n"/>
      <c r="G608" s="17" t="inlineStr">
        <is>
          <t>2_100335026</t>
        </is>
      </c>
      <c r="H608" s="636" t="n"/>
      <c r="I608" s="17" t="n"/>
      <c r="J608" s="767" t="inlineStr">
        <is>
          <t>тыс.т</t>
        </is>
      </c>
    </row>
    <row r="609" ht="18.75" customHeight="1" s="904">
      <c r="B609" s="766" t="n"/>
      <c r="C609" s="769" t="inlineStr">
        <is>
          <t xml:space="preserve">            в т.ч газ на СТН ГП переработка ГЗ</t>
        </is>
      </c>
      <c r="D609" s="15" t="n"/>
      <c r="E609" s="15" t="n"/>
      <c r="F609" s="16" t="n"/>
      <c r="G609" s="17" t="inlineStr">
        <is>
          <t>2_100335029</t>
        </is>
      </c>
      <c r="H609" s="636" t="n"/>
      <c r="I609" s="17" t="n"/>
      <c r="J609" s="767" t="inlineStr">
        <is>
          <t>млн.м3</t>
        </is>
      </c>
    </row>
    <row r="610" ht="18.75" customHeight="1" s="904">
      <c r="B610" s="766" t="n"/>
      <c r="C610" s="769" t="inlineStr">
        <is>
          <t xml:space="preserve">            в т.ч газ на СТН ГП переработка ГЗ</t>
        </is>
      </c>
      <c r="D610" s="15" t="n"/>
      <c r="E610" s="15" t="n"/>
      <c r="F610" s="16" t="n"/>
      <c r="G610" s="17" t="inlineStr">
        <is>
          <t>2_100335028</t>
        </is>
      </c>
      <c r="H610" s="636" t="n"/>
      <c r="I610" s="17" t="n"/>
      <c r="J610" s="767" t="inlineStr">
        <is>
          <t>тыс.т</t>
        </is>
      </c>
    </row>
    <row r="611" ht="25.5" customHeight="1" s="904">
      <c r="B611" s="766" t="n"/>
      <c r="C611" s="769" t="inlineStr">
        <is>
          <t xml:space="preserve">      Оказание услуг ГДОренбург для ГНСалават по транспортировке нефти (Царичанское НМ) (собственность ООО "Газпром нефтехим Салават")</t>
        </is>
      </c>
      <c r="D611" s="15" t="n"/>
      <c r="E611" s="15" t="n"/>
      <c r="F611" s="16" t="n"/>
      <c r="G611" s="17" t="n"/>
      <c r="H611" s="636" t="n"/>
      <c r="I611" s="17" t="n"/>
      <c r="J611" s="767" t="n"/>
    </row>
    <row r="612" ht="18.75" customHeight="1" s="904">
      <c r="B612" s="766" t="n"/>
      <c r="C612" s="769" t="inlineStr">
        <is>
          <t xml:space="preserve">         Нефть</t>
        </is>
      </c>
      <c r="D612" s="15" t="n"/>
      <c r="E612" s="15" t="n"/>
      <c r="F612" s="16" t="n"/>
      <c r="G612" s="17" t="inlineStr">
        <is>
          <t>6_100332312</t>
        </is>
      </c>
      <c r="H612" s="636" t="n"/>
      <c r="I612" s="17" t="n"/>
      <c r="J612" s="767" t="inlineStr">
        <is>
          <t>тыс.т</t>
        </is>
      </c>
    </row>
    <row r="613" ht="18.75" customHeight="1" s="904">
      <c r="B613" s="766" t="n"/>
      <c r="C613" s="788" t="inlineStr">
        <is>
          <t>ООО "Газпром переработка Благовещенск"  - АМУРСКИЙ ГПЗ</t>
        </is>
      </c>
      <c r="D613" s="15" t="n"/>
      <c r="E613" s="15" t="n"/>
      <c r="F613" s="16" t="n"/>
      <c r="G613" s="17" t="n"/>
      <c r="H613" s="636" t="n"/>
      <c r="I613" s="17" t="n"/>
      <c r="J613" s="767" t="n"/>
    </row>
    <row r="614" ht="18.75" customHeight="1" s="904">
      <c r="B614" s="766" t="n"/>
      <c r="C614" s="769" t="inlineStr">
        <is>
          <t xml:space="preserve">      Поставка газа на АмГПЗ (собственность Газпром)</t>
        </is>
      </c>
      <c r="D614" s="15" t="n"/>
      <c r="E614" s="15" t="n"/>
      <c r="F614" s="16" t="n"/>
      <c r="G614" s="17" t="inlineStr">
        <is>
          <t>14_100332979</t>
        </is>
      </c>
      <c r="H614" s="636" t="n"/>
      <c r="I614" s="17" t="n"/>
      <c r="J614" s="767" t="inlineStr">
        <is>
          <t>млн.м3</t>
        </is>
      </c>
    </row>
    <row r="615" ht="18.75" customHeight="1" s="904">
      <c r="B615" s="766" t="n"/>
      <c r="C615" s="769" t="inlineStr">
        <is>
          <t xml:space="preserve">   Справочно:</t>
        </is>
      </c>
      <c r="D615" s="15" t="n"/>
      <c r="E615" s="15" t="n"/>
      <c r="F615" s="16" t="n"/>
      <c r="G615" s="17" t="n"/>
      <c r="H615" s="636" t="n"/>
      <c r="I615" s="17" t="n"/>
      <c r="J615" s="767" t="n"/>
    </row>
    <row r="616" ht="18.75" customHeight="1" s="904">
      <c r="B616" s="766" t="n"/>
      <c r="C616" s="769" t="inlineStr">
        <is>
          <t xml:space="preserve">      Поставка на Свободненскую ТЭС ( собственность Газпром)</t>
        </is>
      </c>
      <c r="D616" s="15" t="n"/>
      <c r="E616" s="15" t="n"/>
      <c r="F616" s="16" t="n"/>
      <c r="G616" s="17" t="inlineStr">
        <is>
          <t>14_100335056</t>
        </is>
      </c>
      <c r="H616" s="636" t="n"/>
      <c r="I616" s="17" t="n"/>
      <c r="J616" s="767" t="inlineStr">
        <is>
          <t>млн.м3</t>
        </is>
      </c>
    </row>
    <row r="617" ht="18.75" customHeight="1" s="904">
      <c r="B617" s="766" t="n"/>
      <c r="C617" s="769" t="inlineStr">
        <is>
          <t xml:space="preserve">      Пуско-наладочные работы (собственность ГПП Благовещенск)</t>
        </is>
      </c>
      <c r="D617" s="15" t="n"/>
      <c r="E617" s="15" t="n"/>
      <c r="F617" s="16" t="n"/>
      <c r="G617" s="17" t="inlineStr">
        <is>
          <t>14_100335057</t>
        </is>
      </c>
      <c r="H617" s="636" t="n"/>
      <c r="I617" s="17" t="n"/>
      <c r="J617" s="767" t="inlineStr">
        <is>
          <t>млн.м3</t>
        </is>
      </c>
    </row>
    <row r="618" ht="18.75" customHeight="1" s="904">
      <c r="B618" s="766" t="n"/>
      <c r="C618" s="769" t="inlineStr">
        <is>
          <t xml:space="preserve">         в т.ч. газ природный ВД из переработки</t>
        </is>
      </c>
      <c r="D618" s="15" t="n"/>
      <c r="E618" s="15" t="n"/>
      <c r="F618" s="16" t="n"/>
      <c r="G618" s="17" t="inlineStr">
        <is>
          <t>14_100335462</t>
        </is>
      </c>
      <c r="H618" s="636" t="n"/>
      <c r="I618" s="17" t="n"/>
      <c r="J618" s="767" t="inlineStr">
        <is>
          <t>млн.м3</t>
        </is>
      </c>
    </row>
    <row r="619" ht="18.75" customHeight="1" s="904">
      <c r="B619" s="766" t="n"/>
      <c r="C619" s="769" t="inlineStr">
        <is>
          <t xml:space="preserve">      Пуско-наладочные работы (собственность Газпром)</t>
        </is>
      </c>
      <c r="D619" s="15" t="n"/>
      <c r="E619" s="15" t="n"/>
      <c r="F619" s="16" t="n"/>
      <c r="G619" s="17" t="n"/>
      <c r="H619" s="636" t="n"/>
      <c r="I619" s="17" t="n"/>
      <c r="J619" s="767" t="inlineStr">
        <is>
          <t>млн.м3</t>
        </is>
      </c>
    </row>
    <row r="620" ht="18.75" customHeight="1" s="904">
      <c r="B620" s="766" t="n"/>
      <c r="C620" s="769" t="inlineStr">
        <is>
          <t xml:space="preserve">      СТН  (собственность ГПП Благовещенск)</t>
        </is>
      </c>
      <c r="D620" s="15" t="n"/>
      <c r="E620" s="15" t="n"/>
      <c r="F620" s="16" t="n"/>
      <c r="G620" s="17" t="inlineStr">
        <is>
          <t>14_100335059</t>
        </is>
      </c>
      <c r="H620" s="636" t="n"/>
      <c r="I620" s="17" t="n"/>
      <c r="J620" s="767" t="inlineStr">
        <is>
          <t>млн.м3</t>
        </is>
      </c>
    </row>
    <row r="621" ht="18.75" customHeight="1" s="904">
      <c r="B621" s="766" t="n"/>
      <c r="C621" s="769" t="inlineStr">
        <is>
          <t xml:space="preserve">         в т.ч. газ природный ВД из переработки</t>
        </is>
      </c>
      <c r="D621" s="15" t="n"/>
      <c r="E621" s="15" t="n"/>
      <c r="F621" s="16" t="n"/>
      <c r="G621" s="17" t="inlineStr">
        <is>
          <t>14_100335463</t>
        </is>
      </c>
      <c r="H621" s="636" t="n"/>
      <c r="I621" s="17" t="n"/>
      <c r="J621" s="767" t="inlineStr">
        <is>
          <t>млн.м3</t>
        </is>
      </c>
    </row>
    <row r="622" ht="18.75" customHeight="1" s="904">
      <c r="B622" s="766" t="n"/>
      <c r="C622" s="769" t="inlineStr">
        <is>
          <t xml:space="preserve">      СТН (собственность ПАО Газпром)</t>
        </is>
      </c>
      <c r="D622" s="15" t="n"/>
      <c r="E622" s="15" t="n"/>
      <c r="F622" s="16" t="n"/>
      <c r="G622" s="17" t="inlineStr">
        <is>
          <t>14_100335060</t>
        </is>
      </c>
      <c r="H622" s="636" t="n"/>
      <c r="I622" s="17" t="n"/>
      <c r="J622" s="767" t="inlineStr">
        <is>
          <t>млн.м3</t>
        </is>
      </c>
    </row>
    <row r="623" ht="18.75" customHeight="1" s="904">
      <c r="B623" s="766" t="n"/>
      <c r="C623" s="769" t="inlineStr">
        <is>
          <t xml:space="preserve">      транзит газа через АмГПЗ (собственность ПАО "Газпром")</t>
        </is>
      </c>
      <c r="D623" s="15" t="n"/>
      <c r="E623" s="15" t="n"/>
      <c r="F623" s="16" t="n"/>
      <c r="G623" s="17" t="inlineStr">
        <is>
          <t>14_100335223</t>
        </is>
      </c>
      <c r="H623" s="636" t="n"/>
      <c r="I623" s="17" t="n"/>
      <c r="J623" s="767" t="inlineStr">
        <is>
          <t>тыс.т</t>
        </is>
      </c>
    </row>
    <row r="624" ht="18.75" customHeight="1" s="904">
      <c r="B624" s="766" t="n"/>
      <c r="C624" s="769" t="inlineStr">
        <is>
          <t xml:space="preserve">      транзит газа через АмГПЗ (собственность ПАО "Газпром")</t>
        </is>
      </c>
      <c r="D624" s="15" t="n"/>
      <c r="E624" s="15" t="n"/>
      <c r="F624" s="16" t="n"/>
      <c r="G624" s="17" t="inlineStr">
        <is>
          <t>14_100335159</t>
        </is>
      </c>
      <c r="H624" s="636" t="n"/>
      <c r="I624" s="17" t="n"/>
      <c r="J624" s="767" t="inlineStr">
        <is>
          <t>млн м3</t>
        </is>
      </c>
    </row>
    <row r="625" ht="18.75" customHeight="1" s="904">
      <c r="B625" s="766" t="n"/>
      <c r="C625" s="769" t="inlineStr">
        <is>
          <t xml:space="preserve">      транзит газа через АмГПЗ (собственность ГПП Благовещенск)</t>
        </is>
      </c>
      <c r="D625" s="15" t="n"/>
      <c r="E625" s="15" t="n"/>
      <c r="F625" s="16" t="n"/>
      <c r="G625" s="17" t="inlineStr">
        <is>
          <t>14_100335424</t>
        </is>
      </c>
      <c r="H625" s="636" t="n"/>
      <c r="I625" s="17" t="n"/>
      <c r="J625" s="767" t="inlineStr">
        <is>
          <t>тыс.т</t>
        </is>
      </c>
    </row>
    <row r="626" ht="18.75" customHeight="1" s="904">
      <c r="B626" s="766" t="n"/>
      <c r="C626" s="769" t="inlineStr">
        <is>
          <t xml:space="preserve">      транзит газа через АмГПЗ (собственность ГПП Благовещенск)</t>
        </is>
      </c>
      <c r="D626" s="15" t="n"/>
      <c r="E626" s="15" t="n"/>
      <c r="F626" s="16" t="n"/>
      <c r="G626" s="17" t="inlineStr">
        <is>
          <t>14_100335425</t>
        </is>
      </c>
      <c r="H626" s="636" t="n"/>
      <c r="I626" s="17" t="n"/>
      <c r="J626" s="767" t="inlineStr">
        <is>
          <t>млн м3</t>
        </is>
      </c>
    </row>
    <row r="627" ht="25.5" customHeight="1" s="904">
      <c r="B627" s="766" t="n"/>
      <c r="C627" s="769" t="inlineStr">
        <is>
          <t xml:space="preserve">   Переработка  природного газа  (собственность ПАО "Газпром"  ) - оказание услуг  ПАО "Газпром"</t>
        </is>
      </c>
      <c r="D627" s="15" t="n"/>
      <c r="E627" s="15" t="n"/>
      <c r="F627" s="16" t="n"/>
      <c r="G627" s="17" t="inlineStr">
        <is>
          <t>14_100335074</t>
        </is>
      </c>
      <c r="H627" s="636" t="n"/>
      <c r="I627" s="17" t="n"/>
      <c r="J627" s="767" t="inlineStr">
        <is>
          <t>млн.м3</t>
        </is>
      </c>
    </row>
    <row r="628" ht="25.5" customHeight="1" s="904">
      <c r="B628" s="766" t="n"/>
      <c r="C628" s="769" t="inlineStr">
        <is>
          <t xml:space="preserve">   Переработка  природного газа  (собственность ПАО "Газпром"  ) - оказание услуг  ПАО "Газпром"</t>
        </is>
      </c>
      <c r="D628" s="15" t="n"/>
      <c r="E628" s="15" t="n"/>
      <c r="F628" s="16" t="n"/>
      <c r="G628" s="17" t="inlineStr">
        <is>
          <t>14_100335073</t>
        </is>
      </c>
      <c r="H628" s="636" t="n"/>
      <c r="I628" s="17" t="n"/>
      <c r="J628" s="767" t="inlineStr">
        <is>
          <t>тыс.т</t>
        </is>
      </c>
    </row>
    <row r="629" ht="18.75" customHeight="1" s="904">
      <c r="B629" s="766" t="n"/>
      <c r="C629" s="769" t="inlineStr">
        <is>
          <t xml:space="preserve">   Переработка  природного газа  (собственность ГПП Благовещенск  )</t>
        </is>
      </c>
      <c r="D629" s="15" t="n"/>
      <c r="E629" s="15" t="n"/>
      <c r="F629" s="16" t="n"/>
      <c r="G629" s="17" t="inlineStr">
        <is>
          <t>14_100335076</t>
        </is>
      </c>
      <c r="H629" s="636" t="n"/>
      <c r="I629" s="17" t="n"/>
      <c r="J629" s="767" t="inlineStr">
        <is>
          <t>млн.м3</t>
        </is>
      </c>
    </row>
    <row r="630" ht="18.75" customHeight="1" s="904">
      <c r="B630" s="766" t="n"/>
      <c r="C630" s="769" t="inlineStr">
        <is>
          <t xml:space="preserve">   Переработка  природного газа  (собственность ГПП Благовещенск  )</t>
        </is>
      </c>
      <c r="D630" s="15" t="n"/>
      <c r="E630" s="15" t="n"/>
      <c r="F630" s="16" t="n"/>
      <c r="G630" s="17" t="inlineStr">
        <is>
          <t>14_100335075</t>
        </is>
      </c>
      <c r="H630" s="636" t="n"/>
      <c r="I630" s="17" t="n"/>
      <c r="J630" s="767" t="inlineStr">
        <is>
          <t>тыс.т</t>
        </is>
      </c>
    </row>
    <row r="631" ht="18.75" customHeight="1" s="904">
      <c r="B631" s="766" t="n"/>
      <c r="C631" s="769" t="inlineStr">
        <is>
          <t xml:space="preserve">   Производство продукции  (собственность ПАО "Газпром"  )</t>
        </is>
      </c>
      <c r="D631" s="15" t="n"/>
      <c r="E631" s="15" t="n"/>
      <c r="F631" s="16" t="n"/>
      <c r="G631" s="17" t="n"/>
      <c r="H631" s="636" t="n"/>
      <c r="I631" s="17" t="n"/>
      <c r="J631" s="767" t="n"/>
    </row>
    <row r="632" ht="18.75" customHeight="1" s="904">
      <c r="B632" s="766" t="n"/>
      <c r="C632" s="769" t="inlineStr">
        <is>
          <t xml:space="preserve">      Газ товарный</t>
        </is>
      </c>
      <c r="D632" s="15" t="n"/>
      <c r="E632" s="15" t="n"/>
      <c r="F632" s="16" t="n"/>
      <c r="G632" s="17" t="inlineStr">
        <is>
          <t>14_100332359</t>
        </is>
      </c>
      <c r="H632" s="636" t="n"/>
      <c r="I632" s="17" t="n"/>
      <c r="J632" s="767" t="inlineStr">
        <is>
          <t>млн.м3</t>
        </is>
      </c>
    </row>
    <row r="633" ht="18.75" customHeight="1" s="904">
      <c r="B633" s="766" t="n"/>
      <c r="C633" s="769" t="inlineStr">
        <is>
          <t xml:space="preserve">      Газ товарный</t>
        </is>
      </c>
      <c r="D633" s="15" t="n"/>
      <c r="E633" s="15" t="n"/>
      <c r="F633" s="16" t="n"/>
      <c r="G633" s="17" t="inlineStr">
        <is>
          <t>14_100332358</t>
        </is>
      </c>
      <c r="H633" s="636" t="n"/>
      <c r="I633" s="17" t="n"/>
      <c r="J633" s="767" t="inlineStr">
        <is>
          <t>тыс.т</t>
        </is>
      </c>
    </row>
    <row r="634" ht="18.75" customHeight="1" s="904">
      <c r="B634" s="766" t="n"/>
      <c r="C634" s="769" t="inlineStr">
        <is>
          <t xml:space="preserve">      Гелий</t>
        </is>
      </c>
      <c r="D634" s="15" t="n"/>
      <c r="E634" s="15" t="n"/>
      <c r="F634" s="16" t="n"/>
      <c r="G634" s="17" t="inlineStr">
        <is>
          <t>14_100332361</t>
        </is>
      </c>
      <c r="H634" s="636" t="n"/>
      <c r="I634" s="17" t="n"/>
      <c r="J634" s="767" t="inlineStr">
        <is>
          <t>тыс. м3</t>
        </is>
      </c>
    </row>
    <row r="635" ht="18.75" customHeight="1" s="904">
      <c r="B635" s="766" t="n"/>
      <c r="C635" s="769" t="inlineStr">
        <is>
          <t xml:space="preserve">      Гелий</t>
        </is>
      </c>
      <c r="D635" s="15" t="n"/>
      <c r="E635" s="15" t="n"/>
      <c r="F635" s="16" t="n"/>
      <c r="G635" s="17" t="inlineStr">
        <is>
          <t>14_100332360</t>
        </is>
      </c>
      <c r="H635" s="636" t="n"/>
      <c r="I635" s="17" t="n"/>
      <c r="J635" s="767" t="inlineStr">
        <is>
          <t>тонн</t>
        </is>
      </c>
    </row>
    <row r="636" ht="18.75" customHeight="1" s="904">
      <c r="B636" s="766" t="n"/>
      <c r="C636" s="769" t="inlineStr">
        <is>
          <t xml:space="preserve">      Этан</t>
        </is>
      </c>
      <c r="D636" s="15" t="n"/>
      <c r="E636" s="15" t="n"/>
      <c r="F636" s="16" t="n"/>
      <c r="G636" s="17" t="inlineStr">
        <is>
          <t>14_100332362</t>
        </is>
      </c>
      <c r="H636" s="636" t="n"/>
      <c r="I636" s="17" t="n"/>
      <c r="J636" s="767" t="inlineStr">
        <is>
          <t>тыс.т</t>
        </is>
      </c>
    </row>
    <row r="637" ht="18.75" customHeight="1" s="904">
      <c r="B637" s="766" t="n"/>
      <c r="C637" s="769" t="inlineStr">
        <is>
          <t xml:space="preserve">      Газы углеводородные сжиженные - всего</t>
        </is>
      </c>
      <c r="D637" s="15" t="n"/>
      <c r="E637" s="15" t="n"/>
      <c r="F637" s="16" t="n"/>
      <c r="G637" s="17">
        <f>G638+G639+G640</f>
        <v/>
      </c>
      <c r="H637" s="636" t="n"/>
      <c r="I637" s="17" t="n"/>
      <c r="J637" s="767" t="inlineStr">
        <is>
          <t>тыс.т</t>
        </is>
      </c>
    </row>
    <row r="638" ht="18.75" customHeight="1" s="904">
      <c r="B638" s="766" t="n"/>
      <c r="C638" s="769" t="inlineStr">
        <is>
          <t xml:space="preserve">         пропан</t>
        </is>
      </c>
      <c r="D638" s="15" t="n"/>
      <c r="E638" s="15" t="n"/>
      <c r="F638" s="16" t="n"/>
      <c r="G638" s="17" t="inlineStr">
        <is>
          <t>14_100332363</t>
        </is>
      </c>
      <c r="H638" s="636" t="n"/>
      <c r="I638" s="17" t="n"/>
      <c r="J638" s="767" t="inlineStr">
        <is>
          <t>тыс.т</t>
        </is>
      </c>
    </row>
    <row r="639" ht="18.75" customHeight="1" s="904">
      <c r="B639" s="766" t="n"/>
      <c r="C639" s="769" t="inlineStr">
        <is>
          <t xml:space="preserve">         бутан</t>
        </is>
      </c>
      <c r="D639" s="15" t="n"/>
      <c r="E639" s="15" t="n"/>
      <c r="F639" s="16" t="n"/>
      <c r="G639" s="17" t="inlineStr">
        <is>
          <t>14_100332364</t>
        </is>
      </c>
      <c r="H639" s="636" t="n"/>
      <c r="I639" s="17" t="n"/>
      <c r="J639" s="767" t="inlineStr">
        <is>
          <t>тыс.т</t>
        </is>
      </c>
    </row>
    <row r="640" ht="18.75" customHeight="1" s="904">
      <c r="B640" s="766" t="n"/>
      <c r="C640" s="769" t="inlineStr">
        <is>
          <t xml:space="preserve">         СПБТ</t>
        </is>
      </c>
      <c r="D640" s="15" t="n"/>
      <c r="E640" s="15" t="n"/>
      <c r="F640" s="16" t="n"/>
      <c r="G640" s="17" t="inlineStr">
        <is>
          <t>14_100332365</t>
        </is>
      </c>
      <c r="H640" s="636" t="n"/>
      <c r="I640" s="17" t="n"/>
      <c r="J640" s="767" t="inlineStr">
        <is>
          <t>тыс.т</t>
        </is>
      </c>
    </row>
    <row r="641" ht="18.75" customHeight="1" s="904">
      <c r="B641" s="766" t="n"/>
      <c r="C641" s="769" t="inlineStr">
        <is>
          <t xml:space="preserve">      ПГФ / УФ</t>
        </is>
      </c>
      <c r="D641" s="15" t="n"/>
      <c r="E641" s="15" t="n"/>
      <c r="F641" s="16" t="n"/>
      <c r="G641" s="17" t="inlineStr">
        <is>
          <t>14_100332366</t>
        </is>
      </c>
      <c r="H641" s="636" t="n"/>
      <c r="I641" s="17" t="n"/>
      <c r="J641" s="767" t="inlineStr">
        <is>
          <t>тыс.т</t>
        </is>
      </c>
    </row>
    <row r="642" ht="18.75" customHeight="1" s="904">
      <c r="B642" s="766" t="n"/>
      <c r="C642" s="769" t="inlineStr">
        <is>
          <t xml:space="preserve">      Топливный газ</t>
        </is>
      </c>
      <c r="D642" s="15" t="n"/>
      <c r="E642" s="15" t="n"/>
      <c r="F642" s="16" t="n"/>
      <c r="G642" s="17" t="inlineStr">
        <is>
          <t>14_100332368</t>
        </is>
      </c>
      <c r="H642" s="636" t="n"/>
      <c r="I642" s="17" t="n"/>
      <c r="J642" s="767" t="inlineStr">
        <is>
          <t>млн.м3</t>
        </is>
      </c>
    </row>
    <row r="643" ht="18.75" customHeight="1" s="904">
      <c r="B643" s="766" t="n"/>
      <c r="C643" s="769" t="inlineStr">
        <is>
          <t xml:space="preserve">      Топливный газ</t>
        </is>
      </c>
      <c r="D643" s="15" t="n"/>
      <c r="E643" s="15" t="n"/>
      <c r="F643" s="16" t="n"/>
      <c r="G643" s="17" t="inlineStr">
        <is>
          <t>14_100332367</t>
        </is>
      </c>
      <c r="H643" s="636" t="n"/>
      <c r="I643" s="17" t="n"/>
      <c r="J643" s="767" t="inlineStr">
        <is>
          <t>тыс.т</t>
        </is>
      </c>
    </row>
    <row r="644" ht="18.75" customHeight="1" s="904">
      <c r="B644" s="766" t="n"/>
      <c r="C644" s="769" t="inlineStr">
        <is>
          <t xml:space="preserve">   Справочно:</t>
        </is>
      </c>
      <c r="D644" s="15" t="n"/>
      <c r="E644" s="15" t="n"/>
      <c r="F644" s="16" t="n"/>
      <c r="G644" s="17" t="n"/>
      <c r="H644" s="636" t="n"/>
      <c r="I644" s="17" t="n"/>
      <c r="J644" s="767" t="inlineStr">
        <is>
          <t>млн.м3</t>
        </is>
      </c>
    </row>
    <row r="645" ht="18.75" customHeight="1" s="904">
      <c r="B645" s="766" t="n"/>
      <c r="C645" s="769" t="inlineStr">
        <is>
          <t xml:space="preserve">   Поставка газа в КНР (собственность Газпром)</t>
        </is>
      </c>
      <c r="D645" s="15" t="n"/>
      <c r="E645" s="15" t="n"/>
      <c r="F645" s="16" t="n"/>
      <c r="G645" s="17" t="inlineStr">
        <is>
          <t>14_100335160</t>
        </is>
      </c>
      <c r="H645" s="636" t="n"/>
      <c r="I645" s="17" t="n"/>
      <c r="J645" s="767" t="inlineStr">
        <is>
          <t>млн.м3</t>
        </is>
      </c>
    </row>
    <row r="646" ht="18.75" customHeight="1" s="904">
      <c r="B646" s="766" t="n"/>
      <c r="C646" s="769" t="inlineStr">
        <is>
          <t xml:space="preserve">      в т.ч. поставка газа в Китай , минуя АмГПЗ</t>
        </is>
      </c>
      <c r="D646" s="15" t="n"/>
      <c r="E646" s="15" t="n"/>
      <c r="F646" s="16" t="n"/>
      <c r="G646" s="17" t="inlineStr">
        <is>
          <t>14_100335101</t>
        </is>
      </c>
      <c r="H646" s="636" t="n"/>
      <c r="I646" s="17" t="n"/>
      <c r="J646" s="767" t="inlineStr">
        <is>
          <t>млн.м3</t>
        </is>
      </c>
    </row>
    <row r="647" ht="18.75" customHeight="1" s="904">
      <c r="B647" s="766" t="n"/>
      <c r="C647" s="769" t="inlineStr">
        <is>
          <t xml:space="preserve">      в т.ч.  транзит через АмГПЗ</t>
        </is>
      </c>
      <c r="D647" s="15" t="n"/>
      <c r="E647" s="15" t="n"/>
      <c r="F647" s="16" t="n"/>
      <c r="G647" s="17" t="inlineStr">
        <is>
          <t>14_100335161</t>
        </is>
      </c>
      <c r="H647" s="636" t="n"/>
      <c r="I647" s="17" t="n"/>
      <c r="J647" s="767" t="inlineStr">
        <is>
          <t>млн.м3</t>
        </is>
      </c>
    </row>
    <row r="648" ht="18.75" customHeight="1" s="904">
      <c r="B648" s="766" t="n"/>
      <c r="C648" s="769" t="inlineStr">
        <is>
          <t xml:space="preserve">   Покупка газа ПАО "Газпром" при ПНР (дог. ГППБпнр-2020)</t>
        </is>
      </c>
      <c r="D648" s="15" t="n"/>
      <c r="E648" s="15" t="n"/>
      <c r="F648" s="16" t="n"/>
      <c r="G648" s="17" t="inlineStr">
        <is>
          <t>14_100335428</t>
        </is>
      </c>
      <c r="H648" s="636" t="n"/>
      <c r="I648" s="17" t="n"/>
      <c r="J648" s="767" t="inlineStr">
        <is>
          <t>млн м3</t>
        </is>
      </c>
    </row>
    <row r="649" ht="18.75" customHeight="1" s="904">
      <c r="B649" s="766" t="n"/>
      <c r="C649" s="769" t="inlineStr">
        <is>
          <t xml:space="preserve">      в т.ч.  транзит через АмГПЗ  (собственность ГПП Благовещенск)</t>
        </is>
      </c>
      <c r="D649" s="15" t="n"/>
      <c r="E649" s="15" t="n"/>
      <c r="F649" s="16" t="n"/>
      <c r="G649" s="17" t="inlineStr">
        <is>
          <t>14_100335429</t>
        </is>
      </c>
      <c r="H649" s="636" t="n"/>
      <c r="I649" s="17" t="n"/>
      <c r="J649" s="767" t="inlineStr">
        <is>
          <t>млн м3</t>
        </is>
      </c>
    </row>
    <row r="650" ht="25.5" customHeight="1" s="904">
      <c r="B650" s="766" t="n"/>
      <c r="C650" s="769" t="inlineStr">
        <is>
          <t xml:space="preserve">   Производство продукции  (собственность Газпром переработка Благовещенск  )</t>
        </is>
      </c>
      <c r="D650" s="15" t="n"/>
      <c r="E650" s="15" t="n"/>
      <c r="F650" s="16" t="n"/>
      <c r="G650" s="17" t="n"/>
      <c r="H650" s="636" t="n"/>
      <c r="I650" s="17" t="n"/>
      <c r="J650" s="767" t="n"/>
    </row>
    <row r="651" ht="18.75" customHeight="1" s="904">
      <c r="B651" s="766" t="n"/>
      <c r="C651" s="769" t="inlineStr">
        <is>
          <t xml:space="preserve">      Газ товарный</t>
        </is>
      </c>
      <c r="D651" s="15" t="n"/>
      <c r="E651" s="15" t="n"/>
      <c r="F651" s="16" t="n"/>
      <c r="G651" s="17" t="inlineStr">
        <is>
          <t>14_100335312</t>
        </is>
      </c>
      <c r="H651" s="636" t="n"/>
      <c r="I651" s="17" t="n"/>
      <c r="J651" s="767" t="inlineStr">
        <is>
          <t>млн м3</t>
        </is>
      </c>
    </row>
    <row r="652" ht="18.75" customHeight="1" s="904">
      <c r="B652" s="766" t="n"/>
      <c r="C652" s="769" t="inlineStr">
        <is>
          <t xml:space="preserve">      Газ товарный</t>
        </is>
      </c>
      <c r="D652" s="15" t="n"/>
      <c r="E652" s="15" t="n"/>
      <c r="F652" s="16" t="n"/>
      <c r="G652" s="17" t="inlineStr">
        <is>
          <t>14_100335311</t>
        </is>
      </c>
      <c r="H652" s="636" t="n"/>
      <c r="I652" s="17" t="n"/>
      <c r="J652" s="767" t="inlineStr">
        <is>
          <t>тыс.т</t>
        </is>
      </c>
    </row>
    <row r="653" ht="18.75" customHeight="1" s="904">
      <c r="B653" s="766" t="n"/>
      <c r="C653" s="769" t="inlineStr">
        <is>
          <t xml:space="preserve">      Гелий</t>
        </is>
      </c>
      <c r="D653" s="15" t="n"/>
      <c r="E653" s="15" t="n"/>
      <c r="F653" s="16" t="n"/>
      <c r="G653" s="17" t="inlineStr">
        <is>
          <t>14_100335082</t>
        </is>
      </c>
      <c r="H653" s="636" t="n"/>
      <c r="I653" s="17" t="n"/>
      <c r="J653" s="767" t="inlineStr">
        <is>
          <t>тыс. м3</t>
        </is>
      </c>
    </row>
    <row r="654" ht="18.75" customHeight="1" s="904">
      <c r="B654" s="766" t="n"/>
      <c r="C654" s="769" t="inlineStr">
        <is>
          <t xml:space="preserve">      Гелий</t>
        </is>
      </c>
      <c r="D654" s="15" t="n"/>
      <c r="E654" s="15" t="n"/>
      <c r="F654" s="16" t="n"/>
      <c r="G654" s="17" t="inlineStr">
        <is>
          <t>14_100335083</t>
        </is>
      </c>
      <c r="H654" s="636" t="n"/>
      <c r="I654" s="17" t="n"/>
      <c r="J654" s="767" t="inlineStr">
        <is>
          <t>тонн</t>
        </is>
      </c>
    </row>
    <row r="655" ht="18.75" customHeight="1" s="904">
      <c r="B655" s="766" t="n"/>
      <c r="C655" s="769" t="inlineStr">
        <is>
          <t xml:space="preserve">      Газы углеводородные сжиженные - всего</t>
        </is>
      </c>
      <c r="D655" s="15" t="n"/>
      <c r="E655" s="15" t="n"/>
      <c r="F655" s="16" t="n"/>
      <c r="G655" s="17" t="inlineStr">
        <is>
          <t>14_100335084</t>
        </is>
      </c>
      <c r="H655" s="636" t="n"/>
      <c r="I655" s="17" t="n"/>
      <c r="J655" s="767" t="inlineStr">
        <is>
          <t>тыс.т</t>
        </is>
      </c>
    </row>
    <row r="656" ht="18.75" customHeight="1" s="904">
      <c r="B656" s="766" t="n"/>
      <c r="C656" s="769" t="inlineStr">
        <is>
          <t xml:space="preserve">         пропан</t>
        </is>
      </c>
      <c r="D656" s="15" t="n"/>
      <c r="E656" s="15" t="n"/>
      <c r="F656" s="16" t="n"/>
      <c r="G656" s="17" t="inlineStr">
        <is>
          <t>14_100335085</t>
        </is>
      </c>
      <c r="H656" s="636" t="n"/>
      <c r="I656" s="17" t="n"/>
      <c r="J656" s="767" t="inlineStr">
        <is>
          <t>тыс.т</t>
        </is>
      </c>
    </row>
    <row r="657" ht="18.75" customHeight="1" s="904">
      <c r="B657" s="766" t="n"/>
      <c r="C657" s="769" t="inlineStr">
        <is>
          <t xml:space="preserve">         бутан</t>
        </is>
      </c>
      <c r="D657" s="15" t="n"/>
      <c r="E657" s="15" t="n"/>
      <c r="F657" s="16" t="n"/>
      <c r="G657" s="17" t="inlineStr">
        <is>
          <t>14_100335086</t>
        </is>
      </c>
      <c r="H657" s="636" t="n"/>
      <c r="I657" s="17" t="n"/>
      <c r="J657" s="767" t="inlineStr">
        <is>
          <t>тыс.т</t>
        </is>
      </c>
    </row>
    <row r="658" ht="18.75" customHeight="1" s="904">
      <c r="B658" s="766" t="n"/>
      <c r="C658" s="769" t="inlineStr">
        <is>
          <t xml:space="preserve">         СПБТ</t>
        </is>
      </c>
      <c r="D658" s="15" t="n"/>
      <c r="E658" s="15" t="n"/>
      <c r="F658" s="16" t="n"/>
      <c r="G658" s="17" t="inlineStr">
        <is>
          <t>14_100335087</t>
        </is>
      </c>
      <c r="H658" s="636" t="n"/>
      <c r="I658" s="17" t="n"/>
      <c r="J658" s="767" t="inlineStr">
        <is>
          <t>тыс.т</t>
        </is>
      </c>
    </row>
    <row r="659" ht="18.75" customHeight="1" s="904">
      <c r="B659" s="766" t="n"/>
      <c r="C659" s="769" t="inlineStr">
        <is>
          <t xml:space="preserve">   ПГФ/УФ</t>
        </is>
      </c>
      <c r="D659" s="15" t="n"/>
      <c r="E659" s="15" t="n"/>
      <c r="F659" s="16" t="n"/>
      <c r="G659" s="17" t="inlineStr">
        <is>
          <t>14_100335088</t>
        </is>
      </c>
      <c r="H659" s="636" t="n"/>
      <c r="I659" s="17" t="n"/>
      <c r="J659" s="767" t="inlineStr">
        <is>
          <t>тыс.т</t>
        </is>
      </c>
    </row>
    <row r="660" ht="18.75" customHeight="1" s="904">
      <c r="B660" s="766" t="n"/>
      <c r="C660" s="769" t="inlineStr">
        <is>
          <t xml:space="preserve">      Топливный газ</t>
        </is>
      </c>
      <c r="D660" s="15" t="n"/>
      <c r="E660" s="15" t="n"/>
      <c r="F660" s="16" t="n"/>
      <c r="G660" s="17" t="inlineStr">
        <is>
          <t>14_100335465</t>
        </is>
      </c>
      <c r="H660" s="636" t="n"/>
      <c r="I660" s="17" t="n"/>
      <c r="J660" s="767" t="inlineStr">
        <is>
          <t>млн.м3</t>
        </is>
      </c>
    </row>
    <row r="661" ht="18.75" customHeight="1" s="904">
      <c r="B661" s="766" t="n"/>
      <c r="C661" s="769" t="inlineStr">
        <is>
          <t xml:space="preserve">      Топливный газ</t>
        </is>
      </c>
      <c r="D661" s="15" t="n"/>
      <c r="E661" s="15" t="n"/>
      <c r="F661" s="16" t="n"/>
      <c r="G661" s="17" t="inlineStr">
        <is>
          <t>14_100335464</t>
        </is>
      </c>
      <c r="H661" s="636" t="n"/>
      <c r="I661" s="17" t="n"/>
      <c r="J661" s="767" t="inlineStr">
        <is>
          <t>тыс.т</t>
        </is>
      </c>
    </row>
    <row r="662" ht="18.75" customHeight="1" s="904">
      <c r="B662" s="766" t="n"/>
      <c r="C662" s="788" t="inlineStr">
        <is>
          <t>ООО "Газпром СПГ Портовая "</t>
        </is>
      </c>
      <c r="D662" s="15" t="n"/>
      <c r="E662" s="15" t="n"/>
      <c r="F662" s="16" t="n"/>
      <c r="G662" s="17" t="n"/>
      <c r="H662" s="636" t="n"/>
      <c r="I662" s="17" t="n"/>
      <c r="J662" s="767" t="n"/>
    </row>
    <row r="663" ht="18.75" customHeight="1" s="904">
      <c r="B663" s="766" t="n"/>
      <c r="C663" s="769" t="inlineStr">
        <is>
          <t xml:space="preserve">   Производство продукции, всего:</t>
        </is>
      </c>
      <c r="D663" s="15" t="n"/>
      <c r="E663" s="15" t="n"/>
      <c r="F663" s="16" t="n"/>
      <c r="G663" s="17" t="n"/>
      <c r="H663" s="636" t="n"/>
      <c r="I663" s="17" t="n"/>
      <c r="J663" s="767" t="n"/>
    </row>
    <row r="664" ht="18.75" customHeight="1" s="904">
      <c r="B664" s="766" t="n"/>
      <c r="C664" s="769" t="inlineStr">
        <is>
          <t xml:space="preserve">      Конденсат газовый стабильный (СГК)</t>
        </is>
      </c>
      <c r="D664" s="15" t="n"/>
      <c r="E664" s="15" t="n"/>
      <c r="F664" s="16" t="n"/>
      <c r="G664" s="17" t="inlineStr">
        <is>
          <t>15_100330867</t>
        </is>
      </c>
      <c r="H664" s="636" t="n"/>
      <c r="I664" s="17" t="n"/>
      <c r="J664" s="767" t="inlineStr">
        <is>
          <t>тыс.т</t>
        </is>
      </c>
    </row>
    <row r="665" ht="18.75" customHeight="1" s="904">
      <c r="B665" s="766" t="n"/>
      <c r="C665" s="769" t="inlineStr">
        <is>
          <t xml:space="preserve">         в т.ч. собственность ПАО "Газпром"</t>
        </is>
      </c>
      <c r="D665" s="15" t="n"/>
      <c r="E665" s="15" t="n"/>
      <c r="F665" s="16" t="n"/>
      <c r="G665" s="17" t="inlineStr">
        <is>
          <t>15_100335852</t>
        </is>
      </c>
      <c r="H665" s="636" t="n"/>
      <c r="I665" s="17" t="n"/>
      <c r="J665" s="767" t="inlineStr">
        <is>
          <t>тыс.т</t>
        </is>
      </c>
    </row>
  </sheetData>
  <mergeCells count="10">
    <mergeCell ref="B3:J3"/>
    <mergeCell ref="D7:D8"/>
    <mergeCell ref="G7:G8"/>
    <mergeCell ref="E7:E8"/>
    <mergeCell ref="I7:I8"/>
    <mergeCell ref="H7:H8"/>
    <mergeCell ref="D6:I6"/>
    <mergeCell ref="J6:J8"/>
    <mergeCell ref="B6:C8"/>
    <mergeCell ref="F7:F8"/>
  </mergeCells>
  <conditionalFormatting sqref="A13:A665">
    <cfRule type="cellIs" priority="1" operator="equal" dxfId="622">
      <formula>FALSE</formula>
    </cfRule>
  </conditionalFormatting>
  <pageMargins left="0.7" right="0.7" top="0.75" bottom="0.75" header="0.3" footer="0.3"/>
  <pageSetup orientation="portrait" paperSize="9"/>
</worksheet>
</file>

<file path=xl/worksheets/sheet5.xml><?xml version="1.0" encoding="utf-8"?>
<worksheet xmlns="http://schemas.openxmlformats.org/spreadsheetml/2006/main">
  <sheetPr codeName="Лист4">
    <outlinePr summaryBelow="1" summaryRight="1"/>
    <pageSetUpPr/>
  </sheetPr>
  <dimension ref="C3:H13"/>
  <sheetViews>
    <sheetView topLeftCell="C1" workbookViewId="0">
      <selection activeCell="J19" sqref="J19"/>
    </sheetView>
  </sheetViews>
  <sheetFormatPr baseColWidth="8" defaultRowHeight="15"/>
  <cols>
    <col hidden="1" outlineLevel="1" width="13" customWidth="1" style="904" min="1" max="2"/>
    <col collapsed="1" width="4.140625" customWidth="1" style="904" min="3" max="3"/>
    <col width="36.7109375" customWidth="1" style="904" min="4" max="4"/>
    <col outlineLevel="1" width="40.5703125" customWidth="1" style="904" min="5" max="6"/>
    <col width="14.7109375" customWidth="1" style="904" min="7" max="7"/>
    <col width="8.43" customWidth="1" style="904" min="8" max="8"/>
    <col width="8.43" customWidth="1" style="904" min="9" max="9"/>
    <col width="8.43" customWidth="1" style="904" min="10" max="10"/>
    <col width="8.43" customWidth="1" style="904" min="11" max="11"/>
    <col width="8.43" customWidth="1" style="904" min="12" max="12"/>
    <col width="8.43" customWidth="1" style="904" min="13" max="13"/>
    <col width="8.43" customWidth="1" style="904" min="14" max="14"/>
    <col width="8.43" customWidth="1" style="904" min="15" max="15"/>
  </cols>
  <sheetData>
    <row r="3" ht="20.25" customHeight="1" s="904">
      <c r="C3" s="521" t="inlineStr">
        <is>
          <t>Выполнение ключевых показателей деятельности дочерних обществ ПАО «Газпром» за _____ год для применения в системе годового бонуса</t>
        </is>
      </c>
      <c r="D3" s="5" t="n"/>
      <c r="E3" s="5" t="n"/>
      <c r="F3" s="5" t="n"/>
      <c r="G3" s="5" t="n"/>
    </row>
    <row r="4" ht="15.75" customHeight="1" s="904">
      <c r="C4" s="909" t="n"/>
      <c r="D4" s="4" t="n"/>
    </row>
    <row r="5" ht="15.75" customHeight="1" s="904">
      <c r="C5" s="909" t="n"/>
      <c r="D5" s="4" t="n"/>
    </row>
    <row r="6" ht="25.5" customHeight="1" s="904">
      <c r="C6" s="933" t="inlineStr">
        <is>
          <t>№
п/п</t>
        </is>
      </c>
      <c r="D6" s="933" t="inlineStr">
        <is>
          <t>Ключевые показатели деятельности дочерних обществ ПАО «Газпром» 
(КПД ДО)</t>
        </is>
      </c>
      <c r="E6" s="936" t="inlineStr">
        <is>
          <t>Внутренние настройки листа</t>
        </is>
      </c>
      <c r="F6" s="937" t="n"/>
      <c r="G6" s="933" t="inlineStr">
        <is>
          <t>Единицы измерения</t>
        </is>
      </c>
    </row>
    <row r="7" ht="15" customHeight="1" s="904">
      <c r="C7" s="934" t="n"/>
      <c r="D7" s="934" t="n"/>
      <c r="E7" s="938" t="n"/>
      <c r="F7" s="921" t="n"/>
      <c r="G7" s="934" t="n"/>
    </row>
    <row r="8" ht="15" customHeight="1" s="904">
      <c r="C8" s="935" t="n"/>
      <c r="D8" s="935" t="n"/>
      <c r="E8" s="772" t="inlineStr">
        <is>
          <t>Формулы</t>
        </is>
      </c>
      <c r="F8" s="772" t="inlineStr">
        <is>
          <t>Описание</t>
        </is>
      </c>
      <c r="G8" s="935" t="n"/>
    </row>
    <row r="9" hidden="1" s="904"/>
    <row r="10" ht="13.5" customHeight="1" s="904">
      <c r="C10" s="522" t="inlineStr">
        <is>
          <t>26.</t>
        </is>
      </c>
      <c r="D10" s="533" t="inlineStr">
        <is>
          <t>ООО «Газпром переработка»</t>
        </is>
      </c>
      <c r="E10" s="533" t="n"/>
      <c r="F10" s="533" t="n"/>
      <c r="G10" s="537" t="n"/>
    </row>
    <row r="11">
      <c r="C11" s="919" t="n"/>
      <c r="D11" s="534" t="inlineStr">
        <is>
          <t>Контролируемые затраты ДО</t>
        </is>
      </c>
      <c r="E11" s="539" t="n"/>
      <c r="F11" s="540" t="n"/>
      <c r="G11" s="536" t="inlineStr">
        <is>
          <t>млн руб. без НДС</t>
        </is>
      </c>
    </row>
    <row r="12" ht="24" customHeight="1" s="904">
      <c r="C12" s="919" t="n"/>
      <c r="D12" s="534" t="inlineStr">
        <is>
          <t>Объем переработки газа</t>
        </is>
      </c>
      <c r="E12" s="762" t="inlineStr">
        <is>
          <t>1_100335807+2_100332038+2_100332040+3_100330008</t>
        </is>
      </c>
      <c r="F12" s="541" t="inlineStr">
        <is>
          <t>Газ АГПЗ+ОГПЗ (ГДО+ГПНО без СНГ, УНГП, Карбон и КРГ) + СГПЗ минус ГНПхолдинг</t>
        </is>
      </c>
      <c r="G12" s="536" t="inlineStr">
        <is>
          <t>млн куб. м</t>
        </is>
      </c>
    </row>
    <row r="13" ht="48" customHeight="1" s="904">
      <c r="C13" s="920" t="n"/>
      <c r="D13" s="535" t="inlineStr">
        <is>
          <t>Объем переработки нестабильного газового конденсата и нефти</t>
        </is>
      </c>
      <c r="E13" s="763" t="inlineStr">
        <is>
          <t>1_100331985+2_100332061++2_100332066+2_100332067+3_100330017+3_100330196+4_100331828+4_100331831+4_100335040+4_100331835+4_100335093+4_100331838+10_100330861</t>
        </is>
      </c>
      <c r="F13" s="764" t="inlineStr">
        <is>
          <t>НК+нефть  (НК и нефть ОГПЗ (минус НК и нефть УНГП,СНГ) +НК и нефть СГПЗ+ НК и нефть УЗПКТ, нефть СЗСК + НК Уренгой + НК ГДНоябрьск З-Тарк.)</t>
        </is>
      </c>
      <c r="G13" s="538" t="inlineStr">
        <is>
          <t>тыс. тонн</t>
        </is>
      </c>
    </row>
  </sheetData>
  <mergeCells count="4">
    <mergeCell ref="E6:F7"/>
    <mergeCell ref="G6:G8"/>
    <mergeCell ref="C6:C8"/>
    <mergeCell ref="D6:D8"/>
  </mergeCells>
  <pageMargins left="0.7" right="0.7" top="0.75" bottom="0.75" header="0.3" footer="0.3"/>
  <pageSetup orientation="portrait" paperSize="9"/>
</worksheet>
</file>

<file path=xl/worksheets/sheet6.xml><?xml version="1.0" encoding="utf-8"?>
<worksheet xmlns="http://schemas.openxmlformats.org/spreadsheetml/2006/main">
  <sheetPr codeName="Лист2">
    <outlinePr summaryBelow="1" summaryRight="1"/>
    <pageSetUpPr/>
  </sheetPr>
  <dimension ref="B3:J439"/>
  <sheetViews>
    <sheetView zoomScale="50" zoomScaleNormal="50" workbookViewId="0">
      <pane xSplit="9" ySplit="9" topLeftCell="J10" activePane="bottomRight" state="frozen"/>
      <selection activeCell="D248" sqref="D248:D249"/>
      <selection pane="topRight" activeCell="D248" sqref="D248:D249"/>
      <selection pane="bottomLeft" activeCell="D248" sqref="D248:D249"/>
      <selection pane="bottomRight" activeCell="M126" sqref="M126"/>
    </sheetView>
  </sheetViews>
  <sheetFormatPr baseColWidth="8" defaultRowHeight="15"/>
  <cols>
    <col hidden="1" outlineLevel="1" width="19.7109375" customWidth="1" style="904" min="1" max="1"/>
    <col collapsed="1" width="11.28515625" customWidth="1" style="904" min="2" max="2"/>
    <col width="88" customWidth="1" style="904" min="3" max="3"/>
    <col hidden="1" outlineLevel="1" width="24.85546875" customWidth="1" style="904" min="4" max="6"/>
    <col hidden="1" outlineLevel="1" width="22.42578125" customWidth="1" style="904" min="7" max="8"/>
    <col hidden="1" outlineLevel="1" width="14.85546875" customWidth="1" style="904" min="9" max="9"/>
    <col collapsed="1" width="14.7109375" customWidth="1" style="904" min="10" max="10"/>
    <col width="8.42578125" customWidth="1" style="904" min="11" max="28"/>
  </cols>
  <sheetData>
    <row r="3" ht="18.75" customHeight="1" s="904">
      <c r="B3" s="950" t="inlineStr">
        <is>
          <t>Баланс конденсата и нефти по Западной Сибири на _________ годы/год</t>
        </is>
      </c>
    </row>
    <row r="6" ht="20.1" customHeight="1" s="904">
      <c r="B6" s="953" t="inlineStr">
        <is>
          <t>№ п/п</t>
        </is>
      </c>
      <c r="C6" s="946" t="inlineStr">
        <is>
          <t>Показатели</t>
        </is>
      </c>
      <c r="D6" s="924" t="inlineStr">
        <is>
          <t>Внутренние настройки листа</t>
        </is>
      </c>
      <c r="E6" s="925" t="n"/>
      <c r="F6" s="925" t="n"/>
      <c r="G6" s="925" t="n"/>
      <c r="H6" s="925" t="n"/>
      <c r="I6" s="926" t="n"/>
      <c r="J6" s="949" t="inlineStr">
        <is>
          <t>Ед. изм.</t>
        </is>
      </c>
    </row>
    <row r="7" ht="39.95" customHeight="1" s="904">
      <c r="B7" s="916" t="n"/>
      <c r="C7" s="916" t="n"/>
      <c r="D7" s="910" t="inlineStr">
        <is>
          <t>Ключ статьи</t>
        </is>
      </c>
      <c r="E7" s="910" t="inlineStr">
        <is>
          <t>Ключ спец</t>
        </is>
      </c>
      <c r="F7" s="910" t="inlineStr">
        <is>
          <t>Ключ ввод данных</t>
        </is>
      </c>
      <c r="G7" s="910" t="inlineStr">
        <is>
          <t>Формулы месяца</t>
        </is>
      </c>
      <c r="H7" s="910" t="inlineStr">
        <is>
          <t>Формулы % выхода</t>
        </is>
      </c>
      <c r="I7" s="910" t="inlineStr">
        <is>
          <t>Строка проверка</t>
        </is>
      </c>
      <c r="J7" s="916" t="n"/>
    </row>
    <row r="8" ht="20.1" customHeight="1" s="904">
      <c r="B8" s="911" t="n"/>
      <c r="C8" s="911" t="n"/>
      <c r="D8" s="911" t="n"/>
      <c r="E8" s="911" t="n"/>
      <c r="F8" s="911" t="n"/>
      <c r="G8" s="911" t="n"/>
      <c r="H8" s="911" t="n"/>
      <c r="I8" s="911" t="n"/>
      <c r="J8" s="911" t="n"/>
    </row>
    <row r="9" hidden="1" ht="20.1" customHeight="1" s="904">
      <c r="B9" s="88" t="n"/>
      <c r="C9" s="89" t="n"/>
      <c r="D9" s="90" t="n"/>
      <c r="E9" s="90" t="n"/>
      <c r="F9" s="90" t="n"/>
      <c r="G9" s="90" t="n"/>
      <c r="H9" s="90" t="n"/>
      <c r="I9" s="90" t="n"/>
      <c r="J9" s="90" t="n"/>
    </row>
    <row r="10" ht="25.5" customHeight="1" s="904">
      <c r="B10" s="952" t="inlineStr">
        <is>
          <t>I</t>
        </is>
      </c>
      <c r="C10" s="91" t="inlineStr">
        <is>
          <t>ДОБЫЧА</t>
        </is>
      </c>
      <c r="D10" s="15" t="n"/>
      <c r="E10" s="15" t="n"/>
      <c r="F10" s="16" t="n"/>
      <c r="G10" s="17">
        <f>G11+G112</f>
        <v/>
      </c>
      <c r="H10" s="636" t="n"/>
      <c r="I10" s="17" t="n"/>
      <c r="J10" s="92" t="inlineStr">
        <is>
          <t xml:space="preserve"> тыс. т.</t>
        </is>
      </c>
    </row>
    <row r="11" ht="27.75" customHeight="1" s="904">
      <c r="B11" s="952" t="inlineStr">
        <is>
          <t>1</t>
        </is>
      </c>
      <c r="C11" s="798" t="inlineStr">
        <is>
          <t>Нестабильный газовый конденсат, в т.ч.</t>
        </is>
      </c>
      <c r="D11" s="15" t="n"/>
      <c r="E11" s="15" t="n"/>
      <c r="F11" s="16" t="n"/>
      <c r="G11" s="17">
        <f>G12+G90+G93+G97+G109</f>
        <v/>
      </c>
      <c r="H11" s="636" t="n"/>
      <c r="I11" s="17" t="n"/>
      <c r="J11" s="92" t="inlineStr">
        <is>
          <t xml:space="preserve"> тыс. т.</t>
        </is>
      </c>
    </row>
    <row r="12" ht="18.75" customHeight="1" s="904">
      <c r="B12" s="952" t="inlineStr">
        <is>
          <t>1.1.1</t>
        </is>
      </c>
      <c r="C12" s="945" t="inlineStr">
        <is>
          <t>ООО "Газпром добыча Уренгой"</t>
        </is>
      </c>
      <c r="D12" s="15" t="n"/>
      <c r="E12" s="15" t="n"/>
      <c r="F12" s="16" t="n"/>
      <c r="G12" s="17">
        <f>G14+G16+G29+G30+G45+G60+G43+G44+G58+G59+G77</f>
        <v/>
      </c>
      <c r="H12" s="636" t="n"/>
      <c r="I12" s="17" t="n"/>
      <c r="J12" s="92" t="inlineStr">
        <is>
          <t xml:space="preserve"> тыс. т.</t>
        </is>
      </c>
    </row>
    <row r="13" ht="18.75" customHeight="1" s="904">
      <c r="B13" s="952" t="inlineStr">
        <is>
          <t>1.1.1.1</t>
        </is>
      </c>
      <c r="C13" s="800" t="inlineStr">
        <is>
          <t>Уренгойское НГКМ</t>
        </is>
      </c>
      <c r="D13" s="15" t="n"/>
      <c r="E13" s="15" t="n"/>
      <c r="F13" s="16" t="n"/>
      <c r="G13" s="17">
        <f>G14+G15</f>
        <v/>
      </c>
      <c r="H13" s="636" t="n"/>
      <c r="I13" s="17" t="n"/>
      <c r="J13" s="92" t="inlineStr">
        <is>
          <t xml:space="preserve"> тыс. т.</t>
        </is>
      </c>
    </row>
    <row r="14" ht="18.75" customHeight="1" s="904">
      <c r="C14" s="801" t="inlineStr">
        <is>
          <t>в т.ч. газоконд. скважин</t>
        </is>
      </c>
      <c r="D14" s="15" t="n"/>
      <c r="E14" s="15" t="n"/>
      <c r="F14" s="16" t="n">
        <v>1</v>
      </c>
      <c r="G14" s="17" t="n"/>
      <c r="H14" s="636" t="n"/>
      <c r="I14" s="17" t="n"/>
      <c r="J14" s="92" t="inlineStr">
        <is>
          <t xml:space="preserve"> тыс. т.</t>
        </is>
      </c>
    </row>
    <row r="15" ht="18.75" customHeight="1" s="904">
      <c r="C15" s="93" t="inlineStr">
        <is>
          <t>ПНГ из нефти</t>
        </is>
      </c>
      <c r="D15" s="15" t="n"/>
      <c r="E15" s="15" t="n"/>
      <c r="F15" s="16" t="n">
        <v>2</v>
      </c>
      <c r="G15" s="17" t="n"/>
      <c r="H15" s="636" t="n"/>
      <c r="I15" s="17" t="n"/>
      <c r="J15" s="94" t="inlineStr">
        <is>
          <t xml:space="preserve"> тыс. т.</t>
        </is>
      </c>
    </row>
    <row r="16" ht="18.75" customHeight="1" s="904">
      <c r="B16" s="952" t="inlineStr">
        <is>
          <t>1.1.1.2</t>
        </is>
      </c>
      <c r="C16" s="800" t="inlineStr">
        <is>
          <t>Уренгойское НГКМ фаза 3 (ДРОД)</t>
        </is>
      </c>
      <c r="D16" s="15" t="n"/>
      <c r="E16" s="15" t="n"/>
      <c r="F16" s="16" t="n"/>
      <c r="G16" s="17">
        <f>G17+G18</f>
        <v/>
      </c>
      <c r="H16" s="636" t="n"/>
      <c r="I16" s="17" t="n"/>
      <c r="J16" s="92" t="inlineStr">
        <is>
          <t xml:space="preserve"> тыс. т.</t>
        </is>
      </c>
    </row>
    <row r="17" ht="19.5" customHeight="1" s="904">
      <c r="B17" s="95" t="n"/>
      <c r="C17" s="96" t="inlineStr">
        <is>
          <t>Уренгойское НГКМ газоконд. скваж. (ДРОД)</t>
        </is>
      </c>
      <c r="D17" s="15" t="n"/>
      <c r="E17" s="15" t="n"/>
      <c r="F17" s="16" t="n">
        <v>3</v>
      </c>
      <c r="G17" s="17" t="n"/>
      <c r="H17" s="636" t="n"/>
      <c r="I17" s="17" t="n"/>
      <c r="J17" s="94" t="inlineStr">
        <is>
          <t xml:space="preserve"> тыс. т.</t>
        </is>
      </c>
    </row>
    <row r="18" ht="19.5" customHeight="1" s="904">
      <c r="B18" s="95" t="n"/>
      <c r="C18" s="96" t="inlineStr">
        <is>
          <t>Уренгойское НГКМ конденсат (продукт переработки ПНГ)</t>
        </is>
      </c>
      <c r="D18" s="15" t="n"/>
      <c r="E18" s="15" t="n"/>
      <c r="F18" s="16" t="n">
        <v>4</v>
      </c>
      <c r="G18" s="17" t="n"/>
      <c r="H18" s="636" t="n"/>
      <c r="I18" s="17" t="n"/>
      <c r="J18" s="94" t="inlineStr">
        <is>
          <t xml:space="preserve"> тыс. т.</t>
        </is>
      </c>
    </row>
    <row r="19" ht="18.75" customHeight="1" s="904">
      <c r="B19" s="782" t="n"/>
      <c r="C19" s="941" t="inlineStr">
        <is>
          <t>поставка НК в адрес ГПНЗ</t>
        </is>
      </c>
      <c r="D19" s="15" t="n"/>
      <c r="E19" s="15" t="n"/>
      <c r="F19" s="16" t="n">
        <v>5</v>
      </c>
      <c r="G19" s="17" t="n"/>
      <c r="H19" s="636" t="n"/>
      <c r="I19" s="17" t="n"/>
      <c r="J19" s="92" t="inlineStr">
        <is>
          <t xml:space="preserve"> тыс. т.</t>
        </is>
      </c>
    </row>
    <row r="20" ht="18.75" customHeight="1" s="904">
      <c r="B20" s="782" t="n"/>
      <c r="C20" s="941" t="inlineStr">
        <is>
          <t>содержание ГВ</t>
        </is>
      </c>
      <c r="D20" s="15" t="n"/>
      <c r="E20" s="15" t="n"/>
      <c r="F20" s="16" t="n">
        <v>6</v>
      </c>
      <c r="G20" s="17" t="n"/>
      <c r="H20" s="636" t="n"/>
      <c r="I20" s="17" t="n"/>
      <c r="J20" s="92" t="inlineStr">
        <is>
          <t xml:space="preserve"> тыс. т.</t>
        </is>
      </c>
    </row>
    <row r="21" ht="18.75" customHeight="1" s="904">
      <c r="B21" s="782" t="n"/>
      <c r="D21" s="15" t="n"/>
      <c r="E21" s="15" t="n"/>
      <c r="F21" s="16" t="n">
        <v>7</v>
      </c>
      <c r="G21" s="17" t="n"/>
      <c r="H21" s="636" t="n"/>
      <c r="I21" s="17" t="n"/>
      <c r="J21" s="582" t="inlineStr">
        <is>
          <t>млн куб. м</t>
        </is>
      </c>
    </row>
    <row r="22" ht="18.75" customHeight="1" s="904">
      <c r="B22" s="782" t="n"/>
      <c r="C22" s="941" t="inlineStr">
        <is>
          <t>содержание ШФЛУ</t>
        </is>
      </c>
      <c r="D22" s="15" t="n"/>
      <c r="E22" s="15" t="n"/>
      <c r="F22" s="16" t="n">
        <v>8</v>
      </c>
      <c r="G22" s="17" t="n"/>
      <c r="H22" s="636" t="n"/>
      <c r="I22" s="17" t="n"/>
      <c r="J22" s="92" t="inlineStr">
        <is>
          <t xml:space="preserve"> тыс. т.</t>
        </is>
      </c>
    </row>
    <row r="23" ht="18.75" customHeight="1" s="904">
      <c r="B23" s="782" t="n"/>
      <c r="C23" s="941" t="inlineStr">
        <is>
          <t>содержание СК</t>
        </is>
      </c>
      <c r="D23" s="15" t="n"/>
      <c r="E23" s="15" t="n"/>
      <c r="F23" s="16" t="n">
        <v>9</v>
      </c>
      <c r="G23" s="17" t="n"/>
      <c r="H23" s="636" t="n"/>
      <c r="I23" s="17" t="n"/>
      <c r="J23" s="92" t="inlineStr">
        <is>
          <t xml:space="preserve"> тыс. т.</t>
        </is>
      </c>
    </row>
    <row r="24" ht="18.75" customHeight="1" s="904">
      <c r="B24" s="952" t="n"/>
      <c r="C24" s="941" t="inlineStr">
        <is>
          <t>НК, СК, ШФЛУ на УЗПКТ-СЗСК</t>
        </is>
      </c>
      <c r="D24" s="15" t="n"/>
      <c r="E24" s="15" t="n"/>
      <c r="F24" s="16" t="n"/>
      <c r="G24" s="17">
        <f>G16</f>
        <v/>
      </c>
      <c r="H24" s="636" t="n"/>
      <c r="I24" s="17" t="n"/>
      <c r="J24" s="92" t="inlineStr">
        <is>
          <t xml:space="preserve"> тыс. т.</t>
        </is>
      </c>
    </row>
    <row r="25" ht="18.75" customHeight="1" s="904">
      <c r="B25" s="782" t="n"/>
      <c r="C25" s="941" t="inlineStr">
        <is>
          <t>НК, СК в адрес ГПНЗ и трейдера:</t>
        </is>
      </c>
      <c r="D25" s="15" t="n"/>
      <c r="E25" s="15" t="n"/>
      <c r="F25" s="16" t="n">
        <v>10</v>
      </c>
      <c r="G25" s="17" t="n"/>
      <c r="H25" s="636" t="n"/>
      <c r="I25" s="17" t="n"/>
      <c r="J25" s="92" t="inlineStr">
        <is>
          <t xml:space="preserve"> тыс. т.</t>
        </is>
      </c>
    </row>
    <row r="26" ht="18.75" customHeight="1" s="904">
      <c r="B26" s="952" t="n"/>
      <c r="C26" s="791" t="inlineStr">
        <is>
          <t>в т.ч. СК в адрес трейдера (альт.схема)</t>
        </is>
      </c>
      <c r="D26" s="15" t="n"/>
      <c r="E26" s="15" t="n"/>
      <c r="F26" s="16" t="n"/>
      <c r="G26" s="17">
        <f>G25-G27</f>
        <v/>
      </c>
      <c r="H26" s="636" t="n"/>
      <c r="I26" s="17" t="n"/>
      <c r="J26" s="92" t="inlineStr">
        <is>
          <t xml:space="preserve"> тыс. т.</t>
        </is>
      </c>
    </row>
    <row r="27" ht="18.75" customHeight="1" s="904">
      <c r="B27" s="782" t="n"/>
      <c r="C27" s="791" t="inlineStr">
        <is>
          <t xml:space="preserve">в т.ч. НК, СК в адрес ГПНЗ (автовывоз)  </t>
        </is>
      </c>
      <c r="D27" s="15" t="n"/>
      <c r="E27" s="15" t="n"/>
      <c r="F27" s="16" t="n">
        <v>11</v>
      </c>
      <c r="G27" s="17" t="n"/>
      <c r="H27" s="636" t="n"/>
      <c r="I27" s="17" t="n"/>
      <c r="J27" s="92" t="inlineStr">
        <is>
          <t xml:space="preserve"> тыс. т.</t>
        </is>
      </c>
    </row>
    <row r="28" ht="19.5" customHeight="1" s="904">
      <c r="B28" s="783" t="n"/>
      <c r="C28" s="802" t="inlineStr">
        <is>
          <t>проверка</t>
        </is>
      </c>
      <c r="D28" s="15" t="n"/>
      <c r="E28" s="15" t="n"/>
      <c r="F28" s="16" t="n"/>
      <c r="G28" s="17">
        <f>G16-G19-G20-G22-G23-(G24-G22)-G25</f>
        <v/>
      </c>
      <c r="H28" s="636" t="n"/>
      <c r="I28" s="17" t="inlineStr">
        <is>
          <t>да</t>
        </is>
      </c>
      <c r="J28" s="97" t="inlineStr">
        <is>
          <t xml:space="preserve"> тыс. т.</t>
        </is>
      </c>
    </row>
    <row r="29" ht="18.75" customHeight="1" s="904">
      <c r="B29" s="952" t="inlineStr">
        <is>
          <t>1.1.1.3</t>
        </is>
      </c>
      <c r="C29" s="800" t="inlineStr">
        <is>
          <t>Ен-Яхинское НГКМ</t>
        </is>
      </c>
      <c r="D29" s="15" t="n"/>
      <c r="E29" s="15" t="n"/>
      <c r="F29" s="16" t="n"/>
      <c r="G29" s="17" t="inlineStr">
        <is>
          <t>8_100330638</t>
        </is>
      </c>
      <c r="H29" s="636" t="n"/>
      <c r="I29" s="17" t="n"/>
      <c r="J29" s="92" t="inlineStr">
        <is>
          <t xml:space="preserve"> тыс. т.</t>
        </is>
      </c>
    </row>
    <row r="30" ht="18.75" customHeight="1" s="904">
      <c r="B30" s="952" t="inlineStr">
        <is>
          <t>1.1.1.4</t>
        </is>
      </c>
      <c r="C30" s="800" t="inlineStr">
        <is>
          <t>Ен-Яхинское НГКМ (ДРОД)</t>
        </is>
      </c>
      <c r="D30" s="15" t="n"/>
      <c r="E30" s="15" t="n"/>
      <c r="F30" s="16" t="n"/>
      <c r="G30" s="17">
        <f>G31+G32</f>
        <v/>
      </c>
      <c r="H30" s="636" t="n"/>
      <c r="I30" s="17" t="n"/>
      <c r="J30" s="92" t="inlineStr">
        <is>
          <t xml:space="preserve"> тыс. т.</t>
        </is>
      </c>
    </row>
    <row r="31" ht="18.75" customHeight="1" s="904">
      <c r="B31" s="782" t="n"/>
      <c r="C31" s="941" t="inlineStr">
        <is>
          <t>Ен-Яхинское НГКМ газоконд. скваж. (ДРОД)</t>
        </is>
      </c>
      <c r="D31" s="15" t="n"/>
      <c r="E31" s="15" t="n"/>
      <c r="F31" s="16" t="n">
        <v>12</v>
      </c>
      <c r="G31" s="17" t="n"/>
      <c r="H31" s="636" t="n"/>
      <c r="I31" s="17" t="n"/>
      <c r="J31" s="92" t="inlineStr">
        <is>
          <t xml:space="preserve"> тыс. т.</t>
        </is>
      </c>
    </row>
    <row r="32" ht="18.75" customHeight="1" s="904">
      <c r="B32" s="782" t="n"/>
      <c r="C32" s="941" t="inlineStr">
        <is>
          <t>Ен-Яхинское НГКМ нефтяной конденсат (продукт переработки ПНГ)</t>
        </is>
      </c>
      <c r="D32" s="15" t="n"/>
      <c r="E32" s="15" t="n"/>
      <c r="F32" s="16" t="n">
        <v>13</v>
      </c>
      <c r="G32" s="17" t="n"/>
      <c r="H32" s="636" t="n"/>
      <c r="I32" s="17" t="n"/>
      <c r="J32" s="92" t="inlineStr">
        <is>
          <t xml:space="preserve"> тыс. т.</t>
        </is>
      </c>
    </row>
    <row r="33" ht="18.75" customHeight="1" s="904">
      <c r="B33" s="782" t="n"/>
      <c r="C33" s="941" t="inlineStr">
        <is>
          <t>поставка НК в адрес ГПНЗ</t>
        </is>
      </c>
      <c r="D33" s="15" t="n"/>
      <c r="E33" s="15" t="n"/>
      <c r="F33" s="16" t="n">
        <v>14</v>
      </c>
      <c r="G33" s="17" t="n"/>
      <c r="H33" s="636" t="n"/>
      <c r="I33" s="17" t="n"/>
      <c r="J33" s="92" t="inlineStr">
        <is>
          <t xml:space="preserve"> тыс. т.</t>
        </is>
      </c>
    </row>
    <row r="34" ht="18.75" customHeight="1" s="904">
      <c r="B34" s="782" t="n"/>
      <c r="C34" s="941" t="inlineStr">
        <is>
          <t>содержание ГВ</t>
        </is>
      </c>
      <c r="D34" s="15" t="n"/>
      <c r="E34" s="15" t="n"/>
      <c r="F34" s="16" t="n">
        <v>15</v>
      </c>
      <c r="G34" s="17" t="n"/>
      <c r="H34" s="636" t="n"/>
      <c r="I34" s="17" t="n"/>
      <c r="J34" s="92" t="inlineStr">
        <is>
          <t xml:space="preserve"> тыс. т.</t>
        </is>
      </c>
    </row>
    <row r="35" ht="18.75" customHeight="1" s="904">
      <c r="B35" s="782" t="n"/>
      <c r="D35" s="15" t="n"/>
      <c r="E35" s="15" t="n"/>
      <c r="F35" s="16" t="n">
        <v>16</v>
      </c>
      <c r="G35" s="17" t="n"/>
      <c r="H35" s="636" t="n"/>
      <c r="I35" s="17" t="n"/>
      <c r="J35" s="582" t="inlineStr">
        <is>
          <t>млн куб. м</t>
        </is>
      </c>
    </row>
    <row r="36" ht="18.75" customHeight="1" s="904">
      <c r="B36" s="782" t="n"/>
      <c r="C36" s="941" t="inlineStr">
        <is>
          <t>содержание ШФЛУ</t>
        </is>
      </c>
      <c r="D36" s="15" t="n"/>
      <c r="E36" s="15" t="n"/>
      <c r="F36" s="16" t="n">
        <v>17</v>
      </c>
      <c r="G36" s="17" t="n"/>
      <c r="H36" s="636" t="n"/>
      <c r="I36" s="17" t="n"/>
      <c r="J36" s="92" t="inlineStr">
        <is>
          <t xml:space="preserve"> тыс. т.</t>
        </is>
      </c>
    </row>
    <row r="37" ht="18.75" customHeight="1" s="904">
      <c r="B37" s="782" t="n"/>
      <c r="C37" s="941" t="inlineStr">
        <is>
          <t>содержание СК</t>
        </is>
      </c>
      <c r="D37" s="15" t="n"/>
      <c r="E37" s="15" t="n"/>
      <c r="F37" s="16" t="n">
        <v>18</v>
      </c>
      <c r="G37" s="17" t="n"/>
      <c r="H37" s="636" t="n"/>
      <c r="I37" s="17" t="n"/>
      <c r="J37" s="92" t="inlineStr">
        <is>
          <t xml:space="preserve"> тыс. т.</t>
        </is>
      </c>
    </row>
    <row r="38" ht="18.75" customHeight="1" s="904">
      <c r="B38" s="782" t="n"/>
      <c r="C38" s="941" t="inlineStr">
        <is>
          <t>НК, СК, ШФЛУ на УЗПКТ-СЗСК</t>
        </is>
      </c>
      <c r="D38" s="15" t="n"/>
      <c r="E38" s="15" t="n"/>
      <c r="F38" s="16" t="n"/>
      <c r="G38" s="17">
        <f>G30</f>
        <v/>
      </c>
      <c r="H38" s="636" t="n"/>
      <c r="I38" s="17" t="n"/>
      <c r="J38" s="92" t="inlineStr">
        <is>
          <t xml:space="preserve"> тыс. т.</t>
        </is>
      </c>
    </row>
    <row r="39" ht="18.75" customHeight="1" s="904">
      <c r="B39" s="952" t="n"/>
      <c r="C39" s="941" t="inlineStr">
        <is>
          <t>НК, СК в адрес ГПНЗ и трейдера:</t>
        </is>
      </c>
      <c r="D39" s="15" t="n"/>
      <c r="E39" s="15" t="n"/>
      <c r="F39" s="16" t="n">
        <v>19</v>
      </c>
      <c r="G39" s="17" t="n"/>
      <c r="H39" s="636" t="n"/>
      <c r="I39" s="17" t="n"/>
      <c r="J39" s="92" t="inlineStr">
        <is>
          <t xml:space="preserve"> тыс. т.</t>
        </is>
      </c>
    </row>
    <row r="40" ht="18.75" customHeight="1" s="904">
      <c r="B40" s="782" t="n"/>
      <c r="C40" s="791" t="inlineStr">
        <is>
          <t>в т.ч. СК в адрес трейдера (альт.схема)</t>
        </is>
      </c>
      <c r="D40" s="15" t="n"/>
      <c r="E40" s="15" t="n"/>
      <c r="F40" s="16" t="n"/>
      <c r="G40" s="17">
        <f>G39-G41</f>
        <v/>
      </c>
      <c r="H40" s="636" t="n"/>
      <c r="I40" s="17" t="n"/>
      <c r="J40" s="92" t="inlineStr">
        <is>
          <t xml:space="preserve"> тыс. т.</t>
        </is>
      </c>
    </row>
    <row r="41" ht="18.75" customHeight="1" s="904">
      <c r="B41" s="782" t="n"/>
      <c r="C41" s="791" t="inlineStr">
        <is>
          <t xml:space="preserve">в т.ч. НК, СК в адрес ГПНЗ (автовывоз)  </t>
        </is>
      </c>
      <c r="D41" s="15" t="n"/>
      <c r="E41" s="15" t="n"/>
      <c r="F41" s="16" t="n">
        <v>20</v>
      </c>
      <c r="G41" s="17" t="n"/>
      <c r="H41" s="636" t="n"/>
      <c r="I41" s="17" t="n"/>
      <c r="J41" s="92" t="inlineStr">
        <is>
          <t xml:space="preserve"> тыс. т.</t>
        </is>
      </c>
    </row>
    <row r="42" ht="19.5" customHeight="1" s="904">
      <c r="B42" s="783" t="n"/>
      <c r="C42" s="802" t="inlineStr">
        <is>
          <t>проверка</t>
        </is>
      </c>
      <c r="D42" s="15" t="n"/>
      <c r="E42" s="15" t="n"/>
      <c r="F42" s="16" t="n"/>
      <c r="G42" s="17">
        <f>G30-G33-G34-G36-G37-(G38-G36)-G39</f>
        <v/>
      </c>
      <c r="H42" s="636" t="n"/>
      <c r="I42" s="17" t="inlineStr">
        <is>
          <t>да</t>
        </is>
      </c>
      <c r="J42" s="97" t="inlineStr">
        <is>
          <t xml:space="preserve"> тыс. т.</t>
        </is>
      </c>
    </row>
    <row r="43" ht="18.75" customHeight="1" s="904">
      <c r="B43" s="952" t="inlineStr">
        <is>
          <t>1.1.1.5</t>
        </is>
      </c>
      <c r="C43" s="800" t="inlineStr">
        <is>
          <t>Уренгойское НГКМ (Ачимовские отл. 1 уч.)</t>
        </is>
      </c>
      <c r="D43" s="15" t="n"/>
      <c r="E43" s="15" t="n"/>
      <c r="F43" s="16" t="n"/>
      <c r="G43" s="17" t="inlineStr">
        <is>
          <t>8_100330639</t>
        </is>
      </c>
      <c r="H43" s="636" t="n"/>
      <c r="I43" s="17" t="n"/>
      <c r="J43" s="92" t="inlineStr">
        <is>
          <t xml:space="preserve"> тыс. т.</t>
        </is>
      </c>
    </row>
    <row r="44" ht="18.75" customHeight="1" s="904">
      <c r="B44" s="952" t="inlineStr">
        <is>
          <t>1.1.1.6</t>
        </is>
      </c>
      <c r="C44" s="800" t="inlineStr">
        <is>
          <t>Уренгойское НГКМ (Ачимовские отл. 2 уч.)</t>
        </is>
      </c>
      <c r="D44" s="15" t="n"/>
      <c r="E44" s="15" t="n"/>
      <c r="F44" s="16" t="n"/>
      <c r="G44" s="17" t="inlineStr">
        <is>
          <t>8_100330640</t>
        </is>
      </c>
      <c r="H44" s="636" t="n"/>
      <c r="I44" s="17" t="n"/>
      <c r="J44" s="92" t="inlineStr">
        <is>
          <t xml:space="preserve"> тыс. т.</t>
        </is>
      </c>
    </row>
    <row r="45" ht="18.75" customHeight="1" s="904">
      <c r="B45" s="952" t="inlineStr">
        <is>
          <t>1.1.1.7</t>
        </is>
      </c>
      <c r="C45" s="800" t="inlineStr">
        <is>
          <t>Уренгойское НГКМ (Ачимовские отл. 3 уч.) (ДРОД)</t>
        </is>
      </c>
      <c r="D45" s="15" t="n"/>
      <c r="E45" s="15" t="n"/>
      <c r="F45" s="16" t="n"/>
      <c r="G45" s="17">
        <f>G46</f>
        <v/>
      </c>
      <c r="H45" s="636" t="n"/>
      <c r="I45" s="17" t="n"/>
      <c r="J45" s="92" t="inlineStr">
        <is>
          <t xml:space="preserve"> тыс. т.</t>
        </is>
      </c>
    </row>
    <row r="46" ht="18.75" customHeight="1" s="904">
      <c r="B46" s="782" t="n"/>
      <c r="C46" s="941" t="inlineStr">
        <is>
          <t>Ачимовские отл. 3 уч. газоконд. скваж. (ДРОД)</t>
        </is>
      </c>
      <c r="D46" s="15" t="n"/>
      <c r="E46" s="15" t="n"/>
      <c r="F46" s="16" t="n">
        <v>21</v>
      </c>
      <c r="G46" s="17" t="n"/>
      <c r="H46" s="636" t="n"/>
      <c r="I46" s="17" t="n"/>
      <c r="J46" s="92" t="inlineStr">
        <is>
          <t xml:space="preserve"> тыс. т.</t>
        </is>
      </c>
    </row>
    <row r="47" ht="18.75" customHeight="1" s="904">
      <c r="B47" s="782" t="n"/>
      <c r="C47" s="941" t="inlineStr">
        <is>
          <t>Ачимовские отл. 3 уч. конденсат (продукт переработки ПНГ)</t>
        </is>
      </c>
      <c r="D47" s="15" t="n"/>
      <c r="E47" s="15" t="n"/>
      <c r="F47" s="16" t="n">
        <v>22</v>
      </c>
      <c r="G47" s="17" t="n"/>
      <c r="H47" s="636" t="n"/>
      <c r="I47" s="17" t="n"/>
      <c r="J47" s="92" t="inlineStr">
        <is>
          <t xml:space="preserve"> тыс. т.</t>
        </is>
      </c>
    </row>
    <row r="48" ht="18.75" customHeight="1" s="904">
      <c r="B48" s="782" t="n"/>
      <c r="C48" s="941" t="inlineStr">
        <is>
          <t>поставка НК на УКПГ 1-АВ УЗПКТ-СЗСК</t>
        </is>
      </c>
      <c r="D48" s="15" t="n"/>
      <c r="E48" s="15" t="n"/>
      <c r="F48" s="16" t="n">
        <v>23</v>
      </c>
      <c r="G48" s="17" t="n"/>
      <c r="H48" s="636" t="n"/>
      <c r="I48" s="17" t="n"/>
      <c r="J48" s="92" t="inlineStr">
        <is>
          <t xml:space="preserve"> тыс. т.</t>
        </is>
      </c>
    </row>
    <row r="49" ht="18.75" customHeight="1" s="904">
      <c r="B49" s="782" t="n"/>
      <c r="C49" s="941" t="inlineStr">
        <is>
          <t>содержание ГВ</t>
        </is>
      </c>
      <c r="D49" s="15" t="n"/>
      <c r="E49" s="15" t="n"/>
      <c r="F49" s="16" t="n">
        <v>24</v>
      </c>
      <c r="G49" s="17" t="n"/>
      <c r="H49" s="636" t="n"/>
      <c r="I49" s="17" t="n"/>
      <c r="J49" s="92" t="inlineStr">
        <is>
          <t xml:space="preserve"> тыс. т.</t>
        </is>
      </c>
    </row>
    <row r="50" ht="18.75" customHeight="1" s="904">
      <c r="B50" s="782" t="n"/>
      <c r="D50" s="15" t="n"/>
      <c r="E50" s="15" t="n"/>
      <c r="F50" s="16" t="n">
        <v>25</v>
      </c>
      <c r="G50" s="17" t="n"/>
      <c r="H50" s="636" t="n"/>
      <c r="I50" s="17" t="n"/>
      <c r="J50" s="582" t="inlineStr">
        <is>
          <t>млн куб. м</t>
        </is>
      </c>
    </row>
    <row r="51" ht="18.75" customHeight="1" s="904">
      <c r="B51" s="782" t="n"/>
      <c r="C51" s="941" t="inlineStr">
        <is>
          <t>содержание ШФЛУ</t>
        </is>
      </c>
      <c r="D51" s="15" t="n"/>
      <c r="E51" s="15" t="n"/>
      <c r="F51" s="16" t="n">
        <v>26</v>
      </c>
      <c r="G51" s="17" t="n"/>
      <c r="H51" s="636" t="n"/>
      <c r="I51" s="17" t="n"/>
      <c r="J51" s="92" t="inlineStr">
        <is>
          <t xml:space="preserve"> тыс. т.</t>
        </is>
      </c>
    </row>
    <row r="52" ht="18.75" customHeight="1" s="904">
      <c r="B52" s="782" t="n"/>
      <c r="C52" s="941" t="inlineStr">
        <is>
          <t>содержание СК</t>
        </is>
      </c>
      <c r="D52" s="15" t="n"/>
      <c r="E52" s="15" t="n"/>
      <c r="F52" s="16" t="n">
        <v>27</v>
      </c>
      <c r="G52" s="17" t="n"/>
      <c r="H52" s="636" t="n"/>
      <c r="I52" s="17" t="n"/>
      <c r="J52" s="92" t="inlineStr">
        <is>
          <t xml:space="preserve"> тыс. т.</t>
        </is>
      </c>
    </row>
    <row r="53" ht="18.75" customHeight="1" s="904">
      <c r="B53" s="782" t="n"/>
      <c r="C53" s="941" t="inlineStr">
        <is>
          <t>НК, СК, ШФЛУ на УЗПКТ-СЗСК</t>
        </is>
      </c>
      <c r="D53" s="15" t="n"/>
      <c r="E53" s="15" t="n"/>
      <c r="F53" s="16" t="n"/>
      <c r="G53" s="17">
        <f>G51+G47+G48</f>
        <v/>
      </c>
      <c r="H53" s="636" t="n"/>
      <c r="I53" s="17" t="n"/>
      <c r="J53" s="92" t="inlineStr">
        <is>
          <t xml:space="preserve"> тыс. т.</t>
        </is>
      </c>
    </row>
    <row r="54" ht="18.75" customHeight="1" s="904">
      <c r="B54" s="952" t="n"/>
      <c r="C54" s="941" t="inlineStr">
        <is>
          <t>НК, СК в адрес ГПНЗ и трейдера:</t>
        </is>
      </c>
      <c r="D54" s="15" t="n"/>
      <c r="E54" s="15" t="n"/>
      <c r="F54" s="16" t="n"/>
      <c r="G54" s="17">
        <f>G52</f>
        <v/>
      </c>
      <c r="H54" s="636" t="n"/>
      <c r="I54" s="17" t="n"/>
      <c r="J54" s="92" t="inlineStr">
        <is>
          <t xml:space="preserve"> тыс. т.</t>
        </is>
      </c>
    </row>
    <row r="55" ht="18.75" customHeight="1" s="904">
      <c r="B55" s="782" t="n"/>
      <c r="C55" s="791" t="inlineStr">
        <is>
          <t>в т.ч. СК в адрес трейдера (альт.схема)</t>
        </is>
      </c>
      <c r="D55" s="15" t="n"/>
      <c r="E55" s="15" t="n"/>
      <c r="F55" s="16" t="n"/>
      <c r="G55" s="17">
        <f>G52</f>
        <v/>
      </c>
      <c r="H55" s="636" t="n"/>
      <c r="I55" s="17" t="n"/>
      <c r="J55" s="92" t="inlineStr">
        <is>
          <t xml:space="preserve"> тыс. т.</t>
        </is>
      </c>
    </row>
    <row r="56" ht="18.75" customHeight="1" s="904">
      <c r="B56" s="782" t="n"/>
      <c r="C56" s="791" t="inlineStr">
        <is>
          <t xml:space="preserve">в т.ч. НК, СК в адрес ГПНЗ (автовывоз)  </t>
        </is>
      </c>
      <c r="D56" s="15" t="n"/>
      <c r="E56" s="15" t="n"/>
      <c r="F56" s="16" t="n"/>
      <c r="G56" s="17">
        <f>G54-G55</f>
        <v/>
      </c>
      <c r="H56" s="636" t="n"/>
      <c r="I56" s="17" t="n"/>
      <c r="J56" s="92" t="inlineStr">
        <is>
          <t xml:space="preserve"> тыс. т.</t>
        </is>
      </c>
    </row>
    <row r="57" ht="19.5" customHeight="1" s="904">
      <c r="B57" s="783" t="n"/>
      <c r="C57" s="802" t="inlineStr">
        <is>
          <t>проверка</t>
        </is>
      </c>
      <c r="D57" s="15" t="n"/>
      <c r="E57" s="15" t="n"/>
      <c r="F57" s="16" t="n"/>
      <c r="G57" s="17">
        <f>G45-G48-G49-G51-G52-(G53-G51-G48)</f>
        <v/>
      </c>
      <c r="H57" s="636" t="n"/>
      <c r="I57" s="17" t="inlineStr">
        <is>
          <t>да</t>
        </is>
      </c>
      <c r="J57" s="97" t="inlineStr">
        <is>
          <t xml:space="preserve"> тыс. т.</t>
        </is>
      </c>
    </row>
    <row r="58" ht="18.75" customHeight="1" s="904">
      <c r="B58" s="952" t="inlineStr">
        <is>
          <t>1.1.1.8</t>
        </is>
      </c>
      <c r="C58" s="799" t="inlineStr">
        <is>
          <t>Уренгойское НГКМ (Ачимовские отл. 4 уч.)</t>
        </is>
      </c>
      <c r="D58" s="15" t="n"/>
      <c r="E58" s="15" t="n"/>
      <c r="F58" s="16" t="n"/>
      <c r="G58" s="17" t="inlineStr">
        <is>
          <t>8_100330641</t>
        </is>
      </c>
      <c r="H58" s="636" t="n"/>
      <c r="I58" s="17" t="n"/>
      <c r="J58" s="92" t="inlineStr">
        <is>
          <t xml:space="preserve"> тыс. т.</t>
        </is>
      </c>
    </row>
    <row r="59" ht="18.75" customHeight="1" s="904">
      <c r="B59" s="952" t="inlineStr">
        <is>
          <t>1.1.1.9</t>
        </is>
      </c>
      <c r="C59" s="799" t="inlineStr">
        <is>
          <t>Уренгойское НГКМ (Ачимовские отл. 5 уч.)</t>
        </is>
      </c>
      <c r="D59" s="15" t="n"/>
      <c r="E59" s="15" t="n"/>
      <c r="F59" s="16" t="n"/>
      <c r="G59" s="17" t="inlineStr">
        <is>
          <t>8_100330642</t>
        </is>
      </c>
      <c r="H59" s="636" t="n"/>
      <c r="I59" s="17" t="n"/>
      <c r="J59" s="92" t="inlineStr">
        <is>
          <t xml:space="preserve"> тыс. т.</t>
        </is>
      </c>
    </row>
    <row r="60" ht="18.75" customHeight="1" s="904">
      <c r="B60" s="952" t="inlineStr">
        <is>
          <t>1.1.1.10</t>
        </is>
      </c>
      <c r="C60" s="799" t="inlineStr">
        <is>
          <t>Песцовое НГКМ (ДРОД)</t>
        </is>
      </c>
      <c r="D60" s="15" t="n"/>
      <c r="E60" s="15" t="n"/>
      <c r="F60" s="16" t="n"/>
      <c r="G60" s="17">
        <f>G61+G62</f>
        <v/>
      </c>
      <c r="H60" s="636" t="n"/>
      <c r="I60" s="17" t="n"/>
      <c r="J60" s="92" t="inlineStr">
        <is>
          <t xml:space="preserve"> тыс. т.</t>
        </is>
      </c>
    </row>
    <row r="61" ht="18.75" customHeight="1" s="904">
      <c r="B61" s="782" t="n"/>
      <c r="C61" s="941" t="inlineStr">
        <is>
          <t>Песцовое НГКМ газоконд. скваж. (ДРОД)</t>
        </is>
      </c>
      <c r="D61" s="15" t="n"/>
      <c r="E61" s="15" t="n"/>
      <c r="F61" s="16" t="n">
        <v>28</v>
      </c>
      <c r="G61" s="17" t="n"/>
      <c r="H61" s="636" t="n"/>
      <c r="I61" s="17" t="n"/>
      <c r="J61" s="92" t="inlineStr">
        <is>
          <t xml:space="preserve"> тыс. т.</t>
        </is>
      </c>
    </row>
    <row r="62" ht="18.75" customHeight="1" s="904">
      <c r="B62" s="782" t="n"/>
      <c r="C62" s="941" t="inlineStr">
        <is>
          <t>Песцовое НГКМ нефтяной конденсат (продукт переработки ПНГ)</t>
        </is>
      </c>
      <c r="D62" s="15" t="n"/>
      <c r="E62" s="15" t="n"/>
      <c r="F62" s="16" t="n">
        <v>29</v>
      </c>
      <c r="G62" s="17" t="n"/>
      <c r="H62" s="636" t="n"/>
      <c r="I62" s="17" t="n"/>
      <c r="J62" s="92" t="inlineStr">
        <is>
          <t xml:space="preserve"> тыс. т.</t>
        </is>
      </c>
    </row>
    <row r="63" ht="18.75" customHeight="1" s="904">
      <c r="B63" s="782" t="n"/>
      <c r="C63" s="941" t="inlineStr">
        <is>
          <t>поставка НК в адрес ГПНЗ</t>
        </is>
      </c>
      <c r="D63" s="15" t="n"/>
      <c r="E63" s="15" t="n"/>
      <c r="F63" s="16" t="n">
        <v>30</v>
      </c>
      <c r="G63" s="17" t="n"/>
      <c r="H63" s="636" t="n"/>
      <c r="I63" s="17" t="n"/>
      <c r="J63" s="92" t="inlineStr">
        <is>
          <t xml:space="preserve"> тыс. т.</t>
        </is>
      </c>
    </row>
    <row r="64" ht="18.75" customHeight="1" s="904">
      <c r="B64" s="782" t="n"/>
      <c r="C64" s="941" t="inlineStr">
        <is>
          <t>содержание ГВ</t>
        </is>
      </c>
      <c r="D64" s="15" t="n"/>
      <c r="E64" s="15" t="n"/>
      <c r="F64" s="16" t="n">
        <v>31</v>
      </c>
      <c r="G64" s="17" t="n"/>
      <c r="H64" s="636" t="n"/>
      <c r="I64" s="17" t="n"/>
      <c r="J64" s="92" t="inlineStr">
        <is>
          <t xml:space="preserve"> тыс. т.</t>
        </is>
      </c>
    </row>
    <row r="65" ht="18.75" customHeight="1" s="904">
      <c r="B65" s="782" t="n"/>
      <c r="D65" s="15" t="n"/>
      <c r="E65" s="15" t="n"/>
      <c r="F65" s="16" t="n">
        <v>32</v>
      </c>
      <c r="G65" s="17" t="n"/>
      <c r="H65" s="636" t="n"/>
      <c r="I65" s="17" t="n"/>
      <c r="J65" s="582" t="inlineStr">
        <is>
          <t>млн куб. м</t>
        </is>
      </c>
    </row>
    <row r="66" ht="18.75" customHeight="1" s="904">
      <c r="B66" s="782" t="n"/>
      <c r="C66" s="941" t="inlineStr">
        <is>
          <t>содержание ГВ (нефтяной конденсат, продукт переработки)</t>
        </is>
      </c>
      <c r="D66" s="15" t="n"/>
      <c r="E66" s="15" t="n"/>
      <c r="F66" s="16" t="n">
        <v>33</v>
      </c>
      <c r="G66" s="17" t="n"/>
      <c r="H66" s="636" t="n"/>
      <c r="I66" s="17" t="n"/>
      <c r="J66" s="92" t="inlineStr">
        <is>
          <t xml:space="preserve"> тыс. т.</t>
        </is>
      </c>
    </row>
    <row r="67" ht="18.75" customHeight="1" s="904">
      <c r="B67" s="782" t="n"/>
      <c r="D67" s="15" t="n"/>
      <c r="E67" s="15" t="n"/>
      <c r="F67" s="16" t="n">
        <v>34</v>
      </c>
      <c r="G67" s="17" t="n"/>
      <c r="H67" s="636" t="n"/>
      <c r="I67" s="17" t="n"/>
      <c r="J67" s="582" t="inlineStr">
        <is>
          <t>млн куб. м</t>
        </is>
      </c>
    </row>
    <row r="68" ht="18.75" customHeight="1" s="904">
      <c r="B68" s="782" t="n"/>
      <c r="C68" s="941" t="inlineStr">
        <is>
          <t>содержание ШФЛУ</t>
        </is>
      </c>
      <c r="D68" s="15" t="n"/>
      <c r="E68" s="15" t="n"/>
      <c r="F68" s="16" t="n">
        <v>35</v>
      </c>
      <c r="G68" s="17" t="n"/>
      <c r="H68" s="636" t="n"/>
      <c r="I68" s="17" t="n"/>
      <c r="J68" s="92" t="inlineStr">
        <is>
          <t xml:space="preserve"> тыс. т.</t>
        </is>
      </c>
    </row>
    <row r="69" ht="18.75" customHeight="1" s="904">
      <c r="B69" s="782" t="n"/>
      <c r="C69" s="941" t="inlineStr">
        <is>
          <t>содержание ШФЛУ (нефтяной конденсат, продукт переработки)</t>
        </is>
      </c>
      <c r="D69" s="15" t="n"/>
      <c r="E69" s="15" t="n"/>
      <c r="F69" s="16" t="n">
        <v>36</v>
      </c>
      <c r="G69" s="17" t="n"/>
      <c r="H69" s="636" t="n"/>
      <c r="I69" s="17" t="n"/>
      <c r="J69" s="92" t="inlineStr">
        <is>
          <t xml:space="preserve"> тыс. т.</t>
        </is>
      </c>
    </row>
    <row r="70" ht="18.75" customHeight="1" s="904">
      <c r="B70" s="952" t="n"/>
      <c r="C70" s="941" t="inlineStr">
        <is>
          <t>содержание СК</t>
        </is>
      </c>
      <c r="D70" s="15" t="n"/>
      <c r="E70" s="15" t="n"/>
      <c r="F70" s="16" t="n"/>
      <c r="G70" s="17">
        <f>G61-G64-G68</f>
        <v/>
      </c>
      <c r="H70" s="636" t="n"/>
      <c r="I70" s="17" t="n"/>
      <c r="J70" s="92" t="inlineStr">
        <is>
          <t xml:space="preserve"> тыс. т.</t>
        </is>
      </c>
    </row>
    <row r="71" ht="18.75" customHeight="1" s="904">
      <c r="B71" s="952" t="n"/>
      <c r="C71" s="941" t="inlineStr">
        <is>
          <t>содержание СК (нефтяной конденсат, продукт переработки)</t>
        </is>
      </c>
      <c r="D71" s="15" t="n"/>
      <c r="E71" s="15" t="n"/>
      <c r="F71" s="16" t="n"/>
      <c r="G71" s="17">
        <f>G62-G66-G69</f>
        <v/>
      </c>
      <c r="H71" s="636" t="n"/>
      <c r="I71" s="17" t="n"/>
      <c r="J71" s="92" t="inlineStr">
        <is>
          <t xml:space="preserve"> тыс. т.</t>
        </is>
      </c>
    </row>
    <row r="72" ht="18.75" customHeight="1" s="904">
      <c r="B72" s="952" t="n"/>
      <c r="C72" s="941" t="inlineStr">
        <is>
          <t>НК, СК, ШФЛУ на УЗПКТ-СЗСК</t>
        </is>
      </c>
      <c r="D72" s="15" t="n"/>
      <c r="E72" s="15" t="n"/>
      <c r="F72" s="16" t="n"/>
      <c r="G72" s="17">
        <f>G68+G69</f>
        <v/>
      </c>
      <c r="H72" s="636" t="n"/>
      <c r="I72" s="17" t="n"/>
      <c r="J72" s="92" t="inlineStr">
        <is>
          <t xml:space="preserve"> тыс. т.</t>
        </is>
      </c>
    </row>
    <row r="73" ht="18.75" customHeight="1" s="904">
      <c r="B73" s="952" t="n"/>
      <c r="C73" s="941" t="inlineStr">
        <is>
          <t>НК, СК в адрес ГПНЗ и трейдера:</t>
        </is>
      </c>
      <c r="D73" s="15" t="n"/>
      <c r="E73" s="15" t="n"/>
      <c r="F73" s="16" t="n"/>
      <c r="G73" s="17">
        <f>G70+G63+G71</f>
        <v/>
      </c>
      <c r="H73" s="636" t="n"/>
      <c r="I73" s="17" t="n"/>
      <c r="J73" s="92" t="inlineStr">
        <is>
          <t xml:space="preserve"> тыс. т.</t>
        </is>
      </c>
    </row>
    <row r="74" ht="18.75" customHeight="1" s="904">
      <c r="B74" s="952" t="n"/>
      <c r="C74" s="791" t="inlineStr">
        <is>
          <t>в т.ч. СК в адрес трейдера (альт.схема)</t>
        </is>
      </c>
      <c r="D74" s="15" t="n"/>
      <c r="E74" s="15" t="n"/>
      <c r="F74" s="16" t="n"/>
      <c r="G74" s="17">
        <f>G70+G63+G71</f>
        <v/>
      </c>
      <c r="H74" s="636" t="n"/>
      <c r="I74" s="17" t="n"/>
      <c r="J74" s="92" t="inlineStr">
        <is>
          <t xml:space="preserve"> тыс. т.</t>
        </is>
      </c>
    </row>
    <row r="75" ht="18.75" customHeight="1" s="904">
      <c r="B75" s="782" t="n"/>
      <c r="C75" s="791" t="inlineStr">
        <is>
          <t xml:space="preserve">в т.ч. НК, СК в адрес ГПНЗ (автовывоз)  </t>
        </is>
      </c>
      <c r="D75" s="15" t="n"/>
      <c r="E75" s="15" t="n"/>
      <c r="F75" s="16" t="n">
        <v>37</v>
      </c>
      <c r="G75" s="17" t="n"/>
      <c r="H75" s="636" t="n"/>
      <c r="I75" s="17" t="n"/>
      <c r="J75" s="92" t="inlineStr">
        <is>
          <t xml:space="preserve"> тыс. т.</t>
        </is>
      </c>
    </row>
    <row r="76" ht="18.75" customHeight="1" s="904">
      <c r="B76" s="98" t="n"/>
      <c r="C76" s="802" t="inlineStr">
        <is>
          <t>проверка</t>
        </is>
      </c>
      <c r="D76" s="15" t="n"/>
      <c r="E76" s="15" t="n"/>
      <c r="F76" s="16" t="n"/>
      <c r="G76" s="17">
        <f>G60-G63-G64-G68-G70-G66-G69-G71</f>
        <v/>
      </c>
      <c r="H76" s="636" t="n"/>
      <c r="I76" s="17" t="inlineStr">
        <is>
          <t>да</t>
        </is>
      </c>
      <c r="J76" s="97" t="inlineStr">
        <is>
          <t xml:space="preserve"> тыс. т.</t>
        </is>
      </c>
    </row>
    <row r="77" ht="18.75" customHeight="1" s="904">
      <c r="B77" s="952" t="inlineStr">
        <is>
          <t>1.1.1.11</t>
        </is>
      </c>
      <c r="C77" s="799" t="inlineStr">
        <is>
          <t>Песцовое НГКМ (ачим) (ДРОД)</t>
        </is>
      </c>
      <c r="D77" s="15" t="n"/>
      <c r="E77" s="15" t="n"/>
      <c r="F77" s="16" t="n"/>
      <c r="G77" s="17">
        <f>G78+G79</f>
        <v/>
      </c>
      <c r="H77" s="636" t="n"/>
      <c r="I77" s="17" t="n"/>
      <c r="J77" s="92" t="inlineStr">
        <is>
          <t xml:space="preserve"> тыс. т.</t>
        </is>
      </c>
    </row>
    <row r="78" ht="18.75" customHeight="1" s="904">
      <c r="B78" s="782" t="n"/>
      <c r="C78" s="941" t="inlineStr">
        <is>
          <t>Песцовое НГКМ газоконд. скваж. (ДРОД)</t>
        </is>
      </c>
      <c r="D78" s="15" t="n"/>
      <c r="E78" s="15" t="n"/>
      <c r="F78" s="16" t="n">
        <v>38</v>
      </c>
      <c r="G78" s="17" t="n"/>
      <c r="H78" s="636" t="n"/>
      <c r="I78" s="17" t="n"/>
      <c r="J78" s="92" t="inlineStr">
        <is>
          <t xml:space="preserve"> тыс. т.</t>
        </is>
      </c>
    </row>
    <row r="79" ht="18.75" customHeight="1" s="904">
      <c r="B79" s="782" t="n"/>
      <c r="C79" s="941" t="inlineStr">
        <is>
          <t>Песцовое НГКМ нефтяной конденсат (продукт переработки ПНГ)</t>
        </is>
      </c>
      <c r="D79" s="15" t="n"/>
      <c r="E79" s="15" t="n"/>
      <c r="F79" s="16" t="n">
        <v>39</v>
      </c>
      <c r="G79" s="17" t="n"/>
      <c r="H79" s="636" t="n"/>
      <c r="I79" s="17" t="n"/>
      <c r="J79" s="92" t="inlineStr">
        <is>
          <t xml:space="preserve"> тыс. т.</t>
        </is>
      </c>
    </row>
    <row r="80" ht="18.75" customHeight="1" s="904">
      <c r="B80" s="782" t="n"/>
      <c r="C80" s="941" t="inlineStr">
        <is>
          <t>поставка НК в адрес ГПНЗ</t>
        </is>
      </c>
      <c r="D80" s="15" t="n"/>
      <c r="E80" s="15" t="n"/>
      <c r="F80" s="16" t="n">
        <v>40</v>
      </c>
      <c r="G80" s="17" t="n"/>
      <c r="H80" s="636" t="n"/>
      <c r="I80" s="17" t="n"/>
      <c r="J80" s="92" t="inlineStr">
        <is>
          <t xml:space="preserve"> тыс. т.</t>
        </is>
      </c>
    </row>
    <row r="81" ht="18.75" customHeight="1" s="904">
      <c r="B81" s="782" t="n"/>
      <c r="C81" s="941" t="inlineStr">
        <is>
          <t>содержание ГВ</t>
        </is>
      </c>
      <c r="D81" s="15" t="n"/>
      <c r="E81" s="15" t="n"/>
      <c r="F81" s="16" t="n">
        <v>41</v>
      </c>
      <c r="G81" s="17" t="n"/>
      <c r="H81" s="636" t="n"/>
      <c r="I81" s="17" t="n"/>
      <c r="J81" s="92" t="inlineStr">
        <is>
          <t xml:space="preserve"> тыс. т.</t>
        </is>
      </c>
    </row>
    <row r="82" ht="18.75" customHeight="1" s="904">
      <c r="B82" s="782" t="n"/>
      <c r="D82" s="15" t="n"/>
      <c r="E82" s="15" t="n"/>
      <c r="F82" s="16" t="n">
        <v>42</v>
      </c>
      <c r="G82" s="17" t="n"/>
      <c r="H82" s="636" t="n"/>
      <c r="I82" s="17" t="n"/>
      <c r="J82" s="582" t="inlineStr">
        <is>
          <t>млн куб. м</t>
        </is>
      </c>
    </row>
    <row r="83" ht="18.75" customHeight="1" s="904">
      <c r="B83" s="782" t="n"/>
      <c r="C83" s="941" t="inlineStr">
        <is>
          <t>содержание ШФЛУ</t>
        </is>
      </c>
      <c r="D83" s="15" t="n"/>
      <c r="E83" s="15" t="n"/>
      <c r="F83" s="16" t="n">
        <v>43</v>
      </c>
      <c r="G83" s="17" t="n"/>
      <c r="H83" s="636" t="n"/>
      <c r="I83" s="17" t="n"/>
      <c r="J83" s="92" t="inlineStr">
        <is>
          <t xml:space="preserve"> тыс. т.</t>
        </is>
      </c>
    </row>
    <row r="84" ht="18.75" customHeight="1" s="904">
      <c r="B84" s="782" t="n"/>
      <c r="C84" s="941" t="inlineStr">
        <is>
          <t>содержание СК</t>
        </is>
      </c>
      <c r="D84" s="15" t="n"/>
      <c r="E84" s="15" t="n"/>
      <c r="F84" s="16" t="n">
        <v>44</v>
      </c>
      <c r="G84" s="17" t="n"/>
      <c r="H84" s="636" t="n"/>
      <c r="I84" s="17" t="n"/>
      <c r="J84" s="92" t="inlineStr">
        <is>
          <t xml:space="preserve"> тыс. т.</t>
        </is>
      </c>
    </row>
    <row r="85" ht="18.75" customHeight="1" s="904">
      <c r="B85" s="952" t="n"/>
      <c r="C85" s="941" t="inlineStr">
        <is>
          <t>НК, СК, ШФЛУ на УЗПКТ-СЗСК</t>
        </is>
      </c>
      <c r="D85" s="15" t="n"/>
      <c r="E85" s="15" t="n"/>
      <c r="F85" s="16" t="n"/>
      <c r="G85" s="17">
        <f>G83</f>
        <v/>
      </c>
      <c r="H85" s="636" t="n"/>
      <c r="I85" s="17" t="n"/>
      <c r="J85" s="92" t="inlineStr">
        <is>
          <t xml:space="preserve"> тыс. т.</t>
        </is>
      </c>
    </row>
    <row r="86" ht="18.75" customHeight="1" s="904">
      <c r="B86" s="952" t="n"/>
      <c r="C86" s="941" t="inlineStr">
        <is>
          <t>НК, СК в адрес ГПНЗ и трейдера:</t>
        </is>
      </c>
      <c r="D86" s="15" t="n"/>
      <c r="E86" s="15" t="n"/>
      <c r="F86" s="16" t="n"/>
      <c r="G86" s="17">
        <f>G84+G80</f>
        <v/>
      </c>
      <c r="H86" s="636" t="n"/>
      <c r="I86" s="17" t="n"/>
      <c r="J86" s="92" t="inlineStr">
        <is>
          <t xml:space="preserve"> тыс. т.</t>
        </is>
      </c>
    </row>
    <row r="87" ht="18.75" customHeight="1" s="904">
      <c r="B87" s="782" t="n"/>
      <c r="C87" s="791" t="inlineStr">
        <is>
          <t>в т.ч. СК в адрес трейдера (альт.схема)</t>
        </is>
      </c>
      <c r="D87" s="15" t="n"/>
      <c r="E87" s="15" t="n"/>
      <c r="F87" s="16" t="n"/>
      <c r="G87" s="17">
        <f>G84</f>
        <v/>
      </c>
      <c r="H87" s="636" t="n"/>
      <c r="I87" s="17" t="n"/>
      <c r="J87" s="92" t="inlineStr">
        <is>
          <t xml:space="preserve"> тыс. т.</t>
        </is>
      </c>
    </row>
    <row r="88" ht="18.75" customHeight="1" s="904">
      <c r="B88" s="782" t="n"/>
      <c r="C88" s="791" t="inlineStr">
        <is>
          <t xml:space="preserve">в т.ч. НК, СК в адрес ГПНЗ (автовывоз)  </t>
        </is>
      </c>
      <c r="D88" s="15" t="n"/>
      <c r="E88" s="15" t="n"/>
      <c r="F88" s="16" t="n">
        <v>45</v>
      </c>
      <c r="G88" s="17" t="n"/>
      <c r="H88" s="636" t="n"/>
      <c r="I88" s="17" t="n"/>
      <c r="J88" s="92" t="inlineStr">
        <is>
          <t xml:space="preserve"> тыс. т.</t>
        </is>
      </c>
    </row>
    <row r="89" ht="18.75" customHeight="1" s="904">
      <c r="B89" s="98" t="n"/>
      <c r="C89" s="802" t="inlineStr">
        <is>
          <t>проверка</t>
        </is>
      </c>
      <c r="D89" s="15" t="n"/>
      <c r="E89" s="15" t="n"/>
      <c r="F89" s="16" t="n"/>
      <c r="G89" s="17">
        <f>G77-G80-G81-G83-G84-(G85-G83)</f>
        <v/>
      </c>
      <c r="H89" s="636" t="n"/>
      <c r="I89" s="17" t="inlineStr">
        <is>
          <t>да</t>
        </is>
      </c>
      <c r="J89" s="97" t="inlineStr">
        <is>
          <t xml:space="preserve"> тыс. т.</t>
        </is>
      </c>
    </row>
    <row r="90" ht="18.75" customHeight="1" s="904">
      <c r="B90" s="952" t="inlineStr">
        <is>
          <t>1.1.2</t>
        </is>
      </c>
      <c r="C90" s="99" t="inlineStr">
        <is>
          <t>ООО "Газпром добыча Ямбург"</t>
        </is>
      </c>
      <c r="D90" s="15" t="n"/>
      <c r="E90" s="15" t="n"/>
      <c r="F90" s="16" t="n"/>
      <c r="G90" s="17">
        <f>G91+G92</f>
        <v/>
      </c>
      <c r="H90" s="636" t="n"/>
      <c r="I90" s="17" t="n"/>
      <c r="J90" s="92" t="inlineStr">
        <is>
          <t xml:space="preserve"> тыс. т.</t>
        </is>
      </c>
    </row>
    <row r="91" ht="18.75" customHeight="1" s="904">
      <c r="B91" s="952" t="n"/>
      <c r="C91" s="801" t="inlineStr">
        <is>
          <t>Заполярное НГКМ</t>
        </is>
      </c>
      <c r="D91" s="15" t="n"/>
      <c r="E91" s="15" t="n"/>
      <c r="F91" s="16" t="n"/>
      <c r="G91" s="17" t="inlineStr">
        <is>
          <t>7_100330587</t>
        </is>
      </c>
      <c r="H91" s="636" t="n"/>
      <c r="I91" s="17" t="n"/>
      <c r="J91" s="92" t="inlineStr">
        <is>
          <t xml:space="preserve"> тыс. т.</t>
        </is>
      </c>
    </row>
    <row r="92" ht="18.75" customHeight="1" s="904">
      <c r="B92" s="952" t="n"/>
      <c r="C92" s="801" t="inlineStr">
        <is>
          <t>Ямбургское НГКМ</t>
        </is>
      </c>
      <c r="D92" s="15" t="n"/>
      <c r="E92" s="15" t="n"/>
      <c r="F92" s="16" t="n"/>
      <c r="G92" s="17" t="inlineStr">
        <is>
          <t>7_100330588</t>
        </is>
      </c>
      <c r="H92" s="636" t="n"/>
      <c r="I92" s="17" t="n"/>
      <c r="J92" s="92" t="inlineStr">
        <is>
          <t xml:space="preserve"> тыс. т.</t>
        </is>
      </c>
    </row>
    <row r="93" ht="18.75" customHeight="1" s="904">
      <c r="B93" s="952" t="inlineStr">
        <is>
          <t>1.1.3</t>
        </is>
      </c>
      <c r="C93" s="99" t="inlineStr">
        <is>
          <t>ООО "Газпром добыча Ноябрьск"</t>
        </is>
      </c>
      <c r="D93" s="15" t="n"/>
      <c r="E93" s="15" t="n"/>
      <c r="F93" s="16" t="n"/>
      <c r="G93" s="17">
        <f>G94</f>
        <v/>
      </c>
      <c r="H93" s="636" t="n"/>
      <c r="I93" s="17" t="n"/>
      <c r="J93" s="92" t="inlineStr">
        <is>
          <t xml:space="preserve"> тыс. т.</t>
        </is>
      </c>
    </row>
    <row r="94" ht="18.75" customHeight="1" s="904">
      <c r="B94" s="952" t="n"/>
      <c r="C94" s="801" t="inlineStr">
        <is>
          <t>Западно-Таркосалинское НГКМ</t>
        </is>
      </c>
      <c r="D94" s="15" t="n"/>
      <c r="E94" s="15" t="n"/>
      <c r="F94" s="16" t="n"/>
      <c r="G94" s="17" t="inlineStr">
        <is>
          <t>10_100330719</t>
        </is>
      </c>
      <c r="H94" s="636" t="n"/>
      <c r="I94" s="17" t="n"/>
      <c r="J94" s="92" t="inlineStr">
        <is>
          <t xml:space="preserve"> тыс. т.</t>
        </is>
      </c>
    </row>
    <row r="95" ht="18.75" customHeight="1" s="904">
      <c r="B95" s="952" t="n"/>
      <c r="C95" s="797" t="inlineStr">
        <is>
          <t>в т.ч. поставка на СЗСК</t>
        </is>
      </c>
      <c r="D95" s="15" t="n"/>
      <c r="E95" s="15" t="n"/>
      <c r="F95" s="16" t="n"/>
      <c r="G95" s="17">
        <f>G94</f>
        <v/>
      </c>
      <c r="H95" s="636" t="n"/>
      <c r="I95" s="17" t="n"/>
      <c r="J95" s="92" t="inlineStr">
        <is>
          <t xml:space="preserve"> тыс. т.</t>
        </is>
      </c>
    </row>
    <row r="96" ht="18.75" customHeight="1" s="904">
      <c r="B96" s="952" t="n"/>
      <c r="C96" s="797" t="inlineStr">
        <is>
          <t xml:space="preserve">в т.ч. поставка в систему трубопроводов ПАО "Транснефть" </t>
        </is>
      </c>
      <c r="D96" s="15" t="n"/>
      <c r="E96" s="15" t="n"/>
      <c r="F96" s="16" t="n"/>
      <c r="G96" s="17">
        <f>G94-G95</f>
        <v/>
      </c>
      <c r="H96" s="636" t="n"/>
      <c r="I96" s="17" t="n"/>
      <c r="J96" s="92" t="inlineStr">
        <is>
          <t xml:space="preserve"> тыс. т.</t>
        </is>
      </c>
    </row>
    <row r="97" ht="18.75" customHeight="1" s="904">
      <c r="B97" s="952" t="inlineStr">
        <is>
          <t>1.1.4</t>
        </is>
      </c>
      <c r="C97" s="99" t="inlineStr">
        <is>
          <t xml:space="preserve">ООО "Газпром добыча Надым" </t>
        </is>
      </c>
      <c r="D97" s="15" t="n"/>
      <c r="E97" s="15" t="n"/>
      <c r="F97" s="16" t="n"/>
      <c r="G97" s="17">
        <f>G98+G99+G100+G101+G102+G103</f>
        <v/>
      </c>
      <c r="H97" s="636" t="n"/>
      <c r="I97" s="17" t="n"/>
      <c r="J97" s="92" t="inlineStr">
        <is>
          <t xml:space="preserve"> тыс. т.</t>
        </is>
      </c>
    </row>
    <row r="98" ht="18.75" customHeight="1" s="904">
      <c r="B98" s="952" t="n"/>
      <c r="C98" s="801" t="inlineStr">
        <is>
          <t>Медвежье ГКМ (Ныдинская пл.)</t>
        </is>
      </c>
      <c r="D98" s="15" t="n"/>
      <c r="E98" s="15" t="n"/>
      <c r="F98" s="16" t="n"/>
      <c r="G98" s="17" t="inlineStr">
        <is>
          <t>11_100330686</t>
        </is>
      </c>
      <c r="H98" s="636" t="n"/>
      <c r="I98" s="17" t="n"/>
      <c r="J98" s="92" t="inlineStr">
        <is>
          <t xml:space="preserve"> тыс. т.</t>
        </is>
      </c>
    </row>
    <row r="99" ht="18.75" customHeight="1" s="904">
      <c r="B99" s="952" t="n"/>
      <c r="C99" s="801" t="inlineStr">
        <is>
          <t>Юбилейное НГКМ</t>
        </is>
      </c>
      <c r="D99" s="15" t="n"/>
      <c r="E99" s="15" t="n"/>
      <c r="F99" s="16" t="n"/>
      <c r="G99" s="17" t="inlineStr">
        <is>
          <t>11_100330687</t>
        </is>
      </c>
      <c r="H99" s="636" t="n"/>
      <c r="I99" s="17" t="n"/>
      <c r="J99" s="92" t="inlineStr">
        <is>
          <t xml:space="preserve"> тыс. т.</t>
        </is>
      </c>
    </row>
    <row r="100" ht="18.75" customHeight="1" s="904">
      <c r="B100" s="952" t="n"/>
      <c r="C100" s="801" t="inlineStr">
        <is>
          <t>Бованенковское НГКМ</t>
        </is>
      </c>
      <c r="D100" s="15" t="n"/>
      <c r="E100" s="15" t="n"/>
      <c r="F100" s="16" t="n"/>
      <c r="G100" s="17" t="inlineStr">
        <is>
          <t>11_100330688</t>
        </is>
      </c>
      <c r="H100" s="636" t="n"/>
      <c r="I100" s="17" t="n"/>
      <c r="J100" s="92" t="inlineStr">
        <is>
          <t xml:space="preserve"> тыс. т.</t>
        </is>
      </c>
    </row>
    <row r="101" ht="18.75" customHeight="1" s="904">
      <c r="B101" s="952" t="n"/>
      <c r="C101" s="801" t="inlineStr">
        <is>
          <t>Харасавэйское ГКМ (апт)</t>
        </is>
      </c>
      <c r="D101" s="15" t="n"/>
      <c r="E101" s="15" t="n"/>
      <c r="F101" s="16" t="n"/>
      <c r="G101" s="17" t="inlineStr">
        <is>
          <t>11_100333683</t>
        </is>
      </c>
      <c r="H101" s="636" t="n"/>
      <c r="I101" s="17" t="n"/>
      <c r="J101" s="92" t="inlineStr">
        <is>
          <t xml:space="preserve"> тыс. т.</t>
        </is>
      </c>
    </row>
    <row r="102" ht="18.75" customHeight="1" s="904">
      <c r="B102" s="952" t="n"/>
      <c r="C102" s="801" t="inlineStr">
        <is>
          <t>Бованенковское НГКМ (неоком-юра ДРОД)</t>
        </is>
      </c>
      <c r="D102" s="15" t="n"/>
      <c r="E102" s="15" t="n"/>
      <c r="F102" s="16" t="n"/>
      <c r="G102" s="17" t="inlineStr">
        <is>
          <t>11_100335593</t>
        </is>
      </c>
      <c r="H102" s="636" t="n"/>
      <c r="I102" s="17" t="n"/>
      <c r="J102" s="92" t="inlineStr">
        <is>
          <t xml:space="preserve"> тыс. т.</t>
        </is>
      </c>
    </row>
    <row r="103" ht="18.75" customHeight="1" s="904">
      <c r="B103" s="952" t="n"/>
      <c r="C103" s="801" t="inlineStr">
        <is>
          <t>Харасавэйское ГКМ (неоком-юра ДРОД)</t>
        </is>
      </c>
      <c r="D103" s="15" t="n"/>
      <c r="E103" s="15" t="n"/>
      <c r="F103" s="16" t="n"/>
      <c r="G103" s="17" t="inlineStr">
        <is>
          <t>11_100335658</t>
        </is>
      </c>
      <c r="H103" s="636" t="n"/>
      <c r="I103" s="17" t="n"/>
      <c r="J103" s="92" t="inlineStr">
        <is>
          <t xml:space="preserve"> тыс. т.</t>
        </is>
      </c>
    </row>
    <row r="104" ht="19.5" customHeight="1" s="904">
      <c r="B104" s="952" t="n"/>
      <c r="C104" s="100" t="inlineStr">
        <is>
          <t>Стабильный конденсат (товар)</t>
        </is>
      </c>
      <c r="D104" s="15" t="n"/>
      <c r="E104" s="15" t="n"/>
      <c r="F104" s="16" t="n"/>
      <c r="G104" s="17">
        <f>G105+G106+G107+G108</f>
        <v/>
      </c>
      <c r="H104" s="636" t="n"/>
      <c r="I104" s="17" t="n"/>
      <c r="J104" s="92" t="inlineStr">
        <is>
          <t xml:space="preserve"> тыс. т.</t>
        </is>
      </c>
    </row>
    <row r="105" ht="18.75" customHeight="1" s="904">
      <c r="B105" s="952" t="n"/>
      <c r="C105" s="797" t="inlineStr">
        <is>
          <t>Медвежье ГКМ (Ныдинская пл.)</t>
        </is>
      </c>
      <c r="D105" s="15" t="n"/>
      <c r="E105" s="15" t="n"/>
      <c r="F105" s="16" t="n"/>
      <c r="G105" s="17" t="inlineStr">
        <is>
          <t>11_100330693</t>
        </is>
      </c>
      <c r="H105" s="636" t="n"/>
      <c r="I105" s="17" t="n"/>
      <c r="J105" s="92" t="inlineStr">
        <is>
          <t xml:space="preserve"> тыс. т.</t>
        </is>
      </c>
    </row>
    <row r="106" ht="18.75" customHeight="1" s="904">
      <c r="B106" s="952" t="n"/>
      <c r="C106" s="797" t="inlineStr">
        <is>
          <t>Юбилейное НГКМ</t>
        </is>
      </c>
      <c r="D106" s="15" t="n"/>
      <c r="E106" s="15" t="n"/>
      <c r="F106" s="16" t="n"/>
      <c r="G106" s="17" t="inlineStr">
        <is>
          <t>11_100330694</t>
        </is>
      </c>
      <c r="H106" s="636" t="n"/>
      <c r="I106" s="17" t="n"/>
      <c r="J106" s="92" t="inlineStr">
        <is>
          <t xml:space="preserve"> тыс. т.</t>
        </is>
      </c>
    </row>
    <row r="107" ht="18.75" customHeight="1" s="904">
      <c r="B107" s="952" t="n"/>
      <c r="C107" s="797" t="inlineStr">
        <is>
          <t>Бованенковское НГКМ</t>
        </is>
      </c>
      <c r="D107" s="15" t="n"/>
      <c r="E107" s="15" t="n"/>
      <c r="F107" s="16" t="n"/>
      <c r="G107" s="17" t="inlineStr">
        <is>
          <t>11_100330695</t>
        </is>
      </c>
      <c r="H107" s="636" t="n"/>
      <c r="I107" s="17" t="n"/>
      <c r="J107" s="92" t="inlineStr">
        <is>
          <t xml:space="preserve"> тыс. т.</t>
        </is>
      </c>
    </row>
    <row r="108" ht="18.75" customHeight="1" s="904">
      <c r="B108" s="952" t="n"/>
      <c r="C108" s="797" t="inlineStr">
        <is>
          <t>Харасавэйское ГКМ (апт)</t>
        </is>
      </c>
      <c r="D108" s="15" t="n"/>
      <c r="E108" s="15" t="n"/>
      <c r="F108" s="16" t="n"/>
      <c r="G108" s="17" t="inlineStr">
        <is>
          <t>11_100333685</t>
        </is>
      </c>
      <c r="H108" s="636" t="n"/>
      <c r="I108" s="17" t="n"/>
      <c r="J108" s="92" t="inlineStr">
        <is>
          <t xml:space="preserve"> тыс. т.</t>
        </is>
      </c>
    </row>
    <row r="109" ht="18.75" customHeight="1" s="904">
      <c r="B109" s="952" t="inlineStr">
        <is>
          <t>1.1.5</t>
        </is>
      </c>
      <c r="C109" s="99" t="inlineStr">
        <is>
          <t>АО "Сибнефтегаз"</t>
        </is>
      </c>
      <c r="D109" s="15" t="n"/>
      <c r="E109" s="15" t="n"/>
      <c r="F109" s="16" t="n"/>
      <c r="G109" s="17" t="inlineStr">
        <is>
          <t>4_100331811</t>
        </is>
      </c>
      <c r="H109" s="636" t="n"/>
      <c r="I109" s="17" t="n"/>
      <c r="J109" s="92" t="inlineStr">
        <is>
          <t xml:space="preserve"> тыс. т.</t>
        </is>
      </c>
    </row>
    <row r="110" ht="18.75" customHeight="1" s="904">
      <c r="B110" s="952" t="n"/>
      <c r="C110" s="801" t="inlineStr">
        <is>
          <t>Береговое НГКМ</t>
        </is>
      </c>
      <c r="D110" s="15" t="n"/>
      <c r="E110" s="15" t="n"/>
      <c r="F110" s="16" t="n"/>
      <c r="G110" s="17">
        <f>G109</f>
        <v/>
      </c>
      <c r="H110" s="636" t="n"/>
      <c r="I110" s="17" t="n"/>
      <c r="J110" s="92" t="inlineStr">
        <is>
          <t xml:space="preserve"> тыс. т.</t>
        </is>
      </c>
    </row>
    <row r="111" ht="18.75" customHeight="1" s="904">
      <c r="B111" s="952" t="n"/>
      <c r="C111" s="797" t="inlineStr">
        <is>
          <t>в т.ч. поставка на УЗПКТ</t>
        </is>
      </c>
      <c r="D111" s="15" t="n"/>
      <c r="E111" s="15" t="n"/>
      <c r="F111" s="16" t="n"/>
      <c r="G111" s="17">
        <f>G110</f>
        <v/>
      </c>
      <c r="H111" s="636" t="n"/>
      <c r="I111" s="17" t="n"/>
      <c r="J111" s="92" t="inlineStr">
        <is>
          <t xml:space="preserve"> тыс. т.</t>
        </is>
      </c>
    </row>
    <row r="112" ht="18.75" customHeight="1" s="904">
      <c r="B112" s="952" t="inlineStr">
        <is>
          <t>1.2</t>
        </is>
      </c>
      <c r="C112" s="798" t="inlineStr">
        <is>
          <t>Нефть, в т.ч.</t>
        </is>
      </c>
      <c r="D112" s="15" t="n"/>
      <c r="E112" s="15" t="n"/>
      <c r="F112" s="16" t="n"/>
      <c r="G112" s="17">
        <f>G113+G158+G163</f>
        <v/>
      </c>
      <c r="H112" s="636" t="n"/>
      <c r="I112" s="17" t="n"/>
      <c r="J112" s="92" t="inlineStr">
        <is>
          <t xml:space="preserve"> тыс. т.</t>
        </is>
      </c>
    </row>
    <row r="113" ht="18.75" customHeight="1" s="904">
      <c r="B113" s="952" t="inlineStr">
        <is>
          <t>1.2.1</t>
        </is>
      </c>
      <c r="C113" s="945" t="inlineStr">
        <is>
          <t>ООО "Газпром добыча Уренгой"</t>
        </is>
      </c>
      <c r="D113" s="15" t="n"/>
      <c r="E113" s="15" t="n"/>
      <c r="F113" s="16" t="n"/>
      <c r="G113" s="17">
        <f>G114+G123+G130+G137+G144+G151+G116</f>
        <v/>
      </c>
      <c r="H113" s="636" t="n"/>
      <c r="I113" s="17" t="n"/>
      <c r="J113" s="92" t="inlineStr">
        <is>
          <t xml:space="preserve"> тыс. т.</t>
        </is>
      </c>
    </row>
    <row r="114" ht="18.75" customHeight="1" s="904">
      <c r="B114" s="782" t="inlineStr">
        <is>
          <t>1.2.1.1</t>
        </is>
      </c>
      <c r="C114" s="799" t="inlineStr">
        <is>
          <t xml:space="preserve">Уренгойское НГКМ </t>
        </is>
      </c>
      <c r="D114" s="15" t="n"/>
      <c r="E114" s="15" t="n"/>
      <c r="F114" s="16" t="n">
        <v>46</v>
      </c>
      <c r="G114" s="17" t="n"/>
      <c r="H114" s="636" t="n"/>
      <c r="I114" s="17" t="n"/>
      <c r="J114" s="92" t="inlineStr">
        <is>
          <t xml:space="preserve"> тыс. т.</t>
        </is>
      </c>
    </row>
    <row r="115" ht="18.75" customHeight="1" s="904">
      <c r="B115" s="782" t="n"/>
      <c r="C115" s="797" t="inlineStr">
        <is>
          <t>в т.ч. собственные нужды</t>
        </is>
      </c>
      <c r="D115" s="15" t="n"/>
      <c r="E115" s="15" t="n"/>
      <c r="F115" s="16" t="n">
        <v>47</v>
      </c>
      <c r="G115" s="17" t="n"/>
      <c r="H115" s="636" t="n"/>
      <c r="I115" s="17" t="n"/>
      <c r="J115" s="92" t="inlineStr">
        <is>
          <t xml:space="preserve"> тыс. т.</t>
        </is>
      </c>
    </row>
    <row r="116" ht="18.75" customHeight="1" s="904">
      <c r="B116" s="952" t="inlineStr">
        <is>
          <t>1.2.1.2</t>
        </is>
      </c>
      <c r="C116" s="800" t="inlineStr">
        <is>
          <t>Уренгойское НГКМ фаза 1 (участок 3А)</t>
        </is>
      </c>
      <c r="D116" s="774" t="n"/>
      <c r="E116" s="774" t="n"/>
      <c r="F116" s="775" t="n"/>
      <c r="G116" s="17">
        <f>G117+G118+G121</f>
        <v/>
      </c>
      <c r="H116" s="776" t="n"/>
      <c r="I116" s="776" t="n"/>
      <c r="J116" s="92" t="inlineStr">
        <is>
          <t xml:space="preserve"> тыс. т.</t>
        </is>
      </c>
    </row>
    <row r="117" ht="18.75" customHeight="1" s="904">
      <c r="B117" s="782" t="n"/>
      <c r="C117" s="801" t="inlineStr">
        <is>
          <t xml:space="preserve">на собственные нужды ГПНЗ (ДРОД) </t>
        </is>
      </c>
      <c r="D117" s="774" t="n"/>
      <c r="E117" s="774" t="n"/>
      <c r="F117" s="775" t="n"/>
      <c r="G117" s="17" t="n"/>
      <c r="H117" s="776" t="n"/>
      <c r="I117" s="776" t="n"/>
      <c r="J117" s="92" t="inlineStr">
        <is>
          <t xml:space="preserve"> тыс. т.</t>
        </is>
      </c>
    </row>
    <row r="118" ht="18.75" customHeight="1" s="904">
      <c r="B118" s="782" t="n"/>
      <c r="C118" s="801" t="inlineStr">
        <is>
          <t>нефть в адрес ГПНЗ и трейдера:</t>
        </is>
      </c>
      <c r="D118" s="774" t="n"/>
      <c r="E118" s="774" t="n"/>
      <c r="F118" s="775" t="n"/>
      <c r="G118" s="17">
        <f>G119+G120</f>
        <v/>
      </c>
      <c r="H118" s="776" t="n"/>
      <c r="I118" s="776" t="n"/>
      <c r="J118" s="92" t="inlineStr">
        <is>
          <t xml:space="preserve"> тыс. т.</t>
        </is>
      </c>
    </row>
    <row r="119" ht="18.75" customHeight="1" s="904">
      <c r="B119" s="782" t="n"/>
      <c r="C119" s="941" t="inlineStr">
        <is>
          <t>в т.ч. нефть в адрес трейдера (альт.схема)</t>
        </is>
      </c>
      <c r="D119" s="774" t="n"/>
      <c r="E119" s="774" t="n"/>
      <c r="F119" s="775" t="n">
        <v>84</v>
      </c>
      <c r="G119" s="17" t="n"/>
      <c r="H119" s="776" t="n"/>
      <c r="I119" s="776" t="n"/>
      <c r="J119" s="92" t="inlineStr">
        <is>
          <t xml:space="preserve"> тыс. т.</t>
        </is>
      </c>
    </row>
    <row r="120" ht="18.75" customHeight="1" s="904">
      <c r="B120" s="952" t="n"/>
      <c r="C120" s="941" t="inlineStr">
        <is>
          <t xml:space="preserve">в т.ч. нефть в адрес ГПНЗ (автовывоз)  </t>
        </is>
      </c>
      <c r="D120" s="774" t="n"/>
      <c r="E120" s="774" t="n"/>
      <c r="F120" s="775" t="n"/>
      <c r="G120" s="17" t="n"/>
      <c r="H120" s="776" t="n"/>
      <c r="I120" s="776" t="n"/>
      <c r="J120" s="92" t="inlineStr">
        <is>
          <t xml:space="preserve"> тыс. т.</t>
        </is>
      </c>
    </row>
    <row r="121" ht="18.75" customHeight="1" s="904">
      <c r="B121" s="782" t="n"/>
      <c r="C121" s="801" t="inlineStr">
        <is>
          <t>нефть в адрес ПАО "Газпром" на УЗПКТ-СЗСК</t>
        </is>
      </c>
      <c r="D121" s="774" t="n"/>
      <c r="E121" s="774" t="n"/>
      <c r="F121" s="775" t="n"/>
      <c r="G121" s="17" t="n"/>
      <c r="H121" s="776" t="n"/>
      <c r="I121" s="776" t="n"/>
      <c r="J121" s="92" t="inlineStr">
        <is>
          <t xml:space="preserve"> тыс. т.</t>
        </is>
      </c>
    </row>
    <row r="122" ht="18.75" customHeight="1" s="904">
      <c r="B122" s="783" t="n"/>
      <c r="C122" s="802" t="inlineStr">
        <is>
          <t>проверка</t>
        </is>
      </c>
      <c r="D122" s="774" t="n"/>
      <c r="E122" s="774" t="n"/>
      <c r="F122" s="775" t="n"/>
      <c r="G122" s="17">
        <f>G116-G117-G121-G118</f>
        <v/>
      </c>
      <c r="H122" s="776" t="n"/>
      <c r="I122" s="17" t="inlineStr">
        <is>
          <t>да</t>
        </is>
      </c>
      <c r="J122" s="92" t="inlineStr">
        <is>
          <t xml:space="preserve"> тыс. т.</t>
        </is>
      </c>
    </row>
    <row r="123" ht="18.75" customHeight="1" s="904">
      <c r="B123" s="952" t="inlineStr">
        <is>
          <t>1.2.1.3</t>
        </is>
      </c>
      <c r="C123" s="799" t="inlineStr">
        <is>
          <t xml:space="preserve">Уренгойское НГКМ фаза 2 (ДРОД) </t>
        </is>
      </c>
      <c r="D123" s="15" t="n"/>
      <c r="E123" s="15" t="n"/>
      <c r="F123" s="16" t="n"/>
      <c r="G123" s="17">
        <f>G124+G125+G128</f>
        <v/>
      </c>
      <c r="H123" s="636" t="n"/>
      <c r="I123" s="17" t="n"/>
      <c r="J123" s="92" t="inlineStr">
        <is>
          <t xml:space="preserve"> тыс. т.</t>
        </is>
      </c>
    </row>
    <row r="124" ht="18.75" customHeight="1" s="904">
      <c r="B124" s="782" t="n"/>
      <c r="C124" s="801" t="inlineStr">
        <is>
          <t xml:space="preserve">на собственные нужды ГПНЗ (ДРОД) </t>
        </is>
      </c>
      <c r="D124" s="15" t="n"/>
      <c r="E124" s="15" t="n"/>
      <c r="F124" s="16" t="n">
        <v>48</v>
      </c>
      <c r="G124" s="17" t="n"/>
      <c r="H124" s="636" t="n"/>
      <c r="I124" s="17" t="n"/>
      <c r="J124" s="92" t="inlineStr">
        <is>
          <t xml:space="preserve"> тыс. т.</t>
        </is>
      </c>
    </row>
    <row r="125" ht="18.75" customHeight="1" s="904">
      <c r="B125" s="782" t="n"/>
      <c r="C125" s="801" t="inlineStr">
        <is>
          <t>нефть в адрес ГПНЗ и трейдера:</t>
        </is>
      </c>
      <c r="D125" s="15" t="n"/>
      <c r="E125" s="15" t="n"/>
      <c r="F125" s="16" t="n"/>
      <c r="G125" s="17">
        <f>G126+G127</f>
        <v/>
      </c>
      <c r="H125" s="636" t="n"/>
      <c r="I125" s="17" t="n"/>
      <c r="J125" s="92" t="inlineStr">
        <is>
          <t xml:space="preserve"> тыс. т.</t>
        </is>
      </c>
    </row>
    <row r="126" ht="18.75" customHeight="1" s="904">
      <c r="B126" s="782" t="n"/>
      <c r="C126" s="941" t="inlineStr">
        <is>
          <t>в т.ч. нефть в адрес трейдера (альт.схема)</t>
        </is>
      </c>
      <c r="D126" s="15" t="n"/>
      <c r="E126" s="15" t="n"/>
      <c r="F126" s="16" t="n">
        <v>49</v>
      </c>
      <c r="G126" s="17" t="n"/>
      <c r="H126" s="636" t="n"/>
      <c r="I126" s="17" t="n"/>
      <c r="J126" s="92" t="inlineStr">
        <is>
          <t xml:space="preserve"> тыс. т.</t>
        </is>
      </c>
    </row>
    <row r="127" ht="18.75" customHeight="1" s="904">
      <c r="B127" s="952" t="n"/>
      <c r="C127" s="941" t="inlineStr">
        <is>
          <t xml:space="preserve">в т.ч. нефть в адрес ГПНЗ (автовывоз)  </t>
        </is>
      </c>
      <c r="D127" s="15" t="n"/>
      <c r="E127" s="15" t="n"/>
      <c r="F127" s="16" t="n">
        <v>50</v>
      </c>
      <c r="G127" s="17" t="n"/>
      <c r="H127" s="636" t="n"/>
      <c r="I127" s="17" t="n"/>
      <c r="J127" s="92" t="inlineStr">
        <is>
          <t xml:space="preserve"> тыс. т.</t>
        </is>
      </c>
    </row>
    <row r="128" ht="18.75" customHeight="1" s="904">
      <c r="B128" s="782" t="n"/>
      <c r="C128" s="801" t="inlineStr">
        <is>
          <t>нефть в адрес ПАО "Газпром" на УЗПКТ-СЗСК</t>
        </is>
      </c>
      <c r="D128" s="15" t="n"/>
      <c r="E128" s="15" t="n"/>
      <c r="F128" s="16" t="n">
        <v>51</v>
      </c>
      <c r="G128" s="17" t="n"/>
      <c r="H128" s="636" t="n"/>
      <c r="I128" s="17" t="n"/>
      <c r="J128" s="92" t="inlineStr">
        <is>
          <t xml:space="preserve"> тыс. т.</t>
        </is>
      </c>
    </row>
    <row r="129" ht="19.5" customHeight="1" s="904">
      <c r="B129" s="783" t="n"/>
      <c r="C129" s="802" t="inlineStr">
        <is>
          <t>проверка</t>
        </is>
      </c>
      <c r="D129" s="15" t="n"/>
      <c r="E129" s="15" t="n"/>
      <c r="F129" s="16" t="n"/>
      <c r="G129" s="17">
        <f>G123-G124-G128-G125</f>
        <v/>
      </c>
      <c r="H129" s="636" t="n"/>
      <c r="I129" s="17" t="inlineStr">
        <is>
          <t>да</t>
        </is>
      </c>
      <c r="J129" s="97" t="inlineStr">
        <is>
          <t xml:space="preserve"> тыс. т.</t>
        </is>
      </c>
    </row>
    <row r="130" ht="18.75" customHeight="1" s="904">
      <c r="B130" s="952" t="inlineStr">
        <is>
          <t>1.2.1.4</t>
        </is>
      </c>
      <c r="C130" s="799" t="inlineStr">
        <is>
          <t xml:space="preserve">Ен-Яхинское НГКМ (ДРОД) </t>
        </is>
      </c>
      <c r="D130" s="15" t="n"/>
      <c r="E130" s="15" t="n"/>
      <c r="F130" s="16" t="n"/>
      <c r="G130" s="17">
        <f>G131+G132+G135</f>
        <v/>
      </c>
      <c r="H130" s="636" t="n"/>
      <c r="I130" s="17" t="n"/>
      <c r="J130" s="92" t="inlineStr">
        <is>
          <t xml:space="preserve"> тыс. т.</t>
        </is>
      </c>
    </row>
    <row r="131" ht="18.75" customHeight="1" s="904">
      <c r="B131" s="782" t="n"/>
      <c r="C131" s="801" t="inlineStr">
        <is>
          <t xml:space="preserve">на собственные нужды ГПНЗ (ДРОД) </t>
        </is>
      </c>
      <c r="D131" s="15" t="n"/>
      <c r="E131" s="15" t="n"/>
      <c r="F131" s="16" t="n">
        <v>52</v>
      </c>
      <c r="G131" s="17" t="n"/>
      <c r="H131" s="636" t="n"/>
      <c r="I131" s="17" t="n"/>
      <c r="J131" s="92" t="inlineStr">
        <is>
          <t xml:space="preserve"> тыс. т.</t>
        </is>
      </c>
    </row>
    <row r="132" ht="18.75" customHeight="1" s="904">
      <c r="B132" s="952" t="n"/>
      <c r="C132" s="801" t="inlineStr">
        <is>
          <t>нефть в адрес ГПНЗ и трейдера:</t>
        </is>
      </c>
      <c r="D132" s="15" t="n"/>
      <c r="E132" s="15" t="n"/>
      <c r="F132" s="16" t="n"/>
      <c r="G132" s="17">
        <f>G133+G134</f>
        <v/>
      </c>
      <c r="H132" s="636" t="n"/>
      <c r="I132" s="17" t="n"/>
      <c r="J132" s="92" t="inlineStr">
        <is>
          <t xml:space="preserve"> тыс. т.</t>
        </is>
      </c>
    </row>
    <row r="133" ht="18.75" customHeight="1" s="904">
      <c r="B133" s="782" t="n"/>
      <c r="C133" s="941" t="inlineStr">
        <is>
          <t>в т.ч. нефть в адрес трейдера (альт.схема)</t>
        </is>
      </c>
      <c r="D133" s="15" t="n"/>
      <c r="E133" s="15" t="n"/>
      <c r="F133" s="16" t="n">
        <v>53</v>
      </c>
      <c r="G133" s="17" t="n"/>
      <c r="H133" s="636" t="n"/>
      <c r="I133" s="17" t="n"/>
      <c r="J133" s="92" t="inlineStr">
        <is>
          <t xml:space="preserve"> тыс. т.</t>
        </is>
      </c>
    </row>
    <row r="134" ht="18.75" customHeight="1" s="904">
      <c r="B134" s="782" t="n"/>
      <c r="C134" s="941" t="inlineStr">
        <is>
          <t xml:space="preserve">в т.ч. нефть в адрес ГПНЗ (автовывоз)  </t>
        </is>
      </c>
      <c r="D134" s="15" t="n"/>
      <c r="E134" s="15" t="n"/>
      <c r="F134" s="16" t="n">
        <v>54</v>
      </c>
      <c r="G134" s="17" t="n"/>
      <c r="H134" s="636" t="n"/>
      <c r="I134" s="17" t="n"/>
      <c r="J134" s="92" t="inlineStr">
        <is>
          <t xml:space="preserve"> тыс. т.</t>
        </is>
      </c>
    </row>
    <row r="135" ht="18.75" customHeight="1" s="904">
      <c r="B135" s="782" t="n"/>
      <c r="C135" s="801" t="inlineStr">
        <is>
          <t>нефть в адрес ПАО "Газпром" на УЗПКТ-СЗСК</t>
        </is>
      </c>
      <c r="D135" s="15" t="n"/>
      <c r="E135" s="15" t="n"/>
      <c r="F135" s="16" t="n">
        <v>55</v>
      </c>
      <c r="G135" s="17" t="n"/>
      <c r="H135" s="636" t="n"/>
      <c r="I135" s="17" t="n"/>
      <c r="J135" s="92" t="inlineStr">
        <is>
          <t xml:space="preserve"> тыс. т.</t>
        </is>
      </c>
    </row>
    <row r="136" ht="19.5" customHeight="1" s="904">
      <c r="B136" s="783" t="n"/>
      <c r="C136" s="802" t="inlineStr">
        <is>
          <t>проверка</t>
        </is>
      </c>
      <c r="D136" s="15" t="n"/>
      <c r="E136" s="15" t="n"/>
      <c r="F136" s="16" t="n"/>
      <c r="G136" s="17">
        <f>G130-G131-G135-G132</f>
        <v/>
      </c>
      <c r="H136" s="636" t="n"/>
      <c r="I136" s="17" t="inlineStr">
        <is>
          <t>да</t>
        </is>
      </c>
      <c r="J136" s="97" t="inlineStr">
        <is>
          <t xml:space="preserve"> тыс. т.</t>
        </is>
      </c>
    </row>
    <row r="137" ht="18.75" customHeight="1" s="904">
      <c r="B137" s="952" t="inlineStr">
        <is>
          <t>1.2.1.5</t>
        </is>
      </c>
      <c r="C137" s="799" t="inlineStr">
        <is>
          <t xml:space="preserve">Песцовое НГКМ (ДРОД) </t>
        </is>
      </c>
      <c r="D137" s="15" t="n"/>
      <c r="E137" s="15" t="n"/>
      <c r="F137" s="16" t="n"/>
      <c r="G137" s="17">
        <f>G138+G139+G142</f>
        <v/>
      </c>
      <c r="H137" s="636" t="n"/>
      <c r="I137" s="17" t="n"/>
      <c r="J137" s="92" t="inlineStr">
        <is>
          <t xml:space="preserve"> тыс. т.</t>
        </is>
      </c>
    </row>
    <row r="138" ht="18.75" customHeight="1" s="904">
      <c r="B138" s="782" t="n"/>
      <c r="C138" s="801" t="inlineStr">
        <is>
          <t xml:space="preserve">на собственные нужды ГПНЗ (ДРОД) </t>
        </is>
      </c>
      <c r="D138" s="15" t="n"/>
      <c r="E138" s="15" t="n"/>
      <c r="F138" s="16" t="n">
        <v>56</v>
      </c>
      <c r="G138" s="17" t="n"/>
      <c r="H138" s="636" t="n"/>
      <c r="I138" s="17" t="n"/>
      <c r="J138" s="92" t="inlineStr">
        <is>
          <t xml:space="preserve"> тыс. т.</t>
        </is>
      </c>
    </row>
    <row r="139" ht="18.75" customHeight="1" s="904">
      <c r="B139" s="952" t="n"/>
      <c r="C139" s="801" t="inlineStr">
        <is>
          <t>нефть в адрес ГПНЗ и трейдера:</t>
        </is>
      </c>
      <c r="D139" s="15" t="n"/>
      <c r="E139" s="15" t="n"/>
      <c r="F139" s="16" t="n"/>
      <c r="G139" s="17">
        <f>G140+G141</f>
        <v/>
      </c>
      <c r="H139" s="636" t="n"/>
      <c r="I139" s="17" t="n"/>
      <c r="J139" s="92" t="inlineStr">
        <is>
          <t xml:space="preserve"> тыс. т.</t>
        </is>
      </c>
    </row>
    <row r="140" ht="18.75" customHeight="1" s="904">
      <c r="B140" s="782" t="n"/>
      <c r="C140" s="941" t="inlineStr">
        <is>
          <t>в т.ч. нефть в адрес трейдера (альт.схема)</t>
        </is>
      </c>
      <c r="D140" s="15" t="n"/>
      <c r="E140" s="15" t="n"/>
      <c r="F140" s="16" t="n">
        <v>57</v>
      </c>
      <c r="G140" s="17" t="n"/>
      <c r="H140" s="636" t="n"/>
      <c r="I140" s="17" t="n"/>
      <c r="J140" s="92" t="inlineStr">
        <is>
          <t xml:space="preserve"> тыс. т.</t>
        </is>
      </c>
    </row>
    <row r="141" ht="18.75" customHeight="1" s="904">
      <c r="B141" s="782" t="n"/>
      <c r="C141" s="941" t="inlineStr">
        <is>
          <t xml:space="preserve">в т.ч. нефть в адрес ГПНЗ (автовывоз)  </t>
        </is>
      </c>
      <c r="D141" s="15" t="n"/>
      <c r="E141" s="15" t="n"/>
      <c r="F141" s="16" t="n">
        <v>58</v>
      </c>
      <c r="G141" s="17" t="n"/>
      <c r="H141" s="636" t="n"/>
      <c r="I141" s="17" t="n"/>
      <c r="J141" s="92" t="inlineStr">
        <is>
          <t xml:space="preserve"> тыс. т.</t>
        </is>
      </c>
    </row>
    <row r="142" ht="18.75" customHeight="1" s="904">
      <c r="B142" s="782" t="n"/>
      <c r="C142" s="801" t="inlineStr">
        <is>
          <t>нефть в адрес ПАО "Газпром" на УЗПКТ-СЗСК</t>
        </is>
      </c>
      <c r="D142" s="15" t="n"/>
      <c r="E142" s="15" t="n"/>
      <c r="F142" s="16" t="n">
        <v>59</v>
      </c>
      <c r="G142" s="17" t="n"/>
      <c r="H142" s="636" t="n"/>
      <c r="I142" s="17" t="n"/>
      <c r="J142" s="92" t="inlineStr">
        <is>
          <t xml:space="preserve"> тыс. т.</t>
        </is>
      </c>
    </row>
    <row r="143" ht="19.5" customHeight="1" s="904">
      <c r="B143" s="783" t="n"/>
      <c r="C143" s="802" t="inlineStr">
        <is>
          <t>проверка</t>
        </is>
      </c>
      <c r="D143" s="15" t="n"/>
      <c r="E143" s="15" t="n"/>
      <c r="F143" s="16" t="n"/>
      <c r="G143" s="17">
        <f>G137-G138-G139-G142</f>
        <v/>
      </c>
      <c r="H143" s="636" t="n"/>
      <c r="I143" s="17" t="inlineStr">
        <is>
          <t>да</t>
        </is>
      </c>
      <c r="J143" s="97" t="inlineStr">
        <is>
          <t xml:space="preserve"> тыс. т.</t>
        </is>
      </c>
    </row>
    <row r="144" ht="18.75" customHeight="1" s="904">
      <c r="B144" s="782" t="inlineStr">
        <is>
          <t>1.2.1.6</t>
        </is>
      </c>
      <c r="C144" s="799" t="inlineStr">
        <is>
          <t>Уренгойское НГКМ фаза 5 (участок 4А, 5А)</t>
        </is>
      </c>
      <c r="D144" s="15" t="n"/>
      <c r="E144" s="15" t="n"/>
      <c r="F144" s="16" t="n"/>
      <c r="G144" s="17">
        <f>G145+G146+G149</f>
        <v/>
      </c>
      <c r="H144" s="636" t="n"/>
      <c r="I144" s="17" t="n"/>
      <c r="J144" s="92" t="inlineStr">
        <is>
          <t xml:space="preserve"> тыс. т.</t>
        </is>
      </c>
    </row>
    <row r="145" ht="18.75" customHeight="1" s="904">
      <c r="B145" s="782" t="n"/>
      <c r="C145" s="801" t="inlineStr">
        <is>
          <t xml:space="preserve">на собственные нужды ГПНЗ (ДРОД) </t>
        </is>
      </c>
      <c r="D145" s="15" t="n"/>
      <c r="E145" s="15" t="n"/>
      <c r="F145" s="16" t="n">
        <v>60</v>
      </c>
      <c r="G145" s="17" t="n"/>
      <c r="H145" s="636" t="n"/>
      <c r="I145" s="17" t="n"/>
      <c r="J145" s="92" t="inlineStr">
        <is>
          <t xml:space="preserve"> тыс. т.</t>
        </is>
      </c>
    </row>
    <row r="146" ht="18.75" customHeight="1" s="904">
      <c r="B146" s="782" t="n"/>
      <c r="C146" s="801" t="inlineStr">
        <is>
          <t>нефть в адрес ГПНЗ и трейдера:</t>
        </is>
      </c>
      <c r="D146" s="15" t="n"/>
      <c r="E146" s="15" t="n"/>
      <c r="F146" s="16" t="n"/>
      <c r="G146" s="17">
        <f>G147+G148</f>
        <v/>
      </c>
      <c r="H146" s="636" t="n"/>
      <c r="I146" s="17" t="n"/>
      <c r="J146" s="92" t="inlineStr">
        <is>
          <t xml:space="preserve"> тыс. т.</t>
        </is>
      </c>
    </row>
    <row r="147" ht="18.75" customHeight="1" s="904">
      <c r="B147" s="782" t="n"/>
      <c r="C147" s="941" t="inlineStr">
        <is>
          <t>в т.ч. нефть в адрес трейдера (альт.схема)</t>
        </is>
      </c>
      <c r="D147" s="15" t="n"/>
      <c r="E147" s="15" t="n"/>
      <c r="F147" s="16" t="n">
        <v>61</v>
      </c>
      <c r="G147" s="17" t="n"/>
      <c r="H147" s="636" t="n"/>
      <c r="I147" s="17" t="n"/>
      <c r="J147" s="92" t="inlineStr">
        <is>
          <t xml:space="preserve"> тыс. т.</t>
        </is>
      </c>
    </row>
    <row r="148" ht="18.75" customHeight="1" s="904">
      <c r="B148" s="782" t="n"/>
      <c r="C148" s="941" t="inlineStr">
        <is>
          <t xml:space="preserve">в т.ч. нефть в адрес ГПНЗ (автовывоз)  </t>
        </is>
      </c>
      <c r="D148" s="15" t="n"/>
      <c r="E148" s="15" t="n"/>
      <c r="F148" s="16" t="n">
        <v>62</v>
      </c>
      <c r="G148" s="17" t="n"/>
      <c r="H148" s="636" t="n"/>
      <c r="I148" s="17" t="n"/>
      <c r="J148" s="92" t="inlineStr">
        <is>
          <t xml:space="preserve"> тыс. т.</t>
        </is>
      </c>
    </row>
    <row r="149" ht="18.75" customHeight="1" s="904">
      <c r="B149" s="782" t="n"/>
      <c r="C149" s="801" t="inlineStr">
        <is>
          <t>нефть в адрес ПАО "Газпром" на УЗПКТ-СЗСК</t>
        </is>
      </c>
      <c r="D149" s="15" t="n"/>
      <c r="E149" s="15" t="n"/>
      <c r="F149" s="16" t="n">
        <v>63</v>
      </c>
      <c r="G149" s="17" t="n"/>
      <c r="H149" s="636" t="n"/>
      <c r="I149" s="17" t="n"/>
      <c r="J149" s="92" t="inlineStr">
        <is>
          <t xml:space="preserve"> тыс. т.</t>
        </is>
      </c>
    </row>
    <row r="150" ht="19.5" customHeight="1" s="904">
      <c r="B150" s="783" t="n"/>
      <c r="C150" s="802" t="inlineStr">
        <is>
          <t>проверка</t>
        </is>
      </c>
      <c r="D150" s="15" t="n"/>
      <c r="E150" s="15" t="n"/>
      <c r="F150" s="16" t="n"/>
      <c r="G150" s="17">
        <f>G144-G145-G146-G149</f>
        <v/>
      </c>
      <c r="H150" s="636" t="n"/>
      <c r="I150" s="17" t="inlineStr">
        <is>
          <t>да</t>
        </is>
      </c>
      <c r="J150" s="97" t="inlineStr">
        <is>
          <t xml:space="preserve"> тыс. т.</t>
        </is>
      </c>
    </row>
    <row r="151" ht="18.75" customHeight="1" s="904">
      <c r="B151" s="952" t="inlineStr">
        <is>
          <t>1.2.1.7</t>
        </is>
      </c>
      <c r="C151" s="799" t="inlineStr">
        <is>
          <t>Уренгойское НГКМ фаза 4 (участок 6А ) (ДРОД)</t>
        </is>
      </c>
      <c r="D151" s="15" t="n"/>
      <c r="E151" s="15" t="n"/>
      <c r="F151" s="16" t="n"/>
      <c r="G151" s="17">
        <f>G152+G153+G156</f>
        <v/>
      </c>
      <c r="H151" s="636" t="n"/>
      <c r="I151" s="17" t="n"/>
      <c r="J151" s="92" t="inlineStr">
        <is>
          <t xml:space="preserve"> тыс. т.</t>
        </is>
      </c>
    </row>
    <row r="152" ht="18.75" customHeight="1" s="904">
      <c r="B152" s="782" t="n"/>
      <c r="C152" s="801" t="inlineStr">
        <is>
          <t xml:space="preserve">на собственные нужды ГПНЗ (ДРОД) </t>
        </is>
      </c>
      <c r="D152" s="15" t="n"/>
      <c r="E152" s="15" t="n"/>
      <c r="F152" s="16" t="n">
        <v>64</v>
      </c>
      <c r="G152" s="17" t="n"/>
      <c r="H152" s="636" t="n"/>
      <c r="I152" s="17" t="n"/>
      <c r="J152" s="92" t="inlineStr">
        <is>
          <t xml:space="preserve"> тыс. т.</t>
        </is>
      </c>
    </row>
    <row r="153" ht="18.75" customHeight="1" s="904">
      <c r="B153" s="952" t="n"/>
      <c r="C153" s="801" t="inlineStr">
        <is>
          <t>нефть в адрес ГПНЗ и трейдера:</t>
        </is>
      </c>
      <c r="D153" s="15" t="n"/>
      <c r="E153" s="15" t="n"/>
      <c r="F153" s="16" t="n"/>
      <c r="G153" s="17">
        <f>G154+G155</f>
        <v/>
      </c>
      <c r="H153" s="636" t="n"/>
      <c r="I153" s="17" t="n"/>
      <c r="J153" s="92" t="inlineStr">
        <is>
          <t xml:space="preserve"> тыс. т.</t>
        </is>
      </c>
    </row>
    <row r="154" ht="18.75" customHeight="1" s="904">
      <c r="B154" s="782" t="n"/>
      <c r="C154" s="941" t="inlineStr">
        <is>
          <t>в т.ч. нефть в адрес трейдера (альт.схема)</t>
        </is>
      </c>
      <c r="D154" s="15" t="n"/>
      <c r="E154" s="15" t="n"/>
      <c r="F154" s="16" t="n">
        <v>65</v>
      </c>
      <c r="G154" s="17" t="n"/>
      <c r="H154" s="636" t="n"/>
      <c r="I154" s="17" t="n"/>
      <c r="J154" s="92" t="inlineStr">
        <is>
          <t xml:space="preserve"> тыс. т.</t>
        </is>
      </c>
    </row>
    <row r="155" ht="18.75" customHeight="1" s="904">
      <c r="B155" s="782" t="n"/>
      <c r="C155" s="941" t="inlineStr">
        <is>
          <t xml:space="preserve">в т.ч. нефть в адрес ГПНЗ (автовывоз)  </t>
        </is>
      </c>
      <c r="D155" s="15" t="n"/>
      <c r="E155" s="15" t="n"/>
      <c r="F155" s="16" t="n">
        <v>66</v>
      </c>
      <c r="G155" s="17" t="n"/>
      <c r="H155" s="636" t="n"/>
      <c r="I155" s="17" t="n"/>
      <c r="J155" s="92" t="inlineStr">
        <is>
          <t xml:space="preserve"> тыс. т.</t>
        </is>
      </c>
    </row>
    <row r="156" ht="18.75" customHeight="1" s="904">
      <c r="B156" s="782" t="n"/>
      <c r="C156" s="801" t="inlineStr">
        <is>
          <t>нефть в адрес ПАО "Газпром" на УЗПКТ-СЗСК</t>
        </is>
      </c>
      <c r="D156" s="15" t="n"/>
      <c r="E156" s="15" t="n"/>
      <c r="F156" s="16" t="n">
        <v>67</v>
      </c>
      <c r="G156" s="17" t="n"/>
      <c r="H156" s="636" t="n"/>
      <c r="I156" s="17" t="n"/>
      <c r="J156" s="92" t="inlineStr">
        <is>
          <t xml:space="preserve"> тыс. т.</t>
        </is>
      </c>
    </row>
    <row r="157" ht="19.5" customHeight="1" s="904">
      <c r="B157" s="783" t="n"/>
      <c r="C157" s="802" t="inlineStr">
        <is>
          <t>проверка</t>
        </is>
      </c>
      <c r="D157" s="15" t="n"/>
      <c r="E157" s="15" t="n"/>
      <c r="F157" s="16" t="n"/>
      <c r="G157" s="17">
        <f>G151-G152-G153-G156</f>
        <v/>
      </c>
      <c r="H157" s="636" t="n"/>
      <c r="I157" s="17" t="inlineStr">
        <is>
          <t>да</t>
        </is>
      </c>
      <c r="J157" s="97" t="inlineStr">
        <is>
          <t xml:space="preserve"> тыс. т.</t>
        </is>
      </c>
    </row>
    <row r="158" ht="18.75" customHeight="1" s="904">
      <c r="B158" s="952" t="inlineStr">
        <is>
          <t>1.2.2</t>
        </is>
      </c>
      <c r="C158" s="945" t="inlineStr">
        <is>
          <t xml:space="preserve">ООО "Газпром добыча Ямбург" </t>
        </is>
      </c>
      <c r="D158" s="15" t="n"/>
      <c r="E158" s="15" t="n"/>
      <c r="F158" s="16" t="n"/>
      <c r="G158" s="17">
        <f>G160+G159</f>
        <v/>
      </c>
      <c r="H158" s="636" t="n"/>
      <c r="I158" s="17" t="n"/>
      <c r="J158" s="92" t="inlineStr">
        <is>
          <t xml:space="preserve"> тыс. т.</t>
        </is>
      </c>
    </row>
    <row r="159" ht="18.75" customHeight="1" s="904">
      <c r="B159" s="952" t="n"/>
      <c r="C159" s="801" t="inlineStr">
        <is>
          <t>Ямбургское НГКМ</t>
        </is>
      </c>
      <c r="D159" s="15" t="n"/>
      <c r="E159" s="15" t="n"/>
      <c r="F159" s="16" t="n"/>
      <c r="G159" s="17" t="inlineStr">
        <is>
          <t>7_100330593</t>
        </is>
      </c>
      <c r="H159" s="636" t="n"/>
      <c r="I159" s="17" t="n"/>
      <c r="J159" s="92" t="inlineStr">
        <is>
          <t xml:space="preserve"> тыс. т.</t>
        </is>
      </c>
    </row>
    <row r="160" ht="18.75" customHeight="1" s="904">
      <c r="B160" s="952" t="n"/>
      <c r="C160" s="801" t="inlineStr">
        <is>
          <t>Заполярное НГКМ</t>
        </is>
      </c>
      <c r="D160" s="15" t="n"/>
      <c r="E160" s="15" t="n"/>
      <c r="F160" s="16" t="n"/>
      <c r="G160" s="17" t="inlineStr">
        <is>
          <t>7_100330591</t>
        </is>
      </c>
      <c r="H160" s="636" t="n"/>
      <c r="I160" s="17" t="n"/>
      <c r="J160" s="92" t="inlineStr">
        <is>
          <t xml:space="preserve"> тыс. т.</t>
        </is>
      </c>
    </row>
    <row r="161" ht="18.75" customHeight="1" s="904">
      <c r="B161" s="952" t="n"/>
      <c r="C161" s="941" t="inlineStr">
        <is>
          <t xml:space="preserve">в т.ч. нефть в адрес ГПНЗ (автовывоз)  </t>
        </is>
      </c>
      <c r="D161" s="15" t="n"/>
      <c r="E161" s="15" t="n"/>
      <c r="F161" s="16" t="n"/>
      <c r="G161" s="17">
        <f>G159+G160-G162</f>
        <v/>
      </c>
      <c r="H161" s="636" t="n"/>
      <c r="I161" s="17" t="n"/>
      <c r="J161" s="92" t="inlineStr">
        <is>
          <t xml:space="preserve"> тыс. т.</t>
        </is>
      </c>
    </row>
    <row r="162" ht="18.75" customHeight="1" s="904">
      <c r="B162" s="952" t="n"/>
      <c r="C162" s="941" t="inlineStr">
        <is>
          <t>в т.ч. нефть в адрес трейдера (альт.схема)</t>
        </is>
      </c>
      <c r="D162" s="15" t="n"/>
      <c r="E162" s="15" t="n"/>
      <c r="F162" s="16" t="n"/>
      <c r="G162" s="17">
        <f>G159</f>
        <v/>
      </c>
      <c r="H162" s="636" t="n"/>
      <c r="I162" s="17" t="n"/>
      <c r="J162" s="92" t="inlineStr">
        <is>
          <t xml:space="preserve"> тыс. т.</t>
        </is>
      </c>
    </row>
    <row r="163" ht="18.75" customHeight="1" s="904">
      <c r="B163" s="952" t="inlineStr">
        <is>
          <t>1.2.3</t>
        </is>
      </c>
      <c r="C163" s="945" t="inlineStr">
        <is>
          <t xml:space="preserve">ООО "Газпром добыча Ноябрьск" </t>
        </is>
      </c>
      <c r="D163" s="15" t="n"/>
      <c r="E163" s="15" t="n"/>
      <c r="F163" s="16" t="n"/>
      <c r="G163" s="17">
        <f>G164</f>
        <v/>
      </c>
      <c r="H163" s="636" t="n"/>
      <c r="I163" s="17" t="n"/>
      <c r="J163" s="92" t="inlineStr">
        <is>
          <t xml:space="preserve"> тыс. т.</t>
        </is>
      </c>
    </row>
    <row r="164" ht="18.75" customHeight="1" s="904">
      <c r="B164" s="952" t="n"/>
      <c r="C164" s="801" t="inlineStr">
        <is>
          <t>Западно-Таркосалинское НГКМ</t>
        </is>
      </c>
      <c r="D164" s="15" t="n"/>
      <c r="E164" s="15" t="n"/>
      <c r="F164" s="16" t="n"/>
      <c r="G164" s="17" t="inlineStr">
        <is>
          <t>10_100330722</t>
        </is>
      </c>
      <c r="H164" s="636" t="n"/>
      <c r="I164" s="17" t="n"/>
      <c r="J164" s="92" t="inlineStr">
        <is>
          <t xml:space="preserve"> тыс. т.</t>
        </is>
      </c>
    </row>
    <row r="165" ht="18.75" customHeight="1" s="904">
      <c r="B165" s="782" t="n"/>
      <c r="C165" s="797" t="inlineStr">
        <is>
          <t>собственные нужды</t>
        </is>
      </c>
      <c r="D165" s="15" t="n"/>
      <c r="E165" s="15" t="n"/>
      <c r="F165" s="16" t="n"/>
      <c r="G165" s="17">
        <f>0</f>
        <v/>
      </c>
      <c r="H165" s="636" t="n"/>
      <c r="I165" s="17" t="n"/>
      <c r="J165" s="92" t="inlineStr">
        <is>
          <t xml:space="preserve"> тыс. т.</t>
        </is>
      </c>
    </row>
    <row r="166" ht="18.75" customHeight="1" s="904">
      <c r="B166" s="782" t="n"/>
      <c r="C166" s="797" t="inlineStr">
        <is>
          <t>поставка на СЗСК</t>
        </is>
      </c>
      <c r="D166" s="15" t="n"/>
      <c r="E166" s="15" t="n"/>
      <c r="F166" s="16" t="n"/>
      <c r="G166" s="17">
        <f>0</f>
        <v/>
      </c>
      <c r="H166" s="636" t="n"/>
      <c r="I166" s="17" t="n"/>
      <c r="J166" s="92" t="inlineStr">
        <is>
          <t xml:space="preserve"> тыс. т.</t>
        </is>
      </c>
    </row>
    <row r="167" ht="18.75" customHeight="1" s="904">
      <c r="B167" s="952" t="n"/>
      <c r="C167" s="797" t="inlineStr">
        <is>
          <t>поставка потребителям (ДРОД)</t>
        </is>
      </c>
      <c r="D167" s="15" t="n"/>
      <c r="E167" s="15" t="n"/>
      <c r="F167" s="16" t="n"/>
      <c r="G167" s="17">
        <f>G164-G165-G166</f>
        <v/>
      </c>
      <c r="H167" s="636" t="n"/>
      <c r="I167" s="17" t="n"/>
      <c r="J167" s="92" t="inlineStr">
        <is>
          <t xml:space="preserve"> тыс. т.</t>
        </is>
      </c>
    </row>
    <row r="168" ht="18.75" customHeight="1" s="904">
      <c r="B168" s="952" t="n"/>
      <c r="C168" s="945" t="inlineStr">
        <is>
          <t>Справочно:</t>
        </is>
      </c>
      <c r="D168" s="15" t="n"/>
      <c r="E168" s="15" t="n"/>
      <c r="F168" s="16" t="n">
        <v>68</v>
      </c>
      <c r="G168" s="17" t="n"/>
      <c r="H168" s="636" t="n"/>
      <c r="I168" s="17" t="n"/>
      <c r="J168" s="92" t="n"/>
    </row>
    <row r="169" ht="18.75" customHeight="1" s="904">
      <c r="B169" s="952" t="n"/>
      <c r="C169" s="99" t="inlineStr">
        <is>
          <t>Поставка сырья с учетом ДРОД, всего:</t>
        </is>
      </c>
      <c r="D169" s="15" t="n"/>
      <c r="E169" s="15" t="n"/>
      <c r="F169" s="16" t="n"/>
      <c r="G169" s="17">
        <f>G170+G180+G183</f>
        <v/>
      </c>
      <c r="H169" s="636" t="n"/>
      <c r="I169" s="17" t="n"/>
      <c r="J169" s="92" t="inlineStr">
        <is>
          <t xml:space="preserve"> тыс. т.</t>
        </is>
      </c>
    </row>
    <row r="170" ht="37.5" customHeight="1" s="904">
      <c r="B170" s="952" t="n"/>
      <c r="C170" s="101" t="inlineStr">
        <is>
          <t>Комплекс Уренгойский ЗПКТ-Сургутский ЗСК и привлеченные мощности:</t>
        </is>
      </c>
      <c r="D170" s="15" t="n"/>
      <c r="E170" s="15" t="n"/>
      <c r="F170" s="16" t="n"/>
      <c r="G170" s="17">
        <f>G171+G179</f>
        <v/>
      </c>
      <c r="H170" s="636" t="n"/>
      <c r="I170" s="17" t="n"/>
      <c r="J170" s="92" t="inlineStr">
        <is>
          <t xml:space="preserve"> тыс. т.</t>
        </is>
      </c>
    </row>
    <row r="171" ht="18.75" customHeight="1" s="904">
      <c r="B171" s="952" t="n"/>
      <c r="C171" s="102" t="inlineStr">
        <is>
          <t>нестабильного газового конденсата</t>
        </is>
      </c>
      <c r="D171" s="15" t="n"/>
      <c r="E171" s="15" t="n"/>
      <c r="F171" s="16" t="n"/>
      <c r="G171" s="17">
        <f>G172+G174+G177+G178</f>
        <v/>
      </c>
      <c r="H171" s="636" t="n"/>
      <c r="I171" s="17" t="n"/>
      <c r="J171" s="92" t="inlineStr">
        <is>
          <t xml:space="preserve"> тыс. т.</t>
        </is>
      </c>
    </row>
    <row r="172" ht="18.75" customHeight="1" s="904">
      <c r="B172" s="952" t="n"/>
      <c r="C172" s="799" t="inlineStr">
        <is>
          <t>ООО "Газпром добыча Уренгой"</t>
        </is>
      </c>
      <c r="D172" s="15" t="n"/>
      <c r="E172" s="15" t="n"/>
      <c r="F172" s="16" t="n"/>
      <c r="G172" s="17">
        <f>G14+G24+G29+G38+G53+G58+G59+G72+G85+G43+G44+G15</f>
        <v/>
      </c>
      <c r="H172" s="636" t="n"/>
      <c r="I172" s="17" t="n"/>
      <c r="J172" s="92" t="inlineStr">
        <is>
          <t xml:space="preserve"> тыс. т.</t>
        </is>
      </c>
    </row>
    <row r="173" ht="18.75" customHeight="1" s="904">
      <c r="B173" s="952" t="n"/>
      <c r="C173" s="583" t="inlineStr">
        <is>
          <t>в т.ч. поставка ДРОД</t>
        </is>
      </c>
      <c r="D173" s="15" t="n"/>
      <c r="E173" s="15" t="n"/>
      <c r="F173" s="16" t="n"/>
      <c r="G173" s="17">
        <f>G24+G38+G53+G72+G85</f>
        <v/>
      </c>
      <c r="H173" s="636" t="n"/>
      <c r="I173" s="17" t="n"/>
      <c r="J173" s="92" t="inlineStr">
        <is>
          <t xml:space="preserve"> тыс. т.</t>
        </is>
      </c>
    </row>
    <row r="174" ht="18.75" customHeight="1" s="904">
      <c r="B174" s="952" t="n"/>
      <c r="C174" s="799" t="inlineStr">
        <is>
          <t>ООО "Газпром добыча Ямбург"</t>
        </is>
      </c>
      <c r="D174" s="15" t="n"/>
      <c r="E174" s="15" t="n"/>
      <c r="F174" s="16" t="n"/>
      <c r="G174" s="17">
        <f>G90-G191+G204</f>
        <v/>
      </c>
      <c r="H174" s="636" t="n"/>
      <c r="I174" s="17" t="n"/>
      <c r="J174" s="92" t="inlineStr">
        <is>
          <t xml:space="preserve"> тыс. т.</t>
        </is>
      </c>
    </row>
    <row r="175" ht="18.75" customHeight="1" s="904">
      <c r="B175" s="952" t="n"/>
      <c r="C175" s="583" t="inlineStr">
        <is>
          <t>Заполярное НГКМ</t>
        </is>
      </c>
      <c r="D175" s="15" t="n"/>
      <c r="E175" s="15" t="n"/>
      <c r="F175" s="16" t="n"/>
      <c r="G175" s="17" t="inlineStr">
        <is>
          <t>7_100330894</t>
        </is>
      </c>
      <c r="H175" s="636" t="n"/>
      <c r="I175" s="17" t="n"/>
      <c r="J175" s="92" t="inlineStr">
        <is>
          <t xml:space="preserve"> тыс. т.</t>
        </is>
      </c>
    </row>
    <row r="176" ht="18.75" customHeight="1" s="904">
      <c r="B176" s="952" t="n"/>
      <c r="C176" s="583" t="inlineStr">
        <is>
          <t>Ямбургское НГКМ</t>
        </is>
      </c>
      <c r="D176" s="15" t="n"/>
      <c r="E176" s="15" t="n"/>
      <c r="F176" s="16" t="n"/>
      <c r="G176" s="17" t="inlineStr">
        <is>
          <t>7_100330895</t>
        </is>
      </c>
      <c r="H176" s="636" t="n"/>
      <c r="I176" s="17" t="n"/>
      <c r="J176" s="92" t="inlineStr">
        <is>
          <t xml:space="preserve"> тыс. т.</t>
        </is>
      </c>
    </row>
    <row r="177" ht="18.75" customHeight="1" s="904">
      <c r="B177" s="952" t="n"/>
      <c r="C177" s="799" t="inlineStr">
        <is>
          <t>ООО "Газпром добыча Ноябрьск"</t>
        </is>
      </c>
      <c r="D177" s="15" t="n"/>
      <c r="E177" s="15" t="n"/>
      <c r="F177" s="16" t="n"/>
      <c r="G177" s="17">
        <f>G95</f>
        <v/>
      </c>
      <c r="H177" s="636" t="n"/>
      <c r="I177" s="17" t="n"/>
      <c r="J177" s="92" t="inlineStr">
        <is>
          <t xml:space="preserve"> тыс. т.</t>
        </is>
      </c>
    </row>
    <row r="178" ht="18.75" customHeight="1" s="904">
      <c r="B178" s="952" t="n"/>
      <c r="C178" s="799" t="inlineStr">
        <is>
          <t>АО "Сибнефтегаз"</t>
        </is>
      </c>
      <c r="D178" s="15" t="n"/>
      <c r="E178" s="15" t="n"/>
      <c r="F178" s="16" t="n"/>
      <c r="G178" s="17">
        <f>G111</f>
        <v/>
      </c>
      <c r="H178" s="636" t="n"/>
      <c r="I178" s="17" t="n"/>
      <c r="J178" s="92" t="inlineStr">
        <is>
          <t xml:space="preserve"> тыс. т.</t>
        </is>
      </c>
    </row>
    <row r="179" ht="18.75" customHeight="1" s="904">
      <c r="B179" s="952" t="n"/>
      <c r="C179" s="102" t="inlineStr">
        <is>
          <t>нефть</t>
        </is>
      </c>
      <c r="D179" s="15" t="n"/>
      <c r="E179" s="15" t="n"/>
      <c r="F179" s="16" t="n"/>
      <c r="G179" s="17">
        <f>G114-G115-G15</f>
        <v/>
      </c>
      <c r="H179" s="636" t="n"/>
      <c r="I179" s="17" t="n"/>
      <c r="J179" s="92" t="inlineStr">
        <is>
          <t xml:space="preserve"> тыс. т.</t>
        </is>
      </c>
    </row>
    <row r="180" ht="37.5" customHeight="1" s="904">
      <c r="B180" s="952" t="n"/>
      <c r="C180" s="101" t="inlineStr">
        <is>
          <t>В адрес независимого трейдера (альтернативная схема) из объемов по ДРОД:</t>
        </is>
      </c>
      <c r="D180" s="15" t="n"/>
      <c r="E180" s="15" t="n"/>
      <c r="F180" s="16" t="n"/>
      <c r="G180" s="17">
        <f>G181+G182</f>
        <v/>
      </c>
      <c r="H180" s="636" t="n"/>
      <c r="I180" s="17" t="n"/>
      <c r="J180" s="92" t="inlineStr">
        <is>
          <t xml:space="preserve"> тыс. т.</t>
        </is>
      </c>
    </row>
    <row r="181" ht="18.75" customHeight="1" s="904">
      <c r="B181" s="952" t="n"/>
      <c r="C181" s="102" t="inlineStr">
        <is>
          <t>нестабильного газового конденсата</t>
        </is>
      </c>
      <c r="D181" s="15" t="n"/>
      <c r="E181" s="15" t="n"/>
      <c r="F181" s="16" t="n"/>
      <c r="G181" s="17">
        <f>G26+G40+G55+G74+G87</f>
        <v/>
      </c>
      <c r="H181" s="636" t="n"/>
      <c r="I181" s="17" t="n"/>
      <c r="J181" s="92" t="inlineStr">
        <is>
          <t xml:space="preserve"> тыс. т.</t>
        </is>
      </c>
    </row>
    <row r="182" ht="18.75" customHeight="1" s="904">
      <c r="B182" s="952" t="n"/>
      <c r="C182" s="102" t="inlineStr">
        <is>
          <t>нефть</t>
        </is>
      </c>
      <c r="D182" s="15" t="n"/>
      <c r="E182" s="15" t="n"/>
      <c r="F182" s="16" t="n"/>
      <c r="G182" s="17">
        <f>G119+G126+G133+G140+G154+G147+G162</f>
        <v/>
      </c>
      <c r="H182" s="636" t="n"/>
      <c r="I182" s="17" t="n"/>
      <c r="J182" s="92" t="inlineStr">
        <is>
          <t xml:space="preserve"> тыс. т.</t>
        </is>
      </c>
    </row>
    <row r="183" ht="37.5" customHeight="1" s="904">
      <c r="B183" s="952" t="n"/>
      <c r="C183" s="101" t="inlineStr">
        <is>
          <t>В адрес ООО "Газпром нефть Заполярье" (автовывоз) из объемов по ДРОД:</t>
        </is>
      </c>
      <c r="D183" s="15" t="n"/>
      <c r="E183" s="15" t="n"/>
      <c r="F183" s="16" t="n"/>
      <c r="G183" s="17">
        <f>G184+G185</f>
        <v/>
      </c>
      <c r="H183" s="636" t="n"/>
      <c r="I183" s="17" t="n"/>
      <c r="J183" s="92" t="inlineStr">
        <is>
          <t xml:space="preserve"> тыс. т.</t>
        </is>
      </c>
    </row>
    <row r="184" ht="18.75" customHeight="1" s="904">
      <c r="B184" s="952" t="n"/>
      <c r="C184" s="102" t="inlineStr">
        <is>
          <t>нестабильного газового конденсата</t>
        </is>
      </c>
      <c r="D184" s="15" t="n"/>
      <c r="E184" s="15" t="n"/>
      <c r="F184" s="16" t="n"/>
      <c r="G184" s="17">
        <f>G27+G41+G56+G75+G88</f>
        <v/>
      </c>
      <c r="H184" s="636" t="n"/>
      <c r="I184" s="17" t="n"/>
      <c r="J184" s="92" t="inlineStr">
        <is>
          <t xml:space="preserve"> тыс. т.</t>
        </is>
      </c>
    </row>
    <row r="185" ht="18.75" customHeight="1" s="904">
      <c r="B185" s="952" t="n"/>
      <c r="C185" s="102" t="inlineStr">
        <is>
          <t>нефть</t>
        </is>
      </c>
      <c r="D185" s="15" t="n"/>
      <c r="E185" s="15" t="n"/>
      <c r="F185" s="16" t="n"/>
      <c r="G185" s="17">
        <f>G127+G134+G141+G148+G155</f>
        <v/>
      </c>
      <c r="H185" s="636" t="n"/>
      <c r="I185" s="17" t="n"/>
      <c r="J185" s="92" t="inlineStr">
        <is>
          <t xml:space="preserve"> тыс. т.</t>
        </is>
      </c>
    </row>
    <row r="186" ht="19.5" customHeight="1" s="904">
      <c r="B186" s="783" t="n"/>
      <c r="C186" s="802" t="inlineStr">
        <is>
          <t>проверка</t>
        </is>
      </c>
      <c r="D186" s="15" t="n"/>
      <c r="E186" s="15" t="n"/>
      <c r="F186" s="16" t="n"/>
      <c r="G186" s="17">
        <f>G10-G169-G20-G34-G49-G64-G81-G97-G163+G204-G191-G115</f>
        <v/>
      </c>
      <c r="H186" s="636" t="n"/>
      <c r="I186" s="17" t="inlineStr">
        <is>
          <t>да</t>
        </is>
      </c>
      <c r="J186" s="97" t="inlineStr">
        <is>
          <t xml:space="preserve"> тыс. т.</t>
        </is>
      </c>
    </row>
    <row r="187" ht="18.75" customHeight="1" s="904">
      <c r="B187" s="952" t="n"/>
      <c r="C187" s="583" t="n"/>
      <c r="D187" s="15" t="n"/>
      <c r="E187" s="15" t="n"/>
      <c r="F187" s="16" t="n">
        <v>69</v>
      </c>
      <c r="G187" s="17" t="n"/>
      <c r="H187" s="636" t="n"/>
      <c r="I187" s="17" t="n"/>
      <c r="J187" s="92" t="n"/>
    </row>
    <row r="188" ht="18.75" customHeight="1" s="904">
      <c r="B188" s="952" t="inlineStr">
        <is>
          <t>II</t>
        </is>
      </c>
      <c r="C188" s="103" t="inlineStr">
        <is>
          <t>ПЕРЕРАБОТКА СЫРЬЯ И ПРОИЗВОДСТВО ПРОДУКЦИИ</t>
        </is>
      </c>
      <c r="D188" s="15" t="n"/>
      <c r="E188" s="15" t="n"/>
      <c r="F188" s="16" t="n">
        <v>70</v>
      </c>
      <c r="G188" s="17" t="n"/>
      <c r="H188" s="636" t="n"/>
      <c r="I188" s="17" t="n"/>
      <c r="J188" s="92" t="n"/>
    </row>
    <row r="189" ht="18.75" customHeight="1" s="904">
      <c r="B189" s="952" t="n"/>
      <c r="C189" s="104" t="n"/>
      <c r="D189" s="15" t="n"/>
      <c r="E189" s="15" t="n"/>
      <c r="F189" s="16" t="n">
        <v>71</v>
      </c>
      <c r="G189" s="17" t="n"/>
      <c r="H189" s="636" t="n"/>
      <c r="I189" s="17" t="n"/>
      <c r="J189" s="105" t="n"/>
    </row>
    <row r="190" ht="18.75" customHeight="1" s="904">
      <c r="B190" s="952" t="inlineStr">
        <is>
          <t>1</t>
        </is>
      </c>
      <c r="C190" s="945" t="inlineStr">
        <is>
          <t>ООО "Газпром добыча Ямбург"</t>
        </is>
      </c>
      <c r="D190" s="15" t="n"/>
      <c r="E190" s="15" t="n"/>
      <c r="F190" s="16" t="n">
        <v>72</v>
      </c>
      <c r="G190" s="17" t="n"/>
      <c r="H190" s="636" t="n"/>
      <c r="I190" s="17" t="n"/>
      <c r="J190" s="92" t="n"/>
    </row>
    <row r="191" ht="37.5" customHeight="1" s="904">
      <c r="B191" s="952" t="inlineStr">
        <is>
          <t>1.1</t>
        </is>
      </c>
      <c r="C191" s="942" t="inlineStr">
        <is>
          <t>ПЕРЕРАБОТКА НЕСТАБИЛЬНОГО ГАЗОВОГО КОНДЕНСАТА, ВСЕГО:</t>
        </is>
      </c>
      <c r="D191" s="15" t="n"/>
      <c r="E191" s="15" t="n"/>
      <c r="F191" s="16" t="n"/>
      <c r="G191" s="17" t="inlineStr">
        <is>
          <t>7_100330594</t>
        </is>
      </c>
      <c r="H191" s="636" t="n"/>
      <c r="I191" s="17" t="n"/>
      <c r="J191" s="92" t="inlineStr">
        <is>
          <t xml:space="preserve"> тыс. т.</t>
        </is>
      </c>
    </row>
    <row r="192" ht="18.75" customHeight="1" s="904">
      <c r="B192" s="952" t="inlineStr">
        <is>
          <t>1.2</t>
        </is>
      </c>
      <c r="C192" s="945" t="inlineStr">
        <is>
          <t>ПОТЕРИ СЫРЬЯ ПРИ ПЕРЕРАБОТКЕ, ВСЕГО:</t>
        </is>
      </c>
      <c r="D192" s="15" t="n"/>
      <c r="E192" s="15" t="n"/>
      <c r="F192" s="16" t="n"/>
      <c r="G192" s="17" t="inlineStr">
        <is>
          <t>7_100330598</t>
        </is>
      </c>
      <c r="H192" s="636" t="n"/>
      <c r="I192" s="17" t="n"/>
      <c r="J192" s="92" t="inlineStr">
        <is>
          <t xml:space="preserve"> тыс. т.</t>
        </is>
      </c>
    </row>
    <row r="193" ht="18.75" customHeight="1" s="904">
      <c r="B193" s="952" t="inlineStr">
        <is>
          <t>1.3</t>
        </is>
      </c>
      <c r="C193" s="945" t="inlineStr">
        <is>
          <t>ПРОИЗВОДСТВО ПРОДУКЦИИ УМПТ-15 и УМПТ-1, ВСЕГО:</t>
        </is>
      </c>
      <c r="D193" s="15" t="n"/>
      <c r="E193" s="15" t="n"/>
      <c r="F193" s="16" t="n"/>
      <c r="G193" s="17" t="inlineStr">
        <is>
          <t>7_100330049</t>
        </is>
      </c>
      <c r="H193" s="636" t="n"/>
      <c r="I193" s="17" t="n"/>
      <c r="J193" s="92" t="inlineStr">
        <is>
          <t xml:space="preserve"> тыс. т.</t>
        </is>
      </c>
    </row>
    <row r="194" ht="18.75" customHeight="1" s="904">
      <c r="B194" s="952" t="inlineStr">
        <is>
          <t>1.3.1</t>
        </is>
      </c>
      <c r="C194" s="945" t="inlineStr">
        <is>
          <t>Стабильный газовый конденсат</t>
        </is>
      </c>
      <c r="D194" s="15" t="n"/>
      <c r="E194" s="15" t="n"/>
      <c r="F194" s="16" t="n"/>
      <c r="G194" s="17" t="inlineStr">
        <is>
          <t>7_100330601</t>
        </is>
      </c>
      <c r="H194" s="636" t="n"/>
      <c r="I194" s="17" t="n"/>
      <c r="J194" s="92" t="inlineStr">
        <is>
          <t xml:space="preserve"> тыс. т.</t>
        </is>
      </c>
    </row>
    <row r="195" ht="18.75" customHeight="1" s="904">
      <c r="B195" s="106" t="n"/>
      <c r="C195" s="107" t="inlineStr">
        <is>
          <t>в т.ч. на собственные нужды</t>
        </is>
      </c>
      <c r="D195" s="15" t="n"/>
      <c r="E195" s="15" t="n"/>
      <c r="F195" s="16" t="n"/>
      <c r="G195" s="17" t="inlineStr">
        <is>
          <t>7_100330604</t>
        </is>
      </c>
      <c r="H195" s="636" t="n"/>
      <c r="I195" s="17" t="n"/>
      <c r="J195" s="92" t="inlineStr">
        <is>
          <t xml:space="preserve"> тыс. т.</t>
        </is>
      </c>
    </row>
    <row r="196" ht="18.75" customHeight="1" s="904">
      <c r="B196" s="952" t="n"/>
      <c r="C196" s="942" t="inlineStr">
        <is>
          <t>Справочно:</t>
        </is>
      </c>
      <c r="D196" s="15" t="n"/>
      <c r="E196" s="15" t="n"/>
      <c r="F196" s="16" t="n">
        <v>73</v>
      </c>
      <c r="G196" s="17" t="n"/>
      <c r="H196" s="636" t="n"/>
      <c r="I196" s="17" t="n"/>
      <c r="J196" s="92" t="inlineStr">
        <is>
          <t xml:space="preserve"> тыс. т.</t>
        </is>
      </c>
    </row>
    <row r="197" ht="18.75" customHeight="1" s="904">
      <c r="B197" s="106" t="n"/>
      <c r="C197" s="108" t="inlineStr">
        <is>
          <t>СК валовый</t>
        </is>
      </c>
      <c r="D197" s="15" t="n"/>
      <c r="E197" s="15" t="n"/>
      <c r="F197" s="16" t="n"/>
      <c r="G197" s="17" t="inlineStr">
        <is>
          <t>7_100330626</t>
        </is>
      </c>
      <c r="H197" s="636" t="n"/>
      <c r="I197" s="17" t="n"/>
      <c r="J197" s="92" t="inlineStr">
        <is>
          <t xml:space="preserve"> тыс. т.</t>
        </is>
      </c>
    </row>
    <row r="198" ht="18.75" customHeight="1" s="904">
      <c r="B198" s="106" t="n"/>
      <c r="C198" s="108" t="inlineStr">
        <is>
          <t>СК первичная переработка</t>
        </is>
      </c>
      <c r="D198" s="15" t="n"/>
      <c r="E198" s="15" t="n"/>
      <c r="F198" s="16" t="n"/>
      <c r="G198" s="17" t="inlineStr">
        <is>
          <t>7_100330629</t>
        </is>
      </c>
      <c r="H198" s="636" t="n"/>
      <c r="I198" s="17" t="n"/>
      <c r="J198" s="92" t="inlineStr">
        <is>
          <t xml:space="preserve"> тыс. т.</t>
        </is>
      </c>
    </row>
    <row r="199" ht="18.75" customHeight="1" s="904">
      <c r="B199" s="952" t="inlineStr">
        <is>
          <t>1.3.2</t>
        </is>
      </c>
      <c r="C199" s="945" t="inlineStr">
        <is>
          <t>Фракция пропан-бутановая</t>
        </is>
      </c>
      <c r="D199" s="15" t="n"/>
      <c r="E199" s="15" t="n"/>
      <c r="F199" s="16" t="n"/>
      <c r="G199" s="17" t="inlineStr">
        <is>
          <t>7_100330609</t>
        </is>
      </c>
      <c r="H199" s="636" t="n"/>
      <c r="I199" s="17" t="n"/>
      <c r="J199" s="92" t="inlineStr">
        <is>
          <t xml:space="preserve"> тыс. т.</t>
        </is>
      </c>
    </row>
    <row r="200" ht="18.75" customHeight="1" s="904">
      <c r="B200" s="952" t="inlineStr">
        <is>
          <t>1.3.3</t>
        </is>
      </c>
      <c r="C200" s="945" t="inlineStr">
        <is>
          <t>Дизельное топливо</t>
        </is>
      </c>
      <c r="D200" s="15" t="n"/>
      <c r="E200" s="15" t="n"/>
      <c r="F200" s="16" t="n"/>
      <c r="G200" s="17" t="inlineStr">
        <is>
          <t>7_100330605</t>
        </is>
      </c>
      <c r="H200" s="636" t="n"/>
      <c r="I200" s="17" t="n"/>
      <c r="J200" s="92" t="inlineStr">
        <is>
          <t xml:space="preserve"> тыс. т.</t>
        </is>
      </c>
    </row>
    <row r="201" ht="18.75" customHeight="1" s="904">
      <c r="B201" s="106" t="n"/>
      <c r="C201" s="107" t="inlineStr">
        <is>
          <t>в т.ч. на собственные нужды</t>
        </is>
      </c>
      <c r="D201" s="15" t="n"/>
      <c r="E201" s="15" t="n"/>
      <c r="F201" s="16" t="n"/>
      <c r="G201" s="17" t="inlineStr">
        <is>
          <t>7_100336116</t>
        </is>
      </c>
      <c r="H201" s="636" t="n"/>
      <c r="I201" s="17" t="n"/>
      <c r="J201" s="92" t="inlineStr">
        <is>
          <t xml:space="preserve"> тыс. т.</t>
        </is>
      </c>
    </row>
    <row r="202" ht="18.75" customHeight="1" s="904">
      <c r="B202" s="952" t="inlineStr">
        <is>
          <t>1.3.4</t>
        </is>
      </c>
      <c r="C202" s="945" t="inlineStr">
        <is>
          <t xml:space="preserve">Газы деэтанизации и стабилизации на собственные нужды </t>
        </is>
      </c>
      <c r="D202" s="15" t="n"/>
      <c r="E202" s="15" t="n"/>
      <c r="F202" s="16" t="n"/>
      <c r="G202" s="17" t="inlineStr">
        <is>
          <t>7_100330611</t>
        </is>
      </c>
      <c r="H202" s="636" t="n"/>
      <c r="I202" s="17" t="n"/>
      <c r="J202" s="92" t="inlineStr">
        <is>
          <t xml:space="preserve"> тыс. т.</t>
        </is>
      </c>
    </row>
    <row r="203" ht="18.75" customHeight="1" s="904">
      <c r="B203" s="952" t="n"/>
      <c r="D203" s="15" t="n"/>
      <c r="E203" s="15" t="n"/>
      <c r="F203" s="16" t="n"/>
      <c r="G203" s="17" t="inlineStr">
        <is>
          <t>7_100330612</t>
        </is>
      </c>
      <c r="H203" s="636" t="n"/>
      <c r="I203" s="17" t="n"/>
      <c r="J203" s="92" t="inlineStr">
        <is>
          <t>млн куб. м</t>
        </is>
      </c>
    </row>
    <row r="204" ht="18.75" customHeight="1" s="904">
      <c r="B204" s="952" t="inlineStr">
        <is>
          <t>1.3.5</t>
        </is>
      </c>
      <c r="C204" s="945" t="inlineStr">
        <is>
          <t>Возврат в нестабильный конденсат</t>
        </is>
      </c>
      <c r="D204" s="15" t="n"/>
      <c r="E204" s="15" t="n"/>
      <c r="F204" s="16" t="n"/>
      <c r="G204" s="17" t="inlineStr">
        <is>
          <t>7_100330623</t>
        </is>
      </c>
      <c r="H204" s="636" t="n"/>
      <c r="I204" s="17" t="n"/>
      <c r="J204" s="92" t="inlineStr">
        <is>
          <t xml:space="preserve"> тыс. т.</t>
        </is>
      </c>
    </row>
    <row r="205" ht="18.75" customHeight="1" s="904">
      <c r="B205" s="952" t="n"/>
      <c r="C205" s="109" t="n"/>
      <c r="D205" s="15" t="n"/>
      <c r="E205" s="15" t="n"/>
      <c r="F205" s="16" t="n">
        <v>74</v>
      </c>
      <c r="G205" s="17" t="n"/>
      <c r="H205" s="636" t="n"/>
      <c r="I205" s="17" t="n"/>
      <c r="J205" s="92" t="n"/>
    </row>
    <row r="206" ht="18.75" customHeight="1" s="904">
      <c r="B206" s="952" t="inlineStr">
        <is>
          <t>2</t>
        </is>
      </c>
      <c r="C206" s="945" t="inlineStr">
        <is>
          <t>ООО "Газпром переработка"</t>
        </is>
      </c>
      <c r="D206" s="15" t="n"/>
      <c r="E206" s="15" t="n"/>
      <c r="F206" s="16" t="n">
        <v>75</v>
      </c>
      <c r="G206" s="17" t="n"/>
      <c r="H206" s="636" t="n"/>
      <c r="I206" s="17" t="n"/>
      <c r="J206" s="92" t="inlineStr">
        <is>
          <t xml:space="preserve"> </t>
        </is>
      </c>
    </row>
    <row r="207" ht="37.5" customHeight="1" s="904">
      <c r="B207" s="952" t="n"/>
      <c r="C207" s="942" t="inlineStr">
        <is>
          <t>Комплекс Уренгойский ЗПКТ-Сургутский ЗСК с уч. привлеченных мощностей</t>
        </is>
      </c>
      <c r="D207" s="15" t="n"/>
      <c r="E207" s="15" t="n"/>
      <c r="F207" s="16" t="n">
        <v>76</v>
      </c>
      <c r="G207" s="17" t="n"/>
      <c r="H207" s="636" t="n"/>
      <c r="I207" s="17" t="n"/>
      <c r="J207" s="582" t="n"/>
    </row>
    <row r="208" ht="37.5" customHeight="1" s="904">
      <c r="B208" s="952" t="n"/>
      <c r="C208" s="101" t="inlineStr">
        <is>
          <t>ПОСТАВКА УГЛЕВОДОРОДНОГО СЫРЬЯ НА ЗАВОДЫ, ВСЕГО:</t>
        </is>
      </c>
      <c r="D208" s="15" t="n"/>
      <c r="E208" s="15" t="n"/>
      <c r="F208" s="16" t="n"/>
      <c r="G208" s="17">
        <f>G209+G238</f>
        <v/>
      </c>
      <c r="H208" s="636" t="n"/>
      <c r="I208" s="17" t="n"/>
      <c r="J208" s="110" t="inlineStr">
        <is>
          <t xml:space="preserve"> тыс. т.</t>
        </is>
      </c>
    </row>
    <row r="209" ht="37.5" customHeight="1" s="904">
      <c r="B209" s="111" t="inlineStr">
        <is>
          <t>2.1</t>
        </is>
      </c>
      <c r="C209" s="112" t="inlineStr">
        <is>
          <t>ПОСТАВКА НЕСТАБИЛЬНОГО ГАЗОВОГО КОНДЕНСАТА, ВСЕГО:</t>
        </is>
      </c>
      <c r="D209" s="15" t="n"/>
      <c r="E209" s="15" t="n"/>
      <c r="F209" s="16" t="n"/>
      <c r="G209" s="17">
        <f>G210+G237</f>
        <v/>
      </c>
      <c r="H209" s="636" t="n"/>
      <c r="I209" s="17" t="n"/>
      <c r="J209" s="110" t="inlineStr">
        <is>
          <t xml:space="preserve"> тыс. т.</t>
        </is>
      </c>
    </row>
    <row r="210" ht="18.75" customHeight="1" s="904">
      <c r="B210" s="111" t="inlineStr">
        <is>
          <t>2.1.1</t>
        </is>
      </c>
      <c r="C210" s="113" t="inlineStr">
        <is>
          <t>ПАО "ГАЗПРОМ":</t>
        </is>
      </c>
      <c r="D210" s="15" t="n"/>
      <c r="E210" s="15" t="n"/>
      <c r="F210" s="16" t="n"/>
      <c r="G210" s="17">
        <f>G211+G215+G229+G232+G234</f>
        <v/>
      </c>
      <c r="H210" s="636" t="n"/>
      <c r="I210" s="17" t="n"/>
      <c r="J210" s="110" t="inlineStr">
        <is>
          <t xml:space="preserve"> тыс. т.</t>
        </is>
      </c>
    </row>
    <row r="211" ht="18.75" customHeight="1" s="904">
      <c r="B211" s="111" t="inlineStr">
        <is>
          <t>2.1.1.1</t>
        </is>
      </c>
      <c r="C211" s="114" t="inlineStr">
        <is>
          <t>ООО "Газпром добыча Ямбург"</t>
        </is>
      </c>
      <c r="D211" s="15" t="n"/>
      <c r="E211" s="15" t="n"/>
      <c r="F211" s="16" t="n"/>
      <c r="G211" s="17">
        <f>G90-G191+G204</f>
        <v/>
      </c>
      <c r="H211" s="636" t="n"/>
      <c r="I211" s="17" t="n"/>
      <c r="J211" s="110" t="inlineStr">
        <is>
          <t xml:space="preserve"> тыс. т.</t>
        </is>
      </c>
    </row>
    <row r="212" ht="18.75" customHeight="1" s="904">
      <c r="B212" s="111" t="n"/>
      <c r="C212" s="115" t="inlineStr">
        <is>
          <t>Заполярное НГКМ</t>
        </is>
      </c>
      <c r="D212" s="15" t="n"/>
      <c r="E212" s="15" t="n"/>
      <c r="F212" s="16" t="n"/>
      <c r="G212" s="17" t="inlineStr">
        <is>
          <t>4_100331802</t>
        </is>
      </c>
      <c r="H212" s="636" t="n"/>
      <c r="I212" s="17" t="n"/>
      <c r="J212" s="110" t="inlineStr">
        <is>
          <t xml:space="preserve"> тыс. т.</t>
        </is>
      </c>
    </row>
    <row r="213" ht="18.75" customHeight="1" s="904">
      <c r="B213" s="111" t="n"/>
      <c r="C213" s="115" t="inlineStr">
        <is>
          <t xml:space="preserve">Ямбургское НГКМ </t>
        </is>
      </c>
      <c r="D213" s="15" t="n"/>
      <c r="E213" s="15" t="n"/>
      <c r="F213" s="16" t="n"/>
      <c r="G213" s="17" t="inlineStr">
        <is>
          <t>4_100331803</t>
        </is>
      </c>
      <c r="H213" s="636" t="n"/>
      <c r="I213" s="17" t="n"/>
      <c r="J213" s="110" t="inlineStr">
        <is>
          <t xml:space="preserve"> тыс. т.</t>
        </is>
      </c>
    </row>
    <row r="214" ht="18.75" customHeight="1" s="904">
      <c r="B214" s="111" t="n"/>
      <c r="C214" s="107" t="inlineStr">
        <is>
          <t>в т.ч. на мощностях  ПАО "НОВАТЭК"</t>
        </is>
      </c>
      <c r="D214" s="15" t="n"/>
      <c r="E214" s="15" t="n"/>
      <c r="F214" s="16" t="n"/>
      <c r="G214" s="17" t="inlineStr">
        <is>
          <t>4_100335352</t>
        </is>
      </c>
      <c r="H214" s="636" t="n"/>
      <c r="I214" s="17" t="n"/>
      <c r="J214" s="110" t="inlineStr">
        <is>
          <t xml:space="preserve"> тыс. т.</t>
        </is>
      </c>
    </row>
    <row r="215" ht="18.75" customHeight="1" s="904">
      <c r="B215" s="111" t="inlineStr">
        <is>
          <t>2.1.1.2</t>
        </is>
      </c>
      <c r="C215" s="114" t="inlineStr">
        <is>
          <t>ООО "Газпром добыча Уренгой"</t>
        </is>
      </c>
      <c r="D215" s="15" t="n"/>
      <c r="E215" s="15" t="n"/>
      <c r="F215" s="16" t="n"/>
      <c r="G215" s="17">
        <f>G216+G219+G220+G222+G223+G224+G225+G227+G228+G218</f>
        <v/>
      </c>
      <c r="H215" s="636" t="n"/>
      <c r="I215" s="17" t="n"/>
      <c r="J215" s="110" t="inlineStr">
        <is>
          <t xml:space="preserve"> тыс. т.</t>
        </is>
      </c>
    </row>
    <row r="216" ht="18.75" customHeight="1" s="904">
      <c r="B216" s="111" t="n"/>
      <c r="C216" s="115" t="inlineStr">
        <is>
          <t>Уренгойское НГКМ</t>
        </is>
      </c>
      <c r="D216" s="15" t="n"/>
      <c r="E216" s="15" t="n"/>
      <c r="F216" s="16" t="n"/>
      <c r="G216" s="17">
        <f>G14+G15</f>
        <v/>
      </c>
      <c r="H216" s="636" t="n"/>
      <c r="I216" s="17" t="n"/>
      <c r="J216" s="110" t="inlineStr">
        <is>
          <t xml:space="preserve"> тыс. т.</t>
        </is>
      </c>
    </row>
    <row r="217" ht="18.75" customHeight="1" s="904">
      <c r="B217" s="111" t="n"/>
      <c r="C217" s="107" t="inlineStr">
        <is>
          <t>в т.ч. поставка на СЗСК</t>
        </is>
      </c>
      <c r="D217" s="15" t="n"/>
      <c r="E217" s="15" t="n"/>
      <c r="F217" s="16" t="n"/>
      <c r="G217" s="17" t="inlineStr">
        <is>
          <t>4_100335334</t>
        </is>
      </c>
      <c r="H217" s="636" t="n"/>
      <c r="I217" s="17" t="n"/>
      <c r="J217" s="110" t="inlineStr">
        <is>
          <t xml:space="preserve"> тыс. т.</t>
        </is>
      </c>
    </row>
    <row r="218" ht="18.75" customHeight="1" s="904">
      <c r="B218" s="111" t="n"/>
      <c r="C218" s="115" t="inlineStr">
        <is>
          <t>C5+ от подготовки газа деэтанизации</t>
        </is>
      </c>
      <c r="D218" s="15" t="n"/>
      <c r="E218" s="15" t="n"/>
      <c r="F218" s="16" t="n"/>
      <c r="G218" s="17" t="inlineStr">
        <is>
          <t>4_100337100</t>
        </is>
      </c>
      <c r="H218" s="636" t="n"/>
      <c r="I218" s="17" t="n"/>
      <c r="J218" s="110" t="n"/>
    </row>
    <row r="219" ht="18.75" customHeight="1" s="904">
      <c r="B219" s="111" t="n"/>
      <c r="C219" s="115" t="inlineStr">
        <is>
          <t>Уренгойское НГКМ фаза 3 (ДРОД)</t>
        </is>
      </c>
      <c r="D219" s="15" t="n"/>
      <c r="E219" s="15" t="n"/>
      <c r="F219" s="16" t="n"/>
      <c r="G219" s="17">
        <f>G24</f>
        <v/>
      </c>
      <c r="H219" s="636" t="n"/>
      <c r="I219" s="17" t="n"/>
      <c r="J219" s="110" t="inlineStr">
        <is>
          <t xml:space="preserve"> тыс. т.</t>
        </is>
      </c>
    </row>
    <row r="220" ht="18.75" customHeight="1" s="904">
      <c r="B220" s="111" t="n"/>
      <c r="C220" s="115" t="inlineStr">
        <is>
          <t>Ен-Яхинское НГКМ</t>
        </is>
      </c>
      <c r="D220" s="15" t="n"/>
      <c r="E220" s="15" t="n"/>
      <c r="F220" s="16" t="n"/>
      <c r="G220" s="17">
        <f>G29</f>
        <v/>
      </c>
      <c r="H220" s="636" t="n"/>
      <c r="I220" s="17" t="n"/>
      <c r="J220" s="110" t="inlineStr">
        <is>
          <t xml:space="preserve"> тыс. т.</t>
        </is>
      </c>
    </row>
    <row r="221" ht="18.75" customHeight="1" s="904">
      <c r="B221" s="111" t="n"/>
      <c r="C221" s="107" t="inlineStr">
        <is>
          <t>в т.ч. на мощностях  ПАО "НОВАТЭК"</t>
        </is>
      </c>
      <c r="D221" s="15" t="n"/>
      <c r="E221" s="15" t="n"/>
      <c r="F221" s="16" t="n"/>
      <c r="G221" s="17" t="inlineStr">
        <is>
          <t>4_100335353</t>
        </is>
      </c>
      <c r="H221" s="636" t="n"/>
      <c r="I221" s="17" t="n"/>
      <c r="J221" s="110" t="inlineStr">
        <is>
          <t xml:space="preserve"> тыс. т.</t>
        </is>
      </c>
    </row>
    <row r="222" ht="18.75" customHeight="1" s="904">
      <c r="B222" s="111" t="n"/>
      <c r="C222" s="115" t="inlineStr">
        <is>
          <t>Ен-Яхинское НГКМ (ДРОД)</t>
        </is>
      </c>
      <c r="D222" s="15" t="n"/>
      <c r="E222" s="15" t="n"/>
      <c r="F222" s="16" t="n"/>
      <c r="G222" s="17">
        <f>G38</f>
        <v/>
      </c>
      <c r="H222" s="636" t="n"/>
      <c r="I222" s="17" t="n"/>
      <c r="J222" s="110" t="inlineStr">
        <is>
          <t xml:space="preserve"> тыс. т.</t>
        </is>
      </c>
    </row>
    <row r="223" ht="18.75" customHeight="1" s="904">
      <c r="B223" s="111" t="n"/>
      <c r="C223" s="115" t="inlineStr">
        <is>
          <t>Ачимовские отл. 1 уч.</t>
        </is>
      </c>
      <c r="D223" s="15" t="n"/>
      <c r="E223" s="15" t="n"/>
      <c r="F223" s="16" t="n"/>
      <c r="G223" s="17">
        <f>G43</f>
        <v/>
      </c>
      <c r="H223" s="636" t="n"/>
      <c r="I223" s="17" t="n"/>
      <c r="J223" s="110" t="inlineStr">
        <is>
          <t xml:space="preserve"> тыс. т.</t>
        </is>
      </c>
    </row>
    <row r="224" ht="18.75" customHeight="1" s="904">
      <c r="B224" s="111" t="n"/>
      <c r="C224" s="115" t="inlineStr">
        <is>
          <t>Ачимовские отл. 2 уч.</t>
        </is>
      </c>
      <c r="D224" s="15" t="n"/>
      <c r="E224" s="15" t="n"/>
      <c r="F224" s="16" t="n"/>
      <c r="G224" s="17">
        <f>G44</f>
        <v/>
      </c>
      <c r="H224" s="636" t="n"/>
      <c r="I224" s="17" t="n"/>
      <c r="J224" s="110" t="inlineStr">
        <is>
          <t xml:space="preserve"> тыс. т.</t>
        </is>
      </c>
    </row>
    <row r="225" ht="18.75" customHeight="1" s="904">
      <c r="B225" s="111" t="n"/>
      <c r="C225" s="115" t="inlineStr">
        <is>
          <t>Ачимовские отл. 3 уч. (ДРОД)</t>
        </is>
      </c>
      <c r="D225" s="15" t="n"/>
      <c r="E225" s="15" t="n"/>
      <c r="F225" s="16" t="n"/>
      <c r="G225" s="17">
        <f>G53</f>
        <v/>
      </c>
      <c r="H225" s="636" t="n"/>
      <c r="I225" s="17" t="n"/>
      <c r="J225" s="110" t="inlineStr">
        <is>
          <t xml:space="preserve"> тыс. т.</t>
        </is>
      </c>
    </row>
    <row r="226" ht="18.75" customHeight="1" s="904">
      <c r="B226" s="111" t="n"/>
      <c r="C226" s="107" t="inlineStr">
        <is>
          <t>в т.ч. поставка на СЗСК</t>
        </is>
      </c>
      <c r="D226" s="15" t="n"/>
      <c r="E226" s="15" t="n"/>
      <c r="F226" s="16" t="n"/>
      <c r="G226" s="17" t="inlineStr">
        <is>
          <t>4_100335858</t>
        </is>
      </c>
      <c r="H226" s="636" t="n"/>
      <c r="I226" s="17" t="n"/>
      <c r="J226" s="110" t="inlineStr">
        <is>
          <t xml:space="preserve"> тыс. т.</t>
        </is>
      </c>
    </row>
    <row r="227" ht="18.75" customHeight="1" s="904">
      <c r="B227" s="111" t="n"/>
      <c r="C227" s="115" t="inlineStr">
        <is>
          <t>Песцовое НГКМ (ДРОД)</t>
        </is>
      </c>
      <c r="D227" s="15" t="n"/>
      <c r="E227" s="15" t="n"/>
      <c r="F227" s="16" t="n"/>
      <c r="G227" s="17">
        <f>G72</f>
        <v/>
      </c>
      <c r="H227" s="636" t="n"/>
      <c r="I227" s="17" t="n"/>
      <c r="J227" s="110" t="inlineStr">
        <is>
          <t xml:space="preserve"> тыс. т.</t>
        </is>
      </c>
    </row>
    <row r="228" ht="18.75" customHeight="1" s="904">
      <c r="B228" s="111" t="n"/>
      <c r="C228" s="115" t="inlineStr">
        <is>
          <t>Песцовое НГКМ (ачим) (ДРОД)</t>
        </is>
      </c>
      <c r="D228" s="15" t="n"/>
      <c r="E228" s="15" t="n"/>
      <c r="F228" s="16" t="n"/>
      <c r="G228" s="17">
        <f>G85</f>
        <v/>
      </c>
      <c r="H228" s="636" t="n"/>
      <c r="I228" s="17" t="n"/>
      <c r="J228" s="110" t="inlineStr">
        <is>
          <t xml:space="preserve"> тыс. т.</t>
        </is>
      </c>
    </row>
    <row r="229" ht="18.75" customHeight="1" s="904">
      <c r="B229" s="111" t="inlineStr">
        <is>
          <t>2.1.1.3</t>
        </is>
      </c>
      <c r="C229" s="114" t="inlineStr">
        <is>
          <t>АО "Ачим сбыт"</t>
        </is>
      </c>
      <c r="D229" s="15" t="n"/>
      <c r="E229" s="15" t="n"/>
      <c r="F229" s="16" t="n"/>
      <c r="G229" s="17">
        <f>G230+G231</f>
        <v/>
      </c>
      <c r="H229" s="636" t="n"/>
      <c r="I229" s="17" t="n"/>
      <c r="J229" s="110" t="inlineStr">
        <is>
          <t xml:space="preserve"> тыс. т.</t>
        </is>
      </c>
    </row>
    <row r="230" ht="18.75" customHeight="1" s="904">
      <c r="B230" s="111" t="n"/>
      <c r="C230" s="115" t="inlineStr">
        <is>
          <t>Ачимовские отл. 4 уч.</t>
        </is>
      </c>
      <c r="D230" s="15" t="n"/>
      <c r="E230" s="15" t="n"/>
      <c r="F230" s="16" t="n"/>
      <c r="G230" s="17">
        <f>G58</f>
        <v/>
      </c>
      <c r="H230" s="636" t="n"/>
      <c r="I230" s="17" t="n"/>
      <c r="J230" s="110" t="inlineStr">
        <is>
          <t xml:space="preserve"> тыс. т.</t>
        </is>
      </c>
    </row>
    <row r="231" ht="18.75" customHeight="1" s="904">
      <c r="B231" s="111" t="n"/>
      <c r="C231" s="115" t="inlineStr">
        <is>
          <t>Ачимовские отл. 5 уч.</t>
        </is>
      </c>
      <c r="D231" s="15" t="n"/>
      <c r="E231" s="15" t="n"/>
      <c r="F231" s="16" t="n"/>
      <c r="G231" s="17">
        <f>G59</f>
        <v/>
      </c>
      <c r="H231" s="636" t="n"/>
      <c r="I231" s="17" t="n"/>
      <c r="J231" s="110" t="inlineStr">
        <is>
          <t xml:space="preserve"> тыс. т.</t>
        </is>
      </c>
    </row>
    <row r="232" ht="18.75" customHeight="1" s="904">
      <c r="B232" s="111" t="inlineStr">
        <is>
          <t>2.1.1.4</t>
        </is>
      </c>
      <c r="C232" s="114" t="inlineStr">
        <is>
          <t>АО "Сибнефтегаз"</t>
        </is>
      </c>
      <c r="D232" s="15" t="n"/>
      <c r="E232" s="15" t="n"/>
      <c r="F232" s="16" t="n"/>
      <c r="G232" s="17">
        <f>G233</f>
        <v/>
      </c>
      <c r="H232" s="636" t="n"/>
      <c r="I232" s="17" t="n"/>
      <c r="J232" s="110" t="inlineStr">
        <is>
          <t xml:space="preserve"> тыс. т.</t>
        </is>
      </c>
    </row>
    <row r="233" ht="18.75" customHeight="1" s="904">
      <c r="B233" s="111" t="n"/>
      <c r="C233" s="115" t="inlineStr">
        <is>
          <t>Береговое НГКМ</t>
        </is>
      </c>
      <c r="D233" s="15" t="n"/>
      <c r="E233" s="15" t="n"/>
      <c r="F233" s="16" t="n"/>
      <c r="G233" s="17">
        <f>G110</f>
        <v/>
      </c>
      <c r="H233" s="636" t="n"/>
      <c r="I233" s="17" t="n"/>
      <c r="J233" s="110" t="inlineStr">
        <is>
          <t xml:space="preserve"> тыс. т.</t>
        </is>
      </c>
    </row>
    <row r="234" ht="18.75" customHeight="1" s="904">
      <c r="B234" s="111" t="inlineStr">
        <is>
          <t>2.1.1.5</t>
        </is>
      </c>
      <c r="C234" s="114" t="inlineStr">
        <is>
          <t>ООО "Газпром добыча Ноябрьск"</t>
        </is>
      </c>
      <c r="D234" s="15" t="n"/>
      <c r="E234" s="15" t="n"/>
      <c r="F234" s="16" t="n"/>
      <c r="G234" s="17">
        <f>G235</f>
        <v/>
      </c>
      <c r="H234" s="636" t="n"/>
      <c r="I234" s="17" t="n"/>
      <c r="J234" s="110" t="inlineStr">
        <is>
          <t xml:space="preserve"> тыс. т.</t>
        </is>
      </c>
    </row>
    <row r="235" ht="18.75" customHeight="1" s="904">
      <c r="B235" s="111" t="n"/>
      <c r="C235" s="115" t="inlineStr">
        <is>
          <t>Западно-Таркосалинское НГКМ</t>
        </is>
      </c>
      <c r="D235" s="15" t="n"/>
      <c r="E235" s="15" t="n"/>
      <c r="F235" s="16" t="n"/>
      <c r="G235" s="17">
        <f>G94</f>
        <v/>
      </c>
      <c r="H235" s="636" t="n"/>
      <c r="I235" s="17" t="n"/>
      <c r="J235" s="110" t="inlineStr">
        <is>
          <t xml:space="preserve"> тыс. т.</t>
        </is>
      </c>
    </row>
    <row r="236" ht="18.75" customHeight="1" s="904">
      <c r="B236" s="111" t="n"/>
      <c r="C236" s="107" t="inlineStr">
        <is>
          <t>в т.ч. поставка на СЗСК</t>
        </is>
      </c>
      <c r="D236" s="15" t="n"/>
      <c r="E236" s="15" t="n"/>
      <c r="F236" s="16" t="n"/>
      <c r="G236" s="17">
        <f>G95</f>
        <v/>
      </c>
      <c r="H236" s="636" t="n"/>
      <c r="I236" s="17" t="n"/>
      <c r="J236" s="110" t="inlineStr">
        <is>
          <t xml:space="preserve"> тыс. т.</t>
        </is>
      </c>
    </row>
    <row r="237" ht="18.75" customHeight="1" s="904">
      <c r="B237" s="111" t="inlineStr">
        <is>
          <t>2.1.2</t>
        </is>
      </c>
      <c r="C237" s="113" t="inlineStr">
        <is>
          <t xml:space="preserve">ООО "ГАЗПРОМ ПЕРЕРАБОТКА" </t>
        </is>
      </c>
      <c r="D237" s="15" t="n"/>
      <c r="E237" s="15" t="n"/>
      <c r="F237" s="16" t="n"/>
      <c r="G237" s="17" t="inlineStr">
        <is>
          <t>4_100333682</t>
        </is>
      </c>
      <c r="H237" s="636" t="n"/>
      <c r="I237" s="17" t="n"/>
      <c r="J237" s="110" t="inlineStr">
        <is>
          <t xml:space="preserve"> тыс. т.</t>
        </is>
      </c>
    </row>
    <row r="238" ht="18.75" customHeight="1" s="904">
      <c r="B238" s="952" t="inlineStr">
        <is>
          <t>2.2</t>
        </is>
      </c>
      <c r="C238" s="112" t="inlineStr">
        <is>
          <t>ПОСТАВКА НЕФТИ, ВСЕГО:</t>
        </is>
      </c>
      <c r="D238" s="15" t="n"/>
      <c r="E238" s="15" t="n"/>
      <c r="F238" s="16" t="n"/>
      <c r="G238" s="17">
        <f>G239+G244+G245</f>
        <v/>
      </c>
      <c r="H238" s="636" t="n"/>
      <c r="I238" s="17" t="n"/>
      <c r="J238" s="582" t="inlineStr">
        <is>
          <t xml:space="preserve"> тыс. т.</t>
        </is>
      </c>
    </row>
    <row r="239" ht="18.75" customHeight="1" s="904">
      <c r="B239" s="952" t="inlineStr">
        <is>
          <t>2.2.1</t>
        </is>
      </c>
      <c r="C239" s="113" t="inlineStr">
        <is>
          <t>ПАО "ГАЗПРОМ":</t>
        </is>
      </c>
      <c r="D239" s="15" t="n"/>
      <c r="E239" s="15" t="n"/>
      <c r="F239" s="16" t="n"/>
      <c r="G239" s="17">
        <f>G240</f>
        <v/>
      </c>
      <c r="H239" s="636" t="n"/>
      <c r="I239" s="17" t="n"/>
      <c r="J239" s="582" t="inlineStr">
        <is>
          <t xml:space="preserve"> тыс. т.</t>
        </is>
      </c>
    </row>
    <row r="240" ht="18.75" customHeight="1" s="904">
      <c r="B240" s="952" t="n"/>
      <c r="C240" s="114" t="inlineStr">
        <is>
          <t>ООО "Газпром добыча Уренгой"</t>
        </is>
      </c>
      <c r="D240" s="15" t="n"/>
      <c r="E240" s="15" t="n"/>
      <c r="F240" s="16" t="n"/>
      <c r="G240" s="17">
        <f>G241</f>
        <v/>
      </c>
      <c r="H240" s="636" t="n"/>
      <c r="I240" s="17" t="n"/>
      <c r="J240" s="582" t="inlineStr">
        <is>
          <t xml:space="preserve"> тыс. т.</t>
        </is>
      </c>
    </row>
    <row r="241" ht="18.75" customHeight="1" s="904">
      <c r="B241" s="952" t="n"/>
      <c r="C241" s="116" t="inlineStr">
        <is>
          <t>Уренгойское НГКМ</t>
        </is>
      </c>
      <c r="D241" s="15" t="n"/>
      <c r="E241" s="15" t="n"/>
      <c r="F241" s="16" t="n"/>
      <c r="G241" s="17">
        <f>G242+G243</f>
        <v/>
      </c>
      <c r="H241" s="636" t="n"/>
      <c r="I241" s="17" t="n"/>
      <c r="J241" s="582" t="inlineStr">
        <is>
          <t xml:space="preserve"> тыс. т.</t>
        </is>
      </c>
    </row>
    <row r="242" ht="18.75" customHeight="1" s="904">
      <c r="B242" s="952" t="n"/>
      <c r="C242" s="107" t="inlineStr">
        <is>
          <t>в т.ч. поставка на СЗСК</t>
        </is>
      </c>
      <c r="D242" s="15" t="n"/>
      <c r="E242" s="15" t="n"/>
      <c r="F242" s="16" t="n"/>
      <c r="G242" s="17" t="inlineStr">
        <is>
          <t>4_100331815</t>
        </is>
      </c>
      <c r="H242" s="636" t="n"/>
      <c r="I242" s="17" t="n"/>
      <c r="J242" s="582" t="inlineStr">
        <is>
          <t xml:space="preserve"> тыс. т.</t>
        </is>
      </c>
    </row>
    <row r="243" ht="18.75" customHeight="1" s="904">
      <c r="B243" s="952" t="n"/>
      <c r="C243" s="117" t="inlineStr">
        <is>
          <t>в т.ч нефть на УЗПКТ (НПС)</t>
        </is>
      </c>
      <c r="D243" s="15" t="n"/>
      <c r="E243" s="15" t="n"/>
      <c r="F243" s="16" t="n"/>
      <c r="G243" s="17">
        <f>G114-G115-G15-G242</f>
        <v/>
      </c>
      <c r="H243" s="636" t="n"/>
      <c r="I243" s="17" t="n"/>
      <c r="J243" s="582" t="inlineStr">
        <is>
          <t xml:space="preserve"> тыс. т.</t>
        </is>
      </c>
    </row>
    <row r="244" ht="18.75" customHeight="1" s="904">
      <c r="B244" s="952" t="inlineStr">
        <is>
          <t>2.2.2</t>
        </is>
      </c>
      <c r="C244" s="113" t="inlineStr">
        <is>
          <t xml:space="preserve">ООО "ГАЗПРОМ ПЕРЕРАБОТКА" </t>
        </is>
      </c>
      <c r="D244" s="15" t="n"/>
      <c r="E244" s="15" t="n"/>
      <c r="F244" s="16" t="n"/>
      <c r="G244" s="17" t="inlineStr">
        <is>
          <t>4_100333678</t>
        </is>
      </c>
      <c r="H244" s="636" t="n"/>
      <c r="I244" s="17" t="n"/>
      <c r="J244" s="582" t="inlineStr">
        <is>
          <t xml:space="preserve"> тыс. т.</t>
        </is>
      </c>
    </row>
    <row r="245" ht="18.75" customHeight="1" s="904">
      <c r="B245" s="952" t="inlineStr">
        <is>
          <t>2.2.3</t>
        </is>
      </c>
      <c r="C245" s="113" t="inlineStr">
        <is>
          <t>ООО "ГАЗПРОМ ДОБЫЧА УРЕНГОЙ"</t>
        </is>
      </c>
      <c r="D245" s="15" t="n"/>
      <c r="E245" s="15" t="n"/>
      <c r="F245" s="16" t="n"/>
      <c r="G245" s="17" t="inlineStr">
        <is>
          <t>4_100335034</t>
        </is>
      </c>
      <c r="H245" s="636" t="n"/>
      <c r="I245" s="17" t="n"/>
      <c r="J245" s="582" t="inlineStr">
        <is>
          <t xml:space="preserve"> тыс. т.</t>
        </is>
      </c>
    </row>
    <row r="246" ht="18.75" customHeight="1" s="904">
      <c r="B246" s="952" t="n"/>
      <c r="C246" s="942" t="inlineStr">
        <is>
          <t>Справочно:</t>
        </is>
      </c>
      <c r="D246" s="15" t="n"/>
      <c r="E246" s="15" t="n"/>
      <c r="F246" s="16" t="n">
        <v>77</v>
      </c>
      <c r="G246" s="17" t="n"/>
      <c r="H246" s="636" t="n"/>
      <c r="I246" s="17" t="n"/>
      <c r="J246" s="582" t="n"/>
    </row>
    <row r="247" ht="18.75" customHeight="1" s="904">
      <c r="B247" s="952" t="n"/>
      <c r="C247" s="113" t="inlineStr">
        <is>
          <t>Ачимовские отложения всего (без ДРОД)</t>
        </is>
      </c>
      <c r="D247" s="15" t="n"/>
      <c r="E247" s="15" t="n"/>
      <c r="F247" s="16" t="n"/>
      <c r="G247" s="17">
        <f>G43+G44+G58+G59</f>
        <v/>
      </c>
      <c r="H247" s="636" t="n"/>
      <c r="I247" s="17" t="n"/>
      <c r="J247" s="582" t="inlineStr">
        <is>
          <t xml:space="preserve"> тыс. т.</t>
        </is>
      </c>
    </row>
    <row r="248" ht="18.75" customHeight="1" s="904">
      <c r="B248" s="952" t="n"/>
      <c r="C248" s="116" t="inlineStr">
        <is>
          <t xml:space="preserve"> в т.ч. на мощности мобильных установок на процессинг</t>
        </is>
      </c>
      <c r="D248" s="15" t="n"/>
      <c r="E248" s="15" t="n"/>
      <c r="F248" s="16" t="n"/>
      <c r="G248" s="17" t="inlineStr">
        <is>
          <t>4_100335355</t>
        </is>
      </c>
      <c r="H248" s="636" t="n"/>
      <c r="I248" s="17" t="n"/>
      <c r="J248" s="582" t="inlineStr">
        <is>
          <t xml:space="preserve"> тыс. т.</t>
        </is>
      </c>
    </row>
    <row r="249" ht="37.5" customHeight="1" s="904">
      <c r="B249" s="111" t="inlineStr">
        <is>
          <t>2.3</t>
        </is>
      </c>
      <c r="C249" s="101" t="inlineStr">
        <is>
          <t>ПЕРЕРАБОТКА УГЛЕВОДОРОДНОГО СЫРЬЯ ПАО "ГАЗПРОМ":</t>
        </is>
      </c>
      <c r="D249" s="15" t="n"/>
      <c r="E249" s="15" t="n"/>
      <c r="F249" s="16" t="n"/>
      <c r="G249" s="17">
        <f>G250+G272</f>
        <v/>
      </c>
      <c r="H249" s="636" t="n"/>
      <c r="I249" s="17" t="n"/>
      <c r="J249" s="110" t="inlineStr">
        <is>
          <t xml:space="preserve"> тыс. т.</t>
        </is>
      </c>
    </row>
    <row r="250" ht="56.25" customHeight="1" s="904">
      <c r="B250" s="952" t="inlineStr">
        <is>
          <t>2.3.1</t>
        </is>
      </c>
      <c r="C250" s="942" t="inlineStr">
        <is>
          <t>ПЕРЕРАБОТКА НЕСТАБИЛЬНОГО ГАЗОВОГО КОНДЕНСАТА, 
ПАО "ГАЗПРОМ" ВСЕГО:</t>
        </is>
      </c>
      <c r="D250" s="15" t="n"/>
      <c r="E250" s="15" t="n"/>
      <c r="F250" s="16" t="n"/>
      <c r="G250" s="17">
        <f>G251+G254+G265+G268+G270</f>
        <v/>
      </c>
      <c r="H250" s="636" t="n"/>
      <c r="I250" s="17" t="n"/>
      <c r="J250" s="110" t="inlineStr">
        <is>
          <t xml:space="preserve"> тыс. т.</t>
        </is>
      </c>
    </row>
    <row r="251" ht="18.75" customHeight="1" s="904">
      <c r="B251" s="952" t="inlineStr">
        <is>
          <t>2.3.1.1</t>
        </is>
      </c>
      <c r="C251" s="114" t="inlineStr">
        <is>
          <t>ООО "Газпром добыча Ямбург"</t>
        </is>
      </c>
      <c r="D251" s="15" t="n"/>
      <c r="E251" s="15" t="n"/>
      <c r="F251" s="16" t="n"/>
      <c r="G251" s="17">
        <f>G252+G253</f>
        <v/>
      </c>
      <c r="H251" s="636" t="n"/>
      <c r="I251" s="17" t="n"/>
      <c r="J251" s="110" t="inlineStr">
        <is>
          <t xml:space="preserve"> тыс. т.</t>
        </is>
      </c>
    </row>
    <row r="252" ht="18.75" customHeight="1" s="904">
      <c r="B252" s="952" t="n"/>
      <c r="C252" s="115" t="inlineStr">
        <is>
          <t xml:space="preserve">Заполярное НГКМ </t>
        </is>
      </c>
      <c r="D252" s="15" t="n"/>
      <c r="E252" s="15" t="n"/>
      <c r="F252" s="16" t="n"/>
      <c r="G252" s="17">
        <f>G212</f>
        <v/>
      </c>
      <c r="H252" s="636" t="n"/>
      <c r="I252" s="17" t="n"/>
      <c r="J252" s="110" t="inlineStr">
        <is>
          <t xml:space="preserve"> тыс. т.</t>
        </is>
      </c>
    </row>
    <row r="253" ht="18.75" customHeight="1" s="904">
      <c r="B253" s="952" t="n"/>
      <c r="C253" s="116" t="inlineStr">
        <is>
          <t>Ямбургское НГКМ</t>
        </is>
      </c>
      <c r="D253" s="15" t="n"/>
      <c r="E253" s="15" t="n"/>
      <c r="F253" s="16" t="n"/>
      <c r="G253" s="17">
        <f>G213-G416+G417</f>
        <v/>
      </c>
      <c r="H253" s="636" t="n"/>
      <c r="I253" s="17" t="n"/>
      <c r="J253" s="110" t="inlineStr">
        <is>
          <t xml:space="preserve"> тыс. т.</t>
        </is>
      </c>
    </row>
    <row r="254" ht="18.75" customHeight="1" s="904">
      <c r="B254" s="952" t="inlineStr">
        <is>
          <t>2.3.1.2</t>
        </is>
      </c>
      <c r="C254" s="114" t="inlineStr">
        <is>
          <t>ООО "Газпром добыча Уренгой"</t>
        </is>
      </c>
      <c r="D254" s="15" t="n"/>
      <c r="E254" s="15" t="n"/>
      <c r="F254" s="16" t="n"/>
      <c r="G254" s="17">
        <f>G255+G257+G258+G259+G260+G261+G262+G263+G264</f>
        <v/>
      </c>
      <c r="H254" s="636" t="n"/>
      <c r="I254" s="17" t="n"/>
      <c r="J254" s="110" t="inlineStr">
        <is>
          <t xml:space="preserve"> тыс. т.</t>
        </is>
      </c>
    </row>
    <row r="255" ht="18.75" customHeight="1" s="904">
      <c r="B255" s="952" t="n"/>
      <c r="C255" s="115" t="inlineStr">
        <is>
          <t>Уренгойское НГКМ</t>
        </is>
      </c>
      <c r="D255" s="15" t="n"/>
      <c r="E255" s="15" t="n"/>
      <c r="F255" s="16" t="n"/>
      <c r="G255" s="17">
        <f>G216</f>
        <v/>
      </c>
      <c r="H255" s="636" t="n"/>
      <c r="I255" s="17" t="n"/>
      <c r="J255" s="110" t="inlineStr">
        <is>
          <t xml:space="preserve"> тыс. т.</t>
        </is>
      </c>
    </row>
    <row r="256" ht="18.75" customHeight="1" s="904">
      <c r="B256" s="952" t="n"/>
      <c r="C256" s="115" t="inlineStr">
        <is>
          <t>C5+ от подготовки газа деэтанизации</t>
        </is>
      </c>
      <c r="D256" s="774" t="n"/>
      <c r="E256" s="774" t="n"/>
      <c r="F256" s="775" t="n"/>
      <c r="G256" s="776">
        <f>G218</f>
        <v/>
      </c>
      <c r="H256" s="776" t="n"/>
      <c r="I256" s="776" t="n"/>
      <c r="J256" s="110" t="inlineStr">
        <is>
          <t xml:space="preserve"> тыс. т.</t>
        </is>
      </c>
    </row>
    <row r="257" ht="18.75" customHeight="1" s="904">
      <c r="B257" s="952" t="n"/>
      <c r="C257" s="116" t="inlineStr">
        <is>
          <t>Уренгойское НГКМ фаза 3 (ДРОД)</t>
        </is>
      </c>
      <c r="D257" s="15" t="n"/>
      <c r="E257" s="15" t="n"/>
      <c r="F257" s="16" t="n"/>
      <c r="G257" s="17">
        <f>G219</f>
        <v/>
      </c>
      <c r="H257" s="636" t="n"/>
      <c r="I257" s="17" t="n"/>
      <c r="J257" s="582" t="inlineStr">
        <is>
          <t xml:space="preserve"> тыс. т.</t>
        </is>
      </c>
    </row>
    <row r="258" ht="18.75" customHeight="1" s="904">
      <c r="B258" s="952" t="n"/>
      <c r="C258" s="115" t="inlineStr">
        <is>
          <t>Ен-Яхинское НГКМ</t>
        </is>
      </c>
      <c r="D258" s="15" t="n"/>
      <c r="E258" s="15" t="n"/>
      <c r="F258" s="16" t="n"/>
      <c r="G258" s="17">
        <f>G220-G221</f>
        <v/>
      </c>
      <c r="H258" s="636" t="n"/>
      <c r="I258" s="17" t="n"/>
      <c r="J258" s="110" t="inlineStr">
        <is>
          <t xml:space="preserve"> тыс. т.</t>
        </is>
      </c>
    </row>
    <row r="259" ht="18.75" customHeight="1" s="904">
      <c r="B259" s="952" t="n"/>
      <c r="C259" s="116" t="inlineStr">
        <is>
          <t>Ен-Яхинское НГКМ (ДРОД)</t>
        </is>
      </c>
      <c r="D259" s="15" t="n"/>
      <c r="E259" s="15" t="n"/>
      <c r="F259" s="16" t="n"/>
      <c r="G259" s="17">
        <f>G222</f>
        <v/>
      </c>
      <c r="H259" s="636" t="n"/>
      <c r="I259" s="17" t="n"/>
      <c r="J259" s="110" t="inlineStr">
        <is>
          <t xml:space="preserve"> тыс. т.</t>
        </is>
      </c>
    </row>
    <row r="260" ht="18.75" customHeight="1" s="904">
      <c r="B260" s="952" t="n"/>
      <c r="C260" s="115" t="inlineStr">
        <is>
          <t>Ачимовские отл. 1 уч.</t>
        </is>
      </c>
      <c r="D260" s="15" t="n"/>
      <c r="E260" s="15" t="n"/>
      <c r="F260" s="16" t="n"/>
      <c r="G260" s="17">
        <f>G223</f>
        <v/>
      </c>
      <c r="H260" s="636" t="n"/>
      <c r="I260" s="17" t="n"/>
      <c r="J260" s="110" t="inlineStr">
        <is>
          <t xml:space="preserve"> тыс. т.</t>
        </is>
      </c>
    </row>
    <row r="261" ht="18.75" customHeight="1" s="904">
      <c r="B261" s="952" t="n"/>
      <c r="C261" s="116" t="inlineStr">
        <is>
          <t>Ачимовские отл. 2 уч.</t>
        </is>
      </c>
      <c r="D261" s="15" t="n"/>
      <c r="E261" s="15" t="n"/>
      <c r="F261" s="16" t="n"/>
      <c r="G261" s="17">
        <f>G224</f>
        <v/>
      </c>
      <c r="H261" s="636" t="n"/>
      <c r="I261" s="17" t="n"/>
      <c r="J261" s="110" t="inlineStr">
        <is>
          <t xml:space="preserve"> тыс. т.</t>
        </is>
      </c>
    </row>
    <row r="262" ht="18.75" customHeight="1" s="904">
      <c r="B262" s="952" t="n"/>
      <c r="C262" s="115" t="inlineStr">
        <is>
          <t>Ачимовские отл. 3 уч. (ДРОД)</t>
        </is>
      </c>
      <c r="D262" s="15" t="n"/>
      <c r="E262" s="15" t="n"/>
      <c r="F262" s="16" t="n"/>
      <c r="G262" s="17">
        <f>G225</f>
        <v/>
      </c>
      <c r="H262" s="636" t="n"/>
      <c r="I262" s="17" t="n"/>
      <c r="J262" s="110" t="inlineStr">
        <is>
          <t xml:space="preserve"> тыс. т.</t>
        </is>
      </c>
    </row>
    <row r="263" ht="18.75" customHeight="1" s="904">
      <c r="B263" s="952" t="n"/>
      <c r="C263" s="116" t="inlineStr">
        <is>
          <t>Песцовое НГКМ (ДРОД)</t>
        </is>
      </c>
      <c r="D263" s="15" t="n"/>
      <c r="E263" s="15" t="n"/>
      <c r="F263" s="16" t="n"/>
      <c r="G263" s="17">
        <f>G227</f>
        <v/>
      </c>
      <c r="H263" s="636" t="n"/>
      <c r="I263" s="17" t="n"/>
      <c r="J263" s="110" t="inlineStr">
        <is>
          <t xml:space="preserve"> тыс. т.</t>
        </is>
      </c>
    </row>
    <row r="264" ht="18.75" customHeight="1" s="904">
      <c r="B264" s="952" t="n"/>
      <c r="C264" s="115" t="inlineStr">
        <is>
          <t>Песцовое НГКМ (ачим) (ДРОД)</t>
        </is>
      </c>
      <c r="D264" s="15" t="n"/>
      <c r="E264" s="15" t="n"/>
      <c r="F264" s="16" t="n"/>
      <c r="G264" s="17">
        <f>G228</f>
        <v/>
      </c>
      <c r="H264" s="636" t="n"/>
      <c r="I264" s="17" t="n"/>
      <c r="J264" s="110" t="inlineStr">
        <is>
          <t xml:space="preserve"> тыс. т.</t>
        </is>
      </c>
    </row>
    <row r="265" ht="18.75" customHeight="1" s="904">
      <c r="B265" s="952" t="inlineStr">
        <is>
          <t>2.3.1.3</t>
        </is>
      </c>
      <c r="C265" s="114" t="inlineStr">
        <is>
          <t>АО "Ачим сбыт"</t>
        </is>
      </c>
      <c r="D265" s="15" t="n"/>
      <c r="E265" s="15" t="n"/>
      <c r="F265" s="16" t="n"/>
      <c r="G265" s="17">
        <f>G266+G267</f>
        <v/>
      </c>
      <c r="H265" s="636" t="n"/>
      <c r="I265" s="17" t="n"/>
      <c r="J265" s="110" t="inlineStr">
        <is>
          <t xml:space="preserve"> тыс. т.</t>
        </is>
      </c>
    </row>
    <row r="266" ht="18.75" customHeight="1" s="904">
      <c r="B266" s="952" t="n"/>
      <c r="C266" s="115" t="inlineStr">
        <is>
          <t>Ачимовские отл. 4 уч.</t>
        </is>
      </c>
      <c r="D266" s="15" t="n"/>
      <c r="E266" s="15" t="n"/>
      <c r="F266" s="16" t="n"/>
      <c r="G266" s="17">
        <f>G230</f>
        <v/>
      </c>
      <c r="H266" s="636" t="n"/>
      <c r="I266" s="17" t="n"/>
      <c r="J266" s="110" t="inlineStr">
        <is>
          <t xml:space="preserve"> тыс. т.</t>
        </is>
      </c>
    </row>
    <row r="267" ht="18.75" customHeight="1" s="904">
      <c r="B267" s="952" t="n"/>
      <c r="C267" s="115" t="inlineStr">
        <is>
          <t>Ачимовские отл. 5 уч.</t>
        </is>
      </c>
      <c r="D267" s="15" t="n"/>
      <c r="E267" s="15" t="n"/>
      <c r="F267" s="16" t="n"/>
      <c r="G267" s="17">
        <f>G231</f>
        <v/>
      </c>
      <c r="H267" s="636" t="n"/>
      <c r="I267" s="17" t="n"/>
      <c r="J267" s="110" t="inlineStr">
        <is>
          <t xml:space="preserve"> тыс. т.</t>
        </is>
      </c>
    </row>
    <row r="268" ht="18.75" customHeight="1" s="904">
      <c r="B268" s="952" t="inlineStr">
        <is>
          <t>2.3.1.4</t>
        </is>
      </c>
      <c r="C268" s="114" t="inlineStr">
        <is>
          <t>АО "Сибнефтегаз"</t>
        </is>
      </c>
      <c r="D268" s="15" t="n"/>
      <c r="E268" s="15" t="n"/>
      <c r="F268" s="16" t="n"/>
      <c r="G268" s="17">
        <f>G269</f>
        <v/>
      </c>
      <c r="H268" s="636" t="n"/>
      <c r="I268" s="17" t="n"/>
      <c r="J268" s="110" t="inlineStr">
        <is>
          <t xml:space="preserve"> тыс. т.</t>
        </is>
      </c>
    </row>
    <row r="269" ht="18.75" customHeight="1" s="904">
      <c r="B269" s="952" t="n"/>
      <c r="C269" s="115" t="inlineStr">
        <is>
          <t>Береговое НГКМ</t>
        </is>
      </c>
      <c r="D269" s="15" t="n"/>
      <c r="E269" s="15" t="n"/>
      <c r="F269" s="16" t="n"/>
      <c r="G269" s="17">
        <f>G233</f>
        <v/>
      </c>
      <c r="H269" s="636" t="n"/>
      <c r="I269" s="17" t="n"/>
      <c r="J269" s="110" t="inlineStr">
        <is>
          <t xml:space="preserve"> тыс. т.</t>
        </is>
      </c>
    </row>
    <row r="270" ht="18.75" customHeight="1" s="904">
      <c r="B270" s="952" t="inlineStr">
        <is>
          <t>2.3.1.5</t>
        </is>
      </c>
      <c r="C270" s="114" t="inlineStr">
        <is>
          <t>ООО "Газпром добыча Ноябрьск"</t>
        </is>
      </c>
      <c r="D270" s="15" t="n"/>
      <c r="E270" s="15" t="n"/>
      <c r="F270" s="16" t="n"/>
      <c r="G270" s="17">
        <f>G271</f>
        <v/>
      </c>
      <c r="H270" s="636" t="n"/>
      <c r="I270" s="17" t="n"/>
      <c r="J270" s="110" t="inlineStr">
        <is>
          <t xml:space="preserve"> тыс. т.</t>
        </is>
      </c>
    </row>
    <row r="271" ht="18.75" customHeight="1" s="904">
      <c r="B271" s="952" t="n"/>
      <c r="C271" s="115" t="inlineStr">
        <is>
          <t>Западно-Таркосалинское НГКМ</t>
        </is>
      </c>
      <c r="D271" s="15" t="n"/>
      <c r="E271" s="15" t="n"/>
      <c r="F271" s="16" t="n"/>
      <c r="G271" s="17">
        <f>G235</f>
        <v/>
      </c>
      <c r="H271" s="636" t="n"/>
      <c r="I271" s="17" t="n"/>
      <c r="J271" s="110" t="inlineStr">
        <is>
          <t xml:space="preserve"> тыс. т.</t>
        </is>
      </c>
    </row>
    <row r="272" ht="18.75" customHeight="1" s="904">
      <c r="B272" s="952" t="inlineStr">
        <is>
          <t>2.3.2</t>
        </is>
      </c>
      <c r="C272" s="942" t="inlineStr">
        <is>
          <t>ПЕРЕРАБОТКА НЕФТИ, ПАО "Газпром"</t>
        </is>
      </c>
      <c r="D272" s="15" t="n"/>
      <c r="E272" s="15" t="n"/>
      <c r="F272" s="16" t="n"/>
      <c r="G272" s="17">
        <f>G241</f>
        <v/>
      </c>
      <c r="H272" s="636" t="n"/>
      <c r="I272" s="17" t="n"/>
      <c r="J272" s="110" t="inlineStr">
        <is>
          <t xml:space="preserve"> тыс. т.</t>
        </is>
      </c>
    </row>
    <row r="273" ht="18.75" customHeight="1" s="904">
      <c r="B273" s="952" t="inlineStr">
        <is>
          <t>2.4</t>
        </is>
      </c>
      <c r="C273" s="942" t="inlineStr">
        <is>
          <t>ПРИСАДКИ (ДОБАВКИ), ВСЕГО:</t>
        </is>
      </c>
      <c r="D273" s="15" t="n"/>
      <c r="E273" s="15" t="n"/>
      <c r="F273" s="16" t="n"/>
      <c r="G273" s="17">
        <f>G274+G275</f>
        <v/>
      </c>
      <c r="H273" s="636" t="n"/>
      <c r="I273" s="17" t="n"/>
      <c r="J273" s="110" t="inlineStr">
        <is>
          <t xml:space="preserve"> тыс. т.</t>
        </is>
      </c>
    </row>
    <row r="274" ht="18.75" customHeight="1" s="904">
      <c r="B274" s="952" t="n"/>
      <c r="C274" s="943" t="inlineStr">
        <is>
          <t>УЗПКТ</t>
        </is>
      </c>
      <c r="D274" s="15" t="n"/>
      <c r="E274" s="15" t="n"/>
      <c r="F274" s="16" t="n"/>
      <c r="G274" s="17" t="inlineStr">
        <is>
          <t>4_100331848</t>
        </is>
      </c>
      <c r="H274" s="636" t="n"/>
      <c r="I274" s="17" t="n"/>
      <c r="J274" s="110" t="inlineStr">
        <is>
          <t xml:space="preserve"> тыс. т.</t>
        </is>
      </c>
    </row>
    <row r="275" ht="18.75" customHeight="1" s="904">
      <c r="B275" s="952" t="n"/>
      <c r="C275" s="943" t="inlineStr">
        <is>
          <t>СЗСК</t>
        </is>
      </c>
      <c r="D275" s="15" t="n"/>
      <c r="E275" s="15" t="n"/>
      <c r="F275" s="16" t="n"/>
      <c r="G275" s="17" t="inlineStr">
        <is>
          <t>4_100331849</t>
        </is>
      </c>
      <c r="H275" s="636" t="n"/>
      <c r="I275" s="17" t="n"/>
      <c r="J275" s="110" t="inlineStr">
        <is>
          <t xml:space="preserve"> тыс. т.</t>
        </is>
      </c>
    </row>
    <row r="276" ht="18.75" customHeight="1" s="904">
      <c r="B276" s="952" t="n"/>
      <c r="C276" s="115" t="inlineStr">
        <is>
          <t>в т.ч. МТБЭ</t>
        </is>
      </c>
      <c r="D276" s="15" t="n"/>
      <c r="E276" s="15" t="n"/>
      <c r="F276" s="16" t="n"/>
      <c r="G276" s="17" t="inlineStr">
        <is>
          <t>4_100335042</t>
        </is>
      </c>
      <c r="H276" s="636" t="n"/>
      <c r="I276" s="17" t="n"/>
      <c r="J276" s="110" t="inlineStr">
        <is>
          <t xml:space="preserve"> тыс. т.</t>
        </is>
      </c>
    </row>
    <row r="277" ht="18.75" customHeight="1" s="904">
      <c r="B277" s="952" t="inlineStr">
        <is>
          <t>2.5</t>
        </is>
      </c>
      <c r="C277" s="942" t="inlineStr">
        <is>
          <t>ПОТЕРИ СЫРЬЯ ПРИ ПЕРЕРАБОТКЕ, ВСЕГО:</t>
        </is>
      </c>
      <c r="D277" s="15" t="n"/>
      <c r="E277" s="15" t="n"/>
      <c r="F277" s="16" t="n"/>
      <c r="G277" s="17">
        <f>G278+G279+G280+G281</f>
        <v/>
      </c>
      <c r="H277" s="636" t="n"/>
      <c r="I277" s="17" t="n"/>
      <c r="J277" s="110" t="inlineStr">
        <is>
          <t xml:space="preserve"> тыс. т.</t>
        </is>
      </c>
    </row>
    <row r="278" ht="18.75" customHeight="1" s="904">
      <c r="B278" s="952" t="n"/>
      <c r="C278" s="943" t="inlineStr">
        <is>
          <t>УЗПКТ</t>
        </is>
      </c>
      <c r="D278" s="15" t="n"/>
      <c r="E278" s="15" t="n"/>
      <c r="F278" s="16" t="n"/>
      <c r="G278" s="17">
        <f>G393+G399+G274-G283</f>
        <v/>
      </c>
      <c r="H278" s="636" t="n"/>
      <c r="I278" s="17" t="n"/>
      <c r="J278" s="110" t="inlineStr">
        <is>
          <t xml:space="preserve"> тыс. т.</t>
        </is>
      </c>
    </row>
    <row r="279" ht="18.75" customHeight="1" s="904">
      <c r="B279" s="952" t="n"/>
      <c r="C279" s="943" t="inlineStr">
        <is>
          <t>СЗСК</t>
        </is>
      </c>
      <c r="D279" s="15" t="n"/>
      <c r="E279" s="15" t="n"/>
      <c r="F279" s="16" t="n"/>
      <c r="G279" s="17">
        <f>G407+G275-G284</f>
        <v/>
      </c>
      <c r="H279" s="636" t="n"/>
      <c r="I279" s="17" t="n"/>
      <c r="J279" s="110" t="inlineStr">
        <is>
          <t xml:space="preserve"> тыс. т.</t>
        </is>
      </c>
    </row>
    <row r="280" ht="18.75" customHeight="1" s="904">
      <c r="B280" s="952" t="n"/>
      <c r="C280" s="951" t="inlineStr">
        <is>
          <t>На мощностях  ПАО "НОВАТЭК"</t>
        </is>
      </c>
      <c r="D280" s="15" t="n"/>
      <c r="E280" s="15" t="n"/>
      <c r="F280" s="16" t="n"/>
      <c r="G280" s="17">
        <f>G397-G285</f>
        <v/>
      </c>
      <c r="H280" s="636" t="n"/>
      <c r="I280" s="17" t="n"/>
      <c r="J280" s="110" t="inlineStr">
        <is>
          <t xml:space="preserve"> тыс. т.</t>
        </is>
      </c>
    </row>
    <row r="281" ht="18.75" customHeight="1" s="904">
      <c r="B281" s="952" t="n"/>
      <c r="C281" s="951" t="inlineStr">
        <is>
          <t>На мощностях УДК(м)</t>
        </is>
      </c>
      <c r="D281" s="15" t="n"/>
      <c r="E281" s="15" t="n"/>
      <c r="F281" s="16" t="n"/>
      <c r="G281" s="17">
        <f>G398-G286</f>
        <v/>
      </c>
      <c r="H281" s="636" t="n"/>
      <c r="I281" s="17" t="n"/>
      <c r="J281" s="110" t="inlineStr">
        <is>
          <t xml:space="preserve"> тыс. т.</t>
        </is>
      </c>
    </row>
    <row r="282" ht="18.75" customHeight="1" s="904">
      <c r="B282" s="111" t="inlineStr">
        <is>
          <t>2.6</t>
        </is>
      </c>
      <c r="C282" s="942" t="inlineStr">
        <is>
          <t>ПРОИЗВОДСТВО ПРОДУКЦИИ ПАО "ГАЗПРОМ", ВСЕГО:</t>
        </is>
      </c>
      <c r="D282" s="15" t="n"/>
      <c r="E282" s="15" t="n"/>
      <c r="F282" s="16" t="n"/>
      <c r="G282" s="17">
        <f>G283+G284+G285+G286</f>
        <v/>
      </c>
      <c r="H282" s="636" t="n"/>
      <c r="I282" s="17" t="n"/>
      <c r="J282" s="110" t="inlineStr">
        <is>
          <t xml:space="preserve"> тыс. т.</t>
        </is>
      </c>
    </row>
    <row r="283" ht="18.75" customHeight="1" s="904">
      <c r="B283" s="111" t="n"/>
      <c r="C283" s="951" t="inlineStr">
        <is>
          <t>УЗПКТ</t>
        </is>
      </c>
      <c r="D283" s="15" t="n"/>
      <c r="E283" s="15" t="n"/>
      <c r="F283" s="16" t="n"/>
      <c r="G283" s="17">
        <f>G287+G312+G326+G338+G350+G353+G356+G360+G363+G385/1000+G387+G401</f>
        <v/>
      </c>
      <c r="H283" s="636" t="n"/>
      <c r="I283" s="17" t="n"/>
      <c r="J283" s="110" t="inlineStr">
        <is>
          <t xml:space="preserve"> тыс. т.</t>
        </is>
      </c>
    </row>
    <row r="284" ht="18.75" customHeight="1" s="904">
      <c r="B284" s="111" t="n"/>
      <c r="C284" s="951" t="inlineStr">
        <is>
          <t>СЗСК</t>
        </is>
      </c>
      <c r="D284" s="15" t="n"/>
      <c r="E284" s="15" t="n"/>
      <c r="F284" s="16" t="n"/>
      <c r="G284" s="17">
        <f>G318+G341+G345+G346+G351+G354+G358+G361+G366+G386/1000+G388+G327</f>
        <v/>
      </c>
      <c r="H284" s="636" t="n"/>
      <c r="I284" s="17" t="n"/>
      <c r="J284" s="582" t="inlineStr">
        <is>
          <t xml:space="preserve"> тыс. т.</t>
        </is>
      </c>
    </row>
    <row r="285" ht="18.75" customHeight="1" s="904">
      <c r="B285" s="111" t="n"/>
      <c r="C285" s="951" t="inlineStr">
        <is>
          <t>На мощностях  ПАО "НОВАТЭК"</t>
        </is>
      </c>
      <c r="D285" s="15" t="n"/>
      <c r="E285" s="15" t="n"/>
      <c r="F285" s="16" t="n"/>
      <c r="G285" s="17">
        <f>G314+G405</f>
        <v/>
      </c>
      <c r="H285" s="636" t="n"/>
      <c r="I285" s="17" t="n"/>
      <c r="J285" s="582" t="inlineStr">
        <is>
          <t xml:space="preserve"> тыс. т.</t>
        </is>
      </c>
    </row>
    <row r="286" ht="18.75" customHeight="1" s="904">
      <c r="B286" s="111" t="n"/>
      <c r="C286" s="951" t="inlineStr">
        <is>
          <t>На мощностях УДК(м)</t>
        </is>
      </c>
      <c r="D286" s="15" t="n"/>
      <c r="E286" s="15" t="n"/>
      <c r="F286" s="16" t="n"/>
      <c r="G286" s="17">
        <f>G297+G406</f>
        <v/>
      </c>
      <c r="H286" s="636" t="n"/>
      <c r="I286" s="17" t="n"/>
      <c r="J286" s="582" t="inlineStr">
        <is>
          <t xml:space="preserve"> тыс. т.</t>
        </is>
      </c>
    </row>
    <row r="287" ht="18.75" customHeight="1" s="904">
      <c r="B287" s="952" t="inlineStr">
        <is>
          <t>2.6.1</t>
        </is>
      </c>
      <c r="C287" s="948" t="inlineStr">
        <is>
          <t>ГАЗ ДЕЭТАНИЗАЦИИ, ВСЕГО:</t>
        </is>
      </c>
      <c r="D287" s="15" t="n"/>
      <c r="E287" s="15" t="n"/>
      <c r="F287" s="16" t="n"/>
      <c r="G287" s="17">
        <f>G289+G291+G293+G295+G297</f>
        <v/>
      </c>
      <c r="H287" s="636" t="n"/>
      <c r="I287" s="17" t="n"/>
      <c r="J287" s="1057" t="inlineStr">
        <is>
          <t>тыс.т.</t>
        </is>
      </c>
    </row>
    <row r="288" ht="18.75" customHeight="1" s="904">
      <c r="B288" s="952" t="n"/>
      <c r="D288" s="15" t="n"/>
      <c r="E288" s="15" t="n"/>
      <c r="F288" s="16" t="n"/>
      <c r="G288" s="17">
        <f>G290+G292+G294+G296+G298</f>
        <v/>
      </c>
      <c r="H288" s="636" t="n"/>
      <c r="I288" s="17" t="n"/>
      <c r="J288" s="584" t="inlineStr">
        <is>
          <t>млн куб.м</t>
        </is>
      </c>
    </row>
    <row r="289" ht="18.75" customHeight="1" s="904">
      <c r="B289" s="952" t="n"/>
      <c r="C289" s="951" t="inlineStr">
        <is>
          <t>УЗПКТ в адрес ООО "Газпром добыча Уренгой"</t>
        </is>
      </c>
      <c r="D289" s="15" t="n"/>
      <c r="E289" s="15" t="n"/>
      <c r="F289" s="16" t="n"/>
      <c r="G289" s="17" t="inlineStr">
        <is>
          <t>4_100331856</t>
        </is>
      </c>
      <c r="H289" s="636" t="n"/>
      <c r="I289" s="17" t="n"/>
      <c r="J289" s="1057" t="inlineStr">
        <is>
          <t>тыс.т.</t>
        </is>
      </c>
    </row>
    <row r="290" ht="18.75" customHeight="1" s="904">
      <c r="B290" s="952" t="n"/>
      <c r="D290" s="15" t="n"/>
      <c r="E290" s="15" t="n"/>
      <c r="F290" s="16" t="n"/>
      <c r="G290" s="17" t="inlineStr">
        <is>
          <t>4_100331857</t>
        </is>
      </c>
      <c r="H290" s="636" t="n"/>
      <c r="I290" s="17" t="n"/>
      <c r="J290" s="584" t="inlineStr">
        <is>
          <t>млн куб.м</t>
        </is>
      </c>
    </row>
    <row r="291" ht="18.75" customHeight="1" s="904">
      <c r="B291" s="952" t="n"/>
      <c r="C291" s="943" t="inlineStr">
        <is>
          <t>УЗПКТ на СТН ООО "Газпром переработка"</t>
        </is>
      </c>
      <c r="D291" s="15" t="n"/>
      <c r="E291" s="15" t="n"/>
      <c r="F291" s="16" t="n"/>
      <c r="G291" s="17" t="inlineStr">
        <is>
          <t>4_100331858</t>
        </is>
      </c>
      <c r="H291" s="636" t="n"/>
      <c r="I291" s="17" t="n"/>
      <c r="J291" s="1057" t="inlineStr">
        <is>
          <t>тыс.т.</t>
        </is>
      </c>
    </row>
    <row r="292" ht="18.75" customHeight="1" s="904">
      <c r="B292" s="952" t="n"/>
      <c r="D292" s="15" t="n"/>
      <c r="E292" s="15" t="n"/>
      <c r="F292" s="16" t="n"/>
      <c r="G292" s="17" t="inlineStr">
        <is>
          <t>4_100331859</t>
        </is>
      </c>
      <c r="H292" s="636" t="n"/>
      <c r="I292" s="17" t="n"/>
      <c r="J292" s="584" t="inlineStr">
        <is>
          <t>млн куб.м</t>
        </is>
      </c>
    </row>
    <row r="293" ht="18.75" customHeight="1" s="904">
      <c r="B293" s="952" t="n"/>
      <c r="C293" s="943" t="inlineStr">
        <is>
          <t>УЗПКТ на подготовку на мощностях ГДУ,</t>
        </is>
      </c>
      <c r="D293" s="15" t="n"/>
      <c r="E293" s="15" t="n"/>
      <c r="F293" s="16" t="n"/>
      <c r="G293" s="17" t="inlineStr">
        <is>
          <t>4_100337118</t>
        </is>
      </c>
      <c r="H293" s="636" t="n"/>
      <c r="I293" s="17" t="n"/>
      <c r="J293" s="1057" t="inlineStr">
        <is>
          <t>тыс.т.</t>
        </is>
      </c>
    </row>
    <row r="294" ht="18.75" customHeight="1" s="904">
      <c r="B294" s="952" t="n"/>
      <c r="D294" s="15" t="n"/>
      <c r="E294" s="15" t="n"/>
      <c r="F294" s="16" t="n"/>
      <c r="G294" s="17" t="inlineStr">
        <is>
          <t>4_100337119</t>
        </is>
      </c>
      <c r="H294" s="636" t="n"/>
      <c r="I294" s="17" t="n"/>
      <c r="J294" s="584" t="inlineStr">
        <is>
          <t>млн куб.м</t>
        </is>
      </c>
    </row>
    <row r="295" ht="18.75" customHeight="1" s="904">
      <c r="B295" s="952" t="n"/>
      <c r="C295" s="943" t="inlineStr">
        <is>
          <t>УЗПКТ на Новоуренгойский ГХК</t>
        </is>
      </c>
      <c r="D295" s="15" t="n"/>
      <c r="E295" s="15" t="n"/>
      <c r="F295" s="16" t="n"/>
      <c r="G295" s="17" t="inlineStr">
        <is>
          <t>4_100337120</t>
        </is>
      </c>
      <c r="H295" s="636" t="n"/>
      <c r="I295" s="17" t="n"/>
      <c r="J295" s="1057" t="inlineStr">
        <is>
          <t>тыс.т.</t>
        </is>
      </c>
    </row>
    <row r="296" ht="18.75" customHeight="1" s="904">
      <c r="B296" s="952" t="n"/>
      <c r="D296" s="15" t="n"/>
      <c r="E296" s="15" t="n"/>
      <c r="F296" s="16" t="n"/>
      <c r="G296" s="17" t="inlineStr">
        <is>
          <t>4_100337121</t>
        </is>
      </c>
      <c r="H296" s="636" t="n"/>
      <c r="I296" s="17" t="n"/>
      <c r="J296" s="584" t="inlineStr">
        <is>
          <t>млн куб.м</t>
        </is>
      </c>
    </row>
    <row r="297" ht="18.75" customHeight="1" s="904">
      <c r="B297" s="952" t="n"/>
      <c r="C297" s="943" t="inlineStr">
        <is>
          <t>На мощностях УДК(м) на СТН</t>
        </is>
      </c>
      <c r="D297" s="15" t="n"/>
      <c r="E297" s="15" t="n"/>
      <c r="F297" s="16" t="n"/>
      <c r="G297" s="17" t="inlineStr">
        <is>
          <t>4_100335367</t>
        </is>
      </c>
      <c r="H297" s="636" t="n"/>
      <c r="I297" s="17" t="n"/>
      <c r="J297" s="1057" t="inlineStr">
        <is>
          <t>тыс.т.</t>
        </is>
      </c>
    </row>
    <row r="298" ht="18.75" customHeight="1" s="904">
      <c r="B298" s="952" t="n"/>
      <c r="D298" s="15" t="n"/>
      <c r="E298" s="15" t="n"/>
      <c r="F298" s="16" t="n"/>
      <c r="G298" s="17" t="inlineStr">
        <is>
          <t>4_100335368</t>
        </is>
      </c>
      <c r="H298" s="636" t="n"/>
      <c r="I298" s="17" t="n"/>
      <c r="J298" s="584" t="inlineStr">
        <is>
          <t>млн куб.м</t>
        </is>
      </c>
    </row>
    <row r="299" ht="18.75" customHeight="1" s="904">
      <c r="B299" s="952" t="n"/>
      <c r="C299" s="942" t="inlineStr">
        <is>
          <t>Справочно:</t>
        </is>
      </c>
      <c r="D299" s="15" t="n"/>
      <c r="E299" s="15" t="n"/>
      <c r="F299" s="16" t="n">
        <v>78</v>
      </c>
      <c r="G299" s="17" t="n"/>
      <c r="H299" s="636" t="n"/>
      <c r="I299" s="17" t="n"/>
      <c r="J299" s="582" t="n"/>
    </row>
    <row r="300" ht="18.75" customHeight="1" s="904">
      <c r="B300" s="952" t="n"/>
      <c r="C300" s="942" t="inlineStr">
        <is>
          <t>Газ деэтанизации валовая выработка, всего:</t>
        </is>
      </c>
      <c r="D300" s="15" t="n"/>
      <c r="E300" s="15" t="n"/>
      <c r="F300" s="16" t="n"/>
      <c r="G300" s="17">
        <f>G302+G304</f>
        <v/>
      </c>
      <c r="H300" s="636" t="n"/>
      <c r="I300" s="17" t="n"/>
      <c r="J300" s="1057" t="inlineStr">
        <is>
          <t>тыс.т.</t>
        </is>
      </c>
    </row>
    <row r="301" ht="18.75" customHeight="1" s="904">
      <c r="B301" s="952" t="n"/>
      <c r="D301" s="15" t="n"/>
      <c r="E301" s="15" t="n"/>
      <c r="F301" s="16" t="n"/>
      <c r="G301" s="17">
        <f>G303+G305</f>
        <v/>
      </c>
      <c r="H301" s="636" t="n"/>
      <c r="I301" s="17" t="n"/>
      <c r="J301" s="584" t="inlineStr">
        <is>
          <t>млн куб.м</t>
        </is>
      </c>
    </row>
    <row r="302" ht="18.75" customHeight="1" s="904">
      <c r="B302" s="952" t="n"/>
      <c r="C302" s="943" t="inlineStr">
        <is>
          <t>УЗПКТ</t>
        </is>
      </c>
      <c r="D302" s="15" t="n"/>
      <c r="E302" s="15" t="n"/>
      <c r="F302" s="16" t="n"/>
      <c r="G302" s="17" t="inlineStr">
        <is>
          <t>4_100331860</t>
        </is>
      </c>
      <c r="H302" s="636" t="n"/>
      <c r="I302" s="17" t="n"/>
      <c r="J302" s="1057" t="inlineStr">
        <is>
          <t>тыс.т.</t>
        </is>
      </c>
    </row>
    <row r="303" ht="18.75" customHeight="1" s="904">
      <c r="B303" s="952" t="n"/>
      <c r="D303" s="15" t="n"/>
      <c r="E303" s="15" t="n"/>
      <c r="F303" s="16" t="n"/>
      <c r="G303" s="17" t="inlineStr">
        <is>
          <t>4_100331861</t>
        </is>
      </c>
      <c r="H303" s="636" t="n"/>
      <c r="I303" s="17" t="n"/>
      <c r="J303" s="584" t="inlineStr">
        <is>
          <t>млн куб.м</t>
        </is>
      </c>
    </row>
    <row r="304" ht="18.75" customHeight="1" s="904">
      <c r="B304" s="952" t="n"/>
      <c r="C304" s="943" t="inlineStr">
        <is>
          <t>На мощностях УДК(м)</t>
        </is>
      </c>
      <c r="D304" s="15" t="n"/>
      <c r="E304" s="15" t="n"/>
      <c r="F304" s="16" t="n"/>
      <c r="G304" s="17" t="inlineStr">
        <is>
          <t>4_100335879</t>
        </is>
      </c>
      <c r="H304" s="636" t="n"/>
      <c r="I304" s="17" t="n"/>
      <c r="J304" s="1057" t="inlineStr">
        <is>
          <t>тыс.т.</t>
        </is>
      </c>
    </row>
    <row r="305" ht="18.75" customHeight="1" s="904">
      <c r="B305" s="952" t="n"/>
      <c r="D305" s="15" t="n"/>
      <c r="E305" s="15" t="n"/>
      <c r="F305" s="16" t="n"/>
      <c r="G305" s="17" t="inlineStr">
        <is>
          <t>4_100335880</t>
        </is>
      </c>
      <c r="H305" s="636" t="n"/>
      <c r="I305" s="17" t="n"/>
      <c r="J305" s="584" t="inlineStr">
        <is>
          <t>млн куб.м</t>
        </is>
      </c>
    </row>
    <row r="306" ht="18.75" customHeight="1" s="904">
      <c r="B306" s="952" t="n"/>
      <c r="C306" s="942" t="inlineStr">
        <is>
          <t>Газ деэтанизации на переработку, всего:</t>
        </is>
      </c>
      <c r="D306" s="15" t="n"/>
      <c r="E306" s="15" t="n"/>
      <c r="F306" s="16" t="n"/>
      <c r="G306" s="17">
        <f>G308</f>
        <v/>
      </c>
      <c r="H306" s="636" t="n"/>
      <c r="I306" s="17" t="n"/>
      <c r="J306" s="1057" t="inlineStr">
        <is>
          <t>тыс.т.</t>
        </is>
      </c>
    </row>
    <row r="307" ht="18.75" customHeight="1" s="904">
      <c r="B307" s="952" t="n"/>
      <c r="D307" s="15" t="n"/>
      <c r="E307" s="15" t="n"/>
      <c r="F307" s="16" t="n"/>
      <c r="G307" s="17">
        <f>G309</f>
        <v/>
      </c>
      <c r="H307" s="636" t="n"/>
      <c r="I307" s="17" t="n"/>
      <c r="J307" s="584" t="inlineStr">
        <is>
          <t>млн куб.м</t>
        </is>
      </c>
    </row>
    <row r="308" ht="18.75" customHeight="1" s="904">
      <c r="B308" s="952" t="n"/>
      <c r="C308" s="943" t="inlineStr">
        <is>
          <t>УЗПКТ</t>
        </is>
      </c>
      <c r="D308" s="15" t="n"/>
      <c r="E308" s="15" t="n"/>
      <c r="F308" s="16" t="n"/>
      <c r="G308" s="17" t="inlineStr">
        <is>
          <t>4_100335881</t>
        </is>
      </c>
      <c r="H308" s="636" t="n"/>
      <c r="I308" s="17" t="n"/>
      <c r="J308" s="1057" t="inlineStr">
        <is>
          <t>тыс.т.</t>
        </is>
      </c>
    </row>
    <row r="309" ht="18.75" customHeight="1" s="904">
      <c r="B309" s="952" t="n"/>
      <c r="D309" s="15" t="n"/>
      <c r="E309" s="15" t="n"/>
      <c r="F309" s="16" t="n"/>
      <c r="G309" s="17" t="inlineStr">
        <is>
          <t>4_100335882</t>
        </is>
      </c>
      <c r="H309" s="636" t="n"/>
      <c r="I309" s="17" t="n"/>
      <c r="J309" s="584" t="inlineStr">
        <is>
          <t>млн куб.м</t>
        </is>
      </c>
    </row>
    <row r="310" ht="18.75" customHeight="1" s="904">
      <c r="B310" s="952" t="inlineStr">
        <is>
          <t>2.6.2</t>
        </is>
      </c>
      <c r="C310" s="947" t="inlineStr">
        <is>
          <t>ГАЗ ГОРЮЧИЙ ПРИРОДНЫЙ, ВСЕГО:</t>
        </is>
      </c>
      <c r="D310" s="15" t="n"/>
      <c r="E310" s="15" t="n"/>
      <c r="F310" s="16" t="n"/>
      <c r="G310" s="17">
        <f>G312+G314</f>
        <v/>
      </c>
      <c r="H310" s="636" t="n"/>
      <c r="I310" s="17" t="n"/>
      <c r="J310" s="1057" t="inlineStr">
        <is>
          <t>тыс.т.</t>
        </is>
      </c>
    </row>
    <row r="311" ht="18.75" customHeight="1" s="904">
      <c r="B311" s="952" t="n"/>
      <c r="D311" s="15" t="n"/>
      <c r="E311" s="15" t="n"/>
      <c r="F311" s="16" t="n"/>
      <c r="G311" s="17">
        <f>G313+G315</f>
        <v/>
      </c>
      <c r="H311" s="636" t="n"/>
      <c r="I311" s="17" t="n"/>
      <c r="J311" s="584" t="inlineStr">
        <is>
          <t>млн куб.м</t>
        </is>
      </c>
    </row>
    <row r="312" ht="18.75" customHeight="1" s="904">
      <c r="B312" s="952" t="n"/>
      <c r="C312" s="943" t="inlineStr">
        <is>
          <t>УЗПКТ</t>
        </is>
      </c>
      <c r="D312" s="15" t="n"/>
      <c r="E312" s="15" t="n"/>
      <c r="F312" s="16" t="n"/>
      <c r="G312" s="17" t="inlineStr">
        <is>
          <t>4_100331870</t>
        </is>
      </c>
      <c r="H312" s="636" t="n"/>
      <c r="I312" s="17" t="n"/>
      <c r="J312" s="1057" t="inlineStr">
        <is>
          <t>тыс.т.</t>
        </is>
      </c>
    </row>
    <row r="313" ht="18.75" customHeight="1" s="904">
      <c r="B313" s="952" t="n"/>
      <c r="D313" s="15" t="n"/>
      <c r="E313" s="15" t="n"/>
      <c r="F313" s="16" t="n"/>
      <c r="G313" s="17" t="inlineStr">
        <is>
          <t>4_100331871</t>
        </is>
      </c>
      <c r="H313" s="636" t="n"/>
      <c r="I313" s="17" t="n"/>
      <c r="J313" s="584" t="inlineStr">
        <is>
          <t>млн куб.м</t>
        </is>
      </c>
    </row>
    <row r="314" ht="18.75" customHeight="1" s="904">
      <c r="B314" s="952" t="n"/>
      <c r="C314" s="943" t="inlineStr">
        <is>
          <t>На мощностях  ПАО "НОВАТЭК"</t>
        </is>
      </c>
      <c r="D314" s="15" t="n"/>
      <c r="E314" s="15" t="n"/>
      <c r="F314" s="16" t="n"/>
      <c r="G314" s="17" t="inlineStr">
        <is>
          <t>4_100335365</t>
        </is>
      </c>
      <c r="H314" s="636" t="n"/>
      <c r="I314" s="17" t="n"/>
      <c r="J314" s="1057" t="inlineStr">
        <is>
          <t>тыс.т.</t>
        </is>
      </c>
    </row>
    <row r="315" ht="18.75" customHeight="1" s="904">
      <c r="B315" s="952" t="n"/>
      <c r="D315" s="15" t="n"/>
      <c r="E315" s="15" t="n"/>
      <c r="F315" s="16" t="n"/>
      <c r="G315" s="17" t="inlineStr">
        <is>
          <t>4_100335366</t>
        </is>
      </c>
      <c r="H315" s="636" t="n"/>
      <c r="I315" s="17" t="n"/>
      <c r="J315" s="584" t="inlineStr">
        <is>
          <t>млн куб.м</t>
        </is>
      </c>
    </row>
    <row r="316" ht="18.75" customHeight="1" s="904">
      <c r="B316" s="952" t="inlineStr">
        <is>
          <t>2.6.3</t>
        </is>
      </c>
      <c r="C316" s="947" t="inlineStr">
        <is>
          <t xml:space="preserve"> ГАЗ СБРОСНОЙ, ВСЕГО:</t>
        </is>
      </c>
      <c r="D316" s="15" t="n"/>
      <c r="E316" s="15" t="n"/>
      <c r="F316" s="16" t="n"/>
      <c r="G316" s="17">
        <f>G318</f>
        <v/>
      </c>
      <c r="H316" s="636" t="n"/>
      <c r="I316" s="17" t="n"/>
      <c r="J316" s="1057" t="inlineStr">
        <is>
          <t>тыс.т.</t>
        </is>
      </c>
    </row>
    <row r="317" ht="18.75" customHeight="1" s="904">
      <c r="B317" s="952" t="n"/>
      <c r="D317" s="15" t="n"/>
      <c r="E317" s="15" t="n"/>
      <c r="F317" s="16" t="n"/>
      <c r="G317" s="17">
        <f>G319</f>
        <v/>
      </c>
      <c r="H317" s="636" t="n"/>
      <c r="I317" s="17" t="n"/>
      <c r="J317" s="584" t="inlineStr">
        <is>
          <t>млн куб.м</t>
        </is>
      </c>
    </row>
    <row r="318" ht="18.75" customHeight="1" s="904">
      <c r="B318" s="952" t="n"/>
      <c r="C318" s="943" t="inlineStr">
        <is>
          <t>СЗСК НА СТН ООО "Газпром переработка"</t>
        </is>
      </c>
      <c r="D318" s="15" t="n"/>
      <c r="E318" s="15" t="n"/>
      <c r="F318" s="16" t="n"/>
      <c r="G318" s="17" t="inlineStr">
        <is>
          <t>4_100331878</t>
        </is>
      </c>
      <c r="H318" s="636" t="n"/>
      <c r="I318" s="17" t="n"/>
      <c r="J318" s="1057" t="inlineStr">
        <is>
          <t>тыс.т.</t>
        </is>
      </c>
    </row>
    <row r="319" ht="18.75" customHeight="1" s="904">
      <c r="B319" s="952" t="n"/>
      <c r="D319" s="15" t="n"/>
      <c r="E319" s="15" t="n"/>
      <c r="F319" s="16" t="n"/>
      <c r="G319" s="17" t="inlineStr">
        <is>
          <t>4_100331879</t>
        </is>
      </c>
      <c r="H319" s="636" t="n"/>
      <c r="I319" s="17" t="n"/>
      <c r="J319" s="584" t="inlineStr">
        <is>
          <t>млн куб.м</t>
        </is>
      </c>
    </row>
    <row r="320" ht="18.75" customHeight="1" s="904">
      <c r="B320" s="952" t="n"/>
      <c r="C320" s="942" t="inlineStr">
        <is>
          <t>Справочно:</t>
        </is>
      </c>
      <c r="D320" s="15" t="n"/>
      <c r="E320" s="15" t="n"/>
      <c r="F320" s="16" t="n">
        <v>79</v>
      </c>
      <c r="G320" s="17" t="n"/>
      <c r="H320" s="636" t="n"/>
      <c r="I320" s="17" t="n"/>
      <c r="J320" s="584" t="n"/>
    </row>
    <row r="321" ht="18.75" customHeight="1" s="904">
      <c r="B321" s="952" t="n"/>
      <c r="C321" s="944" t="inlineStr">
        <is>
          <t>СЗСК валовая выработка</t>
        </is>
      </c>
      <c r="D321" s="15" t="n"/>
      <c r="E321" s="15" t="n"/>
      <c r="F321" s="16" t="n"/>
      <c r="G321" s="17" t="inlineStr">
        <is>
          <t>4_100331882</t>
        </is>
      </c>
      <c r="H321" s="636" t="n"/>
      <c r="I321" s="17" t="n"/>
      <c r="J321" s="1057" t="inlineStr">
        <is>
          <t>тыс.т.</t>
        </is>
      </c>
    </row>
    <row r="322" ht="18.75" customHeight="1" s="904">
      <c r="B322" s="952" t="n"/>
      <c r="D322" s="15" t="n"/>
      <c r="E322" s="15" t="n"/>
      <c r="F322" s="16" t="n"/>
      <c r="G322" s="17" t="inlineStr">
        <is>
          <t>4_100331883</t>
        </is>
      </c>
      <c r="H322" s="636" t="n"/>
      <c r="I322" s="17" t="n"/>
      <c r="J322" s="1057" t="inlineStr">
        <is>
          <t>тыс.т.</t>
        </is>
      </c>
    </row>
    <row r="323" ht="18.75" customHeight="1" s="904">
      <c r="B323" s="952" t="n"/>
      <c r="C323" s="944" t="inlineStr">
        <is>
          <t>СЗСК на переработку</t>
        </is>
      </c>
      <c r="D323" s="15" t="n"/>
      <c r="E323" s="15" t="n"/>
      <c r="F323" s="16" t="n"/>
      <c r="G323" s="17" t="inlineStr">
        <is>
          <t>4_100331884</t>
        </is>
      </c>
      <c r="H323" s="636" t="n"/>
      <c r="I323" s="17" t="n"/>
      <c r="J323" s="1057" t="inlineStr">
        <is>
          <t>тыс.т.</t>
        </is>
      </c>
    </row>
    <row r="324" ht="18.75" customHeight="1" s="904">
      <c r="B324" s="952" t="n"/>
      <c r="D324" s="15" t="n"/>
      <c r="E324" s="15" t="n"/>
      <c r="F324" s="16" t="n"/>
      <c r="G324" s="17" t="inlineStr">
        <is>
          <t>4_100331885</t>
        </is>
      </c>
      <c r="H324" s="636" t="n"/>
      <c r="I324" s="17" t="n"/>
      <c r="J324" s="1057" t="inlineStr">
        <is>
          <t>тыс.т.</t>
        </is>
      </c>
    </row>
    <row r="325" ht="18.75" customHeight="1" s="904">
      <c r="B325" s="952" t="inlineStr">
        <is>
          <t>2.6.4</t>
        </is>
      </c>
      <c r="C325" s="118" t="inlineStr">
        <is>
          <t>ШФЛУ ТОВАРНАЯ, ВСЕГО:</t>
        </is>
      </c>
      <c r="D325" s="15" t="n"/>
      <c r="E325" s="15" t="n"/>
      <c r="F325" s="16" t="n"/>
      <c r="G325" s="17">
        <f>G326+G327</f>
        <v/>
      </c>
      <c r="H325" s="636" t="n"/>
      <c r="I325" s="17" t="n"/>
      <c r="J325" s="1057" t="inlineStr">
        <is>
          <t>тыс.т.</t>
        </is>
      </c>
    </row>
    <row r="326" ht="18.75" customHeight="1" s="904">
      <c r="B326" s="952" t="n"/>
      <c r="C326" s="951" t="inlineStr">
        <is>
          <t>УЗПКТ</t>
        </is>
      </c>
      <c r="D326" s="15" t="n"/>
      <c r="E326" s="15" t="n"/>
      <c r="F326" s="16" t="n"/>
      <c r="G326" s="17" t="inlineStr">
        <is>
          <t>4_100331888</t>
        </is>
      </c>
      <c r="H326" s="636" t="n"/>
      <c r="I326" s="17" t="n"/>
      <c r="J326" s="1057" t="inlineStr">
        <is>
          <t>тыс.т.</t>
        </is>
      </c>
    </row>
    <row r="327" ht="18.75" customHeight="1" s="904">
      <c r="B327" s="952" t="n"/>
      <c r="C327" s="951" t="inlineStr">
        <is>
          <t>СЗСК</t>
        </is>
      </c>
      <c r="D327" s="15" t="n"/>
      <c r="E327" s="15" t="n"/>
      <c r="F327" s="16" t="n"/>
      <c r="G327" s="17" t="inlineStr">
        <is>
          <t>4_100331889</t>
        </is>
      </c>
      <c r="H327" s="636" t="n"/>
      <c r="I327" s="17" t="n"/>
      <c r="J327" s="1057" t="inlineStr">
        <is>
          <t>тыс.т.</t>
        </is>
      </c>
    </row>
    <row r="328" ht="19.5" customHeight="1" s="904">
      <c r="B328" s="952" t="n"/>
      <c r="C328" s="119" t="inlineStr">
        <is>
          <t>Справочно:</t>
        </is>
      </c>
      <c r="D328" s="15" t="n"/>
      <c r="E328" s="15" t="n"/>
      <c r="F328" s="16" t="n">
        <v>80</v>
      </c>
      <c r="G328" s="17" t="n"/>
      <c r="H328" s="636" t="n"/>
      <c r="I328" s="17" t="n"/>
      <c r="J328" s="1057" t="n"/>
    </row>
    <row r="329" ht="19.5" customHeight="1" s="904">
      <c r="B329" s="952" t="n"/>
      <c r="C329" s="120" t="inlineStr">
        <is>
          <t>ШФЛУ валовая выработка, всего:</t>
        </is>
      </c>
      <c r="D329" s="15" t="n"/>
      <c r="E329" s="15" t="n"/>
      <c r="F329" s="16" t="n"/>
      <c r="G329" s="17">
        <f>G330+G331</f>
        <v/>
      </c>
      <c r="H329" s="636" t="n"/>
      <c r="I329" s="17" t="n"/>
      <c r="J329" s="1057" t="inlineStr">
        <is>
          <t>тыс.т.</t>
        </is>
      </c>
    </row>
    <row r="330" ht="18.75" customHeight="1" s="904">
      <c r="B330" s="952" t="n"/>
      <c r="C330" s="108" t="inlineStr">
        <is>
          <t>УЗПКТ</t>
        </is>
      </c>
      <c r="D330" s="15" t="n"/>
      <c r="E330" s="15" t="n"/>
      <c r="F330" s="16" t="n"/>
      <c r="G330" s="17" t="inlineStr">
        <is>
          <t>4_100331893</t>
        </is>
      </c>
      <c r="H330" s="636" t="n"/>
      <c r="I330" s="17" t="n"/>
      <c r="J330" s="1057" t="inlineStr">
        <is>
          <t>тыс.т.</t>
        </is>
      </c>
    </row>
    <row r="331" ht="18.75" customHeight="1" s="904">
      <c r="B331" s="952" t="n"/>
      <c r="C331" s="108" t="inlineStr">
        <is>
          <t>СЗСК</t>
        </is>
      </c>
      <c r="D331" s="15" t="n"/>
      <c r="E331" s="15" t="n"/>
      <c r="F331" s="16" t="n"/>
      <c r="G331" s="17" t="inlineStr">
        <is>
          <t>4_100331894</t>
        </is>
      </c>
      <c r="H331" s="636" t="n"/>
      <c r="I331" s="17" t="n"/>
      <c r="J331" s="1057" t="inlineStr">
        <is>
          <t>тыс.т.</t>
        </is>
      </c>
    </row>
    <row r="332" ht="19.5" customHeight="1" s="904">
      <c r="B332" s="952" t="n"/>
      <c r="C332" s="120" t="inlineStr">
        <is>
          <t>ШФЛУ на переработку, всего:</t>
        </is>
      </c>
      <c r="D332" s="15" t="n"/>
      <c r="E332" s="15" t="n"/>
      <c r="F332" s="16" t="n"/>
      <c r="G332" s="17">
        <f>G333+G335</f>
        <v/>
      </c>
      <c r="H332" s="636" t="n"/>
      <c r="I332" s="17" t="n"/>
      <c r="J332" s="1057" t="inlineStr">
        <is>
          <t>тыс.т.</t>
        </is>
      </c>
    </row>
    <row r="333" ht="18.75" customHeight="1" s="904">
      <c r="B333" s="952" t="n"/>
      <c r="C333" s="108" t="inlineStr">
        <is>
          <t>УЗПКТ</t>
        </is>
      </c>
      <c r="D333" s="15" t="n"/>
      <c r="E333" s="15" t="n"/>
      <c r="F333" s="16" t="n"/>
      <c r="G333" s="17" t="inlineStr">
        <is>
          <t>4_100331896</t>
        </is>
      </c>
      <c r="H333" s="636" t="n"/>
      <c r="I333" s="17" t="n"/>
      <c r="J333" s="1057" t="inlineStr">
        <is>
          <t>тыс.т.</t>
        </is>
      </c>
    </row>
    <row r="334" ht="18.75" customHeight="1" s="904">
      <c r="B334" s="952" t="n"/>
      <c r="C334" s="121" t="inlineStr">
        <is>
          <t>в т.ч. по договору переработки</t>
        </is>
      </c>
      <c r="D334" s="15" t="n"/>
      <c r="E334" s="15" t="n"/>
      <c r="F334" s="16" t="n"/>
      <c r="G334" s="17" t="inlineStr">
        <is>
          <t>4_100335885</t>
        </is>
      </c>
      <c r="H334" s="636" t="n"/>
      <c r="I334" s="17" t="n"/>
      <c r="J334" s="1057" t="inlineStr">
        <is>
          <t>тыс.т.</t>
        </is>
      </c>
    </row>
    <row r="335" ht="18.75" customHeight="1" s="904">
      <c r="B335" s="952" t="n"/>
      <c r="C335" s="108" t="inlineStr">
        <is>
          <t>СЗСК</t>
        </is>
      </c>
      <c r="D335" s="15" t="n"/>
      <c r="E335" s="15" t="n"/>
      <c r="F335" s="16" t="n"/>
      <c r="G335" s="17" t="inlineStr">
        <is>
          <t>4_100331897</t>
        </is>
      </c>
      <c r="H335" s="636" t="n"/>
      <c r="I335" s="17" t="n"/>
      <c r="J335" s="1057" t="inlineStr">
        <is>
          <t>тыс.т.</t>
        </is>
      </c>
    </row>
    <row r="336" ht="18.75" customHeight="1" s="904">
      <c r="B336" s="952" t="n"/>
      <c r="C336" s="121" t="inlineStr">
        <is>
          <t>в т.ч. по договору переработки</t>
        </is>
      </c>
      <c r="D336" s="15" t="n"/>
      <c r="E336" s="15" t="n"/>
      <c r="F336" s="16" t="n"/>
      <c r="G336" s="17" t="inlineStr">
        <is>
          <t>4_100335886</t>
        </is>
      </c>
      <c r="H336" s="636" t="n"/>
      <c r="I336" s="17" t="n"/>
      <c r="J336" s="1057" t="inlineStr">
        <is>
          <t>тыс.т.</t>
        </is>
      </c>
    </row>
    <row r="337" ht="18.75" customHeight="1" s="904">
      <c r="B337" s="952" t="inlineStr">
        <is>
          <t>2.6.5</t>
        </is>
      </c>
      <c r="C337" s="118" t="inlineStr">
        <is>
          <t>ГАЗЫ УГЛЕВОДОРОДНЫЕ СЖИЖЕННЫЕ, ВСЕГО:</t>
        </is>
      </c>
      <c r="D337" s="15" t="n"/>
      <c r="E337" s="15" t="n"/>
      <c r="F337" s="16" t="n"/>
      <c r="G337" s="17">
        <f>G338+G341</f>
        <v/>
      </c>
      <c r="H337" s="636" t="n"/>
      <c r="I337" s="17" t="n"/>
      <c r="J337" s="582" t="inlineStr">
        <is>
          <t xml:space="preserve"> тыс. т.</t>
        </is>
      </c>
    </row>
    <row r="338" ht="18.75" customHeight="1" s="904">
      <c r="B338" s="952" t="n"/>
      <c r="C338" s="951" t="inlineStr">
        <is>
          <t>УЗПКТ</t>
        </is>
      </c>
      <c r="D338" s="15" t="n"/>
      <c r="E338" s="15" t="n"/>
      <c r="F338" s="16" t="n"/>
      <c r="G338" s="17">
        <f>G339+G340</f>
        <v/>
      </c>
      <c r="H338" s="636" t="n"/>
      <c r="I338" s="17" t="n"/>
      <c r="J338" s="582" t="inlineStr">
        <is>
          <t xml:space="preserve"> тыс. т.</t>
        </is>
      </c>
    </row>
    <row r="339" ht="18.75" customHeight="1" s="904">
      <c r="B339" s="952" t="n"/>
      <c r="C339" s="122" t="inlineStr">
        <is>
          <t>фракция пропановая</t>
        </is>
      </c>
      <c r="D339" s="15" t="n"/>
      <c r="E339" s="15" t="n"/>
      <c r="F339" s="16" t="n"/>
      <c r="G339" s="17" t="inlineStr">
        <is>
          <t>4_100332910</t>
        </is>
      </c>
      <c r="H339" s="636" t="n"/>
      <c r="I339" s="17" t="n"/>
      <c r="J339" s="582" t="inlineStr">
        <is>
          <t xml:space="preserve"> тыс. т.</t>
        </is>
      </c>
    </row>
    <row r="340" ht="18.75" customHeight="1" s="904">
      <c r="B340" s="952" t="n"/>
      <c r="C340" s="122" t="inlineStr">
        <is>
          <t>ПБТ/ПБА</t>
        </is>
      </c>
      <c r="D340" s="15" t="n"/>
      <c r="E340" s="15" t="n"/>
      <c r="F340" s="16" t="n"/>
      <c r="G340" s="17" t="inlineStr">
        <is>
          <t>4_100335420</t>
        </is>
      </c>
      <c r="H340" s="636" t="n"/>
      <c r="I340" s="17" t="n"/>
      <c r="J340" s="582" t="inlineStr">
        <is>
          <t xml:space="preserve"> тыс. т.</t>
        </is>
      </c>
    </row>
    <row r="341" ht="18.75" customHeight="1" s="904">
      <c r="B341" s="952" t="n"/>
      <c r="C341" s="951" t="inlineStr">
        <is>
          <t>СЗСК</t>
        </is>
      </c>
      <c r="D341" s="15" t="n"/>
      <c r="E341" s="15" t="n"/>
      <c r="F341" s="16" t="n"/>
      <c r="G341" s="17">
        <f>G342+G343+G344</f>
        <v/>
      </c>
      <c r="H341" s="636" t="n"/>
      <c r="I341" s="17" t="n"/>
      <c r="J341" s="582" t="inlineStr">
        <is>
          <t xml:space="preserve"> тыс. т.</t>
        </is>
      </c>
    </row>
    <row r="342" ht="18.75" customHeight="1" s="904">
      <c r="B342" s="952" t="n"/>
      <c r="C342" s="122" t="inlineStr">
        <is>
          <t>ПБА/ПБТ</t>
        </is>
      </c>
      <c r="D342" s="15" t="n"/>
      <c r="E342" s="15" t="n"/>
      <c r="F342" s="16" t="n"/>
      <c r="G342" s="17" t="inlineStr">
        <is>
          <t>4_100332911</t>
        </is>
      </c>
      <c r="H342" s="636" t="n"/>
      <c r="I342" s="17" t="n"/>
      <c r="J342" s="582" t="inlineStr">
        <is>
          <t xml:space="preserve"> тыс. т.</t>
        </is>
      </c>
    </row>
    <row r="343" ht="18.75" customHeight="1" s="904">
      <c r="B343" s="952" t="n"/>
      <c r="C343" s="122" t="inlineStr">
        <is>
          <t>пропан</t>
        </is>
      </c>
      <c r="D343" s="15" t="n"/>
      <c r="E343" s="15" t="n"/>
      <c r="F343" s="16" t="n"/>
      <c r="G343" s="17" t="inlineStr">
        <is>
          <t>4_100332912</t>
        </is>
      </c>
      <c r="H343" s="636" t="n"/>
      <c r="I343" s="17" t="n"/>
      <c r="J343" s="582" t="inlineStr">
        <is>
          <t xml:space="preserve"> тыс. т.</t>
        </is>
      </c>
    </row>
    <row r="344" ht="18.75" customHeight="1" s="904">
      <c r="B344" s="952" t="n"/>
      <c r="C344" s="122" t="inlineStr">
        <is>
          <t>бутан</t>
        </is>
      </c>
      <c r="D344" s="15" t="n"/>
      <c r="E344" s="15" t="n"/>
      <c r="F344" s="16" t="n"/>
      <c r="G344" s="17" t="inlineStr">
        <is>
          <t>4_100332913</t>
        </is>
      </c>
      <c r="H344" s="636" t="n"/>
      <c r="I344" s="17" t="n"/>
      <c r="J344" s="582" t="inlineStr">
        <is>
          <t xml:space="preserve"> тыс. т.</t>
        </is>
      </c>
    </row>
    <row r="345" ht="18.75" customHeight="1" s="904">
      <c r="B345" s="952" t="inlineStr">
        <is>
          <t>2.6.6</t>
        </is>
      </c>
      <c r="C345" s="118" t="inlineStr">
        <is>
          <t>УГЛЕВОДОРОДНАЯ ФРАКЦИЯ/ПГФ СЗСК</t>
        </is>
      </c>
      <c r="D345" s="15" t="n"/>
      <c r="E345" s="15" t="n"/>
      <c r="F345" s="16" t="n"/>
      <c r="G345" s="17" t="inlineStr">
        <is>
          <t>4_100331904</t>
        </is>
      </c>
      <c r="H345" s="636" t="n"/>
      <c r="I345" s="17" t="n"/>
      <c r="J345" s="582" t="inlineStr">
        <is>
          <t xml:space="preserve"> тыс. т.</t>
        </is>
      </c>
    </row>
    <row r="346" ht="18.75" customHeight="1" s="904">
      <c r="B346" s="952" t="inlineStr">
        <is>
          <t>2.6.7</t>
        </is>
      </c>
      <c r="C346" s="118" t="inlineStr">
        <is>
          <t>АВТОМОБИЛЬНЫЙ БЕНЗИН СЗСК, ВСЕГО:</t>
        </is>
      </c>
      <c r="D346" s="15" t="n"/>
      <c r="E346" s="15" t="n"/>
      <c r="F346" s="16" t="n"/>
      <c r="G346" s="17">
        <f>G347+G348</f>
        <v/>
      </c>
      <c r="H346" s="636" t="n"/>
      <c r="I346" s="17" t="n"/>
      <c r="J346" s="582" t="inlineStr">
        <is>
          <t xml:space="preserve"> тыс. т.</t>
        </is>
      </c>
    </row>
    <row r="347" ht="18.75" customHeight="1" s="904">
      <c r="B347" s="952" t="n"/>
      <c r="C347" s="951" t="inlineStr">
        <is>
          <t>ОЧ-92</t>
        </is>
      </c>
      <c r="D347" s="15" t="n"/>
      <c r="E347" s="15" t="n"/>
      <c r="F347" s="16" t="n"/>
      <c r="G347" s="17" t="inlineStr">
        <is>
          <t>4_100331906</t>
        </is>
      </c>
      <c r="H347" s="636" t="n"/>
      <c r="I347" s="17" t="n"/>
      <c r="J347" s="582" t="inlineStr">
        <is>
          <t xml:space="preserve"> тыс. т.</t>
        </is>
      </c>
    </row>
    <row r="348" ht="18.75" customHeight="1" s="904">
      <c r="B348" s="952" t="n"/>
      <c r="C348" s="951" t="inlineStr">
        <is>
          <t>ОЧ-95</t>
        </is>
      </c>
      <c r="D348" s="15" t="n"/>
      <c r="E348" s="15" t="n"/>
      <c r="F348" s="16" t="n"/>
      <c r="G348" s="17" t="inlineStr">
        <is>
          <t>4_100331907</t>
        </is>
      </c>
      <c r="H348" s="636" t="n"/>
      <c r="I348" s="17" t="n"/>
      <c r="J348" s="582" t="inlineStr">
        <is>
          <t xml:space="preserve"> тыс. т.</t>
        </is>
      </c>
    </row>
    <row r="349" ht="18.75" customHeight="1" s="904">
      <c r="B349" s="952" t="inlineStr">
        <is>
          <t>2.6.8</t>
        </is>
      </c>
      <c r="C349" s="948" t="inlineStr">
        <is>
          <t>ТОПЛИВО ДЛЯ РЕАКТИВНЫХ ДВИГАТЕЛЕЙ, ВСЕГО:</t>
        </is>
      </c>
      <c r="D349" s="15" t="n"/>
      <c r="E349" s="15" t="n"/>
      <c r="F349" s="16" t="n"/>
      <c r="G349" s="17">
        <f>G350+G351</f>
        <v/>
      </c>
      <c r="H349" s="636" t="n"/>
      <c r="I349" s="17" t="n"/>
      <c r="J349" s="582" t="inlineStr">
        <is>
          <t xml:space="preserve"> тыс. т.</t>
        </is>
      </c>
    </row>
    <row r="350" ht="18.75" customHeight="1" s="904">
      <c r="B350" s="952" t="n"/>
      <c r="C350" s="951" t="inlineStr">
        <is>
          <t>УЗПКТ</t>
        </is>
      </c>
      <c r="D350" s="15" t="n"/>
      <c r="E350" s="15" t="n"/>
      <c r="F350" s="16" t="n"/>
      <c r="G350" s="17" t="inlineStr">
        <is>
          <t>4_100331909</t>
        </is>
      </c>
      <c r="H350" s="636" t="n"/>
      <c r="I350" s="17" t="n"/>
      <c r="J350" s="582" t="inlineStr">
        <is>
          <t xml:space="preserve"> тыс. т.</t>
        </is>
      </c>
    </row>
    <row r="351" ht="18.75" customHeight="1" s="904">
      <c r="B351" s="952" t="n"/>
      <c r="C351" s="951" t="inlineStr">
        <is>
          <t>СЗСК</t>
        </is>
      </c>
      <c r="D351" s="15" t="n"/>
      <c r="E351" s="15" t="n"/>
      <c r="F351" s="16" t="n"/>
      <c r="G351" s="17" t="inlineStr">
        <is>
          <t>4_100331910</t>
        </is>
      </c>
      <c r="H351" s="636" t="n"/>
      <c r="I351" s="17" t="n"/>
      <c r="J351" s="582" t="inlineStr">
        <is>
          <t xml:space="preserve"> тыс. т.</t>
        </is>
      </c>
    </row>
    <row r="352" ht="18.75" customHeight="1" s="904">
      <c r="B352" s="952" t="inlineStr">
        <is>
          <t>2.6.9</t>
        </is>
      </c>
      <c r="C352" s="118" t="inlineStr">
        <is>
          <t>ДИЗЕЛЬНОЕ ТОПЛИВО, ВСЕГО:</t>
        </is>
      </c>
      <c r="D352" s="15" t="n"/>
      <c r="E352" s="15" t="n"/>
      <c r="F352" s="16" t="n"/>
      <c r="G352" s="17">
        <f>G353+G354</f>
        <v/>
      </c>
      <c r="H352" s="636" t="n"/>
      <c r="I352" s="17" t="n"/>
      <c r="J352" s="582" t="inlineStr">
        <is>
          <t xml:space="preserve"> тыс. т.</t>
        </is>
      </c>
    </row>
    <row r="353" ht="18.75" customHeight="1" s="904">
      <c r="B353" s="952" t="n"/>
      <c r="C353" s="951" t="inlineStr">
        <is>
          <t>УЗПКТ</t>
        </is>
      </c>
      <c r="D353" s="15" t="n"/>
      <c r="E353" s="15" t="n"/>
      <c r="F353" s="16" t="n"/>
      <c r="G353" s="17" t="inlineStr">
        <is>
          <t>4_100331912</t>
        </is>
      </c>
      <c r="H353" s="636" t="n"/>
      <c r="I353" s="17" t="n"/>
      <c r="J353" s="582" t="inlineStr">
        <is>
          <t xml:space="preserve"> тыс. т.</t>
        </is>
      </c>
    </row>
    <row r="354" ht="18.75" customHeight="1" s="904">
      <c r="B354" s="952" t="n"/>
      <c r="C354" s="951" t="inlineStr">
        <is>
          <t>СЗСК</t>
        </is>
      </c>
      <c r="D354" s="15" t="n"/>
      <c r="E354" s="15" t="n"/>
      <c r="F354" s="16" t="n"/>
      <c r="G354" s="17" t="inlineStr">
        <is>
          <t>4_100331913</t>
        </is>
      </c>
      <c r="H354" s="636" t="n"/>
      <c r="I354" s="17" t="n"/>
      <c r="J354" s="582" t="inlineStr">
        <is>
          <t xml:space="preserve"> тыс. т.</t>
        </is>
      </c>
    </row>
    <row r="355" ht="18.75" customHeight="1" s="904">
      <c r="B355" s="952" t="inlineStr">
        <is>
          <t>2.6.10</t>
        </is>
      </c>
      <c r="C355" s="118" t="inlineStr">
        <is>
          <t xml:space="preserve">ДИСТИЛЛЯТ ГАЗОВОГО КОНДЕНСАТА ЛЕГКИЙ, ВСЕГО: </t>
        </is>
      </c>
      <c r="D355" s="15" t="n"/>
      <c r="E355" s="15" t="n"/>
      <c r="F355" s="16" t="n"/>
      <c r="G355" s="17">
        <f>G356+G358</f>
        <v/>
      </c>
      <c r="H355" s="636" t="n"/>
      <c r="I355" s="17" t="n"/>
      <c r="J355" s="582" t="inlineStr">
        <is>
          <t xml:space="preserve"> тыс. т.</t>
        </is>
      </c>
    </row>
    <row r="356" ht="18.75" customHeight="1" s="904">
      <c r="B356" s="952" t="n"/>
      <c r="C356" s="951" t="inlineStr">
        <is>
          <t>УЗПКТ</t>
        </is>
      </c>
      <c r="D356" s="15" t="n"/>
      <c r="E356" s="15" t="n"/>
      <c r="F356" s="16" t="n"/>
      <c r="G356" s="17" t="inlineStr">
        <is>
          <t>4_100331916</t>
        </is>
      </c>
      <c r="H356" s="636" t="n"/>
      <c r="I356" s="17" t="n"/>
      <c r="J356" s="582" t="inlineStr">
        <is>
          <t xml:space="preserve"> тыс. т.</t>
        </is>
      </c>
    </row>
    <row r="357" ht="18.75" customHeight="1" s="904">
      <c r="B357" s="952" t="n"/>
      <c r="C357" s="123" t="inlineStr">
        <is>
          <t>в т.ч. с УПГД</t>
        </is>
      </c>
      <c r="D357" s="15" t="n"/>
      <c r="E357" s="15" t="n"/>
      <c r="F357" s="16" t="n"/>
      <c r="G357" s="17" t="inlineStr">
        <is>
          <t>4_100335043</t>
        </is>
      </c>
      <c r="H357" s="636" t="n"/>
      <c r="I357" s="17" t="n"/>
      <c r="J357" s="582" t="inlineStr">
        <is>
          <t xml:space="preserve"> тыс. т.</t>
        </is>
      </c>
    </row>
    <row r="358" ht="18.75" customHeight="1" s="904">
      <c r="B358" s="952" t="n"/>
      <c r="C358" s="951" t="inlineStr">
        <is>
          <t>СЗСК</t>
        </is>
      </c>
      <c r="D358" s="15" t="n"/>
      <c r="E358" s="15" t="n"/>
      <c r="F358" s="16" t="n"/>
      <c r="G358" s="17" t="inlineStr">
        <is>
          <t>4_100331917</t>
        </is>
      </c>
      <c r="H358" s="636" t="n"/>
      <c r="I358" s="17" t="n"/>
      <c r="J358" s="582" t="inlineStr">
        <is>
          <t xml:space="preserve"> тыс. т.</t>
        </is>
      </c>
    </row>
    <row r="359" ht="18.75" customHeight="1" s="904">
      <c r="B359" s="952" t="inlineStr">
        <is>
          <t>2.6.11</t>
        </is>
      </c>
      <c r="C359" s="118" t="inlineStr">
        <is>
          <t>СТАБИЛЬНЫЙ КОНДЕНСАТ ТОВАРНЫЙ, ВСЕГО:</t>
        </is>
      </c>
      <c r="D359" s="15" t="n"/>
      <c r="E359" s="15" t="n"/>
      <c r="F359" s="16" t="n"/>
      <c r="G359" s="17">
        <f>G360+G361</f>
        <v/>
      </c>
      <c r="H359" s="636" t="n"/>
      <c r="I359" s="17" t="n"/>
      <c r="J359" s="582" t="inlineStr">
        <is>
          <t xml:space="preserve"> тыс. т.</t>
        </is>
      </c>
    </row>
    <row r="360" ht="18.75" customHeight="1" s="904">
      <c r="B360" s="952" t="n"/>
      <c r="C360" s="951" t="inlineStr">
        <is>
          <t>УЗПКТ</t>
        </is>
      </c>
      <c r="D360" s="15" t="n"/>
      <c r="E360" s="15" t="n"/>
      <c r="F360" s="16" t="n"/>
      <c r="G360" s="17" t="inlineStr">
        <is>
          <t>4_100331921</t>
        </is>
      </c>
      <c r="H360" s="636" t="n"/>
      <c r="I360" s="17" t="n"/>
      <c r="J360" s="582" t="inlineStr">
        <is>
          <t xml:space="preserve"> тыс. т.</t>
        </is>
      </c>
    </row>
    <row r="361" ht="18.75" customHeight="1" s="904">
      <c r="B361" s="952" t="n"/>
      <c r="C361" s="951" t="inlineStr">
        <is>
          <t>СЗСК</t>
        </is>
      </c>
      <c r="D361" s="15" t="n"/>
      <c r="E361" s="15" t="n"/>
      <c r="F361" s="16" t="n"/>
      <c r="G361" s="17" t="inlineStr">
        <is>
          <t>4_100331922</t>
        </is>
      </c>
      <c r="H361" s="636" t="n"/>
      <c r="I361" s="17" t="n"/>
      <c r="J361" s="582" t="inlineStr">
        <is>
          <t xml:space="preserve"> тыс. т.</t>
        </is>
      </c>
    </row>
    <row r="362" ht="18.75" customHeight="1" s="904">
      <c r="B362" s="952" t="inlineStr">
        <is>
          <t>2.6.12</t>
        </is>
      </c>
      <c r="C362" s="651" t="inlineStr">
        <is>
          <t xml:space="preserve">  СТАБИЛЬНЫЙ КОНДЕНСАТ (НЕФТЬ), ВСЕГО: </t>
        </is>
      </c>
      <c r="D362" s="15" t="n"/>
      <c r="E362" s="15" t="n"/>
      <c r="F362" s="16" t="n"/>
      <c r="G362" s="17">
        <f>G363+G366</f>
        <v/>
      </c>
      <c r="H362" s="636" t="n"/>
      <c r="I362" s="17" t="n"/>
      <c r="J362" s="110" t="inlineStr">
        <is>
          <t xml:space="preserve"> тыс. т.</t>
        </is>
      </c>
    </row>
    <row r="363" ht="18.75" customHeight="1" s="904">
      <c r="B363" s="952" t="n"/>
      <c r="C363" s="951" t="inlineStr">
        <is>
          <t>УЗПКТ</t>
        </is>
      </c>
      <c r="D363" s="15" t="n"/>
      <c r="E363" s="15" t="n"/>
      <c r="F363" s="16" t="n"/>
      <c r="G363" s="17">
        <f>G364+G365</f>
        <v/>
      </c>
      <c r="H363" s="636" t="n"/>
      <c r="I363" s="17" t="n"/>
      <c r="J363" s="110" t="inlineStr">
        <is>
          <t xml:space="preserve"> тыс. т.</t>
        </is>
      </c>
    </row>
    <row r="364" ht="18.75" customHeight="1" s="904">
      <c r="B364" s="952" t="n"/>
      <c r="C364" s="122" t="inlineStr">
        <is>
          <t>УСК-НПТР</t>
        </is>
      </c>
      <c r="D364" s="15" t="n"/>
      <c r="E364" s="15" t="n"/>
      <c r="F364" s="16" t="n"/>
      <c r="G364" s="17" t="inlineStr">
        <is>
          <t>4_100335091</t>
        </is>
      </c>
      <c r="H364" s="636" t="n"/>
      <c r="I364" s="17" t="n"/>
      <c r="J364" s="110" t="inlineStr">
        <is>
          <t xml:space="preserve"> тыс. т.</t>
        </is>
      </c>
    </row>
    <row r="365" ht="18.75" customHeight="1" s="904">
      <c r="B365" s="952" t="n"/>
      <c r="C365" s="122" t="inlineStr">
        <is>
          <t>нефть на УЗПКТ (НПС)</t>
        </is>
      </c>
      <c r="D365" s="15" t="n"/>
      <c r="E365" s="15" t="n"/>
      <c r="F365" s="16" t="n"/>
      <c r="G365" s="17" t="inlineStr">
        <is>
          <t>4_100335092</t>
        </is>
      </c>
      <c r="H365" s="636" t="n"/>
      <c r="I365" s="17" t="n"/>
      <c r="J365" s="110" t="inlineStr">
        <is>
          <t xml:space="preserve"> тыс. т.</t>
        </is>
      </c>
    </row>
    <row r="366" ht="18.75" customHeight="1" s="904">
      <c r="B366" s="952" t="n"/>
      <c r="C366" s="951" t="inlineStr">
        <is>
          <t>СЗСК</t>
        </is>
      </c>
      <c r="D366" s="15" t="n"/>
      <c r="E366" s="15" t="n"/>
      <c r="F366" s="16" t="n"/>
      <c r="G366" s="17" t="inlineStr">
        <is>
          <t>4_100331925</t>
        </is>
      </c>
      <c r="H366" s="636" t="n"/>
      <c r="I366" s="17" t="n"/>
      <c r="J366" s="110" t="inlineStr">
        <is>
          <t xml:space="preserve"> тыс. т.</t>
        </is>
      </c>
    </row>
    <row r="367" ht="19.5" customHeight="1" s="904">
      <c r="B367" s="952" t="n"/>
      <c r="C367" s="727" t="inlineStr">
        <is>
          <t>Справочно:</t>
        </is>
      </c>
      <c r="D367" s="15" t="n"/>
      <c r="E367" s="15" t="n"/>
      <c r="F367" s="16" t="n">
        <v>81</v>
      </c>
      <c r="G367" s="17" t="n"/>
      <c r="H367" s="636" t="n"/>
      <c r="I367" s="17" t="n"/>
      <c r="J367" s="110" t="n"/>
    </row>
    <row r="368" ht="19.5" customHeight="1" s="904">
      <c r="B368" s="952" t="n"/>
      <c r="C368" s="120" t="inlineStr">
        <is>
          <t>Стабильный конденсат (нефть) валовый,  всего:</t>
        </is>
      </c>
      <c r="D368" s="15" t="n"/>
      <c r="E368" s="15" t="n"/>
      <c r="F368" s="16" t="n"/>
      <c r="G368" s="17">
        <f>G369+G373</f>
        <v/>
      </c>
      <c r="H368" s="636" t="n"/>
      <c r="I368" s="17" t="n"/>
      <c r="J368" s="582" t="inlineStr">
        <is>
          <t xml:space="preserve"> тыс. т.</t>
        </is>
      </c>
    </row>
    <row r="369" ht="18.75" customHeight="1" s="904">
      <c r="B369" s="952" t="n"/>
      <c r="C369" s="944" t="inlineStr">
        <is>
          <t>УЗПКТ</t>
        </is>
      </c>
      <c r="D369" s="15" t="n"/>
      <c r="E369" s="15" t="n"/>
      <c r="F369" s="16" t="n"/>
      <c r="G369" s="17">
        <f>G370+G371+G372</f>
        <v/>
      </c>
      <c r="H369" s="636" t="n"/>
      <c r="I369" s="17" t="n"/>
      <c r="J369" s="582" t="inlineStr">
        <is>
          <t xml:space="preserve"> тыс. т.</t>
        </is>
      </c>
    </row>
    <row r="370" ht="18.75" customHeight="1" s="904">
      <c r="B370" s="952" t="n"/>
      <c r="C370" s="124" t="inlineStr">
        <is>
          <t>УЗПКТ (с УДК/УСК)</t>
        </is>
      </c>
      <c r="D370" s="15" t="n"/>
      <c r="E370" s="15" t="n"/>
      <c r="F370" s="16" t="n"/>
      <c r="G370" s="17" t="inlineStr">
        <is>
          <t>4_100331927</t>
        </is>
      </c>
      <c r="H370" s="636" t="n"/>
      <c r="I370" s="17" t="n"/>
      <c r="J370" s="582" t="inlineStr">
        <is>
          <t xml:space="preserve"> тыс. т.</t>
        </is>
      </c>
    </row>
    <row r="371" ht="18.75" customHeight="1" s="904">
      <c r="B371" s="952" t="n"/>
      <c r="C371" s="124" t="inlineStr">
        <is>
          <t>УЗПКТ (с УСК-НПТР)</t>
        </is>
      </c>
      <c r="D371" s="15" t="n"/>
      <c r="E371" s="15" t="n"/>
      <c r="F371" s="16" t="n"/>
      <c r="G371" s="17" t="inlineStr">
        <is>
          <t>4_100331928</t>
        </is>
      </c>
      <c r="H371" s="636" t="n"/>
      <c r="I371" s="17" t="n"/>
      <c r="J371" s="582" t="inlineStr">
        <is>
          <t xml:space="preserve"> тыс. т.</t>
        </is>
      </c>
    </row>
    <row r="372" ht="18.75" customHeight="1" s="904">
      <c r="B372" s="952" t="n"/>
      <c r="C372" s="124" t="inlineStr">
        <is>
          <t>нефть на УЗПКТ (НПС)</t>
        </is>
      </c>
      <c r="D372" s="15" t="n"/>
      <c r="E372" s="15" t="n"/>
      <c r="F372" s="16" t="n"/>
      <c r="G372" s="17" t="inlineStr">
        <is>
          <t>4_100335100</t>
        </is>
      </c>
      <c r="H372" s="636" t="n"/>
      <c r="I372" s="17" t="n"/>
      <c r="J372" s="582" t="inlineStr">
        <is>
          <t xml:space="preserve"> тыс. т.</t>
        </is>
      </c>
    </row>
    <row r="373" ht="18.75" customHeight="1" s="904">
      <c r="B373" s="952" t="n"/>
      <c r="C373" s="944" t="inlineStr">
        <is>
          <t>СЗСК</t>
        </is>
      </c>
      <c r="D373" s="15" t="n"/>
      <c r="E373" s="15" t="n"/>
      <c r="F373" s="16" t="n"/>
      <c r="G373" s="17" t="inlineStr">
        <is>
          <t>4_100331929</t>
        </is>
      </c>
      <c r="H373" s="636" t="n"/>
      <c r="I373" s="17" t="n"/>
      <c r="J373" s="582" t="inlineStr">
        <is>
          <t xml:space="preserve"> тыс. т.</t>
        </is>
      </c>
    </row>
    <row r="374" ht="19.5" customHeight="1" s="904">
      <c r="B374" s="952" t="n"/>
      <c r="C374" s="120" t="inlineStr">
        <is>
          <t>Стабильный конденсат на первичную переработку, всего:</t>
        </is>
      </c>
      <c r="D374" s="15" t="n"/>
      <c r="E374" s="15" t="n"/>
      <c r="F374" s="16" t="n"/>
      <c r="G374" s="17">
        <f>G375+G376</f>
        <v/>
      </c>
      <c r="H374" s="636" t="n"/>
      <c r="I374" s="17" t="n"/>
      <c r="J374" s="582" t="inlineStr">
        <is>
          <t xml:space="preserve"> тыс. т.</t>
        </is>
      </c>
    </row>
    <row r="375" ht="18.75" customHeight="1" s="904">
      <c r="B375" s="952" t="n"/>
      <c r="C375" s="944" t="inlineStr">
        <is>
          <t>УЗПКТ</t>
        </is>
      </c>
      <c r="D375" s="15" t="n"/>
      <c r="E375" s="15" t="n"/>
      <c r="F375" s="16" t="n"/>
      <c r="G375" s="17" t="inlineStr">
        <is>
          <t>4_100331931</t>
        </is>
      </c>
      <c r="H375" s="636" t="n"/>
      <c r="I375" s="17" t="n"/>
      <c r="J375" s="582" t="inlineStr">
        <is>
          <t xml:space="preserve"> тыс. т.</t>
        </is>
      </c>
    </row>
    <row r="376" ht="18.75" customHeight="1" s="904">
      <c r="B376" s="952" t="n"/>
      <c r="C376" s="944" t="inlineStr">
        <is>
          <t>СЗСК</t>
        </is>
      </c>
      <c r="D376" s="15" t="n"/>
      <c r="E376" s="15" t="n"/>
      <c r="F376" s="16" t="n"/>
      <c r="G376" s="17" t="inlineStr">
        <is>
          <t>4_100331932</t>
        </is>
      </c>
      <c r="H376" s="636" t="n"/>
      <c r="I376" s="17" t="n"/>
      <c r="J376" s="582" t="inlineStr">
        <is>
          <t xml:space="preserve"> тыс. т.</t>
        </is>
      </c>
    </row>
    <row r="377" ht="39" customHeight="1" s="904">
      <c r="B377" s="952" t="n"/>
      <c r="C377" s="1022" t="inlineStr">
        <is>
          <t>Стабильный конденсат на переработку (нефтяное сырье), всего:</t>
        </is>
      </c>
      <c r="D377" s="15" t="n"/>
      <c r="E377" s="15" t="n"/>
      <c r="F377" s="16" t="n"/>
      <c r="G377" s="17">
        <f>G378+G380</f>
        <v/>
      </c>
      <c r="H377" s="636" t="n"/>
      <c r="I377" s="17" t="n"/>
      <c r="J377" s="582" t="inlineStr">
        <is>
          <t xml:space="preserve"> тыс. т.</t>
        </is>
      </c>
    </row>
    <row r="378" ht="18.75" customHeight="1" s="904">
      <c r="B378" s="952" t="n"/>
      <c r="C378" s="108" t="inlineStr">
        <is>
          <t>УЗПКТ</t>
        </is>
      </c>
      <c r="D378" s="15" t="n"/>
      <c r="E378" s="15" t="n"/>
      <c r="F378" s="16" t="n"/>
      <c r="G378" s="17" t="inlineStr">
        <is>
          <t>4_100331934</t>
        </is>
      </c>
      <c r="H378" s="636" t="n"/>
      <c r="I378" s="17" t="n"/>
      <c r="J378" s="582" t="inlineStr">
        <is>
          <t xml:space="preserve"> тыс. т.</t>
        </is>
      </c>
    </row>
    <row r="379" ht="18.75" customHeight="1" s="904">
      <c r="B379" s="952" t="n"/>
      <c r="C379" s="121" t="inlineStr">
        <is>
          <t>в т.ч. по договору переработки</t>
        </is>
      </c>
      <c r="D379" s="15" t="n"/>
      <c r="E379" s="15" t="n"/>
      <c r="F379" s="16" t="n"/>
      <c r="G379" s="17" t="inlineStr">
        <is>
          <t>4_100335887</t>
        </is>
      </c>
      <c r="H379" s="636" t="n"/>
      <c r="I379" s="17" t="n"/>
      <c r="J379" s="582" t="inlineStr">
        <is>
          <t xml:space="preserve"> тыс. т.</t>
        </is>
      </c>
    </row>
    <row r="380" ht="18.75" customHeight="1" s="904">
      <c r="B380" s="952" t="n"/>
      <c r="C380" s="108" t="inlineStr">
        <is>
          <t>СЗСК</t>
        </is>
      </c>
      <c r="D380" s="15" t="n"/>
      <c r="E380" s="15" t="n"/>
      <c r="F380" s="16" t="n"/>
      <c r="G380" s="17" t="inlineStr">
        <is>
          <t>4_100331935</t>
        </is>
      </c>
      <c r="H380" s="636" t="n"/>
      <c r="I380" s="17" t="n"/>
      <c r="J380" s="582" t="inlineStr">
        <is>
          <t xml:space="preserve"> тыс. т.</t>
        </is>
      </c>
    </row>
    <row r="381" ht="18.75" customHeight="1" s="904">
      <c r="B381" s="952" t="n"/>
      <c r="C381" s="121" t="inlineStr">
        <is>
          <t>в т.ч. по договору переработки</t>
        </is>
      </c>
      <c r="D381" s="15" t="n"/>
      <c r="E381" s="15" t="n"/>
      <c r="F381" s="16" t="n"/>
      <c r="G381" s="17" t="inlineStr">
        <is>
          <t>4_100335888</t>
        </is>
      </c>
      <c r="H381" s="636" t="n"/>
      <c r="I381" s="17" t="n"/>
      <c r="J381" s="582" t="inlineStr">
        <is>
          <t xml:space="preserve"> тыс. т.</t>
        </is>
      </c>
    </row>
    <row r="382" ht="19.5" customHeight="1" s="904">
      <c r="B382" s="952" t="n"/>
      <c r="C382" s="120" t="inlineStr">
        <is>
          <t>Стабильный конденсат на смешение</t>
        </is>
      </c>
      <c r="D382" s="15" t="n"/>
      <c r="E382" s="15" t="n"/>
      <c r="F382" s="16" t="n"/>
      <c r="G382" s="17">
        <f>G383</f>
        <v/>
      </c>
      <c r="H382" s="636" t="n"/>
      <c r="I382" s="17" t="n"/>
      <c r="J382" s="582" t="inlineStr">
        <is>
          <t xml:space="preserve"> тыс. т.</t>
        </is>
      </c>
    </row>
    <row r="383" ht="18.75" customHeight="1" s="904">
      <c r="B383" s="952" t="n"/>
      <c r="C383" s="944" t="inlineStr">
        <is>
          <t>СЗСК</t>
        </is>
      </c>
      <c r="D383" s="15" t="n"/>
      <c r="E383" s="15" t="n"/>
      <c r="F383" s="16" t="n"/>
      <c r="G383" s="17" t="inlineStr">
        <is>
          <t>4_100335922</t>
        </is>
      </c>
      <c r="H383" s="636" t="n"/>
      <c r="I383" s="17" t="n"/>
      <c r="J383" s="582" t="n"/>
    </row>
    <row r="384" ht="18.75" customHeight="1" s="904">
      <c r="B384" s="952" t="inlineStr">
        <is>
          <t>2.6.13</t>
        </is>
      </c>
      <c r="C384" s="948" t="inlineStr">
        <is>
          <t xml:space="preserve">МЕТАНОЛ, ВСЕГО: </t>
        </is>
      </c>
      <c r="D384" s="15" t="n"/>
      <c r="E384" s="15" t="n"/>
      <c r="F384" s="16" t="n"/>
      <c r="G384" s="17">
        <f>G385+G386</f>
        <v/>
      </c>
      <c r="H384" s="636" t="n"/>
      <c r="I384" s="17" t="n"/>
      <c r="J384" s="582" t="inlineStr">
        <is>
          <t>тонн</t>
        </is>
      </c>
    </row>
    <row r="385" ht="18.75" customHeight="1" s="904">
      <c r="B385" s="952" t="n"/>
      <c r="C385" s="951" t="inlineStr">
        <is>
          <t>УЗПКТ (с УПГД)</t>
        </is>
      </c>
      <c r="D385" s="15" t="n"/>
      <c r="E385" s="15" t="n"/>
      <c r="F385" s="16" t="n"/>
      <c r="G385" s="17" t="inlineStr">
        <is>
          <t>4_100335444</t>
        </is>
      </c>
      <c r="H385" s="636" t="n"/>
      <c r="I385" s="17" t="n"/>
      <c r="J385" s="582" t="inlineStr">
        <is>
          <t>тонн</t>
        </is>
      </c>
    </row>
    <row r="386" ht="18.75" customHeight="1" s="904">
      <c r="B386" s="952" t="n"/>
      <c r="C386" s="951" t="inlineStr">
        <is>
          <t>СЗСК</t>
        </is>
      </c>
      <c r="D386" s="15" t="n"/>
      <c r="E386" s="15" t="n"/>
      <c r="F386" s="16" t="n"/>
      <c r="G386" s="17" t="inlineStr">
        <is>
          <t>4_100335445</t>
        </is>
      </c>
      <c r="H386" s="636" t="n"/>
      <c r="I386" s="17" t="n"/>
      <c r="J386" s="582" t="inlineStr">
        <is>
          <t>тонн</t>
        </is>
      </c>
    </row>
    <row r="387" ht="18.75" customHeight="1" s="904">
      <c r="B387" s="952" t="inlineStr">
        <is>
          <t>2.6.14</t>
        </is>
      </c>
      <c r="C387" s="948" t="inlineStr">
        <is>
          <t>ВОДА ПОДТОВАРНАЯ УЗПКТ</t>
        </is>
      </c>
      <c r="D387" s="15" t="n"/>
      <c r="E387" s="15" t="n"/>
      <c r="F387" s="16" t="n"/>
      <c r="G387" s="17" t="inlineStr">
        <is>
          <t>4_100331942</t>
        </is>
      </c>
      <c r="H387" s="636" t="n"/>
      <c r="I387" s="17" t="n"/>
      <c r="J387" s="582" t="inlineStr">
        <is>
          <t xml:space="preserve"> тыс. т.</t>
        </is>
      </c>
    </row>
    <row r="388" ht="18.75" customHeight="1" s="904">
      <c r="B388" s="952" t="inlineStr">
        <is>
          <t>2.6.15</t>
        </is>
      </c>
      <c r="C388" s="948" t="inlineStr">
        <is>
          <t>ВОДОМЕТАНОЛЬНАЯ СМЕСЬ СЗСК *</t>
        </is>
      </c>
      <c r="D388" s="15" t="n"/>
      <c r="E388" s="15" t="n"/>
      <c r="F388" s="16" t="n"/>
      <c r="G388" s="17" t="inlineStr">
        <is>
          <t>4_100331943</t>
        </is>
      </c>
      <c r="H388" s="636" t="n"/>
      <c r="I388" s="17" t="n"/>
      <c r="J388" s="582" t="inlineStr">
        <is>
          <t xml:space="preserve"> тыс. т.</t>
        </is>
      </c>
    </row>
    <row r="389" ht="18.75" customHeight="1" s="904">
      <c r="B389" s="952" t="n"/>
      <c r="C389" s="121" t="inlineStr">
        <is>
          <t>в т.ч. по договору переработки</t>
        </is>
      </c>
      <c r="D389" s="15" t="n"/>
      <c r="E389" s="15" t="n"/>
      <c r="F389" s="16" t="n"/>
      <c r="G389" s="17" t="inlineStr">
        <is>
          <t>4_100335889</t>
        </is>
      </c>
      <c r="H389" s="636" t="n"/>
      <c r="I389" s="17" t="n"/>
      <c r="J389" s="582" t="inlineStr">
        <is>
          <t xml:space="preserve"> тыс. т.</t>
        </is>
      </c>
    </row>
    <row r="390" ht="19.5" customHeight="1" s="904">
      <c r="B390" s="952" t="n"/>
      <c r="C390" s="727" t="inlineStr">
        <is>
          <t>Справочно:</t>
        </is>
      </c>
      <c r="D390" s="15" t="n"/>
      <c r="E390" s="15" t="n"/>
      <c r="F390" s="16" t="n">
        <v>82</v>
      </c>
      <c r="G390" s="17" t="n"/>
      <c r="H390" s="636" t="n"/>
      <c r="I390" s="17" t="n"/>
      <c r="J390" s="582" t="n"/>
    </row>
    <row r="391" ht="19.5" customHeight="1" s="904">
      <c r="B391" s="952" t="inlineStr">
        <is>
          <t>2.7</t>
        </is>
      </c>
      <c r="C391" s="125" t="inlineStr">
        <is>
          <t>Переработка сырья на УЗПКТ и привлеченных мощностях, всего:</t>
        </is>
      </c>
      <c r="D391" s="15" t="n"/>
      <c r="E391" s="15" t="n"/>
      <c r="F391" s="16" t="n"/>
      <c r="G391" s="17">
        <f>G392+G399</f>
        <v/>
      </c>
      <c r="H391" s="636" t="n"/>
      <c r="I391" s="17" t="n"/>
      <c r="J391" s="582" t="inlineStr">
        <is>
          <t xml:space="preserve"> тыс. т.</t>
        </is>
      </c>
    </row>
    <row r="392" ht="19.5" customHeight="1" s="904">
      <c r="B392" s="952" t="inlineStr">
        <is>
          <t>2.7.1</t>
        </is>
      </c>
      <c r="C392" s="119" t="inlineStr">
        <is>
          <t>Нестабильного конденсата, всего:</t>
        </is>
      </c>
      <c r="D392" s="15" t="n"/>
      <c r="E392" s="15" t="n"/>
      <c r="F392" s="16" t="n"/>
      <c r="G392" s="17">
        <f>G393+G397+G398</f>
        <v/>
      </c>
      <c r="H392" s="636" t="n"/>
      <c r="I392" s="17" t="n"/>
      <c r="J392" s="582" t="inlineStr">
        <is>
          <t xml:space="preserve"> тыс. т.</t>
        </is>
      </c>
    </row>
    <row r="393" ht="18.75" customHeight="1" s="904">
      <c r="B393" s="952" t="n"/>
      <c r="C393" s="126" t="inlineStr">
        <is>
          <t>УЗПКТ</t>
        </is>
      </c>
      <c r="D393" s="15" t="n"/>
      <c r="E393" s="15" t="n"/>
      <c r="F393" s="16" t="n"/>
      <c r="G393" s="17">
        <f>G394+G396</f>
        <v/>
      </c>
      <c r="H393" s="636" t="n"/>
      <c r="I393" s="17" t="n"/>
      <c r="J393" s="582" t="inlineStr">
        <is>
          <t xml:space="preserve"> тыс. т.</t>
        </is>
      </c>
    </row>
    <row r="394" ht="18.75" customHeight="1" s="904">
      <c r="B394" s="952" t="n"/>
      <c r="C394" s="127" t="inlineStr">
        <is>
          <t>УДК/УСК</t>
        </is>
      </c>
      <c r="D394" s="15" t="n"/>
      <c r="E394" s="15" t="n"/>
      <c r="F394" s="16" t="n"/>
      <c r="G394" s="17" t="inlineStr">
        <is>
          <t>4_100331840</t>
        </is>
      </c>
      <c r="H394" s="636" t="n"/>
      <c r="I394" s="17" t="n"/>
      <c r="J394" s="582" t="inlineStr">
        <is>
          <t xml:space="preserve"> тыс. т.</t>
        </is>
      </c>
    </row>
    <row r="395" ht="18.75" customHeight="1" s="904">
      <c r="B395" s="952" t="n"/>
      <c r="C395" s="128" t="inlineStr">
        <is>
          <t>в т.ч. ДРОД</t>
        </is>
      </c>
      <c r="D395" s="15" t="n"/>
      <c r="E395" s="15" t="n"/>
      <c r="F395" s="16" t="n"/>
      <c r="G395" s="17" t="inlineStr">
        <is>
          <t>4_100335508</t>
        </is>
      </c>
      <c r="H395" s="636" t="n"/>
      <c r="I395" s="17" t="n"/>
      <c r="J395" s="129" t="inlineStr">
        <is>
          <t xml:space="preserve"> тыс. т.</t>
        </is>
      </c>
    </row>
    <row r="396" ht="18.75" customHeight="1" s="904">
      <c r="B396" s="952" t="n"/>
      <c r="C396" s="127" t="inlineStr">
        <is>
          <t>УСК НПТР</t>
        </is>
      </c>
      <c r="D396" s="15" t="n"/>
      <c r="E396" s="15" t="n"/>
      <c r="F396" s="16" t="n"/>
      <c r="G396" s="17" t="inlineStr">
        <is>
          <t>4_100331841</t>
        </is>
      </c>
      <c r="H396" s="636" t="n"/>
      <c r="I396" s="17" t="n"/>
      <c r="J396" s="129" t="inlineStr">
        <is>
          <t xml:space="preserve"> тыс. т.</t>
        </is>
      </c>
    </row>
    <row r="397" ht="18.75" customHeight="1" s="904">
      <c r="B397" s="952" t="n"/>
      <c r="C397" s="126" t="inlineStr">
        <is>
          <t>На мощностях  ПАО "НОВАТЭК"</t>
        </is>
      </c>
      <c r="D397" s="15" t="n"/>
      <c r="E397" s="15" t="n"/>
      <c r="F397" s="16" t="n"/>
      <c r="G397" s="17" t="inlineStr">
        <is>
          <t>4_100335357</t>
        </is>
      </c>
      <c r="H397" s="636" t="n"/>
      <c r="I397" s="17" t="n"/>
      <c r="J397" s="582" t="inlineStr">
        <is>
          <t xml:space="preserve"> тыс. т.</t>
        </is>
      </c>
    </row>
    <row r="398" ht="18.75" customHeight="1" s="904">
      <c r="B398" s="952" t="n"/>
      <c r="C398" s="126" t="inlineStr">
        <is>
          <t>На мощностях УДК(м)</t>
        </is>
      </c>
      <c r="D398" s="15" t="n"/>
      <c r="E398" s="15" t="n"/>
      <c r="F398" s="16" t="n"/>
      <c r="G398" s="17" t="inlineStr">
        <is>
          <t>4_100335358</t>
        </is>
      </c>
      <c r="H398" s="636" t="n"/>
      <c r="I398" s="17" t="n"/>
      <c r="J398" s="582" t="inlineStr">
        <is>
          <t xml:space="preserve"> тыс. т.</t>
        </is>
      </c>
    </row>
    <row r="399" ht="19.5" customHeight="1" s="904">
      <c r="B399" s="952" t="inlineStr">
        <is>
          <t>2.7.2</t>
        </is>
      </c>
      <c r="C399" s="125" t="inlineStr">
        <is>
          <t>Нефть на НПС УЗПКТ</t>
        </is>
      </c>
      <c r="D399" s="15" t="n"/>
      <c r="E399" s="15" t="n"/>
      <c r="F399" s="16" t="n"/>
      <c r="G399" s="17">
        <f>G241</f>
        <v/>
      </c>
      <c r="H399" s="636" t="n"/>
      <c r="I399" s="17" t="n"/>
      <c r="J399" s="582" t="inlineStr">
        <is>
          <t xml:space="preserve"> тыс. т.</t>
        </is>
      </c>
    </row>
    <row r="400" ht="19.5" customHeight="1" s="904">
      <c r="B400" s="952" t="inlineStr">
        <is>
          <t>2.8</t>
        </is>
      </c>
      <c r="C400" s="125" t="inlineStr">
        <is>
          <t>Деэтанизированный конденсат, всего:</t>
        </is>
      </c>
      <c r="D400" s="15" t="n"/>
      <c r="E400" s="15" t="n"/>
      <c r="F400" s="16" t="n"/>
      <c r="G400" s="17">
        <f>G401+G405+G406</f>
        <v/>
      </c>
      <c r="H400" s="636" t="n"/>
      <c r="I400" s="17" t="n"/>
      <c r="J400" s="582" t="inlineStr">
        <is>
          <t xml:space="preserve"> тыс. т.</t>
        </is>
      </c>
    </row>
    <row r="401" ht="18.75" customHeight="1" s="904">
      <c r="B401" s="952" t="n"/>
      <c r="C401" s="126" t="inlineStr">
        <is>
          <t>УЗПКТ</t>
        </is>
      </c>
      <c r="D401" s="15" t="n"/>
      <c r="E401" s="15" t="n"/>
      <c r="F401" s="16" t="n"/>
      <c r="G401" s="17">
        <f>G402+G403+G404</f>
        <v/>
      </c>
      <c r="H401" s="636" t="n"/>
      <c r="I401" s="17" t="n"/>
      <c r="J401" s="582" t="inlineStr">
        <is>
          <t xml:space="preserve"> тыс. т.</t>
        </is>
      </c>
    </row>
    <row r="402" ht="18.75" customHeight="1" s="904">
      <c r="B402" s="952" t="n"/>
      <c r="C402" s="127" t="inlineStr">
        <is>
          <t>УДК/УСК</t>
        </is>
      </c>
      <c r="D402" s="15" t="n"/>
      <c r="E402" s="15" t="n"/>
      <c r="F402" s="16" t="n"/>
      <c r="G402" s="17" t="inlineStr">
        <is>
          <t>4_100331945</t>
        </is>
      </c>
      <c r="H402" s="636" t="n"/>
      <c r="I402" s="17" t="n"/>
      <c r="J402" s="582" t="inlineStr">
        <is>
          <t xml:space="preserve"> тыс. т.</t>
        </is>
      </c>
    </row>
    <row r="403" ht="18.75" customHeight="1" s="904">
      <c r="B403" s="952" t="n"/>
      <c r="C403" s="127" t="inlineStr">
        <is>
          <t>УПГД</t>
        </is>
      </c>
      <c r="D403" s="15" t="n"/>
      <c r="E403" s="15" t="n"/>
      <c r="F403" s="16" t="n"/>
      <c r="G403" s="17" t="inlineStr">
        <is>
          <t>4_100335044</t>
        </is>
      </c>
      <c r="H403" s="636" t="n"/>
      <c r="I403" s="17" t="n"/>
      <c r="J403" s="582" t="inlineStr">
        <is>
          <t xml:space="preserve"> тыс. т.</t>
        </is>
      </c>
    </row>
    <row r="404" ht="18.75" customHeight="1" s="904">
      <c r="B404" s="952" t="n"/>
      <c r="C404" s="127" t="inlineStr">
        <is>
          <t>УСК НПТР</t>
        </is>
      </c>
      <c r="D404" s="15" t="n"/>
      <c r="E404" s="15" t="n"/>
      <c r="F404" s="16" t="n"/>
      <c r="G404" s="17" t="inlineStr">
        <is>
          <t>4_100331947</t>
        </is>
      </c>
      <c r="H404" s="636" t="n"/>
      <c r="I404" s="17" t="n"/>
      <c r="J404" s="582" t="inlineStr">
        <is>
          <t xml:space="preserve"> тыс. т.</t>
        </is>
      </c>
    </row>
    <row r="405" ht="18.75" customHeight="1" s="904">
      <c r="B405" s="952" t="n"/>
      <c r="C405" s="126" t="inlineStr">
        <is>
          <t>На мощностях  ПАО "НОВАТЭК"</t>
        </is>
      </c>
      <c r="D405" s="15" t="n"/>
      <c r="E405" s="15" t="n"/>
      <c r="F405" s="16" t="n"/>
      <c r="G405" s="17" t="inlineStr">
        <is>
          <t>4_100335359</t>
        </is>
      </c>
      <c r="H405" s="636" t="n"/>
      <c r="I405" s="17" t="n"/>
      <c r="J405" s="582" t="inlineStr">
        <is>
          <t xml:space="preserve"> тыс. т.</t>
        </is>
      </c>
    </row>
    <row r="406" ht="18.75" customHeight="1" s="904">
      <c r="B406" s="952" t="n"/>
      <c r="C406" s="126" t="inlineStr">
        <is>
          <t>На мощностях УДК(м)</t>
        </is>
      </c>
      <c r="D406" s="15" t="n"/>
      <c r="E406" s="15" t="n"/>
      <c r="F406" s="16" t="n"/>
      <c r="G406" s="17" t="inlineStr">
        <is>
          <t>4_100335360</t>
        </is>
      </c>
      <c r="H406" s="636" t="n"/>
      <c r="I406" s="17" t="n"/>
      <c r="J406" s="582" t="inlineStr">
        <is>
          <t xml:space="preserve"> тыс. т.</t>
        </is>
      </c>
    </row>
    <row r="407" ht="22.5" customHeight="1" s="904">
      <c r="B407" s="952" t="inlineStr">
        <is>
          <t>2.9</t>
        </is>
      </c>
      <c r="C407" s="119" t="inlineStr">
        <is>
          <t>Переработка сырья на СЗСК, всего:</t>
        </is>
      </c>
      <c r="D407" s="15" t="n"/>
      <c r="E407" s="15" t="n"/>
      <c r="F407" s="16" t="n"/>
      <c r="G407" s="17">
        <f>G408+G409+G410</f>
        <v/>
      </c>
      <c r="H407" s="636" t="n"/>
      <c r="I407" s="17" t="n"/>
      <c r="J407" s="582" t="inlineStr">
        <is>
          <t xml:space="preserve"> тыс. т.</t>
        </is>
      </c>
    </row>
    <row r="408" ht="18.75" customHeight="1" s="904">
      <c r="B408" s="952" t="n"/>
      <c r="C408" s="944" t="inlineStr">
        <is>
          <t>Деэтанизированный конденсат с учетом заполнения и вытеснения</t>
        </is>
      </c>
      <c r="D408" s="15" t="n"/>
      <c r="E408" s="15" t="n"/>
      <c r="F408" s="16" t="n"/>
      <c r="G408" s="17">
        <f>G400-G418+G419</f>
        <v/>
      </c>
      <c r="H408" s="636" t="n"/>
      <c r="I408" s="17" t="n"/>
      <c r="J408" s="582" t="inlineStr">
        <is>
          <t xml:space="preserve"> тыс. т.</t>
        </is>
      </c>
    </row>
    <row r="409" ht="18.75" customHeight="1" s="904">
      <c r="B409" s="952" t="n"/>
      <c r="C409" s="944" t="inlineStr">
        <is>
          <t>Нефть</t>
        </is>
      </c>
      <c r="D409" s="15" t="n"/>
      <c r="E409" s="15" t="n"/>
      <c r="F409" s="16" t="n"/>
      <c r="G409" s="17" t="inlineStr">
        <is>
          <t>4_100331838</t>
        </is>
      </c>
      <c r="H409" s="636" t="n"/>
      <c r="I409" s="17" t="n"/>
      <c r="J409" s="582" t="inlineStr">
        <is>
          <t xml:space="preserve"> тыс. т.</t>
        </is>
      </c>
    </row>
    <row r="410" ht="18.75" customHeight="1" s="904">
      <c r="B410" s="952" t="n"/>
      <c r="C410" s="944" t="inlineStr">
        <is>
          <t>Нестабильный конденсат</t>
        </is>
      </c>
      <c r="D410" s="15" t="n"/>
      <c r="E410" s="15" t="n"/>
      <c r="F410" s="16" t="n"/>
      <c r="G410" s="17">
        <f>G411+G412+G413</f>
        <v/>
      </c>
      <c r="H410" s="636" t="n"/>
      <c r="I410" s="17" t="n"/>
      <c r="J410" s="582" t="inlineStr">
        <is>
          <t xml:space="preserve"> тыс. т.</t>
        </is>
      </c>
    </row>
    <row r="411" ht="18.75" customHeight="1" s="904">
      <c r="B411" s="952" t="n"/>
      <c r="C411" s="130" t="inlineStr">
        <is>
          <t>ООО "Газпром добыча Ноябрьск"</t>
        </is>
      </c>
      <c r="D411" s="15" t="n"/>
      <c r="E411" s="15" t="n"/>
      <c r="F411" s="16" t="n"/>
      <c r="G411" s="17">
        <f>G236</f>
        <v/>
      </c>
      <c r="H411" s="636" t="n"/>
      <c r="I411" s="17" t="n"/>
      <c r="J411" s="582" t="inlineStr">
        <is>
          <t xml:space="preserve"> тыс. т.</t>
        </is>
      </c>
    </row>
    <row r="412" ht="18.75" customHeight="1" s="904">
      <c r="B412" s="952" t="n"/>
      <c r="C412" s="130" t="inlineStr">
        <is>
          <t>ООО "Газпром добыча Уренгой"</t>
        </is>
      </c>
      <c r="D412" s="15" t="n"/>
      <c r="E412" s="15" t="n"/>
      <c r="F412" s="16" t="n"/>
      <c r="G412" s="17">
        <f>G413+G414</f>
        <v/>
      </c>
      <c r="H412" s="636" t="n"/>
      <c r="I412" s="17" t="n"/>
      <c r="J412" s="582" t="inlineStr">
        <is>
          <t xml:space="preserve"> тыс. т.</t>
        </is>
      </c>
    </row>
    <row r="413" ht="18.75" customHeight="1" s="904">
      <c r="B413" s="952" t="n"/>
      <c r="C413" s="131" t="inlineStr">
        <is>
          <t>Уренгойское НГКМ</t>
        </is>
      </c>
      <c r="D413" s="15" t="n"/>
      <c r="E413" s="15" t="n"/>
      <c r="F413" s="16" t="n"/>
      <c r="G413" s="17">
        <f>G217</f>
        <v/>
      </c>
      <c r="H413" s="636" t="n"/>
      <c r="I413" s="17" t="n"/>
      <c r="J413" s="582" t="inlineStr">
        <is>
          <t xml:space="preserve"> тыс. т.</t>
        </is>
      </c>
    </row>
    <row r="414" ht="18.75" customHeight="1" s="904">
      <c r="B414" s="952" t="n"/>
      <c r="C414" s="131" t="inlineStr">
        <is>
          <t>ДРОД</t>
        </is>
      </c>
      <c r="D414" s="15" t="n"/>
      <c r="E414" s="15" t="n"/>
      <c r="F414" s="16" t="n"/>
      <c r="G414" s="17">
        <f>G226</f>
        <v/>
      </c>
      <c r="H414" s="636" t="n"/>
      <c r="I414" s="17" t="n"/>
      <c r="J414" s="582" t="inlineStr">
        <is>
          <t xml:space="preserve"> тыс. т.</t>
        </is>
      </c>
    </row>
    <row r="415" ht="18.75" customHeight="1" s="904">
      <c r="B415" s="952" t="inlineStr">
        <is>
          <t>2.10</t>
        </is>
      </c>
      <c r="C415" s="101" t="inlineStr">
        <is>
          <t>Заполнение и вытеснение трубопроводов:</t>
        </is>
      </c>
      <c r="D415" s="15" t="n"/>
      <c r="E415" s="15" t="n"/>
      <c r="F415" s="16" t="n">
        <v>83</v>
      </c>
      <c r="G415" s="17" t="n"/>
      <c r="H415" s="636" t="n"/>
      <c r="I415" s="17" t="n"/>
      <c r="J415" s="582" t="n"/>
    </row>
    <row r="416" ht="18.75" customHeight="1" s="904">
      <c r="B416" s="952" t="n"/>
      <c r="C416" s="943" t="inlineStr">
        <is>
          <t>Заполнение конденсатопровода МК "Ямбург - Уренгой"</t>
        </is>
      </c>
      <c r="D416" s="15" t="n"/>
      <c r="E416" s="15" t="n"/>
      <c r="F416" s="16" t="n"/>
      <c r="G416" s="17" t="inlineStr">
        <is>
          <t>4_100331822</t>
        </is>
      </c>
      <c r="H416" s="636" t="n"/>
      <c r="I416" s="17" t="n"/>
      <c r="J416" s="582" t="inlineStr">
        <is>
          <t xml:space="preserve"> тыс. т.</t>
        </is>
      </c>
    </row>
    <row r="417" ht="18.75" customHeight="1" s="904">
      <c r="B417" s="952" t="n"/>
      <c r="C417" s="943" t="inlineStr">
        <is>
          <t>Вытеснение конденсатопровода МК "Ямбург - Уренгой"</t>
        </is>
      </c>
      <c r="D417" s="15" t="n"/>
      <c r="E417" s="15" t="n"/>
      <c r="F417" s="16" t="n"/>
      <c r="G417" s="17" t="inlineStr">
        <is>
          <t>4_100331823</t>
        </is>
      </c>
      <c r="H417" s="636" t="n"/>
      <c r="I417" s="17" t="n"/>
      <c r="J417" s="582" t="inlineStr">
        <is>
          <t xml:space="preserve"> тыс. т.</t>
        </is>
      </c>
    </row>
    <row r="418" ht="18.75" customHeight="1" s="904">
      <c r="B418" s="952" t="n"/>
      <c r="C418" s="943" t="inlineStr">
        <is>
          <t>Заполнение трубопровода МК "Уренгой-Сургут"</t>
        </is>
      </c>
      <c r="D418" s="15" t="n"/>
      <c r="E418" s="15" t="n"/>
      <c r="F418" s="16" t="n"/>
      <c r="G418" s="17" t="inlineStr">
        <is>
          <t>4_100331824</t>
        </is>
      </c>
      <c r="H418" s="636" t="n"/>
      <c r="I418" s="17" t="n"/>
      <c r="J418" s="582" t="inlineStr">
        <is>
          <t xml:space="preserve"> тыс. т.</t>
        </is>
      </c>
    </row>
    <row r="419" ht="18.75" customHeight="1" s="904">
      <c r="B419" s="952" t="n"/>
      <c r="C419" s="943" t="inlineStr">
        <is>
          <t>Вытеснение трубопровода МК "Уренгой-Сургут"</t>
        </is>
      </c>
      <c r="D419" s="15" t="n"/>
      <c r="E419" s="15" t="n"/>
      <c r="F419" s="16" t="n"/>
      <c r="G419" s="17" t="inlineStr">
        <is>
          <t>4_100331825</t>
        </is>
      </c>
      <c r="H419" s="636" t="n"/>
      <c r="I419" s="17" t="n"/>
      <c r="J419" s="582" t="inlineStr">
        <is>
          <t xml:space="preserve"> тыс. т.</t>
        </is>
      </c>
    </row>
    <row r="420" ht="18.75" customHeight="1" s="904">
      <c r="B420" s="952" t="n"/>
      <c r="C420" s="943" t="inlineStr">
        <is>
          <t>Заполнение трубопроводов объектов альтернативной схемы</t>
        </is>
      </c>
      <c r="D420" s="15" t="n"/>
      <c r="E420" s="15" t="n"/>
      <c r="F420" s="16" t="n"/>
      <c r="G420" s="17" t="inlineStr">
        <is>
          <t>4_100331818</t>
        </is>
      </c>
      <c r="H420" s="636" t="n"/>
      <c r="I420" s="17" t="n"/>
      <c r="J420" s="582" t="inlineStr">
        <is>
          <t xml:space="preserve"> тыс. т.</t>
        </is>
      </c>
    </row>
    <row r="421" ht="18.75" customHeight="1" s="904">
      <c r="B421" s="952" t="n"/>
      <c r="C421" s="943" t="inlineStr">
        <is>
          <t>Вытеснение из трубопроводов объектов альтернативной схемы</t>
        </is>
      </c>
      <c r="D421" s="15" t="n"/>
      <c r="E421" s="15" t="n"/>
      <c r="F421" s="16" t="n"/>
      <c r="G421" s="17" t="inlineStr">
        <is>
          <t>4_100331819</t>
        </is>
      </c>
      <c r="H421" s="636" t="n"/>
      <c r="I421" s="17" t="n"/>
      <c r="J421" s="582" t="inlineStr">
        <is>
          <t xml:space="preserve"> тыс. т.</t>
        </is>
      </c>
    </row>
    <row r="422" ht="37.5" customHeight="1" s="904">
      <c r="B422" s="952" t="inlineStr">
        <is>
          <t>2.11</t>
        </is>
      </c>
      <c r="C422" s="101" t="inlineStr">
        <is>
          <t>Транспортировка нефтегазоконденсатной смеси по объектам альтернативной схемы:</t>
        </is>
      </c>
      <c r="D422" s="15" t="n"/>
      <c r="E422" s="15" t="n"/>
      <c r="F422" s="16" t="n"/>
      <c r="G422" s="17">
        <f>G423+G430</f>
        <v/>
      </c>
      <c r="H422" s="636" t="n"/>
      <c r="I422" s="17" t="n"/>
      <c r="J422" s="582" t="inlineStr">
        <is>
          <t xml:space="preserve"> тыс. т.</t>
        </is>
      </c>
    </row>
    <row r="423" ht="18.75" customHeight="1" s="904">
      <c r="B423" s="952" t="inlineStr">
        <is>
          <t>2.11.1</t>
        </is>
      </c>
      <c r="C423" s="792" t="inlineStr">
        <is>
          <t>Стабильный газовый конденсат (нефть)</t>
        </is>
      </c>
      <c r="D423" s="15" t="n"/>
      <c r="E423" s="15" t="n"/>
      <c r="F423" s="16" t="n"/>
      <c r="G423" s="17">
        <f>G424+G425</f>
        <v/>
      </c>
      <c r="H423" s="636" t="n"/>
      <c r="I423" s="17" t="n"/>
      <c r="J423" s="582" t="inlineStr">
        <is>
          <t xml:space="preserve"> тыс. т.</t>
        </is>
      </c>
    </row>
    <row r="424" ht="18.75" customHeight="1" s="904">
      <c r="B424" s="952" t="n"/>
      <c r="C424" s="792" t="inlineStr">
        <is>
          <t>ПАО "ГАЗПРОМ"</t>
        </is>
      </c>
      <c r="D424" s="15" t="n"/>
      <c r="E424" s="15" t="n"/>
      <c r="F424" s="16" t="n"/>
      <c r="G424" s="17" t="inlineStr">
        <is>
          <t>4_100335902</t>
        </is>
      </c>
      <c r="H424" s="636" t="n"/>
      <c r="I424" s="17" t="n"/>
      <c r="J424" s="582" t="inlineStr">
        <is>
          <t xml:space="preserve"> тыс. т.</t>
        </is>
      </c>
    </row>
    <row r="425" ht="18.75" customHeight="1" s="904">
      <c r="B425" s="952" t="n"/>
      <c r="C425" s="792" t="inlineStr">
        <is>
          <t>ДРОД</t>
        </is>
      </c>
      <c r="D425" s="15" t="n"/>
      <c r="E425" s="15" t="n"/>
      <c r="F425" s="16" t="n"/>
      <c r="G425" s="17">
        <f>G426+G427+G428+G429</f>
        <v/>
      </c>
      <c r="H425" s="636" t="n"/>
      <c r="I425" s="17" t="n"/>
      <c r="J425" s="582" t="inlineStr">
        <is>
          <t xml:space="preserve"> тыс. т.</t>
        </is>
      </c>
    </row>
    <row r="426" ht="18.75" customHeight="1" s="904">
      <c r="B426" s="952" t="n"/>
      <c r="C426" s="793" t="inlineStr">
        <is>
          <t>Уренгойское НГКМ фаза 1 (участок 3А)</t>
        </is>
      </c>
      <c r="D426" s="15" t="n"/>
      <c r="E426" s="15" t="n"/>
      <c r="F426" s="16" t="n"/>
      <c r="G426" s="17">
        <f>G55</f>
        <v/>
      </c>
      <c r="H426" s="636" t="n"/>
      <c r="I426" s="17" t="n"/>
      <c r="J426" s="582" t="inlineStr">
        <is>
          <t xml:space="preserve"> тыс. т.</t>
        </is>
      </c>
    </row>
    <row r="427" ht="18.75" customHeight="1" s="904">
      <c r="B427" s="952" t="n"/>
      <c r="C427" s="793" t="inlineStr">
        <is>
          <t>Ен-Яхинское ГКМ</t>
        </is>
      </c>
      <c r="D427" s="15" t="n"/>
      <c r="E427" s="15" t="n"/>
      <c r="F427" s="16" t="n"/>
      <c r="G427" s="17">
        <f>G40</f>
        <v/>
      </c>
      <c r="H427" s="636" t="n"/>
      <c r="I427" s="17" t="n"/>
      <c r="J427" s="582" t="inlineStr">
        <is>
          <t xml:space="preserve"> тыс. т.</t>
        </is>
      </c>
    </row>
    <row r="428" ht="18.75" customHeight="1" s="904">
      <c r="B428" s="952" t="n"/>
      <c r="C428" s="793" t="inlineStr">
        <is>
          <t>Песцовое НГКМ</t>
        </is>
      </c>
      <c r="D428" s="15" t="n"/>
      <c r="E428" s="15" t="n"/>
      <c r="F428" s="16" t="n"/>
      <c r="G428" s="17">
        <f>G74</f>
        <v/>
      </c>
      <c r="H428" s="636" t="n"/>
      <c r="I428" s="17" t="n"/>
      <c r="J428" s="582" t="inlineStr">
        <is>
          <t xml:space="preserve"> тыс. т.</t>
        </is>
      </c>
    </row>
    <row r="429" ht="18.75" customHeight="1" s="904">
      <c r="B429" s="952" t="n"/>
      <c r="C429" s="793" t="inlineStr">
        <is>
          <t>Песцовое НГКМ (ачим)</t>
        </is>
      </c>
      <c r="D429" s="15" t="n"/>
      <c r="E429" s="15" t="n"/>
      <c r="F429" s="16" t="n"/>
      <c r="G429" s="17">
        <f>G87</f>
        <v/>
      </c>
      <c r="H429" s="636" t="n"/>
      <c r="I429" s="17" t="n"/>
      <c r="J429" s="582" t="inlineStr">
        <is>
          <t xml:space="preserve"> тыс. т.</t>
        </is>
      </c>
    </row>
    <row r="430" ht="18.75" customHeight="1" s="904">
      <c r="B430" s="952" t="inlineStr">
        <is>
          <t>2.11.2</t>
        </is>
      </c>
      <c r="C430" s="792" t="inlineStr">
        <is>
          <t>Нефть</t>
        </is>
      </c>
      <c r="D430" s="15" t="n"/>
      <c r="E430" s="15" t="n"/>
      <c r="F430" s="16" t="n"/>
      <c r="G430" s="17">
        <f>G431+G432</f>
        <v/>
      </c>
      <c r="H430" s="636" t="n"/>
      <c r="I430" s="17" t="n"/>
      <c r="J430" s="582" t="inlineStr">
        <is>
          <t xml:space="preserve"> тыс. т.</t>
        </is>
      </c>
    </row>
    <row r="431" ht="18.75" customHeight="1" s="904">
      <c r="B431" s="952" t="n"/>
      <c r="C431" s="792" t="inlineStr">
        <is>
          <t>ПАО "ГАЗПРОМ"</t>
        </is>
      </c>
      <c r="D431" s="15" t="n"/>
      <c r="E431" s="15" t="n"/>
      <c r="F431" s="16" t="n"/>
      <c r="G431" s="17" t="inlineStr">
        <is>
          <t>4_100335906</t>
        </is>
      </c>
      <c r="H431" s="636" t="n"/>
      <c r="I431" s="17" t="n"/>
      <c r="J431" s="582" t="inlineStr">
        <is>
          <t xml:space="preserve"> тыс. т.</t>
        </is>
      </c>
    </row>
    <row r="432" ht="18.75" customHeight="1" s="904">
      <c r="B432" s="952" t="n"/>
      <c r="C432" s="792" t="inlineStr">
        <is>
          <t>ДРОД</t>
        </is>
      </c>
      <c r="D432" s="15" t="n"/>
      <c r="E432" s="15" t="n"/>
      <c r="F432" s="16" t="n"/>
      <c r="G432" s="17">
        <f>G433+G434+G435+G437+G438+G436+G439</f>
        <v/>
      </c>
      <c r="H432" s="636" t="n"/>
      <c r="I432" s="17" t="n"/>
      <c r="J432" s="582" t="inlineStr">
        <is>
          <t xml:space="preserve"> тыс. т.</t>
        </is>
      </c>
    </row>
    <row r="433" ht="18.75" customHeight="1" s="904">
      <c r="B433" s="952" t="n"/>
      <c r="C433" s="793" t="inlineStr">
        <is>
          <t>Уренгойское НГКМ фаза 2</t>
        </is>
      </c>
      <c r="D433" s="15" t="n"/>
      <c r="E433" s="15" t="n"/>
      <c r="F433" s="16" t="n"/>
      <c r="G433" s="17">
        <f>G126</f>
        <v/>
      </c>
      <c r="H433" s="636" t="n"/>
      <c r="I433" s="17" t="n"/>
      <c r="J433" s="582" t="inlineStr">
        <is>
          <t xml:space="preserve"> тыс. т.</t>
        </is>
      </c>
    </row>
    <row r="434" ht="18.75" customHeight="1" s="904">
      <c r="B434" s="952" t="n"/>
      <c r="C434" s="793" t="inlineStr">
        <is>
          <t>Уренгойское НГКМ фаза 1 (участок 3А)</t>
        </is>
      </c>
      <c r="D434" s="774" t="n"/>
      <c r="E434" s="774" t="n"/>
      <c r="F434" s="775" t="n"/>
      <c r="G434" s="776">
        <f>G119</f>
        <v/>
      </c>
      <c r="H434" s="776" t="n"/>
      <c r="I434" s="776" t="n"/>
      <c r="J434" s="582" t="inlineStr">
        <is>
          <t xml:space="preserve"> тыс. т.</t>
        </is>
      </c>
    </row>
    <row r="435" ht="18.75" customHeight="1" s="904">
      <c r="B435" s="952" t="n"/>
      <c r="C435" s="793" t="inlineStr">
        <is>
          <t>Уренгойское НГКМ (ачимовский участок 5А)</t>
        </is>
      </c>
      <c r="D435" s="15" t="n"/>
      <c r="E435" s="15" t="n"/>
      <c r="F435" s="16" t="n"/>
      <c r="G435" s="17">
        <f>G147</f>
        <v/>
      </c>
      <c r="H435" s="636" t="n"/>
      <c r="I435" s="17" t="n"/>
      <c r="J435" s="582" t="inlineStr">
        <is>
          <t xml:space="preserve"> тыс. т.</t>
        </is>
      </c>
    </row>
    <row r="436" ht="18.75" customHeight="1" s="904">
      <c r="B436" s="952" t="n"/>
      <c r="C436" s="793" t="inlineStr">
        <is>
          <t>Уренгойское НГКМ (ачимовский участок 6А)</t>
        </is>
      </c>
      <c r="D436" s="15" t="n"/>
      <c r="E436" s="15" t="n"/>
      <c r="F436" s="16" t="n"/>
      <c r="G436" s="17">
        <f>G154</f>
        <v/>
      </c>
      <c r="H436" s="636" t="n"/>
      <c r="I436" s="17" t="n"/>
      <c r="J436" s="582" t="inlineStr">
        <is>
          <t xml:space="preserve"> тыс. т.</t>
        </is>
      </c>
    </row>
    <row r="437" ht="18.75" customHeight="1" s="904">
      <c r="B437" s="952" t="n"/>
      <c r="C437" s="793" t="inlineStr">
        <is>
          <t>Ен-Яхинское ГКМ</t>
        </is>
      </c>
      <c r="D437" s="15" t="n"/>
      <c r="E437" s="15" t="n"/>
      <c r="F437" s="16" t="n"/>
      <c r="G437" s="17">
        <f>G133</f>
        <v/>
      </c>
      <c r="H437" s="636" t="n"/>
      <c r="I437" s="17" t="n"/>
      <c r="J437" s="582" t="inlineStr">
        <is>
          <t xml:space="preserve"> тыс. т.</t>
        </is>
      </c>
    </row>
    <row r="438" ht="18.75" customHeight="1" s="904">
      <c r="B438" s="952" t="n"/>
      <c r="C438" s="793" t="inlineStr">
        <is>
          <t>Песцовое НГКМ</t>
        </is>
      </c>
      <c r="D438" s="794" t="n"/>
      <c r="E438" s="774" t="n"/>
      <c r="F438" s="775" t="n"/>
      <c r="G438" s="776">
        <f>G140</f>
        <v/>
      </c>
      <c r="H438" s="776" t="n"/>
      <c r="I438" s="776" t="n"/>
      <c r="J438" s="585" t="inlineStr">
        <is>
          <t xml:space="preserve"> тыс. т.</t>
        </is>
      </c>
    </row>
    <row r="439" ht="18.75" customHeight="1" s="904">
      <c r="B439" s="795" t="n"/>
      <c r="C439" s="796" t="inlineStr">
        <is>
          <t>Ямбургское НГКМ</t>
        </is>
      </c>
      <c r="D439" s="774" t="n"/>
      <c r="E439" s="774" t="n"/>
      <c r="F439" s="775" t="n"/>
      <c r="G439" s="776">
        <f>G162</f>
        <v/>
      </c>
      <c r="H439" s="776" t="n"/>
      <c r="I439" s="776" t="n"/>
      <c r="J439" s="585" t="inlineStr">
        <is>
          <t xml:space="preserve"> тыс. т.</t>
        </is>
      </c>
    </row>
  </sheetData>
  <mergeCells count="37">
    <mergeCell ref="C49:C50"/>
    <mergeCell ref="C20:C21"/>
    <mergeCell ref="C306:C307"/>
    <mergeCell ref="C318:C319"/>
    <mergeCell ref="G7:G8"/>
    <mergeCell ref="I7:I8"/>
    <mergeCell ref="C321:C322"/>
    <mergeCell ref="C302:C303"/>
    <mergeCell ref="C202:C203"/>
    <mergeCell ref="C295:C296"/>
    <mergeCell ref="D7:D8"/>
    <mergeCell ref="H7:H8"/>
    <mergeCell ref="C291:C292"/>
    <mergeCell ref="C6:C8"/>
    <mergeCell ref="C300:C301"/>
    <mergeCell ref="C316:C317"/>
    <mergeCell ref="C312:C313"/>
    <mergeCell ref="C297:C298"/>
    <mergeCell ref="C66:C67"/>
    <mergeCell ref="C293:C294"/>
    <mergeCell ref="C287:C288"/>
    <mergeCell ref="E7:E8"/>
    <mergeCell ref="J6:J8"/>
    <mergeCell ref="C314:C315"/>
    <mergeCell ref="C81:C82"/>
    <mergeCell ref="C308:C309"/>
    <mergeCell ref="B3:J3"/>
    <mergeCell ref="C289:C290"/>
    <mergeCell ref="C323:C324"/>
    <mergeCell ref="C34:C35"/>
    <mergeCell ref="B13:B15"/>
    <mergeCell ref="C310:C311"/>
    <mergeCell ref="C64:C65"/>
    <mergeCell ref="F7:F8"/>
    <mergeCell ref="D6:I6"/>
    <mergeCell ref="C304:C305"/>
    <mergeCell ref="B6:B8"/>
  </mergeCells>
  <conditionalFormatting sqref="K28:AA28 K42:AA42 K57:AA57 K76:AA76 K89:AA89 K129:AA129 K136:AA136 K143:AA143 K150:AA150 K157:AA157 K186:AA186">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onditionalFormatting>
  <conditionalFormatting sqref="K28 K42 K57 K76 K89 K122 K129 K136 K143 K150 K157 K186 L28 L42 L57 L76 L89 L122 L129 L136 L143 L150 L157 L186 M28 M42 M57 M76 M89 M122 M129 M136 M143 M150 M157 M186 N28 N42 N57 N76 N89 N122 N129 N136 N143 N150 N157 N186 O28 O42 O57 O76 O89 O122 O129 O136 O143 O150 O157 O186 P28 P42 P57 P76 P89 P122 P129 P136 P143 P150 P157 P186 Q28 Q42 Q57 Q76 Q89 Q122 Q129 Q136 Q143 Q150 Q157 Q186 R28 R42 R57 R76 R89 R122 R129 R136 R143 R150 R157 R186 S28 S42 S57 S76 S89 S122 S129 S136 S143 S150 S157 S186 T28 T42 T57 T76 T89 T122 T129 T136 T143 T150 T157 T186 U28 U42 U57 U76 U89 U122 U129 U136 U143 U150 U157 U186 V28 V42 V57 V76 V89 V122 V129 V136 V143 V150 V157 V186 W28 W42 W57 W76 W89 W122 W129 W136 W143 W150 W157 W186 X28 X42 X57 X76 X89 X122 X129 X136 X143 X150 X157 X186 Y28 Y42 Y57 Y76 Y89 Y122 Y129 Y136 Y143 Y150 Y157 Y186 Z28 Z42 Z57 Z76 Z89 Z122 Z129 Z136 Z143 Z150 Z157 Z186 AA28 AA42 AA57 AA76 AA89 AA122 AA129 AA136 AA143 AA150 AA157 AA186">
    <cfRule type="cellIs" priority="4" operator="lessThan" dxfId="25">
      <formula>0</formula>
    </cfRule>
    <cfRule type="cellIs" priority="4" operator="greaterThan" dxfId="21">
      <formula>0</formula>
    </cfRule>
    <cfRule type="cellIs" priority="4" operator="equal" dxfId="0">
      <formula>0</formula>
    </cfRule>
    <cfRule type="cellIs" priority="4" operator="lessThan" dxfId="25">
      <formula>0</formula>
    </cfRule>
    <cfRule type="cellIs" priority="4" operator="greaterThan" dxfId="21">
      <formula>0</formula>
    </cfRule>
    <cfRule type="cellIs" priority="4" operator="equal" dxfId="0">
      <formula>0</formula>
    </cfRule>
  </conditionalFormatting>
  <pageMargins left="0.7" right="0.7" top="0.75" bottom="0.75" header="0.3" footer="0.3"/>
  <pageSetup orientation="portrait" paperSize="9"/>
</worksheet>
</file>

<file path=xl/worksheets/sheet7.xml><?xml version="1.0" encoding="utf-8"?>
<worksheet xmlns="http://schemas.openxmlformats.org/spreadsheetml/2006/main">
  <sheetPr codeName="Лист5">
    <outlinePr summaryBelow="1" summaryRight="1"/>
    <pageSetUpPr/>
  </sheetPr>
  <dimension ref="B3:J82"/>
  <sheetViews>
    <sheetView topLeftCell="C1" zoomScale="60" zoomScaleNormal="60" workbookViewId="0">
      <pane xSplit="8" ySplit="9" topLeftCell="K10" activePane="bottomRight" state="frozen"/>
      <selection activeCell="C1" sqref="C1"/>
      <selection pane="topRight" activeCell="J1" sqref="J1"/>
      <selection pane="bottomLeft" activeCell="C10" sqref="C10"/>
      <selection pane="bottomRight" activeCell="G14" sqref="G14"/>
    </sheetView>
  </sheetViews>
  <sheetFormatPr baseColWidth="8" defaultColWidth="8.42578125" defaultRowHeight="18.75" outlineLevelRow="1"/>
  <cols>
    <col hidden="1" outlineLevel="1" width="13" customWidth="1" style="904" min="1" max="1"/>
    <col hidden="1" outlineLevel="1" width="9.42578125" customWidth="1" style="904" min="2" max="2"/>
    <col collapsed="1" width="87.85546875" customWidth="1" style="955" min="3" max="3"/>
    <col hidden="1" outlineLevel="1" width="25.85546875" customWidth="1" style="904" min="4" max="4"/>
    <col hidden="1" outlineLevel="1" width="25" customWidth="1" style="904" min="5" max="6"/>
    <col hidden="1" outlineLevel="1" width="40.5703125" customWidth="1" style="904" min="7" max="8"/>
    <col hidden="1" outlineLevel="1" width="17" customWidth="1" style="904" min="9" max="9"/>
    <col collapsed="1" width="15.42578125" customWidth="1" style="955" min="10" max="10"/>
    <col width="8.43" customWidth="1" style="904" min="11" max="48"/>
    <col width="8.43" customWidth="1" style="904" min="49" max="16384"/>
  </cols>
  <sheetData>
    <row r="3" ht="39.75" customHeight="1" s="904">
      <c r="C3" s="954" t="inlineStr">
        <is>
          <t>Данные об объемах переработки сырья и основных видах продукции, произведенной на производственных мощностях дочерних обществ ПАО «Газпром» (без учета сырья независимых поставщиков, ПАО «Газпром нефть», ООО «Газпром нефтехим Салават» и ООО «Газпром СПГ Портовая»):</t>
        </is>
      </c>
    </row>
    <row r="4" ht="15.75" customHeight="1" s="904">
      <c r="B4" s="610" t="n"/>
      <c r="C4" s="741" t="n"/>
      <c r="D4" s="4" t="n"/>
      <c r="E4" s="4" t="n"/>
      <c r="F4" s="4" t="n"/>
    </row>
    <row r="5" ht="15.75" customHeight="1" s="904">
      <c r="B5" s="610" t="n"/>
      <c r="C5" s="741" t="n"/>
      <c r="D5" s="4" t="n"/>
      <c r="E5" s="4" t="n"/>
      <c r="F5" s="4" t="n"/>
    </row>
    <row r="6" ht="20.1" customHeight="1" s="904">
      <c r="C6" s="956" t="inlineStr">
        <is>
          <t>Объемы и продукция переработки</t>
        </is>
      </c>
      <c r="D6" s="962" t="inlineStr">
        <is>
          <t>Внутренние настройки листа</t>
        </is>
      </c>
      <c r="E6" s="925" t="n"/>
      <c r="F6" s="925" t="n"/>
      <c r="G6" s="925" t="n"/>
      <c r="H6" s="925" t="n"/>
      <c r="I6" s="926" t="n"/>
      <c r="J6" s="963" t="inlineStr">
        <is>
          <t>Един.
 изм.</t>
        </is>
      </c>
    </row>
    <row r="7" ht="39.95" customHeight="1" s="904">
      <c r="B7" s="611" t="n"/>
      <c r="C7" s="916" t="n"/>
      <c r="D7" s="959" t="inlineStr">
        <is>
          <t>Ключ статьи</t>
        </is>
      </c>
      <c r="E7" s="960" t="inlineStr">
        <is>
          <t>Ключ спец</t>
        </is>
      </c>
      <c r="F7" s="960" t="inlineStr">
        <is>
          <t>Ключ ввод данных</t>
        </is>
      </c>
      <c r="G7" s="960" t="inlineStr">
        <is>
          <t>Формулы месяца</t>
        </is>
      </c>
      <c r="H7" s="960" t="inlineStr">
        <is>
          <t>Формулы % выхода</t>
        </is>
      </c>
      <c r="I7" s="960" t="inlineStr">
        <is>
          <t>Строка проверка</t>
        </is>
      </c>
      <c r="J7" s="964" t="n"/>
    </row>
    <row r="8" ht="20.1" customHeight="1" s="904">
      <c r="B8" s="611" t="n"/>
      <c r="C8" s="957" t="n"/>
      <c r="D8" s="921" t="n"/>
      <c r="E8" s="961" t="n"/>
      <c r="F8" s="961" t="n"/>
      <c r="G8" s="961" t="n"/>
      <c r="H8" s="961" t="n"/>
      <c r="I8" s="961" t="n"/>
      <c r="J8" s="961" t="n"/>
    </row>
    <row r="9" hidden="1" ht="20.1" customHeight="1" s="904"/>
    <row r="10" ht="18.75" customHeight="1" s="904">
      <c r="C10" s="742" t="inlineStr">
        <is>
          <t>Переработка сырья:</t>
        </is>
      </c>
      <c r="D10" s="612" t="n"/>
      <c r="E10" s="612" t="n"/>
      <c r="F10" s="613" t="n"/>
      <c r="G10" s="614" t="n"/>
      <c r="H10" s="733" t="n"/>
      <c r="I10" s="614" t="n"/>
      <c r="J10" s="758" t="n"/>
    </row>
    <row r="11" ht="20.25" customHeight="1" s="904">
      <c r="C11" s="743" t="inlineStr">
        <is>
          <t xml:space="preserve">    Переработка газа, с учётом транзита газа через Амурский ГПЗ</t>
        </is>
      </c>
      <c r="D11" s="612" t="n"/>
      <c r="E11" s="612" t="n"/>
      <c r="F11" s="613" t="n"/>
      <c r="G11" s="614" t="inlineStr">
        <is>
          <t>(1_1003335807+2_100332036+3_100332034+14_100335427+14_100335062+16_100330742+16_100336366+16_100336368+16_100330740)/1000</t>
        </is>
      </c>
      <c r="H11" s="759" t="n"/>
      <c r="I11" s="614" t="n"/>
      <c r="J11" s="758" t="inlineStr">
        <is>
          <t>млрд куб. м</t>
        </is>
      </c>
    </row>
    <row r="12" ht="20.25" customHeight="1" s="904">
      <c r="C12" s="743" t="inlineStr">
        <is>
          <t xml:space="preserve">    Переработка газа, без учёта транзита газа через Амурский ГПЗ</t>
        </is>
      </c>
      <c r="D12" s="612" t="n"/>
      <c r="E12" s="612" t="n"/>
      <c r="F12" s="613" t="n"/>
      <c r="G12" s="614" t="inlineStr">
        <is>
          <t>(1_1003335807+2_100332036+3_100332034+14_100335062+16_100330742+16_100336366+16_100336368+16_100330740)/1000</t>
        </is>
      </c>
      <c r="H12" s="733" t="n"/>
      <c r="I12" s="614" t="n"/>
      <c r="J12" s="758" t="inlineStr">
        <is>
          <t>млрд куб. м</t>
        </is>
      </c>
    </row>
    <row r="13" ht="20.25" customHeight="1" s="904">
      <c r="C13" s="743" t="inlineStr">
        <is>
          <t xml:space="preserve">    Переработка нестабильного газового конденсата и нефти</t>
        </is>
      </c>
      <c r="D13" s="612" t="n"/>
      <c r="E13" s="612" t="n"/>
      <c r="F13" s="613" t="n"/>
      <c r="G13" s="614" t="inlineStr">
        <is>
          <t>1_100331985+2_100332059+2_100332064+3_100332283+4_100331827+4_100335093-4_100331836+7_100330594+9_100330673+10_100330716+10_100330718+10_100337143+11_100330015+12_100330735+13_100330738+13_100335768+16_100330865+16_100336332</t>
        </is>
      </c>
      <c r="H13" s="733" t="n"/>
      <c r="I13" s="614" t="n"/>
      <c r="J13" s="758" t="inlineStr">
        <is>
          <t>тыс. т</t>
        </is>
      </c>
    </row>
    <row r="14" ht="20.25" customHeight="1" s="904">
      <c r="C14" s="743" t="inlineStr">
        <is>
          <t xml:space="preserve">    Переработка стабильного газового конденсата и нефти (первичная)</t>
        </is>
      </c>
      <c r="D14" s="612" t="n"/>
      <c r="E14" s="612" t="n"/>
      <c r="F14" s="613" t="n"/>
      <c r="G14" s="614" t="inlineStr">
        <is>
          <t>1_100332016+4_100331930+7_100330629</t>
        </is>
      </c>
      <c r="H14" s="733" t="n"/>
      <c r="I14" s="614" t="n"/>
      <c r="J14" s="758" t="inlineStr">
        <is>
          <t>тыс. т</t>
        </is>
      </c>
    </row>
    <row r="15" ht="20.25" customHeight="1" s="904">
      <c r="C15" s="742" t="inlineStr">
        <is>
          <t>Продукция переработки:</t>
        </is>
      </c>
      <c r="D15" s="612" t="n"/>
      <c r="E15" s="612" t="n"/>
      <c r="F15" s="613" t="n"/>
      <c r="G15" s="614" t="n"/>
      <c r="H15" s="733" t="n"/>
      <c r="I15" s="614" t="n"/>
      <c r="J15" s="758" t="n"/>
    </row>
    <row r="16" ht="20.25" customHeight="1" s="904">
      <c r="C16" s="743" t="inlineStr">
        <is>
          <t xml:space="preserve">     Сухой газ, с учётом транзита газа через Амурский ГПЗ</t>
        </is>
      </c>
      <c r="D16" s="612" t="n"/>
      <c r="E16" s="612" t="n"/>
      <c r="F16" s="613" t="n"/>
      <c r="G16" s="614" t="inlineStr">
        <is>
          <t>(1_100331993+2_100332111+2_100332113+2_2_100335135+2_100335692+3_100330562+16_100330750+16_100330751+4_100335876+4_100335884+8_100335493+14_100332359+14_100335312+14_100335427)/1000</t>
        </is>
      </c>
      <c r="H16" s="733" t="n"/>
      <c r="I16" s="614" t="n"/>
      <c r="J16" s="758" t="inlineStr">
        <is>
          <t>млрд куб. м</t>
        </is>
      </c>
    </row>
    <row r="17" ht="20.25" customHeight="1" s="904">
      <c r="C17" s="743" t="inlineStr">
        <is>
          <t xml:space="preserve">     Сухой газ, без учёта транзита газа через Амурский ГПЗ</t>
        </is>
      </c>
      <c r="D17" s="612" t="n"/>
      <c r="E17" s="612" t="n"/>
      <c r="F17" s="613" t="n"/>
      <c r="G17" s="614" t="inlineStr">
        <is>
          <t>(1_100331993+2_100332111+2_100332113+2_2_100335135+2_100335692+3_100330562+16_100330750+16_100330751+4_100335876+4_100335884+8_100335493+14_100332359+14_100335312)/1000</t>
        </is>
      </c>
      <c r="H17" s="733" t="n"/>
      <c r="I17" s="614" t="n"/>
      <c r="J17" s="758" t="inlineStr">
        <is>
          <t>млрд куб. м</t>
        </is>
      </c>
    </row>
    <row r="18" ht="20.25" customHeight="1" s="904">
      <c r="C18" s="743" t="inlineStr">
        <is>
          <t xml:space="preserve">     Сжиженный углеводородный газ (СУГ)</t>
        </is>
      </c>
      <c r="D18" s="612" t="n"/>
      <c r="E18" s="612" t="n"/>
      <c r="F18" s="613" t="n"/>
      <c r="G18" s="614" t="inlineStr">
        <is>
          <t>1_100332010+2_100332214+3_100332286+4_100331900+4_100331901+7_100330609+12_100330866+14_100331898+14_100335084+16_100330748</t>
        </is>
      </c>
      <c r="H18" s="733" t="n"/>
      <c r="I18" s="614" t="n"/>
      <c r="J18" s="758" t="inlineStr">
        <is>
          <t>тыс. т</t>
        </is>
      </c>
    </row>
    <row r="19" hidden="1" outlineLevel="1" ht="20.25" customHeight="1" s="904">
      <c r="C19" s="744" t="inlineStr">
        <is>
          <t>ШФЛУ</t>
        </is>
      </c>
      <c r="D19" s="612" t="n"/>
      <c r="E19" s="612" t="n"/>
      <c r="F19" s="613" t="n"/>
      <c r="G19" s="614" t="inlineStr">
        <is>
          <t>1_100332005+2_100332204+2_100332205+2_100335143+4_100331888+4_100331889+16_100332904</t>
        </is>
      </c>
      <c r="H19" s="733" t="n"/>
      <c r="I19" s="614" t="n"/>
      <c r="J19" s="758" t="inlineStr">
        <is>
          <t>тыс. т</t>
        </is>
      </c>
    </row>
    <row r="20" collapsed="1" ht="20.25" customHeight="1" s="904">
      <c r="C20" s="743" t="inlineStr">
        <is>
          <t xml:space="preserve">     Этан</t>
        </is>
      </c>
      <c r="D20" s="612" t="n"/>
      <c r="E20" s="612" t="n"/>
      <c r="F20" s="613" t="n"/>
      <c r="G20" s="614" t="inlineStr">
        <is>
          <t>2_100332241+14_100332362</t>
        </is>
      </c>
      <c r="H20" s="733" t="n"/>
      <c r="I20" s="614" t="n"/>
      <c r="J20" s="758" t="inlineStr">
        <is>
          <t>тыс. т</t>
        </is>
      </c>
    </row>
    <row r="21" ht="20.25" customHeight="1" s="904">
      <c r="C21" s="743" t="inlineStr">
        <is>
          <t xml:space="preserve">     Стабильный конденсат и нефть (товарный)</t>
        </is>
      </c>
      <c r="D21" s="612" t="n"/>
      <c r="E21" s="612" t="n"/>
      <c r="F21" s="613" t="n"/>
      <c r="G21" s="614" t="inlineStr">
        <is>
          <t>1_100332012+2_100332264+3_100332289+4_100331920+4_100331923+7_100330601+7_100330589+8_100335911+8_100330644+9_100335068+9_100330683+10_100335045+10_100337147+10_100330723+10_100330860+11_100330954+12_100335331+12_100336113+13_100330880+16_100330747</t>
        </is>
      </c>
      <c r="H21" s="733" t="n"/>
      <c r="I21" s="614" t="n"/>
      <c r="J21" s="758" t="inlineStr">
        <is>
          <t>тыс. т</t>
        </is>
      </c>
    </row>
    <row r="22" ht="20.25" customHeight="1" s="904">
      <c r="C22" s="745" t="inlineStr">
        <is>
          <t>ПГФ</t>
        </is>
      </c>
      <c r="D22" s="612" t="n"/>
      <c r="E22" s="612" t="n"/>
      <c r="F22" s="613" t="n"/>
      <c r="G22" s="614" t="inlineStr">
        <is>
          <t>2_100332233+14_100332366</t>
        </is>
      </c>
      <c r="H22" s="733" t="n"/>
      <c r="I22" s="614" t="n"/>
      <c r="J22" s="758" t="inlineStr">
        <is>
          <t>тыс. т</t>
        </is>
      </c>
    </row>
    <row r="23" ht="20.25" customHeight="1" s="904">
      <c r="C23" s="743" t="inlineStr">
        <is>
          <t xml:space="preserve">     Бензин</t>
        </is>
      </c>
      <c r="D23" s="612" t="n"/>
      <c r="E23" s="612" t="n"/>
      <c r="F23" s="613" t="n"/>
      <c r="G23" s="614" t="inlineStr">
        <is>
          <t>1_100332017+4_100331905</t>
        </is>
      </c>
      <c r="H23" s="733" t="n"/>
      <c r="I23" s="614" t="n"/>
      <c r="J23" s="758" t="inlineStr">
        <is>
          <t>тыс. т</t>
        </is>
      </c>
    </row>
    <row r="24" ht="20.25" customHeight="1" s="904">
      <c r="C24" s="746" t="inlineStr">
        <is>
          <t xml:space="preserve">     Дистиллят газового конденсата легкий</t>
        </is>
      </c>
      <c r="D24" s="612" t="n"/>
      <c r="E24" s="612" t="n"/>
      <c r="F24" s="613" t="n"/>
      <c r="G24" s="614" t="inlineStr">
        <is>
          <t>1_100332020+4_100331914</t>
        </is>
      </c>
      <c r="H24" s="733" t="n"/>
      <c r="I24" s="614" t="n"/>
      <c r="J24" s="758" t="inlineStr">
        <is>
          <t>тыс. т</t>
        </is>
      </c>
    </row>
    <row r="25" ht="20.25" customHeight="1" s="904">
      <c r="C25" s="746" t="inlineStr">
        <is>
          <t xml:space="preserve">     Дистиллят газового конденсата средний</t>
        </is>
      </c>
      <c r="D25" s="612" t="n"/>
      <c r="E25" s="612" t="n"/>
      <c r="F25" s="613" t="n"/>
      <c r="G25" s="614" t="inlineStr">
        <is>
          <t>1_100332021</t>
        </is>
      </c>
      <c r="H25" s="733" t="n"/>
      <c r="I25" s="614" t="n"/>
      <c r="J25" s="758" t="inlineStr">
        <is>
          <t>тыс. т</t>
        </is>
      </c>
    </row>
    <row r="26" ht="20.25" customHeight="1" s="904">
      <c r="C26" s="746" t="inlineStr">
        <is>
          <t xml:space="preserve">     Дистиллят газового конденсата тяжелый</t>
        </is>
      </c>
      <c r="D26" s="612" t="n"/>
      <c r="E26" s="612" t="n"/>
      <c r="F26" s="613" t="n"/>
      <c r="G26" s="614" t="inlineStr">
        <is>
          <t>1_100332022</t>
        </is>
      </c>
      <c r="H26" s="733" t="n"/>
      <c r="I26" s="614" t="n"/>
      <c r="J26" s="758" t="inlineStr">
        <is>
          <t>тыс. т</t>
        </is>
      </c>
    </row>
    <row r="27" ht="20.25" customHeight="1" s="904">
      <c r="C27" s="743" t="inlineStr">
        <is>
          <t xml:space="preserve">     Топливо марки ТС-1</t>
        </is>
      </c>
      <c r="D27" s="612" t="n"/>
      <c r="E27" s="612" t="n"/>
      <c r="F27" s="613" t="n"/>
      <c r="G27" s="614" t="inlineStr">
        <is>
          <t>4_100331908</t>
        </is>
      </c>
      <c r="H27" s="733" t="n"/>
      <c r="I27" s="614" t="n"/>
      <c r="J27" s="758" t="inlineStr">
        <is>
          <t>тыс. т</t>
        </is>
      </c>
    </row>
    <row r="28" ht="20.25" customHeight="1" s="904">
      <c r="C28" s="743" t="inlineStr">
        <is>
          <t xml:space="preserve">     Дизельное топливо</t>
        </is>
      </c>
      <c r="D28" s="612" t="n"/>
      <c r="E28" s="612" t="n"/>
      <c r="F28" s="613" t="n"/>
      <c r="G28" s="614" t="inlineStr">
        <is>
          <t>1_100332023+4_100331911+7_100330605</t>
        </is>
      </c>
      <c r="H28" s="733" t="n"/>
      <c r="I28" s="614" t="n"/>
      <c r="J28" s="758" t="inlineStr">
        <is>
          <t>тыс. т</t>
        </is>
      </c>
    </row>
    <row r="29" ht="20.25" customHeight="1" s="904">
      <c r="C29" s="743" t="inlineStr">
        <is>
          <t xml:space="preserve">     Мазут топочный</t>
        </is>
      </c>
      <c r="D29" s="612" t="n"/>
      <c r="E29" s="612" t="n"/>
      <c r="F29" s="613" t="n"/>
      <c r="G29" s="614" t="inlineStr">
        <is>
          <t>1_100332024</t>
        </is>
      </c>
      <c r="H29" s="733" t="n"/>
      <c r="I29" s="614" t="n"/>
      <c r="J29" s="758" t="inlineStr">
        <is>
          <t>тыс. т</t>
        </is>
      </c>
    </row>
    <row r="30" ht="20.25" customHeight="1" s="904">
      <c r="C30" s="743" t="inlineStr">
        <is>
          <t xml:space="preserve">     Сера</t>
        </is>
      </c>
      <c r="D30" s="612" t="n"/>
      <c r="E30" s="612" t="n"/>
      <c r="F30" s="613" t="n"/>
      <c r="G30" s="614" t="inlineStr">
        <is>
          <t>1_100332000+2_100332187</t>
        </is>
      </c>
      <c r="H30" s="733" t="n"/>
      <c r="I30" s="614" t="n"/>
      <c r="J30" s="758" t="inlineStr">
        <is>
          <t>тыс. т</t>
        </is>
      </c>
    </row>
    <row r="31" ht="20.25" customHeight="1" s="904">
      <c r="C31" s="743" t="inlineStr">
        <is>
          <t xml:space="preserve">     Гелий</t>
        </is>
      </c>
      <c r="D31" s="612" t="n"/>
      <c r="E31" s="612" t="n"/>
      <c r="F31" s="613" t="n"/>
      <c r="G31" s="614" t="inlineStr">
        <is>
          <t>2_100332245+14_100332361+14_100335082</t>
        </is>
      </c>
      <c r="H31" s="733" t="n"/>
      <c r="I31" s="614" t="n"/>
      <c r="J31" s="758" t="inlineStr">
        <is>
          <t>тыс куб. м</t>
        </is>
      </c>
    </row>
    <row r="32" ht="20.25" customHeight="1" s="904">
      <c r="C32" s="743" t="inlineStr">
        <is>
          <t xml:space="preserve">     Одорант</t>
        </is>
      </c>
      <c r="D32" s="612" t="n"/>
      <c r="E32" s="612" t="n"/>
      <c r="F32" s="613" t="n"/>
      <c r="G32" s="614" t="inlineStr">
        <is>
          <t>2_100332237</t>
        </is>
      </c>
      <c r="H32" s="733" t="n"/>
      <c r="I32" s="614" t="n"/>
      <c r="J32" s="758" t="inlineStr">
        <is>
          <t>тыс. т</t>
        </is>
      </c>
    </row>
    <row r="33" ht="20.25" customHeight="1" s="904">
      <c r="C33" s="747" t="inlineStr">
        <is>
          <t xml:space="preserve">     Техуглерод</t>
        </is>
      </c>
      <c r="D33" s="612" t="n"/>
      <c r="E33" s="612" t="n"/>
      <c r="F33" s="613" t="n"/>
      <c r="G33" s="614" t="inlineStr">
        <is>
          <t>3_100330579</t>
        </is>
      </c>
      <c r="H33" s="733" t="n"/>
      <c r="I33" s="614" t="n"/>
      <c r="J33" s="758" t="inlineStr">
        <is>
          <t>тыс. т</t>
        </is>
      </c>
    </row>
    <row r="34" ht="20.25" customHeight="1" s="904">
      <c r="C34" s="747" t="inlineStr">
        <is>
          <t xml:space="preserve">     Метанол</t>
        </is>
      </c>
      <c r="D34" s="612" t="n"/>
      <c r="E34" s="612" t="n"/>
      <c r="F34" s="613" t="n"/>
      <c r="G34" s="614" t="inlineStr">
        <is>
          <t>3_100335432/1000+4_100335442/1000+16_100330753</t>
        </is>
      </c>
      <c r="H34" s="733" t="n"/>
      <c r="I34" s="614" t="n"/>
      <c r="J34" s="758" t="inlineStr">
        <is>
          <t>тыс. т</t>
        </is>
      </c>
    </row>
    <row r="35" ht="20.25" customHeight="1" s="904">
      <c r="C35" s="748" t="n"/>
    </row>
    <row r="36" ht="20.25" customHeight="1" s="904">
      <c r="C36" s="958" t="inlineStr">
        <is>
          <t>Данные об объемах производства СПГ на КСПГ Портовая</t>
        </is>
      </c>
    </row>
    <row r="37" ht="20.25" customHeight="1" s="904">
      <c r="C37" s="749" t="n"/>
    </row>
    <row r="38" ht="20.25" customHeight="1" s="904">
      <c r="C38" s="956" t="inlineStr">
        <is>
          <t>Объемы и продукция переработки</t>
        </is>
      </c>
      <c r="D38" s="612" t="n"/>
      <c r="E38" s="612" t="n"/>
      <c r="F38" s="613" t="n"/>
      <c r="G38" s="614" t="n"/>
      <c r="H38" s="733" t="n"/>
      <c r="I38" s="614" t="n"/>
      <c r="J38" s="758" t="n"/>
    </row>
    <row r="39" ht="20.25" customHeight="1" s="904">
      <c r="C39" s="957" t="n"/>
      <c r="D39" s="612" t="n"/>
      <c r="E39" s="612" t="n"/>
      <c r="F39" s="613" t="n"/>
      <c r="G39" s="614" t="n"/>
      <c r="H39" s="733" t="n"/>
      <c r="I39" s="614" t="n"/>
      <c r="J39" s="758" t="n"/>
    </row>
    <row r="40" outlineLevel="1" ht="20.25" customHeight="1" s="904">
      <c r="C40" s="750" t="inlineStr">
        <is>
          <t xml:space="preserve">Переработка сырья </t>
        </is>
      </c>
      <c r="D40" s="612" t="n"/>
      <c r="E40" s="612" t="n"/>
      <c r="F40" s="613" t="n"/>
      <c r="G40" s="614" t="n"/>
      <c r="H40" s="733" t="n"/>
      <c r="I40" s="614" t="n"/>
      <c r="J40" s="758" t="n"/>
    </row>
    <row r="41" outlineLevel="1" ht="20.25" customHeight="1" s="904">
      <c r="C41" s="743" t="inlineStr">
        <is>
          <t xml:space="preserve">    Переработка газа</t>
        </is>
      </c>
      <c r="D41" s="612" t="n"/>
      <c r="E41" s="612" t="n"/>
      <c r="F41" s="613" t="n"/>
      <c r="G41" s="614" t="inlineStr">
        <is>
          <t>15_100335646/1000</t>
        </is>
      </c>
      <c r="H41" s="733" t="n"/>
      <c r="I41" s="614" t="n"/>
      <c r="J41" s="758" t="inlineStr">
        <is>
          <t>млрд куб. м</t>
        </is>
      </c>
    </row>
    <row r="42" ht="20.25" customHeight="1" s="904">
      <c r="C42" s="751" t="inlineStr">
        <is>
          <t>Продукция переработки</t>
        </is>
      </c>
      <c r="D42" s="612" t="n"/>
      <c r="E42" s="612" t="n"/>
      <c r="F42" s="613" t="n"/>
      <c r="G42" s="614" t="n"/>
      <c r="H42" s="733" t="n"/>
      <c r="I42" s="614" t="n"/>
      <c r="J42" s="758" t="n"/>
    </row>
    <row r="43" outlineLevel="1" ht="20.25" customHeight="1" s="904">
      <c r="C43" s="743" t="inlineStr">
        <is>
          <t xml:space="preserve">     Сжиженный природный газ (СПГ)</t>
        </is>
      </c>
      <c r="D43" s="612" t="n"/>
      <c r="E43" s="612" t="n"/>
      <c r="F43" s="613" t="n"/>
      <c r="G43" s="614" t="inlineStr">
        <is>
          <t>15_100332383</t>
        </is>
      </c>
      <c r="H43" s="733" t="n"/>
      <c r="I43" s="614" t="n"/>
      <c r="J43" s="758" t="inlineStr">
        <is>
          <t>тыс. т</t>
        </is>
      </c>
    </row>
    <row r="44" ht="20.25" customHeight="1" s="904">
      <c r="C44" s="743" t="inlineStr">
        <is>
          <t xml:space="preserve">     Стабильный конденсат и нефть (товарный)</t>
        </is>
      </c>
      <c r="D44" s="612" t="n"/>
      <c r="E44" s="612" t="n"/>
      <c r="F44" s="613" t="n"/>
      <c r="G44" s="614" t="inlineStr">
        <is>
          <t>15_100330867</t>
        </is>
      </c>
      <c r="H44" s="733" t="n"/>
      <c r="I44" s="614" t="n"/>
      <c r="J44" s="758" t="inlineStr">
        <is>
          <t>тыс. т</t>
        </is>
      </c>
    </row>
    <row r="45" ht="20.25" customHeight="1" s="904">
      <c r="C45" s="752" t="inlineStr">
        <is>
          <t>(1)  Оперативные данные</t>
        </is>
      </c>
    </row>
    <row r="46" ht="20.25" customHeight="1" s="904">
      <c r="C46" s="753" t="n"/>
    </row>
    <row r="47" ht="20.25" customHeight="1" s="904">
      <c r="C47" s="958" t="inlineStr">
        <is>
          <t xml:space="preserve">Данные об объемах переработки сырья и основных видах продукции ООО «Газпром нефтехим Салават» : </t>
        </is>
      </c>
    </row>
    <row r="48" ht="20.25" customHeight="1" s="904">
      <c r="C48" s="749" t="n"/>
    </row>
    <row r="49" ht="20.25" customHeight="1" s="904">
      <c r="C49" s="753" t="n"/>
    </row>
    <row r="50" ht="20.25" customHeight="1" s="904">
      <c r="C50" s="956" t="inlineStr">
        <is>
          <t>Объемы и продукция переработки</t>
        </is>
      </c>
      <c r="D50" s="612" t="n"/>
      <c r="E50" s="612" t="n"/>
      <c r="F50" s="613" t="n"/>
      <c r="G50" s="614" t="n"/>
      <c r="H50" s="733" t="n"/>
      <c r="I50" s="614" t="n"/>
      <c r="J50" s="758" t="n"/>
    </row>
    <row r="51" ht="20.25" customHeight="1" s="904">
      <c r="C51" s="957" t="n"/>
      <c r="D51" s="612" t="n"/>
      <c r="E51" s="612" t="n"/>
      <c r="F51" s="613" t="n"/>
      <c r="G51" s="614" t="n"/>
      <c r="H51" s="733" t="n"/>
      <c r="I51" s="614" t="n"/>
      <c r="J51" s="758" t="n"/>
    </row>
    <row r="52" ht="20.25" customHeight="1" s="904">
      <c r="C52" s="751" t="inlineStr">
        <is>
          <t xml:space="preserve">Переработка сырья </t>
        </is>
      </c>
      <c r="D52" s="612" t="n"/>
      <c r="E52" s="612" t="n"/>
      <c r="F52" s="613" t="n"/>
      <c r="G52" s="614" t="n"/>
      <c r="H52" s="733" t="n"/>
      <c r="I52" s="614" t="n"/>
      <c r="J52" s="758" t="n"/>
    </row>
    <row r="53" ht="20.25" customHeight="1" s="904">
      <c r="C53" s="754" t="inlineStr">
        <is>
          <t>Переработка газа</t>
        </is>
      </c>
      <c r="D53" s="612" t="n"/>
      <c r="E53" s="612" t="n"/>
      <c r="F53" s="613" t="n"/>
      <c r="G53" s="614" t="inlineStr">
        <is>
          <t>17_100335597+17_100330794</t>
        </is>
      </c>
      <c r="H53" s="733" t="n"/>
      <c r="I53" s="614" t="n"/>
      <c r="J53" s="758" t="inlineStr">
        <is>
          <t>млн куб. м</t>
        </is>
      </c>
    </row>
    <row r="54" ht="20.25" customHeight="1" s="904">
      <c r="C54" s="754" t="inlineStr">
        <is>
          <t>Переработка газового конденсата, нефти и прочего сырья</t>
        </is>
      </c>
      <c r="D54" s="612" t="n"/>
      <c r="E54" s="612" t="n"/>
      <c r="F54" s="613" t="n"/>
      <c r="G54" s="614" t="inlineStr">
        <is>
          <t>17_100330804+17_100330803+17_100330807+17_100336014</t>
        </is>
      </c>
      <c r="H54" s="733" t="n"/>
      <c r="I54" s="614" t="n"/>
      <c r="J54" s="758" t="inlineStr">
        <is>
          <t>тыс. т</t>
        </is>
      </c>
    </row>
    <row r="55" ht="20.25" customHeight="1" s="904">
      <c r="C55" s="751" t="inlineStr">
        <is>
          <t>Продукция переработки</t>
        </is>
      </c>
      <c r="D55" s="612" t="n"/>
      <c r="E55" s="612" t="n"/>
      <c r="F55" s="613" t="n"/>
      <c r="G55" s="614" t="n"/>
      <c r="H55" s="733" t="n"/>
      <c r="I55" s="614" t="n"/>
      <c r="J55" s="758" t="n"/>
    </row>
    <row r="56" ht="20.25" customHeight="1" s="904">
      <c r="C56" s="755" t="inlineStr">
        <is>
          <t>Автомобильный бензин</t>
        </is>
      </c>
      <c r="D56" s="612" t="n"/>
      <c r="E56" s="612" t="n"/>
      <c r="F56" s="613" t="n"/>
      <c r="G56" s="614" t="inlineStr">
        <is>
          <t>17_100330107</t>
        </is>
      </c>
      <c r="H56" s="733" t="n"/>
      <c r="I56" s="614" t="n"/>
      <c r="J56" s="758" t="inlineStr">
        <is>
          <t>тыс. т</t>
        </is>
      </c>
    </row>
    <row r="57" ht="20.25" customHeight="1" s="904">
      <c r="C57" s="755" t="inlineStr">
        <is>
          <t>ДГКЛ и бензин технический</t>
        </is>
      </c>
      <c r="D57" s="612" t="n"/>
      <c r="E57" s="612" t="n"/>
      <c r="F57" s="613" t="n"/>
      <c r="G57" s="614" t="inlineStr">
        <is>
          <t>17_100330815+17_100335765</t>
        </is>
      </c>
      <c r="H57" s="733" t="n"/>
      <c r="I57" s="614" t="n"/>
      <c r="J57" s="758" t="inlineStr">
        <is>
          <t>тыс. т</t>
        </is>
      </c>
    </row>
    <row r="58" ht="20.25" customHeight="1" s="904">
      <c r="C58" s="755" t="inlineStr">
        <is>
          <t>Топливо нефтяное АВТ</t>
        </is>
      </c>
      <c r="D58" s="612" t="n"/>
      <c r="E58" s="612" t="n"/>
      <c r="F58" s="613" t="n"/>
      <c r="G58" s="614" t="inlineStr">
        <is>
          <t>17_100336024</t>
        </is>
      </c>
      <c r="H58" s="733" t="n"/>
      <c r="I58" s="614" t="n"/>
      <c r="J58" s="758" t="inlineStr">
        <is>
          <t>тыс. т</t>
        </is>
      </c>
    </row>
    <row r="59" ht="20.25" customHeight="1" s="904">
      <c r="C59" s="755" t="inlineStr">
        <is>
          <t>Дизельное топливо</t>
        </is>
      </c>
      <c r="D59" s="612" t="n"/>
      <c r="E59" s="612" t="n"/>
      <c r="F59" s="613" t="n"/>
      <c r="G59" s="614" t="inlineStr">
        <is>
          <t>17_100330123</t>
        </is>
      </c>
      <c r="H59" s="733" t="n"/>
      <c r="I59" s="614" t="n"/>
      <c r="J59" s="758" t="inlineStr">
        <is>
          <t>тыс. т</t>
        </is>
      </c>
    </row>
    <row r="60" ht="20.25" customHeight="1" s="904">
      <c r="C60" s="755" t="inlineStr">
        <is>
          <t>Мазут топочный и ДГКС</t>
        </is>
      </c>
      <c r="D60" s="612" t="n"/>
      <c r="E60" s="612" t="n"/>
      <c r="F60" s="613" t="n"/>
      <c r="G60" s="614" t="inlineStr">
        <is>
          <t>17_100330822</t>
        </is>
      </c>
      <c r="H60" s="733" t="n"/>
      <c r="I60" s="614" t="n"/>
      <c r="J60" s="758" t="inlineStr">
        <is>
          <t>тыс. т</t>
        </is>
      </c>
    </row>
    <row r="61" ht="20.25" customHeight="1" s="904">
      <c r="C61" s="755" t="inlineStr">
        <is>
          <t>Сырье для битума/гудрон</t>
        </is>
      </c>
      <c r="D61" s="612" t="n"/>
      <c r="E61" s="612" t="n"/>
      <c r="F61" s="613" t="n"/>
      <c r="G61" s="614" t="inlineStr">
        <is>
          <t>17_100330820</t>
        </is>
      </c>
      <c r="H61" s="733" t="n"/>
      <c r="I61" s="614" t="n"/>
      <c r="J61" s="758" t="inlineStr">
        <is>
          <t>тыс. т</t>
        </is>
      </c>
    </row>
    <row r="62" ht="20.25" customHeight="1" s="904">
      <c r="C62" s="755" t="inlineStr">
        <is>
          <t>Нефтебитум дорожный</t>
        </is>
      </c>
      <c r="D62" s="612" t="n"/>
      <c r="E62" s="612" t="n"/>
      <c r="F62" s="613" t="n"/>
      <c r="G62" s="614" t="inlineStr">
        <is>
          <t>17_100330821</t>
        </is>
      </c>
      <c r="H62" s="733" t="n"/>
      <c r="I62" s="614" t="n"/>
      <c r="J62" s="758" t="inlineStr">
        <is>
          <t>тыс. т</t>
        </is>
      </c>
    </row>
    <row r="63" ht="20.25" customHeight="1" s="904">
      <c r="C63" s="755" t="inlineStr">
        <is>
          <t>Фракция изопентановая</t>
        </is>
      </c>
      <c r="D63" s="612" t="n"/>
      <c r="E63" s="612" t="n"/>
      <c r="F63" s="613" t="n"/>
      <c r="G63" s="614" t="inlineStr">
        <is>
          <t>17_100330944</t>
        </is>
      </c>
      <c r="H63" s="733" t="n"/>
      <c r="I63" s="614" t="n"/>
      <c r="J63" s="758" t="inlineStr">
        <is>
          <t>тыс. т</t>
        </is>
      </c>
    </row>
    <row r="64" ht="20.25" customHeight="1" s="904">
      <c r="C64" s="755" t="inlineStr">
        <is>
          <t>Сера комовая</t>
        </is>
      </c>
      <c r="D64" s="612" t="n"/>
      <c r="E64" s="612" t="n"/>
      <c r="F64" s="613" t="n"/>
      <c r="G64" s="614" t="inlineStr">
        <is>
          <t>17_100330809</t>
        </is>
      </c>
      <c r="H64" s="733" t="n"/>
      <c r="I64" s="614" t="n"/>
      <c r="J64" s="758" t="inlineStr">
        <is>
          <t>тыс. т</t>
        </is>
      </c>
    </row>
    <row r="65" ht="20.25" customHeight="1" s="904">
      <c r="C65" s="755" t="inlineStr">
        <is>
          <t>Толуол</t>
        </is>
      </c>
      <c r="D65" s="612" t="n"/>
      <c r="E65" s="612" t="n"/>
      <c r="F65" s="613" t="n"/>
      <c r="G65" s="614" t="inlineStr">
        <is>
          <t>17_100336026</t>
        </is>
      </c>
      <c r="H65" s="733" t="n"/>
      <c r="I65" s="614" t="n"/>
      <c r="J65" s="758" t="inlineStr">
        <is>
          <t>тыс. т</t>
        </is>
      </c>
    </row>
    <row r="66" ht="20.25" customHeight="1" s="904">
      <c r="C66" s="755" t="inlineStr">
        <is>
          <t>ШФЛУ</t>
        </is>
      </c>
      <c r="D66" s="612" t="n"/>
      <c r="E66" s="612" t="n"/>
      <c r="F66" s="613" t="n"/>
      <c r="G66" s="614" t="inlineStr">
        <is>
          <t>17_100336022</t>
        </is>
      </c>
      <c r="H66" s="733" t="n"/>
      <c r="I66" s="614" t="n"/>
      <c r="J66" s="758" t="inlineStr">
        <is>
          <t>тыс. т</t>
        </is>
      </c>
    </row>
    <row r="67" ht="20.25" customHeight="1" s="904">
      <c r="C67" s="754" t="inlineStr">
        <is>
          <t>Этилен</t>
        </is>
      </c>
      <c r="D67" s="612" t="n"/>
      <c r="E67" s="612" t="n"/>
      <c r="F67" s="613" t="n"/>
      <c r="G67" s="614" t="inlineStr">
        <is>
          <t>17_100330832</t>
        </is>
      </c>
      <c r="H67" s="733" t="n"/>
      <c r="I67" s="614" t="n"/>
      <c r="J67" s="758" t="inlineStr">
        <is>
          <t>тыс. т</t>
        </is>
      </c>
    </row>
    <row r="68" ht="20.25" customHeight="1" s="904">
      <c r="C68" s="754" t="inlineStr">
        <is>
          <t>Пропилен</t>
        </is>
      </c>
      <c r="D68" s="612" t="n"/>
      <c r="E68" s="612" t="n"/>
      <c r="F68" s="613" t="n"/>
      <c r="G68" s="614" t="inlineStr">
        <is>
          <t>17_100332346</t>
        </is>
      </c>
      <c r="H68" s="733" t="n"/>
      <c r="I68" s="614" t="n"/>
      <c r="J68" s="758" t="inlineStr">
        <is>
          <t>тыс. т</t>
        </is>
      </c>
    </row>
    <row r="69" ht="20.25" customHeight="1" s="904">
      <c r="C69" s="754" t="inlineStr">
        <is>
          <t>Стирол</t>
        </is>
      </c>
      <c r="D69" s="612" t="n"/>
      <c r="E69" s="612" t="n"/>
      <c r="F69" s="613" t="n"/>
      <c r="G69" s="614" t="inlineStr">
        <is>
          <t>17_100330838</t>
        </is>
      </c>
      <c r="H69" s="733" t="n"/>
      <c r="I69" s="614" t="n"/>
      <c r="J69" s="758" t="inlineStr">
        <is>
          <t>тыс. т</t>
        </is>
      </c>
    </row>
    <row r="70" ht="20.25" customHeight="1" s="904">
      <c r="C70" s="754" t="inlineStr">
        <is>
          <t>Полиэтилен</t>
        </is>
      </c>
      <c r="D70" s="612" t="n"/>
      <c r="E70" s="612" t="n"/>
      <c r="F70" s="613" t="n"/>
      <c r="G70" s="614" t="inlineStr">
        <is>
          <t>17_100335112+17_100335113</t>
        </is>
      </c>
      <c r="H70" s="733" t="n"/>
      <c r="I70" s="614" t="n"/>
      <c r="J70" s="758" t="inlineStr">
        <is>
          <t>тыс. т</t>
        </is>
      </c>
    </row>
    <row r="71" ht="20.25" customHeight="1" s="904">
      <c r="C71" s="754" t="inlineStr">
        <is>
          <t>Полистирол</t>
        </is>
      </c>
      <c r="D71" s="612" t="n"/>
      <c r="E71" s="612" t="n"/>
      <c r="F71" s="613" t="n"/>
      <c r="G71" s="614" t="inlineStr">
        <is>
          <t>17_100335111</t>
        </is>
      </c>
      <c r="H71" s="733" t="n"/>
      <c r="I71" s="614" t="n"/>
      <c r="J71" s="758" t="inlineStr">
        <is>
          <t>тыс. т</t>
        </is>
      </c>
    </row>
    <row r="72" ht="20.25" customHeight="1" s="904">
      <c r="C72" s="754" t="inlineStr">
        <is>
          <t>Бутиловые спирты</t>
        </is>
      </c>
      <c r="D72" s="612" t="n"/>
      <c r="E72" s="612" t="n"/>
      <c r="F72" s="613" t="n"/>
      <c r="G72" s="614" t="inlineStr">
        <is>
          <t>17_100330843+17_100330845+17_100336090</t>
        </is>
      </c>
      <c r="H72" s="733" t="n"/>
      <c r="I72" s="614" t="n"/>
      <c r="J72" s="758" t="inlineStr">
        <is>
          <t>тыс. т</t>
        </is>
      </c>
    </row>
    <row r="73" ht="20.25" customHeight="1" s="904">
      <c r="C73" s="754" t="inlineStr">
        <is>
          <t>Пластификатор ДОФ</t>
        </is>
      </c>
      <c r="D73" s="612" t="n"/>
      <c r="E73" s="612" t="n"/>
      <c r="F73" s="613" t="n"/>
      <c r="G73" s="614" t="inlineStr">
        <is>
          <t>17_100336097</t>
        </is>
      </c>
      <c r="H73" s="733" t="n"/>
      <c r="I73" s="614" t="n"/>
      <c r="J73" s="758" t="inlineStr">
        <is>
          <t>тыс. т</t>
        </is>
      </c>
    </row>
    <row r="74" ht="20.25" customHeight="1" s="904">
      <c r="C74" s="754" t="inlineStr">
        <is>
          <t>Карбамид</t>
        </is>
      </c>
      <c r="D74" s="612" t="n"/>
      <c r="E74" s="612" t="n"/>
      <c r="F74" s="613" t="n"/>
      <c r="G74" s="614" t="inlineStr">
        <is>
          <t>17_100336102</t>
        </is>
      </c>
      <c r="H74" s="733" t="n"/>
      <c r="I74" s="614" t="n"/>
      <c r="J74" s="758" t="inlineStr">
        <is>
          <t>тыс. т</t>
        </is>
      </c>
    </row>
    <row r="75" ht="20.25" customHeight="1" s="904">
      <c r="C75" s="754" t="inlineStr">
        <is>
          <t>Аммиак жидкий технический</t>
        </is>
      </c>
      <c r="D75" s="612" t="n"/>
      <c r="E75" s="612" t="n"/>
      <c r="F75" s="613" t="n"/>
      <c r="G75" s="614" t="inlineStr">
        <is>
          <t>17_100330799</t>
        </is>
      </c>
      <c r="H75" s="733" t="n"/>
      <c r="I75" s="614" t="n"/>
      <c r="J75" s="758" t="inlineStr">
        <is>
          <t>тыс. т</t>
        </is>
      </c>
    </row>
    <row r="76" outlineLevel="1" ht="20.25" customHeight="1" s="904">
      <c r="C76" s="754" t="inlineStr">
        <is>
          <t>Аммиачная селитра</t>
        </is>
      </c>
      <c r="D76" s="612" t="n"/>
      <c r="E76" s="612" t="n"/>
      <c r="F76" s="613" t="n"/>
      <c r="G76" s="614" t="n"/>
      <c r="H76" s="733" t="n"/>
      <c r="I76" s="614" t="n"/>
      <c r="J76" s="758" t="inlineStr">
        <is>
          <t>тыс. т</t>
        </is>
      </c>
    </row>
    <row r="77" ht="20.25" customHeight="1" s="904">
      <c r="C77" s="753" t="n"/>
    </row>
    <row r="78" ht="20.25" customHeight="1" s="904">
      <c r="C78" s="756" t="inlineStr">
        <is>
          <t>Нефтепродукты под Д353</t>
        </is>
      </c>
      <c r="D78" s="612" t="n"/>
      <c r="E78" s="612" t="n"/>
      <c r="F78" s="613" t="n"/>
      <c r="G78" s="614">
        <f>G56+G59+G60+G62</f>
        <v/>
      </c>
      <c r="H78" s="733" t="n"/>
      <c r="I78" s="614" t="n"/>
      <c r="J78" s="758" t="n"/>
    </row>
    <row r="79" ht="20.25" customHeight="1" s="904">
      <c r="C79" s="756" t="inlineStr">
        <is>
          <t>Прочие нефтепродукты под Д353</t>
        </is>
      </c>
      <c r="D79" s="612" t="n"/>
      <c r="E79" s="612" t="n"/>
      <c r="F79" s="613" t="n"/>
      <c r="G79" s="614">
        <f>G61+G63+G65+G66+G57+G58</f>
        <v/>
      </c>
      <c r="H79" s="733" t="n"/>
      <c r="I79" s="614" t="n"/>
      <c r="J79" s="758" t="n"/>
    </row>
    <row r="80" ht="20.25" customHeight="1" s="904">
      <c r="C80" s="757" t="inlineStr">
        <is>
          <t>Переработка НК по отчету Шестакова (НК АГПЗ+НК ОГХК+НЕФТЬ ОГХК (без Сервиснефтегаа) + ЖУВ СГПЗ+НК УЗПКТ-НК З-Таркосол.+НЕФТЬ УЗПКТ (Строка 194)</t>
        </is>
      </c>
      <c r="D80" s="612" t="n"/>
      <c r="E80" s="612" t="n"/>
      <c r="F80" s="613" t="n"/>
      <c r="G80" s="614" t="n"/>
      <c r="H80" s="733" t="n"/>
      <c r="I80" s="614" t="n"/>
      <c r="J80" s="758" t="n"/>
    </row>
    <row r="81" ht="20.25" customHeight="1" s="904">
      <c r="C81" s="756" t="inlineStr">
        <is>
          <t>Мономеры</t>
        </is>
      </c>
      <c r="D81" s="612" t="n"/>
      <c r="E81" s="612" t="n"/>
      <c r="F81" s="613" t="n"/>
      <c r="G81" s="614" t="n"/>
      <c r="H81" s="733" t="n"/>
      <c r="I81" s="614" t="n"/>
      <c r="J81" s="758" t="n"/>
    </row>
    <row r="82" ht="20.25" customHeight="1" s="904">
      <c r="C82" s="756" t="inlineStr">
        <is>
          <t>Полимеры</t>
        </is>
      </c>
      <c r="D82" s="612" t="n"/>
      <c r="E82" s="612" t="n"/>
      <c r="F82" s="613" t="n"/>
      <c r="G82" s="614" t="n"/>
      <c r="H82" s="733" t="n"/>
      <c r="I82" s="614" t="n"/>
      <c r="J82" s="758" t="n"/>
    </row>
  </sheetData>
  <mergeCells count="14">
    <mergeCell ref="C3:J3"/>
    <mergeCell ref="C38:C39"/>
    <mergeCell ref="C47:J47"/>
    <mergeCell ref="D7:D8"/>
    <mergeCell ref="G7:G8"/>
    <mergeCell ref="C36:J36"/>
    <mergeCell ref="E7:E8"/>
    <mergeCell ref="I7:I8"/>
    <mergeCell ref="F7:F8"/>
    <mergeCell ref="D6:I6"/>
    <mergeCell ref="H7:H8"/>
    <mergeCell ref="C6:C8"/>
    <mergeCell ref="C50:C51"/>
    <mergeCell ref="J6:J8"/>
  </mergeCells>
  <pageMargins left="0.7" right="0.7" top="0.75" bottom="0.75" header="0.3" footer="0.3"/>
  <pageSetup orientation="portrait" paperSize="9"/>
</worksheet>
</file>

<file path=xl/worksheets/sheet8.xml><?xml version="1.0" encoding="utf-8"?>
<worksheet xmlns="http://schemas.openxmlformats.org/spreadsheetml/2006/main">
  <sheetPr codeName="Лист26">
    <tabColor theme="4" tint="0.7999816888943144"/>
    <outlinePr summaryBelow="1" summaryRight="1"/>
    <pageSetUpPr autoPageBreaks="0" fitToPage="1"/>
  </sheetPr>
  <dimension ref="A3:K95"/>
  <sheetViews>
    <sheetView zoomScale="70" zoomScaleNormal="70" workbookViewId="0">
      <pane xSplit="11" ySplit="9" topLeftCell="L43" activePane="bottomRight" state="frozen"/>
      <selection activeCell="K10" sqref="K10"/>
      <selection pane="topRight" activeCell="A1" sqref="A1"/>
      <selection pane="bottomLeft" activeCell="A1" sqref="A1"/>
      <selection pane="bottomRight" activeCell="M43" sqref="M43"/>
    </sheetView>
  </sheetViews>
  <sheetFormatPr baseColWidth="8" defaultColWidth="15" defaultRowHeight="18.75" outlineLevelRow="1"/>
  <cols>
    <col hidden="1" outlineLevel="1" width="16.5703125" customWidth="1" style="975" min="1" max="1"/>
    <col hidden="1" outlineLevel="1" width="16.28515625" customWidth="1" style="609" min="2" max="2"/>
    <col collapsed="1" width="11.85546875" customWidth="1" style="1009" min="3" max="3"/>
    <col width="77.7109375" customWidth="1" style="975" min="4" max="4"/>
    <col hidden="1" outlineLevel="1" width="17.140625" customWidth="1" style="975" min="5" max="5"/>
    <col hidden="1" outlineLevel="1" width="14.7109375" customWidth="1" style="975" min="6" max="6"/>
    <col hidden="1" outlineLevel="1" width="15.42578125" customWidth="1" style="975" min="7" max="7"/>
    <col hidden="1" outlineLevel="1" width="28" customWidth="1" style="975" min="8" max="9"/>
    <col hidden="1" outlineLevel="1" width="15.5703125" customWidth="1" style="975" min="10" max="10"/>
    <col collapsed="1" width="14" bestFit="1" customWidth="1" style="976" min="11" max="11"/>
    <col width="8.43" customWidth="1" style="904" min="12"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3"/>
    <col collapsed="1" width="8.43" customWidth="1" style="904" min="44" max="44"/>
    <col width="8.43" customWidth="1" style="904" min="45" max="45"/>
    <col collapsed="1" width="8.43" customWidth="1" style="904" min="46" max="46"/>
    <col width="8.43" customWidth="1" style="904" min="47" max="87"/>
    <col collapsed="1" width="8.43" customWidth="1" style="904" min="88" max="88"/>
    <col width="8.43" customWidth="1" style="904" min="89" max="91"/>
    <col collapsed="1" width="8.43" customWidth="1" style="904" min="92" max="92"/>
    <col width="8.43" customWidth="1" style="904" min="93" max="93"/>
    <col collapsed="1" width="8.43" customWidth="1" style="904" min="94" max="94"/>
    <col width="8.43" customWidth="1" style="904" min="95" max="97"/>
    <col collapsed="1" width="8.43" customWidth="1" style="904" min="98" max="98"/>
    <col width="8.43" customWidth="1" style="904" min="99" max="99"/>
    <col collapsed="1" width="8.43" customWidth="1" style="904" min="100" max="100"/>
    <col width="8.43" customWidth="1" style="904" min="101" max="103"/>
    <col collapsed="1" width="8.43" customWidth="1" style="904" min="104" max="104"/>
    <col width="8.43" customWidth="1" style="904" min="105" max="105"/>
    <col collapsed="1" width="8.43" customWidth="1" style="904" min="106" max="106"/>
    <col width="8.43" customWidth="1" style="904" min="107" max="109"/>
    <col collapsed="1" width="8.43" customWidth="1" style="904" min="110" max="110"/>
    <col width="8.43" customWidth="1" style="904" min="111" max="111"/>
    <col collapsed="1" width="8.43" customWidth="1" style="904" min="112" max="112"/>
    <col width="8.43" customWidth="1" style="904" min="113" max="113"/>
  </cols>
  <sheetData>
    <row r="1" ht="15" customHeight="1" s="904"/>
    <row r="2" ht="18.75" customHeight="1" s="904"/>
    <row r="3" ht="20.25" customHeight="1" s="904">
      <c r="C3" s="974" t="inlineStr">
        <is>
          <t>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15" customHeight="1" s="904"/>
    <row r="5" ht="19.5" customHeight="1" s="904">
      <c r="B5" s="132" t="n"/>
      <c r="C5" s="133" t="inlineStr">
        <is>
          <t>1.  АГПЗ ООО "Газпром переработка"</t>
        </is>
      </c>
      <c r="K5" s="586" t="n"/>
    </row>
    <row r="6" ht="20.1" customHeight="1" s="904">
      <c r="B6" s="669" t="n"/>
      <c r="C6" s="971" t="inlineStr">
        <is>
          <t>№ п/п</t>
        </is>
      </c>
      <c r="D6" s="969" t="inlineStr">
        <is>
          <t>Показатели</t>
        </is>
      </c>
      <c r="E6" s="924" t="inlineStr">
        <is>
          <t>Внутренние настройки листа</t>
        </is>
      </c>
      <c r="F6" s="925" t="n"/>
      <c r="G6" s="925" t="n"/>
      <c r="H6" s="925" t="n"/>
      <c r="I6" s="925" t="n"/>
      <c r="J6" s="926" t="n"/>
      <c r="K6" s="969" t="inlineStr">
        <is>
          <t>Ед.изм.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B9" s="1031" t="n"/>
      <c r="C9" s="1028" t="n"/>
      <c r="D9" s="134" t="n"/>
      <c r="E9" s="1057" t="n"/>
      <c r="F9" s="1057" t="n"/>
      <c r="G9" s="1057" t="n"/>
      <c r="H9" s="135" t="n"/>
      <c r="I9" s="734" t="n"/>
      <c r="J9" s="135" t="n"/>
      <c r="K9" s="136" t="n"/>
    </row>
    <row r="10" ht="40.5" customHeight="1" s="904">
      <c r="A10" s="608" t="n"/>
      <c r="B10" s="608" t="n"/>
      <c r="C10" s="138" t="n">
        <v>1</v>
      </c>
      <c r="D10" s="139" t="inlineStr">
        <is>
          <t>"ОКАЗАНИЕ УСЛУГ ПО СЕПАРАЦИИ  СЫРЬЯ 
ООО ""Газпром добыча Астрахань"""</t>
        </is>
      </c>
      <c r="E10" s="15" t="inlineStr">
        <is>
          <t>100331977</t>
        </is>
      </c>
      <c r="F10" s="15" t="n"/>
      <c r="G10" s="16" t="n"/>
      <c r="H10" s="17" t="inlineStr">
        <is>
          <t>100331978+100335798</t>
        </is>
      </c>
      <c r="I10" s="776" t="n"/>
      <c r="J10" s="17" t="n"/>
      <c r="K10" s="140" t="inlineStr">
        <is>
          <t>тыс.т.</t>
        </is>
      </c>
    </row>
    <row r="11" ht="19.5" customHeight="1" s="904">
      <c r="A11" s="608" t="n"/>
      <c r="B11" s="608" t="n"/>
      <c r="C11" s="970" t="inlineStr">
        <is>
          <t>1.1</t>
        </is>
      </c>
      <c r="D11" s="967" t="inlineStr">
        <is>
          <t>СЕПАРАЦИЯ ПРИРОДНОГО ГАЗА, 
собственность ООО "Газпром добыча Астрахань"</t>
        </is>
      </c>
      <c r="E11" s="15" t="inlineStr">
        <is>
          <t>100331978</t>
        </is>
      </c>
      <c r="F11" s="15" t="n"/>
      <c r="G11" s="16" t="n"/>
      <c r="H11" s="17" t="n"/>
      <c r="I11" s="776" t="n"/>
      <c r="J11" s="17" t="n"/>
      <c r="K11" s="1077" t="inlineStr">
        <is>
          <t>тыс.т.</t>
        </is>
      </c>
    </row>
    <row r="12" ht="19.5" customHeight="1" s="904">
      <c r="A12" s="608" t="n"/>
      <c r="B12" s="608" t="n"/>
      <c r="C12" s="916" t="n"/>
      <c r="D12" s="916" t="n"/>
      <c r="E12" s="15" t="inlineStr">
        <is>
          <t>100331979</t>
        </is>
      </c>
      <c r="F12" s="15" t="n"/>
      <c r="G12" s="16" t="n"/>
      <c r="H12" s="17" t="n"/>
      <c r="I12" s="776" t="n"/>
      <c r="J12" s="17" t="n"/>
      <c r="K12" s="587" t="inlineStr">
        <is>
          <t>млн куб.м</t>
        </is>
      </c>
    </row>
    <row r="13" ht="56.25" customHeight="1" s="904">
      <c r="A13" s="608" t="n"/>
      <c r="B13" s="608" t="n"/>
      <c r="C13" s="970" t="inlineStr">
        <is>
          <t>1.2</t>
        </is>
      </c>
      <c r="D13" s="965" t="inlineStr">
        <is>
          <t>СЕПАРАЦИЯ КОНДЕНСАТА ГАЗОВОГО НЕСТАБИЛЬНОГО,  
собственность ООО "Газпром добыча Астрахань"</t>
        </is>
      </c>
      <c r="E13" s="15" t="inlineStr">
        <is>
          <t>100335798</t>
        </is>
      </c>
      <c r="F13" s="15" t="n"/>
      <c r="G13" s="16" t="n"/>
      <c r="H13" s="17" t="n"/>
      <c r="I13" s="776" t="n"/>
      <c r="J13" s="17" t="n"/>
      <c r="K13" s="141" t="inlineStr">
        <is>
          <t>тыс.т.</t>
        </is>
      </c>
    </row>
    <row r="14" ht="39" customHeight="1" s="904">
      <c r="A14" s="608" t="n"/>
      <c r="B14" s="608" t="n"/>
      <c r="C14" s="970" t="n"/>
      <c r="D14" s="1042" t="inlineStr">
        <is>
          <t>ПОТЕРИ СЫРЬЯ ПРИ ПЕРЕРАБОТКЕ (УСЛОВНЫЕ), собственность ООО "Газпром добыча Астрахань":</t>
        </is>
      </c>
      <c r="E14" s="15" t="inlineStr">
        <is>
          <t>100335799</t>
        </is>
      </c>
      <c r="F14" s="15" t="n"/>
      <c r="G14" s="16" t="n"/>
      <c r="H14" s="17" t="inlineStr">
        <is>
          <t>100335800</t>
        </is>
      </c>
      <c r="I14" s="776" t="n"/>
      <c r="J14" s="17" t="n"/>
      <c r="K14" s="1074" t="inlineStr">
        <is>
          <t>тыс.т.</t>
        </is>
      </c>
    </row>
    <row r="15" ht="17.25" customHeight="1" s="904">
      <c r="A15" s="608" t="n"/>
      <c r="B15" s="608" t="n"/>
      <c r="C15" s="970" t="n"/>
      <c r="D15" s="142" t="inlineStr">
        <is>
          <t>Природного газа и нестабильного конденсата</t>
        </is>
      </c>
      <c r="E15" s="15" t="inlineStr">
        <is>
          <t>100335800</t>
        </is>
      </c>
      <c r="F15" s="15" t="n"/>
      <c r="G15" s="16" t="n"/>
      <c r="H15" s="17" t="n"/>
      <c r="I15" s="776" t="n"/>
      <c r="J15" s="17" t="n"/>
      <c r="K15" s="141" t="inlineStr">
        <is>
          <t>тыс.т.</t>
        </is>
      </c>
    </row>
    <row r="16" ht="37.5" customHeight="1" s="904">
      <c r="A16" s="608" t="n"/>
      <c r="B16" s="608" t="n"/>
      <c r="C16" s="1016" t="inlineStr">
        <is>
          <t>1.3</t>
        </is>
      </c>
      <c r="D16" s="965" t="inlineStr">
        <is>
          <t>ПРОИЗВОДСТВО ПРОДУКЦИИ, собственность 
ООО "Газпром добыча Астрахань"  ВСЕГО:</t>
        </is>
      </c>
      <c r="E16" s="15" t="inlineStr">
        <is>
          <t>100335801</t>
        </is>
      </c>
      <c r="F16" s="15" t="n"/>
      <c r="G16" s="16" t="n"/>
      <c r="H16" s="17" t="inlineStr">
        <is>
          <t>100335802+100335804</t>
        </is>
      </c>
      <c r="I16" s="776" t="n"/>
      <c r="J16" s="17" t="n"/>
      <c r="K16" s="141" t="inlineStr">
        <is>
          <t>тыс.т.</t>
        </is>
      </c>
    </row>
    <row r="17" ht="20.25" customHeight="1" s="904">
      <c r="A17" s="608" t="n"/>
      <c r="B17" s="608" t="n"/>
      <c r="C17" s="973" t="inlineStr">
        <is>
          <t>1.3.1</t>
        </is>
      </c>
      <c r="D17" s="966" t="inlineStr">
        <is>
          <t>Газ сырой отсепарированный</t>
        </is>
      </c>
      <c r="E17" s="15" t="inlineStr">
        <is>
          <t>100335802</t>
        </is>
      </c>
      <c r="F17" s="15" t="n"/>
      <c r="G17" s="16" t="n"/>
      <c r="H17" s="17" t="n"/>
      <c r="I17" s="776" t="n"/>
      <c r="J17" s="17" t="n"/>
      <c r="K17" s="141" t="inlineStr">
        <is>
          <t>тыс.т.</t>
        </is>
      </c>
    </row>
    <row r="18" ht="20.25" customHeight="1" s="904">
      <c r="A18" s="608" t="n"/>
      <c r="B18" s="608" t="n"/>
      <c r="C18" s="916" t="n"/>
      <c r="D18" s="916" t="n"/>
      <c r="E18" s="15" t="inlineStr">
        <is>
          <t>100335803</t>
        </is>
      </c>
      <c r="F18" s="15" t="n"/>
      <c r="G18" s="16" t="n"/>
      <c r="H18" s="17" t="n"/>
      <c r="I18" s="776" t="n"/>
      <c r="J18" s="17" t="n"/>
      <c r="K18" s="587" t="inlineStr">
        <is>
          <t>млн куб.м</t>
        </is>
      </c>
    </row>
    <row r="19" ht="20.25" customHeight="1" s="904">
      <c r="A19" s="608" t="n"/>
      <c r="B19" s="608" t="n"/>
      <c r="C19" s="973" t="inlineStr">
        <is>
          <t>1.3.2</t>
        </is>
      </c>
      <c r="D19" s="966" t="inlineStr">
        <is>
          <t>Конденсат газовый нестабильный</t>
        </is>
      </c>
      <c r="E19" s="15" t="n">
        <v>100335804</v>
      </c>
      <c r="F19" s="15" t="n"/>
      <c r="G19" s="16" t="n"/>
      <c r="H19" s="17" t="n"/>
      <c r="I19" s="776" t="n"/>
      <c r="J19" s="17" t="n"/>
      <c r="K19" s="141" t="inlineStr">
        <is>
          <t>тыс.т.</t>
        </is>
      </c>
    </row>
    <row r="20" ht="39.95" customHeight="1" s="904">
      <c r="A20" s="608" t="n"/>
      <c r="B20" s="608" t="n"/>
      <c r="C20" s="970" t="inlineStr">
        <is>
          <t>2</t>
        </is>
      </c>
      <c r="D20" s="965" t="inlineStr">
        <is>
          <t xml:space="preserve">ПЕРЕРАБОТКА УГЛЕВОДОРОДНОГО СЫРЬЯ, собственность ПАО "Газпром" </t>
        </is>
      </c>
      <c r="E20" s="15" t="inlineStr">
        <is>
          <t>100335805</t>
        </is>
      </c>
      <c r="F20" s="15" t="n"/>
      <c r="G20" s="16" t="n"/>
      <c r="H20" s="17" t="inlineStr">
        <is>
          <t>100335806+100331985+100331986</t>
        </is>
      </c>
      <c r="I20" s="776" t="n"/>
      <c r="J20" s="17" t="n"/>
      <c r="K20" s="587" t="inlineStr">
        <is>
          <t>тыс.т.</t>
        </is>
      </c>
    </row>
    <row r="21" ht="29.25" customHeight="1" s="904">
      <c r="A21" s="608" t="n"/>
      <c r="B21" s="608" t="n"/>
      <c r="C21" s="970" t="inlineStr">
        <is>
          <t>2.1</t>
        </is>
      </c>
      <c r="D21" s="965" t="inlineStr">
        <is>
          <t>ПЕРЕРАБОТКА ГАЗА СЫРОГО ОТСЕПАРИРОВАННОГО 
(покупка у ООО "Газпром добыча Астрахань" )</t>
        </is>
      </c>
      <c r="E21" s="15" t="inlineStr">
        <is>
          <t>100335806</t>
        </is>
      </c>
      <c r="F21" s="15" t="n"/>
      <c r="G21" s="16" t="n"/>
      <c r="H21" s="17" t="inlineStr">
        <is>
          <t>100335802</t>
        </is>
      </c>
      <c r="I21" s="776" t="n"/>
      <c r="J21" s="17" t="n"/>
      <c r="K21" s="587" t="inlineStr">
        <is>
          <t>тыс.т.</t>
        </is>
      </c>
    </row>
    <row r="22" ht="30.75" customHeight="1" s="904">
      <c r="A22" s="608" t="n"/>
      <c r="B22" s="608" t="n"/>
      <c r="C22" s="916" t="n"/>
      <c r="D22" s="916" t="n"/>
      <c r="E22" s="15" t="n">
        <v>1003335807</v>
      </c>
      <c r="F22" s="15" t="n"/>
      <c r="G22" s="16" t="n"/>
      <c r="H22" s="17" t="inlineStr">
        <is>
          <t>100335803</t>
        </is>
      </c>
      <c r="I22" s="776" t="n"/>
      <c r="J22" s="17" t="n"/>
      <c r="K22" s="587" t="inlineStr">
        <is>
          <t>млн куб.м</t>
        </is>
      </c>
    </row>
    <row r="23" ht="63.75" customHeight="1" s="904">
      <c r="A23" s="608" t="n"/>
      <c r="B23" s="608" t="n"/>
      <c r="C23" s="970" t="inlineStr">
        <is>
          <t>2.2</t>
        </is>
      </c>
      <c r="D23" s="143" t="inlineStr">
        <is>
          <t>ПЕРЕРАБОТКА КОНДЕНСАТА ГАЗОВОГО НЕСТАБИЛЬНОГО 
(покупка у ООО "Газпром добыча Астрахань" )</t>
        </is>
      </c>
      <c r="E23" s="15" t="inlineStr">
        <is>
          <t>100331985</t>
        </is>
      </c>
      <c r="F23" s="15" t="n"/>
      <c r="G23" s="16" t="n"/>
      <c r="H23" s="17" t="inlineStr">
        <is>
          <t>100335804</t>
        </is>
      </c>
      <c r="I23" s="776" t="n"/>
      <c r="J23" s="17" t="n"/>
      <c r="K23" s="1077" t="inlineStr">
        <is>
          <t>тыс.т.</t>
        </is>
      </c>
    </row>
    <row r="24" ht="39.95" customHeight="1" s="904">
      <c r="A24" s="608" t="n"/>
      <c r="B24" s="608" t="n"/>
      <c r="C24" s="1016" t="inlineStr">
        <is>
          <t>2.3</t>
        </is>
      </c>
      <c r="D24" s="967" t="inlineStr">
        <is>
          <t>ПРИСАДКИ (ДОБАВКИ), ВСЕГО:</t>
        </is>
      </c>
      <c r="E24" s="15" t="inlineStr">
        <is>
          <t>100331986</t>
        </is>
      </c>
      <c r="F24" s="15" t="n"/>
      <c r="G24" s="16" t="n"/>
      <c r="H24" s="17" t="inlineStr">
        <is>
          <t>100331987+100331988+100332914</t>
        </is>
      </c>
      <c r="I24" s="776" t="n"/>
      <c r="J24" s="17" t="n"/>
      <c r="K24" s="1077" t="inlineStr">
        <is>
          <t>тыс.т.</t>
        </is>
      </c>
    </row>
    <row r="25" ht="37.5" customHeight="1" s="904">
      <c r="A25" s="608" t="n"/>
      <c r="B25" s="608" t="n"/>
      <c r="C25" s="973" t="inlineStr">
        <is>
          <t>2.3.1</t>
        </is>
      </c>
      <c r="D25" s="1025" t="inlineStr">
        <is>
          <t>Присадки (добавки) для нефтепродуктов, 
собственность ПАО "Газпром"</t>
        </is>
      </c>
      <c r="E25" s="15" t="inlineStr">
        <is>
          <t>100331987</t>
        </is>
      </c>
      <c r="F25" s="15" t="n"/>
      <c r="G25" s="16" t="n"/>
      <c r="H25" s="17" t="n"/>
      <c r="I25" s="776" t="n"/>
      <c r="J25" s="17" t="n"/>
      <c r="K25" s="136" t="inlineStr">
        <is>
          <t>тыс.т.</t>
        </is>
      </c>
    </row>
    <row r="26" ht="20.25" customHeight="1" s="904">
      <c r="A26" s="608" t="n"/>
      <c r="B26" s="608" t="n"/>
      <c r="C26" s="973" t="inlineStr">
        <is>
          <t>2.3.1.1.</t>
        </is>
      </c>
      <c r="D26" s="144" t="inlineStr">
        <is>
          <t>в т.ч. МТБЭ (добавка в бензин)</t>
        </is>
      </c>
      <c r="E26" s="15" t="inlineStr">
        <is>
          <t>100334996</t>
        </is>
      </c>
      <c r="F26" s="15" t="n"/>
      <c r="G26" s="16" t="n"/>
      <c r="H26" s="17" t="n"/>
      <c r="I26" s="776" t="n"/>
      <c r="J26" s="17" t="n"/>
      <c r="K26" s="136" t="inlineStr">
        <is>
          <t>тыс.т.</t>
        </is>
      </c>
    </row>
    <row r="27" ht="39.75" customHeight="1" s="904">
      <c r="A27" s="608" t="n"/>
      <c r="B27" s="608" t="n"/>
      <c r="C27" s="973" t="inlineStr">
        <is>
          <t>2.3.2</t>
        </is>
      </c>
      <c r="D27" s="1025" t="inlineStr">
        <is>
          <t>Компонент для производства серы, 
собственность ПАО "Газпром"</t>
        </is>
      </c>
      <c r="E27" s="15" t="inlineStr">
        <is>
          <t>100331988</t>
        </is>
      </c>
      <c r="F27" s="15" t="n"/>
      <c r="G27" s="16" t="n"/>
      <c r="H27" s="17" t="n"/>
      <c r="I27" s="776" t="n"/>
      <c r="J27" s="17" t="n"/>
      <c r="K27" s="136" t="inlineStr">
        <is>
          <t>тыс.т.</t>
        </is>
      </c>
    </row>
    <row r="28" ht="20.25" customHeight="1" s="904">
      <c r="A28" s="608" t="n"/>
      <c r="B28" s="608" t="n"/>
      <c r="C28" s="973" t="inlineStr">
        <is>
          <t>2.3.3</t>
        </is>
      </c>
      <c r="D28" s="1025" t="inlineStr">
        <is>
          <t>Компонент производства при выработке кислого газа</t>
        </is>
      </c>
      <c r="E28" s="15" t="inlineStr">
        <is>
          <t>100332914</t>
        </is>
      </c>
      <c r="F28" s="15" t="n"/>
      <c r="G28" s="16" t="n"/>
      <c r="H28" s="17" t="n"/>
      <c r="I28" s="776" t="n"/>
      <c r="J28" s="17" t="n"/>
      <c r="K28" s="136" t="inlineStr">
        <is>
          <t>тыс.т.</t>
        </is>
      </c>
    </row>
    <row r="29" ht="20.25" customHeight="1" s="904">
      <c r="A29" s="608" t="n"/>
      <c r="B29" s="608" t="n"/>
      <c r="C29" s="972" t="n"/>
      <c r="D29" s="145" t="inlineStr">
        <is>
          <t>Справочно:</t>
        </is>
      </c>
      <c r="E29" s="15" t="n"/>
      <c r="F29" s="15" t="n"/>
      <c r="G29" s="16" t="n"/>
      <c r="H29" s="17" t="n"/>
      <c r="I29" s="776" t="n"/>
      <c r="J29" s="17" t="n"/>
      <c r="K29" s="136" t="n"/>
    </row>
    <row r="30" outlineLevel="1" ht="39" customHeight="1" s="904">
      <c r="A30" s="608" t="n"/>
      <c r="B30" s="608" t="n"/>
      <c r="C30" s="1074" t="n">
        <v>3</v>
      </c>
      <c r="D30" s="145" t="inlineStr">
        <is>
          <t>ПОТЕРИ СЫРЬЯ ПРИ ПЕРЕРАБОТКЕ (УСЛОВНЫЕ), ВСЕГО:</t>
        </is>
      </c>
      <c r="E30" s="15" t="inlineStr">
        <is>
          <t>100331989</t>
        </is>
      </c>
      <c r="F30" s="15" t="n"/>
      <c r="G30" s="16" t="n"/>
      <c r="H30" s="17" t="inlineStr">
        <is>
          <t>100331990+100331991</t>
        </is>
      </c>
      <c r="I30" s="776" t="n"/>
      <c r="J30" s="17" t="n"/>
      <c r="K30" s="147" t="inlineStr">
        <is>
          <t>тыс.т.</t>
        </is>
      </c>
    </row>
    <row r="31" outlineLevel="1" ht="20.25" customHeight="1" s="904">
      <c r="A31" s="608" t="n"/>
      <c r="B31" s="608" t="n"/>
      <c r="C31" s="148" t="inlineStr">
        <is>
          <t>3.1</t>
        </is>
      </c>
      <c r="D31" s="1011" t="inlineStr">
        <is>
          <t>Природный газ</t>
        </is>
      </c>
      <c r="E31" s="15" t="inlineStr">
        <is>
          <t>100331990</t>
        </is>
      </c>
      <c r="F31" s="15" t="n"/>
      <c r="G31" s="16" t="n"/>
      <c r="H31" s="17" t="n"/>
      <c r="I31" s="776" t="n"/>
      <c r="J31" s="17" t="n"/>
      <c r="K31" s="149" t="inlineStr">
        <is>
          <t>тыс.т.</t>
        </is>
      </c>
    </row>
    <row r="32" outlineLevel="1" ht="20.25" customHeight="1" s="904">
      <c r="A32" s="608" t="n"/>
      <c r="B32" s="608" t="n"/>
      <c r="C32" s="148" t="inlineStr">
        <is>
          <t>3.2</t>
        </is>
      </c>
      <c r="D32" s="150" t="inlineStr">
        <is>
          <t>Конденсат газовый нестабильный</t>
        </is>
      </c>
      <c r="E32" s="15" t="inlineStr">
        <is>
          <t>100331991</t>
        </is>
      </c>
      <c r="F32" s="15" t="n"/>
      <c r="G32" s="16" t="n"/>
      <c r="H32" s="17" t="n"/>
      <c r="I32" s="776" t="n"/>
      <c r="J32" s="17" t="n"/>
      <c r="K32" s="149" t="inlineStr">
        <is>
          <t>тыс.т.</t>
        </is>
      </c>
    </row>
    <row r="33" ht="39.95" customHeight="1" s="904">
      <c r="A33" s="608" t="n"/>
      <c r="B33" s="608" t="n"/>
      <c r="C33" s="141" t="n">
        <v>4</v>
      </c>
      <c r="D33" s="967" t="inlineStr">
        <is>
          <t>ПРОИЗВОДСТВО ПРОДУКЦИИ, 
собственность ПАО "Газпром", ВСЕГО:</t>
        </is>
      </c>
      <c r="E33" s="15" t="inlineStr">
        <is>
          <t>100331853</t>
        </is>
      </c>
      <c r="F33" s="15" t="n"/>
      <c r="G33" s="16" t="n"/>
      <c r="H33" s="17" t="inlineStr">
        <is>
          <t>100331992+100332000+100330073+100332010+100332011+100332017+100332020+100332021+100332022+100332023+100332024+100332025</t>
        </is>
      </c>
      <c r="I33" s="776" t="n"/>
      <c r="J33" s="17" t="n"/>
      <c r="K33" s="1077" t="inlineStr">
        <is>
          <t>тыс.т.</t>
        </is>
      </c>
    </row>
    <row r="34" ht="20.25" customHeight="1" s="904">
      <c r="A34" s="608" t="n"/>
      <c r="B34" s="608" t="n"/>
      <c r="C34" s="970" t="inlineStr">
        <is>
          <t>4.1</t>
        </is>
      </c>
      <c r="D34" s="965" t="inlineStr">
        <is>
          <t>ГАЗ ПРИРОДНЫЙ СУХОЙ ОТБЕНЗИНЕННЫЙ, ВСЕГО:</t>
        </is>
      </c>
      <c r="E34" s="15" t="inlineStr">
        <is>
          <t>100331992</t>
        </is>
      </c>
      <c r="F34" s="15" t="n"/>
      <c r="G34" s="16" t="n"/>
      <c r="H34" s="17" t="inlineStr">
        <is>
          <t>100331994+100331996+100331998</t>
        </is>
      </c>
      <c r="I34" s="776" t="inlineStr">
        <is>
          <t>ОКРУГЛ({100331992:-1}/{100335806:-1}*$100;$6)</t>
        </is>
      </c>
      <c r="J34" s="17" t="n"/>
      <c r="K34" s="1077" t="inlineStr">
        <is>
          <t>тыс.т.</t>
        </is>
      </c>
    </row>
    <row r="35" ht="20.25" customHeight="1" s="904">
      <c r="A35" s="608" t="n"/>
      <c r="B35" s="608" t="n"/>
      <c r="C35" s="916" t="n"/>
      <c r="D35" s="916" t="n"/>
      <c r="E35" s="15" t="inlineStr">
        <is>
          <t>100331993</t>
        </is>
      </c>
      <c r="F35" s="15" t="n"/>
      <c r="G35" s="16" t="n"/>
      <c r="H35" s="17" t="inlineStr">
        <is>
          <t>100331995+100331997+100331999</t>
        </is>
      </c>
      <c r="I35" s="776" t="inlineStr">
        <is>
          <t>ОКРУГЛ({100331993:-1}/{1003335807:-1}*$100;$6)</t>
        </is>
      </c>
      <c r="J35" s="17" t="n"/>
      <c r="K35" s="587" t="inlineStr">
        <is>
          <t>млн куб.м</t>
        </is>
      </c>
    </row>
    <row r="36" ht="20.25" customHeight="1" s="904">
      <c r="A36" s="608" t="n"/>
      <c r="B36" s="608" t="n"/>
      <c r="C36" s="972" t="inlineStr">
        <is>
          <t>4.1.1</t>
        </is>
      </c>
      <c r="D36" s="968" t="inlineStr">
        <is>
          <t>Газ горючий природный, в ГТС</t>
        </is>
      </c>
      <c r="E36" s="15" t="inlineStr">
        <is>
          <t>100331994</t>
        </is>
      </c>
      <c r="F36" s="15" t="n"/>
      <c r="G36" s="16" t="n"/>
      <c r="H36" s="17" t="n"/>
      <c r="I36" s="776" t="inlineStr">
        <is>
          <t>ОКРУГЛ({100331994:-1}/{100331992:-1}*$100;$6)</t>
        </is>
      </c>
      <c r="J36" s="17" t="n"/>
      <c r="K36" s="136" t="inlineStr">
        <is>
          <t>тыс.т.</t>
        </is>
      </c>
    </row>
    <row r="37" ht="20.25" customHeight="1" s="904">
      <c r="A37" s="608" t="n"/>
      <c r="B37" s="608" t="n"/>
      <c r="C37" s="916" t="n"/>
      <c r="D37" s="916" t="n"/>
      <c r="E37" s="15" t="inlineStr">
        <is>
          <t>100331995</t>
        </is>
      </c>
      <c r="F37" s="15" t="n"/>
      <c r="G37" s="16" t="n"/>
      <c r="H37" s="17" t="n"/>
      <c r="I37" s="776" t="inlineStr">
        <is>
          <t>ОКРУГЛ({100331995:-1}/{100331993:-1}*$100;$6)</t>
        </is>
      </c>
      <c r="J37" s="17" t="n"/>
      <c r="K37" s="588" t="inlineStr">
        <is>
          <t>млн куб.м</t>
        </is>
      </c>
    </row>
    <row r="38" ht="20.25" customHeight="1" s="904">
      <c r="A38" s="608" t="n"/>
      <c r="B38" s="608" t="n"/>
      <c r="C38" s="972" t="inlineStr">
        <is>
          <t>4.1.2</t>
        </is>
      </c>
      <c r="D38" s="968" t="inlineStr">
        <is>
          <t>Газ на СТН ООО «Газпром добыча Астрахань», 
собственность ПАО "Газпром"</t>
        </is>
      </c>
      <c r="E38" s="15" t="inlineStr">
        <is>
          <t>100331996</t>
        </is>
      </c>
      <c r="F38" s="15" t="n"/>
      <c r="G38" s="16" t="n"/>
      <c r="H38" s="17" t="n"/>
      <c r="I38" s="776" t="inlineStr">
        <is>
          <t>ОКРУГЛ({100331996:-1}/{100331992:-1}*$100;$6)</t>
        </is>
      </c>
      <c r="J38" s="17" t="n"/>
      <c r="K38" s="136" t="inlineStr">
        <is>
          <t>тыс.т.</t>
        </is>
      </c>
    </row>
    <row r="39" ht="20.25" customHeight="1" s="904">
      <c r="A39" s="608" t="n"/>
      <c r="B39" s="608" t="n"/>
      <c r="C39" s="972" t="n"/>
      <c r="D39" s="916" t="n"/>
      <c r="E39" s="15" t="inlineStr">
        <is>
          <t>100331997</t>
        </is>
      </c>
      <c r="F39" s="15" t="n"/>
      <c r="G39" s="16" t="n"/>
      <c r="H39" s="17" t="n"/>
      <c r="I39" s="776" t="inlineStr">
        <is>
          <t>ОКРУГЛ({100331997:-1}/{100331993:-1}*$100;$6)</t>
        </is>
      </c>
      <c r="J39" s="17" t="n"/>
      <c r="K39" s="588" t="inlineStr">
        <is>
          <t>млн куб.м</t>
        </is>
      </c>
    </row>
    <row r="40" ht="20.25" customHeight="1" s="904">
      <c r="A40" s="608" t="n"/>
      <c r="B40" s="608" t="n"/>
      <c r="C40" s="972" t="inlineStr">
        <is>
          <t>4.1.3</t>
        </is>
      </c>
      <c r="D40" s="968" t="inlineStr">
        <is>
          <t xml:space="preserve">Газ на СТН Газпром переработка, 
собственность ПАО "Газпром" </t>
        </is>
      </c>
      <c r="E40" s="15" t="inlineStr">
        <is>
          <t>100331998</t>
        </is>
      </c>
      <c r="F40" s="15" t="n"/>
      <c r="G40" s="16" t="n"/>
      <c r="H40" s="17" t="n"/>
      <c r="I40" s="776" t="inlineStr">
        <is>
          <t>ОКРУГЛ({100331998:-1}/{100331992:-1}*$100;$6)</t>
        </is>
      </c>
      <c r="J40" s="17" t="n"/>
      <c r="K40" s="136" t="inlineStr">
        <is>
          <t>тыс.т.</t>
        </is>
      </c>
    </row>
    <row r="41" ht="20.25" customHeight="1" s="904">
      <c r="A41" s="608" t="n"/>
      <c r="B41" s="608" t="n"/>
      <c r="C41" s="972" t="n"/>
      <c r="D41" s="916" t="n"/>
      <c r="E41" s="15" t="inlineStr">
        <is>
          <t>100331999</t>
        </is>
      </c>
      <c r="F41" s="15" t="n"/>
      <c r="G41" s="16" t="n"/>
      <c r="H41" s="17" t="n"/>
      <c r="I41" s="776" t="inlineStr">
        <is>
          <t>ОКРУГЛ({100331999:-1}/{100331993:-1}*$100;$6)</t>
        </is>
      </c>
      <c r="J41" s="17" t="n"/>
      <c r="K41" s="588" t="inlineStr">
        <is>
          <t>млн куб.м</t>
        </is>
      </c>
    </row>
    <row r="42" ht="20.25" customHeight="1" s="904">
      <c r="A42" s="608" t="n"/>
      <c r="B42" s="608" t="n"/>
      <c r="C42" s="970" t="inlineStr">
        <is>
          <t>4.2</t>
        </is>
      </c>
      <c r="D42" s="967" t="inlineStr">
        <is>
          <t>СЕРА, ВСЕГО:</t>
        </is>
      </c>
      <c r="E42" s="15" t="inlineStr">
        <is>
          <t>100332000</t>
        </is>
      </c>
      <c r="F42" s="15" t="n"/>
      <c r="G42" s="16" t="n"/>
      <c r="H42" s="17" t="inlineStr">
        <is>
          <t>100332001</t>
        </is>
      </c>
      <c r="I42" s="776" t="inlineStr">
        <is>
          <t>ОКРУГЛ({100332000:-1}/{100335806:-1}*$100;$6)</t>
        </is>
      </c>
      <c r="J42" s="17" t="n"/>
      <c r="K42" s="1077" t="inlineStr">
        <is>
          <t>тыс.т.</t>
        </is>
      </c>
    </row>
    <row r="43" ht="20.25" customHeight="1" s="904">
      <c r="A43" s="608" t="n"/>
      <c r="B43" s="608" t="n"/>
      <c r="C43" s="972" t="inlineStr">
        <is>
          <t>4.2.1</t>
        </is>
      </c>
      <c r="D43" s="151" t="inlineStr">
        <is>
          <t>Сера, :</t>
        </is>
      </c>
      <c r="E43" s="15" t="inlineStr">
        <is>
          <t>100332001</t>
        </is>
      </c>
      <c r="F43" s="15" t="n"/>
      <c r="G43" s="16" t="n"/>
      <c r="H43" s="17" t="inlineStr">
        <is>
          <t>100330068+100330069+100330070+100330071+100337112</t>
        </is>
      </c>
      <c r="I43" s="776" t="n"/>
      <c r="J43" s="17" t="n"/>
      <c r="K43" s="136" t="inlineStr">
        <is>
          <t>тыс.т.</t>
        </is>
      </c>
    </row>
    <row r="44" ht="20.25" customHeight="1" s="904">
      <c r="A44" s="608" t="n"/>
      <c r="B44" s="608" t="n"/>
      <c r="C44" s="972" t="inlineStr">
        <is>
          <t>4.2.1.1</t>
        </is>
      </c>
      <c r="D44" s="144" t="inlineStr">
        <is>
          <t>жидкая</t>
        </is>
      </c>
      <c r="E44" s="15" t="inlineStr">
        <is>
          <t>100330068</t>
        </is>
      </c>
      <c r="F44" s="15" t="n"/>
      <c r="G44" s="16" t="n"/>
      <c r="H44" s="17" t="n"/>
      <c r="I44" s="776" t="inlineStr">
        <is>
          <t>ОКРУГЛ({100330068:-1}/{100332000:-1}*$100;$6)</t>
        </is>
      </c>
      <c r="J44" s="17" t="n"/>
      <c r="K44" s="136" t="inlineStr">
        <is>
          <t>тыс.т.</t>
        </is>
      </c>
    </row>
    <row r="45" ht="20.25" customHeight="1" s="904">
      <c r="A45" s="608" t="n"/>
      <c r="B45" s="608" t="n"/>
      <c r="C45" s="972" t="inlineStr">
        <is>
          <t>4.2.1.2</t>
        </is>
      </c>
      <c r="D45" s="144" t="inlineStr">
        <is>
          <t>комовая</t>
        </is>
      </c>
      <c r="E45" s="15" t="inlineStr">
        <is>
          <t>100330069</t>
        </is>
      </c>
      <c r="F45" s="15" t="n"/>
      <c r="G45" s="16" t="n"/>
      <c r="H45" s="17" t="n"/>
      <c r="I45" s="776" t="inlineStr">
        <is>
          <t>ОКРУГЛ({100330069:-1}/{100332000:-1}*$100;$6)</t>
        </is>
      </c>
      <c r="J45" s="17" t="n"/>
      <c r="K45" s="136" t="inlineStr">
        <is>
          <t>тыс.т.</t>
        </is>
      </c>
    </row>
    <row r="46" ht="20.25" customHeight="1" s="904">
      <c r="A46" s="608" t="n"/>
      <c r="B46" s="608" t="n"/>
      <c r="C46" s="972" t="inlineStr">
        <is>
          <t>4.2.1.3</t>
        </is>
      </c>
      <c r="D46" s="144" t="inlineStr">
        <is>
          <t>марка С</t>
        </is>
      </c>
      <c r="E46" s="15" t="inlineStr">
        <is>
          <t>100330070</t>
        </is>
      </c>
      <c r="F46" s="15" t="n"/>
      <c r="G46" s="16" t="n"/>
      <c r="H46" s="17" t="n"/>
      <c r="I46" s="776" t="inlineStr">
        <is>
          <t>ОКРУГЛ({100330070:-1}/{100332000:-1}*$100;$6)</t>
        </is>
      </c>
      <c r="J46" s="17" t="n"/>
      <c r="K46" s="136" t="inlineStr">
        <is>
          <t>тыс.т.</t>
        </is>
      </c>
    </row>
    <row r="47" ht="20.25" customHeight="1" s="904">
      <c r="A47" s="608" t="n"/>
      <c r="B47" s="608" t="n"/>
      <c r="C47" s="972" t="inlineStr">
        <is>
          <t>4.2.1.4</t>
        </is>
      </c>
      <c r="D47" s="144" t="inlineStr">
        <is>
          <t>марка М</t>
        </is>
      </c>
      <c r="E47" s="15" t="inlineStr">
        <is>
          <t>100330071</t>
        </is>
      </c>
      <c r="F47" s="15" t="n"/>
      <c r="G47" s="16" t="n"/>
      <c r="H47" s="17" t="n"/>
      <c r="I47" s="776" t="inlineStr">
        <is>
          <t>ОКРУГЛ({100330071:-1}/{100332000:-1}*$100;$6)</t>
        </is>
      </c>
      <c r="J47" s="17" t="n"/>
      <c r="K47" s="136" t="inlineStr">
        <is>
          <t>тыс.т.</t>
        </is>
      </c>
    </row>
    <row r="48" ht="20.25" customHeight="1" s="904">
      <c r="A48" s="608" t="n"/>
      <c r="B48" s="608" t="n"/>
      <c r="C48" s="972" t="inlineStr">
        <is>
          <t>4.2.1.5</t>
        </is>
      </c>
      <c r="D48" s="144" t="inlineStr">
        <is>
          <t>марка СМ</t>
        </is>
      </c>
      <c r="E48" s="15" t="inlineStr">
        <is>
          <t>100337112</t>
        </is>
      </c>
      <c r="F48" s="15" t="n"/>
      <c r="G48" s="16" t="n"/>
      <c r="H48" s="17" t="n"/>
      <c r="I48" s="776" t="inlineStr">
        <is>
          <t>ОКРУГЛ({100337112:-1}/{100332000:-1}*$100;$6)</t>
        </is>
      </c>
      <c r="J48" s="17" t="n"/>
      <c r="K48" s="136" t="inlineStr">
        <is>
          <t>тыс.т.</t>
        </is>
      </c>
    </row>
    <row r="49" ht="20.25" customHeight="1" s="904">
      <c r="A49" s="608" t="n"/>
      <c r="B49" s="608" t="n"/>
      <c r="C49" s="972" t="n"/>
      <c r="D49" s="145" t="inlineStr">
        <is>
          <t>Справочно:</t>
        </is>
      </c>
      <c r="E49" s="15" t="n"/>
      <c r="F49" s="15" t="n"/>
      <c r="G49" s="16" t="n"/>
      <c r="H49" s="17" t="n"/>
      <c r="I49" s="776" t="n"/>
      <c r="J49" s="17" t="n"/>
      <c r="K49" s="136" t="n"/>
    </row>
    <row r="50" ht="20.25" customHeight="1" s="904">
      <c r="A50" s="608" t="n"/>
      <c r="B50" s="608" t="n"/>
      <c r="C50" s="972" t="n"/>
      <c r="D50" s="1044" t="inlineStr">
        <is>
          <t>Кислый газ, всего:</t>
        </is>
      </c>
      <c r="E50" s="15" t="inlineStr">
        <is>
          <t>100330010</t>
        </is>
      </c>
      <c r="F50" s="15" t="n"/>
      <c r="G50" s="16" t="n"/>
      <c r="H50" s="17" t="inlineStr">
        <is>
          <t>100331980+100331981</t>
        </is>
      </c>
      <c r="I50" s="776" t="n"/>
      <c r="J50" s="17" t="n"/>
      <c r="K50" s="136" t="inlineStr">
        <is>
          <t>тыс.т.</t>
        </is>
      </c>
    </row>
    <row r="51" ht="20.25" customHeight="1" s="904">
      <c r="A51" s="608" t="n"/>
      <c r="B51" s="608" t="n"/>
      <c r="C51" s="972" t="n"/>
      <c r="D51" s="1044" t="inlineStr">
        <is>
          <t>Кислый газ с производства № 3</t>
        </is>
      </c>
      <c r="E51" s="15" t="inlineStr">
        <is>
          <t>100331980</t>
        </is>
      </c>
      <c r="F51" s="15" t="n"/>
      <c r="G51" s="16" t="n"/>
      <c r="H51" s="17" t="n"/>
      <c r="I51" s="776" t="n"/>
      <c r="J51" s="17" t="n"/>
      <c r="K51" s="136" t="inlineStr">
        <is>
          <t>тыс.т.</t>
        </is>
      </c>
    </row>
    <row r="52" ht="20.25" customHeight="1" s="904">
      <c r="A52" s="608" t="n"/>
      <c r="B52" s="608" t="n"/>
      <c r="C52" s="972" t="n"/>
      <c r="D52" s="1044" t="inlineStr">
        <is>
          <t xml:space="preserve">Кислый газ с производства № 1,5 </t>
        </is>
      </c>
      <c r="E52" s="15" t="inlineStr">
        <is>
          <t>100331981</t>
        </is>
      </c>
      <c r="F52" s="15" t="n"/>
      <c r="G52" s="16" t="n"/>
      <c r="H52" s="17" t="n"/>
      <c r="I52" s="776" t="n"/>
      <c r="J52" s="17" t="n"/>
      <c r="K52" s="136" t="inlineStr">
        <is>
          <t>тыс.т.</t>
        </is>
      </c>
    </row>
    <row r="53" ht="20.25" customHeight="1" s="904">
      <c r="A53" s="608" t="n"/>
      <c r="B53" s="608" t="n"/>
      <c r="C53" s="970" t="inlineStr">
        <is>
          <t>4.3</t>
        </is>
      </c>
      <c r="D53" s="152" t="inlineStr">
        <is>
          <t>ШФЛУ товарная, всего:</t>
        </is>
      </c>
      <c r="E53" s="15" t="inlineStr">
        <is>
          <t>100330073</t>
        </is>
      </c>
      <c r="F53" s="15" t="n"/>
      <c r="G53" s="16" t="n"/>
      <c r="H53" s="17" t="inlineStr">
        <is>
          <t>100332003</t>
        </is>
      </c>
      <c r="I53" s="776" t="n"/>
      <c r="J53" s="17" t="n"/>
      <c r="K53" s="1077" t="inlineStr">
        <is>
          <t>тыс.т.</t>
        </is>
      </c>
    </row>
    <row r="54" ht="20.25" customHeight="1" s="904">
      <c r="A54" s="608" t="n"/>
      <c r="B54" s="608" t="n"/>
      <c r="C54" s="972" t="inlineStr">
        <is>
          <t>4.3.1</t>
        </is>
      </c>
      <c r="D54" s="151" t="inlineStr">
        <is>
          <t>ШФЛУ товарная</t>
        </is>
      </c>
      <c r="E54" s="15" t="inlineStr">
        <is>
          <t>100332003</t>
        </is>
      </c>
      <c r="F54" s="15" t="n"/>
      <c r="G54" s="16" t="n"/>
      <c r="H54" s="17" t="n"/>
      <c r="I54" s="776" t="n"/>
      <c r="J54" s="17" t="n"/>
      <c r="K54" s="136" t="inlineStr">
        <is>
          <t>тыс.т.</t>
        </is>
      </c>
    </row>
    <row r="55" ht="20.25" customHeight="1" s="904">
      <c r="A55" s="608" t="n"/>
      <c r="B55" s="608" t="n"/>
      <c r="C55" s="148" t="n"/>
      <c r="D55" s="153" t="inlineStr">
        <is>
          <t>в т.ч. аналог стабильного конденсата</t>
        </is>
      </c>
      <c r="E55" s="15" t="inlineStr">
        <is>
          <t>100332004</t>
        </is>
      </c>
      <c r="F55" s="15" t="n"/>
      <c r="G55" s="16" t="n"/>
      <c r="H55" s="17" t="n"/>
      <c r="I55" s="776" t="n"/>
      <c r="J55" s="17" t="n"/>
      <c r="K55" s="136" t="inlineStr">
        <is>
          <t>тыс.т.</t>
        </is>
      </c>
    </row>
    <row r="56" ht="20.25" customHeight="1" s="904">
      <c r="A56" s="608" t="n"/>
      <c r="B56" s="608" t="n"/>
      <c r="C56" s="148" t="n"/>
      <c r="D56" s="154" t="inlineStr">
        <is>
          <t>Справочно:</t>
        </is>
      </c>
      <c r="E56" s="15" t="n"/>
      <c r="F56" s="15" t="n"/>
      <c r="G56" s="16" t="n"/>
      <c r="H56" s="17" t="n"/>
      <c r="I56" s="776" t="n"/>
      <c r="J56" s="17" t="n"/>
      <c r="K56" s="149" t="n"/>
    </row>
    <row r="57" ht="20.25" customHeight="1" s="904">
      <c r="A57" s="608" t="n"/>
      <c r="B57" s="608" t="n"/>
      <c r="C57" s="148" t="n"/>
      <c r="D57" s="150" t="inlineStr">
        <is>
          <t>ШФЛУ товарная с учетом изменения остатков</t>
        </is>
      </c>
      <c r="E57" s="15" t="inlineStr">
        <is>
          <t>100332005</t>
        </is>
      </c>
      <c r="F57" s="15" t="n"/>
      <c r="G57" s="16" t="n"/>
      <c r="H57" s="17" t="n"/>
      <c r="I57" s="776" t="n"/>
      <c r="J57" s="17" t="n"/>
      <c r="K57" s="149" t="inlineStr">
        <is>
          <t>тыс.т.</t>
        </is>
      </c>
    </row>
    <row r="58" ht="20.25" customHeight="1" s="904">
      <c r="A58" s="608" t="n"/>
      <c r="B58" s="608" t="n"/>
      <c r="C58" s="155" t="n"/>
      <c r="D58" s="150" t="inlineStr">
        <is>
          <t>ШФЛУ валовая</t>
        </is>
      </c>
      <c r="E58" s="15" t="inlineStr">
        <is>
          <t>100332006</t>
        </is>
      </c>
      <c r="F58" s="15" t="n"/>
      <c r="G58" s="16" t="n"/>
      <c r="H58" s="17" t="n"/>
      <c r="I58" s="776" t="inlineStr">
        <is>
          <t>ОКРУГЛ({100332006:-1}/{100335806:-1}*$100;$6)</t>
        </is>
      </c>
      <c r="J58" s="17" t="n"/>
      <c r="K58" s="149" t="inlineStr">
        <is>
          <t>тыс.т.</t>
        </is>
      </c>
    </row>
    <row r="59" ht="20.25" customHeight="1" s="904">
      <c r="A59" s="608" t="n"/>
      <c r="B59" s="608" t="n"/>
      <c r="C59" s="155" t="n"/>
      <c r="D59" s="156" t="inlineStr">
        <is>
          <t>в т.ч. аналог стабильного конденсата</t>
        </is>
      </c>
      <c r="E59" s="15" t="inlineStr">
        <is>
          <t>100334997</t>
        </is>
      </c>
      <c r="F59" s="15" t="n"/>
      <c r="G59" s="16" t="n"/>
      <c r="H59" s="17" t="n"/>
      <c r="I59" s="776" t="n"/>
      <c r="J59" s="17" t="n"/>
      <c r="K59" s="149" t="inlineStr">
        <is>
          <t>тыс.т.</t>
        </is>
      </c>
    </row>
    <row r="60" ht="20.25" customHeight="1" s="904">
      <c r="A60" s="608" t="n"/>
      <c r="B60" s="608" t="n"/>
      <c r="C60" s="148" t="n"/>
      <c r="D60" s="150" t="inlineStr">
        <is>
          <t>ШФЛУ - переработка</t>
        </is>
      </c>
      <c r="E60" s="15" t="inlineStr">
        <is>
          <t>100332008</t>
        </is>
      </c>
      <c r="F60" s="15" t="n"/>
      <c r="G60" s="16" t="n"/>
      <c r="H60" s="17" t="n"/>
      <c r="I60" s="776" t="n"/>
      <c r="J60" s="17" t="n"/>
      <c r="K60" s="149" t="inlineStr">
        <is>
          <t>тыс.т.</t>
        </is>
      </c>
    </row>
    <row r="61" ht="20.25" customHeight="1" s="904">
      <c r="A61" s="608" t="n"/>
      <c r="B61" s="608" t="n"/>
      <c r="C61" s="148" t="n"/>
      <c r="D61" s="156" t="inlineStr">
        <is>
          <t>в т.ч. аналог стабильного конденсата</t>
        </is>
      </c>
      <c r="E61" s="15" t="inlineStr">
        <is>
          <t>100332009</t>
        </is>
      </c>
      <c r="F61" s="15" t="n"/>
      <c r="G61" s="16" t="n"/>
      <c r="H61" s="17" t="n"/>
      <c r="I61" s="776" t="n"/>
      <c r="J61" s="17" t="n"/>
      <c r="K61" s="149" t="inlineStr">
        <is>
          <t>тыс.т.</t>
        </is>
      </c>
    </row>
    <row r="62" ht="20.25" customHeight="1" s="904">
      <c r="A62" s="608" t="n"/>
      <c r="B62" s="608" t="n"/>
      <c r="C62" s="970" t="inlineStr">
        <is>
          <t>4.4</t>
        </is>
      </c>
      <c r="D62" s="967" t="inlineStr">
        <is>
          <t>ГАЗЫ УГЛЕВОДОРОДНЫЕ СЖИЖЕННЫЕ</t>
        </is>
      </c>
      <c r="E62" s="15" t="inlineStr">
        <is>
          <t>100332010</t>
        </is>
      </c>
      <c r="F62" s="15" t="n"/>
      <c r="G62" s="16" t="n"/>
      <c r="H62" s="17" t="n"/>
      <c r="I62" s="776" t="inlineStr">
        <is>
          <t>ОКРУГЛ({100332010:-1}/{100332008:-1}*$100;$6)</t>
        </is>
      </c>
      <c r="J62" s="17" t="n"/>
      <c r="K62" s="1077" t="inlineStr">
        <is>
          <t>тыс.т.</t>
        </is>
      </c>
    </row>
    <row r="63" ht="20.25" customHeight="1" s="904">
      <c r="A63" s="608" t="n"/>
      <c r="B63" s="608" t="n"/>
      <c r="C63" s="970" t="inlineStr">
        <is>
          <t>4.5</t>
        </is>
      </c>
      <c r="D63" s="152" t="inlineStr">
        <is>
          <t>СТАБИЛЬНЫЙ КОНДЕНСАТ ТОВАРНЫЙ, ВСЕГО:</t>
        </is>
      </c>
      <c r="E63" s="15" t="inlineStr">
        <is>
          <t>100332011</t>
        </is>
      </c>
      <c r="F63" s="15" t="n"/>
      <c r="G63" s="16" t="n"/>
      <c r="H63" s="17" t="inlineStr">
        <is>
          <t>100332012</t>
        </is>
      </c>
      <c r="I63" s="776" t="n"/>
      <c r="J63" s="17" t="n"/>
      <c r="K63" s="1077" t="inlineStr">
        <is>
          <t>тыс.т.</t>
        </is>
      </c>
    </row>
    <row r="64" ht="20.25" customHeight="1" s="904">
      <c r="A64" s="608" t="n"/>
      <c r="B64" s="608" t="n"/>
      <c r="C64" s="972" t="inlineStr">
        <is>
          <t>4.5.1</t>
        </is>
      </c>
      <c r="D64" s="150" t="inlineStr">
        <is>
          <t>СК товарный</t>
        </is>
      </c>
      <c r="E64" s="15" t="inlineStr">
        <is>
          <t>100332012</t>
        </is>
      </c>
      <c r="F64" s="15" t="n"/>
      <c r="G64" s="16" t="n"/>
      <c r="H64" s="17" t="n"/>
      <c r="I64" s="776" t="n"/>
      <c r="J64" s="17" t="n"/>
      <c r="K64" s="136" t="inlineStr">
        <is>
          <t>тыс.т.</t>
        </is>
      </c>
    </row>
    <row r="65" ht="20.25" customHeight="1" s="904">
      <c r="A65" s="608" t="n"/>
      <c r="B65" s="608" t="n"/>
      <c r="C65" s="972" t="n"/>
      <c r="D65" s="154" t="inlineStr">
        <is>
          <t>Справочно:</t>
        </is>
      </c>
      <c r="E65" s="15" t="n"/>
      <c r="F65" s="15" t="n"/>
      <c r="G65" s="16" t="n"/>
      <c r="H65" s="17" t="n"/>
      <c r="I65" s="776" t="n"/>
      <c r="J65" s="17" t="n"/>
      <c r="K65" s="136" t="n"/>
    </row>
    <row r="66" ht="20.25" customHeight="1" s="904">
      <c r="A66" s="608" t="n"/>
      <c r="B66" s="608" t="n"/>
      <c r="C66" s="148" t="n"/>
      <c r="D66" s="150" t="inlineStr">
        <is>
          <t>СК товарный с учетом изменения остатков (отгрузка)</t>
        </is>
      </c>
      <c r="E66" s="15" t="inlineStr">
        <is>
          <t>100332013</t>
        </is>
      </c>
      <c r="F66" s="15" t="n"/>
      <c r="G66" s="16" t="n"/>
      <c r="H66" s="17" t="n"/>
      <c r="I66" s="776" t="n"/>
      <c r="J66" s="17" t="n"/>
      <c r="K66" s="136" t="inlineStr">
        <is>
          <t>тыс.т.</t>
        </is>
      </c>
    </row>
    <row r="67" ht="20.25" customHeight="1" s="904">
      <c r="A67" s="608" t="n"/>
      <c r="B67" s="608" t="n"/>
      <c r="C67" s="148" t="n"/>
      <c r="D67" s="150" t="inlineStr">
        <is>
          <t>СК валовый</t>
        </is>
      </c>
      <c r="E67" s="15" t="inlineStr">
        <is>
          <t>100332014</t>
        </is>
      </c>
      <c r="F67" s="15" t="n"/>
      <c r="G67" s="16" t="n"/>
      <c r="H67" s="17" t="n"/>
      <c r="I67" s="776" t="inlineStr">
        <is>
          <t>ОКРУГЛ({100332014:-1}/{100331985:-1}*$100;$6)</t>
        </is>
      </c>
      <c r="J67" s="17" t="n"/>
      <c r="K67" s="136" t="inlineStr">
        <is>
          <t>тыс.т.</t>
        </is>
      </c>
    </row>
    <row r="68" ht="20.25" customHeight="1" s="904">
      <c r="A68" s="608" t="n"/>
      <c r="B68" s="608" t="n"/>
      <c r="C68" s="148" t="n"/>
      <c r="D68" s="150" t="inlineStr">
        <is>
          <t>СК - переработка</t>
        </is>
      </c>
      <c r="E68" s="15" t="inlineStr">
        <is>
          <t>100332016</t>
        </is>
      </c>
      <c r="F68" s="15" t="n"/>
      <c r="G68" s="16" t="n"/>
      <c r="H68" s="17" t="n"/>
      <c r="I68" s="776" t="n"/>
      <c r="J68" s="17" t="n"/>
      <c r="K68" s="136" t="inlineStr">
        <is>
          <t>тыс.т.</t>
        </is>
      </c>
    </row>
    <row r="69" ht="20.25" customHeight="1" s="904">
      <c r="A69" s="608" t="n"/>
      <c r="B69" s="608" t="n"/>
      <c r="C69" s="970" t="inlineStr">
        <is>
          <t>4.6</t>
        </is>
      </c>
      <c r="D69" s="152" t="inlineStr">
        <is>
          <t>АВТОМОБИЛЬНЫЙ БЕНЗИН, ВСЕГО:</t>
        </is>
      </c>
      <c r="E69" s="15" t="inlineStr">
        <is>
          <t>100332017</t>
        </is>
      </c>
      <c r="F69" s="15" t="n"/>
      <c r="G69" s="16" t="n"/>
      <c r="H69" s="17" t="inlineStr">
        <is>
          <t>100332018+100332019+100335688</t>
        </is>
      </c>
      <c r="I69" s="776" t="inlineStr">
        <is>
          <t>ОКРУГЛ({100332017:-1}/{100332016:-1}*$100;$6)</t>
        </is>
      </c>
      <c r="J69" s="17" t="n"/>
      <c r="K69" s="1077" t="inlineStr">
        <is>
          <t>тыс.т.</t>
        </is>
      </c>
    </row>
    <row r="70" ht="20.25" customHeight="1" s="904">
      <c r="A70" s="608" t="n"/>
      <c r="B70" s="608" t="n"/>
      <c r="C70" s="970" t="n"/>
      <c r="D70" s="157" t="inlineStr">
        <is>
          <t>ОЧ-80</t>
        </is>
      </c>
      <c r="E70" s="15" t="inlineStr">
        <is>
          <t>100335688</t>
        </is>
      </c>
      <c r="F70" s="15" t="n"/>
      <c r="G70" s="16" t="n"/>
      <c r="H70" s="17" t="n"/>
      <c r="I70" s="776" t="n"/>
      <c r="J70" s="17" t="n"/>
      <c r="K70" s="1077" t="inlineStr">
        <is>
          <t>тыс.т.</t>
        </is>
      </c>
    </row>
    <row r="71" ht="20.25" customHeight="1" s="904">
      <c r="A71" s="608" t="n"/>
      <c r="B71" s="608" t="n"/>
      <c r="C71" s="972" t="inlineStr">
        <is>
          <t>4.6.1</t>
        </is>
      </c>
      <c r="D71" s="157" t="inlineStr">
        <is>
          <t>ОЧ-92</t>
        </is>
      </c>
      <c r="E71" s="15" t="inlineStr">
        <is>
          <t>100332018</t>
        </is>
      </c>
      <c r="F71" s="15" t="n"/>
      <c r="G71" s="16" t="n"/>
      <c r="H71" s="17" t="n"/>
      <c r="I71" s="776" t="inlineStr">
        <is>
          <t>ОКРУГЛ({100332018:-1}/{100332017:-1}*$100;$6)</t>
        </is>
      </c>
      <c r="J71" s="17" t="n"/>
      <c r="K71" s="136" t="inlineStr">
        <is>
          <t>тыс.т.</t>
        </is>
      </c>
    </row>
    <row r="72" ht="20.25" customHeight="1" s="904">
      <c r="A72" s="608" t="n"/>
      <c r="B72" s="608" t="n"/>
      <c r="C72" s="972" t="inlineStr">
        <is>
          <t>4.6.2</t>
        </is>
      </c>
      <c r="D72" s="157" t="inlineStr">
        <is>
          <t>ОЧ-95</t>
        </is>
      </c>
      <c r="E72" s="15" t="inlineStr">
        <is>
          <t>100332019</t>
        </is>
      </c>
      <c r="F72" s="15" t="n"/>
      <c r="G72" s="16" t="n"/>
      <c r="H72" s="17" t="n"/>
      <c r="I72" s="776" t="inlineStr">
        <is>
          <t>ОКРУГЛ({100332019:-1}/{100332017:-1}*$100;$6)</t>
        </is>
      </c>
      <c r="J72" s="17" t="n"/>
      <c r="K72" s="136" t="inlineStr">
        <is>
          <t>тыс.т.</t>
        </is>
      </c>
    </row>
    <row r="73" ht="20.25" customHeight="1" s="904">
      <c r="A73" s="608" t="n"/>
      <c r="B73" s="608" t="n"/>
      <c r="C73" s="970" t="inlineStr">
        <is>
          <t>4.7</t>
        </is>
      </c>
      <c r="D73" s="152" t="inlineStr">
        <is>
          <t>ДГКЛ</t>
        </is>
      </c>
      <c r="E73" s="15" t="inlineStr">
        <is>
          <t>100332020</t>
        </is>
      </c>
      <c r="F73" s="15" t="n"/>
      <c r="G73" s="16" t="n"/>
      <c r="H73" s="17" t="n"/>
      <c r="I73" s="776" t="inlineStr">
        <is>
          <t>ОКРУГЛ({100332020:-1}/{100332016:-1}*$100;$6)</t>
        </is>
      </c>
      <c r="J73" s="17" t="n"/>
      <c r="K73" s="1077" t="inlineStr">
        <is>
          <t>тыс.т.</t>
        </is>
      </c>
    </row>
    <row r="74" ht="20.25" customHeight="1" s="904">
      <c r="A74" s="608" t="n"/>
      <c r="B74" s="608" t="n"/>
      <c r="C74" s="970" t="inlineStr">
        <is>
          <t>4.8</t>
        </is>
      </c>
      <c r="D74" s="152" t="inlineStr">
        <is>
          <t>ДГКС</t>
        </is>
      </c>
      <c r="E74" s="15" t="inlineStr">
        <is>
          <t>100332021</t>
        </is>
      </c>
      <c r="F74" s="15" t="n"/>
      <c r="G74" s="16" t="n"/>
      <c r="H74" s="17" t="n"/>
      <c r="I74" s="776" t="inlineStr">
        <is>
          <t>ОКРУГЛ({100332021:-1}/{100332016:-1}*$100;$6)</t>
        </is>
      </c>
      <c r="J74" s="17" t="n"/>
      <c r="K74" s="1077" t="inlineStr">
        <is>
          <t>тыс.т.</t>
        </is>
      </c>
    </row>
    <row r="75" ht="20.25" customHeight="1" s="904">
      <c r="A75" s="608" t="n"/>
      <c r="B75" s="608" t="n"/>
      <c r="C75" s="970" t="inlineStr">
        <is>
          <t>4.9</t>
        </is>
      </c>
      <c r="D75" s="152" t="inlineStr">
        <is>
          <t>ДГКТ</t>
        </is>
      </c>
      <c r="E75" s="15" t="inlineStr">
        <is>
          <t>100332022</t>
        </is>
      </c>
      <c r="F75" s="15" t="n"/>
      <c r="G75" s="16" t="n"/>
      <c r="H75" s="17" t="n"/>
      <c r="I75" s="776" t="inlineStr">
        <is>
          <t>ОКРУГЛ({100332021:-1}/{100332016:-1}*$100;$6)</t>
        </is>
      </c>
      <c r="J75" s="17" t="n"/>
      <c r="K75" s="1077" t="inlineStr">
        <is>
          <t>тыс.т.</t>
        </is>
      </c>
    </row>
    <row r="76" ht="20.25" customHeight="1" s="904">
      <c r="A76" s="608" t="n"/>
      <c r="B76" s="608" t="n"/>
      <c r="C76" s="970" t="inlineStr">
        <is>
          <t>4.10</t>
        </is>
      </c>
      <c r="D76" s="152" t="inlineStr">
        <is>
          <t>ДИЗЕЛЬНОЕ ТОПЛИВО</t>
        </is>
      </c>
      <c r="E76" s="15" t="inlineStr">
        <is>
          <t>100332023</t>
        </is>
      </c>
      <c r="F76" s="15" t="n"/>
      <c r="G76" s="16" t="n"/>
      <c r="H76" s="17" t="n"/>
      <c r="I76" s="776" t="inlineStr">
        <is>
          <t>ОКРУГЛ({100332021:-1}/{100332016:-1}*$100;$6)</t>
        </is>
      </c>
      <c r="J76" s="17" t="n"/>
      <c r="K76" s="1077" t="inlineStr">
        <is>
          <t>тыс.т.</t>
        </is>
      </c>
    </row>
    <row r="77" ht="20.25" customHeight="1" s="904">
      <c r="A77" s="608" t="n"/>
      <c r="B77" s="608" t="n"/>
      <c r="C77" s="970" t="inlineStr">
        <is>
          <t>4.11</t>
        </is>
      </c>
      <c r="D77" s="152" t="inlineStr">
        <is>
          <t>МАЗУТ</t>
        </is>
      </c>
      <c r="E77" s="15" t="inlineStr">
        <is>
          <t>100332024</t>
        </is>
      </c>
      <c r="F77" s="15" t="n"/>
      <c r="G77" s="16" t="n"/>
      <c r="H77" s="17" t="n"/>
      <c r="I77" s="776" t="inlineStr">
        <is>
          <t>ОКРУГЛ({100332021:-1}/{100332016:-1}*$100;$6)</t>
        </is>
      </c>
      <c r="J77" s="17" t="n"/>
      <c r="K77" s="1077" t="inlineStr">
        <is>
          <t>тыс.т.</t>
        </is>
      </c>
    </row>
    <row r="78" ht="20.25" customHeight="1" s="904">
      <c r="A78" s="608" t="n"/>
      <c r="B78" s="608" t="n"/>
      <c r="C78" s="970" t="inlineStr">
        <is>
          <t>4.12</t>
        </is>
      </c>
      <c r="D78" s="967" t="inlineStr">
        <is>
          <t>ГАЗ СТАБИЛИЗАЦИИ НА СОБСТВЕННЫЕ НУЖДЫ</t>
        </is>
      </c>
      <c r="E78" s="15" t="inlineStr">
        <is>
          <t>100332025</t>
        </is>
      </c>
      <c r="F78" s="15" t="n"/>
      <c r="G78" s="16" t="n"/>
      <c r="H78" s="17" t="n"/>
      <c r="I78" s="776" t="inlineStr">
        <is>
          <t>ОКРУГЛ({100332021:-1}/{100332016:-1}*$100;$6)</t>
        </is>
      </c>
      <c r="J78" s="17" t="n"/>
      <c r="K78" s="1077" t="inlineStr">
        <is>
          <t>тыс.т.</t>
        </is>
      </c>
    </row>
    <row r="79" ht="20.25" customHeight="1" s="904">
      <c r="A79" s="608" t="n"/>
      <c r="B79" s="608" t="n"/>
      <c r="C79" s="916" t="n"/>
      <c r="D79" s="916" t="n"/>
      <c r="E79" s="15" t="inlineStr">
        <is>
          <t>100332026</t>
        </is>
      </c>
      <c r="F79" s="15" t="n"/>
      <c r="G79" s="16" t="n"/>
      <c r="H79" s="17" t="n"/>
      <c r="I79" s="776" t="inlineStr">
        <is>
          <t>ОКРУГЛ({100332026:-1}/{100332025:-1}*100332025*$100;$6)</t>
        </is>
      </c>
      <c r="J79" s="17" t="n"/>
      <c r="K79" s="587" t="inlineStr">
        <is>
          <t>млн куб.м</t>
        </is>
      </c>
    </row>
    <row r="80" outlineLevel="1" ht="39" customHeight="1" s="904">
      <c r="A80" s="608" t="n"/>
      <c r="B80" s="608" t="n"/>
      <c r="C80" s="970" t="inlineStr">
        <is>
          <t>5</t>
        </is>
      </c>
      <c r="D80" s="158" t="inlineStr">
        <is>
          <t>Продукция, принятая в производство со склада (в примечании должнв быть ссылка на акт )</t>
        </is>
      </c>
      <c r="E80" s="15" t="inlineStr">
        <is>
          <t>100332942</t>
        </is>
      </c>
      <c r="F80" s="15" t="n"/>
      <c r="G80" s="16" t="n"/>
      <c r="H80" s="17" t="n"/>
      <c r="I80" s="776" t="n"/>
      <c r="J80" s="17" t="n"/>
      <c r="K80" s="147" t="inlineStr">
        <is>
          <t>тыс.т.</t>
        </is>
      </c>
    </row>
    <row r="81" outlineLevel="1" ht="39" customHeight="1" s="904">
      <c r="A81" s="608" t="n"/>
      <c r="B81" s="608" t="n"/>
      <c r="C81" s="970" t="n"/>
      <c r="D81" s="158" t="inlineStr">
        <is>
          <t>Продукция, переданная с производства на склад (в примечании должнв быть ссылка на акт )</t>
        </is>
      </c>
      <c r="E81" s="15" t="inlineStr">
        <is>
          <t>100335430</t>
        </is>
      </c>
      <c r="F81" s="15" t="n"/>
      <c r="G81" s="16" t="n"/>
      <c r="H81" s="17" t="n"/>
      <c r="I81" s="776" t="n"/>
      <c r="J81" s="17" t="n"/>
      <c r="K81" s="147" t="inlineStr">
        <is>
          <t>тыс.т.</t>
        </is>
      </c>
    </row>
    <row r="82" outlineLevel="1" ht="20.25" customHeight="1" s="904">
      <c r="A82" s="608" t="n"/>
      <c r="B82" s="608" t="n"/>
      <c r="C82" s="970" t="inlineStr">
        <is>
          <t>6</t>
        </is>
      </c>
      <c r="D82" s="159" t="inlineStr">
        <is>
          <t>Материальный баланс переработки УВС</t>
        </is>
      </c>
      <c r="E82" s="15" t="n"/>
      <c r="F82" s="15" t="n"/>
      <c r="G82" s="16" t="n"/>
      <c r="H82" s="17" t="n"/>
      <c r="I82" s="776" t="n"/>
      <c r="J82" s="17" t="n"/>
      <c r="K82" s="1077" t="n"/>
    </row>
    <row r="83" outlineLevel="1" ht="20.25" customHeight="1" s="904">
      <c r="A83" s="608" t="n"/>
      <c r="B83" s="608" t="n"/>
      <c r="C83" s="970" t="n"/>
      <c r="D83" s="154" t="inlineStr">
        <is>
          <t>Материальный баланс ООО "Газпром добыча Астрахань"</t>
        </is>
      </c>
      <c r="E83" s="15" t="inlineStr">
        <is>
          <t>100335808</t>
        </is>
      </c>
      <c r="F83" s="15" t="n"/>
      <c r="G83" s="16" t="n"/>
      <c r="H83" s="17" t="inlineStr">
        <is>
          <t>100331977-100335799-100335801</t>
        </is>
      </c>
      <c r="I83" s="776" t="n"/>
      <c r="J83" s="17" t="n"/>
      <c r="K83" s="1077" t="inlineStr">
        <is>
          <t>тыс.т.</t>
        </is>
      </c>
    </row>
    <row r="84" outlineLevel="1" ht="20.25" customHeight="1" s="904">
      <c r="A84" s="608" t="n"/>
      <c r="B84" s="608" t="n"/>
      <c r="C84" s="160" t="n"/>
      <c r="D84" s="154" t="inlineStr">
        <is>
          <t>Материальный баланс  ПАО "Газпром"</t>
        </is>
      </c>
      <c r="E84" s="15" t="inlineStr">
        <is>
          <t>100335809</t>
        </is>
      </c>
      <c r="F84" s="15" t="n"/>
      <c r="G84" s="16" t="n"/>
      <c r="H84" s="17" t="inlineStr">
        <is>
          <t>100335805-100331989-100331853+100332942-100335430</t>
        </is>
      </c>
      <c r="I84" s="776" t="n"/>
      <c r="J84" s="17" t="n"/>
      <c r="K84" s="1077" t="inlineStr">
        <is>
          <t>тыс.т.</t>
        </is>
      </c>
    </row>
    <row r="85" outlineLevel="1" ht="48" customHeight="1" s="904">
      <c r="A85" s="773" t="n"/>
      <c r="B85" s="608" t="n"/>
      <c r="C85" s="141" t="n">
        <v>7</v>
      </c>
      <c r="D85" s="161" t="inlineStr">
        <is>
          <t>Производство для реализации ПАО "Газпром"</t>
        </is>
      </c>
      <c r="E85" s="15" t="n"/>
      <c r="F85" s="15" t="inlineStr">
        <is>
          <t>T</t>
        </is>
      </c>
      <c r="G85" s="16" t="n"/>
      <c r="H85" s="17" t="inlineStr">
        <is>
          <t>100332000+100332005+100332013+100332010+100332017+100332020+100332021+100332022+100332023+100332024+100332025</t>
        </is>
      </c>
      <c r="I85" s="776" t="n"/>
      <c r="J85" s="17" t="n"/>
      <c r="K85" s="1077" t="inlineStr">
        <is>
          <t>тыс.т.</t>
        </is>
      </c>
    </row>
    <row r="86" outlineLevel="1" s="904">
      <c r="B86" s="1030" t="n"/>
      <c r="C86" s="162" t="n">
        <v>8</v>
      </c>
      <c r="D86" s="163" t="inlineStr">
        <is>
          <t>Проверка с разделом "Добыча"</t>
        </is>
      </c>
      <c r="E86" s="15" t="n"/>
      <c r="F86" s="15" t="n"/>
      <c r="G86" s="16" t="n"/>
      <c r="H86" s="17" t="n"/>
      <c r="I86" s="776" t="n"/>
      <c r="J86" s="17" t="n"/>
      <c r="K86" s="162" t="n"/>
    </row>
    <row r="87" outlineLevel="1" ht="19.5" customHeight="1" s="904">
      <c r="B87" s="1030" t="n"/>
      <c r="C87" s="1026" t="n"/>
      <c r="D87" s="977" t="inlineStr">
        <is>
          <t>природный газ</t>
        </is>
      </c>
      <c r="E87" s="15" t="n"/>
      <c r="F87" s="15" t="n"/>
      <c r="G87" s="16" t="n"/>
      <c r="H87" s="17" t="n"/>
      <c r="I87" s="776" t="n"/>
      <c r="J87" s="17" t="n"/>
      <c r="K87" s="1026" t="inlineStr">
        <is>
          <t>млн куб.м</t>
        </is>
      </c>
    </row>
    <row r="88" outlineLevel="1" ht="19.5" customHeight="1" s="904">
      <c r="B88" s="1030" t="n"/>
      <c r="C88" s="1026" t="n"/>
      <c r="D88" s="977" t="inlineStr">
        <is>
          <t>конденсат газовый нестабильный</t>
        </is>
      </c>
      <c r="E88" s="15" t="n"/>
      <c r="F88" s="15" t="n"/>
      <c r="G88" s="16" t="n"/>
      <c r="H88" s="17" t="n"/>
      <c r="I88" s="776" t="n"/>
      <c r="J88" s="17" t="n"/>
      <c r="K88" s="1026" t="inlineStr">
        <is>
          <t>тыс.т.</t>
        </is>
      </c>
    </row>
    <row r="89" outlineLevel="1" ht="19.5" customHeight="1" s="904">
      <c r="C89" s="1026" t="n">
        <v>9</v>
      </c>
      <c r="D89" s="164" t="inlineStr">
        <is>
          <t>Проверка с ООО "Газпром добыча Астрахань"</t>
        </is>
      </c>
      <c r="E89" s="15" t="n"/>
      <c r="F89" s="15" t="n"/>
      <c r="G89" s="16" t="n"/>
      <c r="H89" s="17" t="n"/>
      <c r="I89" s="776" t="n"/>
      <c r="J89" s="17" t="n"/>
      <c r="K89" s="1026" t="n"/>
    </row>
    <row r="90" outlineLevel="1" ht="19.5" customHeight="1" s="904">
      <c r="C90" s="1026" t="n"/>
      <c r="D90" s="977" t="inlineStr">
        <is>
          <t>природный газ</t>
        </is>
      </c>
      <c r="E90" s="15" t="n"/>
      <c r="F90" s="15" t="inlineStr">
        <is>
          <t>V</t>
        </is>
      </c>
      <c r="G90" s="16" t="n"/>
      <c r="H90" s="17" t="inlineStr">
        <is>
          <t>100331978-5_100330005</t>
        </is>
      </c>
      <c r="I90" s="776" t="n"/>
      <c r="J90" s="17" t="n"/>
      <c r="K90" s="1026" t="inlineStr">
        <is>
          <t>тыс.т.</t>
        </is>
      </c>
    </row>
    <row r="91" outlineLevel="1" ht="19.5" customHeight="1" s="904">
      <c r="C91" s="1026" t="n"/>
      <c r="D91" s="916" t="n"/>
      <c r="E91" s="15" t="n"/>
      <c r="F91" s="15" t="inlineStr">
        <is>
          <t>V</t>
        </is>
      </c>
      <c r="G91" s="16" t="n"/>
      <c r="H91" s="17" t="inlineStr">
        <is>
          <t>100331979-5_100330006</t>
        </is>
      </c>
      <c r="I91" s="776" t="n"/>
      <c r="J91" s="17" t="n"/>
      <c r="K91" s="1026" t="inlineStr">
        <is>
          <t>млн куб.м</t>
        </is>
      </c>
    </row>
    <row r="92" outlineLevel="1" ht="19.5" customHeight="1" s="904">
      <c r="C92" s="165" t="n"/>
      <c r="D92" s="166" t="inlineStr">
        <is>
          <t>конденсат газовый нестабильный</t>
        </is>
      </c>
      <c r="E92" s="15" t="n"/>
      <c r="F92" s="15" t="inlineStr">
        <is>
          <t>V</t>
        </is>
      </c>
      <c r="G92" s="16" t="n"/>
      <c r="H92" s="17" t="inlineStr">
        <is>
          <t>100335798-5_100330016</t>
        </is>
      </c>
      <c r="I92" s="776" t="n"/>
      <c r="J92" s="17" t="n"/>
      <c r="K92" s="1024" t="inlineStr">
        <is>
          <t>тыс.т.</t>
        </is>
      </c>
    </row>
    <row r="94">
      <c r="D94" s="137" t="inlineStr">
        <is>
          <t>Примечания:</t>
        </is>
      </c>
    </row>
    <row r="95" ht="65.25" customHeight="1" s="904">
      <c r="D95" s="607" t="inlineStr">
        <is>
          <t>Компонент производства при выработке кислого газа - при регенерации амина в десорберах после очистки газа выходит кислый газ с водой, которая подпитывает (разбавляет) амин</t>
        </is>
      </c>
    </row>
  </sheetData>
  <mergeCells count="26">
    <mergeCell ref="D21:D22"/>
    <mergeCell ref="D17:D18"/>
    <mergeCell ref="G7:G8"/>
    <mergeCell ref="D11:D12"/>
    <mergeCell ref="I7:I8"/>
    <mergeCell ref="E6:J6"/>
    <mergeCell ref="D36:D37"/>
    <mergeCell ref="K6:K8"/>
    <mergeCell ref="C21:C22"/>
    <mergeCell ref="D78:D79"/>
    <mergeCell ref="H7:H8"/>
    <mergeCell ref="C11:C12"/>
    <mergeCell ref="J7:J8"/>
    <mergeCell ref="C6:C8"/>
    <mergeCell ref="C36:C37"/>
    <mergeCell ref="D6:D8"/>
    <mergeCell ref="C17:C18"/>
    <mergeCell ref="C78:C79"/>
    <mergeCell ref="E7:E8"/>
    <mergeCell ref="C3:K3"/>
    <mergeCell ref="D38:D39"/>
    <mergeCell ref="C34:C35"/>
    <mergeCell ref="D34:D35"/>
    <mergeCell ref="F7:F8"/>
    <mergeCell ref="D90:D91"/>
    <mergeCell ref="D40:D41"/>
  </mergeCells>
  <conditionalFormatting sqref="P10:P92 Q10:Q92 V10:V92 W10:W92 AB10:AB92 AC10:AC92 AH10:AH92 AI10:AI92 AN10:AN92 AO10:AO92 AT10:AT92 AU10:AU92 AZ10:AZ92 BA10:BA92 BF10:BF92 BG10:BG92 BL10:BL92 BM10:BM92 BR10:BR92 BS10:BS92 BX10:BX92 BY10:BY92 CD10:CD92 CE10:CE92 CJ10:CJ92 CK10:CK92 CP10:CP92 CQ10:CQ92 CV10:CV92 CW10:CW92 DB10:DB92 DC10:DC92 DH10:DH92 DI10:DI92">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92 O10:O92 S10:S92 U10:U92 Y10:Y92 AA10:AA92 AE10:AE92 AG10:AG92 AK10:AK92 AM10:AM92 AQ10:AQ92 AS10:AS92 AW10:AW92 AY10:AY92 BC10:BC92 BE10:BE92 BI10:BI92 BK10:BK92 BO10:BO92 BQ10:BQ92 BU10:BU92 BW10:BW92 CA10:CA92 CC10:CC92 CG10:CG92 CI10:CI92 CM10:CM92 CO10:CO92 CS10:CS92 CU10:CU92 CY10:CY92 DA10:DA92 DE10:DE92 DG10:DG92">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92 O10:O92 Q10:Q92 S10:S92 U10:U92 W10:W92 Y10:Y92 AA10:AA92 AC10:AC92 AE10:AE92 AG10:AG92 AI10:AI92 AK10:AK92 AM10:AM92 AO10:AO92 AQ10:AQ92 AS10:AS92">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77" fitToHeight="0"/>
  <legacyDrawing xmlns:r="http://schemas.openxmlformats.org/officeDocument/2006/relationships" r:id="anysvml"/>
</worksheet>
</file>

<file path=xl/worksheets/sheet9.xml><?xml version="1.0" encoding="utf-8"?>
<worksheet xmlns="http://schemas.openxmlformats.org/spreadsheetml/2006/main">
  <sheetPr codeName="Лист27">
    <tabColor rgb="FF92D050"/>
    <outlinePr summaryBelow="1" summaryRight="1"/>
    <pageSetUpPr fitToPage="1"/>
  </sheetPr>
  <dimension ref="A3:K355"/>
  <sheetViews>
    <sheetView zoomScale="60" workbookViewId="0">
      <pane xSplit="11" ySplit="9" topLeftCell="L163" activePane="bottomRight" state="frozen"/>
      <selection activeCell="C1" sqref="C1"/>
      <selection pane="topRight" activeCell="K1" sqref="K1"/>
      <selection pane="bottomLeft" activeCell="C10" sqref="C10"/>
      <selection pane="bottomRight" activeCell="L336" sqref="L336"/>
    </sheetView>
  </sheetViews>
  <sheetFormatPr baseColWidth="8" defaultColWidth="15" defaultRowHeight="15.75" outlineLevelRow="1"/>
  <cols>
    <col hidden="1" outlineLevel="1" width="15.85546875" customWidth="1" style="904" min="1" max="2"/>
    <col collapsed="1" width="8.5703125" customWidth="1" style="989" min="3" max="3"/>
    <col width="67.5703125" customWidth="1" style="989" min="4" max="4"/>
    <col outlineLevel="1" width="23.5703125" customWidth="1" style="989" min="5" max="9"/>
    <col outlineLevel="1" width="17.140625" customWidth="1" style="989" min="10" max="10"/>
    <col width="14.28515625" bestFit="1" customWidth="1" style="989"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3"/>
    <col collapsed="1" width="8.43" customWidth="1" style="904" min="44" max="44"/>
    <col width="8.43" customWidth="1" style="904" min="45" max="45"/>
  </cols>
  <sheetData>
    <row r="1" outlineLevel="1" ht="15" customHeight="1" s="904"/>
    <row r="2" outlineLevel="1" ht="15" customHeight="1" s="904"/>
    <row r="3" outlineLevel="1" ht="20.25" customHeight="1" s="904">
      <c r="C3" s="974"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outlineLevel="1" ht="15" customHeight="1" s="904"/>
    <row r="5" ht="18.75" customHeight="1" s="904">
      <c r="C5" s="168" t="inlineStr">
        <is>
          <t xml:space="preserve">2. ОГПЗ и ОГЗ ООО "Газпром переработка" </t>
        </is>
      </c>
      <c r="D5" s="168" t="n"/>
      <c r="E5" s="168" t="n"/>
      <c r="F5" s="168" t="n"/>
      <c r="G5" s="168" t="n"/>
      <c r="H5" s="168" t="n"/>
      <c r="I5" s="168" t="n"/>
      <c r="J5" s="168" t="n"/>
      <c r="K5" s="169" t="n"/>
    </row>
    <row r="6" ht="20.1" customHeight="1" s="904">
      <c r="A6" s="989" t="n"/>
      <c r="B6" s="989" t="n"/>
      <c r="C6" s="996" t="inlineStr">
        <is>
          <t>№ п/п</t>
        </is>
      </c>
      <c r="D6" s="996" t="inlineStr">
        <is>
          <t>Показатели</t>
        </is>
      </c>
      <c r="E6" s="924" t="inlineStr">
        <is>
          <t>Внутренние настройки листа</t>
        </is>
      </c>
      <c r="F6" s="925" t="n"/>
      <c r="G6" s="925" t="n"/>
      <c r="H6" s="925" t="n"/>
      <c r="I6" s="925" t="n"/>
      <c r="J6" s="926" t="n"/>
      <c r="K6" s="1002" t="inlineStr">
        <is>
          <t xml:space="preserve">Ед.изм. </t>
        </is>
      </c>
    </row>
    <row r="7" ht="39.95" customHeight="1" s="904">
      <c r="A7" s="989" t="n"/>
      <c r="B7" s="989" t="n"/>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A8" s="989" t="n"/>
      <c r="B8" s="989" t="n"/>
      <c r="C8" s="957" t="n"/>
      <c r="D8" s="957" t="n"/>
      <c r="E8" s="911" t="n"/>
      <c r="F8" s="911" t="n"/>
      <c r="G8" s="911" t="n"/>
      <c r="H8" s="911" t="n"/>
      <c r="I8" s="911" t="n"/>
      <c r="J8" s="911" t="n"/>
      <c r="K8" s="911" t="n"/>
    </row>
    <row r="9" hidden="1" ht="20.1" customHeight="1" s="904">
      <c r="A9" s="989" t="n"/>
      <c r="B9" s="989" t="n"/>
      <c r="C9" s="170" t="n"/>
      <c r="D9" s="171" t="n"/>
      <c r="E9" s="169" t="n"/>
      <c r="F9" s="169" t="n"/>
      <c r="G9" s="169" t="n"/>
      <c r="H9" s="169" t="n"/>
      <c r="I9" s="169" t="n"/>
      <c r="J9" s="169" t="n"/>
      <c r="K9" s="172" t="n"/>
    </row>
    <row r="10" ht="24" customHeight="1" s="904">
      <c r="A10" s="989" t="n"/>
      <c r="C10" s="701" t="inlineStr">
        <is>
          <t>1.</t>
        </is>
      </c>
      <c r="D10" s="173" t="inlineStr">
        <is>
          <t>Переработка углеводородного сырья, всего:</t>
        </is>
      </c>
      <c r="E10" s="15" t="inlineStr">
        <is>
          <t>100331977</t>
        </is>
      </c>
      <c r="F10" s="15" t="n"/>
      <c r="G10" s="16" t="n"/>
      <c r="H10" s="17" t="inlineStr">
        <is>
          <t>100332033+100332059+100332064</t>
        </is>
      </c>
      <c r="I10" s="636" t="n"/>
      <c r="J10" s="17" t="n"/>
      <c r="K10" s="174" t="inlineStr">
        <is>
          <t>тыс. т</t>
        </is>
      </c>
    </row>
    <row r="11" ht="24" customHeight="1" s="904">
      <c r="A11" s="989" t="n"/>
      <c r="C11" s="1005" t="n"/>
      <c r="D11" s="1001" t="inlineStr">
        <is>
          <t>в том числе без давальцев, всего:</t>
        </is>
      </c>
      <c r="E11" s="15" t="inlineStr">
        <is>
          <t>100332027</t>
        </is>
      </c>
      <c r="F11" s="15" t="n"/>
      <c r="G11" s="16" t="n"/>
      <c r="H11" s="17" t="inlineStr">
        <is>
          <t>100332028+100332029+100332030-100332210</t>
        </is>
      </c>
      <c r="I11" s="636" t="n"/>
      <c r="J11" s="17" t="n"/>
      <c r="K11" s="175" t="inlineStr">
        <is>
          <t>тыс. т.</t>
        </is>
      </c>
    </row>
    <row r="12" ht="24" customHeight="1" s="904">
      <c r="A12" s="989" t="n"/>
      <c r="C12" s="991" t="n"/>
      <c r="D12" s="1001" t="inlineStr">
        <is>
          <t>ПАО "Газпром"</t>
        </is>
      </c>
      <c r="E12" s="15" t="inlineStr">
        <is>
          <t>100332028</t>
        </is>
      </c>
      <c r="F12" s="15" t="n"/>
      <c r="G12" s="16" t="n"/>
      <c r="H12" s="17" t="inlineStr">
        <is>
          <t>100332061+100332065+100332206</t>
        </is>
      </c>
      <c r="I12" s="636" t="n"/>
      <c r="J12" s="17" t="n"/>
      <c r="K12" s="175" t="inlineStr">
        <is>
          <t>тыс. т.</t>
        </is>
      </c>
    </row>
    <row r="13" ht="24" customHeight="1" s="904">
      <c r="A13" s="989" t="n"/>
      <c r="C13" s="991" t="n"/>
      <c r="D13" s="1001" t="inlineStr">
        <is>
          <t>ООО "Газпром переработка"</t>
        </is>
      </c>
      <c r="E13" s="15" t="inlineStr">
        <is>
          <t>100332029</t>
        </is>
      </c>
      <c r="F13" s="15" t="n"/>
      <c r="G13" s="16" t="n"/>
      <c r="H13" s="17" t="inlineStr">
        <is>
          <t>100332035+100332062+100332068+100332947+100335697</t>
        </is>
      </c>
      <c r="I13" s="636" t="n"/>
      <c r="J13" s="17" t="n"/>
      <c r="K13" s="175" t="inlineStr">
        <is>
          <t>тыс. т.</t>
        </is>
      </c>
    </row>
    <row r="14" ht="18.75" customHeight="1" s="904">
      <c r="A14" s="989" t="n"/>
      <c r="C14" s="991" t="n"/>
      <c r="D14" s="1001" t="inlineStr">
        <is>
          <t>ООО "Сервиснефтегаз"</t>
        </is>
      </c>
      <c r="E14" s="15" t="inlineStr">
        <is>
          <t>100332030</t>
        </is>
      </c>
      <c r="F14" s="15" t="n"/>
      <c r="G14" s="16" t="n"/>
      <c r="H14" s="17" t="inlineStr">
        <is>
          <t>100332069</t>
        </is>
      </c>
      <c r="I14" s="636" t="n"/>
      <c r="J14" s="17" t="n"/>
      <c r="K14" s="175" t="inlineStr">
        <is>
          <t>тыс. т.</t>
        </is>
      </c>
    </row>
    <row r="15" ht="18.75" customHeight="1" s="904">
      <c r="A15" s="989" t="n"/>
      <c r="C15" s="991" t="n"/>
      <c r="D15" s="1001" t="inlineStr">
        <is>
          <t>ТОО "КазРосГаз"</t>
        </is>
      </c>
      <c r="E15" s="15" t="inlineStr">
        <is>
          <t>100332031</t>
        </is>
      </c>
      <c r="F15" s="15" t="n"/>
      <c r="G15" s="16" t="n"/>
      <c r="H15" s="17" t="inlineStr">
        <is>
          <t>100332045</t>
        </is>
      </c>
      <c r="I15" s="636" t="n"/>
      <c r="J15" s="17" t="n"/>
      <c r="K15" s="175" t="inlineStr">
        <is>
          <t>тыс. т.</t>
        </is>
      </c>
    </row>
    <row r="16" ht="18.75" customHeight="1" s="904">
      <c r="A16" s="989" t="n"/>
      <c r="C16" s="984" t="inlineStr">
        <is>
          <t>1.1.</t>
        </is>
      </c>
      <c r="D16" s="987" t="inlineStr">
        <is>
          <t>ПЕРЕРАБОТКА ПРИРОДНОГО ГАЗА, ВСЕГО:</t>
        </is>
      </c>
      <c r="E16" s="15" t="inlineStr">
        <is>
          <t>100332033</t>
        </is>
      </c>
      <c r="F16" s="15" t="n"/>
      <c r="G16" s="16" t="n"/>
      <c r="H16" s="17" t="inlineStr">
        <is>
          <t>100332035+100332045</t>
        </is>
      </c>
      <c r="I16" s="636" t="n"/>
      <c r="J16" s="17" t="n"/>
      <c r="K16" s="175" t="inlineStr">
        <is>
          <t>тыс. т</t>
        </is>
      </c>
    </row>
    <row r="17" ht="18.75" customHeight="1" s="904">
      <c r="A17" s="989" t="n"/>
      <c r="C17" s="964" t="n"/>
      <c r="D17" s="964" t="n"/>
      <c r="E17" s="15" t="inlineStr">
        <is>
          <t>100332034</t>
        </is>
      </c>
      <c r="F17" s="15" t="n"/>
      <c r="G17" s="16" t="n"/>
      <c r="H17" s="17" t="inlineStr">
        <is>
          <t>100332036+100332046</t>
        </is>
      </c>
      <c r="I17" s="636" t="n"/>
      <c r="J17" s="17" t="n"/>
      <c r="K17" s="589" t="inlineStr">
        <is>
          <t>млн куб.м</t>
        </is>
      </c>
    </row>
    <row r="18" ht="36" customHeight="1" s="904">
      <c r="A18" s="989" t="n"/>
      <c r="C18" s="991" t="inlineStr">
        <is>
          <t>1.1.1.</t>
        </is>
      </c>
      <c r="D18" s="979" t="inlineStr">
        <is>
          <t>ООО "Газпром переработка", всего:</t>
        </is>
      </c>
      <c r="E18" s="15" t="inlineStr">
        <is>
          <t>100332035</t>
        </is>
      </c>
      <c r="F18" s="15" t="n"/>
      <c r="G18" s="16" t="n"/>
      <c r="H18" s="17" t="inlineStr">
        <is>
          <t>100332037+100332039+100332041+100332043+100332915+100332943+100335128</t>
        </is>
      </c>
      <c r="I18" s="636" t="n"/>
      <c r="J18" s="17" t="n"/>
      <c r="K18" s="175" t="inlineStr">
        <is>
          <t>тыс. т</t>
        </is>
      </c>
    </row>
    <row r="19" ht="36" customHeight="1" s="904">
      <c r="A19" s="989" t="n"/>
      <c r="C19" s="981" t="n"/>
      <c r="D19" s="964" t="n"/>
      <c r="E19" s="15" t="inlineStr">
        <is>
          <t>100332036</t>
        </is>
      </c>
      <c r="F19" s="15" t="n"/>
      <c r="G19" s="16" t="n"/>
      <c r="H19" s="17" t="inlineStr">
        <is>
          <t>100332038+100332040+100332042+100332044+100332916+100332944+100335129</t>
        </is>
      </c>
      <c r="I19" s="636" t="n"/>
      <c r="J19" s="17" t="n"/>
      <c r="K19" s="589" t="inlineStr">
        <is>
          <t>млн куб.м</t>
        </is>
      </c>
    </row>
    <row r="20" ht="18.75" customHeight="1" s="904">
      <c r="A20" s="989" t="n"/>
      <c r="C20" s="991" t="n"/>
      <c r="D20" s="979" t="inlineStr">
        <is>
          <t xml:space="preserve"> - из сырья  ООО "Газпром добыча Оренбург"</t>
        </is>
      </c>
      <c r="E20" s="15" t="inlineStr">
        <is>
          <t>100332037</t>
        </is>
      </c>
      <c r="F20" s="15" t="n"/>
      <c r="G20" s="16" t="n"/>
      <c r="H20" s="17" t="n"/>
      <c r="I20" s="636" t="n"/>
      <c r="J20" s="17" t="n"/>
      <c r="K20" s="175" t="inlineStr">
        <is>
          <t>тыс. т</t>
        </is>
      </c>
    </row>
    <row r="21" ht="18.75" customHeight="1" s="904">
      <c r="A21" s="989" t="n"/>
      <c r="C21" s="981" t="n"/>
      <c r="D21" s="964" t="n"/>
      <c r="E21" s="15" t="inlineStr">
        <is>
          <t>100332038</t>
        </is>
      </c>
      <c r="F21" s="15" t="n"/>
      <c r="G21" s="16" t="n"/>
      <c r="H21" s="17" t="n"/>
      <c r="I21" s="636" t="n"/>
      <c r="J21" s="17" t="n"/>
      <c r="K21" s="589" t="inlineStr">
        <is>
          <t>млн куб.м</t>
        </is>
      </c>
    </row>
    <row r="22" ht="18.75" customHeight="1" s="904">
      <c r="A22" s="989" t="n"/>
      <c r="C22" s="991" t="n"/>
      <c r="D22" s="1007" t="inlineStr">
        <is>
          <t>в т.ч. ДРОД (Филипповская залежь и прочие залежи)</t>
        </is>
      </c>
      <c r="E22" s="15" t="inlineStr">
        <is>
          <t>100334998</t>
        </is>
      </c>
      <c r="F22" s="15" t="n"/>
      <c r="G22" s="16" t="n"/>
      <c r="H22" s="17" t="n"/>
      <c r="I22" s="636" t="n"/>
      <c r="J22" s="17" t="n"/>
      <c r="K22" s="175" t="inlineStr">
        <is>
          <t>тыс. т</t>
        </is>
      </c>
    </row>
    <row r="23" ht="18.75" customHeight="1" s="904">
      <c r="A23" s="989" t="n"/>
      <c r="C23" s="991" t="n"/>
      <c r="D23" s="964" t="n"/>
      <c r="E23" s="15" t="inlineStr">
        <is>
          <t>100334999</t>
        </is>
      </c>
      <c r="F23" s="15" t="n"/>
      <c r="G23" s="16" t="n"/>
      <c r="H23" s="17" t="n"/>
      <c r="I23" s="636" t="n"/>
      <c r="J23" s="17" t="n"/>
      <c r="K23" s="589" t="inlineStr">
        <is>
          <t>млн куб.м</t>
        </is>
      </c>
    </row>
    <row r="24" ht="18.75" customHeight="1" s="904">
      <c r="A24" s="989" t="n"/>
      <c r="C24" s="991" t="n"/>
      <c r="D24" s="979" t="inlineStr">
        <is>
          <t xml:space="preserve"> - из сырья ПАО "Газпром нефть"</t>
        </is>
      </c>
      <c r="E24" s="15" t="inlineStr">
        <is>
          <t>100332039</t>
        </is>
      </c>
      <c r="F24" s="15" t="n"/>
      <c r="G24" s="16" t="n"/>
      <c r="H24" s="17" t="n"/>
      <c r="I24" s="636" t="n"/>
      <c r="J24" s="17" t="n"/>
      <c r="K24" s="175" t="inlineStr">
        <is>
          <t>тыс. т</t>
        </is>
      </c>
    </row>
    <row r="25" ht="18.75" customHeight="1" s="904">
      <c r="A25" s="989" t="n"/>
      <c r="C25" s="981" t="n"/>
      <c r="D25" s="964" t="n"/>
      <c r="E25" s="15" t="inlineStr">
        <is>
          <t>100332040</t>
        </is>
      </c>
      <c r="F25" s="15" t="n"/>
      <c r="G25" s="16" t="n"/>
      <c r="H25" s="17" t="n"/>
      <c r="I25" s="636" t="n"/>
      <c r="J25" s="17" t="n"/>
      <c r="K25" s="589" t="inlineStr">
        <is>
          <t>млн куб.м</t>
        </is>
      </c>
    </row>
    <row r="26" ht="18.75" customHeight="1" s="904">
      <c r="A26" s="989" t="n"/>
      <c r="C26" s="991" t="n"/>
      <c r="D26" s="979" t="inlineStr">
        <is>
          <t xml:space="preserve"> - из сырья АО "УНГП"</t>
        </is>
      </c>
      <c r="E26" s="15" t="inlineStr">
        <is>
          <t>100332041</t>
        </is>
      </c>
      <c r="F26" s="15" t="n"/>
      <c r="G26" s="16" t="n"/>
      <c r="H26" s="17" t="n"/>
      <c r="I26" s="636" t="n"/>
      <c r="J26" s="17" t="n"/>
      <c r="K26" s="175" t="inlineStr">
        <is>
          <t>тыс. т</t>
        </is>
      </c>
    </row>
    <row r="27" ht="18.75" customHeight="1" s="904">
      <c r="A27" s="989" t="n"/>
      <c r="C27" s="981" t="n"/>
      <c r="D27" s="964" t="n"/>
      <c r="E27" s="15" t="n">
        <v>100332042</v>
      </c>
      <c r="F27" s="15" t="n"/>
      <c r="G27" s="16" t="n"/>
      <c r="H27" s="17" t="n"/>
      <c r="I27" s="636" t="n"/>
      <c r="J27" s="17" t="n"/>
      <c r="K27" s="589" t="inlineStr">
        <is>
          <t>млн куб.м</t>
        </is>
      </c>
    </row>
    <row r="28" ht="18.75" customHeight="1" s="904">
      <c r="A28" s="989" t="n"/>
      <c r="C28" s="991" t="n"/>
      <c r="D28" s="979" t="inlineStr">
        <is>
          <t xml:space="preserve"> - из сырья ООО "Сервиснефтегаз"</t>
        </is>
      </c>
      <c r="E28" s="15" t="inlineStr">
        <is>
          <t>100332043</t>
        </is>
      </c>
      <c r="F28" s="15" t="n"/>
      <c r="G28" s="16" t="n"/>
      <c r="H28" s="17" t="n"/>
      <c r="I28" s="636" t="n"/>
      <c r="J28" s="17" t="n"/>
      <c r="K28" s="175" t="inlineStr">
        <is>
          <t>тыс. т</t>
        </is>
      </c>
    </row>
    <row r="29" ht="18.75" customHeight="1" s="904">
      <c r="A29" s="989" t="n"/>
      <c r="C29" s="981" t="n"/>
      <c r="D29" s="964" t="n"/>
      <c r="E29" s="15" t="inlineStr">
        <is>
          <t>100332044</t>
        </is>
      </c>
      <c r="F29" s="15" t="n"/>
      <c r="G29" s="16" t="n"/>
      <c r="H29" s="17" t="n"/>
      <c r="I29" s="636" t="n"/>
      <c r="J29" s="17" t="n"/>
      <c r="K29" s="589" t="inlineStr">
        <is>
          <t>млн куб.м</t>
        </is>
      </c>
    </row>
    <row r="30" ht="18.75" customHeight="1" s="904">
      <c r="A30" s="989" t="n"/>
      <c r="C30" s="978" t="n"/>
      <c r="D30" s="979" t="inlineStr">
        <is>
          <t xml:space="preserve"> - из сырья ЗАО "КАРБОН"</t>
        </is>
      </c>
      <c r="E30" s="15" t="inlineStr">
        <is>
          <t>100332915</t>
        </is>
      </c>
      <c r="F30" s="15" t="n"/>
      <c r="G30" s="16" t="n"/>
      <c r="H30" s="17" t="n"/>
      <c r="I30" s="636" t="n"/>
      <c r="J30" s="17" t="n"/>
      <c r="K30" s="175" t="inlineStr">
        <is>
          <t>тыс. т</t>
        </is>
      </c>
    </row>
    <row r="31" ht="18.75" customHeight="1" s="904">
      <c r="A31" s="989" t="n"/>
      <c r="C31" s="964" t="n"/>
      <c r="D31" s="964" t="n"/>
      <c r="E31" s="15" t="inlineStr">
        <is>
          <t>100332916</t>
        </is>
      </c>
      <c r="F31" s="15" t="n"/>
      <c r="G31" s="16" t="n"/>
      <c r="H31" s="17" t="n"/>
      <c r="I31" s="636" t="n"/>
      <c r="J31" s="17" t="n"/>
      <c r="K31" s="589" t="inlineStr">
        <is>
          <t>млн куб.м</t>
        </is>
      </c>
    </row>
    <row r="32" ht="18.75" customHeight="1" s="904">
      <c r="A32" s="989" t="n"/>
      <c r="C32" s="991" t="n"/>
      <c r="D32" s="979" t="inlineStr">
        <is>
          <t xml:space="preserve"> - из сырья ООО "Газпромнефть-Заполярье"</t>
        </is>
      </c>
      <c r="E32" s="15" t="inlineStr">
        <is>
          <t>100332943</t>
        </is>
      </c>
      <c r="F32" s="15" t="n"/>
      <c r="G32" s="16" t="n"/>
      <c r="H32" s="17" t="n"/>
      <c r="I32" s="636" t="n"/>
      <c r="J32" s="17" t="n"/>
      <c r="K32" s="175" t="inlineStr">
        <is>
          <t>тыс. т</t>
        </is>
      </c>
    </row>
    <row r="33" ht="18.75" customHeight="1" s="904">
      <c r="A33" s="989" t="n"/>
      <c r="C33" s="991" t="n"/>
      <c r="D33" s="964" t="n"/>
      <c r="E33" s="15" t="inlineStr">
        <is>
          <t>100332944</t>
        </is>
      </c>
      <c r="F33" s="15" t="n"/>
      <c r="G33" s="16" t="n"/>
      <c r="H33" s="17" t="n"/>
      <c r="I33" s="636" t="n"/>
      <c r="J33" s="17" t="n"/>
      <c r="K33" s="589" t="inlineStr">
        <is>
          <t>млн куб.м</t>
        </is>
      </c>
    </row>
    <row r="34" ht="18.75" customHeight="1" s="904">
      <c r="A34" s="989" t="n"/>
      <c r="C34" s="991" t="n"/>
      <c r="D34" s="979" t="inlineStr">
        <is>
          <t xml:space="preserve"> - из сырья ООО "Сладковско-Заречное"</t>
        </is>
      </c>
      <c r="E34" s="15" t="inlineStr">
        <is>
          <t>100335128</t>
        </is>
      </c>
      <c r="F34" s="15" t="n"/>
      <c r="G34" s="16" t="n"/>
      <c r="H34" s="17" t="n"/>
      <c r="I34" s="636" t="n"/>
      <c r="J34" s="17" t="n"/>
      <c r="K34" s="175" t="inlineStr">
        <is>
          <t>тыс. т</t>
        </is>
      </c>
    </row>
    <row r="35" ht="18.75" customHeight="1" s="904">
      <c r="A35" s="989" t="n"/>
      <c r="C35" s="991" t="n"/>
      <c r="D35" s="964" t="n"/>
      <c r="E35" s="15" t="inlineStr">
        <is>
          <t>100335129</t>
        </is>
      </c>
      <c r="F35" s="15" t="n"/>
      <c r="G35" s="16" t="n"/>
      <c r="H35" s="17" t="n"/>
      <c r="I35" s="636" t="n"/>
      <c r="J35" s="17" t="n"/>
      <c r="K35" s="589" t="inlineStr">
        <is>
          <t>млн куб.м</t>
        </is>
      </c>
    </row>
    <row r="36" ht="18.75" customHeight="1" s="904">
      <c r="A36" s="989" t="n"/>
      <c r="C36" s="991" t="inlineStr">
        <is>
          <t>1.1.2.</t>
        </is>
      </c>
      <c r="D36" s="979" t="inlineStr">
        <is>
          <t>ТОО "КазРосГаз", всего:</t>
        </is>
      </c>
      <c r="E36" s="15" t="inlineStr">
        <is>
          <t>100332045</t>
        </is>
      </c>
      <c r="F36" s="15" t="n"/>
      <c r="G36" s="16" t="n"/>
      <c r="H36" s="17" t="n"/>
      <c r="I36" s="636" t="n"/>
      <c r="J36" s="17" t="n"/>
      <c r="K36" s="175" t="inlineStr">
        <is>
          <t>тыс. т</t>
        </is>
      </c>
    </row>
    <row r="37" ht="18.75" customHeight="1" s="904">
      <c r="A37" s="989" t="n"/>
      <c r="C37" s="981" t="n"/>
      <c r="D37" s="964" t="n"/>
      <c r="E37" s="15" t="inlineStr">
        <is>
          <t>100332046</t>
        </is>
      </c>
      <c r="F37" s="15" t="n"/>
      <c r="G37" s="16" t="n"/>
      <c r="H37" s="17" t="n"/>
      <c r="I37" s="636" t="n"/>
      <c r="J37" s="17" t="n"/>
      <c r="K37" s="589" t="inlineStr">
        <is>
          <t>млн куб.м</t>
        </is>
      </c>
    </row>
    <row r="38" ht="18.75" customHeight="1" s="904">
      <c r="A38" s="989" t="n"/>
      <c r="C38" s="991" t="n"/>
      <c r="D38" s="979" t="inlineStr">
        <is>
          <t>в том числе переработка газа на У-01 АО "ЮУПК"</t>
        </is>
      </c>
      <c r="E38" s="15" t="inlineStr">
        <is>
          <t>100332047</t>
        </is>
      </c>
      <c r="F38" s="15" t="n"/>
      <c r="G38" s="16" t="n"/>
      <c r="H38" s="17" t="n"/>
      <c r="I38" s="636" t="n"/>
      <c r="J38" s="17" t="n"/>
      <c r="K38" s="175" t="inlineStr">
        <is>
          <t>тыс. т</t>
        </is>
      </c>
    </row>
    <row r="39" ht="18.75" customHeight="1" s="904">
      <c r="A39" s="989" t="n"/>
      <c r="C39" s="981" t="n"/>
      <c r="D39" s="964" t="n"/>
      <c r="E39" s="15" t="inlineStr">
        <is>
          <t>100332048</t>
        </is>
      </c>
      <c r="F39" s="15" t="n"/>
      <c r="G39" s="16" t="n"/>
      <c r="H39" s="17" t="n"/>
      <c r="I39" s="636" t="n"/>
      <c r="J39" s="17" t="n"/>
      <c r="K39" s="589" t="inlineStr">
        <is>
          <t>млн куб.м</t>
        </is>
      </c>
    </row>
    <row r="40" ht="18.75" customHeight="1" s="904">
      <c r="A40" s="989" t="n"/>
      <c r="C40" s="991" t="n"/>
      <c r="D40" s="702" t="inlineStr">
        <is>
          <t>Справочно:</t>
        </is>
      </c>
      <c r="E40" s="15" t="n"/>
      <c r="F40" s="15" t="n"/>
      <c r="G40" s="16" t="n"/>
      <c r="H40" s="17" t="n"/>
      <c r="I40" s="636" t="n"/>
      <c r="J40" s="17" t="n"/>
      <c r="K40" s="175" t="n"/>
    </row>
    <row r="41" ht="24" customHeight="1" s="904">
      <c r="A41" s="989" t="n"/>
      <c r="C41" s="980" t="n"/>
      <c r="D41" s="997" t="inlineStr">
        <is>
          <t xml:space="preserve">Переработка сухого газа на ГЗ, всего  </t>
        </is>
      </c>
      <c r="E41" s="15" t="inlineStr">
        <is>
          <t>100330177</t>
        </is>
      </c>
      <c r="F41" s="15" t="n"/>
      <c r="G41" s="16" t="n"/>
      <c r="H41" s="17" t="inlineStr">
        <is>
          <t>100332053+100332055+100332057+100335130</t>
        </is>
      </c>
      <c r="I41" s="636" t="n"/>
      <c r="J41" s="17" t="n"/>
      <c r="K41" s="176" t="inlineStr">
        <is>
          <t>тыс. т</t>
        </is>
      </c>
    </row>
    <row r="42" ht="24" customHeight="1" s="904">
      <c r="A42" s="989" t="n"/>
      <c r="C42" s="981" t="n"/>
      <c r="D42" s="964" t="n"/>
      <c r="E42" s="15" t="inlineStr">
        <is>
          <t>100330178</t>
        </is>
      </c>
      <c r="F42" s="15" t="n"/>
      <c r="G42" s="16" t="n"/>
      <c r="H42" s="17" t="inlineStr">
        <is>
          <t>100332054+100332056+100332058+100335131</t>
        </is>
      </c>
      <c r="I42" s="636" t="n"/>
      <c r="J42" s="17" t="n"/>
      <c r="K42" s="590" t="inlineStr">
        <is>
          <t>млн куб.м</t>
        </is>
      </c>
    </row>
    <row r="43" ht="24" customHeight="1" s="904">
      <c r="A43" s="989" t="n"/>
      <c r="C43" s="980" t="n"/>
      <c r="D43" s="983" t="inlineStr">
        <is>
          <t>ООО "Газпром переработка", всего</t>
        </is>
      </c>
      <c r="E43" s="15" t="inlineStr">
        <is>
          <t>100332051</t>
        </is>
      </c>
      <c r="F43" s="15" t="n"/>
      <c r="G43" s="16" t="n"/>
      <c r="H43" s="17" t="inlineStr">
        <is>
          <t>100332053+100332055+100335130</t>
        </is>
      </c>
      <c r="I43" s="636" t="n"/>
      <c r="J43" s="17" t="n"/>
      <c r="K43" s="176" t="inlineStr">
        <is>
          <t>тыс. т</t>
        </is>
      </c>
    </row>
    <row r="44" ht="24" customHeight="1" s="904">
      <c r="A44" s="989" t="n"/>
      <c r="C44" s="980" t="n"/>
      <c r="D44" s="964" t="n"/>
      <c r="E44" s="15" t="inlineStr">
        <is>
          <t>100332052</t>
        </is>
      </c>
      <c r="F44" s="15" t="n"/>
      <c r="G44" s="16" t="n"/>
      <c r="H44" s="17" t="inlineStr">
        <is>
          <t>100332054+100332056+100335131</t>
        </is>
      </c>
      <c r="I44" s="636" t="n"/>
      <c r="J44" s="17" t="n"/>
      <c r="K44" s="590" t="inlineStr">
        <is>
          <t>млн куб.м</t>
        </is>
      </c>
    </row>
    <row r="45" ht="18.75" customHeight="1" s="904">
      <c r="A45" s="989" t="n"/>
      <c r="C45" s="980" t="n"/>
      <c r="D45" s="985" t="inlineStr">
        <is>
          <t>- из газа ООО "Газпром добыча Оренбург" (в т.ч. Филипповская залежь и прочие залежи)</t>
        </is>
      </c>
      <c r="E45" s="15" t="inlineStr">
        <is>
          <t>100332053</t>
        </is>
      </c>
      <c r="F45" s="15" t="n"/>
      <c r="G45" s="16" t="n"/>
      <c r="H45" s="17" t="n"/>
      <c r="I45" s="636" t="n"/>
      <c r="J45" s="17" t="n"/>
      <c r="K45" s="176" t="inlineStr">
        <is>
          <t>тыс. т</t>
        </is>
      </c>
    </row>
    <row r="46" ht="18.75" customHeight="1" s="904">
      <c r="A46" s="989" t="n"/>
      <c r="C46" s="981" t="n"/>
      <c r="D46" s="964" t="n"/>
      <c r="E46" s="15" t="inlineStr">
        <is>
          <t>100332054</t>
        </is>
      </c>
      <c r="F46" s="15" t="n"/>
      <c r="G46" s="16" t="n"/>
      <c r="H46" s="17" t="n"/>
      <c r="I46" s="636" t="n"/>
      <c r="J46" s="17" t="n"/>
      <c r="K46" s="590" t="inlineStr">
        <is>
          <t>млн куб.м</t>
        </is>
      </c>
    </row>
    <row r="47" ht="18.75" customHeight="1" s="904">
      <c r="A47" s="989" t="n"/>
      <c r="C47" s="980" t="n"/>
      <c r="D47" s="985" t="inlineStr">
        <is>
          <t xml:space="preserve"> - из газа ПАО "Газпром нефть"</t>
        </is>
      </c>
      <c r="E47" s="15" t="inlineStr">
        <is>
          <t>100332055</t>
        </is>
      </c>
      <c r="F47" s="15" t="n"/>
      <c r="G47" s="16" t="n"/>
      <c r="H47" s="17" t="n"/>
      <c r="I47" s="636" t="n"/>
      <c r="J47" s="17" t="n"/>
      <c r="K47" s="176" t="inlineStr">
        <is>
          <t>тыс. т</t>
        </is>
      </c>
    </row>
    <row r="48" ht="18.75" customHeight="1" s="904">
      <c r="A48" s="989" t="n"/>
      <c r="C48" s="981" t="n"/>
      <c r="D48" s="964" t="n"/>
      <c r="E48" s="15" t="inlineStr">
        <is>
          <t>100332056</t>
        </is>
      </c>
      <c r="F48" s="15" t="n"/>
      <c r="G48" s="16" t="n"/>
      <c r="H48" s="17" t="n"/>
      <c r="I48" s="636" t="n"/>
      <c r="J48" s="17" t="n"/>
      <c r="K48" s="590" t="inlineStr">
        <is>
          <t>млн куб.м</t>
        </is>
      </c>
    </row>
    <row r="49" ht="18.75" customHeight="1" s="904">
      <c r="A49" s="989" t="n"/>
      <c r="C49" s="980" t="n"/>
      <c r="D49" s="983" t="inlineStr">
        <is>
          <t xml:space="preserve"> - из газа Прочих поставщиков  </t>
        </is>
      </c>
      <c r="E49" s="15" t="inlineStr">
        <is>
          <t>100335130</t>
        </is>
      </c>
      <c r="F49" s="15" t="n"/>
      <c r="G49" s="16" t="n"/>
      <c r="H49" s="17" t="n"/>
      <c r="I49" s="636" t="n"/>
      <c r="J49" s="17" t="n"/>
      <c r="K49" s="175" t="inlineStr">
        <is>
          <t>тыс. т</t>
        </is>
      </c>
    </row>
    <row r="50" ht="18.75" customHeight="1" s="904">
      <c r="A50" s="989" t="n"/>
      <c r="C50" s="980" t="n"/>
      <c r="D50" s="964" t="n"/>
      <c r="E50" s="15" t="inlineStr">
        <is>
          <t>100335131</t>
        </is>
      </c>
      <c r="F50" s="15" t="n"/>
      <c r="G50" s="16" t="n"/>
      <c r="H50" s="17" t="n"/>
      <c r="I50" s="636" t="n"/>
      <c r="J50" s="17" t="n"/>
      <c r="K50" s="589" t="inlineStr">
        <is>
          <t>млн куб.м</t>
        </is>
      </c>
    </row>
    <row r="51" ht="18.75" customHeight="1" s="904">
      <c r="A51" s="989" t="n"/>
      <c r="C51" s="980" t="n"/>
      <c r="D51" s="983" t="inlineStr">
        <is>
          <t>ТОО "КазРосГаз"</t>
        </is>
      </c>
      <c r="E51" s="15" t="inlineStr">
        <is>
          <t>100332057</t>
        </is>
      </c>
      <c r="F51" s="15" t="n"/>
      <c r="G51" s="16" t="n"/>
      <c r="H51" s="17" t="n"/>
      <c r="I51" s="636" t="n"/>
      <c r="J51" s="17" t="n"/>
      <c r="K51" s="176" t="inlineStr">
        <is>
          <t>тыс. т</t>
        </is>
      </c>
    </row>
    <row r="52" ht="18.75" customHeight="1" s="904">
      <c r="A52" s="989" t="n"/>
      <c r="C52" s="981" t="n"/>
      <c r="D52" s="964" t="n"/>
      <c r="E52" s="15" t="inlineStr">
        <is>
          <t>100332058</t>
        </is>
      </c>
      <c r="F52" s="15" t="n"/>
      <c r="G52" s="16" t="n"/>
      <c r="H52" s="17" t="n"/>
      <c r="I52" s="636" t="n"/>
      <c r="J52" s="17" t="n"/>
      <c r="K52" s="590" t="inlineStr">
        <is>
          <t>млн куб.м</t>
        </is>
      </c>
    </row>
    <row r="53" ht="31.5" customHeight="1" s="904">
      <c r="A53" s="989" t="n"/>
      <c r="C53" s="1005" t="inlineStr">
        <is>
          <t>1.2.</t>
        </is>
      </c>
      <c r="D53" s="1003" t="inlineStr">
        <is>
          <t>ПЕРЕРАБОТКА КОНДЕНСАТА ГАЗОВОГО НЕСТАБИЛЬНОГО, ВСЕГО:</t>
        </is>
      </c>
      <c r="E53" s="15" t="inlineStr">
        <is>
          <t>100332059</t>
        </is>
      </c>
      <c r="F53" s="15" t="n"/>
      <c r="G53" s="16" t="n"/>
      <c r="H53" s="17" t="inlineStr">
        <is>
          <t>100332061+100332062+100335697</t>
        </is>
      </c>
      <c r="I53" s="636" t="n"/>
      <c r="J53" s="17" t="n"/>
      <c r="K53" s="175" t="inlineStr">
        <is>
          <t>тыс. т</t>
        </is>
      </c>
    </row>
    <row r="54" ht="31.5" customHeight="1" s="904">
      <c r="A54" s="989" t="n"/>
      <c r="C54" s="703" t="inlineStr">
        <is>
          <t>1.2.1.</t>
        </is>
      </c>
      <c r="D54" s="1001" t="inlineStr">
        <is>
          <t>ПАО "Газпром" из сырья ООО "Газпром добыча Оренбург"</t>
        </is>
      </c>
      <c r="E54" s="15" t="inlineStr">
        <is>
          <t>100332061</t>
        </is>
      </c>
      <c r="F54" s="15" t="n"/>
      <c r="G54" s="16" t="n"/>
      <c r="H54" s="17" t="n"/>
      <c r="I54" s="636" t="n"/>
      <c r="J54" s="17" t="n"/>
      <c r="K54" s="175" t="inlineStr">
        <is>
          <t>тыс. т</t>
        </is>
      </c>
    </row>
    <row r="55" ht="31.5" customHeight="1" s="904">
      <c r="A55" s="989" t="n"/>
      <c r="C55" s="703" t="n"/>
      <c r="D55" s="1001" t="inlineStr">
        <is>
          <t>в том числе из сырья в рамках ДРОД (оператор "Газпром нефть Заполярье"</t>
        </is>
      </c>
      <c r="E55" s="15" t="inlineStr">
        <is>
          <t>100335946</t>
        </is>
      </c>
      <c r="F55" s="15" t="n"/>
      <c r="G55" s="16" t="n"/>
      <c r="H55" s="17" t="n"/>
      <c r="I55" s="636" t="n"/>
      <c r="J55" s="17" t="n"/>
      <c r="K55" s="175" t="inlineStr">
        <is>
          <t>тыс. т</t>
        </is>
      </c>
    </row>
    <row r="56" ht="18.75" customHeight="1" s="904">
      <c r="A56" s="989" t="n"/>
      <c r="C56" s="703" t="inlineStr">
        <is>
          <t>1.2.2.</t>
        </is>
      </c>
      <c r="D56" s="1001" t="inlineStr">
        <is>
          <t>ООО "Газпром переработка" из сырья АО "УНГП"</t>
        </is>
      </c>
      <c r="E56" s="15" t="inlineStr">
        <is>
          <t>100332062</t>
        </is>
      </c>
      <c r="F56" s="15" t="n"/>
      <c r="G56" s="16" t="n"/>
      <c r="H56" s="17" t="n"/>
      <c r="I56" s="636" t="n"/>
      <c r="J56" s="17" t="n"/>
      <c r="K56" s="175" t="inlineStr">
        <is>
          <t>тыс. т</t>
        </is>
      </c>
    </row>
    <row r="57" ht="31.5" customHeight="1" s="904">
      <c r="A57" s="989" t="n"/>
      <c r="C57" s="703" t="n"/>
      <c r="D57" s="1001" t="inlineStr">
        <is>
          <t>ООО "Газпром переработка" из сырья ООО "Газпромнефть-Заполярье"</t>
        </is>
      </c>
      <c r="E57" s="15" t="inlineStr">
        <is>
          <t>100335697</t>
        </is>
      </c>
      <c r="F57" s="15" t="n"/>
      <c r="G57" s="16" t="n"/>
      <c r="H57" s="17" t="n"/>
      <c r="I57" s="636" t="n"/>
      <c r="J57" s="17" t="n"/>
      <c r="K57" s="175" t="inlineStr">
        <is>
          <t>тыс. т</t>
        </is>
      </c>
    </row>
    <row r="58" ht="31.5" customHeight="1" s="904">
      <c r="A58" s="989" t="n"/>
      <c r="C58" s="1005" t="inlineStr">
        <is>
          <t>1.3.</t>
        </is>
      </c>
      <c r="D58" s="1003" t="inlineStr">
        <is>
          <t>ПЕРЕРАБОТКА НЕФТИ СЫРОЙ НЕСТАБИЛЬНОЙ, ВСЕГО:</t>
        </is>
      </c>
      <c r="E58" s="15" t="inlineStr">
        <is>
          <t>100332064</t>
        </is>
      </c>
      <c r="F58" s="15" t="n"/>
      <c r="G58" s="16" t="n"/>
      <c r="H58" s="17" t="inlineStr">
        <is>
          <t>100332065+100332069+100332068+100332947</t>
        </is>
      </c>
      <c r="I58" s="636" t="n"/>
      <c r="J58" s="17" t="n"/>
      <c r="K58" s="175" t="inlineStr">
        <is>
          <t>тыс. т</t>
        </is>
      </c>
    </row>
    <row r="59" ht="18.75" customHeight="1" s="904">
      <c r="A59" s="989" t="n"/>
      <c r="C59" s="703" t="inlineStr">
        <is>
          <t>1.3.1.</t>
        </is>
      </c>
      <c r="D59" s="1001" t="inlineStr">
        <is>
          <t>ПАО "Газпром", всего:</t>
        </is>
      </c>
      <c r="E59" s="15" t="inlineStr">
        <is>
          <t>100332065</t>
        </is>
      </c>
      <c r="F59" s="15" t="n"/>
      <c r="G59" s="16" t="n"/>
      <c r="H59" s="17" t="inlineStr">
        <is>
          <t>100332066+100332067</t>
        </is>
      </c>
      <c r="I59" s="636" t="n"/>
      <c r="J59" s="17" t="n"/>
      <c r="K59" s="175" t="inlineStr">
        <is>
          <t>тыс. т</t>
        </is>
      </c>
    </row>
    <row r="60" ht="18.75" customHeight="1" s="904">
      <c r="A60" s="989" t="n"/>
      <c r="C60" s="703" t="n"/>
      <c r="D60" s="1001" t="inlineStr">
        <is>
          <t xml:space="preserve"> - из сырья ООО "Газпром добыча Оренбург"</t>
        </is>
      </c>
      <c r="E60" s="15" t="inlineStr">
        <is>
          <t>100332066</t>
        </is>
      </c>
      <c r="F60" s="15" t="n"/>
      <c r="G60" s="16" t="n"/>
      <c r="H60" s="17" t="n"/>
      <c r="I60" s="636" t="n"/>
      <c r="J60" s="17" t="n"/>
      <c r="K60" s="175" t="inlineStr">
        <is>
          <t>тыс. т</t>
        </is>
      </c>
    </row>
    <row r="61" ht="31.5" customHeight="1" s="904">
      <c r="A61" s="989" t="n"/>
      <c r="C61" s="703" t="n"/>
      <c r="D61" s="1001" t="inlineStr">
        <is>
          <t>в том числе из сырья в рамках ДРОД (оператор "Газпром нефть Заполярье"</t>
        </is>
      </c>
      <c r="E61" s="15" t="inlineStr">
        <is>
          <t>100335947</t>
        </is>
      </c>
      <c r="F61" s="15" t="n"/>
      <c r="G61" s="16" t="n"/>
      <c r="H61" s="17" t="n"/>
      <c r="I61" s="636" t="n"/>
      <c r="J61" s="17" t="n"/>
      <c r="K61" s="175" t="inlineStr">
        <is>
          <t>тыс. т</t>
        </is>
      </c>
    </row>
    <row r="62" ht="18.75" customHeight="1" s="904">
      <c r="A62" s="989" t="n"/>
      <c r="C62" s="703" t="n"/>
      <c r="D62" s="1001" t="inlineStr">
        <is>
          <t xml:space="preserve"> - из сырья ПАО "Газпром нефть"</t>
        </is>
      </c>
      <c r="E62" s="15" t="inlineStr">
        <is>
          <t>100332067</t>
        </is>
      </c>
      <c r="F62" s="15" t="n"/>
      <c r="G62" s="16" t="n"/>
      <c r="H62" s="17" t="n"/>
      <c r="I62" s="636" t="n"/>
      <c r="J62" s="17" t="n"/>
      <c r="K62" s="175" t="inlineStr">
        <is>
          <t>тыс. т</t>
        </is>
      </c>
    </row>
    <row r="63" ht="18.75" customHeight="1" s="904">
      <c r="A63" s="989" t="n"/>
      <c r="C63" s="703" t="inlineStr">
        <is>
          <t>1.3.2.</t>
        </is>
      </c>
      <c r="D63" s="1001" t="inlineStr">
        <is>
          <t>ООО "Газпром переработка" из сырья АО "УНГП"</t>
        </is>
      </c>
      <c r="E63" s="15" t="inlineStr">
        <is>
          <t>100332068</t>
        </is>
      </c>
      <c r="F63" s="15" t="n"/>
      <c r="G63" s="16" t="n"/>
      <c r="H63" s="17" t="n"/>
      <c r="I63" s="636" t="n"/>
      <c r="J63" s="17" t="n"/>
      <c r="K63" s="175" t="inlineStr">
        <is>
          <t>тыс. т</t>
        </is>
      </c>
    </row>
    <row r="64" ht="31.5" customHeight="1" s="904">
      <c r="A64" s="989" t="n"/>
      <c r="C64" s="703" t="inlineStr">
        <is>
          <t>1.3.3.</t>
        </is>
      </c>
      <c r="D64" s="1001" t="inlineStr">
        <is>
          <t>ООО "Газпром переработка" из сырья ООО "Газпромнефть-Заполярье"</t>
        </is>
      </c>
      <c r="E64" s="15" t="inlineStr">
        <is>
          <t>100332947</t>
        </is>
      </c>
      <c r="F64" s="15" t="n"/>
      <c r="G64" s="16" t="n"/>
      <c r="H64" s="17" t="n"/>
      <c r="I64" s="636" t="n"/>
      <c r="J64" s="17" t="n"/>
      <c r="K64" s="175" t="inlineStr">
        <is>
          <t>тыс. т</t>
        </is>
      </c>
    </row>
    <row r="65" ht="18.75" customHeight="1" s="904">
      <c r="A65" s="989" t="n"/>
      <c r="C65" s="703" t="inlineStr">
        <is>
          <t>1.3.4.</t>
        </is>
      </c>
      <c r="D65" s="1001" t="inlineStr">
        <is>
          <t>ООО "Сервиснефтегаз"</t>
        </is>
      </c>
      <c r="E65" s="15" t="inlineStr">
        <is>
          <t>100332069</t>
        </is>
      </c>
      <c r="F65" s="15" t="n"/>
      <c r="G65" s="16" t="n"/>
      <c r="H65" s="17" t="n"/>
      <c r="I65" s="636" t="n"/>
      <c r="J65" s="17" t="n"/>
      <c r="K65" s="175" t="inlineStr">
        <is>
          <t>тыс. т</t>
        </is>
      </c>
    </row>
    <row r="66" ht="18.75" customHeight="1" s="904">
      <c r="A66" s="989" t="n"/>
      <c r="C66" s="704" t="n"/>
      <c r="D66" s="705" t="inlineStr">
        <is>
          <t>Справочно:</t>
        </is>
      </c>
      <c r="E66" s="15" t="n"/>
      <c r="F66" s="15" t="n"/>
      <c r="G66" s="16" t="n"/>
      <c r="H66" s="17" t="n"/>
      <c r="I66" s="636" t="n"/>
      <c r="J66" s="17" t="n"/>
      <c r="K66" s="175" t="n"/>
    </row>
    <row r="67" ht="18.75" customHeight="1" s="904">
      <c r="A67" s="989" t="n"/>
      <c r="C67" s="706" t="inlineStr">
        <is>
          <t>2.</t>
        </is>
      </c>
      <c r="D67" s="993" t="inlineStr">
        <is>
          <t>ПОТЕРИ СЫРЬЯ ПРИ ПЕРЕРАБОТКЕ, ВСЕГО:</t>
        </is>
      </c>
      <c r="E67" s="15" t="inlineStr">
        <is>
          <t>100332070</t>
        </is>
      </c>
      <c r="F67" s="15" t="n"/>
      <c r="G67" s="16" t="n"/>
      <c r="H67" s="17" t="inlineStr">
        <is>
          <t>100332071+100332075</t>
        </is>
      </c>
      <c r="I67" s="636" t="n"/>
      <c r="J67" s="17" t="n"/>
      <c r="K67" s="176" t="inlineStr">
        <is>
          <t>тыс. т</t>
        </is>
      </c>
    </row>
    <row r="68" ht="24" customHeight="1" s="904">
      <c r="A68" s="989" t="n"/>
      <c r="C68" s="706" t="n"/>
      <c r="D68" s="1001" t="inlineStr">
        <is>
          <t>в том числе без давальцев, всего:</t>
        </is>
      </c>
      <c r="E68" s="15" t="inlineStr">
        <is>
          <t>100332071</t>
        </is>
      </c>
      <c r="F68" s="15" t="n"/>
      <c r="G68" s="16" t="n"/>
      <c r="H68" s="17" t="inlineStr">
        <is>
          <t>100332072+100332073+100332074</t>
        </is>
      </c>
      <c r="I68" s="636" t="n"/>
      <c r="J68" s="17" t="n"/>
      <c r="K68" s="176" t="inlineStr">
        <is>
          <t>тыс. т</t>
        </is>
      </c>
    </row>
    <row r="69" ht="18.75" customHeight="1" s="904">
      <c r="A69" s="989" t="n"/>
      <c r="C69" s="704" t="n"/>
      <c r="D69" s="986" t="inlineStr">
        <is>
          <t>ПАО "Газпром"</t>
        </is>
      </c>
      <c r="E69" s="15" t="inlineStr">
        <is>
          <t>100332072</t>
        </is>
      </c>
      <c r="F69" s="15" t="n"/>
      <c r="G69" s="16" t="n"/>
      <c r="H69" s="17" t="inlineStr">
        <is>
          <t>100332095</t>
        </is>
      </c>
      <c r="I69" s="636" t="n"/>
      <c r="J69" s="17" t="n"/>
      <c r="K69" s="176" t="inlineStr">
        <is>
          <t>тыс. т.</t>
        </is>
      </c>
    </row>
    <row r="70" ht="18.75" customHeight="1" s="904">
      <c r="A70" s="989" t="n"/>
      <c r="C70" s="704" t="n"/>
      <c r="D70" s="986" t="inlineStr">
        <is>
          <t>ООО "Газпром переработка"</t>
        </is>
      </c>
      <c r="E70" s="15" t="inlineStr">
        <is>
          <t>100332073</t>
        </is>
      </c>
      <c r="F70" s="15" t="n"/>
      <c r="G70" s="16" t="n"/>
      <c r="H70" s="17" t="inlineStr">
        <is>
          <t>100332079+100332098</t>
        </is>
      </c>
      <c r="I70" s="636" t="n"/>
      <c r="J70" s="17" t="n"/>
      <c r="K70" s="176" t="inlineStr">
        <is>
          <t>тыс. т.</t>
        </is>
      </c>
    </row>
    <row r="71" ht="18.75" customHeight="1" s="904">
      <c r="A71" s="989" t="n"/>
      <c r="C71" s="704" t="n"/>
      <c r="D71" s="986" t="inlineStr">
        <is>
          <t>ООО "Сервиснефтегаз"</t>
        </is>
      </c>
      <c r="E71" s="15" t="inlineStr">
        <is>
          <t>100332074</t>
        </is>
      </c>
      <c r="F71" s="15" t="n"/>
      <c r="G71" s="16" t="n"/>
      <c r="H71" s="17" t="inlineStr">
        <is>
          <t>100332100</t>
        </is>
      </c>
      <c r="I71" s="636" t="n"/>
      <c r="J71" s="17" t="n"/>
      <c r="K71" s="176" t="inlineStr">
        <is>
          <t>тыс. т.</t>
        </is>
      </c>
    </row>
    <row r="72" ht="18.75" customHeight="1" s="904">
      <c r="A72" s="989" t="n"/>
      <c r="C72" s="704" t="n"/>
      <c r="D72" s="986" t="inlineStr">
        <is>
          <t>ТОО "КазРосГаз"</t>
        </is>
      </c>
      <c r="E72" s="15" t="inlineStr">
        <is>
          <t>100332075</t>
        </is>
      </c>
      <c r="F72" s="15" t="n"/>
      <c r="G72" s="16" t="n"/>
      <c r="H72" s="17" t="inlineStr">
        <is>
          <t>100332089</t>
        </is>
      </c>
      <c r="I72" s="636" t="n"/>
      <c r="J72" s="17" t="n"/>
      <c r="K72" s="176" t="inlineStr">
        <is>
          <t>тыс. т.</t>
        </is>
      </c>
    </row>
    <row r="73" ht="18.75" customHeight="1" s="904">
      <c r="A73" s="989" t="n"/>
      <c r="C73" s="1000" t="inlineStr">
        <is>
          <t xml:space="preserve">2.1. </t>
        </is>
      </c>
      <c r="D73" s="990" t="inlineStr">
        <is>
          <t>СЫРОЙ ГАЗ, ВСЕГО:</t>
        </is>
      </c>
      <c r="E73" s="15" t="inlineStr">
        <is>
          <t>100332077</t>
        </is>
      </c>
      <c r="F73" s="15" t="n"/>
      <c r="G73" s="16" t="n"/>
      <c r="H73" s="17" t="inlineStr">
        <is>
          <t>100332079+100332089</t>
        </is>
      </c>
      <c r="I73" s="636" t="n"/>
      <c r="J73" s="17" t="n"/>
      <c r="K73" s="176" t="inlineStr">
        <is>
          <t>тыс. т</t>
        </is>
      </c>
    </row>
    <row r="74" ht="18.75" customHeight="1" s="904">
      <c r="A74" s="989" t="n"/>
      <c r="C74" s="981" t="n"/>
      <c r="D74" s="964" t="n"/>
      <c r="E74" s="15" t="inlineStr">
        <is>
          <t>100332078</t>
        </is>
      </c>
      <c r="F74" s="15" t="n"/>
      <c r="G74" s="16" t="n"/>
      <c r="H74" s="17" t="inlineStr">
        <is>
          <t>100332080+100332090</t>
        </is>
      </c>
      <c r="I74" s="636" t="n"/>
      <c r="J74" s="17" t="n"/>
      <c r="K74" s="590" t="inlineStr">
        <is>
          <t>млн куб.м</t>
        </is>
      </c>
    </row>
    <row r="75" ht="24" customHeight="1" s="904">
      <c r="A75" s="989" t="n"/>
      <c r="C75" s="980" t="inlineStr">
        <is>
          <t xml:space="preserve">2.1.1. </t>
        </is>
      </c>
      <c r="D75" s="983" t="inlineStr">
        <is>
          <t>ООО "Газпром переработка", всего:</t>
        </is>
      </c>
      <c r="E75" s="15" t="inlineStr">
        <is>
          <t>100332079</t>
        </is>
      </c>
      <c r="F75" s="15" t="n"/>
      <c r="G75" s="16" t="n"/>
      <c r="H75" s="17" t="inlineStr">
        <is>
          <t>100332081+100332083+100335132</t>
        </is>
      </c>
      <c r="I75" s="636" t="n"/>
      <c r="J75" s="17" t="n"/>
      <c r="K75" s="176" t="inlineStr">
        <is>
          <t>тыс. т</t>
        </is>
      </c>
    </row>
    <row r="76" ht="24" customHeight="1" s="904">
      <c r="A76" s="989" t="n"/>
      <c r="C76" s="981" t="n"/>
      <c r="D76" s="964" t="n"/>
      <c r="E76" s="15" t="inlineStr">
        <is>
          <t>100332080</t>
        </is>
      </c>
      <c r="F76" s="15" t="n"/>
      <c r="G76" s="16" t="n"/>
      <c r="H76" s="17" t="inlineStr">
        <is>
          <t>100332082+100332084+100335133</t>
        </is>
      </c>
      <c r="I76" s="636" t="n"/>
      <c r="J76" s="17" t="n"/>
      <c r="K76" s="590" t="inlineStr">
        <is>
          <t>млн куб.м</t>
        </is>
      </c>
    </row>
    <row r="77" ht="18.75" customHeight="1" s="904">
      <c r="A77" s="989" t="n"/>
      <c r="C77" s="980" t="n"/>
      <c r="D77" s="983" t="inlineStr">
        <is>
          <t xml:space="preserve"> - из сырья ООО "Газпром добыча Оренбург"</t>
        </is>
      </c>
      <c r="E77" s="15" t="inlineStr">
        <is>
          <t>100332081</t>
        </is>
      </c>
      <c r="F77" s="15" t="n"/>
      <c r="G77" s="16" t="n"/>
      <c r="H77" s="17" t="n"/>
      <c r="I77" s="636" t="n"/>
      <c r="J77" s="17" t="n"/>
      <c r="K77" s="176" t="inlineStr">
        <is>
          <t>тыс. т</t>
        </is>
      </c>
    </row>
    <row r="78" ht="18.75" customHeight="1" s="904">
      <c r="A78" s="989" t="n"/>
      <c r="C78" s="981" t="n"/>
      <c r="D78" s="964" t="n"/>
      <c r="E78" s="15" t="inlineStr">
        <is>
          <t>100332082</t>
        </is>
      </c>
      <c r="F78" s="15" t="n"/>
      <c r="G78" s="16" t="n"/>
      <c r="H78" s="17" t="n"/>
      <c r="I78" s="636" t="n"/>
      <c r="J78" s="17" t="n"/>
      <c r="K78" s="590" t="inlineStr">
        <is>
          <t>млн куб.м</t>
        </is>
      </c>
    </row>
    <row r="79" ht="18.75" customHeight="1" s="904">
      <c r="A79" s="989" t="n"/>
      <c r="C79" s="980" t="n"/>
      <c r="D79" s="986" t="inlineStr">
        <is>
          <t xml:space="preserve"> - из сырья ПАО "Газпром нефть"</t>
        </is>
      </c>
      <c r="E79" s="15" t="inlineStr">
        <is>
          <t>100332083</t>
        </is>
      </c>
      <c r="F79" s="15" t="n"/>
      <c r="G79" s="16" t="n"/>
      <c r="H79" s="17" t="n"/>
      <c r="I79" s="636" t="n"/>
      <c r="J79" s="17" t="n"/>
      <c r="K79" s="176" t="inlineStr">
        <is>
          <t>тыс. т</t>
        </is>
      </c>
    </row>
    <row r="80" ht="18.75" customHeight="1" s="904">
      <c r="A80" s="989" t="n"/>
      <c r="C80" s="981" t="n"/>
      <c r="D80" s="964" t="n"/>
      <c r="E80" s="15" t="inlineStr">
        <is>
          <t>100332084</t>
        </is>
      </c>
      <c r="F80" s="15" t="n"/>
      <c r="G80" s="16" t="n"/>
      <c r="H80" s="17" t="n"/>
      <c r="I80" s="636" t="n"/>
      <c r="J80" s="17" t="n"/>
      <c r="K80" s="590" t="inlineStr">
        <is>
          <t>млн куб.м</t>
        </is>
      </c>
    </row>
    <row r="81" ht="18.75" customHeight="1" s="904">
      <c r="A81" s="989" t="n"/>
      <c r="C81" s="980" t="n"/>
      <c r="D81" s="983" t="inlineStr">
        <is>
          <t xml:space="preserve"> - из сырья Прочих поставщиков </t>
        </is>
      </c>
      <c r="E81" s="15" t="inlineStr">
        <is>
          <t>100335132</t>
        </is>
      </c>
      <c r="F81" s="15" t="n"/>
      <c r="G81" s="16" t="n"/>
      <c r="H81" s="17" t="n"/>
      <c r="I81" s="636" t="n"/>
      <c r="J81" s="17" t="n"/>
      <c r="K81" s="176" t="inlineStr">
        <is>
          <t>тыс. т</t>
        </is>
      </c>
    </row>
    <row r="82" ht="18.75" customHeight="1" s="904">
      <c r="A82" s="989" t="n"/>
      <c r="C82" s="980" t="n"/>
      <c r="D82" s="964" t="n"/>
      <c r="E82" s="15" t="inlineStr">
        <is>
          <t>100335133</t>
        </is>
      </c>
      <c r="F82" s="15" t="n"/>
      <c r="G82" s="16" t="n"/>
      <c r="H82" s="17" t="n"/>
      <c r="I82" s="636" t="n"/>
      <c r="J82" s="17" t="n"/>
      <c r="K82" s="590" t="inlineStr">
        <is>
          <t>млн куб.м</t>
        </is>
      </c>
    </row>
    <row r="83" ht="18.75" customHeight="1" s="904">
      <c r="A83" s="989" t="n"/>
      <c r="C83" s="980" t="inlineStr">
        <is>
          <t>2.1.2.</t>
        </is>
      </c>
      <c r="D83" s="983" t="inlineStr">
        <is>
          <t>ТОО "КазРосГаз"</t>
        </is>
      </c>
      <c r="E83" s="15" t="inlineStr">
        <is>
          <t>100332089</t>
        </is>
      </c>
      <c r="F83" s="15" t="n"/>
      <c r="G83" s="16" t="n"/>
      <c r="H83" s="17" t="n"/>
      <c r="I83" s="636" t="n"/>
      <c r="J83" s="17" t="n"/>
      <c r="K83" s="176" t="inlineStr">
        <is>
          <t>тыс. т</t>
        </is>
      </c>
    </row>
    <row r="84" ht="18.75" customHeight="1" s="904">
      <c r="A84" s="989" t="n"/>
      <c r="C84" s="981" t="n"/>
      <c r="D84" s="964" t="n"/>
      <c r="E84" s="15" t="inlineStr">
        <is>
          <t>100332090</t>
        </is>
      </c>
      <c r="F84" s="15" t="n"/>
      <c r="G84" s="16" t="n"/>
      <c r="H84" s="17" t="n"/>
      <c r="I84" s="636" t="n"/>
      <c r="J84" s="17" t="n"/>
      <c r="K84" s="590" t="inlineStr">
        <is>
          <t>млн куб.м</t>
        </is>
      </c>
    </row>
    <row r="85" ht="31.5" customHeight="1" s="904">
      <c r="A85" s="989" t="n"/>
      <c r="C85" s="706" t="inlineStr">
        <is>
          <t>2.2.</t>
        </is>
      </c>
      <c r="D85" s="990" t="inlineStr">
        <is>
          <t>НЕФТЬ СЫРАЯ НЕСТАБИЛЬНАЯ И КОНДЕНСАТ ГАЗОВЫЙ НЕСТАБИЛЬНЫЙ, ВСЕГО:</t>
        </is>
      </c>
      <c r="E85" s="15" t="inlineStr">
        <is>
          <t>100332093</t>
        </is>
      </c>
      <c r="F85" s="15" t="n"/>
      <c r="G85" s="16" t="n"/>
      <c r="H85" s="17" t="inlineStr">
        <is>
          <t>100332095+100332100+100332098</t>
        </is>
      </c>
      <c r="I85" s="636" t="n"/>
      <c r="J85" s="17" t="n"/>
      <c r="K85" s="176" t="inlineStr">
        <is>
          <t>тыс. т</t>
        </is>
      </c>
    </row>
    <row r="86" ht="18.75" customHeight="1" s="904">
      <c r="A86" s="989" t="n"/>
      <c r="C86" s="704" t="inlineStr">
        <is>
          <t>2.2.1.</t>
        </is>
      </c>
      <c r="D86" s="986" t="inlineStr">
        <is>
          <t>ПАО "Газпром", всего:</t>
        </is>
      </c>
      <c r="E86" s="15" t="inlineStr">
        <is>
          <t>100332095</t>
        </is>
      </c>
      <c r="F86" s="15" t="n"/>
      <c r="G86" s="16" t="n"/>
      <c r="H86" s="17" t="inlineStr">
        <is>
          <t>100332096+100332097</t>
        </is>
      </c>
      <c r="I86" s="636" t="n"/>
      <c r="J86" s="17" t="n"/>
      <c r="K86" s="176" t="inlineStr">
        <is>
          <t>тыс. т</t>
        </is>
      </c>
    </row>
    <row r="87" ht="18.75" customHeight="1" s="904">
      <c r="A87" s="989" t="n"/>
      <c r="C87" s="704" t="n"/>
      <c r="D87" s="986" t="inlineStr">
        <is>
          <t xml:space="preserve"> - из сырья ООО "Газпром добыча Оренбург"</t>
        </is>
      </c>
      <c r="E87" s="15" t="inlineStr">
        <is>
          <t>100332096</t>
        </is>
      </c>
      <c r="F87" s="15" t="n"/>
      <c r="G87" s="16" t="n"/>
      <c r="H87" s="17" t="n"/>
      <c r="I87" s="636" t="n"/>
      <c r="J87" s="17" t="n"/>
      <c r="K87" s="176" t="inlineStr">
        <is>
          <t>тыс. т</t>
        </is>
      </c>
    </row>
    <row r="88" ht="18.75" customHeight="1" s="904">
      <c r="A88" s="989" t="n"/>
      <c r="C88" s="704" t="n"/>
      <c r="D88" s="986" t="inlineStr">
        <is>
          <t xml:space="preserve"> - из сырья ПАО "Газпром нефть"</t>
        </is>
      </c>
      <c r="E88" s="15" t="inlineStr">
        <is>
          <t>100332097</t>
        </is>
      </c>
      <c r="F88" s="15" t="n"/>
      <c r="G88" s="16" t="n"/>
      <c r="H88" s="17" t="n"/>
      <c r="I88" s="636" t="n"/>
      <c r="J88" s="17" t="n"/>
      <c r="K88" s="176" t="inlineStr">
        <is>
          <t>тыс. т</t>
        </is>
      </c>
    </row>
    <row r="89" ht="18.75" customHeight="1" s="904">
      <c r="A89" s="989" t="n"/>
      <c r="C89" s="704" t="inlineStr">
        <is>
          <t>2.2.2.</t>
        </is>
      </c>
      <c r="D89" s="986" t="inlineStr">
        <is>
          <t>ООО "Газпром переработка", всего:</t>
        </is>
      </c>
      <c r="E89" s="15" t="inlineStr">
        <is>
          <t>100332098</t>
        </is>
      </c>
      <c r="F89" s="15" t="n"/>
      <c r="G89" s="16" t="n"/>
      <c r="H89" s="17" t="inlineStr">
        <is>
          <t>100332099+100332992</t>
        </is>
      </c>
      <c r="I89" s="636" t="n"/>
      <c r="J89" s="17" t="n"/>
      <c r="K89" s="176" t="inlineStr">
        <is>
          <t>тыс. т</t>
        </is>
      </c>
    </row>
    <row r="90" ht="18.75" customHeight="1" s="904">
      <c r="A90" s="989" t="n"/>
      <c r="C90" s="704" t="n"/>
      <c r="D90" s="986" t="inlineStr">
        <is>
          <t xml:space="preserve"> - из сырья АО "УНГП"</t>
        </is>
      </c>
      <c r="E90" s="15" t="inlineStr">
        <is>
          <t>100332099</t>
        </is>
      </c>
      <c r="F90" s="15" t="n"/>
      <c r="G90" s="16" t="n"/>
      <c r="H90" s="17" t="n"/>
      <c r="I90" s="636" t="n"/>
      <c r="J90" s="17" t="n"/>
      <c r="K90" s="176" t="inlineStr">
        <is>
          <t>тыс. т</t>
        </is>
      </c>
    </row>
    <row r="91" ht="18.75" customHeight="1" s="904">
      <c r="A91" s="989" t="n"/>
      <c r="C91" s="704" t="n"/>
      <c r="D91" s="986" t="inlineStr">
        <is>
          <t xml:space="preserve"> - из сырья ООО "Газпромнефть-Заполярье"</t>
        </is>
      </c>
      <c r="E91" s="15" t="inlineStr">
        <is>
          <t>100332992</t>
        </is>
      </c>
      <c r="F91" s="15" t="n"/>
      <c r="G91" s="16" t="n"/>
      <c r="H91" s="17" t="n"/>
      <c r="I91" s="636" t="n"/>
      <c r="J91" s="17" t="n"/>
      <c r="K91" s="176" t="inlineStr">
        <is>
          <t>тыс. т</t>
        </is>
      </c>
    </row>
    <row r="92" ht="18.75" customHeight="1" s="904">
      <c r="A92" s="989" t="n"/>
      <c r="C92" s="704" t="inlineStr">
        <is>
          <t>2.2.3.</t>
        </is>
      </c>
      <c r="D92" s="986" t="inlineStr">
        <is>
          <t>ООО "Сервиснефтегаз"</t>
        </is>
      </c>
      <c r="E92" s="15" t="inlineStr">
        <is>
          <t>100332100</t>
        </is>
      </c>
      <c r="F92" s="15" t="n"/>
      <c r="G92" s="16" t="n"/>
      <c r="H92" s="17" t="n"/>
      <c r="I92" s="636" t="n"/>
      <c r="J92" s="17" t="n"/>
      <c r="K92" s="176" t="inlineStr">
        <is>
          <t>тыс. т</t>
        </is>
      </c>
    </row>
    <row r="93" ht="24" customHeight="1" s="904">
      <c r="A93" s="989" t="n"/>
      <c r="C93" s="707" t="inlineStr">
        <is>
          <t>3.</t>
        </is>
      </c>
      <c r="D93" s="982" t="inlineStr">
        <is>
          <t>ПРОИЗВОДСТВО ПРОДУКЦИИ, ВСЕГО:</t>
        </is>
      </c>
      <c r="E93" s="15" t="inlineStr">
        <is>
          <t>100331853</t>
        </is>
      </c>
      <c r="F93" s="15" t="n"/>
      <c r="G93" s="16" t="n"/>
      <c r="H93" s="17" t="inlineStr">
        <is>
          <t>100332103+100332104+100332105+100332106-100332209</t>
        </is>
      </c>
      <c r="I93" s="636" t="n"/>
      <c r="J93" s="17" t="n"/>
      <c r="K93" s="175" t="inlineStr">
        <is>
          <t>тыс.т</t>
        </is>
      </c>
    </row>
    <row r="94" ht="24" customHeight="1" s="904">
      <c r="A94" s="989" t="n"/>
      <c r="C94" s="707" t="n"/>
      <c r="D94" s="1001" t="inlineStr">
        <is>
          <t>в том числе без давальцев, всего:</t>
        </is>
      </c>
      <c r="E94" s="15" t="inlineStr">
        <is>
          <t>100332102</t>
        </is>
      </c>
      <c r="F94" s="15" t="n"/>
      <c r="G94" s="16" t="n"/>
      <c r="H94" s="17" t="inlineStr">
        <is>
          <t>100332103+100332104+100332105-100332209</t>
        </is>
      </c>
      <c r="I94" s="636" t="n"/>
      <c r="J94" s="17" t="n"/>
      <c r="K94" s="175" t="inlineStr">
        <is>
          <t>тыс.т</t>
        </is>
      </c>
    </row>
    <row r="95" ht="36" customHeight="1" s="904">
      <c r="A95" s="989" t="n"/>
      <c r="C95" s="703" t="n"/>
      <c r="D95" s="1001" t="inlineStr">
        <is>
          <t>ПАО "Газпром"</t>
        </is>
      </c>
      <c r="E95" s="15" t="inlineStr">
        <is>
          <t>100332103</t>
        </is>
      </c>
      <c r="F95" s="15" t="n"/>
      <c r="G95" s="16" t="n"/>
      <c r="H95" s="17" t="inlineStr">
        <is>
          <t>100332188+100332265+100332203+100332215+100332233+100332168</t>
        </is>
      </c>
      <c r="I95" s="636" t="n"/>
      <c r="J95" s="17" t="n"/>
      <c r="K95" s="175" t="inlineStr">
        <is>
          <t>тыс. т</t>
        </is>
      </c>
    </row>
    <row r="96" ht="48" customHeight="1" s="904">
      <c r="A96" s="989" t="n"/>
      <c r="C96" s="703" t="n"/>
      <c r="D96" s="1001" t="inlineStr">
        <is>
          <t>ООО "Газпром переработка"</t>
        </is>
      </c>
      <c r="E96" s="15" t="inlineStr">
        <is>
          <t>100332104</t>
        </is>
      </c>
      <c r="F96" s="15" t="n"/>
      <c r="G96" s="16" t="n"/>
      <c r="H96" s="17" t="inlineStr">
        <is>
          <t>100332108+100332191+100332268+100330078+100332220+100332237+100332241+100335431/$1000+100332174</t>
        </is>
      </c>
      <c r="I96" s="636" t="n"/>
      <c r="J96" s="17" t="n"/>
      <c r="K96" s="175" t="inlineStr">
        <is>
          <t>тыс. т</t>
        </is>
      </c>
    </row>
    <row r="97" ht="24" customHeight="1" s="904">
      <c r="A97" s="989" t="n"/>
      <c r="C97" s="703" t="n"/>
      <c r="D97" s="1001" t="inlineStr">
        <is>
          <t>ООО "Сервиснефтегаз" из нефти (конденсат)</t>
        </is>
      </c>
      <c r="E97" s="15" t="inlineStr">
        <is>
          <t>100332105</t>
        </is>
      </c>
      <c r="F97" s="15" t="n"/>
      <c r="G97" s="16" t="n"/>
      <c r="H97" s="17" t="inlineStr">
        <is>
          <t>100332273+100332226+100332197+100335693</t>
        </is>
      </c>
      <c r="I97" s="636" t="n"/>
      <c r="J97" s="17" t="n"/>
      <c r="K97" s="175" t="inlineStr">
        <is>
          <t>тыс. т</t>
        </is>
      </c>
    </row>
    <row r="98" ht="36" customHeight="1" s="904">
      <c r="A98" s="989" t="n"/>
      <c r="C98" s="703" t="n"/>
      <c r="D98" s="1001" t="inlineStr">
        <is>
          <t>ТОО "КазРосГаз"</t>
        </is>
      </c>
      <c r="E98" s="15" t="inlineStr">
        <is>
          <t>100332106</t>
        </is>
      </c>
      <c r="F98" s="15" t="n"/>
      <c r="G98" s="16" t="n"/>
      <c r="H98" s="17" t="inlineStr">
        <is>
          <t>100332118+100332198+100332274+100332227+100332236+100332244+100332184</t>
        </is>
      </c>
      <c r="I98" s="636" t="n"/>
      <c r="J98" s="17" t="n"/>
      <c r="K98" s="175" t="inlineStr">
        <is>
          <t>тыс. т</t>
        </is>
      </c>
    </row>
    <row r="99" ht="24" customHeight="1" s="904">
      <c r="A99" s="989" t="n"/>
      <c r="C99" s="1005" t="inlineStr">
        <is>
          <t>3.1.</t>
        </is>
      </c>
      <c r="D99" s="982" t="inlineStr">
        <is>
          <t>ГАЗ ПРИРОДНЫЙ СУХОЙ ОТБЕНЗИНЕННЫЙ, ВСЕГО:</t>
        </is>
      </c>
      <c r="E99" s="15" t="inlineStr">
        <is>
          <t>100331992</t>
        </is>
      </c>
      <c r="F99" s="15" t="n"/>
      <c r="G99" s="16" t="n"/>
      <c r="H99" s="17" t="inlineStr">
        <is>
          <t>100332108+100332118+100335691</t>
        </is>
      </c>
      <c r="I99" s="636" t="n"/>
      <c r="J99" s="17" t="n"/>
      <c r="K99" s="175" t="inlineStr">
        <is>
          <t>тыс. т</t>
        </is>
      </c>
    </row>
    <row r="100" ht="24" customHeight="1" s="904">
      <c r="A100" s="989" t="n"/>
      <c r="C100" s="981" t="n"/>
      <c r="D100" s="964" t="n"/>
      <c r="E100" s="15" t="inlineStr">
        <is>
          <t>100331993</t>
        </is>
      </c>
      <c r="F100" s="15" t="n"/>
      <c r="G100" s="16" t="n"/>
      <c r="H100" s="17" t="inlineStr">
        <is>
          <t>100332109+100332119+100335692</t>
        </is>
      </c>
      <c r="I100" s="636" t="n"/>
      <c r="J100" s="17" t="n"/>
      <c r="K100" s="589" t="inlineStr">
        <is>
          <t>млн куб.м</t>
        </is>
      </c>
    </row>
    <row r="101" ht="24" customHeight="1" s="904">
      <c r="A101" s="989" t="n"/>
      <c r="C101" s="991" t="inlineStr">
        <is>
          <t>3.1.1.</t>
        </is>
      </c>
      <c r="D101" s="979" t="inlineStr">
        <is>
          <t>ООО "Газпром переработка", всего:</t>
        </is>
      </c>
      <c r="E101" s="15" t="inlineStr">
        <is>
          <t>100332108</t>
        </is>
      </c>
      <c r="F101" s="15" t="n"/>
      <c r="G101" s="16" t="n"/>
      <c r="H101" s="17" t="inlineStr">
        <is>
          <t>100332110+100332112+100335134</t>
        </is>
      </c>
      <c r="I101" s="636" t="n"/>
      <c r="J101" s="17" t="n"/>
      <c r="K101" s="175" t="inlineStr">
        <is>
          <t>тыс. т</t>
        </is>
      </c>
    </row>
    <row r="102" ht="24" customHeight="1" s="904">
      <c r="A102" s="989" t="n"/>
      <c r="C102" s="981" t="n"/>
      <c r="D102" s="964" t="n"/>
      <c r="E102" s="15" t="inlineStr">
        <is>
          <t>100332109</t>
        </is>
      </c>
      <c r="F102" s="15" t="n"/>
      <c r="G102" s="16" t="n"/>
      <c r="H102" s="17" t="inlineStr">
        <is>
          <t>100332111+100332113+100335135</t>
        </is>
      </c>
      <c r="I102" s="636" t="n"/>
      <c r="J102" s="17" t="n"/>
      <c r="K102" s="589" t="inlineStr">
        <is>
          <t>млн куб.м</t>
        </is>
      </c>
    </row>
    <row r="103" ht="18.75" customHeight="1" s="904">
      <c r="A103" s="989" t="n"/>
      <c r="C103" s="991" t="n"/>
      <c r="D103" s="979" t="inlineStr">
        <is>
          <t xml:space="preserve"> - из сырья ООО "Газпром добыча Оренбург"</t>
        </is>
      </c>
      <c r="E103" s="15" t="inlineStr">
        <is>
          <t>100332110</t>
        </is>
      </c>
      <c r="F103" s="15" t="n"/>
      <c r="G103" s="16" t="n"/>
      <c r="H103" s="17" t="inlineStr">
        <is>
          <t>100332134+100332158</t>
        </is>
      </c>
      <c r="I103" s="636" t="n"/>
      <c r="J103" s="17" t="n"/>
      <c r="K103" s="175" t="inlineStr">
        <is>
          <t>тыс. т</t>
        </is>
      </c>
    </row>
    <row r="104" ht="18.75" customHeight="1" s="904">
      <c r="A104" s="989" t="n"/>
      <c r="C104" s="981" t="n"/>
      <c r="D104" s="964" t="n"/>
      <c r="E104" s="15" t="inlineStr">
        <is>
          <t>100332111</t>
        </is>
      </c>
      <c r="F104" s="15" t="n"/>
      <c r="G104" s="16" t="n"/>
      <c r="H104" s="17" t="inlineStr">
        <is>
          <t>100332135+100332159</t>
        </is>
      </c>
      <c r="I104" s="636" t="n"/>
      <c r="J104" s="17" t="n"/>
      <c r="K104" s="589" t="inlineStr">
        <is>
          <t>млн куб.м</t>
        </is>
      </c>
    </row>
    <row r="105" ht="18.75" customHeight="1" s="904">
      <c r="A105" s="989" t="n"/>
      <c r="C105" s="708" t="n"/>
      <c r="D105" s="1001" t="inlineStr">
        <is>
          <t xml:space="preserve"> - из сырья ООО "Газпромнефть-Оренбург</t>
        </is>
      </c>
      <c r="E105" s="15" t="inlineStr">
        <is>
          <t>100332112</t>
        </is>
      </c>
      <c r="F105" s="15" t="n"/>
      <c r="G105" s="16" t="n"/>
      <c r="H105" s="17" t="inlineStr">
        <is>
          <t>100332136+100332160</t>
        </is>
      </c>
      <c r="I105" s="636" t="n"/>
      <c r="J105" s="17" t="n"/>
      <c r="K105" s="175" t="inlineStr">
        <is>
          <t>тыс. т</t>
        </is>
      </c>
    </row>
    <row r="106" ht="18.75" customHeight="1" s="904">
      <c r="A106" s="989" t="n"/>
      <c r="C106" s="708" t="n"/>
      <c r="D106" s="964" t="n"/>
      <c r="E106" s="15" t="inlineStr">
        <is>
          <t>100332113</t>
        </is>
      </c>
      <c r="F106" s="15" t="n"/>
      <c r="G106" s="16" t="n"/>
      <c r="H106" s="17" t="inlineStr">
        <is>
          <t>100332137+100332161</t>
        </is>
      </c>
      <c r="I106" s="636" t="n"/>
      <c r="J106" s="17" t="n"/>
      <c r="K106" s="589" t="inlineStr">
        <is>
          <t>млн куб.м</t>
        </is>
      </c>
    </row>
    <row r="107" ht="18.75" customHeight="1" s="904">
      <c r="A107" s="989" t="n"/>
      <c r="C107" s="991" t="n"/>
      <c r="D107" s="983" t="inlineStr">
        <is>
          <t xml:space="preserve"> - из сырья Прочих поставщиков </t>
        </is>
      </c>
      <c r="E107" s="15" t="inlineStr">
        <is>
          <t>100335134</t>
        </is>
      </c>
      <c r="F107" s="15" t="n"/>
      <c r="G107" s="16" t="n"/>
      <c r="H107" s="17" t="inlineStr">
        <is>
          <t>100332138+100335138</t>
        </is>
      </c>
      <c r="I107" s="636" t="n"/>
      <c r="J107" s="17" t="n"/>
      <c r="K107" s="175" t="inlineStr">
        <is>
          <t>тыс. т</t>
        </is>
      </c>
    </row>
    <row r="108" ht="18.75" customHeight="1" s="904">
      <c r="A108" s="989" t="n"/>
      <c r="C108" s="991" t="n"/>
      <c r="D108" s="964" t="n"/>
      <c r="E108" s="15" t="inlineStr">
        <is>
          <t>100335135</t>
        </is>
      </c>
      <c r="F108" s="15" t="n"/>
      <c r="G108" s="16" t="n"/>
      <c r="H108" s="17" t="inlineStr">
        <is>
          <t>100332139+100335139</t>
        </is>
      </c>
      <c r="I108" s="636" t="n"/>
      <c r="J108" s="17" t="n"/>
      <c r="K108" s="589" t="inlineStr">
        <is>
          <t>млн куб.м</t>
        </is>
      </c>
    </row>
    <row r="109" ht="18.75" customHeight="1" s="904">
      <c r="A109" s="989" t="n"/>
      <c r="C109" s="991" t="inlineStr">
        <is>
          <t>3.1.2.</t>
        </is>
      </c>
      <c r="D109" s="983" t="inlineStr">
        <is>
          <t>ООО "Сервиснефтегаз" из нефти (конденсат)</t>
        </is>
      </c>
      <c r="E109" s="15" t="inlineStr">
        <is>
          <t>100335691</t>
        </is>
      </c>
      <c r="F109" s="15" t="n"/>
      <c r="G109" s="16" t="n"/>
      <c r="H109" s="17" t="inlineStr">
        <is>
          <t>100335693</t>
        </is>
      </c>
      <c r="I109" s="636" t="n"/>
      <c r="J109" s="17" t="n"/>
      <c r="K109" s="177" t="inlineStr">
        <is>
          <t>тыс. т</t>
        </is>
      </c>
    </row>
    <row r="110" ht="18.75" customHeight="1" s="904">
      <c r="A110" s="989" t="n"/>
      <c r="C110" s="981" t="n"/>
      <c r="D110" s="964" t="n"/>
      <c r="E110" s="15" t="inlineStr">
        <is>
          <t>100335692</t>
        </is>
      </c>
      <c r="F110" s="15" t="n"/>
      <c r="G110" s="16" t="n"/>
      <c r="H110" s="17" t="inlineStr">
        <is>
          <t>100335694</t>
        </is>
      </c>
      <c r="I110" s="636" t="n"/>
      <c r="J110" s="17" t="n"/>
      <c r="K110" s="591" t="inlineStr">
        <is>
          <t>млн куб.м</t>
        </is>
      </c>
    </row>
    <row r="111" ht="18.75" customHeight="1" s="904">
      <c r="A111" s="989" t="n"/>
      <c r="C111" s="991" t="inlineStr">
        <is>
          <t>3.1.3.</t>
        </is>
      </c>
      <c r="D111" s="979" t="inlineStr">
        <is>
          <t>ТОО "КазРосГаз", всего:</t>
        </is>
      </c>
      <c r="E111" s="15" t="inlineStr">
        <is>
          <t>100332118</t>
        </is>
      </c>
      <c r="F111" s="15" t="n"/>
      <c r="G111" s="16" t="n"/>
      <c r="H111" s="17" t="inlineStr">
        <is>
          <t>100332120+100332122</t>
        </is>
      </c>
      <c r="I111" s="636" t="n"/>
      <c r="J111" s="17" t="n"/>
      <c r="K111" s="175" t="inlineStr">
        <is>
          <t>тыс. т</t>
        </is>
      </c>
    </row>
    <row r="112" ht="18.75" customHeight="1" s="904">
      <c r="A112" s="989" t="n"/>
      <c r="C112" s="981" t="n"/>
      <c r="D112" s="964" t="n"/>
      <c r="E112" s="15" t="inlineStr">
        <is>
          <t>100332119</t>
        </is>
      </c>
      <c r="F112" s="15" t="n"/>
      <c r="G112" s="16" t="n"/>
      <c r="H112" s="17" t="inlineStr">
        <is>
          <t>100332121+100332123</t>
        </is>
      </c>
      <c r="I112" s="636" t="n"/>
      <c r="J112" s="17" t="n"/>
      <c r="K112" s="589" t="inlineStr">
        <is>
          <t>млн куб.м</t>
        </is>
      </c>
    </row>
    <row r="113" ht="18.75" customHeight="1" s="904">
      <c r="A113" s="989" t="n"/>
      <c r="C113" s="991" t="n"/>
      <c r="D113" s="1001" t="inlineStr">
        <is>
          <t xml:space="preserve"> - из газа КНГКМ</t>
        </is>
      </c>
      <c r="E113" s="15" t="inlineStr">
        <is>
          <t>100332120</t>
        </is>
      </c>
      <c r="F113" s="15" t="n"/>
      <c r="G113" s="16" t="n"/>
      <c r="H113" s="17" t="inlineStr">
        <is>
          <t>100332142+100332162</t>
        </is>
      </c>
      <c r="I113" s="636" t="n"/>
      <c r="J113" s="17" t="n"/>
      <c r="K113" s="175" t="inlineStr">
        <is>
          <t>тыс. т</t>
        </is>
      </c>
    </row>
    <row r="114" ht="18.75" customHeight="1" s="904">
      <c r="A114" s="989" t="n"/>
      <c r="C114" s="981" t="n"/>
      <c r="D114" s="964" t="n"/>
      <c r="E114" s="15" t="inlineStr">
        <is>
          <t>100332121</t>
        </is>
      </c>
      <c r="F114" s="15" t="n"/>
      <c r="G114" s="16" t="n"/>
      <c r="H114" s="17" t="inlineStr">
        <is>
          <t>100332143+100332163</t>
        </is>
      </c>
      <c r="I114" s="636" t="n"/>
      <c r="J114" s="17" t="n"/>
      <c r="K114" s="589" t="inlineStr">
        <is>
          <t>млн куб.м</t>
        </is>
      </c>
    </row>
    <row r="115" ht="18.75" customHeight="1" s="904">
      <c r="A115" s="989" t="n"/>
      <c r="C115" s="991" t="n"/>
      <c r="D115" s="1001" t="inlineStr">
        <is>
          <t xml:space="preserve"> - с У-01 АО "ЮУПК" из газа КНГКМ</t>
        </is>
      </c>
      <c r="E115" s="15" t="inlineStr">
        <is>
          <t>100332122</t>
        </is>
      </c>
      <c r="F115" s="15" t="n"/>
      <c r="G115" s="16" t="n"/>
      <c r="H115" s="17" t="inlineStr">
        <is>
          <t>100332146</t>
        </is>
      </c>
      <c r="I115" s="636" t="n"/>
      <c r="J115" s="17" t="n"/>
      <c r="K115" s="175" t="inlineStr">
        <is>
          <t>тыс. т</t>
        </is>
      </c>
    </row>
    <row r="116" ht="18.75" customHeight="1" s="904">
      <c r="A116" s="989" t="n"/>
      <c r="C116" s="981" t="n"/>
      <c r="D116" s="964" t="n"/>
      <c r="E116" s="15" t="inlineStr">
        <is>
          <t>100332123</t>
        </is>
      </c>
      <c r="F116" s="15" t="n"/>
      <c r="G116" s="16" t="n"/>
      <c r="H116" s="17" t="inlineStr">
        <is>
          <t>100332147</t>
        </is>
      </c>
      <c r="I116" s="636" t="n"/>
      <c r="J116" s="17" t="n"/>
      <c r="K116" s="589" t="inlineStr">
        <is>
          <t>млн куб.м</t>
        </is>
      </c>
    </row>
    <row r="117" ht="18.75" customHeight="1" s="904">
      <c r="A117" s="989" t="n"/>
      <c r="C117" s="991" t="n"/>
      <c r="D117" s="705" t="inlineStr">
        <is>
          <t>Справочно:</t>
        </is>
      </c>
      <c r="E117" s="15" t="n"/>
      <c r="F117" s="15" t="n"/>
      <c r="G117" s="16" t="n"/>
      <c r="H117" s="17" t="n"/>
      <c r="I117" s="636" t="n"/>
      <c r="J117" s="17" t="n"/>
      <c r="K117" s="175" t="n"/>
    </row>
    <row r="118" ht="24" customHeight="1" s="904">
      <c r="A118" s="989" t="n"/>
      <c r="C118" s="1000" t="n"/>
      <c r="D118" s="997" t="inlineStr">
        <is>
          <t>Сухой газ с ГПЗ, всего:</t>
        </is>
      </c>
      <c r="E118" s="15" t="inlineStr">
        <is>
          <t>100332130</t>
        </is>
      </c>
      <c r="F118" s="15" t="n"/>
      <c r="G118" s="16" t="n"/>
      <c r="H118" s="17" t="inlineStr">
        <is>
          <t>100332132+100332142+100335693</t>
        </is>
      </c>
      <c r="I118" s="636" t="n"/>
      <c r="J118" s="17" t="n"/>
      <c r="K118" s="178" t="inlineStr">
        <is>
          <t>тыс. т</t>
        </is>
      </c>
    </row>
    <row r="119" ht="24" customHeight="1" s="904">
      <c r="A119" s="989" t="n"/>
      <c r="C119" s="981" t="n"/>
      <c r="D119" s="964" t="n"/>
      <c r="E119" s="15" t="inlineStr">
        <is>
          <t>100332131</t>
        </is>
      </c>
      <c r="F119" s="15" t="n"/>
      <c r="G119" s="16" t="n"/>
      <c r="H119" s="17" t="inlineStr">
        <is>
          <t>100332133+100332143+100335694</t>
        </is>
      </c>
      <c r="I119" s="636" t="n"/>
      <c r="J119" s="17" t="n"/>
      <c r="K119" s="592" t="inlineStr">
        <is>
          <t>млн куб.м</t>
        </is>
      </c>
    </row>
    <row r="120" ht="24" customHeight="1" s="904">
      <c r="A120" s="989" t="n"/>
      <c r="C120" s="980" t="n"/>
      <c r="D120" s="983" t="inlineStr">
        <is>
          <t>ООО "Газпром переработка", всего:</t>
        </is>
      </c>
      <c r="E120" s="15" t="inlineStr">
        <is>
          <t>100332132</t>
        </is>
      </c>
      <c r="F120" s="15" t="n"/>
      <c r="G120" s="16" t="n"/>
      <c r="H120" s="17" t="inlineStr">
        <is>
          <t>100332134+100332136+100332138</t>
        </is>
      </c>
      <c r="I120" s="636" t="n"/>
      <c r="J120" s="17" t="n"/>
      <c r="K120" s="176" t="inlineStr">
        <is>
          <t>тыс. т</t>
        </is>
      </c>
    </row>
    <row r="121" ht="24" customHeight="1" s="904">
      <c r="A121" s="989" t="n"/>
      <c r="C121" s="981" t="n"/>
      <c r="D121" s="964" t="n"/>
      <c r="E121" s="15" t="inlineStr">
        <is>
          <t>100332133</t>
        </is>
      </c>
      <c r="F121" s="15" t="n"/>
      <c r="G121" s="16" t="n"/>
      <c r="H121" s="17" t="inlineStr">
        <is>
          <t>100332135+100332137+100332139</t>
        </is>
      </c>
      <c r="I121" s="636" t="n"/>
      <c r="J121" s="17" t="n"/>
      <c r="K121" s="590" t="inlineStr">
        <is>
          <t>млн куб.м</t>
        </is>
      </c>
    </row>
    <row r="122" ht="18.75" customHeight="1" s="904">
      <c r="A122" s="989" t="n"/>
      <c r="C122" s="980" t="n"/>
      <c r="D122" s="983" t="inlineStr">
        <is>
          <t xml:space="preserve"> - из сырья ООО "Газпром добыча Оренбург"</t>
        </is>
      </c>
      <c r="E122" s="15" t="inlineStr">
        <is>
          <t>100332134</t>
        </is>
      </c>
      <c r="F122" s="15" t="n"/>
      <c r="G122" s="16" t="n"/>
      <c r="H122" s="17" t="n"/>
      <c r="I122" s="636" t="n"/>
      <c r="J122" s="17" t="n"/>
      <c r="K122" s="176" t="inlineStr">
        <is>
          <t>тыс. т</t>
        </is>
      </c>
    </row>
    <row r="123" ht="18.75" customHeight="1" s="904">
      <c r="A123" s="989" t="n"/>
      <c r="C123" s="981" t="n"/>
      <c r="D123" s="964" t="n"/>
      <c r="E123" s="15" t="inlineStr">
        <is>
          <t>100332135</t>
        </is>
      </c>
      <c r="F123" s="15" t="n"/>
      <c r="G123" s="16" t="n"/>
      <c r="H123" s="17" t="n"/>
      <c r="I123" s="636" t="n"/>
      <c r="J123" s="17" t="n"/>
      <c r="K123" s="590" t="inlineStr">
        <is>
          <t>млн куб.м</t>
        </is>
      </c>
    </row>
    <row r="124" ht="18.75" customHeight="1" s="904">
      <c r="A124" s="989" t="n"/>
      <c r="C124" s="980" t="n"/>
      <c r="D124" s="983" t="inlineStr">
        <is>
          <t xml:space="preserve"> - из сырья ПАО "Газпром нефть"</t>
        </is>
      </c>
      <c r="E124" s="15" t="inlineStr">
        <is>
          <t>100332136</t>
        </is>
      </c>
      <c r="F124" s="15" t="n"/>
      <c r="G124" s="16" t="n"/>
      <c r="H124" s="17" t="n"/>
      <c r="I124" s="636" t="n"/>
      <c r="J124" s="17" t="n"/>
      <c r="K124" s="176" t="inlineStr">
        <is>
          <t>тыс. т</t>
        </is>
      </c>
    </row>
    <row r="125" ht="18.75" customHeight="1" s="904">
      <c r="A125" s="989" t="n"/>
      <c r="C125" s="981" t="n"/>
      <c r="D125" s="964" t="n"/>
      <c r="E125" s="15" t="inlineStr">
        <is>
          <t>100332137</t>
        </is>
      </c>
      <c r="F125" s="15" t="n"/>
      <c r="G125" s="16" t="n"/>
      <c r="H125" s="17" t="n"/>
      <c r="I125" s="636" t="n"/>
      <c r="J125" s="17" t="n"/>
      <c r="K125" s="590" t="inlineStr">
        <is>
          <t>млн куб.м</t>
        </is>
      </c>
    </row>
    <row r="126" ht="18.75" customHeight="1" s="904">
      <c r="A126" s="989" t="n"/>
      <c r="C126" s="980" t="n"/>
      <c r="D126" s="983" t="inlineStr">
        <is>
          <t xml:space="preserve"> - из  сырья Прочих поставщиков</t>
        </is>
      </c>
      <c r="E126" s="15" t="inlineStr">
        <is>
          <t>100332138</t>
        </is>
      </c>
      <c r="F126" s="15" t="n"/>
      <c r="G126" s="16" t="n"/>
      <c r="H126" s="17" t="n"/>
      <c r="I126" s="636" t="n"/>
      <c r="J126" s="17" t="n"/>
      <c r="K126" s="176" t="inlineStr">
        <is>
          <t>тыс. т</t>
        </is>
      </c>
    </row>
    <row r="127" ht="18.75" customHeight="1" s="904">
      <c r="A127" s="989" t="n"/>
      <c r="C127" s="981" t="n"/>
      <c r="D127" s="964" t="n"/>
      <c r="E127" s="15" t="inlineStr">
        <is>
          <t>100332139</t>
        </is>
      </c>
      <c r="F127" s="15" t="n"/>
      <c r="G127" s="16" t="n"/>
      <c r="H127" s="17" t="n"/>
      <c r="I127" s="636" t="n"/>
      <c r="J127" s="17" t="n"/>
      <c r="K127" s="590" t="inlineStr">
        <is>
          <t>млн куб.м</t>
        </is>
      </c>
    </row>
    <row r="128" ht="18.75" customHeight="1" s="904">
      <c r="A128" s="989" t="n"/>
      <c r="C128" s="980" t="n"/>
      <c r="D128" s="1004" t="inlineStr">
        <is>
          <t>в т.ч. из жидких углеводородов Прочих поставщиков</t>
        </is>
      </c>
      <c r="E128" s="15" t="inlineStr">
        <is>
          <t>100335000</t>
        </is>
      </c>
      <c r="F128" s="15" t="n"/>
      <c r="G128" s="16" t="n"/>
      <c r="H128" s="17" t="n"/>
      <c r="I128" s="636" t="n"/>
      <c r="J128" s="17" t="n"/>
      <c r="K128" s="176" t="inlineStr">
        <is>
          <t>тыс. т</t>
        </is>
      </c>
    </row>
    <row r="129" ht="18.75" customHeight="1" s="904">
      <c r="A129" s="989" t="n"/>
      <c r="C129" s="980" t="n"/>
      <c r="D129" s="964" t="n"/>
      <c r="E129" s="15" t="inlineStr">
        <is>
          <t>100335001</t>
        </is>
      </c>
      <c r="F129" s="15" t="n"/>
      <c r="G129" s="16" t="n"/>
      <c r="H129" s="17" t="n"/>
      <c r="I129" s="636" t="n"/>
      <c r="J129" s="17" t="n"/>
      <c r="K129" s="590" t="inlineStr">
        <is>
          <t>млн куб.м</t>
        </is>
      </c>
    </row>
    <row r="130" ht="18.75" customHeight="1" s="904">
      <c r="A130" s="989" t="n"/>
      <c r="C130" s="980" t="n"/>
      <c r="D130" s="983" t="inlineStr">
        <is>
          <t>ООО "Сервиснефтегаз" из нефти (конденсат)</t>
        </is>
      </c>
      <c r="E130" s="15" t="inlineStr">
        <is>
          <t>100335693</t>
        </is>
      </c>
      <c r="F130" s="15" t="n"/>
      <c r="G130" s="16" t="n"/>
      <c r="H130" s="17" t="n"/>
      <c r="I130" s="636" t="n"/>
      <c r="J130" s="17" t="n"/>
      <c r="K130" s="176" t="inlineStr">
        <is>
          <t>тыс. т</t>
        </is>
      </c>
    </row>
    <row r="131" ht="18.75" customHeight="1" s="904">
      <c r="A131" s="989" t="n"/>
      <c r="C131" s="980" t="n"/>
      <c r="D131" s="964" t="n"/>
      <c r="E131" s="15" t="inlineStr">
        <is>
          <t>100335694</t>
        </is>
      </c>
      <c r="F131" s="15" t="n"/>
      <c r="G131" s="16" t="n"/>
      <c r="H131" s="17" t="n"/>
      <c r="I131" s="636" t="n"/>
      <c r="J131" s="17" t="n"/>
      <c r="K131" s="590" t="inlineStr">
        <is>
          <t>млн куб.м</t>
        </is>
      </c>
    </row>
    <row r="132" ht="18.75" customHeight="1" s="904">
      <c r="A132" s="989" t="n"/>
      <c r="C132" s="980" t="n"/>
      <c r="D132" s="983" t="inlineStr">
        <is>
          <t>ТОО "КазРосГаз", всего</t>
        </is>
      </c>
      <c r="E132" s="15" t="inlineStr">
        <is>
          <t>100332142</t>
        </is>
      </c>
      <c r="F132" s="15" t="n"/>
      <c r="G132" s="16" t="n"/>
      <c r="H132" s="17" t="inlineStr">
        <is>
          <t>100332144+100332146</t>
        </is>
      </c>
      <c r="I132" s="636" t="n"/>
      <c r="J132" s="17" t="n"/>
      <c r="K132" s="176" t="inlineStr">
        <is>
          <t>тыс. т</t>
        </is>
      </c>
    </row>
    <row r="133" ht="18.75" customHeight="1" s="904">
      <c r="A133" s="989" t="n"/>
      <c r="C133" s="980" t="n"/>
      <c r="D133" s="964" t="n"/>
      <c r="E133" s="15" t="inlineStr">
        <is>
          <t>100332143</t>
        </is>
      </c>
      <c r="F133" s="15" t="n"/>
      <c r="G133" s="16" t="n"/>
      <c r="H133" s="17" t="inlineStr">
        <is>
          <t>100332145+100332147</t>
        </is>
      </c>
      <c r="I133" s="636" t="n"/>
      <c r="J133" s="17" t="n"/>
      <c r="K133" s="590" t="inlineStr">
        <is>
          <t>млн куб.м</t>
        </is>
      </c>
    </row>
    <row r="134" ht="18.75" customHeight="1" s="904">
      <c r="A134" s="989" t="n"/>
      <c r="C134" s="980" t="n"/>
      <c r="D134" s="986" t="inlineStr">
        <is>
          <t xml:space="preserve"> - из сырья КНГКМ </t>
        </is>
      </c>
      <c r="E134" s="15" t="inlineStr">
        <is>
          <t>100332144</t>
        </is>
      </c>
      <c r="F134" s="15" t="n"/>
      <c r="G134" s="16" t="n"/>
      <c r="H134" s="17" t="n"/>
      <c r="I134" s="636" t="n"/>
      <c r="J134" s="17" t="n"/>
      <c r="K134" s="176" t="inlineStr">
        <is>
          <t>тыс. т</t>
        </is>
      </c>
    </row>
    <row r="135" ht="18.75" customHeight="1" s="904">
      <c r="A135" s="989" t="n"/>
      <c r="C135" s="980" t="n"/>
      <c r="D135" s="964" t="n"/>
      <c r="E135" s="15" t="inlineStr">
        <is>
          <t>100332145</t>
        </is>
      </c>
      <c r="F135" s="15" t="n"/>
      <c r="G135" s="16" t="n"/>
      <c r="H135" s="17" t="n"/>
      <c r="I135" s="636" t="n"/>
      <c r="J135" s="17" t="n"/>
      <c r="K135" s="590" t="inlineStr">
        <is>
          <t>млн куб.м</t>
        </is>
      </c>
    </row>
    <row r="136" ht="18.75" customHeight="1" s="904">
      <c r="A136" s="989" t="n"/>
      <c r="C136" s="980" t="n"/>
      <c r="D136" s="986" t="inlineStr">
        <is>
          <t xml:space="preserve"> - с У-01 АО "ЮУПК" из газа КНГКМ</t>
        </is>
      </c>
      <c r="E136" s="15" t="inlineStr">
        <is>
          <t>100332146</t>
        </is>
      </c>
      <c r="F136" s="15" t="n"/>
      <c r="G136" s="16" t="n"/>
      <c r="H136" s="17" t="n"/>
      <c r="I136" s="636" t="n"/>
      <c r="J136" s="17" t="n"/>
      <c r="K136" s="176" t="inlineStr">
        <is>
          <t>тыс. т</t>
        </is>
      </c>
    </row>
    <row r="137" ht="18.75" customHeight="1" s="904">
      <c r="A137" s="989" t="n"/>
      <c r="C137" s="980" t="n"/>
      <c r="D137" s="964" t="n"/>
      <c r="E137" s="15" t="inlineStr">
        <is>
          <t>100332147</t>
        </is>
      </c>
      <c r="F137" s="15" t="n"/>
      <c r="G137" s="16" t="n"/>
      <c r="H137" s="17" t="n"/>
      <c r="I137" s="636" t="n"/>
      <c r="J137" s="17" t="n"/>
      <c r="K137" s="590" t="inlineStr">
        <is>
          <t>млн куб.м</t>
        </is>
      </c>
    </row>
    <row r="138" ht="18.75" customHeight="1" s="904">
      <c r="A138" s="989" t="n"/>
      <c r="C138" s="1000" t="n"/>
      <c r="D138" s="997" t="inlineStr">
        <is>
          <t>Сухой газ с ГЗ, всего:</t>
        </is>
      </c>
      <c r="E138" s="15" t="inlineStr">
        <is>
          <t>100332154</t>
        </is>
      </c>
      <c r="F138" s="15" t="n"/>
      <c r="G138" s="16" t="n"/>
      <c r="H138" s="17" t="inlineStr">
        <is>
          <t>100332156+100332162</t>
        </is>
      </c>
      <c r="I138" s="636" t="n"/>
      <c r="J138" s="17" t="n"/>
      <c r="K138" s="178" t="inlineStr">
        <is>
          <t>тыс. т</t>
        </is>
      </c>
    </row>
    <row r="139" ht="18.75" customHeight="1" s="904">
      <c r="A139" s="989" t="n"/>
      <c r="C139" s="1000" t="n"/>
      <c r="D139" s="964" t="n"/>
      <c r="E139" s="15" t="inlineStr">
        <is>
          <t>100332155</t>
        </is>
      </c>
      <c r="F139" s="15" t="n"/>
      <c r="G139" s="16" t="n"/>
      <c r="H139" s="17" t="inlineStr">
        <is>
          <t>100332157+100332163</t>
        </is>
      </c>
      <c r="I139" s="636" t="n"/>
      <c r="J139" s="17" t="n"/>
      <c r="K139" s="592" t="inlineStr">
        <is>
          <t>млн куб.м</t>
        </is>
      </c>
    </row>
    <row r="140" ht="24" customHeight="1" s="904">
      <c r="A140" s="989" t="n"/>
      <c r="C140" s="980" t="n"/>
      <c r="D140" s="983" t="inlineStr">
        <is>
          <t>ООО "Газпром переработка", всего:</t>
        </is>
      </c>
      <c r="E140" s="15" t="inlineStr">
        <is>
          <t>100332156</t>
        </is>
      </c>
      <c r="F140" s="15" t="n"/>
      <c r="G140" s="16" t="n"/>
      <c r="H140" s="17" t="inlineStr">
        <is>
          <t>100332158+100332160+100335138</t>
        </is>
      </c>
      <c r="I140" s="636" t="n"/>
      <c r="J140" s="17" t="n"/>
      <c r="K140" s="176" t="inlineStr">
        <is>
          <t>тыс. т</t>
        </is>
      </c>
    </row>
    <row r="141" ht="24" customHeight="1" s="904">
      <c r="A141" s="989" t="n"/>
      <c r="C141" s="980" t="n"/>
      <c r="D141" s="964" t="n"/>
      <c r="E141" s="15" t="inlineStr">
        <is>
          <t>100332157</t>
        </is>
      </c>
      <c r="F141" s="15" t="n"/>
      <c r="G141" s="16" t="n"/>
      <c r="H141" s="17" t="inlineStr">
        <is>
          <t>100332159+100332161+100335139</t>
        </is>
      </c>
      <c r="I141" s="636" t="n"/>
      <c r="J141" s="17" t="n"/>
      <c r="K141" s="590" t="inlineStr">
        <is>
          <t>млн куб.м</t>
        </is>
      </c>
    </row>
    <row r="142" ht="18.75" customHeight="1" s="904">
      <c r="A142" s="989" t="n"/>
      <c r="C142" s="980" t="n"/>
      <c r="D142" s="998" t="inlineStr">
        <is>
          <t>в т.ч. для транспортировки через МГ "Совхозное"</t>
        </is>
      </c>
      <c r="E142" s="15" t="inlineStr">
        <is>
          <t>100335332</t>
        </is>
      </c>
      <c r="F142" s="15" t="n"/>
      <c r="G142" s="16" t="n"/>
      <c r="H142" s="17" t="n"/>
      <c r="I142" s="636" t="n"/>
      <c r="J142" s="17" t="n"/>
      <c r="K142" s="176" t="inlineStr">
        <is>
          <t>тыс. т</t>
        </is>
      </c>
    </row>
    <row r="143" ht="18.75" customHeight="1" s="904">
      <c r="A143" s="989" t="n"/>
      <c r="C143" s="980" t="n"/>
      <c r="D143" s="964" t="n"/>
      <c r="E143" s="15" t="inlineStr">
        <is>
          <t>100335333</t>
        </is>
      </c>
      <c r="F143" s="15" t="n"/>
      <c r="G143" s="16" t="n"/>
      <c r="H143" s="17" t="n"/>
      <c r="I143" s="636" t="n"/>
      <c r="J143" s="17" t="n"/>
      <c r="K143" s="590" t="inlineStr">
        <is>
          <t>млн куб.м</t>
        </is>
      </c>
    </row>
    <row r="144" ht="18.75" customHeight="1" s="904">
      <c r="A144" s="989" t="n"/>
      <c r="C144" s="980" t="n"/>
      <c r="D144" s="983" t="inlineStr">
        <is>
          <t xml:space="preserve"> - из сырья ООО "Газпром добыча Оренбург"</t>
        </is>
      </c>
      <c r="E144" s="15" t="inlineStr">
        <is>
          <t>100332158</t>
        </is>
      </c>
      <c r="F144" s="15" t="n"/>
      <c r="G144" s="16" t="n"/>
      <c r="H144" s="17" t="n"/>
      <c r="I144" s="636" t="n"/>
      <c r="J144" s="17" t="n"/>
      <c r="K144" s="176" t="inlineStr">
        <is>
          <t>тыс. т</t>
        </is>
      </c>
    </row>
    <row r="145" ht="18.75" customHeight="1" s="904">
      <c r="A145" s="989" t="n"/>
      <c r="C145" s="980" t="n"/>
      <c r="D145" s="964" t="n"/>
      <c r="E145" s="15" t="inlineStr">
        <is>
          <t>100332159</t>
        </is>
      </c>
      <c r="F145" s="15" t="n"/>
      <c r="G145" s="16" t="n"/>
      <c r="H145" s="17" t="n"/>
      <c r="I145" s="636" t="n"/>
      <c r="J145" s="17" t="n"/>
      <c r="K145" s="590" t="inlineStr">
        <is>
          <t>млн куб.м</t>
        </is>
      </c>
    </row>
    <row r="146" ht="18.75" customHeight="1" s="904">
      <c r="A146" s="989" t="n"/>
      <c r="C146" s="980" t="n"/>
      <c r="D146" s="983" t="inlineStr">
        <is>
          <t xml:space="preserve"> - из сырья ПАО "Газпром нефть"</t>
        </is>
      </c>
      <c r="E146" s="15" t="inlineStr">
        <is>
          <t>100332160</t>
        </is>
      </c>
      <c r="F146" s="15" t="n"/>
      <c r="G146" s="16" t="n"/>
      <c r="H146" s="17" t="n"/>
      <c r="I146" s="636" t="n"/>
      <c r="J146" s="17" t="n"/>
      <c r="K146" s="176" t="inlineStr">
        <is>
          <t>тыс. т</t>
        </is>
      </c>
    </row>
    <row r="147" ht="18.75" customHeight="1" s="904">
      <c r="A147" s="989" t="n"/>
      <c r="C147" s="980" t="n"/>
      <c r="D147" s="964" t="n"/>
      <c r="E147" s="15" t="inlineStr">
        <is>
          <t>100332161</t>
        </is>
      </c>
      <c r="F147" s="15" t="n"/>
      <c r="G147" s="16" t="n"/>
      <c r="H147" s="17" t="n"/>
      <c r="I147" s="636" t="n"/>
      <c r="J147" s="17" t="n"/>
      <c r="K147" s="590" t="inlineStr">
        <is>
          <t>млн куб.м</t>
        </is>
      </c>
    </row>
    <row r="148" ht="18.75" customHeight="1" s="904">
      <c r="A148" s="989" t="n"/>
      <c r="C148" s="980" t="n"/>
      <c r="D148" s="983" t="inlineStr">
        <is>
          <t xml:space="preserve"> - из газа Прочих поставщиков </t>
        </is>
      </c>
      <c r="E148" s="15" t="inlineStr">
        <is>
          <t>100335138</t>
        </is>
      </c>
      <c r="F148" s="15" t="n"/>
      <c r="G148" s="16" t="n"/>
      <c r="H148" s="17" t="n"/>
      <c r="I148" s="636" t="n"/>
      <c r="J148" s="17" t="n"/>
      <c r="K148" s="175" t="inlineStr">
        <is>
          <t>тыс. т</t>
        </is>
      </c>
    </row>
    <row r="149" ht="18.75" customHeight="1" s="904">
      <c r="A149" s="989" t="n"/>
      <c r="C149" s="980" t="n"/>
      <c r="D149" s="964" t="n"/>
      <c r="E149" s="15" t="inlineStr">
        <is>
          <t>100335139</t>
        </is>
      </c>
      <c r="F149" s="15" t="n"/>
      <c r="G149" s="16" t="n"/>
      <c r="H149" s="17" t="n"/>
      <c r="I149" s="636" t="n"/>
      <c r="J149" s="17" t="n"/>
      <c r="K149" s="589" t="inlineStr">
        <is>
          <t>млн куб.м</t>
        </is>
      </c>
    </row>
    <row r="150" ht="18.75" customHeight="1" s="904">
      <c r="A150" s="989" t="n"/>
      <c r="C150" s="980" t="n"/>
      <c r="D150" s="983" t="inlineStr">
        <is>
          <t>ТОО "КазРосГаз"</t>
        </is>
      </c>
      <c r="E150" s="15" t="inlineStr">
        <is>
          <t>100332162</t>
        </is>
      </c>
      <c r="F150" s="15" t="n"/>
      <c r="G150" s="16" t="n"/>
      <c r="H150" s="17" t="n"/>
      <c r="I150" s="636" t="n"/>
      <c r="J150" s="17" t="n"/>
      <c r="K150" s="176" t="inlineStr">
        <is>
          <t>тыс. т</t>
        </is>
      </c>
    </row>
    <row r="151" ht="18.75" customHeight="1" s="904">
      <c r="A151" s="989" t="n"/>
      <c r="C151" s="981" t="n"/>
      <c r="D151" s="964" t="n"/>
      <c r="E151" s="15" t="inlineStr">
        <is>
          <t>100332163</t>
        </is>
      </c>
      <c r="F151" s="15" t="n"/>
      <c r="G151" s="16" t="n"/>
      <c r="H151" s="17" t="n"/>
      <c r="I151" s="636" t="n"/>
      <c r="J151" s="17" t="n"/>
      <c r="K151" s="590" t="inlineStr">
        <is>
          <t>млн куб.м</t>
        </is>
      </c>
    </row>
    <row r="152" ht="18.75" customHeight="1" s="904">
      <c r="A152" s="989" t="n"/>
      <c r="C152" s="980" t="n"/>
      <c r="D152" s="983" t="inlineStr">
        <is>
          <t>СПРАВОЧНО:</t>
        </is>
      </c>
      <c r="E152" s="15" t="n"/>
      <c r="F152" s="15" t="n"/>
      <c r="G152" s="16" t="n"/>
      <c r="H152" s="17" t="n"/>
      <c r="I152" s="636" t="n"/>
      <c r="J152" s="17" t="n"/>
      <c r="K152" s="590" t="n"/>
    </row>
    <row r="153" ht="15.75" customHeight="1" s="904">
      <c r="A153" s="989" t="n"/>
      <c r="C153" s="980" t="n"/>
      <c r="D153" s="993" t="inlineStr">
        <is>
          <t>ГАЗ ПРИРОДНЫЙ СУХОЙ ОТБЕНЗИНЕННЫЙ, ВСЕГО:</t>
        </is>
      </c>
      <c r="E153" s="15" t="inlineStr">
        <is>
          <t>100335004</t>
        </is>
      </c>
      <c r="F153" s="15" t="n"/>
      <c r="G153" s="16" t="n"/>
      <c r="H153" s="17" t="inlineStr">
        <is>
          <t>100335006+100335008+100335010+100335012+100335014+100335016+100335018</t>
        </is>
      </c>
      <c r="I153" s="636" t="n"/>
      <c r="J153" s="17" t="n"/>
      <c r="K153" s="176" t="inlineStr">
        <is>
          <t>тыс. т</t>
        </is>
      </c>
    </row>
    <row r="154" ht="36" customHeight="1" s="904">
      <c r="A154" s="989" t="n"/>
      <c r="C154" s="980" t="n"/>
      <c r="D154" s="964" t="n"/>
      <c r="E154" s="15" t="inlineStr">
        <is>
          <t>100335005</t>
        </is>
      </c>
      <c r="F154" s="15" t="n"/>
      <c r="G154" s="16" t="n"/>
      <c r="H154" s="17" t="inlineStr">
        <is>
          <t>100335007+100335009+100335011+100335013+100335015+100335017+100335019</t>
        </is>
      </c>
      <c r="I154" s="636" t="n"/>
      <c r="J154" s="17" t="n"/>
      <c r="K154" s="590" t="inlineStr">
        <is>
          <t>млн куб.м</t>
        </is>
      </c>
    </row>
    <row r="155" ht="18.75" customHeight="1" s="904">
      <c r="A155" s="989" t="n"/>
      <c r="C155" s="980" t="n"/>
      <c r="D155" s="983" t="inlineStr">
        <is>
          <t>в т.ч. в газотранспортную систему с ГПЗ</t>
        </is>
      </c>
      <c r="E155" s="15" t="inlineStr">
        <is>
          <t>100335006</t>
        </is>
      </c>
      <c r="F155" s="15" t="n"/>
      <c r="G155" s="16" t="n"/>
      <c r="H155" s="17" t="n"/>
      <c r="I155" s="636" t="n"/>
      <c r="J155" s="17" t="n"/>
      <c r="K155" s="176" t="inlineStr">
        <is>
          <t>тыс. т</t>
        </is>
      </c>
    </row>
    <row r="156" ht="18.75" customHeight="1" s="904">
      <c r="A156" s="989" t="n"/>
      <c r="C156" s="980" t="n"/>
      <c r="D156" s="964" t="n"/>
      <c r="E156" s="15" t="inlineStr">
        <is>
          <t>100335007</t>
        </is>
      </c>
      <c r="F156" s="15" t="n"/>
      <c r="G156" s="16" t="n"/>
      <c r="H156" s="17" t="n"/>
      <c r="I156" s="636" t="n"/>
      <c r="J156" s="17" t="n"/>
      <c r="K156" s="590" t="inlineStr">
        <is>
          <t>млн куб.м</t>
        </is>
      </c>
    </row>
    <row r="157" ht="18.75" customHeight="1" s="904">
      <c r="A157" s="989" t="n"/>
      <c r="C157" s="980" t="n"/>
      <c r="D157" s="983" t="inlineStr">
        <is>
          <t>в т.ч. в газотранспортную систему с ГЗ</t>
        </is>
      </c>
      <c r="E157" s="15" t="inlineStr">
        <is>
          <t>100335008</t>
        </is>
      </c>
      <c r="F157" s="15" t="n"/>
      <c r="G157" s="16" t="n"/>
      <c r="H157" s="17" t="n"/>
      <c r="I157" s="636" t="n"/>
      <c r="J157" s="17" t="n"/>
      <c r="K157" s="176" t="inlineStr">
        <is>
          <t>тыс. т</t>
        </is>
      </c>
    </row>
    <row r="158" ht="18.75" customHeight="1" s="904">
      <c r="A158" s="989" t="n"/>
      <c r="C158" s="980" t="n"/>
      <c r="D158" s="964" t="n"/>
      <c r="E158" s="15" t="inlineStr">
        <is>
          <t>100335009</t>
        </is>
      </c>
      <c r="F158" s="15" t="n"/>
      <c r="G158" s="16" t="n"/>
      <c r="H158" s="17" t="n"/>
      <c r="I158" s="636" t="n"/>
      <c r="J158" s="17" t="n"/>
      <c r="K158" s="590" t="inlineStr">
        <is>
          <t>млн куб.м</t>
        </is>
      </c>
    </row>
    <row r="159" ht="18.75" customHeight="1" s="904">
      <c r="A159" s="989" t="n"/>
      <c r="C159" s="980" t="n"/>
      <c r="D159" s="983" t="inlineStr">
        <is>
          <t>в т.ч. поставка на КТЭЦ с ГПЗ</t>
        </is>
      </c>
      <c r="E159" s="15" t="inlineStr">
        <is>
          <t>100335010</t>
        </is>
      </c>
      <c r="F159" s="15" t="n"/>
      <c r="G159" s="16" t="n"/>
      <c r="H159" s="17" t="n"/>
      <c r="I159" s="636" t="n"/>
      <c r="J159" s="17" t="n"/>
      <c r="K159" s="176" t="inlineStr">
        <is>
          <t>тыс. т</t>
        </is>
      </c>
    </row>
    <row r="160" ht="18.75" customHeight="1" s="904">
      <c r="A160" s="989" t="n"/>
      <c r="C160" s="980" t="n"/>
      <c r="D160" s="964" t="n"/>
      <c r="E160" s="15" t="inlineStr">
        <is>
          <t>100335011</t>
        </is>
      </c>
      <c r="F160" s="15" t="n"/>
      <c r="G160" s="16" t="n"/>
      <c r="H160" s="17" t="n"/>
      <c r="I160" s="636" t="n"/>
      <c r="J160" s="17" t="n"/>
      <c r="K160" s="590" t="inlineStr">
        <is>
          <t>млн куб.м</t>
        </is>
      </c>
    </row>
    <row r="161" ht="18.75" customHeight="1" s="904">
      <c r="A161" s="989" t="n"/>
      <c r="C161" s="980" t="n"/>
      <c r="D161" s="983" t="inlineStr">
        <is>
          <t>в т.ч. поставка на КТЭЦ с ГЗ</t>
        </is>
      </c>
      <c r="E161" s="15" t="inlineStr">
        <is>
          <t>100335012</t>
        </is>
      </c>
      <c r="F161" s="15" t="n"/>
      <c r="G161" s="16" t="n"/>
      <c r="H161" s="17" t="n"/>
      <c r="I161" s="636" t="n"/>
      <c r="J161" s="17" t="n"/>
      <c r="K161" s="176" t="inlineStr">
        <is>
          <t>тыс. т</t>
        </is>
      </c>
    </row>
    <row r="162" ht="18.75" customHeight="1" s="904">
      <c r="A162" s="989" t="n"/>
      <c r="C162" s="980" t="n"/>
      <c r="D162" s="964" t="n"/>
      <c r="E162" s="15" t="inlineStr">
        <is>
          <t>100335013</t>
        </is>
      </c>
      <c r="F162" s="15" t="n"/>
      <c r="G162" s="16" t="n"/>
      <c r="H162" s="17" t="n"/>
      <c r="I162" s="636" t="n"/>
      <c r="J162" s="17" t="n"/>
      <c r="K162" s="590" t="inlineStr">
        <is>
          <t>млн куб.м</t>
        </is>
      </c>
    </row>
    <row r="163" ht="18.75" customHeight="1" s="904">
      <c r="A163" s="989" t="n"/>
      <c r="C163" s="980" t="n"/>
      <c r="D163" s="983" t="inlineStr">
        <is>
          <t>в т.ч. на СТН  ООО "Газпром переработка" ГПЗ</t>
        </is>
      </c>
      <c r="E163" s="15" t="inlineStr">
        <is>
          <t>100335014</t>
        </is>
      </c>
      <c r="F163" s="15" t="n"/>
      <c r="G163" s="16" t="n"/>
      <c r="H163" s="17" t="n"/>
      <c r="I163" s="636" t="n"/>
      <c r="J163" s="17" t="n"/>
      <c r="K163" s="176" t="inlineStr">
        <is>
          <t>тыс. т</t>
        </is>
      </c>
    </row>
    <row r="164" ht="18.75" customHeight="1" s="904">
      <c r="A164" s="989" t="n"/>
      <c r="C164" s="980" t="n"/>
      <c r="D164" s="964" t="n"/>
      <c r="E164" s="15" t="inlineStr">
        <is>
          <t>100335015</t>
        </is>
      </c>
      <c r="F164" s="15" t="n"/>
      <c r="G164" s="16" t="n"/>
      <c r="H164" s="17" t="n"/>
      <c r="I164" s="636" t="n"/>
      <c r="J164" s="17" t="n"/>
      <c r="K164" s="590" t="inlineStr">
        <is>
          <t>млн куб.м</t>
        </is>
      </c>
    </row>
    <row r="165" ht="18.75" customHeight="1" s="904">
      <c r="A165" s="989" t="n"/>
      <c r="C165" s="980" t="n"/>
      <c r="D165" s="983" t="inlineStr">
        <is>
          <t>в т.ч. на СТН  ООО "Газпром переработка" ГЗ</t>
        </is>
      </c>
      <c r="E165" s="15" t="inlineStr">
        <is>
          <t>100335016</t>
        </is>
      </c>
      <c r="F165" s="15" t="n"/>
      <c r="G165" s="16" t="n"/>
      <c r="H165" s="17" t="n"/>
      <c r="I165" s="636" t="n"/>
      <c r="J165" s="17" t="n"/>
      <c r="K165" s="176" t="inlineStr">
        <is>
          <t>тыс. т</t>
        </is>
      </c>
    </row>
    <row r="166" ht="18.75" customHeight="1" s="904">
      <c r="A166" s="989" t="n"/>
      <c r="C166" s="980" t="n"/>
      <c r="D166" s="964" t="n"/>
      <c r="E166" s="15" t="inlineStr">
        <is>
          <t>100335017</t>
        </is>
      </c>
      <c r="F166" s="15" t="n"/>
      <c r="G166" s="16" t="n"/>
      <c r="H166" s="17" t="n"/>
      <c r="I166" s="636" t="n"/>
      <c r="J166" s="17" t="n"/>
      <c r="K166" s="590" t="inlineStr">
        <is>
          <t>млн куб.м</t>
        </is>
      </c>
    </row>
    <row r="167" ht="18.75" customHeight="1" s="904">
      <c r="A167" s="989" t="n"/>
      <c r="C167" s="980" t="n"/>
      <c r="D167" s="983" t="inlineStr">
        <is>
          <t>в т.ч. на СТН газодобывающих обществ</t>
        </is>
      </c>
      <c r="E167" s="15" t="inlineStr">
        <is>
          <t>100335018</t>
        </is>
      </c>
      <c r="F167" s="15" t="n"/>
      <c r="G167" s="16" t="n"/>
      <c r="H167" s="17" t="n"/>
      <c r="I167" s="636" t="n"/>
      <c r="J167" s="17" t="n"/>
      <c r="K167" s="176" t="inlineStr">
        <is>
          <t>тыс. т</t>
        </is>
      </c>
    </row>
    <row r="168" ht="18.75" customHeight="1" s="904">
      <c r="A168" s="989" t="n"/>
      <c r="C168" s="980" t="n"/>
      <c r="D168" s="964" t="n"/>
      <c r="E168" s="15" t="inlineStr">
        <is>
          <t>100335019</t>
        </is>
      </c>
      <c r="F168" s="15" t="n"/>
      <c r="G168" s="16" t="n"/>
      <c r="H168" s="17" t="n"/>
      <c r="I168" s="636" t="n"/>
      <c r="J168" s="17" t="n"/>
      <c r="K168" s="590" t="inlineStr">
        <is>
          <t>млн куб.м</t>
        </is>
      </c>
    </row>
    <row r="169" ht="18.75" customHeight="1" s="904">
      <c r="A169" s="989" t="n"/>
      <c r="C169" s="980" t="n"/>
      <c r="D169" s="983" t="inlineStr">
        <is>
          <t xml:space="preserve"> ГАЗ ПРИРОДНЫЙ СУХОЙ ОТБЕНЗИНЕННЫЙ на СТН ГП переработка ГПЗ (ООО "Сервиснефтегаз")</t>
        </is>
      </c>
      <c r="E169" s="15" t="inlineStr">
        <is>
          <t>100335695</t>
        </is>
      </c>
      <c r="F169" s="15" t="n"/>
      <c r="G169" s="16" t="n"/>
      <c r="H169" s="17" t="n"/>
      <c r="I169" s="636" t="n"/>
      <c r="J169" s="17" t="n"/>
      <c r="K169" s="590" t="inlineStr">
        <is>
          <t>тыс. т</t>
        </is>
      </c>
    </row>
    <row r="170" ht="18.75" customHeight="1" s="904">
      <c r="A170" s="989" t="n"/>
      <c r="C170" s="980" t="n"/>
      <c r="D170" s="964" t="n"/>
      <c r="E170" s="15" t="inlineStr">
        <is>
          <t>100335696</t>
        </is>
      </c>
      <c r="F170" s="15" t="n"/>
      <c r="G170" s="16" t="n"/>
      <c r="H170" s="17" t="n"/>
      <c r="I170" s="636" t="n"/>
      <c r="J170" s="17" t="n"/>
      <c r="K170" s="590" t="inlineStr">
        <is>
          <t>млн куб.м</t>
        </is>
      </c>
    </row>
    <row r="171" ht="24" customHeight="1" s="904">
      <c r="A171" s="989" t="n"/>
      <c r="C171" s="980" t="n"/>
      <c r="D171" s="993" t="inlineStr">
        <is>
          <t>ГАЗ ПРИРОДНЫЙ СУХОЙ ОТБЕНЗИНЕННЫЙ (ТОО "КазРосГаз"), ВСЕГО:</t>
        </is>
      </c>
      <c r="E171" s="15" t="inlineStr">
        <is>
          <t>100335020</t>
        </is>
      </c>
      <c r="F171" s="15" t="n"/>
      <c r="G171" s="16" t="n"/>
      <c r="H171" s="17" t="inlineStr">
        <is>
          <t>100335022+100335024+100335026+100335028</t>
        </is>
      </c>
      <c r="I171" s="636" t="n"/>
      <c r="J171" s="17" t="n"/>
      <c r="K171" s="176" t="inlineStr">
        <is>
          <t>тыс. т</t>
        </is>
      </c>
    </row>
    <row r="172" ht="24" customHeight="1" s="904">
      <c r="A172" s="989" t="n"/>
      <c r="C172" s="980" t="n"/>
      <c r="D172" s="964" t="n"/>
      <c r="E172" s="15" t="inlineStr">
        <is>
          <t>100335021</t>
        </is>
      </c>
      <c r="F172" s="15" t="n"/>
      <c r="G172" s="16" t="n"/>
      <c r="H172" s="17" t="inlineStr">
        <is>
          <t>100335023+100335025+100335027+100335029</t>
        </is>
      </c>
      <c r="I172" s="636" t="n"/>
      <c r="J172" s="17" t="n"/>
      <c r="K172" s="590" t="inlineStr">
        <is>
          <t>млн куб.м</t>
        </is>
      </c>
    </row>
    <row r="173" ht="18.75" customHeight="1" s="904">
      <c r="A173" s="989" t="n"/>
      <c r="C173" s="980" t="n"/>
      <c r="D173" s="983" t="inlineStr">
        <is>
          <t>в т.ч. в газотранспортную систему с ГПЗ</t>
        </is>
      </c>
      <c r="E173" s="15" t="inlineStr">
        <is>
          <t>100335022</t>
        </is>
      </c>
      <c r="F173" s="15" t="n"/>
      <c r="G173" s="16" t="n"/>
      <c r="H173" s="17" t="n"/>
      <c r="I173" s="636" t="n"/>
      <c r="J173" s="17" t="n"/>
      <c r="K173" s="176" t="inlineStr">
        <is>
          <t>тыс. т</t>
        </is>
      </c>
    </row>
    <row r="174" ht="18.75" customHeight="1" s="904">
      <c r="A174" s="989" t="n"/>
      <c r="C174" s="980" t="n"/>
      <c r="D174" s="964" t="n"/>
      <c r="E174" s="15" t="inlineStr">
        <is>
          <t>100335023</t>
        </is>
      </c>
      <c r="F174" s="15" t="n"/>
      <c r="G174" s="16" t="n"/>
      <c r="H174" s="17" t="n"/>
      <c r="I174" s="636" t="n"/>
      <c r="J174" s="17" t="n"/>
      <c r="K174" s="590" t="inlineStr">
        <is>
          <t>млн куб.м</t>
        </is>
      </c>
    </row>
    <row r="175" ht="18.75" customHeight="1" s="904">
      <c r="A175" s="989" t="n"/>
      <c r="C175" s="980" t="n"/>
      <c r="D175" s="983" t="inlineStr">
        <is>
          <t>в т.ч. в газотранспортную систему с ГЗ</t>
        </is>
      </c>
      <c r="E175" s="15" t="inlineStr">
        <is>
          <t>100335024</t>
        </is>
      </c>
      <c r="F175" s="15" t="n"/>
      <c r="G175" s="16" t="n"/>
      <c r="H175" s="17" t="n"/>
      <c r="I175" s="636" t="n"/>
      <c r="J175" s="17" t="n"/>
      <c r="K175" s="176" t="inlineStr">
        <is>
          <t>тыс. т</t>
        </is>
      </c>
    </row>
    <row r="176" ht="18.75" customHeight="1" s="904">
      <c r="A176" s="989" t="n"/>
      <c r="C176" s="980" t="n"/>
      <c r="D176" s="964" t="n"/>
      <c r="E176" s="15" t="inlineStr">
        <is>
          <t>100335025</t>
        </is>
      </c>
      <c r="F176" s="15" t="n"/>
      <c r="G176" s="16" t="n"/>
      <c r="H176" s="17" t="n"/>
      <c r="I176" s="636" t="n"/>
      <c r="J176" s="17" t="n"/>
      <c r="K176" s="590" t="inlineStr">
        <is>
          <t>млн куб.м</t>
        </is>
      </c>
    </row>
    <row r="177" ht="18.75" customHeight="1" s="904">
      <c r="A177" s="989" t="n"/>
      <c r="C177" s="980" t="n"/>
      <c r="D177" s="983" t="inlineStr">
        <is>
          <t>в т.ч газ на СТН ГП переработка ГПЗ</t>
        </is>
      </c>
      <c r="E177" s="15" t="inlineStr">
        <is>
          <t>100335026</t>
        </is>
      </c>
      <c r="F177" s="15" t="n"/>
      <c r="G177" s="16" t="n"/>
      <c r="H177" s="17" t="n"/>
      <c r="I177" s="636" t="n"/>
      <c r="J177" s="17" t="n"/>
      <c r="K177" s="176" t="inlineStr">
        <is>
          <t>тыс. т</t>
        </is>
      </c>
    </row>
    <row r="178" ht="18.75" customHeight="1" s="904">
      <c r="A178" s="989" t="n"/>
      <c r="C178" s="980" t="n"/>
      <c r="D178" s="964" t="n"/>
      <c r="E178" s="15" t="inlineStr">
        <is>
          <t>100335027</t>
        </is>
      </c>
      <c r="F178" s="15" t="n"/>
      <c r="G178" s="16" t="n"/>
      <c r="H178" s="17" t="n"/>
      <c r="I178" s="636" t="n"/>
      <c r="J178" s="17" t="n"/>
      <c r="K178" s="590" t="inlineStr">
        <is>
          <t>млн куб.м</t>
        </is>
      </c>
    </row>
    <row r="179" ht="18.75" customHeight="1" s="904">
      <c r="A179" s="989" t="n"/>
      <c r="C179" s="980" t="n"/>
      <c r="D179" s="983" t="inlineStr">
        <is>
          <t>в т.ч газ на СТН ГП переработка ГЗ</t>
        </is>
      </c>
      <c r="E179" s="15" t="inlineStr">
        <is>
          <t>100335028</t>
        </is>
      </c>
      <c r="F179" s="15" t="n"/>
      <c r="G179" s="16" t="n"/>
      <c r="H179" s="17" t="n"/>
      <c r="I179" s="636" t="n"/>
      <c r="J179" s="17" t="n"/>
      <c r="K179" s="176" t="inlineStr">
        <is>
          <t>тыс. т</t>
        </is>
      </c>
    </row>
    <row r="180" ht="18.75" customHeight="1" s="904">
      <c r="A180" s="989" t="n"/>
      <c r="C180" s="980" t="n"/>
      <c r="D180" s="964" t="n"/>
      <c r="E180" s="15" t="inlineStr">
        <is>
          <t>100335029</t>
        </is>
      </c>
      <c r="F180" s="15" t="n"/>
      <c r="G180" s="16" t="n"/>
      <c r="H180" s="17" t="n"/>
      <c r="I180" s="636" t="n"/>
      <c r="J180" s="17" t="n"/>
      <c r="K180" s="590" t="inlineStr">
        <is>
          <t>млн куб.м</t>
        </is>
      </c>
    </row>
    <row r="181" ht="24" customHeight="1" s="904">
      <c r="A181" s="989" t="n"/>
      <c r="C181" s="992" t="inlineStr">
        <is>
          <t>3.2.</t>
        </is>
      </c>
      <c r="D181" s="1003" t="inlineStr">
        <is>
          <t>ТОПЛИВНЫЙ ГАЗ НА КТЭЦ (продукция ГПЗ), ВСЕГО:</t>
        </is>
      </c>
      <c r="E181" s="15" t="inlineStr">
        <is>
          <t>100332164</t>
        </is>
      </c>
      <c r="F181" s="15" t="n"/>
      <c r="G181" s="16" t="n"/>
      <c r="H181" s="17" t="inlineStr">
        <is>
          <t>100332168+100332174+100332184</t>
        </is>
      </c>
      <c r="I181" s="636" t="n"/>
      <c r="J181" s="17" t="n"/>
      <c r="K181" s="175" t="inlineStr">
        <is>
          <t>тыс. т</t>
        </is>
      </c>
    </row>
    <row r="182" ht="24" customHeight="1" s="904">
      <c r="A182" s="989" t="n"/>
      <c r="C182" s="964" t="n"/>
      <c r="D182" s="964" t="n"/>
      <c r="E182" s="15" t="inlineStr">
        <is>
          <t>100332165</t>
        </is>
      </c>
      <c r="F182" s="15" t="n"/>
      <c r="G182" s="16" t="n"/>
      <c r="H182" s="17" t="inlineStr">
        <is>
          <t>100332169+100332175+100332185</t>
        </is>
      </c>
      <c r="I182" s="636" t="n"/>
      <c r="J182" s="17" t="n"/>
      <c r="K182" s="589" t="inlineStr">
        <is>
          <t>млн куб.м</t>
        </is>
      </c>
    </row>
    <row r="183" ht="18.75" customHeight="1" s="904">
      <c r="A183" s="989" t="n"/>
      <c r="C183" s="994" t="n"/>
      <c r="D183" s="979" t="inlineStr">
        <is>
          <t>в том числе без давальцев, всего:</t>
        </is>
      </c>
      <c r="E183" s="15" t="inlineStr">
        <is>
          <t>100332166</t>
        </is>
      </c>
      <c r="F183" s="15" t="n"/>
      <c r="G183" s="16" t="n"/>
      <c r="H183" s="17" t="inlineStr">
        <is>
          <t>100332168+100332174</t>
        </is>
      </c>
      <c r="I183" s="636" t="n"/>
      <c r="J183" s="17" t="n"/>
      <c r="K183" s="175" t="inlineStr">
        <is>
          <t>тыс. т</t>
        </is>
      </c>
    </row>
    <row r="184" ht="18.75" customHeight="1" s="904">
      <c r="A184" s="989" t="n"/>
      <c r="C184" s="994" t="n"/>
      <c r="D184" s="964" t="n"/>
      <c r="E184" s="15" t="inlineStr">
        <is>
          <t>100332167</t>
        </is>
      </c>
      <c r="F184" s="15" t="n"/>
      <c r="G184" s="16" t="n"/>
      <c r="H184" s="17" t="inlineStr">
        <is>
          <t>100332169+100332175</t>
        </is>
      </c>
      <c r="I184" s="636" t="n"/>
      <c r="J184" s="17" t="n"/>
      <c r="K184" s="589" t="inlineStr">
        <is>
          <t>млн куб.м</t>
        </is>
      </c>
    </row>
    <row r="185" ht="18.75" customHeight="1" s="904">
      <c r="A185" s="989" t="n"/>
      <c r="C185" s="992" t="inlineStr">
        <is>
          <t>3.2.1</t>
        </is>
      </c>
      <c r="D185" s="999" t="inlineStr">
        <is>
          <t>ПАО "Газпром", всего:</t>
        </is>
      </c>
      <c r="E185" s="15" t="n">
        <v>100332168</v>
      </c>
      <c r="F185" s="15" t="n"/>
      <c r="G185" s="16" t="n"/>
      <c r="H185" s="17" t="inlineStr">
        <is>
          <t>100332170+100332172</t>
        </is>
      </c>
      <c r="I185" s="636" t="n"/>
      <c r="J185" s="17" t="n"/>
      <c r="K185" s="175" t="inlineStr">
        <is>
          <t>тыс. т</t>
        </is>
      </c>
    </row>
    <row r="186" ht="18.75" customHeight="1" s="904">
      <c r="A186" s="989" t="n"/>
      <c r="C186" s="964" t="n"/>
      <c r="D186" s="964" t="n"/>
      <c r="E186" s="15" t="inlineStr">
        <is>
          <t>100332169</t>
        </is>
      </c>
      <c r="F186" s="15" t="n"/>
      <c r="G186" s="16" t="n"/>
      <c r="H186" s="17" t="inlineStr">
        <is>
          <t>100332171+100332173</t>
        </is>
      </c>
      <c r="I186" s="636" t="n"/>
      <c r="J186" s="17" t="n"/>
      <c r="K186" s="589" t="inlineStr">
        <is>
          <t>млн куб.м</t>
        </is>
      </c>
    </row>
    <row r="187" ht="18.75" customHeight="1" s="904">
      <c r="A187" s="989" t="n"/>
      <c r="C187" s="703" t="n"/>
      <c r="D187" s="979" t="inlineStr">
        <is>
          <t xml:space="preserve"> - из сырья ООО "Газпром добыча Оренбург"</t>
        </is>
      </c>
      <c r="E187" s="15" t="inlineStr">
        <is>
          <t>100332170</t>
        </is>
      </c>
      <c r="F187" s="15" t="n"/>
      <c r="G187" s="16" t="n"/>
      <c r="H187" s="17" t="n"/>
      <c r="I187" s="636" t="n"/>
      <c r="J187" s="17" t="n"/>
      <c r="K187" s="175" t="inlineStr">
        <is>
          <t>тыс. т</t>
        </is>
      </c>
    </row>
    <row r="188" ht="18.75" customHeight="1" s="904">
      <c r="A188" s="989" t="n"/>
      <c r="C188" s="703" t="n"/>
      <c r="D188" s="964" t="n"/>
      <c r="E188" s="15" t="inlineStr">
        <is>
          <t>100332171</t>
        </is>
      </c>
      <c r="F188" s="15" t="n"/>
      <c r="G188" s="16" t="n"/>
      <c r="H188" s="17" t="n"/>
      <c r="I188" s="636" t="n"/>
      <c r="J188" s="17" t="n"/>
      <c r="K188" s="589" t="inlineStr">
        <is>
          <t>млн куб.м</t>
        </is>
      </c>
    </row>
    <row r="189" ht="18.75" customHeight="1" s="904">
      <c r="A189" s="989" t="n"/>
      <c r="C189" s="703" t="n"/>
      <c r="D189" s="979" t="inlineStr">
        <is>
          <t xml:space="preserve"> - из сырья ПАО "Газпром нефть"</t>
        </is>
      </c>
      <c r="E189" s="15" t="inlineStr">
        <is>
          <t>100332172</t>
        </is>
      </c>
      <c r="F189" s="15" t="n"/>
      <c r="G189" s="16" t="n"/>
      <c r="H189" s="17" t="n"/>
      <c r="I189" s="636" t="n"/>
      <c r="J189" s="17" t="n"/>
      <c r="K189" s="175" t="inlineStr">
        <is>
          <t>тыс. т</t>
        </is>
      </c>
    </row>
    <row r="190" ht="18.75" customHeight="1" s="904">
      <c r="A190" s="989" t="n"/>
      <c r="C190" s="703" t="n"/>
      <c r="D190" s="964" t="n"/>
      <c r="E190" s="15" t="inlineStr">
        <is>
          <t>100332173</t>
        </is>
      </c>
      <c r="F190" s="15" t="n"/>
      <c r="G190" s="16" t="n"/>
      <c r="H190" s="17" t="n"/>
      <c r="I190" s="636" t="n"/>
      <c r="J190" s="17" t="n"/>
      <c r="K190" s="589" t="inlineStr">
        <is>
          <t>млн куб.м</t>
        </is>
      </c>
    </row>
    <row r="191" ht="24" customHeight="1" s="904">
      <c r="A191" s="989" t="n"/>
      <c r="C191" s="992" t="inlineStr">
        <is>
          <t>3.2.2</t>
        </is>
      </c>
      <c r="D191" s="999" t="inlineStr">
        <is>
          <t>ООО "Газпром переработка", всего:</t>
        </is>
      </c>
      <c r="E191" s="15" t="inlineStr">
        <is>
          <t>100332174</t>
        </is>
      </c>
      <c r="F191" s="15" t="n"/>
      <c r="G191" s="16" t="n"/>
      <c r="H191" s="17" t="inlineStr">
        <is>
          <t>100332176+100332178+100335140</t>
        </is>
      </c>
      <c r="I191" s="636" t="n"/>
      <c r="J191" s="17" t="n"/>
      <c r="K191" s="175" t="inlineStr">
        <is>
          <t>тыс. т</t>
        </is>
      </c>
    </row>
    <row r="192" ht="24" customHeight="1" s="904">
      <c r="A192" s="989" t="n"/>
      <c r="C192" s="964" t="n"/>
      <c r="D192" s="964" t="n"/>
      <c r="E192" s="15" t="inlineStr">
        <is>
          <t>100332175</t>
        </is>
      </c>
      <c r="F192" s="15" t="n"/>
      <c r="G192" s="16" t="n"/>
      <c r="H192" s="17" t="inlineStr">
        <is>
          <t>100332177+100332179+100335141</t>
        </is>
      </c>
      <c r="I192" s="636" t="n"/>
      <c r="J192" s="17" t="n"/>
      <c r="K192" s="589" t="inlineStr">
        <is>
          <t>млн куб.м</t>
        </is>
      </c>
    </row>
    <row r="193" ht="18.75" customHeight="1" s="904">
      <c r="A193" s="989" t="n"/>
      <c r="C193" s="703" t="n"/>
      <c r="D193" s="979" t="inlineStr">
        <is>
          <t xml:space="preserve"> - из сырья ООО "Газпром добыча Оренбург"</t>
        </is>
      </c>
      <c r="E193" s="15" t="inlineStr">
        <is>
          <t>100332176</t>
        </is>
      </c>
      <c r="F193" s="15" t="n"/>
      <c r="G193" s="16" t="n"/>
      <c r="H193" s="17" t="n"/>
      <c r="I193" s="636" t="n"/>
      <c r="J193" s="17" t="n"/>
      <c r="K193" s="175" t="inlineStr">
        <is>
          <t>тыс. т</t>
        </is>
      </c>
    </row>
    <row r="194" ht="18.75" customHeight="1" s="904">
      <c r="A194" s="989" t="n"/>
      <c r="C194" s="703" t="n"/>
      <c r="D194" s="964" t="n"/>
      <c r="E194" s="15" t="inlineStr">
        <is>
          <t>100332177</t>
        </is>
      </c>
      <c r="F194" s="15" t="n"/>
      <c r="G194" s="16" t="n"/>
      <c r="H194" s="17" t="n"/>
      <c r="I194" s="636" t="n"/>
      <c r="J194" s="17" t="n"/>
      <c r="K194" s="589" t="inlineStr">
        <is>
          <t>млн куб.м</t>
        </is>
      </c>
    </row>
    <row r="195" ht="18.75" customHeight="1" s="904">
      <c r="A195" s="989" t="n"/>
      <c r="C195" s="703" t="n"/>
      <c r="D195" s="979" t="inlineStr">
        <is>
          <t xml:space="preserve"> - из сырья ПАО "Газпром нефть"</t>
        </is>
      </c>
      <c r="E195" s="15" t="inlineStr">
        <is>
          <t>100332178</t>
        </is>
      </c>
      <c r="F195" s="15" t="n"/>
      <c r="G195" s="16" t="n"/>
      <c r="H195" s="17" t="n"/>
      <c r="I195" s="636" t="n"/>
      <c r="J195" s="17" t="n"/>
      <c r="K195" s="175" t="inlineStr">
        <is>
          <t>тыс. т</t>
        </is>
      </c>
    </row>
    <row r="196" ht="18.75" customHeight="1" s="904">
      <c r="A196" s="989" t="n"/>
      <c r="C196" s="703" t="n"/>
      <c r="D196" s="964" t="n"/>
      <c r="E196" s="15" t="inlineStr">
        <is>
          <t>100332179</t>
        </is>
      </c>
      <c r="F196" s="15" t="n"/>
      <c r="G196" s="16" t="n"/>
      <c r="H196" s="17" t="n"/>
      <c r="I196" s="636" t="n"/>
      <c r="J196" s="17" t="n"/>
      <c r="K196" s="589" t="inlineStr">
        <is>
          <t>млн куб.м</t>
        </is>
      </c>
    </row>
    <row r="197" ht="18.75" customHeight="1" s="904">
      <c r="A197" s="989" t="n"/>
      <c r="C197" s="703" t="n"/>
      <c r="D197" s="979" t="inlineStr">
        <is>
          <t xml:space="preserve"> - из сырья Прочих поставщиков</t>
        </is>
      </c>
      <c r="E197" s="15" t="inlineStr">
        <is>
          <t>100335140</t>
        </is>
      </c>
      <c r="F197" s="15" t="n"/>
      <c r="G197" s="16" t="n"/>
      <c r="H197" s="17" t="n"/>
      <c r="I197" s="636" t="n"/>
      <c r="J197" s="17" t="n"/>
      <c r="K197" s="175" t="inlineStr">
        <is>
          <t>тыс. т</t>
        </is>
      </c>
    </row>
    <row r="198" ht="18.75" customHeight="1" s="904">
      <c r="A198" s="989" t="n"/>
      <c r="C198" s="703" t="n"/>
      <c r="D198" s="964" t="n"/>
      <c r="E198" s="15" t="inlineStr">
        <is>
          <t>100335141</t>
        </is>
      </c>
      <c r="F198" s="15" t="n"/>
      <c r="G198" s="16" t="n"/>
      <c r="H198" s="17" t="n"/>
      <c r="I198" s="636" t="n"/>
      <c r="J198" s="17" t="n"/>
      <c r="K198" s="589" t="inlineStr">
        <is>
          <t>млн куб.м</t>
        </is>
      </c>
    </row>
    <row r="199" ht="15.75" customHeight="1" s="904">
      <c r="A199" s="989" t="n"/>
      <c r="C199" s="703" t="n"/>
      <c r="D199" s="1004" t="inlineStr">
        <is>
          <t>в т.ч. из жидких углеводородов Прочих поставщиков</t>
        </is>
      </c>
      <c r="E199" s="15" t="inlineStr">
        <is>
          <t>100335685</t>
        </is>
      </c>
      <c r="F199" s="15" t="n"/>
      <c r="G199" s="16" t="n"/>
      <c r="H199" s="17" t="n"/>
      <c r="I199" s="636" t="n"/>
      <c r="J199" s="17" t="n"/>
      <c r="K199" s="175" t="inlineStr">
        <is>
          <t>тыс. т</t>
        </is>
      </c>
    </row>
    <row r="200" ht="18.75" customHeight="1" s="904">
      <c r="A200" s="989" t="n"/>
      <c r="C200" s="703" t="n"/>
      <c r="D200" s="964" t="n"/>
      <c r="E200" s="15" t="inlineStr">
        <is>
          <t>100335686</t>
        </is>
      </c>
      <c r="F200" s="15" t="n"/>
      <c r="G200" s="16" t="n"/>
      <c r="H200" s="17" t="n"/>
      <c r="I200" s="636" t="n"/>
      <c r="J200" s="17" t="n"/>
      <c r="K200" s="589" t="inlineStr">
        <is>
          <t>млн куб.м</t>
        </is>
      </c>
    </row>
    <row r="201" ht="18.75" customHeight="1" s="904">
      <c r="A201" s="989" t="n"/>
      <c r="C201" s="994" t="inlineStr">
        <is>
          <t>3.2.3</t>
        </is>
      </c>
      <c r="D201" s="979" t="inlineStr">
        <is>
          <t>ТОО "КазРосГаз"</t>
        </is>
      </c>
      <c r="E201" s="15" t="inlineStr">
        <is>
          <t>100332184</t>
        </is>
      </c>
      <c r="F201" s="15" t="n"/>
      <c r="G201" s="16" t="n"/>
      <c r="H201" s="17" t="n"/>
      <c r="I201" s="636" t="n"/>
      <c r="J201" s="17" t="n"/>
      <c r="K201" s="175" t="inlineStr">
        <is>
          <t>тыс. т</t>
        </is>
      </c>
    </row>
    <row r="202" ht="18.75" customHeight="1" s="904">
      <c r="A202" s="989" t="n"/>
      <c r="C202" s="964" t="n"/>
      <c r="D202" s="964" t="n"/>
      <c r="E202" s="15" t="inlineStr">
        <is>
          <t>100332185</t>
        </is>
      </c>
      <c r="F202" s="15" t="n"/>
      <c r="G202" s="16" t="n"/>
      <c r="H202" s="17" t="n"/>
      <c r="I202" s="636" t="n"/>
      <c r="J202" s="17" t="n"/>
      <c r="K202" s="589" t="inlineStr">
        <is>
          <t>млн куб.м</t>
        </is>
      </c>
    </row>
    <row r="203" ht="18.75" customHeight="1" s="904">
      <c r="A203" s="989" t="n"/>
      <c r="C203" s="1005" t="inlineStr">
        <is>
          <t>3.3.</t>
        </is>
      </c>
      <c r="D203" s="982" t="inlineStr">
        <is>
          <t>СЕРА (продукция ГПЗ), ВСЕГО:</t>
        </is>
      </c>
      <c r="E203" s="15" t="inlineStr">
        <is>
          <t>100332186</t>
        </is>
      </c>
      <c r="F203" s="15" t="n"/>
      <c r="G203" s="16" t="n"/>
      <c r="H203" s="17" t="inlineStr">
        <is>
          <t>100332187+100332198</t>
        </is>
      </c>
      <c r="I203" s="636" t="n"/>
      <c r="J203" s="17" t="n"/>
      <c r="K203" s="175" t="inlineStr">
        <is>
          <t>тыс. т</t>
        </is>
      </c>
    </row>
    <row r="204" ht="24" customHeight="1" s="904">
      <c r="A204" s="989" t="n"/>
      <c r="C204" s="991" t="n"/>
      <c r="D204" s="1001" t="inlineStr">
        <is>
          <t>в том числе без давальцев:</t>
        </is>
      </c>
      <c r="E204" s="15" t="n">
        <v>100332187</v>
      </c>
      <c r="F204" s="15" t="n"/>
      <c r="G204" s="16" t="n"/>
      <c r="H204" s="17" t="inlineStr">
        <is>
          <t>100332188+100332191+100332197</t>
        </is>
      </c>
      <c r="I204" s="636" t="n"/>
      <c r="J204" s="17" t="n"/>
      <c r="K204" s="175" t="inlineStr">
        <is>
          <t>тыс. т</t>
        </is>
      </c>
    </row>
    <row r="205" ht="18.75" customHeight="1" s="904">
      <c r="A205" s="989" t="n"/>
      <c r="C205" s="991" t="inlineStr">
        <is>
          <t>3.3.1.</t>
        </is>
      </c>
      <c r="D205" s="1001" t="inlineStr">
        <is>
          <t>ПАО "Газпром" , всего:</t>
        </is>
      </c>
      <c r="E205" s="15" t="inlineStr">
        <is>
          <t>100332188</t>
        </is>
      </c>
      <c r="F205" s="15" t="n"/>
      <c r="G205" s="16" t="n"/>
      <c r="H205" s="17" t="inlineStr">
        <is>
          <t>100332189+100332190</t>
        </is>
      </c>
      <c r="I205" s="636" t="n"/>
      <c r="J205" s="17" t="n"/>
      <c r="K205" s="175" t="inlineStr">
        <is>
          <t>тыс. т</t>
        </is>
      </c>
    </row>
    <row r="206" ht="31.5" customHeight="1" s="904">
      <c r="A206" s="989" t="n"/>
      <c r="C206" s="991" t="n"/>
      <c r="D206" s="1001" t="inlineStr">
        <is>
          <t xml:space="preserve"> - из конденсата и нефти ООО "Газпром добыча Оренбург"</t>
        </is>
      </c>
      <c r="E206" s="15" t="inlineStr">
        <is>
          <t>100332189</t>
        </is>
      </c>
      <c r="F206" s="15" t="n"/>
      <c r="G206" s="16" t="n"/>
      <c r="H206" s="17" t="n"/>
      <c r="I206" s="636" t="n"/>
      <c r="J206" s="17" t="n"/>
      <c r="K206" s="175" t="inlineStr">
        <is>
          <t>тыс. т</t>
        </is>
      </c>
    </row>
    <row r="207" ht="18.75" customHeight="1" s="904">
      <c r="A207" s="989" t="n"/>
      <c r="C207" s="991" t="n"/>
      <c r="D207" s="1001" t="inlineStr">
        <is>
          <t xml:space="preserve"> - из нефти ПАО "Газпром нефть"</t>
        </is>
      </c>
      <c r="E207" s="15" t="inlineStr">
        <is>
          <t>100332190</t>
        </is>
      </c>
      <c r="F207" s="15" t="n"/>
      <c r="G207" s="16" t="n"/>
      <c r="H207" s="17" t="n"/>
      <c r="I207" s="636" t="n"/>
      <c r="J207" s="17" t="n"/>
      <c r="K207" s="175" t="inlineStr">
        <is>
          <t>тыс. т</t>
        </is>
      </c>
    </row>
    <row r="208" ht="24" customHeight="1" s="904">
      <c r="A208" s="989" t="n"/>
      <c r="C208" s="991" t="inlineStr">
        <is>
          <t>3.3.2.</t>
        </is>
      </c>
      <c r="D208" s="1001" t="inlineStr">
        <is>
          <t>ООО "Газпром переработка", всего:</t>
        </is>
      </c>
      <c r="E208" s="15" t="inlineStr">
        <is>
          <t>100332191</t>
        </is>
      </c>
      <c r="F208" s="15" t="n"/>
      <c r="G208" s="16" t="n"/>
      <c r="H208" s="17" t="inlineStr">
        <is>
          <t>100332192+100332194+100332195</t>
        </is>
      </c>
      <c r="I208" s="636" t="n"/>
      <c r="J208" s="17" t="n"/>
      <c r="K208" s="175" t="inlineStr">
        <is>
          <t>тыс. т</t>
        </is>
      </c>
    </row>
    <row r="209" ht="18.75" customHeight="1" s="904">
      <c r="A209" s="989" t="n"/>
      <c r="C209" s="703" t="n"/>
      <c r="D209" s="1001" t="inlineStr">
        <is>
          <t xml:space="preserve"> - из газа ООО "Газпром добыча Оренбург"</t>
        </is>
      </c>
      <c r="E209" s="15" t="inlineStr">
        <is>
          <t>100332192</t>
        </is>
      </c>
      <c r="F209" s="15" t="n"/>
      <c r="G209" s="16" t="n"/>
      <c r="H209" s="17" t="n"/>
      <c r="I209" s="636" t="n"/>
      <c r="J209" s="17" t="n"/>
      <c r="K209" s="175" t="inlineStr">
        <is>
          <t>тыс. т</t>
        </is>
      </c>
    </row>
    <row r="210" ht="18.75" customHeight="1" s="904">
      <c r="A210" s="989" t="n"/>
      <c r="C210" s="703" t="n"/>
      <c r="D210" s="709" t="inlineStr">
        <is>
          <t>в т.ч. гранулированная</t>
        </is>
      </c>
      <c r="E210" s="15" t="inlineStr">
        <is>
          <t>100332193</t>
        </is>
      </c>
      <c r="F210" s="15" t="n"/>
      <c r="G210" s="16" t="n"/>
      <c r="H210" s="17" t="n"/>
      <c r="I210" s="636" t="n"/>
      <c r="J210" s="17" t="n"/>
      <c r="K210" s="175" t="inlineStr">
        <is>
          <t>тыс. т</t>
        </is>
      </c>
    </row>
    <row r="211" ht="18.75" customHeight="1" s="904">
      <c r="A211" s="989" t="n"/>
      <c r="C211" s="703" t="n"/>
      <c r="D211" s="1001" t="inlineStr">
        <is>
          <t xml:space="preserve"> - из газа ПАО "Газпром нефть"</t>
        </is>
      </c>
      <c r="E211" s="15" t="inlineStr">
        <is>
          <t>100332194</t>
        </is>
      </c>
      <c r="F211" s="15" t="n"/>
      <c r="G211" s="16" t="n"/>
      <c r="H211" s="17" t="n"/>
      <c r="I211" s="636" t="n"/>
      <c r="J211" s="17" t="n"/>
      <c r="K211" s="175" t="inlineStr">
        <is>
          <t>тыс. т</t>
        </is>
      </c>
    </row>
    <row r="212" ht="18.75" customHeight="1" s="904">
      <c r="A212" s="989" t="n"/>
      <c r="C212" s="703" t="n"/>
      <c r="D212" s="1001" t="inlineStr">
        <is>
          <t xml:space="preserve"> - из сырья Прочих поставщиков </t>
        </is>
      </c>
      <c r="E212" s="15" t="inlineStr">
        <is>
          <t>100332195</t>
        </is>
      </c>
      <c r="F212" s="15" t="n"/>
      <c r="G212" s="16" t="n"/>
      <c r="H212" s="17" t="n"/>
      <c r="I212" s="636" t="n"/>
      <c r="J212" s="17" t="n"/>
      <c r="K212" s="175" t="inlineStr">
        <is>
          <t>тыс. т</t>
        </is>
      </c>
    </row>
    <row r="213" ht="31.5" customHeight="1" s="904">
      <c r="A213" s="989" t="n"/>
      <c r="C213" s="703" t="n"/>
      <c r="D213" s="709" t="inlineStr">
        <is>
          <t xml:space="preserve">в т.ч. из жидких углеводородов Прочих поставщиков  </t>
        </is>
      </c>
      <c r="E213" s="15" t="inlineStr">
        <is>
          <t>100335030</t>
        </is>
      </c>
      <c r="F213" s="15" t="n"/>
      <c r="G213" s="16" t="n"/>
      <c r="H213" s="17" t="n"/>
      <c r="I213" s="636" t="n"/>
      <c r="J213" s="17" t="n"/>
      <c r="K213" s="175" t="inlineStr">
        <is>
          <t>тыс. т</t>
        </is>
      </c>
    </row>
    <row r="214" ht="18.75" customHeight="1" s="904">
      <c r="A214" s="989" t="n"/>
      <c r="C214" s="991" t="inlineStr">
        <is>
          <t>3.3.3.</t>
        </is>
      </c>
      <c r="D214" s="1001" t="inlineStr">
        <is>
          <t>ООО "Сервиснефтегаз" из нефти</t>
        </is>
      </c>
      <c r="E214" s="15" t="inlineStr">
        <is>
          <t>100332197</t>
        </is>
      </c>
      <c r="F214" s="15" t="n"/>
      <c r="G214" s="16" t="n"/>
      <c r="H214" s="17" t="n"/>
      <c r="I214" s="636" t="n"/>
      <c r="J214" s="17" t="n"/>
      <c r="K214" s="175" t="inlineStr">
        <is>
          <t>тыс. т</t>
        </is>
      </c>
    </row>
    <row r="215" ht="18.75" customHeight="1" s="904">
      <c r="A215" s="989" t="n"/>
      <c r="C215" s="991" t="inlineStr">
        <is>
          <t>3.3.4.</t>
        </is>
      </c>
      <c r="D215" s="1001" t="inlineStr">
        <is>
          <t>ТОО "КазРосГаз"</t>
        </is>
      </c>
      <c r="E215" s="15" t="inlineStr">
        <is>
          <t>100332198</t>
        </is>
      </c>
      <c r="F215" s="15" t="n"/>
      <c r="G215" s="16" t="n"/>
      <c r="H215" s="17" t="n"/>
      <c r="I215" s="636" t="n"/>
      <c r="J215" s="17" t="n"/>
      <c r="K215" s="175" t="inlineStr">
        <is>
          <t>тыс. т</t>
        </is>
      </c>
    </row>
    <row r="216" ht="18.75" customHeight="1" s="904">
      <c r="A216" s="989" t="n"/>
      <c r="C216" s="707" t="inlineStr">
        <is>
          <t>3.4.</t>
        </is>
      </c>
      <c r="D216" s="1003" t="inlineStr">
        <is>
          <t>ШФЛУ ТОВАРНАЯ (продукция ГЗ), ВСЕГО:</t>
        </is>
      </c>
      <c r="E216" s="15" t="inlineStr">
        <is>
          <t>100332202</t>
        </is>
      </c>
      <c r="F216" s="15" t="n"/>
      <c r="G216" s="16" t="n"/>
      <c r="H216" s="17" t="inlineStr">
        <is>
          <t>100332203</t>
        </is>
      </c>
      <c r="I216" s="636" t="n"/>
      <c r="J216" s="17" t="n"/>
      <c r="K216" s="175" t="inlineStr">
        <is>
          <t>тыс. т</t>
        </is>
      </c>
    </row>
    <row r="217" ht="24" customHeight="1" s="904">
      <c r="A217" s="989" t="n"/>
      <c r="C217" s="991" t="inlineStr">
        <is>
          <t>3.4.1.</t>
        </is>
      </c>
      <c r="D217" s="1001" t="inlineStr">
        <is>
          <t>ПАО "Газпром", всего:</t>
        </is>
      </c>
      <c r="E217" s="15" t="n">
        <v>100332203</v>
      </c>
      <c r="F217" s="15" t="n"/>
      <c r="G217" s="16" t="n"/>
      <c r="H217" s="17" t="inlineStr">
        <is>
          <t>100332204+100332205+100335143</t>
        </is>
      </c>
      <c r="I217" s="636" t="n"/>
      <c r="J217" s="17" t="n"/>
      <c r="K217" s="175" t="inlineStr">
        <is>
          <t>тыс. т</t>
        </is>
      </c>
    </row>
    <row r="218" ht="18.75" customHeight="1" s="904">
      <c r="A218" s="989" t="n"/>
      <c r="C218" s="703" t="n"/>
      <c r="D218" s="1001" t="inlineStr">
        <is>
          <t xml:space="preserve"> - из сырья ООО "Газпром добыча Оренбург"</t>
        </is>
      </c>
      <c r="E218" s="15" t="inlineStr">
        <is>
          <t>100332204</t>
        </is>
      </c>
      <c r="F218" s="15" t="n"/>
      <c r="G218" s="16" t="n"/>
      <c r="H218" s="17" t="n"/>
      <c r="I218" s="636" t="n"/>
      <c r="J218" s="17" t="n"/>
      <c r="K218" s="175" t="inlineStr">
        <is>
          <t>тыс. т</t>
        </is>
      </c>
    </row>
    <row r="219" ht="18.75" customHeight="1" s="904">
      <c r="A219" s="989" t="n"/>
      <c r="C219" s="703" t="n"/>
      <c r="D219" s="1001" t="inlineStr">
        <is>
          <t xml:space="preserve"> - из сырья ПАО "Газпром нефть"</t>
        </is>
      </c>
      <c r="E219" s="15" t="inlineStr">
        <is>
          <t>100332205</t>
        </is>
      </c>
      <c r="F219" s="15" t="n"/>
      <c r="G219" s="16" t="n"/>
      <c r="H219" s="17" t="n"/>
      <c r="I219" s="636" t="n"/>
      <c r="J219" s="17" t="n"/>
      <c r="K219" s="175" t="inlineStr">
        <is>
          <t>тыс. т</t>
        </is>
      </c>
    </row>
    <row r="220" ht="18.75" customHeight="1" s="904">
      <c r="A220" s="989" t="n"/>
      <c r="C220" s="703" t="n"/>
      <c r="D220" s="979" t="inlineStr">
        <is>
          <t xml:space="preserve">- из сырья Прочих поставщиков </t>
        </is>
      </c>
      <c r="E220" s="15" t="inlineStr">
        <is>
          <t>100335143</t>
        </is>
      </c>
      <c r="F220" s="15" t="n"/>
      <c r="G220" s="16" t="n"/>
      <c r="H220" s="17" t="n"/>
      <c r="I220" s="636" t="n"/>
      <c r="J220" s="17" t="n"/>
      <c r="K220" s="175" t="inlineStr">
        <is>
          <t>тыс. т</t>
        </is>
      </c>
    </row>
    <row r="221" ht="18.75" customHeight="1" s="904">
      <c r="A221" s="989" t="n"/>
      <c r="C221" s="703" t="n"/>
      <c r="D221" s="979" t="inlineStr">
        <is>
          <t>ТОО "КазРосГаз", всего</t>
        </is>
      </c>
      <c r="E221" s="15" t="inlineStr">
        <is>
          <t>100336104</t>
        </is>
      </c>
      <c r="F221" s="15" t="n"/>
      <c r="G221" s="16" t="n"/>
      <c r="H221" s="17" t="n"/>
      <c r="I221" s="636" t="n"/>
      <c r="J221" s="17" t="n"/>
      <c r="K221" s="175" t="inlineStr">
        <is>
          <t>тыс. т</t>
        </is>
      </c>
    </row>
    <row r="222" ht="18.75" customHeight="1" s="904">
      <c r="A222" s="989" t="n"/>
      <c r="C222" s="703" t="n"/>
      <c r="D222" s="702" t="inlineStr">
        <is>
          <t>Справочно:</t>
        </is>
      </c>
      <c r="E222" s="15" t="n"/>
      <c r="F222" s="15" t="n"/>
      <c r="G222" s="16" t="n"/>
      <c r="H222" s="17" t="n"/>
      <c r="I222" s="636" t="n"/>
      <c r="J222" s="17" t="n"/>
      <c r="K222" s="175" t="n"/>
    </row>
    <row r="223" ht="18.75" customHeight="1" s="904">
      <c r="A223" s="989" t="n"/>
      <c r="C223" s="706" t="n"/>
      <c r="D223" s="702" t="inlineStr">
        <is>
          <t xml:space="preserve"> ШФЛУ валовая, всего:</t>
        </is>
      </c>
      <c r="E223" s="15" t="inlineStr">
        <is>
          <t>100330078</t>
        </is>
      </c>
      <c r="F223" s="15" t="n"/>
      <c r="G223" s="16" t="n"/>
      <c r="H223" s="17" t="inlineStr">
        <is>
          <t>100332206</t>
        </is>
      </c>
      <c r="I223" s="636" t="n"/>
      <c r="J223" s="17" t="n"/>
      <c r="K223" s="178" t="inlineStr">
        <is>
          <t>тыс. т</t>
        </is>
      </c>
    </row>
    <row r="224" ht="24" customHeight="1" s="904">
      <c r="A224" s="989" t="n"/>
      <c r="C224" s="704" t="n"/>
      <c r="D224" s="986" t="inlineStr">
        <is>
          <t>ООО "Газпром переработка", всего:</t>
        </is>
      </c>
      <c r="E224" s="15" t="inlineStr">
        <is>
          <t>100332206</t>
        </is>
      </c>
      <c r="F224" s="15" t="n"/>
      <c r="G224" s="16" t="n"/>
      <c r="H224" s="17" t="inlineStr">
        <is>
          <t>100332207+100332208+100335144</t>
        </is>
      </c>
      <c r="I224" s="636" t="n"/>
      <c r="J224" s="17" t="n"/>
      <c r="K224" s="176" t="inlineStr">
        <is>
          <t>тыс. т</t>
        </is>
      </c>
    </row>
    <row r="225" ht="18.75" customHeight="1" s="904">
      <c r="A225" s="989" t="n"/>
      <c r="C225" s="704" t="n"/>
      <c r="D225" s="986" t="inlineStr">
        <is>
          <t xml:space="preserve"> - из сырья ООО "Газпром добыча Оренбург"</t>
        </is>
      </c>
      <c r="E225" s="15" t="inlineStr">
        <is>
          <t>100332207</t>
        </is>
      </c>
      <c r="F225" s="15" t="n"/>
      <c r="G225" s="16" t="n"/>
      <c r="H225" s="17" t="n"/>
      <c r="I225" s="636" t="n"/>
      <c r="J225" s="17" t="n"/>
      <c r="K225" s="176" t="inlineStr">
        <is>
          <t>тыс. т</t>
        </is>
      </c>
    </row>
    <row r="226" ht="18.75" customHeight="1" s="904">
      <c r="A226" s="989" t="n"/>
      <c r="C226" s="704" t="n"/>
      <c r="D226" s="986" t="inlineStr">
        <is>
          <t xml:space="preserve"> - из сырья ПАО "Газпром нефть"</t>
        </is>
      </c>
      <c r="E226" s="15" t="inlineStr">
        <is>
          <t>100332208</t>
        </is>
      </c>
      <c r="F226" s="15" t="n"/>
      <c r="G226" s="16" t="n"/>
      <c r="H226" s="17" t="n"/>
      <c r="I226" s="636" t="n"/>
      <c r="J226" s="17" t="n"/>
      <c r="K226" s="176" t="inlineStr">
        <is>
          <t>тыс. т</t>
        </is>
      </c>
    </row>
    <row r="227" ht="18.75" customHeight="1" s="904">
      <c r="A227" s="989" t="n"/>
      <c r="C227" s="704" t="n"/>
      <c r="D227" s="985" t="inlineStr">
        <is>
          <t>- из сырья Прочих поставщиков</t>
        </is>
      </c>
      <c r="E227" s="15" t="inlineStr">
        <is>
          <t>100335144</t>
        </is>
      </c>
      <c r="F227" s="15" t="n"/>
      <c r="G227" s="16" t="n"/>
      <c r="H227" s="17" t="n"/>
      <c r="I227" s="636" t="n"/>
      <c r="J227" s="17" t="n"/>
      <c r="K227" s="176" t="inlineStr">
        <is>
          <t>тыс. т</t>
        </is>
      </c>
    </row>
    <row r="228" ht="18.75" customHeight="1" s="904">
      <c r="A228" s="989" t="n"/>
      <c r="C228" s="706" t="n"/>
      <c r="D228" s="993" t="inlineStr">
        <is>
          <t xml:space="preserve"> ШФЛУ переработка, всего:</t>
        </is>
      </c>
      <c r="E228" s="15" t="inlineStr">
        <is>
          <t>100332209</t>
        </is>
      </c>
      <c r="F228" s="15" t="n"/>
      <c r="G228" s="16" t="n"/>
      <c r="H228" s="17" t="inlineStr">
        <is>
          <t>100332210</t>
        </is>
      </c>
      <c r="I228" s="636" t="n"/>
      <c r="J228" s="17" t="n"/>
      <c r="K228" s="178" t="inlineStr">
        <is>
          <t>тыс. т</t>
        </is>
      </c>
    </row>
    <row r="229" ht="24" customHeight="1" s="904">
      <c r="A229" s="989" t="n"/>
      <c r="C229" s="704" t="n"/>
      <c r="D229" s="986" t="inlineStr">
        <is>
          <t>ПАО "Газпром", всего:</t>
        </is>
      </c>
      <c r="E229" s="15" t="inlineStr">
        <is>
          <t>100332210</t>
        </is>
      </c>
      <c r="F229" s="15" t="n"/>
      <c r="G229" s="16" t="n"/>
      <c r="H229" s="17" t="inlineStr">
        <is>
          <t>100332211+100332212+100335145</t>
        </is>
      </c>
      <c r="I229" s="636" t="n"/>
      <c r="J229" s="17" t="n"/>
      <c r="K229" s="176" t="inlineStr">
        <is>
          <t>тыс. т</t>
        </is>
      </c>
    </row>
    <row r="230" ht="18.75" customHeight="1" s="904">
      <c r="A230" s="989" t="n"/>
      <c r="C230" s="704" t="n"/>
      <c r="D230" s="986" t="inlineStr">
        <is>
          <t xml:space="preserve"> - из сырья  ООО "Газпром добыча Оренбург"</t>
        </is>
      </c>
      <c r="E230" s="15" t="inlineStr">
        <is>
          <t>100332211</t>
        </is>
      </c>
      <c r="F230" s="15" t="n"/>
      <c r="G230" s="16" t="n"/>
      <c r="H230" s="17" t="n"/>
      <c r="I230" s="636" t="n"/>
      <c r="J230" s="17" t="n"/>
      <c r="K230" s="176" t="inlineStr">
        <is>
          <t>тыс. т</t>
        </is>
      </c>
    </row>
    <row r="231" ht="18.75" customHeight="1" s="904">
      <c r="A231" s="989" t="n"/>
      <c r="C231" s="704" t="n"/>
      <c r="D231" s="986" t="inlineStr">
        <is>
          <t xml:space="preserve"> - из сырья ПАО "Газпром нефть"</t>
        </is>
      </c>
      <c r="E231" s="15" t="inlineStr">
        <is>
          <t>100332212</t>
        </is>
      </c>
      <c r="F231" s="15" t="n"/>
      <c r="G231" s="16" t="n"/>
      <c r="H231" s="17" t="n"/>
      <c r="I231" s="636" t="n"/>
      <c r="J231" s="17" t="n"/>
      <c r="K231" s="176" t="inlineStr">
        <is>
          <t>тыс. т</t>
        </is>
      </c>
    </row>
    <row r="232" ht="18.75" customHeight="1" s="904">
      <c r="A232" s="989" t="n"/>
      <c r="C232" s="704" t="n"/>
      <c r="D232" s="985" t="inlineStr">
        <is>
          <t xml:space="preserve">- из сырья Прочих поставщиков </t>
        </is>
      </c>
      <c r="E232" s="15" t="inlineStr">
        <is>
          <t>100335145</t>
        </is>
      </c>
      <c r="F232" s="15" t="n"/>
      <c r="G232" s="16" t="n"/>
      <c r="H232" s="17" t="n"/>
      <c r="I232" s="636" t="n"/>
      <c r="J232" s="17" t="n"/>
      <c r="K232" s="176" t="inlineStr">
        <is>
          <t>тыс. т</t>
        </is>
      </c>
    </row>
    <row r="233" ht="24" customHeight="1" s="904">
      <c r="A233" s="989" t="n"/>
      <c r="C233" s="707" t="inlineStr">
        <is>
          <t>3.5.</t>
        </is>
      </c>
      <c r="D233" s="982" t="inlineStr">
        <is>
          <t>СЖИЖЕННЫЙ ГАЗ, ВСЕГО:</t>
        </is>
      </c>
      <c r="E233" s="15" t="inlineStr">
        <is>
          <t>100332213</t>
        </is>
      </c>
      <c r="F233" s="15" t="n"/>
      <c r="G233" s="16" t="n"/>
      <c r="H233" s="17" t="inlineStr">
        <is>
          <t>100332215+100332220+100332226+100332227</t>
        </is>
      </c>
      <c r="I233" s="636" t="n"/>
      <c r="J233" s="17" t="n"/>
      <c r="K233" s="175" t="inlineStr">
        <is>
          <t>тыс. т</t>
        </is>
      </c>
    </row>
    <row r="234" ht="24" customHeight="1" s="904">
      <c r="A234" s="989" t="n"/>
      <c r="C234" s="703" t="n"/>
      <c r="D234" s="1001" t="inlineStr">
        <is>
          <t>в том числе без давальцев, всего:</t>
        </is>
      </c>
      <c r="E234" s="15" t="n">
        <v>100332214</v>
      </c>
      <c r="F234" s="15" t="n"/>
      <c r="G234" s="16" t="n"/>
      <c r="H234" s="17" t="inlineStr">
        <is>
          <t>100332215+100332220+100332226</t>
        </is>
      </c>
      <c r="I234" s="636" t="n"/>
      <c r="J234" s="17" t="n"/>
      <c r="K234" s="175" t="inlineStr">
        <is>
          <t>тыс. т</t>
        </is>
      </c>
    </row>
    <row r="235" ht="24" customHeight="1" s="904">
      <c r="A235" s="989" t="n"/>
      <c r="C235" s="703" t="inlineStr">
        <is>
          <t>3.5.1.</t>
        </is>
      </c>
      <c r="D235" s="1001" t="inlineStr">
        <is>
          <t>ПАО "Газпром" , всего:</t>
        </is>
      </c>
      <c r="E235" s="15" t="inlineStr">
        <is>
          <t>100332215</t>
        </is>
      </c>
      <c r="F235" s="15" t="n"/>
      <c r="G235" s="16" t="n"/>
      <c r="H235" s="17" t="inlineStr">
        <is>
          <t>100332216+100332218+100332955+100335146</t>
        </is>
      </c>
      <c r="I235" s="636" t="n"/>
      <c r="J235" s="17" t="n"/>
      <c r="K235" s="175" t="inlineStr">
        <is>
          <t>тыс. т</t>
        </is>
      </c>
    </row>
    <row r="236" ht="31.5" customHeight="1" s="904">
      <c r="A236" s="989" t="n"/>
      <c r="C236" s="703" t="n"/>
      <c r="D236" s="1001" t="inlineStr">
        <is>
          <t xml:space="preserve"> - ПБА/ПБТ, из сырья ООО "Газпром добыча Оренбург", всего:</t>
        </is>
      </c>
      <c r="E236" s="15" t="inlineStr">
        <is>
          <t>100332216</t>
        </is>
      </c>
      <c r="F236" s="15" t="n"/>
      <c r="G236" s="16" t="n"/>
      <c r="H236" s="17" t="inlineStr">
        <is>
          <t>100332217+100330955</t>
        </is>
      </c>
      <c r="I236" s="636" t="n"/>
      <c r="J236" s="17" t="n"/>
      <c r="K236" s="175" t="inlineStr">
        <is>
          <t>тыс. т</t>
        </is>
      </c>
    </row>
    <row r="237" ht="18.75" customHeight="1" s="904">
      <c r="A237" s="989" t="n"/>
      <c r="C237" s="703" t="n"/>
      <c r="D237" s="986" t="inlineStr">
        <is>
          <t>в том числе с ГПЗ</t>
        </is>
      </c>
      <c r="E237" s="15" t="inlineStr">
        <is>
          <t>100332217</t>
        </is>
      </c>
      <c r="F237" s="15" t="n"/>
      <c r="G237" s="16" t="n"/>
      <c r="H237" s="17" t="n"/>
      <c r="I237" s="636" t="n"/>
      <c r="J237" s="17" t="n"/>
      <c r="K237" s="175" t="inlineStr">
        <is>
          <t>тыс. т</t>
        </is>
      </c>
    </row>
    <row r="238" ht="18.75" customHeight="1" s="904">
      <c r="A238" s="989" t="n"/>
      <c r="C238" s="703" t="n"/>
      <c r="D238" s="986" t="inlineStr">
        <is>
          <t>в том числе с ГЗ</t>
        </is>
      </c>
      <c r="E238" s="15" t="inlineStr">
        <is>
          <t>100330955</t>
        </is>
      </c>
      <c r="F238" s="15" t="n"/>
      <c r="G238" s="16" t="n"/>
      <c r="H238" s="17" t="n"/>
      <c r="I238" s="636" t="n"/>
      <c r="J238" s="17" t="n"/>
      <c r="K238" s="175" t="inlineStr">
        <is>
          <t>тыс. т</t>
        </is>
      </c>
    </row>
    <row r="239" ht="18.75" customHeight="1" s="904">
      <c r="A239" s="989" t="n"/>
      <c r="C239" s="703" t="n"/>
      <c r="D239" s="1001" t="inlineStr">
        <is>
          <t xml:space="preserve"> - ПБА/ПБТ, из сырья ПАО "Газпром нефть", всего:</t>
        </is>
      </c>
      <c r="E239" s="15" t="inlineStr">
        <is>
          <t>100332218</t>
        </is>
      </c>
      <c r="F239" s="15" t="n"/>
      <c r="G239" s="16" t="n"/>
      <c r="H239" s="17" t="inlineStr">
        <is>
          <t>100332219+100330956</t>
        </is>
      </c>
      <c r="I239" s="636" t="n"/>
      <c r="J239" s="17" t="n"/>
      <c r="K239" s="175" t="inlineStr">
        <is>
          <t>тыс. т</t>
        </is>
      </c>
    </row>
    <row r="240" ht="18.75" customHeight="1" s="904">
      <c r="A240" s="989" t="n"/>
      <c r="C240" s="703" t="n"/>
      <c r="D240" s="986" t="inlineStr">
        <is>
          <t>в том числе с ГПЗ</t>
        </is>
      </c>
      <c r="E240" s="15" t="inlineStr">
        <is>
          <t>100332219</t>
        </is>
      </c>
      <c r="F240" s="15" t="n"/>
      <c r="G240" s="16" t="n"/>
      <c r="H240" s="17" t="n"/>
      <c r="I240" s="636" t="n"/>
      <c r="J240" s="17" t="n"/>
      <c r="K240" s="175" t="inlineStr">
        <is>
          <t>тыс. т</t>
        </is>
      </c>
    </row>
    <row r="241" ht="18.75" customHeight="1" s="904">
      <c r="A241" s="989" t="n"/>
      <c r="C241" s="703" t="n"/>
      <c r="D241" s="986" t="inlineStr">
        <is>
          <t>в том числе с ГЗ</t>
        </is>
      </c>
      <c r="E241" s="15" t="inlineStr">
        <is>
          <t>100330956</t>
        </is>
      </c>
      <c r="F241" s="15" t="n"/>
      <c r="G241" s="16" t="n"/>
      <c r="H241" s="17" t="n"/>
      <c r="I241" s="636" t="n"/>
      <c r="J241" s="17" t="n"/>
      <c r="K241" s="175" t="inlineStr">
        <is>
          <t>тыс. т</t>
        </is>
      </c>
    </row>
    <row r="242" ht="18.75" customHeight="1" s="904">
      <c r="A242" s="989" t="n"/>
      <c r="C242" s="703" t="n"/>
      <c r="D242" s="1001" t="inlineStr">
        <is>
          <t xml:space="preserve"> - ПБА/ПБТ, из сырья Прочих поставщиков, всего:</t>
        </is>
      </c>
      <c r="E242" s="15" t="inlineStr">
        <is>
          <t>100335146</t>
        </is>
      </c>
      <c r="F242" s="15" t="n"/>
      <c r="G242" s="16" t="n"/>
      <c r="H242" s="17" t="inlineStr">
        <is>
          <t>100335147+100335148</t>
        </is>
      </c>
      <c r="I242" s="636" t="n"/>
      <c r="J242" s="17" t="n"/>
      <c r="K242" s="175" t="inlineStr">
        <is>
          <t>тыс. т</t>
        </is>
      </c>
    </row>
    <row r="243" ht="18.75" customHeight="1" s="904">
      <c r="A243" s="989" t="n"/>
      <c r="C243" s="703" t="n"/>
      <c r="D243" s="986" t="inlineStr">
        <is>
          <t>в том числе с ГПЗ</t>
        </is>
      </c>
      <c r="E243" s="15" t="inlineStr">
        <is>
          <t>100335147</t>
        </is>
      </c>
      <c r="F243" s="15" t="n"/>
      <c r="G243" s="16" t="n"/>
      <c r="H243" s="17" t="n"/>
      <c r="I243" s="636" t="n"/>
      <c r="J243" s="17" t="n"/>
      <c r="K243" s="175" t="inlineStr">
        <is>
          <t>тыс. т</t>
        </is>
      </c>
    </row>
    <row r="244" ht="18.75" customHeight="1" s="904">
      <c r="A244" s="989" t="n"/>
      <c r="C244" s="703" t="n"/>
      <c r="D244" s="986" t="inlineStr">
        <is>
          <t>в том числе с ГЗ</t>
        </is>
      </c>
      <c r="E244" s="15" t="inlineStr">
        <is>
          <t>100335148</t>
        </is>
      </c>
      <c r="F244" s="15" t="n"/>
      <c r="G244" s="16" t="n"/>
      <c r="H244" s="17" t="n"/>
      <c r="I244" s="636" t="n"/>
      <c r="J244" s="17" t="n"/>
      <c r="K244" s="175" t="inlineStr">
        <is>
          <t>тыс. т</t>
        </is>
      </c>
    </row>
    <row r="245" ht="31.5" customHeight="1" s="904">
      <c r="A245" s="989" t="n"/>
      <c r="C245" s="703" t="n"/>
      <c r="D245" s="1001" t="inlineStr">
        <is>
          <t xml:space="preserve"> - Бутан технический, из сырья ООО "Газпром добыча Оренбург"</t>
        </is>
      </c>
      <c r="E245" s="15" t="inlineStr">
        <is>
          <t>100332955</t>
        </is>
      </c>
      <c r="F245" s="15" t="n"/>
      <c r="G245" s="16" t="n"/>
      <c r="H245" s="17" t="n"/>
      <c r="I245" s="636" t="n"/>
      <c r="J245" s="17" t="n"/>
      <c r="K245" s="175" t="inlineStr">
        <is>
          <t>тыс. т</t>
        </is>
      </c>
    </row>
    <row r="246" ht="31.5" customHeight="1" s="904">
      <c r="A246" s="989" t="n"/>
      <c r="C246" s="703" t="inlineStr">
        <is>
          <t>3.5.2.</t>
        </is>
      </c>
      <c r="D246" s="1001" t="inlineStr">
        <is>
          <t>ООО "Газпром переработка" (ПБА/ПБТ) (продукция ГПЗ), всего:</t>
        </is>
      </c>
      <c r="E246" s="15" t="inlineStr">
        <is>
          <t>100332220</t>
        </is>
      </c>
      <c r="F246" s="15" t="n"/>
      <c r="G246" s="16" t="n"/>
      <c r="H246" s="17" t="inlineStr">
        <is>
          <t>100332221+100332223+100332224</t>
        </is>
      </c>
      <c r="I246" s="636" t="n"/>
      <c r="J246" s="17" t="n"/>
      <c r="K246" s="175" t="inlineStr">
        <is>
          <t>тыс. т</t>
        </is>
      </c>
    </row>
    <row r="247" ht="18.75" customHeight="1" s="904">
      <c r="A247" s="989" t="n"/>
      <c r="C247" s="703" t="n"/>
      <c r="D247" s="1001" t="inlineStr">
        <is>
          <t xml:space="preserve"> - из газа ООО "Газпром добыча Оренбург"</t>
        </is>
      </c>
      <c r="E247" s="15" t="inlineStr">
        <is>
          <t>100332221</t>
        </is>
      </c>
      <c r="F247" s="15" t="n"/>
      <c r="G247" s="16" t="n"/>
      <c r="H247" s="17" t="n"/>
      <c r="I247" s="636" t="n"/>
      <c r="J247" s="17" t="n"/>
      <c r="K247" s="175" t="inlineStr">
        <is>
          <t>тыс. т</t>
        </is>
      </c>
    </row>
    <row r="248" ht="31.5" customHeight="1" s="904">
      <c r="A248" s="989" t="n"/>
      <c r="C248" s="703" t="n"/>
      <c r="D248" s="710" t="inlineStr">
        <is>
          <t>в т.ч. собственная потребность ООО "Газпром переработка"</t>
        </is>
      </c>
      <c r="E248" s="15" t="inlineStr">
        <is>
          <t>100332222</t>
        </is>
      </c>
      <c r="F248" s="15" t="n"/>
      <c r="G248" s="16" t="n"/>
      <c r="H248" s="17" t="n"/>
      <c r="I248" s="636" t="n"/>
      <c r="J248" s="17" t="n"/>
      <c r="K248" s="175" t="inlineStr">
        <is>
          <t>тыс. т</t>
        </is>
      </c>
    </row>
    <row r="249" ht="18.75" customHeight="1" s="904">
      <c r="A249" s="989" t="n"/>
      <c r="C249" s="703" t="n"/>
      <c r="D249" s="1001" t="inlineStr">
        <is>
          <t xml:space="preserve"> -  из газа ПАО "Газпром нефть"</t>
        </is>
      </c>
      <c r="E249" s="15" t="inlineStr">
        <is>
          <t>100332223</t>
        </is>
      </c>
      <c r="F249" s="15" t="n"/>
      <c r="G249" s="16" t="n"/>
      <c r="H249" s="17" t="n"/>
      <c r="I249" s="636" t="n"/>
      <c r="J249" s="17" t="n"/>
      <c r="K249" s="175" t="inlineStr">
        <is>
          <t>тыс. т</t>
        </is>
      </c>
    </row>
    <row r="250" ht="18.75" customHeight="1" s="904">
      <c r="A250" s="989" t="n"/>
      <c r="C250" s="703" t="n"/>
      <c r="D250" s="1001" t="inlineStr">
        <is>
          <t xml:space="preserve"> -  из сырья Прочих поставщиков</t>
        </is>
      </c>
      <c r="E250" s="15" t="inlineStr">
        <is>
          <t>100332224</t>
        </is>
      </c>
      <c r="F250" s="15" t="n"/>
      <c r="G250" s="16" t="n"/>
      <c r="H250" s="17" t="n"/>
      <c r="I250" s="636" t="n"/>
      <c r="J250" s="17" t="n"/>
      <c r="K250" s="175" t="inlineStr">
        <is>
          <t>тыс. т</t>
        </is>
      </c>
    </row>
    <row r="251" ht="31.5" customHeight="1" s="904">
      <c r="A251" s="989" t="n"/>
      <c r="C251" s="703" t="n"/>
      <c r="D251" s="709" t="inlineStr">
        <is>
          <t xml:space="preserve">в т.ч. из жидких углеводородов Прочих поставщиков </t>
        </is>
      </c>
      <c r="E251" s="15" t="inlineStr">
        <is>
          <t>100335668</t>
        </is>
      </c>
      <c r="F251" s="15" t="n"/>
      <c r="G251" s="16" t="n"/>
      <c r="H251" s="17" t="n"/>
      <c r="I251" s="636" t="n"/>
      <c r="J251" s="17" t="n"/>
      <c r="K251" s="175" t="inlineStr">
        <is>
          <t>тыс. т</t>
        </is>
      </c>
    </row>
    <row r="252" ht="31.5" customHeight="1" s="904">
      <c r="A252" s="989" t="n"/>
      <c r="C252" s="703" t="inlineStr">
        <is>
          <t>3.5.3.</t>
        </is>
      </c>
      <c r="D252" s="1001" t="inlineStr">
        <is>
          <t>ООО "Сервиснефтегаз" (ПБА/ПБТ) (продукция ГПЗ), из нефти</t>
        </is>
      </c>
      <c r="E252" s="15" t="inlineStr">
        <is>
          <t>100332226</t>
        </is>
      </c>
      <c r="F252" s="15" t="n"/>
      <c r="G252" s="16" t="n"/>
      <c r="H252" s="17" t="n"/>
      <c r="I252" s="636" t="n"/>
      <c r="J252" s="17" t="n"/>
      <c r="K252" s="175" t="inlineStr">
        <is>
          <t>тыс. т</t>
        </is>
      </c>
    </row>
    <row r="253" ht="18.75" customHeight="1" s="904">
      <c r="A253" s="989" t="n"/>
      <c r="C253" s="703" t="inlineStr">
        <is>
          <t>3.5.4.</t>
        </is>
      </c>
      <c r="D253" s="1001" t="inlineStr">
        <is>
          <t>ТОО "КазРосГаз" (ПБА/ПБТ), всего:</t>
        </is>
      </c>
      <c r="E253" s="15" t="inlineStr">
        <is>
          <t>100332227</t>
        </is>
      </c>
      <c r="F253" s="15" t="n"/>
      <c r="G253" s="16" t="n"/>
      <c r="H253" s="17" t="inlineStr">
        <is>
          <t>100330957+100332228</t>
        </is>
      </c>
      <c r="I253" s="636" t="n"/>
      <c r="J253" s="17" t="n"/>
      <c r="K253" s="175" t="inlineStr">
        <is>
          <t>тыс. т</t>
        </is>
      </c>
    </row>
    <row r="254" ht="18.75" customHeight="1" s="904">
      <c r="A254" s="989" t="n"/>
      <c r="C254" s="703" t="n"/>
      <c r="D254" s="986" t="inlineStr">
        <is>
          <t>в том числе с ГПЗ</t>
        </is>
      </c>
      <c r="E254" s="15" t="inlineStr">
        <is>
          <t>100332228</t>
        </is>
      </c>
      <c r="F254" s="15" t="n"/>
      <c r="G254" s="16" t="n"/>
      <c r="H254" s="17" t="n"/>
      <c r="I254" s="636" t="n"/>
      <c r="J254" s="17" t="n"/>
      <c r="K254" s="175" t="inlineStr">
        <is>
          <t>тыс. т</t>
        </is>
      </c>
    </row>
    <row r="255" ht="18.75" customHeight="1" s="904">
      <c r="A255" s="989" t="n"/>
      <c r="C255" s="703" t="n"/>
      <c r="D255" s="986" t="inlineStr">
        <is>
          <t>в том числе с ГЗ</t>
        </is>
      </c>
      <c r="E255" s="15" t="inlineStr">
        <is>
          <t>100330957</t>
        </is>
      </c>
      <c r="F255" s="15" t="n"/>
      <c r="G255" s="16" t="n"/>
      <c r="H255" s="17" t="n"/>
      <c r="I255" s="636" t="n"/>
      <c r="J255" s="17" t="n"/>
      <c r="K255" s="175" t="inlineStr">
        <is>
          <t>тыс. т</t>
        </is>
      </c>
    </row>
    <row r="256" ht="31.5" customHeight="1" s="904">
      <c r="A256" s="989" t="n"/>
      <c r="C256" s="707" t="inlineStr">
        <is>
          <t>3.6.</t>
        </is>
      </c>
      <c r="D256" s="711" t="inlineStr">
        <is>
          <t>ФРАКЦИЯ УГЛЕВОДОРОДНАЯ/ПГФ (продукция ГЗ), ВСЕГО:</t>
        </is>
      </c>
      <c r="E256" s="15" t="inlineStr">
        <is>
          <t>100332232</t>
        </is>
      </c>
      <c r="F256" s="15" t="n"/>
      <c r="G256" s="16" t="n"/>
      <c r="H256" s="17" t="inlineStr">
        <is>
          <t>100332233+100332236</t>
        </is>
      </c>
      <c r="I256" s="636" t="n"/>
      <c r="J256" s="17" t="n"/>
      <c r="K256" s="175" t="inlineStr">
        <is>
          <t>тыс. т</t>
        </is>
      </c>
    </row>
    <row r="257" ht="24" customHeight="1" s="904">
      <c r="A257" s="989" t="n"/>
      <c r="C257" s="703" t="inlineStr">
        <is>
          <t>3.6.1.</t>
        </is>
      </c>
      <c r="D257" s="1001" t="inlineStr">
        <is>
          <t>ПАО "Газпром", всего:</t>
        </is>
      </c>
      <c r="E257" s="15" t="n">
        <v>100332233</v>
      </c>
      <c r="F257" s="15" t="n"/>
      <c r="G257" s="16" t="n"/>
      <c r="H257" s="17" t="inlineStr">
        <is>
          <t>100332234+100332235+100335150</t>
        </is>
      </c>
      <c r="I257" s="636" t="n"/>
      <c r="J257" s="17" t="n"/>
      <c r="K257" s="175" t="inlineStr">
        <is>
          <t>тыс. т</t>
        </is>
      </c>
    </row>
    <row r="258" ht="18.75" customHeight="1" s="904">
      <c r="A258" s="989" t="n"/>
      <c r="C258" s="703" t="n"/>
      <c r="D258" s="1001" t="inlineStr">
        <is>
          <t xml:space="preserve"> - из газа ООО "Газпром добыча Оренбург"</t>
        </is>
      </c>
      <c r="E258" s="15" t="inlineStr">
        <is>
          <t>100332234</t>
        </is>
      </c>
      <c r="F258" s="15" t="n"/>
      <c r="G258" s="16" t="n"/>
      <c r="H258" s="17" t="n"/>
      <c r="I258" s="636" t="n"/>
      <c r="J258" s="17" t="n"/>
      <c r="K258" s="175" t="inlineStr">
        <is>
          <t>тыс. т</t>
        </is>
      </c>
    </row>
    <row r="259" ht="18.75" customHeight="1" s="904">
      <c r="A259" s="989" t="n"/>
      <c r="C259" s="703" t="n"/>
      <c r="D259" s="1001" t="inlineStr">
        <is>
          <t xml:space="preserve"> - из газа ПАО "Газпром нефть"</t>
        </is>
      </c>
      <c r="E259" s="15" t="inlineStr">
        <is>
          <t>100332235</t>
        </is>
      </c>
      <c r="F259" s="15" t="n"/>
      <c r="G259" s="16" t="n"/>
      <c r="H259" s="17" t="n"/>
      <c r="I259" s="636" t="n"/>
      <c r="J259" s="17" t="n"/>
      <c r="K259" s="175" t="inlineStr">
        <is>
          <t>тыс. т</t>
        </is>
      </c>
    </row>
    <row r="260" ht="18.75" customHeight="1" s="904">
      <c r="A260" s="989" t="n"/>
      <c r="C260" s="703" t="n"/>
      <c r="D260" s="979" t="inlineStr">
        <is>
          <t>-  из газа Прочих поставщиков</t>
        </is>
      </c>
      <c r="E260" s="15" t="inlineStr">
        <is>
          <t>100335150</t>
        </is>
      </c>
      <c r="F260" s="15" t="n"/>
      <c r="G260" s="16" t="n"/>
      <c r="H260" s="17" t="n"/>
      <c r="I260" s="636" t="n"/>
      <c r="J260" s="17" t="n"/>
      <c r="K260" s="175" t="inlineStr">
        <is>
          <t>тыс. т</t>
        </is>
      </c>
    </row>
    <row r="261" ht="18.75" customHeight="1" s="904">
      <c r="A261" s="989" t="n"/>
      <c r="C261" s="703" t="inlineStr">
        <is>
          <t>3.6.2.</t>
        </is>
      </c>
      <c r="D261" s="1001" t="inlineStr">
        <is>
          <t>ТОО "КазРосГаз"</t>
        </is>
      </c>
      <c r="E261" s="15" t="inlineStr">
        <is>
          <t>100332236</t>
        </is>
      </c>
      <c r="F261" s="15" t="n"/>
      <c r="G261" s="16" t="n"/>
      <c r="H261" s="17" t="n"/>
      <c r="I261" s="636" t="n"/>
      <c r="J261" s="17" t="n"/>
      <c r="K261" s="175" t="inlineStr">
        <is>
          <t>тыс. т</t>
        </is>
      </c>
    </row>
    <row r="262" ht="18.75" customHeight="1" s="904">
      <c r="A262" s="989" t="n"/>
      <c r="C262" s="707" t="inlineStr">
        <is>
          <t>3.7.</t>
        </is>
      </c>
      <c r="D262" s="982" t="inlineStr">
        <is>
          <t>ОДОРАНТ (продукция ГПЗ), ВСЕГО:</t>
        </is>
      </c>
      <c r="E262" s="15" t="n">
        <v>100332237</v>
      </c>
      <c r="F262" s="15" t="n"/>
      <c r="G262" s="16" t="n"/>
      <c r="H262" s="17" t="inlineStr">
        <is>
          <t>100332238/$1000</t>
        </is>
      </c>
      <c r="I262" s="636" t="n"/>
      <c r="J262" s="17" t="n"/>
      <c r="K262" s="175" t="inlineStr">
        <is>
          <t>тыс. т</t>
        </is>
      </c>
    </row>
    <row r="263" ht="18.75" customHeight="1" s="904">
      <c r="A263" s="989" t="n"/>
      <c r="C263" s="703" t="n"/>
      <c r="D263" s="712" t="inlineStr">
        <is>
          <t xml:space="preserve"> ООО "Газпром переработка", всего:</t>
        </is>
      </c>
      <c r="E263" s="15" t="inlineStr">
        <is>
          <t>100332238</t>
        </is>
      </c>
      <c r="F263" s="15" t="n"/>
      <c r="G263" s="16" t="n"/>
      <c r="H263" s="17" t="inlineStr">
        <is>
          <t>100332239</t>
        </is>
      </c>
      <c r="I263" s="636" t="n"/>
      <c r="J263" s="17" t="n"/>
      <c r="K263" s="175" t="inlineStr">
        <is>
          <t>тонн</t>
        </is>
      </c>
    </row>
    <row r="264" ht="18.75" customHeight="1" s="904">
      <c r="A264" s="989" t="n"/>
      <c r="C264" s="703" t="n"/>
      <c r="D264" s="1001" t="inlineStr">
        <is>
          <t xml:space="preserve"> - из сырья ООО "Газпром добыча Оренбург"</t>
        </is>
      </c>
      <c r="E264" s="15" t="inlineStr">
        <is>
          <t>100332239</t>
        </is>
      </c>
      <c r="F264" s="15" t="n"/>
      <c r="G264" s="16" t="n"/>
      <c r="H264" s="17" t="n"/>
      <c r="I264" s="636" t="n"/>
      <c r="J264" s="17" t="n"/>
      <c r="K264" s="175" t="inlineStr">
        <is>
          <t>тонн</t>
        </is>
      </c>
    </row>
    <row r="265" ht="18.75" customHeight="1" s="904">
      <c r="A265" s="989" t="n"/>
      <c r="C265" s="707" t="inlineStr">
        <is>
          <t>3.8.</t>
        </is>
      </c>
      <c r="D265" s="713" t="inlineStr">
        <is>
          <t xml:space="preserve"> ЭТАН (продукция ГЗ), ВСЕГО:</t>
        </is>
      </c>
      <c r="E265" s="15" t="n">
        <v>100332240</v>
      </c>
      <c r="F265" s="15" t="n"/>
      <c r="G265" s="16" t="n"/>
      <c r="H265" s="17" t="inlineStr">
        <is>
          <t>100332241+100332244</t>
        </is>
      </c>
      <c r="I265" s="636" t="n"/>
      <c r="J265" s="17" t="n"/>
      <c r="K265" s="175" t="inlineStr">
        <is>
          <t>тыс. т</t>
        </is>
      </c>
    </row>
    <row r="266" ht="24" customHeight="1" s="904">
      <c r="A266" s="989" t="n"/>
      <c r="C266" s="703" t="inlineStr">
        <is>
          <t>3.8.1.</t>
        </is>
      </c>
      <c r="D266" s="1001" t="inlineStr">
        <is>
          <t>ООО "Газпром переработка", всего:</t>
        </is>
      </c>
      <c r="E266" s="15" t="inlineStr">
        <is>
          <t>100332241</t>
        </is>
      </c>
      <c r="F266" s="15" t="n"/>
      <c r="G266" s="16" t="n"/>
      <c r="H266" s="17" t="inlineStr">
        <is>
          <t>100332242+100332243+100335151</t>
        </is>
      </c>
      <c r="I266" s="636" t="n"/>
      <c r="J266" s="17" t="n"/>
      <c r="K266" s="175" t="inlineStr">
        <is>
          <t>тыс. т</t>
        </is>
      </c>
    </row>
    <row r="267" ht="18.75" customHeight="1" s="904">
      <c r="A267" s="989" t="n"/>
      <c r="C267" s="703" t="n"/>
      <c r="D267" s="1001" t="inlineStr">
        <is>
          <t xml:space="preserve"> - из газа ООО "Газпром добыча Оренбург"</t>
        </is>
      </c>
      <c r="E267" s="15" t="inlineStr">
        <is>
          <t>100332242</t>
        </is>
      </c>
      <c r="F267" s="15" t="n"/>
      <c r="G267" s="16" t="n"/>
      <c r="H267" s="17" t="n"/>
      <c r="I267" s="636" t="n"/>
      <c r="J267" s="17" t="n"/>
      <c r="K267" s="175" t="inlineStr">
        <is>
          <t>тыс. т</t>
        </is>
      </c>
    </row>
    <row r="268" ht="18.75" customHeight="1" s="904">
      <c r="A268" s="989" t="n"/>
      <c r="C268" s="703" t="n"/>
      <c r="D268" s="1001" t="inlineStr">
        <is>
          <t xml:space="preserve"> - из газа ПАО "Газпром нефть"</t>
        </is>
      </c>
      <c r="E268" s="15" t="inlineStr">
        <is>
          <t>100332243</t>
        </is>
      </c>
      <c r="F268" s="15" t="n"/>
      <c r="G268" s="16" t="n"/>
      <c r="H268" s="17" t="n"/>
      <c r="I268" s="636" t="n"/>
      <c r="J268" s="17" t="n"/>
      <c r="K268" s="175" t="inlineStr">
        <is>
          <t>тыс. т</t>
        </is>
      </c>
    </row>
    <row r="269" ht="18.75" customHeight="1" s="904">
      <c r="A269" s="989" t="n"/>
      <c r="C269" s="703" t="n"/>
      <c r="D269" s="979" t="inlineStr">
        <is>
          <t>-  из газа Прочих поставщиков</t>
        </is>
      </c>
      <c r="E269" s="15" t="inlineStr">
        <is>
          <t>100335151</t>
        </is>
      </c>
      <c r="F269" s="15" t="n"/>
      <c r="G269" s="16" t="n"/>
      <c r="H269" s="17" t="n"/>
      <c r="I269" s="636" t="n"/>
      <c r="J269" s="17" t="n"/>
      <c r="K269" s="175" t="inlineStr">
        <is>
          <t>тыс. т</t>
        </is>
      </c>
    </row>
    <row r="270" ht="18.75" customHeight="1" s="904">
      <c r="A270" s="989" t="n"/>
      <c r="C270" s="703" t="inlineStr">
        <is>
          <t>3.8.2.</t>
        </is>
      </c>
      <c r="D270" s="1001" t="inlineStr">
        <is>
          <t>ТОО "КазРосГаз"</t>
        </is>
      </c>
      <c r="E270" s="15" t="inlineStr">
        <is>
          <t>100332244</t>
        </is>
      </c>
      <c r="F270" s="15" t="n"/>
      <c r="G270" s="16" t="n"/>
      <c r="H270" s="17" t="n"/>
      <c r="I270" s="636" t="n"/>
      <c r="J270" s="17" t="n"/>
      <c r="K270" s="175" t="inlineStr">
        <is>
          <t>тыс. т</t>
        </is>
      </c>
    </row>
    <row r="271" ht="18.75" customHeight="1" s="904">
      <c r="A271" s="989" t="n"/>
      <c r="C271" s="707" t="inlineStr">
        <is>
          <t>3.9.</t>
        </is>
      </c>
      <c r="D271" s="982" t="inlineStr">
        <is>
          <t>ГЕЛИЙ (продукция ГЗ), ВСЕГО:</t>
        </is>
      </c>
      <c r="E271" s="15" t="inlineStr">
        <is>
          <t>100332245</t>
        </is>
      </c>
      <c r="F271" s="15" t="n"/>
      <c r="G271" s="16" t="n"/>
      <c r="H271" s="17" t="inlineStr">
        <is>
          <t>100332248+100332250</t>
        </is>
      </c>
      <c r="I271" s="636" t="n"/>
      <c r="J271" s="17" t="n"/>
      <c r="K271" s="589" t="inlineStr">
        <is>
          <t>тыс куб.м</t>
        </is>
      </c>
    </row>
    <row r="272" ht="18.75" customHeight="1" s="904">
      <c r="A272" s="989" t="n"/>
      <c r="C272" s="707" t="n"/>
      <c r="D272" s="964" t="n"/>
      <c r="E272" s="15" t="n">
        <v>100335421</v>
      </c>
      <c r="F272" s="15" t="n"/>
      <c r="G272" s="16" t="n"/>
      <c r="H272" s="17" t="inlineStr">
        <is>
          <t>100335422+100332251</t>
        </is>
      </c>
      <c r="I272" s="636" t="n"/>
      <c r="J272" s="17" t="n"/>
      <c r="K272" s="175" t="inlineStr">
        <is>
          <t>тонн</t>
        </is>
      </c>
    </row>
    <row r="273" ht="18.75" customHeight="1" s="904">
      <c r="A273" s="989" t="n"/>
      <c r="C273" s="703" t="n"/>
      <c r="D273" s="1001" t="inlineStr">
        <is>
          <t>ООО "Газпром переработка", всего:</t>
        </is>
      </c>
      <c r="E273" s="15" t="inlineStr">
        <is>
          <t>100335431</t>
        </is>
      </c>
      <c r="F273" s="15" t="n"/>
      <c r="G273" s="16" t="n"/>
      <c r="H273" s="17" t="n"/>
      <c r="I273" s="636" t="n"/>
      <c r="J273" s="17" t="n"/>
      <c r="K273" s="175" t="inlineStr">
        <is>
          <t>тонн</t>
        </is>
      </c>
    </row>
    <row r="274" ht="18.75" customHeight="1" s="904">
      <c r="A274" s="989" t="n"/>
      <c r="C274" s="703" t="n"/>
      <c r="D274" s="1001" t="inlineStr">
        <is>
          <t xml:space="preserve"> - из сырья ООО "Газпром добыча Оренбург"</t>
        </is>
      </c>
      <c r="E274" s="15" t="inlineStr">
        <is>
          <t>100332247</t>
        </is>
      </c>
      <c r="F274" s="15" t="n"/>
      <c r="G274" s="16" t="n"/>
      <c r="H274" s="17" t="inlineStr">
        <is>
          <t>100332248+100332250</t>
        </is>
      </c>
      <c r="I274" s="636" t="n"/>
      <c r="J274" s="17" t="n"/>
      <c r="K274" s="175" t="inlineStr">
        <is>
          <t>тыс куб.м</t>
        </is>
      </c>
    </row>
    <row r="275" ht="18.75" customHeight="1" s="904">
      <c r="A275" s="989" t="n"/>
      <c r="C275" s="703" t="n"/>
      <c r="D275" s="1001" t="inlineStr">
        <is>
          <t>в том числе:</t>
        </is>
      </c>
      <c r="E275" s="15" t="n"/>
      <c r="F275" s="15" t="n"/>
      <c r="G275" s="16" t="n"/>
      <c r="H275" s="17" t="n"/>
      <c r="I275" s="636" t="n"/>
      <c r="J275" s="17" t="n"/>
      <c r="K275" s="175" t="n"/>
    </row>
    <row r="276" ht="18.75" customHeight="1" s="904">
      <c r="A276" s="989" t="n"/>
      <c r="C276" s="703" t="n"/>
      <c r="D276" s="714" t="inlineStr">
        <is>
          <t>гелий газообразный</t>
        </is>
      </c>
      <c r="E276" s="15" t="inlineStr">
        <is>
          <t>100332248</t>
        </is>
      </c>
      <c r="F276" s="15" t="n"/>
      <c r="G276" s="16" t="n"/>
      <c r="H276" s="17" t="n"/>
      <c r="I276" s="636" t="n"/>
      <c r="J276" s="17" t="n"/>
      <c r="K276" s="589" t="inlineStr">
        <is>
          <t>тыс куб.м</t>
        </is>
      </c>
    </row>
    <row r="277" ht="18.75" customHeight="1" s="904">
      <c r="A277" s="989" t="n"/>
      <c r="C277" s="703" t="n"/>
      <c r="D277" s="714" t="inlineStr">
        <is>
          <t>гелий газообразный</t>
        </is>
      </c>
      <c r="E277" s="15" t="inlineStr">
        <is>
          <t>100335422</t>
        </is>
      </c>
      <c r="F277" s="15" t="n"/>
      <c r="G277" s="16" t="n"/>
      <c r="H277" s="17" t="n"/>
      <c r="I277" s="636" t="n"/>
      <c r="J277" s="17" t="n"/>
      <c r="K277" s="175" t="inlineStr">
        <is>
          <t>тонн</t>
        </is>
      </c>
    </row>
    <row r="278" ht="31.5" customHeight="1" s="904">
      <c r="A278" s="989" t="n"/>
      <c r="C278" s="703" t="n"/>
      <c r="D278" s="715" t="inlineStr">
        <is>
          <t>в т.ч. собственная потребность ООО "Газпром переработка"</t>
        </is>
      </c>
      <c r="E278" s="15" t="inlineStr">
        <is>
          <t>100332249</t>
        </is>
      </c>
      <c r="F278" s="15" t="n"/>
      <c r="G278" s="16" t="n"/>
      <c r="H278" s="17" t="n"/>
      <c r="I278" s="636" t="n"/>
      <c r="J278" s="17" t="n"/>
      <c r="K278" s="589" t="inlineStr">
        <is>
          <t>тыс куб.м</t>
        </is>
      </c>
    </row>
    <row r="279" ht="18.75" customHeight="1" s="904">
      <c r="A279" s="989" t="n"/>
      <c r="C279" s="703" t="n"/>
      <c r="D279" s="988" t="inlineStr">
        <is>
          <t>гелий жидкий</t>
        </is>
      </c>
      <c r="E279" s="15" t="inlineStr">
        <is>
          <t>100332250</t>
        </is>
      </c>
      <c r="F279" s="15" t="n"/>
      <c r="G279" s="16" t="n"/>
      <c r="H279" s="17" t="n"/>
      <c r="I279" s="636" t="n"/>
      <c r="J279" s="17" t="n"/>
      <c r="K279" s="589" t="inlineStr">
        <is>
          <t>тыс куб.м</t>
        </is>
      </c>
    </row>
    <row r="280" ht="18.75" customHeight="1" s="904">
      <c r="A280" s="989" t="n"/>
      <c r="C280" s="703" t="n"/>
      <c r="D280" s="964" t="n"/>
      <c r="E280" s="15" t="inlineStr">
        <is>
          <t>100332251</t>
        </is>
      </c>
      <c r="F280" s="15" t="n"/>
      <c r="G280" s="16" t="n"/>
      <c r="H280" s="17" t="n"/>
      <c r="I280" s="636" t="n"/>
      <c r="J280" s="17" t="n"/>
      <c r="K280" s="175" t="inlineStr">
        <is>
          <t>тонн</t>
        </is>
      </c>
    </row>
    <row r="281" ht="31.5" customHeight="1" s="904">
      <c r="A281" s="989" t="n"/>
      <c r="C281" s="707" t="inlineStr">
        <is>
          <t>3.10.</t>
        </is>
      </c>
      <c r="D281" s="1003" t="inlineStr">
        <is>
          <t>СТАБИЛЬНЫЙ КОНДЕНСАТ (продукция ГПЗ), ВСЕГО:</t>
        </is>
      </c>
      <c r="E281" s="15" t="inlineStr">
        <is>
          <t>100332252</t>
        </is>
      </c>
      <c r="F281" s="15" t="n"/>
      <c r="G281" s="16" t="n"/>
      <c r="H281" s="17" t="inlineStr">
        <is>
          <t>100332254+100332259+100332258</t>
        </is>
      </c>
      <c r="I281" s="636" t="n"/>
      <c r="J281" s="17" t="n"/>
      <c r="K281" s="175" t="inlineStr">
        <is>
          <t>тыс. т</t>
        </is>
      </c>
    </row>
    <row r="282" ht="18.75" customHeight="1" s="904">
      <c r="A282" s="989" t="n"/>
      <c r="C282" s="703" t="n"/>
      <c r="D282" s="1001" t="inlineStr">
        <is>
          <t>в том числе без давальцев, всего:</t>
        </is>
      </c>
      <c r="E282" s="15" t="inlineStr">
        <is>
          <t>100332253</t>
        </is>
      </c>
      <c r="F282" s="15" t="n"/>
      <c r="G282" s="16" t="n"/>
      <c r="H282" s="17" t="inlineStr">
        <is>
          <t>100332254+100332258</t>
        </is>
      </c>
      <c r="I282" s="636" t="n"/>
      <c r="J282" s="17" t="n"/>
      <c r="K282" s="175" t="inlineStr">
        <is>
          <t>тыс. т</t>
        </is>
      </c>
    </row>
    <row r="283" ht="24" customHeight="1" s="904">
      <c r="A283" s="989" t="n"/>
      <c r="C283" s="703" t="inlineStr">
        <is>
          <t>3.10.1.</t>
        </is>
      </c>
      <c r="D283" s="1001" t="inlineStr">
        <is>
          <t>ПАО "Газпром", всего:</t>
        </is>
      </c>
      <c r="E283" s="15" t="inlineStr">
        <is>
          <t>100332254</t>
        </is>
      </c>
      <c r="F283" s="15" t="n"/>
      <c r="G283" s="16" t="n"/>
      <c r="H283" s="17" t="inlineStr">
        <is>
          <t>100332255+100332256+100335153</t>
        </is>
      </c>
      <c r="I283" s="636" t="n"/>
      <c r="J283" s="17" t="n"/>
      <c r="K283" s="175" t="inlineStr">
        <is>
          <t>тыс. т</t>
        </is>
      </c>
    </row>
    <row r="284" ht="18.75" customHeight="1" s="904">
      <c r="A284" s="989" t="n"/>
      <c r="C284" s="703" t="n"/>
      <c r="D284" s="1001" t="inlineStr">
        <is>
          <t xml:space="preserve"> - из сырья ООО "Газпром добыча Оренбург"</t>
        </is>
      </c>
      <c r="E284" s="15" t="inlineStr">
        <is>
          <t>100332255</t>
        </is>
      </c>
      <c r="F284" s="15" t="n"/>
      <c r="G284" s="16" t="n"/>
      <c r="H284" s="17" t="inlineStr">
        <is>
          <t>100332266+100332269</t>
        </is>
      </c>
      <c r="I284" s="636" t="n"/>
      <c r="J284" s="17" t="n"/>
      <c r="K284" s="175" t="inlineStr">
        <is>
          <t>тыс. т</t>
        </is>
      </c>
    </row>
    <row r="285" ht="18.75" customHeight="1" s="904">
      <c r="A285" s="989" t="n"/>
      <c r="C285" s="703" t="n"/>
      <c r="D285" s="1001" t="inlineStr">
        <is>
          <t xml:space="preserve"> - из сырья ПАО "Газпром нефть"</t>
        </is>
      </c>
      <c r="E285" s="15" t="inlineStr">
        <is>
          <t>100332256</t>
        </is>
      </c>
      <c r="F285" s="15" t="n"/>
      <c r="G285" s="16" t="n"/>
      <c r="H285" s="17" t="inlineStr">
        <is>
          <t>100332267+100332271</t>
        </is>
      </c>
      <c r="I285" s="636" t="n"/>
      <c r="J285" s="17" t="n"/>
      <c r="K285" s="175" t="inlineStr">
        <is>
          <t>тыс. т</t>
        </is>
      </c>
    </row>
    <row r="286" ht="18.75" customHeight="1" s="904">
      <c r="A286" s="989" t="n"/>
      <c r="C286" s="703" t="n"/>
      <c r="D286" s="979" t="inlineStr">
        <is>
          <t xml:space="preserve">-  из сырья Прочих поставщиков </t>
        </is>
      </c>
      <c r="E286" s="15" t="inlineStr">
        <is>
          <t>100335153</t>
        </is>
      </c>
      <c r="F286" s="15" t="n"/>
      <c r="G286" s="16" t="n"/>
      <c r="H286" s="17" t="inlineStr">
        <is>
          <t>100335669+100332959</t>
        </is>
      </c>
      <c r="I286" s="636" t="n"/>
      <c r="J286" s="17" t="n"/>
      <c r="K286" s="175" t="inlineStr">
        <is>
          <t>тыс. т</t>
        </is>
      </c>
    </row>
    <row r="287" ht="18.75" customHeight="1" s="904">
      <c r="A287" s="989" t="n"/>
      <c r="C287" s="703" t="inlineStr">
        <is>
          <t>3.10.3.</t>
        </is>
      </c>
      <c r="D287" s="1001" t="inlineStr">
        <is>
          <t>ООО "Сервиснефтегаз" из нефти</t>
        </is>
      </c>
      <c r="E287" s="15" t="inlineStr">
        <is>
          <t>100332258</t>
        </is>
      </c>
      <c r="F287" s="15" t="n"/>
      <c r="G287" s="16" t="n"/>
      <c r="H287" s="17" t="inlineStr">
        <is>
          <t>100332273</t>
        </is>
      </c>
      <c r="I287" s="636" t="n"/>
      <c r="J287" s="17" t="n"/>
      <c r="K287" s="175" t="inlineStr">
        <is>
          <t>тыс. т</t>
        </is>
      </c>
    </row>
    <row r="288" ht="18.75" customHeight="1" s="904">
      <c r="A288" s="989" t="n"/>
      <c r="C288" s="703" t="inlineStr">
        <is>
          <t>3.10.4.</t>
        </is>
      </c>
      <c r="D288" s="1001" t="inlineStr">
        <is>
          <t>ТОО "КазРосГаз"</t>
        </is>
      </c>
      <c r="E288" s="15" t="inlineStr">
        <is>
          <t>100332259</t>
        </is>
      </c>
      <c r="F288" s="15" t="n"/>
      <c r="G288" s="16" t="n"/>
      <c r="H288" s="17" t="inlineStr">
        <is>
          <t>100332274</t>
        </is>
      </c>
      <c r="I288" s="636" t="n"/>
      <c r="J288" s="17" t="n"/>
      <c r="K288" s="175" t="inlineStr">
        <is>
          <t>тыс. т</t>
        </is>
      </c>
    </row>
    <row r="289" ht="18.75" customHeight="1" s="904">
      <c r="A289" s="989" t="n"/>
      <c r="C289" s="704" t="n"/>
      <c r="D289" s="993" t="inlineStr">
        <is>
          <t>Справочно:</t>
        </is>
      </c>
      <c r="E289" s="15" t="n"/>
      <c r="F289" s="15" t="n"/>
      <c r="G289" s="16" t="n"/>
      <c r="H289" s="17" t="n"/>
      <c r="I289" s="636" t="n"/>
      <c r="J289" s="17" t="n"/>
      <c r="K289" s="176" t="n"/>
    </row>
    <row r="290" ht="18.75" customHeight="1" s="904">
      <c r="A290" s="989" t="n"/>
      <c r="C290" s="706" t="n"/>
      <c r="D290" s="990" t="inlineStr">
        <is>
          <t>СТАБИЛЬНЫЙ КОНДЕНСАТ (валовый), ВСЕГО:</t>
        </is>
      </c>
      <c r="E290" s="15" t="inlineStr">
        <is>
          <t>100332263</t>
        </is>
      </c>
      <c r="F290" s="15" t="n"/>
      <c r="G290" s="16" t="n"/>
      <c r="H290" s="17" t="inlineStr">
        <is>
          <t>100332264+100332274</t>
        </is>
      </c>
      <c r="I290" s="636" t="n"/>
      <c r="J290" s="17" t="n"/>
      <c r="K290" s="178" t="inlineStr">
        <is>
          <t>тыс. т</t>
        </is>
      </c>
    </row>
    <row r="291" ht="24" customHeight="1" s="904">
      <c r="A291" s="989" t="n"/>
      <c r="C291" s="704" t="n"/>
      <c r="D291" s="986" t="inlineStr">
        <is>
          <t>в том числе без давальцев, всего:</t>
        </is>
      </c>
      <c r="E291" s="15" t="n">
        <v>100332264</v>
      </c>
      <c r="F291" s="15" t="n"/>
      <c r="G291" s="16" t="n"/>
      <c r="H291" s="17" t="inlineStr">
        <is>
          <t>100332265+100332268+100332273</t>
        </is>
      </c>
      <c r="I291" s="636" t="n"/>
      <c r="J291" s="17" t="n"/>
      <c r="K291" s="176" t="inlineStr">
        <is>
          <t>тыс. т</t>
        </is>
      </c>
    </row>
    <row r="292" ht="24" customHeight="1" s="904">
      <c r="A292" s="989" t="n"/>
      <c r="C292" s="704" t="n"/>
      <c r="D292" s="986" t="inlineStr">
        <is>
          <t>ПАО "Газпром", всего:</t>
        </is>
      </c>
      <c r="E292" s="15" t="inlineStr">
        <is>
          <t>100332265</t>
        </is>
      </c>
      <c r="F292" s="15" t="n"/>
      <c r="G292" s="16" t="n"/>
      <c r="H292" s="17" t="inlineStr">
        <is>
          <t>100332266+100332267+100335669</t>
        </is>
      </c>
      <c r="I292" s="636" t="n"/>
      <c r="J292" s="17" t="n"/>
      <c r="K292" s="176" t="inlineStr">
        <is>
          <t>тыс. т</t>
        </is>
      </c>
    </row>
    <row r="293" ht="18.75" customHeight="1" s="904">
      <c r="A293" s="989" t="n"/>
      <c r="C293" s="704" t="n"/>
      <c r="D293" s="986" t="inlineStr">
        <is>
          <t xml:space="preserve"> - из сырья ООО "Газпром добыча Оренбург"</t>
        </is>
      </c>
      <c r="E293" s="15" t="inlineStr">
        <is>
          <t>100332266</t>
        </is>
      </c>
      <c r="F293" s="15" t="n"/>
      <c r="G293" s="16" t="n"/>
      <c r="H293" s="17" t="n"/>
      <c r="I293" s="636" t="n"/>
      <c r="J293" s="17" t="n"/>
      <c r="K293" s="176" t="inlineStr">
        <is>
          <t>тыс. т</t>
        </is>
      </c>
    </row>
    <row r="294" ht="18.75" customHeight="1" s="904">
      <c r="A294" s="989" t="n"/>
      <c r="C294" s="704" t="n"/>
      <c r="D294" s="986" t="inlineStr">
        <is>
          <t xml:space="preserve"> - из сырья ПАО "Газпром нефть"</t>
        </is>
      </c>
      <c r="E294" s="15" t="inlineStr">
        <is>
          <t>100332267</t>
        </is>
      </c>
      <c r="F294" s="15" t="n"/>
      <c r="G294" s="16" t="n"/>
      <c r="H294" s="17" t="n"/>
      <c r="I294" s="636" t="n"/>
      <c r="J294" s="17" t="n"/>
      <c r="K294" s="176" t="inlineStr">
        <is>
          <t>тыс. т</t>
        </is>
      </c>
    </row>
    <row r="295" ht="18.75" customHeight="1" s="904">
      <c r="A295" s="989" t="n"/>
      <c r="C295" s="704" t="n"/>
      <c r="D295" s="983" t="inlineStr">
        <is>
          <t>-  из сырья Прочих поставщиков</t>
        </is>
      </c>
      <c r="E295" s="15" t="inlineStr">
        <is>
          <t>100335669</t>
        </is>
      </c>
      <c r="F295" s="15" t="n"/>
      <c r="G295" s="16" t="n"/>
      <c r="H295" s="17" t="n"/>
      <c r="I295" s="636" t="n"/>
      <c r="J295" s="17" t="n"/>
      <c r="K295" s="176" t="inlineStr">
        <is>
          <t>тыс. т</t>
        </is>
      </c>
    </row>
    <row r="296" ht="24" customHeight="1" s="904">
      <c r="A296" s="989" t="n"/>
      <c r="C296" s="704" t="n"/>
      <c r="D296" s="986" t="inlineStr">
        <is>
          <t>ООО "Газпром переработка", всего:</t>
        </is>
      </c>
      <c r="E296" s="15" t="inlineStr">
        <is>
          <t>100332268</t>
        </is>
      </c>
      <c r="F296" s="15" t="n"/>
      <c r="G296" s="16" t="n"/>
      <c r="H296" s="17" t="inlineStr">
        <is>
          <t>100332269+100332271+100332959</t>
        </is>
      </c>
      <c r="I296" s="636" t="n"/>
      <c r="J296" s="17" t="n"/>
      <c r="K296" s="176" t="inlineStr">
        <is>
          <t>тыс. т</t>
        </is>
      </c>
    </row>
    <row r="297" ht="18.75" customHeight="1" s="904">
      <c r="A297" s="989" t="n"/>
      <c r="C297" s="704" t="n"/>
      <c r="D297" s="986" t="inlineStr">
        <is>
          <t xml:space="preserve"> - из газа ООО "Газпром добыча Оренбург"</t>
        </is>
      </c>
      <c r="E297" s="15" t="inlineStr">
        <is>
          <t>100332269</t>
        </is>
      </c>
      <c r="F297" s="15" t="n"/>
      <c r="G297" s="16" t="n"/>
      <c r="H297" s="17" t="n"/>
      <c r="I297" s="636" t="n"/>
      <c r="J297" s="17" t="n"/>
      <c r="K297" s="176" t="inlineStr">
        <is>
          <t>тыс. т</t>
        </is>
      </c>
    </row>
    <row r="298" ht="31.5" customHeight="1" s="904">
      <c r="A298" s="989" t="n"/>
      <c r="C298" s="704" t="n"/>
      <c r="D298" s="715" t="inlineStr">
        <is>
          <t>в том числе на собственные нужды ООО "Газпром переработка"</t>
        </is>
      </c>
      <c r="E298" s="15" t="inlineStr">
        <is>
          <t>100332958</t>
        </is>
      </c>
      <c r="F298" s="15" t="n"/>
      <c r="G298" s="16" t="n"/>
      <c r="H298" s="17" t="n"/>
      <c r="I298" s="636" t="n"/>
      <c r="J298" s="17" t="n"/>
      <c r="K298" s="176" t="inlineStr">
        <is>
          <t>тыс. т</t>
        </is>
      </c>
    </row>
    <row r="299" ht="31.5" customHeight="1" s="904">
      <c r="A299" s="989" t="n"/>
      <c r="C299" s="704" t="n"/>
      <c r="D299" s="715" t="inlineStr">
        <is>
          <t>в том числе на собственные нужды ООО "Газпром добыча Оренбург"</t>
        </is>
      </c>
      <c r="E299" s="15" t="inlineStr">
        <is>
          <t>100332270</t>
        </is>
      </c>
      <c r="F299" s="15" t="n"/>
      <c r="G299" s="16" t="n"/>
      <c r="H299" s="17" t="n"/>
      <c r="I299" s="636" t="n"/>
      <c r="J299" s="17" t="n"/>
      <c r="K299" s="176" t="inlineStr">
        <is>
          <t>тыс. т</t>
        </is>
      </c>
    </row>
    <row r="300" ht="18.75" customHeight="1" s="904">
      <c r="A300" s="989" t="n"/>
      <c r="C300" s="704" t="n"/>
      <c r="D300" s="986" t="inlineStr">
        <is>
          <t xml:space="preserve"> - из газа ПАО "Газпром нефть"</t>
        </is>
      </c>
      <c r="E300" s="15" t="inlineStr">
        <is>
          <t>100332271</t>
        </is>
      </c>
      <c r="F300" s="15" t="n"/>
      <c r="G300" s="16" t="n"/>
      <c r="H300" s="17" t="n"/>
      <c r="I300" s="636" t="n"/>
      <c r="J300" s="17" t="n"/>
      <c r="K300" s="176" t="inlineStr">
        <is>
          <t>тыс. т</t>
        </is>
      </c>
    </row>
    <row r="301" ht="18.75" customHeight="1" s="904">
      <c r="A301" s="989" t="n"/>
      <c r="C301" s="704" t="n"/>
      <c r="D301" s="986" t="inlineStr">
        <is>
          <t xml:space="preserve"> - из сырья Прочих поставщиков</t>
        </is>
      </c>
      <c r="E301" s="15" t="inlineStr">
        <is>
          <t>100332959</t>
        </is>
      </c>
      <c r="F301" s="15" t="n"/>
      <c r="G301" s="16" t="n"/>
      <c r="H301" s="17" t="n"/>
      <c r="I301" s="636" t="n"/>
      <c r="J301" s="17" t="n"/>
      <c r="K301" s="176" t="inlineStr">
        <is>
          <t>тыс. т</t>
        </is>
      </c>
    </row>
    <row r="302" ht="31.5" customHeight="1" s="904">
      <c r="A302" s="989" t="n"/>
      <c r="C302" s="704" t="n"/>
      <c r="D302" s="715" t="inlineStr">
        <is>
          <t xml:space="preserve"> - в т.ч. из жидких углеводородов Прочих поставщиков</t>
        </is>
      </c>
      <c r="E302" s="15" t="inlineStr">
        <is>
          <t>100332960</t>
        </is>
      </c>
      <c r="F302" s="15" t="n"/>
      <c r="G302" s="16" t="n"/>
      <c r="H302" s="17" t="n"/>
      <c r="I302" s="636" t="n"/>
      <c r="J302" s="17" t="n"/>
      <c r="K302" s="176" t="inlineStr">
        <is>
          <t>тыс. т</t>
        </is>
      </c>
    </row>
    <row r="303" ht="18.75" customHeight="1" s="904">
      <c r="A303" s="989" t="n"/>
      <c r="C303" s="704" t="n"/>
      <c r="D303" s="986" t="inlineStr">
        <is>
          <t>ООО "Сервиснефтегаз" из нефти</t>
        </is>
      </c>
      <c r="E303" s="15" t="inlineStr">
        <is>
          <t>100332273</t>
        </is>
      </c>
      <c r="F303" s="15" t="n"/>
      <c r="G303" s="16" t="n"/>
      <c r="H303" s="17" t="n"/>
      <c r="I303" s="636" t="n"/>
      <c r="J303" s="17" t="n"/>
      <c r="K303" s="176" t="inlineStr">
        <is>
          <t>тыс. т</t>
        </is>
      </c>
    </row>
    <row r="304" ht="18.75" customHeight="1" s="904">
      <c r="A304" s="989" t="n"/>
      <c r="C304" s="716" t="n"/>
      <c r="D304" s="717" t="inlineStr">
        <is>
          <t>ТОО "КазРосГаз"</t>
        </is>
      </c>
      <c r="E304" s="15" t="inlineStr">
        <is>
          <t>100332274</t>
        </is>
      </c>
      <c r="F304" s="15" t="n"/>
      <c r="G304" s="16" t="n"/>
      <c r="H304" s="17" t="n"/>
      <c r="I304" s="636" t="n"/>
      <c r="J304" s="17" t="n"/>
      <c r="K304" s="179" t="inlineStr">
        <is>
          <t>тыс. т</t>
        </is>
      </c>
    </row>
    <row r="305" ht="32.25" customHeight="1" s="904">
      <c r="A305" s="989" t="n"/>
      <c r="C305" s="181" t="n"/>
      <c r="D305" s="180" t="inlineStr">
        <is>
          <t>Продукция, принятая в производство со склада (в примечании должнв быть ссылка на акт )</t>
        </is>
      </c>
      <c r="E305" s="15" t="inlineStr">
        <is>
          <t>100332942</t>
        </is>
      </c>
      <c r="F305" s="15" t="n"/>
      <c r="G305" s="16" t="n"/>
      <c r="H305" s="17" t="inlineStr">
        <is>
          <t>100332962+100332963</t>
        </is>
      </c>
      <c r="I305" s="636" t="n"/>
      <c r="J305" s="17" t="n"/>
      <c r="K305" s="181" t="inlineStr">
        <is>
          <t>тыс. т</t>
        </is>
      </c>
    </row>
    <row r="306" ht="18.75" customHeight="1" s="904">
      <c r="A306" s="989" t="n"/>
      <c r="C306" s="718" t="n"/>
      <c r="D306" s="1001" t="inlineStr">
        <is>
          <t>ПАО "Газпром"</t>
        </is>
      </c>
      <c r="E306" s="15" t="inlineStr">
        <is>
          <t>100332962</t>
        </is>
      </c>
      <c r="F306" s="15" t="n"/>
      <c r="G306" s="16" t="n"/>
      <c r="H306" s="17" t="n"/>
      <c r="I306" s="636" t="n"/>
      <c r="J306" s="17" t="n"/>
      <c r="K306" s="175" t="inlineStr">
        <is>
          <t>тыс. т</t>
        </is>
      </c>
    </row>
    <row r="307" ht="18.75" customHeight="1" s="904">
      <c r="A307" s="989" t="n"/>
      <c r="C307" s="718" t="n"/>
      <c r="D307" s="1001" t="inlineStr">
        <is>
          <t>ООО "Газпром переработка"</t>
        </is>
      </c>
      <c r="E307" s="15" t="inlineStr">
        <is>
          <t>100332963</t>
        </is>
      </c>
      <c r="F307" s="15" t="n"/>
      <c r="G307" s="16" t="n"/>
      <c r="H307" s="17" t="n"/>
      <c r="I307" s="636" t="n"/>
      <c r="J307" s="17" t="n"/>
      <c r="K307" s="175" t="inlineStr">
        <is>
          <t>тыс. т</t>
        </is>
      </c>
    </row>
    <row r="308" ht="18.75" customHeight="1" s="904">
      <c r="A308" s="989" t="n"/>
      <c r="C308" s="719" t="inlineStr">
        <is>
          <t>4.</t>
        </is>
      </c>
      <c r="D308" s="987" t="inlineStr">
        <is>
          <t>Материальный баланс переработки УВС ("П.1"-"П.2"-"П.3" = 0,000)</t>
        </is>
      </c>
      <c r="E308" s="15" t="n"/>
      <c r="F308" s="15" t="n"/>
      <c r="G308" s="16" t="n"/>
      <c r="H308" s="17" t="n"/>
      <c r="I308" s="636" t="n"/>
      <c r="J308" s="17" t="n"/>
      <c r="K308" s="182" t="inlineStr">
        <is>
          <t>тыс. т.</t>
        </is>
      </c>
    </row>
    <row r="309" ht="24" customHeight="1" s="904">
      <c r="A309" s="989" t="n"/>
      <c r="C309" s="708" t="n"/>
      <c r="D309" s="1001" t="inlineStr">
        <is>
          <t>ПАО "Газпром"</t>
        </is>
      </c>
      <c r="E309" s="15" t="inlineStr">
        <is>
          <t>100332278</t>
        </is>
      </c>
      <c r="F309" s="15" t="n"/>
      <c r="G309" s="16" t="n"/>
      <c r="H309" s="17" t="inlineStr">
        <is>
          <t>100332028+100332962-100332072-100332103</t>
        </is>
      </c>
      <c r="I309" s="636" t="n"/>
      <c r="J309" s="17" t="n"/>
      <c r="K309" s="175" t="inlineStr">
        <is>
          <t>тыс. т.</t>
        </is>
      </c>
    </row>
    <row r="310" ht="24" customHeight="1" s="904">
      <c r="A310" s="989" t="n"/>
      <c r="C310" s="708" t="n"/>
      <c r="D310" s="1001" t="inlineStr">
        <is>
          <t>ООО "Газпром переработка"</t>
        </is>
      </c>
      <c r="E310" s="15" t="inlineStr">
        <is>
          <t>100332279</t>
        </is>
      </c>
      <c r="F310" s="15" t="n"/>
      <c r="G310" s="16" t="n"/>
      <c r="H310" s="17" t="inlineStr">
        <is>
          <t>100332029+100332963-100332073-100332104</t>
        </is>
      </c>
      <c r="I310" s="636" t="n"/>
      <c r="J310" s="17" t="n"/>
      <c r="K310" s="175" t="inlineStr">
        <is>
          <t>тыс. т.</t>
        </is>
      </c>
    </row>
    <row r="311" ht="24" customHeight="1" s="904">
      <c r="A311" s="989" t="n"/>
      <c r="C311" s="708" t="n"/>
      <c r="D311" s="1001" t="inlineStr">
        <is>
          <t>ООО "Сервиснефтегаз"</t>
        </is>
      </c>
      <c r="E311" s="15" t="inlineStr">
        <is>
          <t>100332280</t>
        </is>
      </c>
      <c r="F311" s="15" t="n"/>
      <c r="G311" s="16" t="n"/>
      <c r="H311" s="17" t="inlineStr">
        <is>
          <t>100332030-100332074-100332105</t>
        </is>
      </c>
      <c r="I311" s="636" t="n"/>
      <c r="J311" s="17" t="n"/>
      <c r="K311" s="175" t="inlineStr">
        <is>
          <t>тыс. т.</t>
        </is>
      </c>
    </row>
    <row r="312" ht="24" customHeight="1" s="904">
      <c r="A312" s="989" t="n"/>
      <c r="C312" s="708" t="n"/>
      <c r="D312" s="1001" t="inlineStr">
        <is>
          <t>ТОО "КазРосГаз"</t>
        </is>
      </c>
      <c r="E312" s="15" t="inlineStr">
        <is>
          <t>100332281</t>
        </is>
      </c>
      <c r="F312" s="15" t="n"/>
      <c r="G312" s="16" t="n"/>
      <c r="H312" s="17" t="inlineStr">
        <is>
          <t>100332031-100332075-100332106</t>
        </is>
      </c>
      <c r="I312" s="636" t="n"/>
      <c r="J312" s="17" t="n"/>
      <c r="K312" s="175" t="inlineStr">
        <is>
          <t>тыс. т.</t>
        </is>
      </c>
    </row>
    <row r="313" ht="37.5" customHeight="1" s="904">
      <c r="A313" s="989" t="n"/>
      <c r="C313" s="1088" t="n">
        <v>5</v>
      </c>
      <c r="D313" s="720" t="inlineStr">
        <is>
          <t>Производство для реализации ПАО "Газпром"</t>
        </is>
      </c>
      <c r="E313" s="15" t="n"/>
      <c r="F313" s="15" t="n"/>
      <c r="G313" s="16" t="n"/>
      <c r="H313" s="17" t="inlineStr">
        <is>
          <t>100332168+100332187+100332203+100332214+100332233+100332237+100332240+100335421/1000+100332264</t>
        </is>
      </c>
      <c r="I313" s="636" t="n"/>
      <c r="J313" s="17" t="n"/>
      <c r="K313" s="136" t="inlineStr">
        <is>
          <t>тыс.т</t>
        </is>
      </c>
    </row>
    <row r="314" ht="39.75" customHeight="1" s="904">
      <c r="C314" s="1006" t="n">
        <v>6</v>
      </c>
      <c r="D314" s="721" t="inlineStr">
        <is>
          <t>Проверка с разделом "Добыча"</t>
        </is>
      </c>
      <c r="E314" s="15" t="n"/>
      <c r="F314" s="15" t="n"/>
      <c r="G314" s="16" t="n"/>
      <c r="H314" s="17" t="n"/>
      <c r="I314" s="636" t="n"/>
      <c r="J314" s="17" t="n"/>
      <c r="K314" s="136" t="n"/>
    </row>
    <row r="315" ht="20.25" customHeight="1" s="904">
      <c r="C315" s="1088" t="n"/>
      <c r="D315" s="722" t="inlineStr">
        <is>
          <t>Поставка газа:</t>
        </is>
      </c>
      <c r="E315" s="15" t="n"/>
      <c r="F315" s="15" t="n"/>
      <c r="G315" s="16" t="n"/>
      <c r="H315" s="17" t="n"/>
      <c r="I315" s="636" t="n"/>
      <c r="J315" s="17" t="n"/>
      <c r="K315" s="1074" t="n"/>
    </row>
    <row r="316" ht="20.25" customHeight="1" s="904">
      <c r="C316" s="1088" t="n"/>
      <c r="D316" s="995" t="inlineStr">
        <is>
          <t>ООО "Газпром добыча Оренбург" (без ДРОД)</t>
        </is>
      </c>
      <c r="E316" s="15" t="n"/>
      <c r="F316" s="15" t="n"/>
      <c r="G316" s="16" t="n"/>
      <c r="H316" s="17" t="n"/>
      <c r="I316" s="636" t="n"/>
      <c r="J316" s="17" t="n"/>
      <c r="K316" s="188" t="inlineStr">
        <is>
          <t>млн куб.м</t>
        </is>
      </c>
    </row>
    <row r="317" ht="20.25" customHeight="1" s="904">
      <c r="A317" s="189" t="n"/>
      <c r="B317" s="189" t="n"/>
      <c r="C317" s="1088" t="n"/>
      <c r="D317" s="995" t="inlineStr">
        <is>
          <t>Филипповская залежь и др. (ДРОД)</t>
        </is>
      </c>
      <c r="E317" s="15" t="n"/>
      <c r="F317" s="15" t="n"/>
      <c r="G317" s="16" t="n"/>
      <c r="H317" s="17" t="n"/>
      <c r="I317" s="636" t="n"/>
      <c r="J317" s="17" t="n"/>
      <c r="K317" s="188" t="inlineStr">
        <is>
          <t>млн куб.м</t>
        </is>
      </c>
    </row>
    <row r="318" ht="20.25" customHeight="1" s="904">
      <c r="C318" s="1088" t="n"/>
      <c r="D318" s="995" t="inlineStr">
        <is>
          <t>ПАО "Газпром нефть"</t>
        </is>
      </c>
      <c r="E318" s="15" t="n"/>
      <c r="F318" s="15" t="n"/>
      <c r="G318" s="16" t="n"/>
      <c r="H318" s="17" t="n"/>
      <c r="I318" s="636" t="n"/>
      <c r="J318" s="17" t="n"/>
      <c r="K318" s="188" t="inlineStr">
        <is>
          <t>млн куб.м</t>
        </is>
      </c>
    </row>
    <row r="319" ht="20.25" customHeight="1" s="904">
      <c r="C319" s="1088" t="n"/>
      <c r="D319" s="995" t="inlineStr">
        <is>
          <t>АО "УНГП"</t>
        </is>
      </c>
      <c r="E319" s="15" t="n"/>
      <c r="F319" s="15" t="n"/>
      <c r="G319" s="16" t="n"/>
      <c r="H319" s="17" t="n"/>
      <c r="I319" s="636" t="n"/>
      <c r="J319" s="17" t="n"/>
      <c r="K319" s="188" t="inlineStr">
        <is>
          <t>млн куб.м</t>
        </is>
      </c>
    </row>
    <row r="320" ht="20.25" customHeight="1" s="904">
      <c r="C320" s="1088" t="n"/>
      <c r="D320" s="995" t="inlineStr">
        <is>
          <t>ООО "Сервиснефтегаз"</t>
        </is>
      </c>
      <c r="E320" s="15" t="n"/>
      <c r="F320" s="15" t="n"/>
      <c r="G320" s="16" t="n"/>
      <c r="H320" s="17" t="n"/>
      <c r="I320" s="636" t="n"/>
      <c r="J320" s="17" t="n"/>
      <c r="K320" s="188" t="inlineStr">
        <is>
          <t>млн куб.м</t>
        </is>
      </c>
    </row>
    <row r="321" ht="20.25" customHeight="1" s="904">
      <c r="C321" s="1088" t="n"/>
      <c r="D321" s="722" t="inlineStr">
        <is>
          <t>Поставка нестабильного газового конденсата:</t>
        </is>
      </c>
      <c r="E321" s="15" t="n"/>
      <c r="F321" s="15" t="n"/>
      <c r="G321" s="16" t="n"/>
      <c r="H321" s="17" t="n"/>
      <c r="I321" s="636" t="n"/>
      <c r="J321" s="17" t="n"/>
      <c r="K321" s="1074" t="n"/>
    </row>
    <row r="322" ht="20.25" customHeight="1" s="904">
      <c r="C322" s="1088" t="n"/>
      <c r="D322" s="995" t="inlineStr">
        <is>
          <t>ООО "Газпром добыча Оренбург" (без ДРОД)</t>
        </is>
      </c>
      <c r="E322" s="15" t="n"/>
      <c r="F322" s="15" t="n"/>
      <c r="G322" s="16" t="n"/>
      <c r="H322" s="17" t="n"/>
      <c r="I322" s="636" t="n"/>
      <c r="J322" s="17" t="n"/>
      <c r="K322" s="188" t="inlineStr">
        <is>
          <t>тыс.т.</t>
        </is>
      </c>
    </row>
    <row r="323" ht="20.25" customHeight="1" s="904">
      <c r="C323" s="1088" t="n"/>
      <c r="D323" s="995" t="inlineStr">
        <is>
          <t>Филипповская залежь и др. (ДРОД)</t>
        </is>
      </c>
      <c r="E323" s="15" t="n"/>
      <c r="F323" s="15" t="n"/>
      <c r="G323" s="16" t="n"/>
      <c r="H323" s="17" t="n"/>
      <c r="I323" s="636" t="n"/>
      <c r="J323" s="17" t="n"/>
      <c r="K323" s="188" t="inlineStr">
        <is>
          <t>тыс.т.</t>
        </is>
      </c>
    </row>
    <row r="324" ht="20.25" customHeight="1" s="904">
      <c r="C324" s="1088" t="n"/>
      <c r="D324" s="995" t="inlineStr">
        <is>
          <t>АО "УНГП"</t>
        </is>
      </c>
      <c r="E324" s="15" t="n"/>
      <c r="F324" s="15" t="n"/>
      <c r="G324" s="16" t="n"/>
      <c r="H324" s="17" t="n"/>
      <c r="I324" s="636" t="n"/>
      <c r="J324" s="17" t="n"/>
      <c r="K324" s="188" t="inlineStr">
        <is>
          <t>тыс.т.</t>
        </is>
      </c>
    </row>
    <row r="325" ht="20.25" customHeight="1" s="904">
      <c r="C325" s="1088" t="n"/>
      <c r="D325" s="722" t="inlineStr">
        <is>
          <t>Поставка нефти:</t>
        </is>
      </c>
      <c r="E325" s="15" t="n"/>
      <c r="F325" s="15" t="n"/>
      <c r="G325" s="16" t="n"/>
      <c r="H325" s="17" t="n"/>
      <c r="I325" s="636" t="n"/>
      <c r="J325" s="17" t="n"/>
      <c r="K325" s="1074" t="n"/>
    </row>
    <row r="326" ht="20.25" customHeight="1" s="904">
      <c r="C326" s="1088" t="n"/>
      <c r="D326" s="995" t="inlineStr">
        <is>
          <t>ООО "Газпром добыча Оренбург" (без ДРОД)</t>
        </is>
      </c>
      <c r="E326" s="15" t="n"/>
      <c r="F326" s="15" t="n"/>
      <c r="G326" s="16" t="n"/>
      <c r="H326" s="17" t="n"/>
      <c r="I326" s="636" t="n"/>
      <c r="J326" s="17" t="n"/>
      <c r="K326" s="188" t="inlineStr">
        <is>
          <t>тыс.т.</t>
        </is>
      </c>
    </row>
    <row r="327" ht="20.25" customHeight="1" s="904">
      <c r="C327" s="1088" t="n"/>
      <c r="D327" s="995" t="inlineStr">
        <is>
          <t>Филипповская залежь и др. (ДРОД) для ПАО</t>
        </is>
      </c>
      <c r="E327" s="15" t="n"/>
      <c r="F327" s="15" t="n"/>
      <c r="G327" s="16" t="n"/>
      <c r="H327" s="17" t="n"/>
      <c r="I327" s="636" t="n"/>
      <c r="J327" s="17" t="n"/>
      <c r="K327" s="188" t="inlineStr">
        <is>
          <t>тыс.т.</t>
        </is>
      </c>
    </row>
    <row r="328" ht="20.25" customHeight="1" s="904">
      <c r="C328" s="1088" t="n"/>
      <c r="D328" s="995" t="inlineStr">
        <is>
          <t>ПАО "Газпром нефть"</t>
        </is>
      </c>
      <c r="E328" s="15" t="n"/>
      <c r="F328" s="15" t="n"/>
      <c r="G328" s="16" t="n"/>
      <c r="H328" s="17" t="n"/>
      <c r="I328" s="636" t="n"/>
      <c r="J328" s="17" t="n"/>
      <c r="K328" s="188" t="inlineStr">
        <is>
          <t>тыс.т.</t>
        </is>
      </c>
    </row>
    <row r="329" ht="20.25" customHeight="1" s="904">
      <c r="C329" s="1088" t="n"/>
      <c r="D329" s="995" t="inlineStr">
        <is>
          <t>АО "УНГП"</t>
        </is>
      </c>
      <c r="E329" s="15" t="n"/>
      <c r="F329" s="15" t="n"/>
      <c r="G329" s="16" t="n"/>
      <c r="H329" s="17" t="n"/>
      <c r="I329" s="636" t="n"/>
      <c r="J329" s="17" t="n"/>
      <c r="K329" s="188" t="inlineStr">
        <is>
          <t>тыс.т.</t>
        </is>
      </c>
    </row>
    <row r="330" ht="20.25" customHeight="1" s="904">
      <c r="C330" s="1088" t="n"/>
      <c r="D330" s="995" t="inlineStr">
        <is>
          <t>ООО "Газпромнефть-Заполярье" (ДРОД) для ГПП</t>
        </is>
      </c>
      <c r="E330" s="15" t="n"/>
      <c r="F330" s="15" t="n"/>
      <c r="G330" s="16" t="n"/>
      <c r="H330" s="17" t="n"/>
      <c r="I330" s="636" t="n"/>
      <c r="J330" s="17" t="n"/>
      <c r="K330" s="188" t="inlineStr">
        <is>
          <t>тыс.т.</t>
        </is>
      </c>
    </row>
    <row r="331" ht="20.25" customHeight="1" s="904">
      <c r="C331" s="1088" t="n"/>
      <c r="D331" s="995" t="inlineStr">
        <is>
          <t>ООО "Сервиснефтегаз"</t>
        </is>
      </c>
      <c r="E331" s="15" t="n"/>
      <c r="F331" s="15" t="n"/>
      <c r="G331" s="16" t="n"/>
      <c r="H331" s="17" t="n"/>
      <c r="I331" s="636" t="n"/>
      <c r="J331" s="17" t="n"/>
      <c r="K331" s="188" t="inlineStr">
        <is>
          <t>тыс.т.</t>
        </is>
      </c>
    </row>
    <row r="332" ht="39.75" customHeight="1" s="904">
      <c r="C332" s="1006" t="n">
        <v>7</v>
      </c>
      <c r="D332" s="721" t="inlineStr">
        <is>
          <t>Проверка с ООО "Газпром добыча Оренбург" "Переработка"</t>
        </is>
      </c>
      <c r="E332" s="15" t="n"/>
      <c r="F332" s="15" t="n"/>
      <c r="G332" s="16" t="n"/>
      <c r="H332" s="17" t="n"/>
      <c r="I332" s="636" t="n"/>
      <c r="J332" s="17" t="n"/>
      <c r="K332" s="1074" t="n"/>
    </row>
    <row r="333" ht="20.25" customHeight="1" s="904">
      <c r="C333" s="1088" t="n"/>
      <c r="D333" s="722" t="inlineStr">
        <is>
          <t>Поставка газа:</t>
        </is>
      </c>
      <c r="E333" s="15" t="n"/>
      <c r="F333" s="15" t="n"/>
      <c r="G333" s="16" t="n"/>
      <c r="H333" s="17" t="n"/>
      <c r="I333" s="636" t="n"/>
      <c r="J333" s="17" t="n"/>
      <c r="K333" s="1074" t="n"/>
    </row>
    <row r="334" ht="20.25" customHeight="1" s="904">
      <c r="C334" s="1088" t="n"/>
      <c r="D334" s="995" t="inlineStr">
        <is>
          <t>ООО "Газпром добыча Оренбург" (без ДРОД)</t>
        </is>
      </c>
      <c r="E334" s="15" t="n"/>
      <c r="F334" s="15" t="inlineStr">
        <is>
          <t>V</t>
        </is>
      </c>
      <c r="G334" s="16" t="n"/>
      <c r="H334" s="17" t="inlineStr">
        <is>
          <t>(100332038-100334999)-(6_100332297-6_100335049)</t>
        </is>
      </c>
      <c r="I334" s="636" t="n"/>
      <c r="J334" s="17" t="n"/>
      <c r="K334" s="188" t="inlineStr">
        <is>
          <t>млн куб.м</t>
        </is>
      </c>
    </row>
    <row r="335" ht="20.25" customHeight="1" s="904">
      <c r="C335" s="1088" t="n"/>
      <c r="D335" s="995" t="inlineStr">
        <is>
          <t>Филипповская залежь и др. (ДРОД)</t>
        </is>
      </c>
      <c r="E335" s="15" t="n"/>
      <c r="F335" s="15" t="inlineStr">
        <is>
          <t>V</t>
        </is>
      </c>
      <c r="G335" s="16" t="n"/>
      <c r="H335" s="17" t="inlineStr">
        <is>
          <t>100334999-6_100335049</t>
        </is>
      </c>
      <c r="I335" s="636" t="n"/>
      <c r="J335" s="17" t="n"/>
      <c r="K335" s="188" t="inlineStr">
        <is>
          <t>млн куб.м</t>
        </is>
      </c>
    </row>
    <row r="336" ht="20.25" customHeight="1" s="904">
      <c r="C336" s="1088" t="n"/>
      <c r="D336" s="995" t="inlineStr">
        <is>
          <t>ПАО "Газпром нефть"</t>
        </is>
      </c>
      <c r="E336" s="15" t="n"/>
      <c r="F336" s="15" t="inlineStr">
        <is>
          <t>V</t>
        </is>
      </c>
      <c r="G336" s="16" t="n"/>
      <c r="H336" s="17" t="inlineStr">
        <is>
          <t>100332040-6_100332298</t>
        </is>
      </c>
      <c r="I336" s="636" t="n"/>
      <c r="J336" s="17" t="n"/>
      <c r="K336" s="188" t="inlineStr">
        <is>
          <t>млн куб.м</t>
        </is>
      </c>
    </row>
    <row r="337" ht="20.25" customHeight="1" s="904">
      <c r="C337" s="1088" t="n"/>
      <c r="D337" s="995" t="inlineStr">
        <is>
          <t>АО "УНГП"</t>
        </is>
      </c>
      <c r="E337" s="15" t="n"/>
      <c r="F337" s="15" t="inlineStr">
        <is>
          <t>V</t>
        </is>
      </c>
      <c r="G337" s="16" t="n"/>
      <c r="H337" s="17" t="inlineStr">
        <is>
          <t>100332042-6_100332299</t>
        </is>
      </c>
      <c r="I337" s="636" t="n"/>
      <c r="J337" s="17" t="n"/>
      <c r="K337" s="188" t="inlineStr">
        <is>
          <t>млн куб.м</t>
        </is>
      </c>
    </row>
    <row r="338" ht="20.25" customHeight="1" s="904">
      <c r="C338" s="1088" t="n"/>
      <c r="D338" s="995" t="inlineStr">
        <is>
          <t>ООО "Сервиснефтегаз"</t>
        </is>
      </c>
      <c r="E338" s="15" t="n"/>
      <c r="F338" s="15" t="inlineStr">
        <is>
          <t>V</t>
        </is>
      </c>
      <c r="G338" s="16" t="n"/>
      <c r="H338" s="17" t="inlineStr">
        <is>
          <t>100332044-6_100332300</t>
        </is>
      </c>
      <c r="I338" s="636" t="n"/>
      <c r="J338" s="17" t="n"/>
      <c r="K338" s="188" t="inlineStr">
        <is>
          <t>млн куб.м</t>
        </is>
      </c>
    </row>
    <row r="339" ht="20.25" customHeight="1" s="904">
      <c r="C339" s="1088" t="n"/>
      <c r="D339" s="995" t="inlineStr">
        <is>
          <t xml:space="preserve">ТОО "КазРосГаз" </t>
        </is>
      </c>
      <c r="E339" s="15" t="n"/>
      <c r="F339" s="15" t="inlineStr">
        <is>
          <t>V</t>
        </is>
      </c>
      <c r="G339" s="16" t="n"/>
      <c r="H339" s="17" t="inlineStr">
        <is>
          <t>100332046-6_100332311</t>
        </is>
      </c>
      <c r="I339" s="636" t="n"/>
      <c r="J339" s="17" t="n"/>
      <c r="K339" s="188" t="inlineStr">
        <is>
          <t>млн куб.м</t>
        </is>
      </c>
    </row>
    <row r="340" ht="20.25" customHeight="1" s="904">
      <c r="C340" s="1088" t="n"/>
      <c r="D340" s="722" t="inlineStr">
        <is>
          <t>Поставка нестабильного газового конденсата:</t>
        </is>
      </c>
      <c r="E340" s="15" t="n"/>
      <c r="F340" s="15" t="n"/>
      <c r="G340" s="16" t="n"/>
      <c r="H340" s="17" t="n"/>
      <c r="I340" s="636" t="n"/>
      <c r="J340" s="17" t="n"/>
      <c r="K340" s="1074" t="n"/>
    </row>
    <row r="341" ht="20.25" customHeight="1" s="904">
      <c r="C341" s="1088" t="n"/>
      <c r="D341" s="995" t="inlineStr">
        <is>
          <t>ООО "Газпром добыча Оренбург" (без ДРОД)</t>
        </is>
      </c>
      <c r="E341" s="15" t="n"/>
      <c r="F341" s="15" t="inlineStr">
        <is>
          <t>V</t>
        </is>
      </c>
      <c r="G341" s="16" t="n"/>
      <c r="H341" s="17" t="inlineStr">
        <is>
          <t>(100332061-100335946)-(6_100332302-6_100335974)</t>
        </is>
      </c>
      <c r="I341" s="636" t="n"/>
      <c r="J341" s="17" t="n"/>
      <c r="K341" s="188" t="inlineStr">
        <is>
          <t>тыс.т.</t>
        </is>
      </c>
    </row>
    <row r="342" ht="20.25" customHeight="1" s="904">
      <c r="C342" s="1088" t="n"/>
      <c r="D342" s="995" t="inlineStr">
        <is>
          <t>Филипповская залежь и др. (ДРОД)</t>
        </is>
      </c>
      <c r="E342" s="15" t="n"/>
      <c r="F342" s="15" t="inlineStr">
        <is>
          <t>V</t>
        </is>
      </c>
      <c r="G342" s="16" t="n"/>
      <c r="H342" s="17" t="inlineStr">
        <is>
          <t>100335946-6_100335974</t>
        </is>
      </c>
      <c r="I342" s="636" t="n"/>
      <c r="J342" s="17" t="n"/>
      <c r="K342" s="188" t="inlineStr">
        <is>
          <t>тыс.т.</t>
        </is>
      </c>
    </row>
    <row r="343" ht="20.25" customHeight="1" s="904">
      <c r="C343" s="1088" t="n"/>
      <c r="D343" s="995" t="inlineStr">
        <is>
          <t>АО "УНГП"</t>
        </is>
      </c>
      <c r="E343" s="15" t="n"/>
      <c r="F343" s="15" t="inlineStr">
        <is>
          <t>V</t>
        </is>
      </c>
      <c r="G343" s="16" t="n"/>
      <c r="H343" s="17" t="inlineStr">
        <is>
          <t>100332062-6_100332307</t>
        </is>
      </c>
      <c r="I343" s="636" t="n"/>
      <c r="J343" s="17" t="n"/>
      <c r="K343" s="188" t="inlineStr">
        <is>
          <t>тыс.т.</t>
        </is>
      </c>
    </row>
    <row r="344" ht="20.25" customHeight="1" s="904">
      <c r="C344" s="1088" t="n"/>
      <c r="D344" s="722" t="inlineStr">
        <is>
          <t>Поставка нефти:</t>
        </is>
      </c>
      <c r="E344" s="15" t="n"/>
      <c r="F344" s="15" t="n"/>
      <c r="G344" s="16" t="n"/>
      <c r="H344" s="17" t="n"/>
      <c r="I344" s="636" t="n"/>
      <c r="J344" s="17" t="n"/>
      <c r="K344" s="1074" t="n"/>
    </row>
    <row r="345" ht="20.25" customHeight="1" s="904">
      <c r="C345" s="1088" t="n"/>
      <c r="D345" s="995" t="inlineStr">
        <is>
          <t>ООО "Газпром добыча Оренбург" (без ДРОД)</t>
        </is>
      </c>
      <c r="E345" s="15" t="n"/>
      <c r="F345" s="15" t="inlineStr">
        <is>
          <t>V</t>
        </is>
      </c>
      <c r="G345" s="16" t="n"/>
      <c r="H345" s="17" t="inlineStr">
        <is>
          <t>(100332066-100335947)-(6_100332304-6_100335975)</t>
        </is>
      </c>
      <c r="I345" s="636" t="n"/>
      <c r="J345" s="17" t="n"/>
      <c r="K345" s="188" t="inlineStr">
        <is>
          <t>тыс.т.</t>
        </is>
      </c>
    </row>
    <row r="346" ht="20.25" customHeight="1" s="904">
      <c r="C346" s="1088" t="n"/>
      <c r="D346" s="995" t="inlineStr">
        <is>
          <t>Филипповская залежь и др. (ДРОД) для ПАО</t>
        </is>
      </c>
      <c r="E346" s="15" t="n"/>
      <c r="F346" s="15" t="inlineStr">
        <is>
          <t>V</t>
        </is>
      </c>
      <c r="G346" s="16" t="n"/>
      <c r="H346" s="17" t="inlineStr">
        <is>
          <t>100335947-6_100335975</t>
        </is>
      </c>
      <c r="I346" s="636" t="n"/>
      <c r="J346" s="17" t="n"/>
      <c r="K346" s="188" t="inlineStr">
        <is>
          <t>тыс.т.</t>
        </is>
      </c>
    </row>
    <row r="347" ht="20.25" customHeight="1" s="904">
      <c r="C347" s="1088" t="n"/>
      <c r="D347" s="995" t="inlineStr">
        <is>
          <t>ПАО "Газпром нефть"</t>
        </is>
      </c>
      <c r="E347" s="15" t="n"/>
      <c r="F347" s="15" t="inlineStr">
        <is>
          <t>V</t>
        </is>
      </c>
      <c r="G347" s="16" t="n"/>
      <c r="H347" s="17" t="inlineStr">
        <is>
          <t>100332067-6_100332305</t>
        </is>
      </c>
      <c r="I347" s="636" t="n"/>
      <c r="J347" s="17" t="n"/>
      <c r="K347" s="188" t="inlineStr">
        <is>
          <t>тыс.т.</t>
        </is>
      </c>
    </row>
    <row r="348" ht="20.25" customHeight="1" s="904">
      <c r="C348" s="1088" t="n"/>
      <c r="D348" s="995" t="inlineStr">
        <is>
          <t>АО "УНГП"</t>
        </is>
      </c>
      <c r="E348" s="15" t="n"/>
      <c r="F348" s="15" t="inlineStr">
        <is>
          <t>V</t>
        </is>
      </c>
      <c r="G348" s="16" t="n"/>
      <c r="H348" s="17" t="inlineStr">
        <is>
          <t>100332068-6_100332308</t>
        </is>
      </c>
      <c r="I348" s="636" t="n"/>
      <c r="J348" s="17" t="n"/>
      <c r="K348" s="188" t="inlineStr">
        <is>
          <t>тыс.т.</t>
        </is>
      </c>
    </row>
    <row r="349" ht="20.25" customHeight="1" s="904">
      <c r="C349" s="1088" t="n"/>
      <c r="D349" s="995" t="inlineStr">
        <is>
          <t>ООО "Газпромнефть-Заполярье" (ДРОД) для ГПП</t>
        </is>
      </c>
      <c r="E349" s="15" t="n"/>
      <c r="F349" s="15" t="inlineStr">
        <is>
          <t>V</t>
        </is>
      </c>
      <c r="G349" s="16" t="n"/>
      <c r="H349" s="17" t="inlineStr">
        <is>
          <t>(100335697+100332947)-6_100332970</t>
        </is>
      </c>
      <c r="I349" s="636" t="n"/>
      <c r="J349" s="17" t="n"/>
      <c r="K349" s="188" t="inlineStr">
        <is>
          <t>тыс.т.</t>
        </is>
      </c>
    </row>
    <row r="350" ht="20.25" customHeight="1" s="904">
      <c r="C350" s="1088" t="n"/>
      <c r="D350" s="995" t="inlineStr">
        <is>
          <t>ООО "Сервиснефтегаз"</t>
        </is>
      </c>
      <c r="E350" s="15" t="n"/>
      <c r="F350" s="15" t="inlineStr">
        <is>
          <t>V</t>
        </is>
      </c>
      <c r="G350" s="16" t="n"/>
      <c r="H350" s="17" t="inlineStr">
        <is>
          <t>100332069-6_100332310</t>
        </is>
      </c>
      <c r="I350" s="636" t="n"/>
      <c r="J350" s="17" t="n"/>
      <c r="K350" s="188" t="inlineStr">
        <is>
          <t>тыс.т.</t>
        </is>
      </c>
    </row>
    <row r="351" ht="39.75" customHeight="1" s="904">
      <c r="C351" s="1006" t="n">
        <v>8</v>
      </c>
      <c r="D351" s="721" t="inlineStr">
        <is>
          <t>Справочно:</t>
        </is>
      </c>
      <c r="E351" s="15" t="n"/>
      <c r="F351" s="15" t="n"/>
      <c r="G351" s="16" t="n"/>
      <c r="H351" s="17" t="n"/>
      <c r="I351" s="636" t="n"/>
      <c r="J351" s="17" t="n"/>
      <c r="K351" s="136" t="n"/>
    </row>
    <row r="352" ht="20.25" customHeight="1" s="904">
      <c r="C352" s="1006" t="n"/>
      <c r="D352" s="995" t="inlineStr">
        <is>
          <t>Газ природный без ДРОД</t>
        </is>
      </c>
      <c r="E352" s="15" t="n"/>
      <c r="F352" s="15" t="inlineStr">
        <is>
          <t>V</t>
        </is>
      </c>
      <c r="G352" s="16" t="n"/>
      <c r="H352" s="17" t="inlineStr">
        <is>
          <t>100332037-100334998</t>
        </is>
      </c>
      <c r="I352" s="636" t="n"/>
      <c r="J352" s="17" t="n"/>
      <c r="K352" s="188" t="inlineStr">
        <is>
          <t>тыс.т.</t>
        </is>
      </c>
    </row>
    <row r="353" ht="20.25" customHeight="1" s="904">
      <c r="C353" s="964" t="n"/>
      <c r="D353" s="964" t="n"/>
      <c r="E353" s="15" t="n"/>
      <c r="F353" s="15" t="inlineStr">
        <is>
          <t>V</t>
        </is>
      </c>
      <c r="G353" s="16" t="n"/>
      <c r="H353" s="17" t="inlineStr">
        <is>
          <t>100332038-100334999</t>
        </is>
      </c>
      <c r="I353" s="636" t="n"/>
      <c r="J353" s="17" t="n"/>
      <c r="K353" s="188" t="inlineStr">
        <is>
          <t>млн куб.м</t>
        </is>
      </c>
    </row>
    <row r="354" ht="20.25" customHeight="1" s="904">
      <c r="C354" s="723" t="n"/>
      <c r="D354" s="995" t="inlineStr">
        <is>
          <t>Нестабильный газовый конденсат без ДРОД</t>
        </is>
      </c>
      <c r="E354" s="15" t="n"/>
      <c r="F354" s="15" t="inlineStr">
        <is>
          <t>V</t>
        </is>
      </c>
      <c r="G354" s="16" t="n"/>
      <c r="H354" s="17" t="inlineStr">
        <is>
          <t>100332061-100335946</t>
        </is>
      </c>
      <c r="I354" s="636" t="n"/>
      <c r="J354" s="17" t="n"/>
      <c r="K354" s="188" t="inlineStr">
        <is>
          <t>тыс.т.</t>
        </is>
      </c>
    </row>
    <row r="355" ht="20.25" customHeight="1" s="904">
      <c r="C355" s="724" t="n"/>
      <c r="D355" s="725" t="inlineStr">
        <is>
          <t>Нефть без ДРОД</t>
        </is>
      </c>
      <c r="E355" s="15" t="n"/>
      <c r="F355" s="15" t="inlineStr">
        <is>
          <t>V</t>
        </is>
      </c>
      <c r="G355" s="16" t="n"/>
      <c r="H355" s="17" t="inlineStr">
        <is>
          <t>100332066-100335947</t>
        </is>
      </c>
      <c r="I355" s="636" t="n"/>
      <c r="J355" s="17" t="n"/>
      <c r="K355" s="192" t="inlineStr">
        <is>
          <t>тыс.т.</t>
        </is>
      </c>
    </row>
  </sheetData>
  <mergeCells count="125">
    <mergeCell ref="C30:C31"/>
    <mergeCell ref="D189:D190"/>
    <mergeCell ref="C79:C80"/>
    <mergeCell ref="D99:D100"/>
    <mergeCell ref="D22:D23"/>
    <mergeCell ref="D179:D180"/>
    <mergeCell ref="C16:C17"/>
    <mergeCell ref="D36:D37"/>
    <mergeCell ref="D163:D164"/>
    <mergeCell ref="D45:D46"/>
    <mergeCell ref="D101:D102"/>
    <mergeCell ref="D150:D151"/>
    <mergeCell ref="D32:D33"/>
    <mergeCell ref="C41:C42"/>
    <mergeCell ref="D47:D48"/>
    <mergeCell ref="D134:D135"/>
    <mergeCell ref="D16:D17"/>
    <mergeCell ref="D193:D194"/>
    <mergeCell ref="D18:D19"/>
    <mergeCell ref="D103:D104"/>
    <mergeCell ref="D279:D280"/>
    <mergeCell ref="D177:D178"/>
    <mergeCell ref="C3:K3"/>
    <mergeCell ref="D73:D74"/>
    <mergeCell ref="D167:D168"/>
    <mergeCell ref="D38:D39"/>
    <mergeCell ref="D169:D170"/>
    <mergeCell ref="D34:D35"/>
    <mergeCell ref="F7:F8"/>
    <mergeCell ref="C111:C112"/>
    <mergeCell ref="C185:C186"/>
    <mergeCell ref="C191:C192"/>
    <mergeCell ref="D153:D154"/>
    <mergeCell ref="D49:D50"/>
    <mergeCell ref="D140:D141"/>
    <mergeCell ref="D155:D156"/>
    <mergeCell ref="G7:G8"/>
    <mergeCell ref="D195:D196"/>
    <mergeCell ref="D77:D78"/>
    <mergeCell ref="I7:I8"/>
    <mergeCell ref="C45:C46"/>
    <mergeCell ref="D126:D127"/>
    <mergeCell ref="C109:C110"/>
    <mergeCell ref="D197:D198"/>
    <mergeCell ref="D75:D76"/>
    <mergeCell ref="C47:C48"/>
    <mergeCell ref="C201:C202"/>
    <mergeCell ref="D352:D353"/>
    <mergeCell ref="D6:D8"/>
    <mergeCell ref="C120:C121"/>
    <mergeCell ref="C51:C52"/>
    <mergeCell ref="D118:D119"/>
    <mergeCell ref="D142:D143"/>
    <mergeCell ref="C181:C182"/>
    <mergeCell ref="D191:D192"/>
    <mergeCell ref="D30:D31"/>
    <mergeCell ref="D79:D80"/>
    <mergeCell ref="D144:D145"/>
    <mergeCell ref="D26:D27"/>
    <mergeCell ref="D159:D160"/>
    <mergeCell ref="C126:C127"/>
    <mergeCell ref="C83:C84"/>
    <mergeCell ref="C18:C19"/>
    <mergeCell ref="D81:D82"/>
    <mergeCell ref="C101:C102"/>
    <mergeCell ref="C103:C104"/>
    <mergeCell ref="D136:D137"/>
    <mergeCell ref="C73:C74"/>
    <mergeCell ref="C20:C21"/>
    <mergeCell ref="C113:C114"/>
    <mergeCell ref="C115:C116"/>
    <mergeCell ref="D105:D106"/>
    <mergeCell ref="K6:K8"/>
    <mergeCell ref="D41:D42"/>
    <mergeCell ref="D107:D108"/>
    <mergeCell ref="C36:C37"/>
    <mergeCell ref="D181:D182"/>
    <mergeCell ref="D28:D29"/>
    <mergeCell ref="D130:D131"/>
    <mergeCell ref="D43:D44"/>
    <mergeCell ref="D171:D172"/>
    <mergeCell ref="D83:D84"/>
    <mergeCell ref="D165:D166"/>
    <mergeCell ref="C122:C123"/>
    <mergeCell ref="E7:E8"/>
    <mergeCell ref="D20:D21"/>
    <mergeCell ref="D124:D125"/>
    <mergeCell ref="D173:D174"/>
    <mergeCell ref="D157:D158"/>
    <mergeCell ref="C38:C39"/>
    <mergeCell ref="C77:C78"/>
    <mergeCell ref="D128:D129"/>
    <mergeCell ref="D199:D200"/>
    <mergeCell ref="D109:D110"/>
    <mergeCell ref="D183:D184"/>
    <mergeCell ref="E6:J6"/>
    <mergeCell ref="D111:D112"/>
    <mergeCell ref="C26:C27"/>
    <mergeCell ref="D120:D121"/>
    <mergeCell ref="D185:D186"/>
    <mergeCell ref="C124:C125"/>
    <mergeCell ref="C118:C119"/>
    <mergeCell ref="C75:C76"/>
    <mergeCell ref="D175:D176"/>
    <mergeCell ref="D122:D123"/>
    <mergeCell ref="C99:C100"/>
    <mergeCell ref="H7:H8"/>
    <mergeCell ref="J7:J8"/>
    <mergeCell ref="C6:C8"/>
    <mergeCell ref="D24:D25"/>
    <mergeCell ref="D146:D147"/>
    <mergeCell ref="C150:C151"/>
    <mergeCell ref="D161:D162"/>
    <mergeCell ref="D201:D202"/>
    <mergeCell ref="D148:D149"/>
    <mergeCell ref="C352:C353"/>
    <mergeCell ref="D138:D139"/>
    <mergeCell ref="D132:D133"/>
    <mergeCell ref="D51:D52"/>
    <mergeCell ref="D113:D114"/>
    <mergeCell ref="C28:C29"/>
    <mergeCell ref="D187:D188"/>
    <mergeCell ref="D271:D272"/>
    <mergeCell ref="C24:C25"/>
    <mergeCell ref="D115:D116"/>
  </mergeCells>
  <conditionalFormatting sqref="B10:B313">
    <cfRule type="cellIs" priority="1" operator="equal" dxfId="25">
      <formula>FALSE</formula>
    </cfRule>
  </conditionalFormatting>
  <conditionalFormatting sqref="P10:P355 Q10:Q355 V10:V355 W10:W355 AB10:AB355 AC10:AC355 AH10:AH355 AI10:AI355 AN10:AN355 AO10:AO355 AT10:AT355 AU10:AU355 AZ10:AZ355 BA10:BA355 BF10:BF355 BG10:BG355 BL10:BL355 BM10:BM355 BR10:BR355 BS10:BS355 BX10:BX355 BY10:BY355 CD10:CD355 CE10:CE355 CJ10:CJ355 CK10:CK355 CP10:CP355 CQ10:CQ355 CV10:CV355 CW10:CW355 DB10:DB355 DC10:DC355 DH10:DH355 DI10:DI355">
    <cfRule type="cellIs" priority="2" operator="lessThan" dxfId="25">
      <formula>0</formula>
    </cfRule>
    <cfRule type="cellIs" priority="2" operator="equal" dxfId="0">
      <formula>0</formula>
    </cfRule>
    <cfRule type="cellIs" priority="2" operator="lessThan" dxfId="25">
      <formula>0</formula>
    </cfRule>
    <cfRule type="cellIs" priority="2" operator="equal" dxfId="0">
      <formula>0</formula>
    </cfRule>
    <cfRule type="cellIs" priority="2" operator="lessThan" dxfId="25">
      <formula>0</formula>
    </cfRule>
    <cfRule type="cellIs" priority="2" operator="equal" dxfId="0">
      <formula>0</formula>
    </cfRule>
    <cfRule type="cellIs" priority="2" operator="lessThan" dxfId="25">
      <formula>0</formula>
    </cfRule>
    <cfRule type="cellIs" priority="2" operator="equal" dxfId="0">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355 O10:O355 S10:S355 U10:U355 Y10:Y355 AA10:AA355 AE10:AE355 AG10:AG355 AK10:AK355 AM10:AM355 AQ10:AQ355 AS10:AS355 AW10:AW355 AY10:AY355 BC10:BC355 BE10:BE355 BI10:BI355 BK10:BK355 BO10:BO355 BQ10:BQ355 BU10:BU355 BW10:BW355 CA10:CA355 CC10:CC355 CG10:CG355 CI10:CI355 CM10:CM355 CO10:CO355 CS10:CS355 CU10:CU355 CY10:CY355 DA10:DA355 DE10:DE355 DG10:DG355">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355 O10:O355 Q10:Q355 S10:S355 U10:U355 W10:W355 Y10:Y355 AA10:AA355 AC10:AC355 AE10:AE355 AG10:AG355 AI10:AI355 AK10:AK355 AM10:AM355 AO10:AO355 AQ10:AQ355 AS10:AS355">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landscape" paperSize="8" fitToHeight="0"/>
</worksheet>
</file>

<file path=xl/worksheets/sheet10.xml><?xml version="1.0" encoding="utf-8"?>
<worksheet xmlns="http://schemas.openxmlformats.org/spreadsheetml/2006/main">
  <sheetPr codeName="Лист7">
    <tabColor theme="4" tint="0.7999816888943144"/>
    <outlinePr summaryBelow="1" summaryRight="1"/>
    <pageSetUpPr fitToPage="1"/>
  </sheetPr>
  <dimension ref="A3:K124"/>
  <sheetViews>
    <sheetView topLeftCell="C25" zoomScale="60" zoomScaleNormal="60" workbookViewId="0">
      <selection activeCell="M34" sqref="M34"/>
    </sheetView>
  </sheetViews>
  <sheetFormatPr baseColWidth="8" defaultColWidth="8.42578125" defaultRowHeight="18.75" outlineLevelRow="1"/>
  <cols>
    <col hidden="1" outlineLevel="1" width="13.42578125" customWidth="1" style="975" min="1" max="1"/>
    <col hidden="1" outlineLevel="1" width="13.7109375" customWidth="1" style="975" min="2" max="2"/>
    <col collapsed="1" width="9.42578125" bestFit="1" customWidth="1" style="137" min="3" max="3"/>
    <col width="72" customWidth="1" style="1009" min="4" max="4"/>
    <col outlineLevel="1" width="18.42578125" customWidth="1" style="1009" min="5" max="8"/>
    <col outlineLevel="1" width="23.85546875" customWidth="1" style="1009" min="9" max="9"/>
    <col outlineLevel="1" width="18.42578125" customWidth="1" style="1009" min="10" max="10"/>
    <col width="14" bestFit="1" customWidth="1" style="1015" min="11" max="11"/>
    <col width="8.43" customWidth="1" style="975" min="12" max="12"/>
    <col width="8.43" customWidth="1" style="904" min="13"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3"/>
    <col collapsed="1" width="8.43" customWidth="1" style="904" min="44" max="44"/>
    <col width="8.43" customWidth="1" style="904" min="45" max="45"/>
    <col collapsed="1" width="8.43" customWidth="1" style="904" min="46" max="46"/>
    <col width="8.43" customWidth="1" style="904" min="47" max="49"/>
    <col collapsed="1" width="8.43" customWidth="1" style="904" min="50" max="50"/>
    <col width="8.43" customWidth="1" style="904" min="51" max="51"/>
    <col collapsed="1" width="8.43" customWidth="1" style="904" min="52" max="52"/>
    <col width="8.43" customWidth="1" style="904" min="53" max="55"/>
    <col collapsed="1" width="8.43" customWidth="1" style="904" min="56" max="56"/>
    <col width="8.43" customWidth="1" style="904" min="57" max="57"/>
    <col collapsed="1" width="8.43" customWidth="1" style="904" min="58" max="58"/>
    <col width="8.43" customWidth="1" style="904" min="59" max="61"/>
    <col collapsed="1" width="8.43" customWidth="1" style="904" min="62" max="62"/>
    <col width="8.43" customWidth="1" style="904" min="63" max="63"/>
    <col collapsed="1" width="8.43" customWidth="1" style="904" min="64" max="64"/>
    <col width="8.43" customWidth="1" style="904" min="65" max="67"/>
    <col collapsed="1" width="8.43" customWidth="1" style="904" min="68" max="68"/>
    <col width="8.43" customWidth="1" style="904" min="69" max="69"/>
    <col collapsed="1" width="8.43" customWidth="1" style="904" min="70" max="70"/>
    <col width="8.43" customWidth="1" style="904" min="71" max="73"/>
    <col collapsed="1" width="8.43" customWidth="1" style="904" min="74" max="74"/>
    <col width="8.43" customWidth="1" style="904" min="75" max="75"/>
    <col collapsed="1" width="8.43" customWidth="1" style="904" min="76" max="76"/>
    <col width="8.43" customWidth="1" style="904" min="77" max="79"/>
    <col collapsed="1" width="8.43" customWidth="1" style="904" min="80" max="80"/>
    <col width="8.43" customWidth="1" style="904" min="81" max="81"/>
    <col collapsed="1" width="8.43" customWidth="1" style="904" min="82" max="82"/>
    <col width="8.43" customWidth="1" style="904" min="83" max="85"/>
    <col collapsed="1" width="8.43" customWidth="1" style="904" min="86" max="86"/>
    <col width="8.43" customWidth="1" style="904" min="87" max="87"/>
    <col collapsed="1" width="8.43" customWidth="1" style="904" min="88" max="88"/>
    <col width="8.43" customWidth="1" style="904" min="89" max="91"/>
    <col collapsed="1" width="8.43" customWidth="1" style="904" min="92" max="92"/>
    <col width="8.43" customWidth="1" style="904" min="93" max="93"/>
    <col collapsed="1" width="8.43" customWidth="1" style="904" min="94" max="94"/>
    <col width="8.43" customWidth="1" style="904" min="95" max="97"/>
    <col collapsed="1" width="8.43" customWidth="1" style="904" min="98" max="98"/>
    <col width="8.43" customWidth="1" style="904" min="99" max="99"/>
    <col collapsed="1" width="8.43" customWidth="1" style="904" min="100" max="100"/>
    <col width="8.43" customWidth="1" style="904" min="101" max="103"/>
    <col collapsed="1" width="8.43" customWidth="1" style="904" min="104" max="104"/>
    <col width="8.43" customWidth="1" style="904" min="105" max="105"/>
    <col collapsed="1" width="8.43" customWidth="1" style="904" min="106" max="106"/>
    <col width="8.43" customWidth="1" style="904" min="107" max="109"/>
    <col collapsed="1" width="8.43" customWidth="1" style="904" min="110" max="110"/>
    <col width="8.43" customWidth="1" style="904" min="111" max="111"/>
    <col collapsed="1" width="8.43" customWidth="1" style="904" min="112" max="112"/>
    <col width="8.43" customWidth="1" style="904" min="113" max="113"/>
    <col width="8.43" customWidth="1" style="975" min="114" max="136"/>
    <col width="8.43" customWidth="1" style="975" min="137" max="16384"/>
  </cols>
  <sheetData>
    <row r="1" ht="15" customHeight="1" s="904"/>
    <row r="2" ht="15" customHeight="1" s="904"/>
    <row r="3" ht="18.75" customHeight="1" s="904">
      <c r="C3" s="1014"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19.5" customHeight="1" s="904"/>
    <row r="5" ht="19.5" customHeight="1" s="904">
      <c r="C5" s="1008" t="inlineStr">
        <is>
          <t>3. Сосногорский ГПЗ ООО "Газпром переработка"</t>
        </is>
      </c>
      <c r="E5" s="1008" t="n"/>
      <c r="F5" s="1008" t="n"/>
      <c r="G5" s="1008" t="n"/>
      <c r="H5" s="1008" t="n"/>
      <c r="I5" s="1008" t="n"/>
      <c r="J5" s="1008" t="n"/>
      <c r="K5" s="193" t="n"/>
    </row>
    <row r="6" ht="20.1" customHeight="1" s="904">
      <c r="B6" s="669" t="n"/>
      <c r="C6" s="1012" t="inlineStr">
        <is>
          <t>№ 
п/п</t>
        </is>
      </c>
      <c r="D6" s="969"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B9" s="1031" t="n"/>
      <c r="C9" s="1045" t="n"/>
      <c r="D9" s="1046" t="n"/>
      <c r="E9" s="1057" t="n"/>
      <c r="F9" s="1057" t="n"/>
      <c r="G9" s="1057" t="n"/>
      <c r="H9" s="1057" t="n"/>
      <c r="I9" s="1057" t="n"/>
      <c r="J9" s="1057" t="n"/>
      <c r="K9" s="134" t="n"/>
    </row>
    <row r="10" ht="36" customFormat="1" customHeight="1" s="137">
      <c r="B10" s="194" t="n"/>
      <c r="C10" s="195" t="inlineStr">
        <is>
          <t>1</t>
        </is>
      </c>
      <c r="D10" s="196" t="inlineStr">
        <is>
          <t>ПЕРЕРАБОТКА УГЛЕВОДОРОДНОГО СЫРЬЯ, ВСЕГО:</t>
        </is>
      </c>
      <c r="E10" s="15" t="n">
        <v>100331977</v>
      </c>
      <c r="F10" s="15" t="n"/>
      <c r="G10" s="16" t="n"/>
      <c r="H10" s="17" t="inlineStr">
        <is>
          <t>100330002+100330550</t>
        </is>
      </c>
      <c r="I10" s="636" t="n"/>
      <c r="J10" s="17" t="n"/>
      <c r="K10" s="679" t="inlineStr">
        <is>
          <t>тыс.т.</t>
        </is>
      </c>
    </row>
    <row r="11" ht="20.1" customHeight="1" s="904">
      <c r="A11" s="137" t="n"/>
      <c r="B11" s="194" t="n"/>
      <c r="C11" s="197" t="n"/>
      <c r="D11" s="157" t="inlineStr">
        <is>
          <t>Переработка сырья , собственность ПАО "Газпром"</t>
        </is>
      </c>
      <c r="E11" s="15" t="n">
        <v>100330002</v>
      </c>
      <c r="F11" s="15" t="n"/>
      <c r="G11" s="16" t="n"/>
      <c r="H11" s="17" t="inlineStr">
        <is>
          <t>100330007+100331986+100332283</t>
        </is>
      </c>
      <c r="I11" s="636" t="n"/>
      <c r="J11" s="17" t="n"/>
      <c r="K11" s="198" t="inlineStr">
        <is>
          <t>тыс.т.</t>
        </is>
      </c>
    </row>
    <row r="12" ht="38.25" customHeight="1" s="904">
      <c r="A12" s="137" t="n"/>
      <c r="B12" s="194" t="n"/>
      <c r="C12" s="197" t="n"/>
      <c r="D12" s="157" t="inlineStr">
        <is>
          <t>Переработка сырья, собственность ООО "Газпром ГНП холдинг"</t>
        </is>
      </c>
      <c r="E12" s="15" t="n">
        <v>100330550</v>
      </c>
      <c r="F12" s="15" t="n"/>
      <c r="G12" s="16" t="n"/>
      <c r="H12" s="17" t="inlineStr">
        <is>
          <t>100330551</t>
        </is>
      </c>
      <c r="I12" s="636" t="n"/>
      <c r="J12" s="17" t="n"/>
      <c r="K12" s="198" t="inlineStr">
        <is>
          <t>тыс.т.</t>
        </is>
      </c>
    </row>
    <row r="13" ht="20.1" customFormat="1" customHeight="1" s="137">
      <c r="B13" s="194" t="n"/>
      <c r="C13" s="1016" t="inlineStr">
        <is>
          <t>1.1</t>
        </is>
      </c>
      <c r="D13" s="965" t="inlineStr">
        <is>
          <t>ПЕРЕРАБОТКА ПРИРОДНОГО ГАЗА, ВСЕГО:</t>
        </is>
      </c>
      <c r="E13" s="15" t="n">
        <v>100332033</v>
      </c>
      <c r="F13" s="15" t="n"/>
      <c r="G13" s="16" t="n"/>
      <c r="H13" s="17" t="inlineStr">
        <is>
          <t>100330007+100330551</t>
        </is>
      </c>
      <c r="I13" s="636" t="n"/>
      <c r="J13" s="17" t="n"/>
      <c r="K13" s="199" t="inlineStr">
        <is>
          <t>тыс.т.</t>
        </is>
      </c>
    </row>
    <row r="14" ht="20.1" customFormat="1" customHeight="1" s="137">
      <c r="B14" s="194" t="n"/>
      <c r="C14" s="916" t="n"/>
      <c r="D14" s="916" t="n"/>
      <c r="E14" s="15" t="n">
        <v>100332034</v>
      </c>
      <c r="F14" s="15" t="n"/>
      <c r="G14" s="16" t="n"/>
      <c r="H14" s="17" t="inlineStr">
        <is>
          <t>100330008+100330552</t>
        </is>
      </c>
      <c r="I14" s="636" t="n"/>
      <c r="J14" s="17" t="n"/>
      <c r="K14" s="593" t="inlineStr">
        <is>
          <t>млн куб.м</t>
        </is>
      </c>
    </row>
    <row r="15" ht="19.5" customFormat="1" customHeight="1" s="1041">
      <c r="A15" s="137" t="n"/>
      <c r="B15" s="194" t="n"/>
      <c r="C15" s="973" t="inlineStr">
        <is>
          <t>1.1.1</t>
        </is>
      </c>
      <c r="D15" s="968" t="inlineStr">
        <is>
          <t>Природный газ, собственность ПАО "Газпром"</t>
        </is>
      </c>
      <c r="E15" s="15" t="n">
        <v>100330007</v>
      </c>
      <c r="F15" s="15" t="n"/>
      <c r="G15" s="16" t="n"/>
      <c r="H15" s="17" t="n"/>
      <c r="I15" s="636" t="n"/>
      <c r="J15" s="17" t="n"/>
      <c r="K15" s="198" t="inlineStr">
        <is>
          <t>тыс.т.</t>
        </is>
      </c>
    </row>
    <row r="16" ht="19.5" customFormat="1" customHeight="1" s="1041">
      <c r="A16" s="137" t="n"/>
      <c r="B16" s="194" t="n"/>
      <c r="C16" s="916" t="n"/>
      <c r="D16" s="916" t="n"/>
      <c r="E16" s="15" t="n">
        <v>100330008</v>
      </c>
      <c r="F16" s="15" t="n"/>
      <c r="G16" s="16" t="n"/>
      <c r="H16" s="17" t="n"/>
      <c r="I16" s="636" t="n"/>
      <c r="J16" s="17" t="n"/>
      <c r="K16" s="584" t="inlineStr">
        <is>
          <t>млн куб.м</t>
        </is>
      </c>
    </row>
    <row r="17" ht="20.1" customFormat="1" customHeight="1" s="1041">
      <c r="A17" s="137" t="n"/>
      <c r="B17" s="194" t="n"/>
      <c r="C17" s="973" t="inlineStr">
        <is>
          <t>1.1.2</t>
        </is>
      </c>
      <c r="D17" s="968" t="inlineStr">
        <is>
          <t>Попутный нефтяной газ, 
собственность ООО "Газпром ГНП холдинг"</t>
        </is>
      </c>
      <c r="E17" s="15" t="n">
        <v>100330551</v>
      </c>
      <c r="F17" s="15" t="n"/>
      <c r="G17" s="16" t="n"/>
      <c r="H17" s="17" t="n"/>
      <c r="I17" s="636" t="n"/>
      <c r="J17" s="17" t="n"/>
      <c r="K17" s="198" t="inlineStr">
        <is>
          <t>тыс.т.</t>
        </is>
      </c>
    </row>
    <row r="18" ht="20.1" customFormat="1" customHeight="1" s="1041">
      <c r="A18" s="137" t="n"/>
      <c r="B18" s="194" t="n"/>
      <c r="C18" s="916" t="n"/>
      <c r="D18" s="916" t="n"/>
      <c r="E18" s="15" t="n">
        <v>100330552</v>
      </c>
      <c r="F18" s="15" t="n"/>
      <c r="G18" s="16" t="n"/>
      <c r="H18" s="17" t="n"/>
      <c r="I18" s="636" t="n"/>
      <c r="J18" s="17" t="n"/>
      <c r="K18" s="584" t="inlineStr">
        <is>
          <t>млн куб.м</t>
        </is>
      </c>
    </row>
    <row r="19" ht="20.1" customFormat="1" customHeight="1" s="1041">
      <c r="A19" s="137" t="n"/>
      <c r="B19" s="194" t="n"/>
      <c r="C19" s="973" t="n"/>
      <c r="D19" s="200" t="inlineStr">
        <is>
          <t>Справочно:</t>
        </is>
      </c>
      <c r="E19" s="15" t="n"/>
      <c r="F19" s="15" t="n"/>
      <c r="G19" s="16" t="n"/>
      <c r="H19" s="17" t="n"/>
      <c r="I19" s="636" t="n"/>
      <c r="J19" s="17" t="n"/>
      <c r="K19" s="584" t="n"/>
    </row>
    <row r="20" ht="20.1" customFormat="1" customHeight="1" s="1041">
      <c r="A20" s="137" t="n"/>
      <c r="B20" s="194" t="n"/>
      <c r="C20" s="973" t="n"/>
      <c r="D20" s="1011" t="inlineStr">
        <is>
          <t>Газ стабилизации конденсата от УСК, 
собственность ПАО "Газпром"</t>
        </is>
      </c>
      <c r="E20" s="15" t="n">
        <v>100330571</v>
      </c>
      <c r="F20" s="15" t="n"/>
      <c r="G20" s="16" t="n"/>
      <c r="H20" s="17" t="n"/>
      <c r="I20" s="636" t="n"/>
      <c r="J20" s="17" t="n"/>
      <c r="K20" s="198" t="inlineStr">
        <is>
          <t>тыс.т.</t>
        </is>
      </c>
    </row>
    <row r="21" ht="20.1" customFormat="1" customHeight="1" s="1041">
      <c r="A21" s="137" t="n"/>
      <c r="B21" s="194" t="n"/>
      <c r="C21" s="973" t="n"/>
      <c r="D21" s="916" t="n"/>
      <c r="E21" s="15" t="n">
        <v>100330572</v>
      </c>
      <c r="F21" s="15" t="n"/>
      <c r="G21" s="16" t="n"/>
      <c r="H21" s="17" t="n"/>
      <c r="I21" s="636" t="n"/>
      <c r="J21" s="17" t="n"/>
      <c r="K21" s="584" t="inlineStr">
        <is>
          <t>млн куб.м</t>
        </is>
      </c>
    </row>
    <row r="22" ht="43.5" customFormat="1" customHeight="1" s="146">
      <c r="A22" s="137" t="n"/>
      <c r="B22" s="194" t="n"/>
      <c r="C22" s="1016" t="inlineStr">
        <is>
          <t>1.2</t>
        </is>
      </c>
      <c r="D22" s="152" t="inlineStr">
        <is>
          <t>ПЕРЕРАБОТКА НЕФТЕГАЗОКОНДЕНСАТНОЙ СМЕСИ, ВСЕГО:</t>
        </is>
      </c>
      <c r="E22" s="15" t="n">
        <v>100332283</v>
      </c>
      <c r="F22" s="15" t="n"/>
      <c r="G22" s="16" t="n"/>
      <c r="H22" s="17" t="inlineStr">
        <is>
          <t>100330017+100330196</t>
        </is>
      </c>
      <c r="I22" s="636" t="n"/>
      <c r="J22" s="17" t="n"/>
      <c r="K22" s="199" t="inlineStr">
        <is>
          <t>тыс.т.</t>
        </is>
      </c>
    </row>
    <row r="23" ht="38.25" customFormat="1" customHeight="1" s="1041">
      <c r="A23" s="137" t="n"/>
      <c r="B23" s="194" t="n"/>
      <c r="C23" s="973" t="inlineStr">
        <is>
          <t>1.2.1</t>
        </is>
      </c>
      <c r="D23" s="968" t="inlineStr">
        <is>
          <t>Конденсат газовый нестабильный, 
собственность ПАО "Газпром"</t>
        </is>
      </c>
      <c r="E23" s="15" t="n">
        <v>100330017</v>
      </c>
      <c r="F23" s="15" t="n"/>
      <c r="G23" s="16" t="n"/>
      <c r="H23" s="17" t="n"/>
      <c r="I23" s="636" t="n"/>
      <c r="J23" s="17" t="n"/>
      <c r="K23" s="198" t="inlineStr">
        <is>
          <t>тыс.т.</t>
        </is>
      </c>
    </row>
    <row r="24" ht="20.1" customFormat="1" customHeight="1" s="1041">
      <c r="A24" s="137" t="n"/>
      <c r="B24" s="194" t="n"/>
      <c r="C24" s="973" t="inlineStr">
        <is>
          <t>1.2.2</t>
        </is>
      </c>
      <c r="D24" s="157" t="inlineStr">
        <is>
          <t>Нефть, собственность ПАО "Газпром"</t>
        </is>
      </c>
      <c r="E24" s="15" t="n">
        <v>100330196</v>
      </c>
      <c r="F24" s="15" t="n"/>
      <c r="G24" s="16" t="n"/>
      <c r="H24" s="17" t="n"/>
      <c r="I24" s="636" t="n"/>
      <c r="J24" s="17" t="n"/>
      <c r="K24" s="198" t="inlineStr">
        <is>
          <t>тыс.т.</t>
        </is>
      </c>
    </row>
    <row r="25" ht="20.1" customFormat="1" customHeight="1" s="137">
      <c r="B25" s="194" t="n"/>
      <c r="C25" s="1016" t="inlineStr">
        <is>
          <t>1.3</t>
        </is>
      </c>
      <c r="D25" s="201" t="inlineStr">
        <is>
          <t>ПРИСАДКИ (ДОБАВКИ), ВСЕГО:</t>
        </is>
      </c>
      <c r="E25" s="15" t="n">
        <v>100331986</v>
      </c>
      <c r="F25" s="15" t="n"/>
      <c r="G25" s="16" t="n"/>
      <c r="H25" s="17" t="inlineStr">
        <is>
          <t>100332284</t>
        </is>
      </c>
      <c r="I25" s="636" t="n"/>
      <c r="J25" s="17" t="n"/>
      <c r="K25" s="199" t="inlineStr">
        <is>
          <t>тыс.т.</t>
        </is>
      </c>
    </row>
    <row r="26" ht="20.1" customFormat="1" customHeight="1" s="1041">
      <c r="A26" s="137" t="n"/>
      <c r="B26" s="194" t="n"/>
      <c r="C26" s="197" t="inlineStr">
        <is>
          <t>1.3.1</t>
        </is>
      </c>
      <c r="D26" s="157" t="inlineStr">
        <is>
          <t>Присадки для КГС, собственность ПАО "Газпром"</t>
        </is>
      </c>
      <c r="E26" s="15" t="n">
        <v>100332284</v>
      </c>
      <c r="F26" s="15" t="n"/>
      <c r="G26" s="16" t="n"/>
      <c r="H26" s="17" t="n"/>
      <c r="I26" s="636" t="n"/>
      <c r="J26" s="17" t="n"/>
      <c r="K26" s="198" t="inlineStr">
        <is>
          <t>тыс.т.</t>
        </is>
      </c>
    </row>
    <row r="27" ht="20.1" customFormat="1" customHeight="1" s="1041">
      <c r="A27" s="137" t="n"/>
      <c r="B27" s="194" t="n"/>
      <c r="C27" s="202" t="n"/>
      <c r="D27" s="154" t="inlineStr">
        <is>
          <t>Справочно:</t>
        </is>
      </c>
      <c r="E27" s="15" t="n"/>
      <c r="F27" s="15" t="n"/>
      <c r="G27" s="16" t="n"/>
      <c r="H27" s="17" t="n"/>
      <c r="I27" s="636" t="n"/>
      <c r="J27" s="17" t="n"/>
      <c r="K27" s="203" t="n"/>
    </row>
    <row r="28" outlineLevel="1" ht="19.5" customFormat="1" customHeight="1" s="204">
      <c r="A28" s="137" t="n"/>
      <c r="B28" s="194" t="n"/>
      <c r="C28" s="1076" t="inlineStr">
        <is>
          <t>2</t>
        </is>
      </c>
      <c r="D28" s="1042" t="inlineStr">
        <is>
          <t>ПОТЕРИ, ВСЕГО:</t>
        </is>
      </c>
      <c r="E28" s="15" t="n">
        <v>100332285</v>
      </c>
      <c r="F28" s="15" t="n"/>
      <c r="G28" s="16" t="n"/>
      <c r="H28" s="17" t="inlineStr">
        <is>
          <t>100330554+100330553</t>
        </is>
      </c>
      <c r="I28" s="776" t="inlineStr">
        <is>
          <t>ОКРУГЛ({100332285:-1}/{100331977:-1}*$100;$6)</t>
        </is>
      </c>
      <c r="J28" s="17" t="n"/>
      <c r="K28" s="205" t="inlineStr">
        <is>
          <t>тыс.т.</t>
        </is>
      </c>
    </row>
    <row r="29" outlineLevel="1" ht="17.25" customFormat="1" customHeight="1" s="1041">
      <c r="A29" s="137" t="n"/>
      <c r="B29" s="194" t="n"/>
      <c r="C29" s="206" t="inlineStr">
        <is>
          <t>2.1</t>
        </is>
      </c>
      <c r="D29" s="150" t="inlineStr">
        <is>
          <t>Потери, собственность ПАО "Газпром"</t>
        </is>
      </c>
      <c r="E29" s="15" t="n">
        <v>100330554</v>
      </c>
      <c r="F29" s="15" t="n"/>
      <c r="G29" s="16" t="n"/>
      <c r="H29" s="17" t="n"/>
      <c r="I29" s="776" t="inlineStr">
        <is>
          <t>ОКРУГЛ({100332285:-1}/{100330002:-1}*$100;$6)</t>
        </is>
      </c>
      <c r="J29" s="17" t="n"/>
      <c r="K29" s="203" t="inlineStr">
        <is>
          <t>тыс.т.</t>
        </is>
      </c>
    </row>
    <row r="30" outlineLevel="1" ht="17.25" customFormat="1" customHeight="1" s="1041">
      <c r="A30" s="137" t="n"/>
      <c r="B30" s="194" t="n"/>
      <c r="C30" s="206" t="inlineStr">
        <is>
          <t>2.2</t>
        </is>
      </c>
      <c r="D30" s="150" t="inlineStr">
        <is>
          <t>Потери, собственность ООО "Газпром ГНП холдинг"</t>
        </is>
      </c>
      <c r="E30" s="15" t="n">
        <v>100330553</v>
      </c>
      <c r="F30" s="15" t="n"/>
      <c r="G30" s="16" t="n"/>
      <c r="H30" s="17" t="n"/>
      <c r="I30" s="776" t="inlineStr">
        <is>
          <t>ОКРУГЛ({100330553:-1}/{100330550:-1}*$100;$6)</t>
        </is>
      </c>
      <c r="J30" s="17" t="n"/>
      <c r="K30" s="203" t="inlineStr">
        <is>
          <t>тыс.т.</t>
        </is>
      </c>
    </row>
    <row r="31" ht="27" customFormat="1" customHeight="1" s="137">
      <c r="B31" s="194" t="n"/>
      <c r="C31" s="1016" t="inlineStr">
        <is>
          <t>3</t>
        </is>
      </c>
      <c r="D31" s="965" t="inlineStr">
        <is>
          <t>ПРОИЗВОДСТВО ПРОДУКЦИИ, ВСЕГО:</t>
        </is>
      </c>
      <c r="E31" s="15" t="n">
        <v>100331853</v>
      </c>
      <c r="F31" s="15" t="n"/>
      <c r="G31" s="16" t="n"/>
      <c r="H31" s="17" t="inlineStr">
        <is>
          <t>100330237+100330560</t>
        </is>
      </c>
      <c r="I31" s="776" t="n"/>
      <c r="J31" s="17" t="n"/>
      <c r="K31" s="199" t="inlineStr">
        <is>
          <t>тыс.т.</t>
        </is>
      </c>
    </row>
    <row r="32" ht="20.1" customHeight="1" s="904">
      <c r="A32" s="137" t="n"/>
      <c r="B32" s="194" t="n"/>
      <c r="C32" s="973" t="n"/>
      <c r="D32" s="157" t="inlineStr">
        <is>
          <t>Производство продукции, собственность ПАО "Газпром"</t>
        </is>
      </c>
      <c r="E32" s="15" t="n">
        <v>100330237</v>
      </c>
      <c r="F32" s="15" t="n"/>
      <c r="G32" s="16" t="n"/>
      <c r="H32" s="17" t="inlineStr">
        <is>
          <t>100330563+100332287+100330579+100330098+100335432/$1000</t>
        </is>
      </c>
      <c r="I32" s="776" t="n"/>
      <c r="J32" s="17" t="n"/>
      <c r="K32" s="198" t="inlineStr">
        <is>
          <t>тыс.т.</t>
        </is>
      </c>
    </row>
    <row r="33" ht="37.5" customHeight="1" s="904">
      <c r="A33" s="137" t="n"/>
      <c r="B33" s="194" t="n"/>
      <c r="C33" s="973" t="n"/>
      <c r="D33" s="157" t="inlineStr">
        <is>
          <t>Производство продукции, 
собственность ООО "Газпром ГНП холдинг"</t>
        </is>
      </c>
      <c r="E33" s="15" t="n">
        <v>100330560</v>
      </c>
      <c r="F33" s="15" t="n"/>
      <c r="G33" s="16" t="n"/>
      <c r="H33" s="17" t="inlineStr">
        <is>
          <t>100330573+100332288+100330582</t>
        </is>
      </c>
      <c r="I33" s="776" t="n"/>
      <c r="J33" s="17" t="n"/>
      <c r="K33" s="198" t="inlineStr">
        <is>
          <t>тыс.т.</t>
        </is>
      </c>
    </row>
    <row r="34" ht="20.1" customFormat="1" customHeight="1" s="137">
      <c r="B34" s="194" t="n"/>
      <c r="C34" s="1016" t="inlineStr">
        <is>
          <t>3.1</t>
        </is>
      </c>
      <c r="D34" s="965" t="inlineStr">
        <is>
          <t>ГАЗ СУХОЙ ОТБЕНЗИНЕННЫЙ, ВСЕГО:</t>
        </is>
      </c>
      <c r="E34" s="15" t="n">
        <v>100330561</v>
      </c>
      <c r="F34" s="15" t="n"/>
      <c r="G34" s="16" t="n"/>
      <c r="H34" s="17" t="inlineStr">
        <is>
          <t>100330563+100330573</t>
        </is>
      </c>
      <c r="I34" s="776" t="inlineStr">
        <is>
          <t>ОКРУГЛ({100330561:-1}/{100332033:-1}*$100;$6)</t>
        </is>
      </c>
      <c r="J34" s="17" t="n"/>
      <c r="K34" s="199" t="inlineStr">
        <is>
          <t>тыс.т.</t>
        </is>
      </c>
    </row>
    <row r="35" ht="20.1" customFormat="1" customHeight="1" s="137">
      <c r="B35" s="194" t="n"/>
      <c r="C35" s="916" t="n"/>
      <c r="D35" s="916" t="n"/>
      <c r="E35" s="15" t="n">
        <v>100330562</v>
      </c>
      <c r="F35" s="15" t="n"/>
      <c r="G35" s="16" t="n"/>
      <c r="H35" s="17" t="inlineStr">
        <is>
          <t>100330564+100330574</t>
        </is>
      </c>
      <c r="I35" s="776" t="inlineStr">
        <is>
          <t>ОКРУГЛ({100330562:-1}/{100332034:-1}*$100;$6)</t>
        </is>
      </c>
      <c r="J35" s="17" t="n"/>
      <c r="K35" s="593" t="inlineStr">
        <is>
          <t>млн куб.м</t>
        </is>
      </c>
    </row>
    <row r="36" ht="20.1" customHeight="1" s="904">
      <c r="A36" s="137" t="n"/>
      <c r="B36" s="194" t="n"/>
      <c r="C36" s="973" t="inlineStr">
        <is>
          <t>3.1.1</t>
        </is>
      </c>
      <c r="D36" s="968" t="inlineStr">
        <is>
          <t>Газ сухой отбензиненный, собственность ПАО "Газпром"</t>
        </is>
      </c>
      <c r="E36" s="15" t="n">
        <v>100330563</v>
      </c>
      <c r="F36" s="15" t="n"/>
      <c r="G36" s="16" t="n"/>
      <c r="H36" s="17" t="inlineStr">
        <is>
          <t>100330565+100330567+100330569</t>
        </is>
      </c>
      <c r="I36" s="776" t="inlineStr">
        <is>
          <t>ОКРУГЛ({100330563:-1}/{100330007:-1}*$100;$6)</t>
        </is>
      </c>
      <c r="J36" s="17" t="n"/>
      <c r="K36" s="198" t="inlineStr">
        <is>
          <t>тыс.т.</t>
        </is>
      </c>
    </row>
    <row r="37" ht="19.5" customHeight="1" s="904">
      <c r="A37" s="137" t="n"/>
      <c r="B37" s="194" t="n"/>
      <c r="C37" s="916" t="n"/>
      <c r="D37" s="916" t="n"/>
      <c r="E37" s="15" t="n">
        <v>100330564</v>
      </c>
      <c r="F37" s="15" t="n"/>
      <c r="G37" s="16" t="n"/>
      <c r="H37" s="17" t="inlineStr">
        <is>
          <t>100330566+100330568+100330570</t>
        </is>
      </c>
      <c r="I37" s="776" t="inlineStr">
        <is>
          <t>ОКРУГЛ({100330564:-1}/{100330008:-1}*$100;$6)</t>
        </is>
      </c>
      <c r="J37" s="17" t="n"/>
      <c r="K37" s="584" t="inlineStr">
        <is>
          <t>млн куб.м</t>
        </is>
      </c>
    </row>
    <row r="38" ht="20.1" customHeight="1" s="904">
      <c r="A38" s="137" t="n"/>
      <c r="B38" s="194" t="n"/>
      <c r="C38" s="973" t="inlineStr">
        <is>
          <t>3.1.2</t>
        </is>
      </c>
      <c r="D38" s="968" t="inlineStr">
        <is>
          <t>Газ сухой отбензиненный, 
собственность ООО "Газпром ГНП холдинг"</t>
        </is>
      </c>
      <c r="E38" s="15" t="n">
        <v>100330573</v>
      </c>
      <c r="F38" s="15" t="n"/>
      <c r="G38" s="16" t="n"/>
      <c r="H38" s="17" t="n"/>
      <c r="I38" s="776" t="inlineStr">
        <is>
          <t>ОКРУГЛ({100330573:-1}/{100330551:-1}*$100;$6)</t>
        </is>
      </c>
      <c r="J38" s="17" t="n"/>
      <c r="K38" s="198" t="inlineStr">
        <is>
          <t>тыс.т.</t>
        </is>
      </c>
    </row>
    <row r="39" ht="20.1" customHeight="1" s="904">
      <c r="A39" s="137" t="n"/>
      <c r="B39" s="194" t="n"/>
      <c r="C39" s="916" t="n"/>
      <c r="D39" s="916" t="n"/>
      <c r="E39" s="15" t="n">
        <v>100330574</v>
      </c>
      <c r="F39" s="15" t="n"/>
      <c r="G39" s="16" t="n"/>
      <c r="H39" s="17" t="n"/>
      <c r="I39" s="776" t="inlineStr">
        <is>
          <t>ОКРУГЛ({100330574:-1}/{100330552:-1}*$100;$6)</t>
        </is>
      </c>
      <c r="J39" s="17" t="n"/>
      <c r="K39" s="584" t="inlineStr">
        <is>
          <t>млн куб.м</t>
        </is>
      </c>
    </row>
    <row r="40" ht="20.1" customFormat="1" customHeight="1" s="1041">
      <c r="A40" s="137" t="n"/>
      <c r="B40" s="194" t="n"/>
      <c r="C40" s="790" t="n"/>
      <c r="D40" s="1011" t="inlineStr">
        <is>
          <t>Справочно:</t>
        </is>
      </c>
      <c r="E40" s="15" t="n"/>
      <c r="F40" s="15" t="n"/>
      <c r="G40" s="16" t="n"/>
      <c r="H40" s="17" t="n"/>
      <c r="I40" s="776" t="n"/>
      <c r="J40" s="17" t="n"/>
      <c r="K40" s="198" t="n"/>
    </row>
    <row r="41" ht="20.1" customFormat="1" customHeight="1" s="1041">
      <c r="A41" s="137" t="n"/>
      <c r="B41" s="194" t="n"/>
      <c r="C41" s="1010" t="inlineStr">
        <is>
          <t>3.1.1.1</t>
        </is>
      </c>
      <c r="D41" s="1011" t="inlineStr">
        <is>
          <t xml:space="preserve">Газ сухой отбензиненный на СТН завода,
собственность ПАО "Газпром"           </t>
        </is>
      </c>
      <c r="E41" s="15" t="n">
        <v>100330565</v>
      </c>
      <c r="F41" s="15" t="n"/>
      <c r="G41" s="16" t="n"/>
      <c r="H41" s="17" t="n"/>
      <c r="I41" s="776" t="inlineStr">
        <is>
          <t>ОКРУГЛ({100330565:-1}/{100330563:-1}*$100;$6)</t>
        </is>
      </c>
      <c r="J41" s="17" t="n"/>
      <c r="K41" s="198" t="inlineStr">
        <is>
          <t>тыс.т.</t>
        </is>
      </c>
    </row>
    <row r="42" ht="20.1" customFormat="1" customHeight="1" s="1041">
      <c r="A42" s="137" t="n"/>
      <c r="B42" s="194" t="n"/>
      <c r="C42" s="964" t="n"/>
      <c r="D42" s="916" t="n"/>
      <c r="E42" s="15" t="n">
        <v>100330566</v>
      </c>
      <c r="F42" s="15" t="n"/>
      <c r="G42" s="16" t="n"/>
      <c r="H42" s="17" t="n"/>
      <c r="I42" s="776" t="inlineStr">
        <is>
          <t>ОКРУГЛ({100330566:-1}/{100330564:-1}*$100;$6)</t>
        </is>
      </c>
      <c r="J42" s="17" t="n"/>
      <c r="K42" s="584" t="inlineStr">
        <is>
          <t>млн куб.м</t>
        </is>
      </c>
    </row>
    <row r="43" ht="20.1" customFormat="1" customHeight="1" s="1041">
      <c r="A43" s="137" t="n"/>
      <c r="B43" s="194" t="n"/>
      <c r="C43" s="1010" t="inlineStr">
        <is>
          <t>3.1.1.2</t>
        </is>
      </c>
      <c r="D43" s="1011" t="inlineStr">
        <is>
          <t xml:space="preserve">Газ сухой отбензиненный на Сосногорскую ТЭЦ, собственность ПАО "Газпром"           </t>
        </is>
      </c>
      <c r="E43" s="15" t="n">
        <v>100330567</v>
      </c>
      <c r="F43" s="15" t="n"/>
      <c r="G43" s="16" t="n"/>
      <c r="H43" s="17" t="n"/>
      <c r="I43" s="776" t="inlineStr">
        <is>
          <t>ОКРУГЛ({100330567:-1}/{100330563:-1}*$100;$6)</t>
        </is>
      </c>
      <c r="J43" s="17" t="n"/>
      <c r="K43" s="198" t="inlineStr">
        <is>
          <t>тыс.т.</t>
        </is>
      </c>
    </row>
    <row r="44" ht="19.5" customFormat="1" customHeight="1" s="1041">
      <c r="A44" s="137" t="n"/>
      <c r="B44" s="194" t="n"/>
      <c r="C44" s="964" t="n"/>
      <c r="D44" s="916" t="n"/>
      <c r="E44" s="15" t="n">
        <v>100330568</v>
      </c>
      <c r="F44" s="15" t="n"/>
      <c r="G44" s="16" t="n"/>
      <c r="H44" s="17" t="n"/>
      <c r="I44" s="776" t="inlineStr">
        <is>
          <t>ОКРУГЛ({100330568:-1}/{100330564:-1}*$100;$6)</t>
        </is>
      </c>
      <c r="J44" s="17" t="n"/>
      <c r="K44" s="584" t="inlineStr">
        <is>
          <t>млн куб.м</t>
        </is>
      </c>
    </row>
    <row r="45" ht="20.1" customFormat="1" customHeight="1" s="1041">
      <c r="A45" s="137" t="n"/>
      <c r="B45" s="194" t="n"/>
      <c r="C45" s="1010" t="inlineStr">
        <is>
          <t>3.1.1.3</t>
        </is>
      </c>
      <c r="D45" s="1011" t="inlineStr">
        <is>
          <t xml:space="preserve">Газ сухой отбензиненный в МГ, 
собственность ПАО "Газпром" </t>
        </is>
      </c>
      <c r="E45" s="15" t="n">
        <v>100330569</v>
      </c>
      <c r="F45" s="15" t="n"/>
      <c r="G45" s="16" t="n"/>
      <c r="H45" s="17" t="n"/>
      <c r="I45" s="776" t="inlineStr">
        <is>
          <t>ОКРУГЛ({100330569:-1}/{100330563:-1}*$100;$6)</t>
        </is>
      </c>
      <c r="J45" s="17" t="n"/>
      <c r="K45" s="198" t="inlineStr">
        <is>
          <t>тыс.т.</t>
        </is>
      </c>
    </row>
    <row r="46" ht="20.1" customFormat="1" customHeight="1" s="1041">
      <c r="A46" s="137" t="n"/>
      <c r="B46" s="194" t="n"/>
      <c r="C46" s="964" t="n"/>
      <c r="D46" s="916" t="n"/>
      <c r="E46" s="15" t="n">
        <v>100330570</v>
      </c>
      <c r="F46" s="15" t="n"/>
      <c r="G46" s="16" t="n"/>
      <c r="H46" s="17" t="n"/>
      <c r="I46" s="776" t="inlineStr">
        <is>
          <t>ОКРУГЛ({100330570:-1}/{100330564:-1}*$100;$6)</t>
        </is>
      </c>
      <c r="J46" s="17" t="n"/>
      <c r="K46" s="584" t="inlineStr">
        <is>
          <t>млн куб.м</t>
        </is>
      </c>
    </row>
    <row r="47" ht="20.1" customFormat="1" customHeight="1" s="654">
      <c r="A47" s="137" t="n"/>
      <c r="B47" s="194" t="n"/>
      <c r="C47" s="1016" t="inlineStr">
        <is>
          <t>3.2</t>
        </is>
      </c>
      <c r="D47" s="965" t="inlineStr">
        <is>
          <t>СЖИЖЕННЫЕ УГЛЕВОДОРОДНЫЕ ГАЗЫ, ВСЕГО:</t>
        </is>
      </c>
      <c r="E47" s="15" t="n">
        <v>100332286</v>
      </c>
      <c r="F47" s="15" t="n"/>
      <c r="G47" s="16" t="n"/>
      <c r="H47" s="17" t="inlineStr">
        <is>
          <t>100332287+100332288</t>
        </is>
      </c>
      <c r="I47" s="776" t="inlineStr">
        <is>
          <t>ОКРУГЛ({100332286:-1}/{100331977:-1}*$100;$6)</t>
        </is>
      </c>
      <c r="J47" s="17" t="n"/>
      <c r="K47" s="199" t="inlineStr">
        <is>
          <t>тыс.т.</t>
        </is>
      </c>
    </row>
    <row r="48" ht="19.5" customFormat="1" customHeight="1" s="658">
      <c r="A48" s="137" t="n"/>
      <c r="B48" s="194" t="n"/>
      <c r="C48" s="973" t="inlineStr">
        <is>
          <t>3.2.1</t>
        </is>
      </c>
      <c r="D48" s="968" t="inlineStr">
        <is>
          <t>СУГ, собственность ПАО "Газпром"</t>
        </is>
      </c>
      <c r="E48" s="15" t="n">
        <v>100332287</v>
      </c>
      <c r="F48" s="15" t="n"/>
      <c r="G48" s="16" t="n"/>
      <c r="H48" s="17" t="n"/>
      <c r="I48" s="776" t="inlineStr">
        <is>
          <t>ОКРУГЛ({100332287:-1}/{100330002:-1}*$100;$6)</t>
        </is>
      </c>
      <c r="J48" s="17" t="n"/>
      <c r="K48" s="198" t="inlineStr">
        <is>
          <t>тыс.т.</t>
        </is>
      </c>
    </row>
    <row r="49" ht="20.1" customFormat="1" customHeight="1" s="658">
      <c r="A49" s="137" t="n"/>
      <c r="B49" s="194" t="n"/>
      <c r="C49" s="973" t="inlineStr">
        <is>
          <t>3.2.2</t>
        </is>
      </c>
      <c r="D49" s="968" t="inlineStr">
        <is>
          <t>СУГ, собственность ООО "Газпром ГНП холдинг"</t>
        </is>
      </c>
      <c r="E49" s="15" t="n">
        <v>100332288</v>
      </c>
      <c r="F49" s="15" t="n"/>
      <c r="G49" s="16" t="n"/>
      <c r="H49" s="17" t="n"/>
      <c r="I49" s="776" t="inlineStr">
        <is>
          <t>ОКРУГЛ({100332288:-1}/{100330550:-1}*$100;$6)</t>
        </is>
      </c>
      <c r="J49" s="17" t="n"/>
      <c r="K49" s="198" t="inlineStr">
        <is>
          <t>тыс.т.</t>
        </is>
      </c>
    </row>
    <row r="50" ht="20.1" customFormat="1" customHeight="1" s="137">
      <c r="B50" s="194" t="n"/>
      <c r="C50" s="1016" t="inlineStr">
        <is>
          <t>3.3</t>
        </is>
      </c>
      <c r="D50" s="965" t="inlineStr">
        <is>
          <t>УГЛЕРОД ТЕХНИЧЕСКИЙ, ВСЕГО:</t>
        </is>
      </c>
      <c r="E50" s="15" t="n">
        <v>100330579</v>
      </c>
      <c r="F50" s="15" t="n"/>
      <c r="G50" s="16" t="n"/>
      <c r="H50" s="17" t="inlineStr">
        <is>
          <t>(100330580+100330581)/$1000</t>
        </is>
      </c>
      <c r="I50" s="776" t="inlineStr">
        <is>
          <t>ОКРУГЛ({100330579:-1}/{100330002:-1}*$100;$6)</t>
        </is>
      </c>
      <c r="J50" s="17" t="n"/>
      <c r="K50" s="199" t="inlineStr">
        <is>
          <t>тыс.т.</t>
        </is>
      </c>
    </row>
    <row r="51" ht="20.1" customHeight="1" s="904">
      <c r="A51" s="137" t="n"/>
      <c r="B51" s="194" t="n"/>
      <c r="C51" s="973" t="inlineStr">
        <is>
          <t>3.3.1</t>
        </is>
      </c>
      <c r="D51" s="968" t="inlineStr">
        <is>
          <t>марка П 701, собственность ПАО "Газпром"</t>
        </is>
      </c>
      <c r="E51" s="15" t="n">
        <v>100330580</v>
      </c>
      <c r="F51" s="15" t="n"/>
      <c r="G51" s="16" t="n"/>
      <c r="H51" s="17" t="n"/>
      <c r="I51" s="776" t="inlineStr">
        <is>
          <t>ОКРУГЛ({100330580:-1}/{100330002:-1}*$100;$6)</t>
        </is>
      </c>
      <c r="J51" s="17" t="n"/>
      <c r="K51" s="198" t="inlineStr">
        <is>
          <t>тонн</t>
        </is>
      </c>
    </row>
    <row r="52" ht="20.1" customHeight="1" s="904">
      <c r="A52" s="137" t="n"/>
      <c r="B52" s="194" t="n"/>
      <c r="C52" s="973" t="inlineStr">
        <is>
          <t>3.3.2</t>
        </is>
      </c>
      <c r="D52" s="968" t="inlineStr">
        <is>
          <t>марка Т 900, собственность ПАО "Газпром"</t>
        </is>
      </c>
      <c r="E52" s="15" t="n">
        <v>100330581</v>
      </c>
      <c r="F52" s="15" t="n"/>
      <c r="G52" s="16" t="n"/>
      <c r="H52" s="17" t="n"/>
      <c r="I52" s="776" t="inlineStr">
        <is>
          <t>ОКРУГЛ({100330581:-1}/{100330002:-1}*$100;$6)</t>
        </is>
      </c>
      <c r="J52" s="17" t="n"/>
      <c r="K52" s="198" t="inlineStr">
        <is>
          <t>тонн</t>
        </is>
      </c>
    </row>
    <row r="53" ht="20.1" customFormat="1" customHeight="1" s="137">
      <c r="B53" s="194" t="n"/>
      <c r="C53" s="1016" t="inlineStr">
        <is>
          <t>3.4</t>
        </is>
      </c>
      <c r="D53" s="965" t="inlineStr">
        <is>
          <t>СТАБИЛЬНЫЙ КОНДЕНСАТ, ВСЕГО:</t>
        </is>
      </c>
      <c r="E53" s="15" t="n">
        <v>100332289</v>
      </c>
      <c r="F53" s="15" t="n"/>
      <c r="G53" s="16" t="n"/>
      <c r="H53" s="17" t="inlineStr">
        <is>
          <t>100330098+100330582</t>
        </is>
      </c>
      <c r="I53" s="776" t="inlineStr">
        <is>
          <t>ОКРУГЛ({100332289:-1}/{100331977:-1}*$100;$6)</t>
        </is>
      </c>
      <c r="J53" s="17" t="n"/>
      <c r="K53" s="199" t="inlineStr">
        <is>
          <t>тыс.т.</t>
        </is>
      </c>
    </row>
    <row r="54" ht="20.1" customHeight="1" s="904">
      <c r="A54" s="137" t="n"/>
      <c r="B54" s="194" t="n"/>
      <c r="C54" s="973" t="inlineStr">
        <is>
          <t>3.4.1</t>
        </is>
      </c>
      <c r="D54" s="968" t="inlineStr">
        <is>
          <t xml:space="preserve">СК, собственность ПАО "Газпром"    </t>
        </is>
      </c>
      <c r="E54" s="15" t="n">
        <v>100330098</v>
      </c>
      <c r="F54" s="15" t="n"/>
      <c r="G54" s="16" t="n"/>
      <c r="H54" s="17" t="n"/>
      <c r="I54" s="776" t="inlineStr">
        <is>
          <t>ОКРУГЛ({100330098:-1}/{100330002:-1}*$100;$6)</t>
        </is>
      </c>
      <c r="J54" s="17" t="n"/>
      <c r="K54" s="198" t="inlineStr">
        <is>
          <t>тыс.т.</t>
        </is>
      </c>
    </row>
    <row r="55" ht="20.1" customHeight="1" s="904">
      <c r="A55" s="137" t="n"/>
      <c r="B55" s="194" t="n"/>
      <c r="C55" s="973" t="inlineStr">
        <is>
          <t>3.4.2</t>
        </is>
      </c>
      <c r="D55" s="968" t="inlineStr">
        <is>
          <t>СК, собственность ООО "Газпром ГНП холдинг"</t>
        </is>
      </c>
      <c r="E55" s="15" t="n">
        <v>100330582</v>
      </c>
      <c r="F55" s="15" t="n"/>
      <c r="G55" s="16" t="n"/>
      <c r="H55" s="17" t="n"/>
      <c r="I55" s="776" t="inlineStr">
        <is>
          <t>ОКРУГЛ({100330582:-1}/{100330550:-1}*$100;$6)</t>
        </is>
      </c>
      <c r="J55" s="17" t="n"/>
      <c r="K55" s="198" t="inlineStr">
        <is>
          <t>тыс.т.</t>
        </is>
      </c>
    </row>
    <row r="56" ht="17.25" customFormat="1" customHeight="1" s="137">
      <c r="B56" s="194" t="n"/>
      <c r="C56" s="1035" t="inlineStr">
        <is>
          <t>3.5</t>
        </is>
      </c>
      <c r="D56" s="207" t="inlineStr">
        <is>
          <t>МЕТАНОЛ, собственность ПАО "Газпром"</t>
        </is>
      </c>
      <c r="E56" s="15" t="n">
        <v>100335432</v>
      </c>
      <c r="F56" s="15" t="n"/>
      <c r="G56" s="16" t="n"/>
      <c r="H56" s="17" t="n"/>
      <c r="I56" s="776" t="inlineStr">
        <is>
          <t>ОКРУГЛ({100335432/1000:-1}/{100330002:-1}*$100;$6)</t>
        </is>
      </c>
      <c r="J56" s="17" t="n"/>
      <c r="K56" s="208" t="inlineStr">
        <is>
          <t>тонн</t>
        </is>
      </c>
    </row>
    <row r="57" outlineLevel="1" ht="39" customHeight="1" s="904">
      <c r="A57" s="137" t="n"/>
      <c r="B57" s="194" t="n"/>
      <c r="C57" s="195" t="inlineStr">
        <is>
          <t>4</t>
        </is>
      </c>
      <c r="D57" s="209" t="inlineStr">
        <is>
          <t>Материальный баланс переработки УВС ("П.1"-"П.2"-"П.3" = 0,000)</t>
        </is>
      </c>
      <c r="E57" s="15" t="n"/>
      <c r="F57" s="15" t="n"/>
      <c r="G57" s="16" t="n"/>
      <c r="H57" s="17" t="n"/>
      <c r="I57" s="636" t="n"/>
      <c r="J57" s="17" t="n"/>
      <c r="K57" s="198" t="inlineStr">
        <is>
          <t>тыс.т.</t>
        </is>
      </c>
    </row>
    <row r="58" outlineLevel="1" ht="18.75" customHeight="1" s="904">
      <c r="A58" s="137" t="n"/>
      <c r="B58" s="194" t="n"/>
      <c r="C58" s="973" t="inlineStr">
        <is>
          <t>4.1</t>
        </is>
      </c>
      <c r="D58" s="210" t="inlineStr">
        <is>
          <t>МБ, сырья и продукции собственность ПАО "Газпром"</t>
        </is>
      </c>
      <c r="E58" s="15" t="n">
        <v>100330425</v>
      </c>
      <c r="F58" s="15" t="n"/>
      <c r="G58" s="16" t="n"/>
      <c r="H58" s="17" t="inlineStr">
        <is>
          <t>ОКРУГЛ(100330002-100330554-100330237;1)</t>
        </is>
      </c>
      <c r="I58" s="636" t="n"/>
      <c r="J58" s="17" t="n"/>
      <c r="K58" s="198" t="inlineStr">
        <is>
          <t>тыс.т.</t>
        </is>
      </c>
    </row>
    <row r="59" outlineLevel="1" ht="37.5" customHeight="1" s="904">
      <c r="A59" s="137" t="n"/>
      <c r="B59" s="194" t="n"/>
      <c r="C59" s="973" t="inlineStr">
        <is>
          <t>4.2</t>
        </is>
      </c>
      <c r="D59" s="210" t="inlineStr">
        <is>
          <t>МБ, сырья и продукции 
собственность ООО "Газпром ГНП холдинг"</t>
        </is>
      </c>
      <c r="E59" s="15" t="n">
        <v>100330585</v>
      </c>
      <c r="F59" s="15" t="n"/>
      <c r="G59" s="16" t="n"/>
      <c r="H59" s="17" t="inlineStr">
        <is>
          <t>ОКРУГЛ(100330550-100330553-100330560;1)</t>
        </is>
      </c>
      <c r="I59" s="636" t="n"/>
      <c r="J59" s="17" t="n"/>
      <c r="K59" s="211" t="inlineStr">
        <is>
          <t>тыс.т.</t>
        </is>
      </c>
    </row>
    <row r="60" ht="36" customFormat="1" customHeight="1" s="649">
      <c r="A60" s="137" t="n"/>
      <c r="B60" s="975" t="n"/>
      <c r="C60" s="970" t="n">
        <v>5</v>
      </c>
      <c r="D60" s="212" t="inlineStr">
        <is>
          <t>Производство для реализации ПАО "Газпром"</t>
        </is>
      </c>
      <c r="E60" s="15" t="n"/>
      <c r="F60" s="15" t="inlineStr">
        <is>
          <t>T</t>
        </is>
      </c>
      <c r="G60" s="16" t="n"/>
      <c r="H60" s="17" t="inlineStr">
        <is>
          <t>100332287+100330579+100330098+100335432/$1000</t>
        </is>
      </c>
      <c r="I60" s="636" t="n"/>
      <c r="J60" s="17" t="n"/>
      <c r="K60" s="1077" t="inlineStr">
        <is>
          <t>тыс.т.</t>
        </is>
      </c>
    </row>
    <row r="61" ht="39" customFormat="1" customHeight="1" s="649">
      <c r="B61" s="975" t="n"/>
      <c r="C61" s="213" t="n">
        <v>6</v>
      </c>
      <c r="D61" s="214" t="inlineStr">
        <is>
          <t>Проверка с разделом "Добыча"</t>
        </is>
      </c>
      <c r="E61" s="15" t="n"/>
      <c r="F61" s="15" t="n"/>
      <c r="G61" s="16" t="n"/>
      <c r="H61" s="17" t="n"/>
      <c r="I61" s="636" t="n"/>
      <c r="J61" s="17" t="n"/>
      <c r="K61" s="162" t="n"/>
    </row>
    <row r="62" ht="37.5" customFormat="1" customHeight="1" s="649">
      <c r="B62" s="975" t="n"/>
      <c r="C62" s="1043" t="inlineStr">
        <is>
          <t>6.1</t>
        </is>
      </c>
      <c r="D62" s="616" t="inlineStr">
        <is>
          <t>Природный газ, собственность ПАО "Газпром"
собственность ПАО "Газпром</t>
        </is>
      </c>
      <c r="E62" s="15" t="n"/>
      <c r="F62" s="15" t="n"/>
      <c r="G62" s="16" t="n"/>
      <c r="H62" s="17" t="n"/>
      <c r="I62" s="636" t="n"/>
      <c r="J62" s="17" t="n"/>
      <c r="K62" s="188" t="inlineStr">
        <is>
          <t>млн куб.м</t>
        </is>
      </c>
    </row>
    <row r="63" ht="17.25" customFormat="1" customHeight="1" s="649">
      <c r="B63" s="975" t="n"/>
      <c r="C63" s="1043" t="inlineStr">
        <is>
          <t>6.2</t>
        </is>
      </c>
      <c r="D63" s="215" t="inlineStr">
        <is>
          <t>Переработка нефтегазоконденсатной смеси:</t>
        </is>
      </c>
      <c r="E63" s="15" t="n"/>
      <c r="F63" s="15" t="n"/>
      <c r="G63" s="16" t="n"/>
      <c r="H63" s="17" t="n"/>
      <c r="I63" s="636" t="n"/>
      <c r="J63" s="17" t="n"/>
      <c r="K63" s="188" t="inlineStr">
        <is>
          <t>тыс.т.</t>
        </is>
      </c>
    </row>
    <row r="64" ht="37.5" customFormat="1" customHeight="1" s="649">
      <c r="B64" s="975" t="n"/>
      <c r="C64" s="1043" t="n"/>
      <c r="D64" s="616" t="inlineStr">
        <is>
          <t>Конденсат газовый нестабильный, 
собственность ПАО "Газпром"</t>
        </is>
      </c>
      <c r="E64" s="15" t="n"/>
      <c r="F64" s="15" t="n"/>
      <c r="G64" s="16" t="n"/>
      <c r="H64" s="17" t="n"/>
      <c r="I64" s="636" t="n"/>
      <c r="J64" s="17" t="n"/>
      <c r="K64" s="188" t="inlineStr">
        <is>
          <t>тыс.т.</t>
        </is>
      </c>
    </row>
    <row r="65" customFormat="1" s="649">
      <c r="B65" s="975" t="n"/>
      <c r="C65" s="1043" t="n"/>
      <c r="D65" s="216" t="inlineStr">
        <is>
          <t>Нефть, собственность ПАО "Газпром"</t>
        </is>
      </c>
      <c r="E65" s="15" t="n"/>
      <c r="F65" s="15" t="n"/>
      <c r="G65" s="16" t="n"/>
      <c r="H65" s="17" t="n"/>
      <c r="I65" s="636" t="n"/>
      <c r="J65" s="17" t="n"/>
      <c r="K65" s="188" t="inlineStr">
        <is>
          <t>тыс.т.</t>
        </is>
      </c>
    </row>
    <row r="66" ht="39" customFormat="1" customHeight="1" s="649">
      <c r="B66" s="975" t="n"/>
      <c r="C66" s="213" t="n">
        <v>7</v>
      </c>
      <c r="D66" s="214" t="inlineStr">
        <is>
          <t>Проверка с ООО "Газпром добыча Краснодар" "Переработка"</t>
        </is>
      </c>
      <c r="E66" s="15" t="n"/>
      <c r="F66" s="15" t="n"/>
      <c r="G66" s="16" t="n"/>
      <c r="H66" s="17" t="n"/>
      <c r="I66" s="636" t="n"/>
      <c r="J66" s="17" t="n"/>
      <c r="K66" s="1026" t="n"/>
    </row>
    <row r="67" ht="24" customFormat="1" customHeight="1" s="649">
      <c r="B67" s="975" t="n"/>
      <c r="C67" s="1013" t="inlineStr">
        <is>
          <t>7.1</t>
        </is>
      </c>
      <c r="D67" s="1017" t="inlineStr">
        <is>
          <t>Природный газ, собственность ПАО "Газпром"</t>
        </is>
      </c>
      <c r="E67" s="15" t="n"/>
      <c r="F67" s="15" t="inlineStr">
        <is>
          <t>V</t>
        </is>
      </c>
      <c r="G67" s="16" t="n"/>
      <c r="H67" s="17" t="inlineStr">
        <is>
          <t>100330007-9_100330868</t>
        </is>
      </c>
      <c r="I67" s="636" t="n"/>
      <c r="J67" s="17" t="n"/>
      <c r="K67" s="217" t="inlineStr">
        <is>
          <t>тыс.т.</t>
        </is>
      </c>
    </row>
    <row r="68" ht="24" customFormat="1" customHeight="1" s="649">
      <c r="B68" s="975" t="n"/>
      <c r="C68" s="964" t="n"/>
      <c r="D68" s="964" t="n"/>
      <c r="E68" s="15" t="n"/>
      <c r="F68" s="15" t="inlineStr">
        <is>
          <t>V</t>
        </is>
      </c>
      <c r="G68" s="16" t="n"/>
      <c r="H68" s="17" t="inlineStr">
        <is>
          <t>100330008-9_100330869</t>
        </is>
      </c>
      <c r="I68" s="636" t="n"/>
      <c r="J68" s="17" t="n"/>
      <c r="K68" s="217" t="inlineStr">
        <is>
          <t>млн куб.м</t>
        </is>
      </c>
    </row>
    <row r="69" ht="24" customFormat="1" customHeight="1" s="649">
      <c r="B69" s="975" t="n"/>
      <c r="C69" s="1043" t="inlineStr">
        <is>
          <t>7.2</t>
        </is>
      </c>
      <c r="D69" s="215" t="inlineStr">
        <is>
          <t>Переработка нефтегазоконденсатной смеси:</t>
        </is>
      </c>
      <c r="E69" s="15" t="n"/>
      <c r="F69" s="15" t="inlineStr">
        <is>
          <t>V</t>
        </is>
      </c>
      <c r="G69" s="16" t="n"/>
      <c r="H69" s="17" t="inlineStr">
        <is>
          <t>100332283-9_100330670</t>
        </is>
      </c>
      <c r="I69" s="636" t="n"/>
      <c r="J69" s="17" t="n"/>
      <c r="K69" s="217" t="inlineStr">
        <is>
          <t>тыс.т.</t>
        </is>
      </c>
    </row>
    <row r="70" ht="37.5" customFormat="1" customHeight="1" s="649">
      <c r="B70" s="975" t="n"/>
      <c r="C70" s="1043" t="n"/>
      <c r="D70" s="616" t="inlineStr">
        <is>
          <t>Конденсат газовый нестабильный, 
собственность ПАО "Газпром"</t>
        </is>
      </c>
      <c r="E70" s="15" t="n"/>
      <c r="F70" s="15" t="inlineStr">
        <is>
          <t>V</t>
        </is>
      </c>
      <c r="G70" s="16" t="n"/>
      <c r="H70" s="17" t="inlineStr">
        <is>
          <t>100330017-9_100330870</t>
        </is>
      </c>
      <c r="I70" s="636" t="n"/>
      <c r="J70" s="17" t="n"/>
      <c r="K70" s="217" t="inlineStr">
        <is>
          <t>тыс.т.</t>
        </is>
      </c>
    </row>
    <row r="71" ht="24" customFormat="1" customHeight="1" s="649">
      <c r="B71" s="975" t="n"/>
      <c r="C71" s="218" t="n"/>
      <c r="D71" s="219" t="inlineStr">
        <is>
          <t>Нефть, собственность ПАО "Газпром"</t>
        </is>
      </c>
      <c r="E71" s="15" t="n"/>
      <c r="F71" s="15" t="inlineStr">
        <is>
          <t>V</t>
        </is>
      </c>
      <c r="G71" s="16" t="n"/>
      <c r="H71" s="17" t="inlineStr">
        <is>
          <t>100330196-9_100330871</t>
        </is>
      </c>
      <c r="I71" s="636" t="n"/>
      <c r="J71" s="17" t="n"/>
      <c r="K71" s="220" t="inlineStr">
        <is>
          <t>тыс.т.</t>
        </is>
      </c>
    </row>
    <row r="72" customFormat="1" s="649">
      <c r="B72" s="975" t="n"/>
      <c r="C72" s="137" t="n"/>
      <c r="D72" s="1009" t="n"/>
      <c r="E72" s="1009" t="n"/>
      <c r="F72" s="1009" t="n"/>
      <c r="G72" s="1009" t="n"/>
      <c r="H72" s="1009" t="n"/>
      <c r="I72" s="1009" t="n"/>
      <c r="J72" s="1009" t="n"/>
      <c r="K72" s="1015" t="n"/>
    </row>
    <row r="73" customFormat="1" s="649">
      <c r="B73" s="975" t="n"/>
      <c r="C73" s="137" t="n"/>
      <c r="D73" s="1009" t="inlineStr">
        <is>
          <t>* - Обеспечение своевременного внесения  изменений в перечень номенклатуры сырья и продукции входит в компетенцию дочернего общества.</t>
        </is>
      </c>
      <c r="E73" s="1009" t="n"/>
      <c r="F73" s="1009" t="n"/>
      <c r="G73" s="1009" t="n"/>
      <c r="H73" s="1009" t="n"/>
      <c r="I73" s="1009" t="n"/>
      <c r="J73" s="1009" t="n"/>
      <c r="K73" s="1015" t="n"/>
    </row>
    <row r="74" customFormat="1" s="649">
      <c r="B74" s="975" t="n"/>
      <c r="C74" s="137" t="n"/>
      <c r="D74" s="1009" t="n"/>
      <c r="E74" s="1009" t="n"/>
      <c r="F74" s="1009" t="n"/>
      <c r="G74" s="1009" t="n"/>
      <c r="H74" s="1009" t="n"/>
      <c r="I74" s="1009" t="n"/>
      <c r="J74" s="1009" t="n"/>
      <c r="K74" s="1015" t="n"/>
    </row>
    <row r="75" customFormat="1" s="649">
      <c r="B75" s="975" t="n"/>
      <c r="C75" s="137" t="n"/>
      <c r="D75" s="1009" t="n"/>
      <c r="E75" s="1009" t="n"/>
      <c r="F75" s="1009" t="n"/>
      <c r="G75" s="1009" t="n"/>
      <c r="H75" s="1009" t="n"/>
      <c r="I75" s="1009" t="n"/>
      <c r="J75" s="1009" t="n"/>
      <c r="K75" s="1015" t="n"/>
    </row>
    <row r="76" customFormat="1" s="649">
      <c r="B76" s="975" t="n"/>
      <c r="C76" s="137" t="n"/>
      <c r="D76" s="1009" t="n"/>
      <c r="E76" s="1009" t="n"/>
      <c r="F76" s="1009" t="n"/>
      <c r="G76" s="1009" t="n"/>
      <c r="H76" s="1009" t="n"/>
      <c r="I76" s="1009" t="n"/>
      <c r="J76" s="1009" t="n"/>
      <c r="K76" s="1015" t="n"/>
    </row>
    <row r="77" customFormat="1" s="649">
      <c r="B77" s="975" t="n"/>
      <c r="C77" s="137" t="n"/>
      <c r="D77" s="1009" t="n"/>
      <c r="E77" s="1009" t="n"/>
      <c r="F77" s="1009" t="n"/>
      <c r="G77" s="1009" t="n"/>
      <c r="H77" s="1009" t="n"/>
      <c r="I77" s="1009" t="n"/>
      <c r="J77" s="1009" t="n"/>
      <c r="K77" s="1015" t="n"/>
    </row>
    <row r="78" customFormat="1" s="649">
      <c r="B78" s="975" t="n"/>
      <c r="C78" s="137" t="n"/>
      <c r="D78" s="1009" t="n"/>
      <c r="E78" s="1009" t="n"/>
      <c r="F78" s="1009" t="n"/>
      <c r="G78" s="1009" t="n"/>
      <c r="H78" s="1009" t="n"/>
      <c r="I78" s="1009" t="n"/>
      <c r="J78" s="1009" t="n"/>
      <c r="K78" s="1015" t="n"/>
    </row>
    <row r="79" customFormat="1" s="649">
      <c r="B79" s="975" t="n"/>
      <c r="C79" s="137" t="n"/>
      <c r="D79" s="1009" t="n"/>
      <c r="E79" s="1009" t="n"/>
      <c r="F79" s="1009" t="n"/>
      <c r="G79" s="1009" t="n"/>
      <c r="H79" s="1009" t="n"/>
      <c r="I79" s="1009" t="n"/>
      <c r="J79" s="1009" t="n"/>
      <c r="K79" s="1015" t="n"/>
    </row>
    <row r="80" customFormat="1" s="649">
      <c r="B80" s="975" t="n"/>
      <c r="C80" s="137" t="n"/>
      <c r="D80" s="1009" t="n"/>
      <c r="E80" s="1009" t="n"/>
      <c r="F80" s="1009" t="n"/>
      <c r="G80" s="1009" t="n"/>
      <c r="H80" s="1009" t="n"/>
      <c r="I80" s="1009" t="n"/>
      <c r="J80" s="1009" t="n"/>
      <c r="K80" s="1015" t="n"/>
    </row>
    <row r="81" customFormat="1" s="649">
      <c r="B81" s="975" t="n"/>
      <c r="C81" s="137" t="n"/>
      <c r="D81" s="1009" t="n"/>
      <c r="E81" s="1009" t="n"/>
      <c r="F81" s="1009" t="n"/>
      <c r="G81" s="1009" t="n"/>
      <c r="H81" s="1009" t="n"/>
      <c r="I81" s="1009" t="n"/>
      <c r="J81" s="1009" t="n"/>
      <c r="K81" s="1015" t="n"/>
    </row>
    <row r="82" customFormat="1" s="649">
      <c r="B82" s="975" t="n"/>
      <c r="C82" s="137" t="n"/>
      <c r="D82" s="1009" t="n"/>
      <c r="E82" s="1009" t="n"/>
      <c r="F82" s="1009" t="n"/>
      <c r="G82" s="1009" t="n"/>
      <c r="H82" s="1009" t="n"/>
      <c r="I82" s="1009" t="n"/>
      <c r="J82" s="1009" t="n"/>
      <c r="K82" s="1015" t="n"/>
    </row>
    <row r="83" customFormat="1" s="649">
      <c r="B83" s="975" t="n"/>
      <c r="C83" s="137" t="n"/>
      <c r="D83" s="1009" t="n"/>
      <c r="E83" s="1009" t="n"/>
      <c r="F83" s="1009" t="n"/>
      <c r="G83" s="1009" t="n"/>
      <c r="H83" s="1009" t="n"/>
      <c r="I83" s="1009" t="n"/>
      <c r="J83" s="1009" t="n"/>
      <c r="K83" s="1015" t="n"/>
    </row>
    <row r="84" customFormat="1" s="649">
      <c r="B84" s="975" t="n"/>
      <c r="C84" s="137" t="n"/>
      <c r="D84" s="1009" t="n"/>
      <c r="E84" s="1009" t="n"/>
      <c r="F84" s="1009" t="n"/>
      <c r="G84" s="1009" t="n"/>
      <c r="H84" s="1009" t="n"/>
      <c r="I84" s="1009" t="n"/>
      <c r="J84" s="1009" t="n"/>
      <c r="K84" s="1015" t="n"/>
    </row>
    <row r="85" customFormat="1" s="649">
      <c r="B85" s="975" t="n"/>
      <c r="C85" s="137" t="n"/>
      <c r="D85" s="1009" t="n"/>
      <c r="E85" s="1009" t="n"/>
      <c r="F85" s="1009" t="n"/>
      <c r="G85" s="1009" t="n"/>
      <c r="H85" s="1009" t="n"/>
      <c r="I85" s="1009" t="n"/>
      <c r="J85" s="1009" t="n"/>
      <c r="K85" s="1015" t="n"/>
    </row>
    <row r="86" customFormat="1" s="649">
      <c r="B86" s="975" t="n"/>
      <c r="C86" s="137" t="n"/>
      <c r="D86" s="1009" t="n"/>
      <c r="E86" s="1009" t="n"/>
      <c r="F86" s="1009" t="n"/>
      <c r="G86" s="1009" t="n"/>
      <c r="H86" s="1009" t="n"/>
      <c r="I86" s="1009" t="n"/>
      <c r="J86" s="1009" t="n"/>
      <c r="K86" s="1015" t="n"/>
    </row>
    <row r="87" customFormat="1" s="649">
      <c r="B87" s="975" t="n"/>
      <c r="C87" s="137" t="n"/>
      <c r="D87" s="1009" t="n"/>
      <c r="E87" s="1009" t="n"/>
      <c r="F87" s="1009" t="n"/>
      <c r="G87" s="1009" t="n"/>
      <c r="H87" s="1009" t="n"/>
      <c r="I87" s="1009" t="n"/>
      <c r="J87" s="1009" t="n"/>
      <c r="K87" s="1015" t="n"/>
    </row>
    <row r="88" customFormat="1" s="649">
      <c r="B88" s="975" t="n"/>
      <c r="C88" s="137" t="n"/>
      <c r="D88" s="1009" t="n"/>
      <c r="E88" s="1009" t="n"/>
      <c r="F88" s="1009" t="n"/>
      <c r="G88" s="1009" t="n"/>
      <c r="H88" s="1009" t="n"/>
      <c r="I88" s="1009" t="n"/>
      <c r="J88" s="1009" t="n"/>
      <c r="K88" s="1015" t="n"/>
    </row>
    <row r="89" customFormat="1" s="649">
      <c r="B89" s="975" t="n"/>
      <c r="C89" s="137" t="n"/>
      <c r="D89" s="1009" t="n"/>
      <c r="E89" s="1009" t="n"/>
      <c r="F89" s="1009" t="n"/>
      <c r="G89" s="1009" t="n"/>
      <c r="H89" s="1009" t="n"/>
      <c r="I89" s="1009" t="n"/>
      <c r="J89" s="1009" t="n"/>
      <c r="K89" s="1015" t="n"/>
    </row>
    <row r="90" customFormat="1" s="649">
      <c r="B90" s="975" t="n"/>
      <c r="C90" s="137" t="n"/>
      <c r="D90" s="1009" t="n"/>
      <c r="E90" s="1009" t="n"/>
      <c r="F90" s="1009" t="n"/>
      <c r="G90" s="1009" t="n"/>
      <c r="H90" s="1009" t="n"/>
      <c r="I90" s="1009" t="n"/>
      <c r="J90" s="1009" t="n"/>
      <c r="K90" s="1015" t="n"/>
    </row>
    <row r="91" customFormat="1" s="649">
      <c r="B91" s="975" t="n"/>
      <c r="C91" s="137" t="n"/>
      <c r="D91" s="1009" t="n"/>
      <c r="E91" s="1009" t="n"/>
      <c r="F91" s="1009" t="n"/>
      <c r="G91" s="1009" t="n"/>
      <c r="H91" s="1009" t="n"/>
      <c r="I91" s="1009" t="n"/>
      <c r="J91" s="1009" t="n"/>
      <c r="K91" s="1015" t="n"/>
    </row>
    <row r="92" customFormat="1" s="649">
      <c r="B92" s="975" t="n"/>
      <c r="C92" s="137" t="n"/>
      <c r="D92" s="1009" t="n"/>
      <c r="E92" s="1009" t="n"/>
      <c r="F92" s="1009" t="n"/>
      <c r="G92" s="1009" t="n"/>
      <c r="H92" s="1009" t="n"/>
      <c r="I92" s="1009" t="n"/>
      <c r="J92" s="1009" t="n"/>
      <c r="K92" s="1015" t="n"/>
    </row>
    <row r="93" customFormat="1" s="649">
      <c r="B93" s="975" t="n"/>
      <c r="C93" s="137" t="n"/>
      <c r="D93" s="1009" t="n"/>
      <c r="E93" s="1009" t="n"/>
      <c r="F93" s="1009" t="n"/>
      <c r="G93" s="1009" t="n"/>
      <c r="H93" s="1009" t="n"/>
      <c r="I93" s="1009" t="n"/>
      <c r="J93" s="1009" t="n"/>
      <c r="K93" s="1015" t="n"/>
    </row>
    <row r="94" customFormat="1" s="649">
      <c r="B94" s="975" t="n"/>
      <c r="C94" s="137" t="n"/>
      <c r="D94" s="1009" t="n"/>
      <c r="E94" s="1009" t="n"/>
      <c r="F94" s="1009" t="n"/>
      <c r="G94" s="1009" t="n"/>
      <c r="H94" s="1009" t="n"/>
      <c r="I94" s="1009" t="n"/>
      <c r="J94" s="1009" t="n"/>
      <c r="K94" s="1015" t="n"/>
    </row>
    <row r="95" customFormat="1" s="649">
      <c r="B95" s="975" t="n"/>
      <c r="C95" s="137" t="n"/>
      <c r="D95" s="1009" t="n"/>
      <c r="E95" s="1009" t="n"/>
      <c r="F95" s="1009" t="n"/>
      <c r="G95" s="1009" t="n"/>
      <c r="H95" s="1009" t="n"/>
      <c r="I95" s="1009" t="n"/>
      <c r="J95" s="1009" t="n"/>
      <c r="K95" s="1015" t="n"/>
    </row>
    <row r="96" customFormat="1" s="649">
      <c r="B96" s="975" t="n"/>
      <c r="C96" s="137" t="n"/>
      <c r="D96" s="1009" t="n"/>
      <c r="E96" s="1009" t="n"/>
      <c r="F96" s="1009" t="n"/>
      <c r="G96" s="1009" t="n"/>
      <c r="H96" s="1009" t="n"/>
      <c r="I96" s="1009" t="n"/>
      <c r="J96" s="1009" t="n"/>
      <c r="K96" s="1015" t="n"/>
    </row>
    <row r="97" customFormat="1" s="649">
      <c r="B97" s="975" t="n"/>
      <c r="C97" s="137" t="n"/>
      <c r="D97" s="1009" t="n"/>
      <c r="E97" s="1009" t="n"/>
      <c r="F97" s="1009" t="n"/>
      <c r="G97" s="1009" t="n"/>
      <c r="H97" s="1009" t="n"/>
      <c r="I97" s="1009" t="n"/>
      <c r="J97" s="1009" t="n"/>
      <c r="K97" s="1015" t="n"/>
    </row>
    <row r="98" customFormat="1" s="649">
      <c r="B98" s="975" t="n"/>
      <c r="C98" s="137" t="n"/>
      <c r="D98" s="1009" t="n"/>
      <c r="E98" s="1009" t="n"/>
      <c r="F98" s="1009" t="n"/>
      <c r="G98" s="1009" t="n"/>
      <c r="H98" s="1009" t="n"/>
      <c r="I98" s="1009" t="n"/>
      <c r="J98" s="1009" t="n"/>
      <c r="K98" s="1015" t="n"/>
    </row>
    <row r="99" customFormat="1" s="649">
      <c r="B99" s="975" t="n"/>
      <c r="C99" s="137" t="n"/>
      <c r="D99" s="1009" t="n"/>
      <c r="E99" s="1009" t="n"/>
      <c r="F99" s="1009" t="n"/>
      <c r="G99" s="1009" t="n"/>
      <c r="H99" s="1009" t="n"/>
      <c r="I99" s="1009" t="n"/>
      <c r="J99" s="1009" t="n"/>
      <c r="K99" s="1015" t="n"/>
    </row>
    <row r="100" customFormat="1" s="649">
      <c r="B100" s="975" t="n"/>
      <c r="C100" s="137" t="n"/>
      <c r="D100" s="1009" t="n"/>
      <c r="E100" s="1009" t="n"/>
      <c r="F100" s="1009" t="n"/>
      <c r="G100" s="1009" t="n"/>
      <c r="H100" s="1009" t="n"/>
      <c r="I100" s="1009" t="n"/>
      <c r="J100" s="1009" t="n"/>
      <c r="K100" s="1015" t="n"/>
    </row>
    <row r="101" customFormat="1" s="649">
      <c r="B101" s="975" t="n"/>
      <c r="C101" s="137" t="n"/>
      <c r="D101" s="1009" t="n"/>
      <c r="E101" s="1009" t="n"/>
      <c r="F101" s="1009" t="n"/>
      <c r="G101" s="1009" t="n"/>
      <c r="H101" s="1009" t="n"/>
      <c r="I101" s="1009" t="n"/>
      <c r="J101" s="1009" t="n"/>
      <c r="K101" s="1015" t="n"/>
    </row>
    <row r="102" customFormat="1" s="649">
      <c r="B102" s="975" t="n"/>
      <c r="C102" s="137" t="n"/>
      <c r="D102" s="1009" t="n"/>
      <c r="E102" s="1009" t="n"/>
      <c r="F102" s="1009" t="n"/>
      <c r="G102" s="1009" t="n"/>
      <c r="H102" s="1009" t="n"/>
      <c r="I102" s="1009" t="n"/>
      <c r="J102" s="1009" t="n"/>
      <c r="K102" s="1015" t="n"/>
    </row>
    <row r="103" customFormat="1" s="649">
      <c r="B103" s="975" t="n"/>
      <c r="C103" s="137" t="n"/>
      <c r="D103" s="1009" t="n"/>
      <c r="E103" s="1009" t="n"/>
      <c r="F103" s="1009" t="n"/>
      <c r="G103" s="1009" t="n"/>
      <c r="H103" s="1009" t="n"/>
      <c r="I103" s="1009" t="n"/>
      <c r="J103" s="1009" t="n"/>
      <c r="K103" s="1015" t="n"/>
    </row>
    <row r="104" customFormat="1" s="649">
      <c r="B104" s="975" t="n"/>
      <c r="C104" s="137" t="n"/>
      <c r="D104" s="1009" t="n"/>
      <c r="E104" s="1009" t="n"/>
      <c r="F104" s="1009" t="n"/>
      <c r="G104" s="1009" t="n"/>
      <c r="H104" s="1009" t="n"/>
      <c r="I104" s="1009" t="n"/>
      <c r="J104" s="1009" t="n"/>
      <c r="K104" s="1015" t="n"/>
    </row>
    <row r="105" customFormat="1" s="649">
      <c r="B105" s="975" t="n"/>
      <c r="C105" s="137" t="n"/>
      <c r="D105" s="1009" t="n"/>
      <c r="E105" s="1009" t="n"/>
      <c r="F105" s="1009" t="n"/>
      <c r="G105" s="1009" t="n"/>
      <c r="H105" s="1009" t="n"/>
      <c r="I105" s="1009" t="n"/>
      <c r="J105" s="1009" t="n"/>
      <c r="K105" s="1015" t="n"/>
    </row>
    <row r="106" customFormat="1" s="649">
      <c r="B106" s="975" t="n"/>
      <c r="C106" s="137" t="n"/>
      <c r="D106" s="1009" t="n"/>
      <c r="E106" s="1009" t="n"/>
      <c r="F106" s="1009" t="n"/>
      <c r="G106" s="1009" t="n"/>
      <c r="H106" s="1009" t="n"/>
      <c r="I106" s="1009" t="n"/>
      <c r="J106" s="1009" t="n"/>
      <c r="K106" s="1015" t="n"/>
    </row>
    <row r="107" customFormat="1" s="649">
      <c r="B107" s="975" t="n"/>
      <c r="C107" s="137" t="n"/>
      <c r="D107" s="1009" t="n"/>
      <c r="E107" s="1009" t="n"/>
      <c r="F107" s="1009" t="n"/>
      <c r="G107" s="1009" t="n"/>
      <c r="H107" s="1009" t="n"/>
      <c r="I107" s="1009" t="n"/>
      <c r="J107" s="1009" t="n"/>
      <c r="K107" s="1015" t="n"/>
    </row>
    <row r="108" customFormat="1" s="649">
      <c r="B108" s="975" t="n"/>
      <c r="C108" s="137" t="n"/>
      <c r="D108" s="1009" t="n"/>
      <c r="E108" s="1009" t="n"/>
      <c r="F108" s="1009" t="n"/>
      <c r="G108" s="1009" t="n"/>
      <c r="H108" s="1009" t="n"/>
      <c r="I108" s="1009" t="n"/>
      <c r="J108" s="1009" t="n"/>
      <c r="K108" s="1015" t="n"/>
    </row>
    <row r="109" customFormat="1" s="649">
      <c r="B109" s="975" t="n"/>
      <c r="C109" s="137" t="n"/>
      <c r="D109" s="1009" t="n"/>
      <c r="E109" s="1009" t="n"/>
      <c r="F109" s="1009" t="n"/>
      <c r="G109" s="1009" t="n"/>
      <c r="H109" s="1009" t="n"/>
      <c r="I109" s="1009" t="n"/>
      <c r="J109" s="1009" t="n"/>
      <c r="K109" s="1015" t="n"/>
    </row>
    <row r="110" customFormat="1" s="649">
      <c r="B110" s="975" t="n"/>
      <c r="C110" s="137" t="n"/>
      <c r="D110" s="1009" t="n"/>
      <c r="E110" s="1009" t="n"/>
      <c r="F110" s="1009" t="n"/>
      <c r="G110" s="1009" t="n"/>
      <c r="H110" s="1009" t="n"/>
      <c r="I110" s="1009" t="n"/>
      <c r="J110" s="1009" t="n"/>
      <c r="K110" s="1015" t="n"/>
    </row>
    <row r="111" customFormat="1" s="649">
      <c r="B111" s="975" t="n"/>
      <c r="C111" s="137" t="n"/>
      <c r="D111" s="1009" t="n"/>
      <c r="E111" s="1009" t="n"/>
      <c r="F111" s="1009" t="n"/>
      <c r="G111" s="1009" t="n"/>
      <c r="H111" s="1009" t="n"/>
      <c r="I111" s="1009" t="n"/>
      <c r="J111" s="1009" t="n"/>
      <c r="K111" s="1015" t="n"/>
    </row>
    <row r="112" customFormat="1" s="649">
      <c r="B112" s="975" t="n"/>
      <c r="C112" s="137" t="n"/>
      <c r="D112" s="1009" t="n"/>
      <c r="E112" s="1009" t="n"/>
      <c r="F112" s="1009" t="n"/>
      <c r="G112" s="1009" t="n"/>
      <c r="H112" s="1009" t="n"/>
      <c r="I112" s="1009" t="n"/>
      <c r="J112" s="1009" t="n"/>
      <c r="K112" s="1015" t="n"/>
    </row>
    <row r="113" customFormat="1" s="649">
      <c r="B113" s="975" t="n"/>
      <c r="C113" s="137" t="n"/>
      <c r="D113" s="1009" t="n"/>
      <c r="E113" s="1009" t="n"/>
      <c r="F113" s="1009" t="n"/>
      <c r="G113" s="1009" t="n"/>
      <c r="H113" s="1009" t="n"/>
      <c r="I113" s="1009" t="n"/>
      <c r="J113" s="1009" t="n"/>
      <c r="K113" s="1015" t="n"/>
    </row>
    <row r="114" customFormat="1" s="649">
      <c r="B114" s="975" t="n"/>
      <c r="C114" s="137" t="n"/>
      <c r="D114" s="1009" t="n"/>
      <c r="E114" s="1009" t="n"/>
      <c r="F114" s="1009" t="n"/>
      <c r="G114" s="1009" t="n"/>
      <c r="H114" s="1009" t="n"/>
      <c r="I114" s="1009" t="n"/>
      <c r="J114" s="1009" t="n"/>
      <c r="K114" s="1015" t="n"/>
    </row>
    <row r="115" customFormat="1" s="649">
      <c r="B115" s="975" t="n"/>
      <c r="C115" s="137" t="n"/>
      <c r="D115" s="1009" t="n"/>
      <c r="E115" s="1009" t="n"/>
      <c r="F115" s="1009" t="n"/>
      <c r="G115" s="1009" t="n"/>
      <c r="H115" s="1009" t="n"/>
      <c r="I115" s="1009" t="n"/>
      <c r="J115" s="1009" t="n"/>
      <c r="K115" s="1015" t="n"/>
    </row>
    <row r="116" customFormat="1" s="649">
      <c r="B116" s="975" t="n"/>
      <c r="C116" s="137" t="n"/>
      <c r="D116" s="1009" t="n"/>
      <c r="E116" s="1009" t="n"/>
      <c r="F116" s="1009" t="n"/>
      <c r="G116" s="1009" t="n"/>
      <c r="H116" s="1009" t="n"/>
      <c r="I116" s="1009" t="n"/>
      <c r="J116" s="1009" t="n"/>
      <c r="K116" s="1015" t="n"/>
    </row>
    <row r="117" customFormat="1" s="649">
      <c r="B117" s="975" t="n"/>
      <c r="C117" s="137" t="n"/>
      <c r="D117" s="1009" t="n"/>
      <c r="E117" s="1009" t="n"/>
      <c r="F117" s="1009" t="n"/>
      <c r="G117" s="1009" t="n"/>
      <c r="H117" s="1009" t="n"/>
      <c r="I117" s="1009" t="n"/>
      <c r="J117" s="1009" t="n"/>
      <c r="K117" s="1015" t="n"/>
    </row>
    <row r="118" customFormat="1" s="649">
      <c r="B118" s="975" t="n"/>
      <c r="C118" s="137" t="n"/>
      <c r="D118" s="1009" t="n"/>
      <c r="E118" s="1009" t="n"/>
      <c r="F118" s="1009" t="n"/>
      <c r="G118" s="1009" t="n"/>
      <c r="H118" s="1009" t="n"/>
      <c r="I118" s="1009" t="n"/>
      <c r="J118" s="1009" t="n"/>
      <c r="K118" s="1015" t="n"/>
    </row>
    <row r="119" customFormat="1" s="649">
      <c r="B119" s="975" t="n"/>
      <c r="C119" s="137" t="n"/>
      <c r="D119" s="1009" t="n"/>
      <c r="E119" s="1009" t="n"/>
      <c r="F119" s="1009" t="n"/>
      <c r="G119" s="1009" t="n"/>
      <c r="H119" s="1009" t="n"/>
      <c r="I119" s="1009" t="n"/>
      <c r="J119" s="1009" t="n"/>
      <c r="K119" s="1015" t="n"/>
    </row>
    <row r="120" customFormat="1" s="649">
      <c r="B120" s="975" t="n"/>
      <c r="C120" s="137" t="n"/>
      <c r="D120" s="1009" t="n"/>
      <c r="E120" s="1009" t="n"/>
      <c r="F120" s="1009" t="n"/>
      <c r="G120" s="1009" t="n"/>
      <c r="H120" s="1009" t="n"/>
      <c r="I120" s="1009" t="n"/>
      <c r="J120" s="1009" t="n"/>
      <c r="K120" s="1015" t="n"/>
    </row>
    <row r="121" customFormat="1" s="649">
      <c r="B121" s="975" t="n"/>
      <c r="C121" s="137" t="n"/>
      <c r="D121" s="1009" t="n"/>
      <c r="E121" s="1009" t="n"/>
      <c r="F121" s="1009" t="n"/>
      <c r="G121" s="1009" t="n"/>
      <c r="H121" s="1009" t="n"/>
      <c r="I121" s="1009" t="n"/>
      <c r="J121" s="1009" t="n"/>
      <c r="K121" s="1015" t="n"/>
    </row>
    <row r="122" customFormat="1" s="649">
      <c r="B122" s="975" t="n"/>
      <c r="C122" s="137" t="n"/>
      <c r="D122" s="1009" t="n"/>
      <c r="E122" s="1009" t="n"/>
      <c r="F122" s="1009" t="n"/>
      <c r="G122" s="1009" t="n"/>
      <c r="H122" s="1009" t="n"/>
      <c r="I122" s="1009" t="n"/>
      <c r="J122" s="1009" t="n"/>
      <c r="K122" s="1015" t="n"/>
    </row>
    <row r="123" customFormat="1" s="649">
      <c r="B123" s="975" t="n"/>
      <c r="C123" s="137" t="n"/>
      <c r="D123" s="1009" t="n"/>
      <c r="E123" s="1009" t="n"/>
      <c r="F123" s="1009" t="n"/>
      <c r="G123" s="1009" t="n"/>
      <c r="H123" s="1009" t="n"/>
      <c r="I123" s="1009" t="n"/>
      <c r="J123" s="1009" t="n"/>
      <c r="K123" s="1015" t="n"/>
    </row>
    <row r="124" customFormat="1" s="649">
      <c r="B124" s="975" t="n"/>
      <c r="C124" s="137" t="n"/>
      <c r="D124" s="1009" t="n"/>
      <c r="E124" s="1009" t="n"/>
      <c r="F124" s="1009" t="n"/>
      <c r="G124" s="1009" t="n"/>
      <c r="H124" s="1009" t="n"/>
      <c r="I124" s="1009" t="n"/>
      <c r="J124" s="1009" t="n"/>
      <c r="K124" s="1015" t="n"/>
    </row>
  </sheetData>
  <mergeCells count="33">
    <mergeCell ref="C5:D5"/>
    <mergeCell ref="G7:G8"/>
    <mergeCell ref="D17:D18"/>
    <mergeCell ref="C45:C46"/>
    <mergeCell ref="I7:I8"/>
    <mergeCell ref="D36:D37"/>
    <mergeCell ref="E6:J6"/>
    <mergeCell ref="D45:D46"/>
    <mergeCell ref="K6:K8"/>
    <mergeCell ref="D13:D14"/>
    <mergeCell ref="C41:C42"/>
    <mergeCell ref="D41:D42"/>
    <mergeCell ref="H7:H8"/>
    <mergeCell ref="J7:J8"/>
    <mergeCell ref="C6:C8"/>
    <mergeCell ref="C36:C37"/>
    <mergeCell ref="D6:D8"/>
    <mergeCell ref="C67:C68"/>
    <mergeCell ref="D15:D16"/>
    <mergeCell ref="C43:C44"/>
    <mergeCell ref="D43:D44"/>
    <mergeCell ref="C17:C18"/>
    <mergeCell ref="E7:E8"/>
    <mergeCell ref="C3:K3"/>
    <mergeCell ref="D20:D21"/>
    <mergeCell ref="D67:D68"/>
    <mergeCell ref="C13:C14"/>
    <mergeCell ref="C38:C39"/>
    <mergeCell ref="D38:D39"/>
    <mergeCell ref="C34:C35"/>
    <mergeCell ref="C15:C16"/>
    <mergeCell ref="D34:D35"/>
    <mergeCell ref="F7:F8"/>
  </mergeCells>
  <conditionalFormatting sqref="P10:P71 Q10:Q71 V10:V71 W10:W71 AB10:AB71 AC10:AC71 AH10:AH71 AI10:AI71 AN10:AN71 AO10:AO71 AT10:AT71 AU10:AU71 AZ10:AZ71 BA10:BA71 BF10:BF71 BG10:BG71 BL10:BL71 BM10:BM71 BR10:BR71 BS10:BS71 BX10:BX71 BY10:BY71 CD10:CD71 CE10:CE71 CJ10:CJ71 CK10:CK71 CP10:CP71 CQ10:CQ71 CV10:CV71 CW10:CW71 DB10:DB71 DC10:DC71 DH10:DH71 DI10:DI7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27 M57:M71 O10:O71 S10:S71 U10:U71 Y10:Y71 AA10:AA71 AE10:AE71 AG10:AG71 AK10:AK71 AM10:AM71 AQ10:AQ71 AS10:AS71 AW10:AW71 AY10:AY71 BC10:BC71 BE10:BE71 BI10:BI71 BK10:BK71 BO10:BO71 BQ10:BQ71 BU10:BU71 BW10:BW71 CA10:CA71 CC10:CC71 CG10:CG71 CI10:CI71 CM10:CM71 CO10:CO71 CS10:CS71 CU10:CU71 CY10:CY71 DA10:DA71 DE10:DE71 DG10:DG7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27 M57:M71 O10:O71 Q10:Q71 S10:S71 U10:U71 W10:W71 Y10:Y71 AA10:AA71 AC10:AC71 AE10:AE71 AG10:AG71 AI10:AI71 AK10:AK71 AM10:AM71 AO10:AO71 AQ10:AQ71 AS10:AS7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conditionalFormatting sqref="M10:M71 O10:O71 Q10:Q71 S10:S71 U10:U71 W10:W71 Y10:Y71 AA10:AA71 AC10:AC71 AE10:AE71 AG10:AG71 AI10:AI71 AK10:AK71 AM10:AM71 AO10:AO71 AQ10:AQ71 AS10:AS71">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onditionalFormatting>
  <pageMargins left="0.25" right="0.25" top="0.75" bottom="0.75" header="0.3" footer="0.3"/>
  <pageSetup orientation="portrait" paperSize="9" fitToHeight="0"/>
  <legacyDrawing xmlns:r="http://schemas.openxmlformats.org/officeDocument/2006/relationships" r:id="anysvml"/>
</worksheet>
</file>

<file path=xl/worksheets/sheet11.xml><?xml version="1.0" encoding="utf-8"?>
<worksheet xmlns="http://schemas.openxmlformats.org/spreadsheetml/2006/main">
  <sheetPr codeName="Лист8">
    <tabColor rgb="FFFF0000"/>
    <outlinePr summaryBelow="1" summaryRight="1"/>
    <pageSetUpPr fitToPage="1"/>
  </sheetPr>
  <dimension ref="A3:K329"/>
  <sheetViews>
    <sheetView zoomScale="60" workbookViewId="0">
      <pane xSplit="11" ySplit="10" topLeftCell="L11" activePane="bottomRight" state="frozen"/>
      <selection activeCell="C1" sqref="C1"/>
      <selection pane="topRight" activeCell="L1" sqref="L1"/>
      <selection pane="bottomLeft" activeCell="C11" sqref="C11"/>
      <selection pane="bottomRight" activeCell="M4" sqref="M4"/>
    </sheetView>
  </sheetViews>
  <sheetFormatPr baseColWidth="8" defaultColWidth="15" defaultRowHeight="19.5" outlineLevelRow="1"/>
  <cols>
    <col hidden="1" outlineLevel="1" width="15.42578125" customWidth="1" style="221" min="1" max="2"/>
    <col collapsed="1" width="12.5703125" customWidth="1" style="975" min="3" max="3"/>
    <col width="72.7109375" customWidth="1" style="975" min="4" max="4"/>
    <col outlineLevel="1" width="24.42578125" customWidth="1" style="975" min="5" max="9"/>
    <col outlineLevel="1" width="16.28515625" customWidth="1" style="975" min="10" max="10"/>
    <col width="14" customWidth="1" style="975" min="11" max="11"/>
    <col width="8.43" customWidth="1" style="904" min="12"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18.75" customHeight="1" s="904"/>
    <row r="2" ht="21" customHeight="1" s="904"/>
    <row r="3" ht="21" customHeight="1" s="904">
      <c r="C3" s="974"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t>
        </is>
      </c>
    </row>
    <row r="4" ht="33" customHeight="1" s="904"/>
    <row r="5" ht="33" customHeight="1" s="904"/>
    <row r="6" ht="19.5" customHeight="1" s="904">
      <c r="C6" s="222" t="inlineStr">
        <is>
          <t>4. Комплекс УЗПКТ- СЗСК  ООО "Газпром переработка"</t>
        </is>
      </c>
    </row>
    <row r="7" ht="20.1" customHeight="1" s="904">
      <c r="C7" s="971" t="inlineStr">
        <is>
          <t>№ 
п/п</t>
        </is>
      </c>
      <c r="D7" s="969" t="inlineStr">
        <is>
          <t>Показатели</t>
        </is>
      </c>
      <c r="E7" s="924" t="inlineStr">
        <is>
          <t>Внутренние настройки листа</t>
        </is>
      </c>
      <c r="F7" s="925" t="n"/>
      <c r="G7" s="925" t="n"/>
      <c r="H7" s="925" t="n"/>
      <c r="I7" s="925" t="n"/>
      <c r="J7" s="926" t="n"/>
      <c r="K7" s="969" t="inlineStr">
        <is>
          <t>Ед. изм.</t>
        </is>
      </c>
    </row>
    <row r="8" ht="39.95" customHeight="1" s="904">
      <c r="C8" s="916" t="n"/>
      <c r="D8" s="916" t="n"/>
      <c r="E8" s="910" t="inlineStr">
        <is>
          <t>Ключ статьи</t>
        </is>
      </c>
      <c r="F8" s="910" t="inlineStr">
        <is>
          <t>Ключ спец</t>
        </is>
      </c>
      <c r="G8" s="910" t="inlineStr">
        <is>
          <t>Ключ ввод данных</t>
        </is>
      </c>
      <c r="H8" s="910" t="inlineStr">
        <is>
          <t>Формулы месяца</t>
        </is>
      </c>
      <c r="I8" s="910" t="inlineStr">
        <is>
          <t>Формулы % выхода</t>
        </is>
      </c>
      <c r="J8" s="910" t="inlineStr">
        <is>
          <t>Строка проверка</t>
        </is>
      </c>
      <c r="K8" s="916" t="n"/>
    </row>
    <row r="9" ht="20.1" customHeight="1" s="904">
      <c r="C9" s="911" t="n"/>
      <c r="D9" s="911" t="n"/>
      <c r="E9" s="911" t="n"/>
      <c r="F9" s="911" t="n"/>
      <c r="G9" s="911" t="n"/>
      <c r="H9" s="911" t="n"/>
      <c r="I9" s="911" t="n"/>
      <c r="J9" s="911" t="n"/>
      <c r="K9" s="911" t="n"/>
    </row>
    <row r="10" hidden="1" ht="20.1" customHeight="1" s="904">
      <c r="C10" s="177" t="n"/>
      <c r="D10" s="136" t="n"/>
      <c r="E10" s="1057" t="n"/>
      <c r="F10" s="1057" t="n"/>
      <c r="G10" s="1057" t="n"/>
      <c r="H10" s="1057" t="n"/>
      <c r="I10" s="1057" t="n"/>
      <c r="J10" s="1057" t="n"/>
      <c r="K10" s="136" t="n"/>
    </row>
    <row r="11" ht="39.75" customHeight="1" s="904">
      <c r="A11" s="726" t="n"/>
      <c r="B11" s="726" t="n"/>
      <c r="C11" s="223" t="n">
        <v>1</v>
      </c>
      <c r="D11" s="1020" t="inlineStr">
        <is>
          <t>ПОСТАВКА УГЛЕВОДОРОДНОГО СЫРЬЯ НА ЗАВОДЫ, ВСЕГО:</t>
        </is>
      </c>
      <c r="E11" s="15" t="inlineStr">
        <is>
          <t>100335853</t>
        </is>
      </c>
      <c r="F11" s="15" t="n"/>
      <c r="G11" s="16" t="n"/>
      <c r="H11" s="17" t="inlineStr">
        <is>
          <t>100331800+100331813</t>
        </is>
      </c>
      <c r="I11" s="636" t="n"/>
      <c r="J11" s="17" t="n"/>
      <c r="K11" s="136" t="inlineStr">
        <is>
          <t>тыс.т.</t>
        </is>
      </c>
    </row>
    <row r="12" ht="39.75" customHeight="1" s="904">
      <c r="A12" s="726" t="n"/>
      <c r="B12" s="726" t="n"/>
      <c r="C12" s="224" t="inlineStr">
        <is>
          <t>1.1</t>
        </is>
      </c>
      <c r="D12" s="948" t="inlineStr">
        <is>
          <t>ПОСТАВКА НЕСТАБИЛЬНОГО ГАЗОВОГО КОНДЕНСАТА, ВСЕГО:</t>
        </is>
      </c>
      <c r="E12" s="15" t="inlineStr">
        <is>
          <t>100331800</t>
        </is>
      </c>
      <c r="F12" s="15" t="n"/>
      <c r="G12" s="16" t="n"/>
      <c r="H12" s="17" t="inlineStr">
        <is>
          <t>100335854+100333682</t>
        </is>
      </c>
      <c r="I12" s="636" t="n"/>
      <c r="J12" s="17" t="n"/>
      <c r="K12" s="225" t="inlineStr">
        <is>
          <t>тыс.т.</t>
        </is>
      </c>
    </row>
    <row r="13" ht="20.25" customHeight="1" s="904">
      <c r="A13" s="726" t="n"/>
      <c r="B13" s="726" t="n"/>
      <c r="C13" s="1021" t="inlineStr">
        <is>
          <t>1.1.1</t>
        </is>
      </c>
      <c r="D13" s="951" t="inlineStr">
        <is>
          <t>ПАО "ГАЗПРОМ":</t>
        </is>
      </c>
      <c r="E13" s="15" t="inlineStr">
        <is>
          <t>100335854</t>
        </is>
      </c>
      <c r="F13" s="15" t="n"/>
      <c r="G13" s="16" t="n"/>
      <c r="H13" s="17" t="inlineStr">
        <is>
          <t>100331801+100331804+100335033+100331811+100331812</t>
        </is>
      </c>
      <c r="I13" s="636" t="n"/>
      <c r="J13" s="17" t="n"/>
      <c r="K13" s="1046" t="inlineStr">
        <is>
          <t>тыс.т.</t>
        </is>
      </c>
    </row>
    <row r="14" ht="20.25" customHeight="1" s="904">
      <c r="A14" s="726" t="n"/>
      <c r="B14" s="726" t="n"/>
      <c r="C14" s="970" t="inlineStr">
        <is>
          <t>1.1.1.1</t>
        </is>
      </c>
      <c r="D14" s="226" t="inlineStr">
        <is>
          <t>ООО "Газпром добыча Ямбург"</t>
        </is>
      </c>
      <c r="E14" s="15" t="inlineStr">
        <is>
          <t>100331801</t>
        </is>
      </c>
      <c r="F14" s="15" t="n"/>
      <c r="G14" s="16" t="n"/>
      <c r="H14" s="17" t="inlineStr">
        <is>
          <t>100331802+100331803</t>
        </is>
      </c>
      <c r="I14" s="636" t="n"/>
      <c r="J14" s="17" t="n"/>
      <c r="K14" s="225" t="inlineStr">
        <is>
          <t>тыс.т.</t>
        </is>
      </c>
    </row>
    <row r="15" ht="20.25" customHeight="1" s="904">
      <c r="A15" s="726" t="n"/>
      <c r="B15" s="726" t="n"/>
      <c r="C15" s="972" t="n"/>
      <c r="D15" s="227" t="inlineStr">
        <is>
          <t xml:space="preserve">Заполярное НГКМ </t>
        </is>
      </c>
      <c r="E15" s="15" t="inlineStr">
        <is>
          <t>100331802</t>
        </is>
      </c>
      <c r="F15" s="15" t="n"/>
      <c r="G15" s="16" t="n"/>
      <c r="H15" s="17" t="n"/>
      <c r="I15" s="636" t="n"/>
      <c r="J15" s="17" t="n"/>
      <c r="K15" s="136" t="inlineStr">
        <is>
          <t>тыс.т.</t>
        </is>
      </c>
    </row>
    <row r="16" ht="20.25" customHeight="1" s="904">
      <c r="A16" s="726" t="n"/>
      <c r="B16" s="726" t="n"/>
      <c r="C16" s="972" t="n"/>
      <c r="D16" s="227" t="inlineStr">
        <is>
          <t>Ямбургское НГКМ</t>
        </is>
      </c>
      <c r="E16" s="15" t="inlineStr">
        <is>
          <t>100331803</t>
        </is>
      </c>
      <c r="F16" s="15" t="n"/>
      <c r="G16" s="16" t="n"/>
      <c r="H16" s="17" t="n"/>
      <c r="I16" s="636" t="n"/>
      <c r="J16" s="17" t="n"/>
      <c r="K16" s="136" t="inlineStr">
        <is>
          <t>тыс.т.</t>
        </is>
      </c>
    </row>
    <row r="17" ht="20.25" customHeight="1" s="904">
      <c r="A17" s="726" t="n"/>
      <c r="B17" s="726" t="n"/>
      <c r="C17" s="972" t="n"/>
      <c r="D17" s="130" t="inlineStr">
        <is>
          <t>в т.ч. на мощностях  ПАО "НОВАТЭК"</t>
        </is>
      </c>
      <c r="E17" s="15" t="inlineStr">
        <is>
          <t>100335352</t>
        </is>
      </c>
      <c r="F17" s="15" t="n"/>
      <c r="G17" s="16" t="n"/>
      <c r="H17" s="17" t="n"/>
      <c r="I17" s="636" t="n"/>
      <c r="J17" s="17" t="n"/>
      <c r="K17" s="136" t="inlineStr">
        <is>
          <t>тыс.т.</t>
        </is>
      </c>
    </row>
    <row r="18" ht="20.25" customHeight="1" s="904">
      <c r="A18" s="726" t="n"/>
      <c r="B18" s="726" t="n"/>
      <c r="C18" s="970" t="inlineStr">
        <is>
          <t>1.1.1.2</t>
        </is>
      </c>
      <c r="D18" s="226" t="inlineStr">
        <is>
          <t>ООО "Газпром добыча Уренгой"</t>
        </is>
      </c>
      <c r="E18" s="15" t="inlineStr">
        <is>
          <t>100331804</t>
        </is>
      </c>
      <c r="F18" s="15" t="n"/>
      <c r="G18" s="16" t="n"/>
      <c r="H18" s="17" t="inlineStr">
        <is>
          <t>100331805+100335855+100331806+100335856+100331807+100331808+100335857+100335859+100335860+100337100</t>
        </is>
      </c>
      <c r="I18" s="636" t="n"/>
      <c r="J18" s="17" t="n"/>
      <c r="K18" s="228" t="inlineStr">
        <is>
          <t>тыс.т.</t>
        </is>
      </c>
    </row>
    <row r="19" ht="20.25" customHeight="1" s="904">
      <c r="A19" s="726" t="n"/>
      <c r="B19" s="726" t="n"/>
      <c r="C19" s="972" t="n"/>
      <c r="D19" s="227" t="inlineStr">
        <is>
          <t>Уренгойское НГКМ</t>
        </is>
      </c>
      <c r="E19" s="15" t="inlineStr">
        <is>
          <t>100331805</t>
        </is>
      </c>
      <c r="F19" s="15" t="n"/>
      <c r="G19" s="16" t="n"/>
      <c r="H19" s="17" t="n"/>
      <c r="I19" s="636" t="n"/>
      <c r="J19" s="17" t="n"/>
      <c r="K19" s="228" t="inlineStr">
        <is>
          <t>тыс.т.</t>
        </is>
      </c>
    </row>
    <row r="20" ht="20.25" customHeight="1" s="904">
      <c r="A20" s="726" t="n"/>
      <c r="B20" s="726" t="n"/>
      <c r="C20" s="972" t="n"/>
      <c r="D20" s="130" t="inlineStr">
        <is>
          <t>в т.ч. поставка на СЗСК</t>
        </is>
      </c>
      <c r="E20" s="15" t="inlineStr">
        <is>
          <t>100335334</t>
        </is>
      </c>
      <c r="F20" s="15" t="n"/>
      <c r="G20" s="16" t="n"/>
      <c r="H20" s="17" t="n"/>
      <c r="I20" s="636" t="n"/>
      <c r="J20" s="17" t="n"/>
      <c r="K20" s="228" t="inlineStr">
        <is>
          <t>тыс.т.</t>
        </is>
      </c>
    </row>
    <row r="21" ht="20.25" customHeight="1" s="904">
      <c r="A21" s="726" t="n"/>
      <c r="B21" s="726" t="n"/>
      <c r="C21" s="972" t="n"/>
      <c r="D21" s="789" t="inlineStr">
        <is>
          <t>C5+ от подготовки газа деэтанизации</t>
        </is>
      </c>
      <c r="E21" s="15" t="inlineStr">
        <is>
          <t>100337100</t>
        </is>
      </c>
      <c r="F21" s="15" t="n"/>
      <c r="G21" s="16" t="n"/>
      <c r="H21" s="17" t="n"/>
      <c r="I21" s="636" t="n"/>
      <c r="J21" s="17" t="n"/>
      <c r="K21" s="228" t="inlineStr">
        <is>
          <t>тыс.т.</t>
        </is>
      </c>
    </row>
    <row r="22" ht="20.25" customHeight="1" s="904">
      <c r="A22" s="726" t="n"/>
      <c r="B22" s="726" t="n"/>
      <c r="C22" s="972" t="n"/>
      <c r="D22" s="789" t="inlineStr">
        <is>
          <t>Уренгойское НГКМ фаза 3 (ДРОД)</t>
        </is>
      </c>
      <c r="E22" s="15" t="inlineStr">
        <is>
          <t>100335855</t>
        </is>
      </c>
      <c r="F22" s="15" t="n"/>
      <c r="G22" s="16" t="n"/>
      <c r="H22" s="17" t="n"/>
      <c r="I22" s="636" t="n"/>
      <c r="J22" s="17" t="n"/>
      <c r="K22" s="228" t="inlineStr">
        <is>
          <t>тыс.т.</t>
        </is>
      </c>
    </row>
    <row r="23" ht="20.25" customHeight="1" s="904">
      <c r="A23" s="726" t="n"/>
      <c r="B23" s="726" t="n"/>
      <c r="C23" s="972" t="n"/>
      <c r="D23" s="789" t="inlineStr">
        <is>
          <t>Ен-Яхинское НГКМ</t>
        </is>
      </c>
      <c r="E23" s="15" t="inlineStr">
        <is>
          <t>100331806</t>
        </is>
      </c>
      <c r="F23" s="15" t="n"/>
      <c r="G23" s="16" t="n"/>
      <c r="H23" s="17" t="n"/>
      <c r="I23" s="636" t="n"/>
      <c r="J23" s="17" t="n"/>
      <c r="K23" s="228" t="inlineStr">
        <is>
          <t>тыс.т.</t>
        </is>
      </c>
    </row>
    <row r="24" ht="20.25" customHeight="1" s="904">
      <c r="A24" s="726" t="n"/>
      <c r="B24" s="726" t="n"/>
      <c r="C24" s="972" t="n"/>
      <c r="D24" s="130" t="inlineStr">
        <is>
          <t>в т.ч. на мощностях  ПАО "НОВАТЭК"</t>
        </is>
      </c>
      <c r="E24" s="15" t="inlineStr">
        <is>
          <t>100335353</t>
        </is>
      </c>
      <c r="F24" s="15" t="n"/>
      <c r="G24" s="16" t="n"/>
      <c r="H24" s="17" t="n"/>
      <c r="I24" s="636" t="n"/>
      <c r="J24" s="17" t="n"/>
      <c r="K24" s="228" t="inlineStr">
        <is>
          <t>тыс.т.</t>
        </is>
      </c>
    </row>
    <row r="25" ht="20.25" customHeight="1" s="904">
      <c r="A25" s="726" t="n"/>
      <c r="B25" s="726" t="n"/>
      <c r="C25" s="972" t="n"/>
      <c r="D25" s="789" t="inlineStr">
        <is>
          <t>Ен-Яхинское НГКМ (ДРОД)</t>
        </is>
      </c>
      <c r="E25" s="15" t="inlineStr">
        <is>
          <t>100335856</t>
        </is>
      </c>
      <c r="F25" s="15" t="n"/>
      <c r="G25" s="16" t="n"/>
      <c r="H25" s="17" t="n"/>
      <c r="I25" s="636" t="n"/>
      <c r="J25" s="17" t="n"/>
      <c r="K25" s="228" t="inlineStr">
        <is>
          <t>тыс.т.</t>
        </is>
      </c>
    </row>
    <row r="26" ht="20.25" customHeight="1" s="904">
      <c r="A26" s="726" t="n"/>
      <c r="B26" s="726" t="n"/>
      <c r="C26" s="972" t="n"/>
      <c r="D26" s="789" t="inlineStr">
        <is>
          <t>Ачимовские отл. 1 уч.</t>
        </is>
      </c>
      <c r="E26" s="15" t="inlineStr">
        <is>
          <t>100331807</t>
        </is>
      </c>
      <c r="F26" s="15" t="n"/>
      <c r="G26" s="16" t="n"/>
      <c r="H26" s="17" t="n"/>
      <c r="I26" s="636" t="n"/>
      <c r="J26" s="17" t="n"/>
      <c r="K26" s="136" t="inlineStr">
        <is>
          <t>тыс.т.</t>
        </is>
      </c>
    </row>
    <row r="27" ht="20.25" customHeight="1" s="904">
      <c r="A27" s="726" t="n"/>
      <c r="B27" s="726" t="n"/>
      <c r="C27" s="972" t="n"/>
      <c r="D27" s="789" t="inlineStr">
        <is>
          <t>Ачимовские отл. 2 уч.</t>
        </is>
      </c>
      <c r="E27" s="15" t="inlineStr">
        <is>
          <t>100331808</t>
        </is>
      </c>
      <c r="F27" s="15" t="n"/>
      <c r="G27" s="16" t="n"/>
      <c r="H27" s="17" t="n"/>
      <c r="I27" s="636" t="n"/>
      <c r="J27" s="17" t="n"/>
      <c r="K27" s="136" t="inlineStr">
        <is>
          <t>тыс.т.</t>
        </is>
      </c>
    </row>
    <row r="28" ht="20.25" customHeight="1" s="904">
      <c r="A28" s="726" t="n"/>
      <c r="B28" s="726" t="n"/>
      <c r="C28" s="972" t="n"/>
      <c r="D28" s="789" t="inlineStr">
        <is>
          <t>Ачимовские отл. 3 уч. (ДРОД)</t>
        </is>
      </c>
      <c r="E28" s="15" t="inlineStr">
        <is>
          <t>100335857</t>
        </is>
      </c>
      <c r="F28" s="15" t="n"/>
      <c r="G28" s="16" t="n"/>
      <c r="H28" s="17" t="n"/>
      <c r="I28" s="636" t="n"/>
      <c r="J28" s="17" t="n"/>
      <c r="K28" s="136" t="inlineStr">
        <is>
          <t>тыс.т.</t>
        </is>
      </c>
    </row>
    <row r="29" ht="20.25" customHeight="1" s="904">
      <c r="A29" s="726" t="n"/>
      <c r="B29" s="726" t="n"/>
      <c r="C29" s="972" t="n"/>
      <c r="D29" s="130" t="inlineStr">
        <is>
          <t>в т.ч. поставка на СЗСК</t>
        </is>
      </c>
      <c r="E29" s="15" t="inlineStr">
        <is>
          <t>100335858</t>
        </is>
      </c>
      <c r="F29" s="15" t="n"/>
      <c r="G29" s="16" t="n"/>
      <c r="H29" s="17" t="inlineStr">
        <is>
          <t>100335470</t>
        </is>
      </c>
      <c r="I29" s="636" t="n"/>
      <c r="J29" s="17" t="n"/>
      <c r="K29" s="136" t="inlineStr">
        <is>
          <t>тыс.т.</t>
        </is>
      </c>
    </row>
    <row r="30" ht="20.25" customHeight="1" s="904">
      <c r="A30" s="726" t="n"/>
      <c r="B30" s="726" t="n"/>
      <c r="C30" s="972" t="n"/>
      <c r="D30" s="789" t="inlineStr">
        <is>
          <t>Песцовое НГКМ (ДРОД)</t>
        </is>
      </c>
      <c r="E30" s="15" t="inlineStr">
        <is>
          <t>100335859</t>
        </is>
      </c>
      <c r="F30" s="15" t="n"/>
      <c r="G30" s="16" t="n"/>
      <c r="H30" s="17" t="n"/>
      <c r="I30" s="636" t="n"/>
      <c r="J30" s="17" t="n"/>
      <c r="K30" s="136" t="inlineStr">
        <is>
          <t>тыс.т.</t>
        </is>
      </c>
    </row>
    <row r="31" ht="20.25" customHeight="1" s="904">
      <c r="A31" s="726" t="n"/>
      <c r="B31" s="726" t="n"/>
      <c r="C31" s="972" t="n"/>
      <c r="D31" s="789" t="inlineStr">
        <is>
          <t>Песцовое НГКМ (ачим) (ДРОД)</t>
        </is>
      </c>
      <c r="E31" s="15" t="inlineStr">
        <is>
          <t>100335860</t>
        </is>
      </c>
      <c r="F31" s="15" t="n"/>
      <c r="G31" s="16" t="n"/>
      <c r="H31" s="17" t="n"/>
      <c r="I31" s="636" t="n"/>
      <c r="J31" s="17" t="n"/>
      <c r="K31" s="136" t="inlineStr">
        <is>
          <t>тыс.т.</t>
        </is>
      </c>
    </row>
    <row r="32" ht="20.25" customHeight="1" s="904">
      <c r="A32" s="726" t="n"/>
      <c r="B32" s="726" t="n"/>
      <c r="C32" s="970" t="inlineStr">
        <is>
          <t>1.1.1.3</t>
        </is>
      </c>
      <c r="D32" s="226" t="inlineStr">
        <is>
          <t>АО "Ачим сбыт"</t>
        </is>
      </c>
      <c r="E32" s="15" t="inlineStr">
        <is>
          <t>100335033</t>
        </is>
      </c>
      <c r="F32" s="15" t="n"/>
      <c r="G32" s="16" t="n"/>
      <c r="H32" s="17" t="inlineStr">
        <is>
          <t>SUM(100331809:100331810)</t>
        </is>
      </c>
      <c r="I32" s="636" t="n"/>
      <c r="J32" s="17" t="n"/>
      <c r="K32" s="228" t="inlineStr">
        <is>
          <t>тыс.т.</t>
        </is>
      </c>
    </row>
    <row r="33" ht="20.25" customHeight="1" s="904">
      <c r="A33" s="726" t="n"/>
      <c r="B33" s="726" t="n"/>
      <c r="C33" s="972" t="n"/>
      <c r="D33" s="227" t="inlineStr">
        <is>
          <t>Ачимовские отл. 4 уч.</t>
        </is>
      </c>
      <c r="E33" s="15" t="inlineStr">
        <is>
          <t>100331809</t>
        </is>
      </c>
      <c r="F33" s="15" t="n"/>
      <c r="G33" s="16" t="n"/>
      <c r="H33" s="17" t="n"/>
      <c r="I33" s="636" t="n"/>
      <c r="J33" s="17" t="n"/>
      <c r="K33" s="228" t="inlineStr">
        <is>
          <t>тыс.т.</t>
        </is>
      </c>
    </row>
    <row r="34" ht="20.25" customHeight="1" s="904">
      <c r="A34" s="726" t="n"/>
      <c r="B34" s="726" t="n"/>
      <c r="C34" s="972" t="n"/>
      <c r="D34" s="227" t="inlineStr">
        <is>
          <t>Ачимовские отл. 5 уч.</t>
        </is>
      </c>
      <c r="E34" s="15" t="inlineStr">
        <is>
          <t>100331810</t>
        </is>
      </c>
      <c r="F34" s="15" t="n"/>
      <c r="G34" s="16" t="n"/>
      <c r="H34" s="17" t="n"/>
      <c r="I34" s="636" t="n"/>
      <c r="J34" s="17" t="n"/>
      <c r="K34" s="228" t="inlineStr">
        <is>
          <t>тыс.т.</t>
        </is>
      </c>
    </row>
    <row r="35" ht="20.25" customHeight="1" s="904">
      <c r="A35" s="726" t="n"/>
      <c r="B35" s="726" t="n"/>
      <c r="C35" s="970" t="inlineStr">
        <is>
          <t>1.1.1.4</t>
        </is>
      </c>
      <c r="D35" s="226" t="inlineStr">
        <is>
          <t>АО "Сибнефтегаз"</t>
        </is>
      </c>
      <c r="E35" s="15" t="inlineStr">
        <is>
          <t>100331811</t>
        </is>
      </c>
      <c r="F35" s="15" t="n"/>
      <c r="G35" s="16" t="n"/>
      <c r="H35" s="17" t="inlineStr">
        <is>
          <t>100335861</t>
        </is>
      </c>
      <c r="I35" s="636" t="n"/>
      <c r="J35" s="17" t="n"/>
      <c r="K35" s="228" t="inlineStr">
        <is>
          <t>тыс.т.</t>
        </is>
      </c>
    </row>
    <row r="36" ht="20.25" customHeight="1" s="904">
      <c r="A36" s="726" t="n"/>
      <c r="B36" s="726" t="n"/>
      <c r="C36" s="972" t="n"/>
      <c r="D36" s="227" t="inlineStr">
        <is>
          <t>Береговое НГКМ</t>
        </is>
      </c>
      <c r="E36" s="15" t="inlineStr">
        <is>
          <t>100335861</t>
        </is>
      </c>
      <c r="F36" s="15" t="n"/>
      <c r="G36" s="16" t="n"/>
      <c r="H36" s="17" t="n"/>
      <c r="I36" s="636" t="n"/>
      <c r="J36" s="17" t="n"/>
      <c r="K36" s="228" t="inlineStr">
        <is>
          <t>тыс.т.</t>
        </is>
      </c>
    </row>
    <row r="37" ht="20.25" customHeight="1" s="904">
      <c r="A37" s="726" t="n"/>
      <c r="B37" s="726" t="n"/>
      <c r="C37" s="970" t="inlineStr">
        <is>
          <t>1.1.1.5</t>
        </is>
      </c>
      <c r="D37" s="226" t="inlineStr">
        <is>
          <t>ООО "Газпром добыча Ноябрьск"</t>
        </is>
      </c>
      <c r="E37" s="15" t="inlineStr">
        <is>
          <t>100331812</t>
        </is>
      </c>
      <c r="F37" s="15" t="n"/>
      <c r="G37" s="16" t="n"/>
      <c r="H37" s="17" t="inlineStr">
        <is>
          <t>100335862</t>
        </is>
      </c>
      <c r="I37" s="636" t="n"/>
      <c r="J37" s="17" t="n"/>
      <c r="K37" s="228" t="inlineStr">
        <is>
          <t>тыс.т.</t>
        </is>
      </c>
    </row>
    <row r="38" ht="20.25" customHeight="1" s="904">
      <c r="A38" s="726" t="n"/>
      <c r="B38" s="726" t="n"/>
      <c r="C38" s="972" t="n"/>
      <c r="D38" s="227" t="inlineStr">
        <is>
          <t>Западно-Таркосалинское НГКМ</t>
        </is>
      </c>
      <c r="E38" s="15" t="inlineStr">
        <is>
          <t>100335862</t>
        </is>
      </c>
      <c r="F38" s="15" t="n"/>
      <c r="G38" s="16" t="n"/>
      <c r="H38" s="17" t="n"/>
      <c r="I38" s="636" t="n"/>
      <c r="J38" s="17" t="n"/>
      <c r="K38" s="228" t="inlineStr">
        <is>
          <t>тыс.т.</t>
        </is>
      </c>
    </row>
    <row r="39" ht="20.25" customHeight="1" s="904">
      <c r="A39" s="726" t="n"/>
      <c r="B39" s="726" t="n"/>
      <c r="C39" s="972" t="n"/>
      <c r="D39" s="130" t="inlineStr">
        <is>
          <t>в т.ч. поставка на СЗСК</t>
        </is>
      </c>
      <c r="E39" s="15" t="inlineStr">
        <is>
          <t>100335863</t>
        </is>
      </c>
      <c r="F39" s="15" t="n"/>
      <c r="G39" s="16" t="n"/>
      <c r="H39" s="17" t="inlineStr">
        <is>
          <t>100335862</t>
        </is>
      </c>
      <c r="I39" s="636" t="n"/>
      <c r="J39" s="17" t="n"/>
      <c r="K39" s="228" t="inlineStr">
        <is>
          <t>тыс.т.</t>
        </is>
      </c>
    </row>
    <row r="40" ht="20.25" customHeight="1" s="904">
      <c r="A40" s="726" t="n"/>
      <c r="B40" s="726" t="n"/>
      <c r="C40" s="1021" t="inlineStr">
        <is>
          <t>1.1.2</t>
        </is>
      </c>
      <c r="D40" s="229" t="inlineStr">
        <is>
          <t xml:space="preserve">ООО "ГАЗПРОМ ПЕРЕРАБОТКА" </t>
        </is>
      </c>
      <c r="E40" s="15" t="inlineStr">
        <is>
          <t>100333682</t>
        </is>
      </c>
      <c r="F40" s="15" t="n"/>
      <c r="G40" s="16" t="n"/>
      <c r="H40" s="17" t="n"/>
      <c r="I40" s="636" t="n"/>
      <c r="J40" s="17" t="n"/>
      <c r="K40" s="228" t="inlineStr">
        <is>
          <t>тыс.т.</t>
        </is>
      </c>
    </row>
    <row r="41" ht="39.75" customHeight="1" s="904">
      <c r="A41" s="726" t="n"/>
      <c r="B41" s="726" t="n"/>
      <c r="C41" s="224" t="inlineStr">
        <is>
          <t>1.2</t>
        </is>
      </c>
      <c r="D41" s="948" t="inlineStr">
        <is>
          <t>ПОСТАВКА НЕФТИ, ВСЕГО:</t>
        </is>
      </c>
      <c r="E41" s="15" t="inlineStr">
        <is>
          <t>100331813</t>
        </is>
      </c>
      <c r="F41" s="15" t="n"/>
      <c r="G41" s="16" t="n"/>
      <c r="H41" s="17" t="inlineStr">
        <is>
          <t>100335864+100333678+100335034</t>
        </is>
      </c>
      <c r="I41" s="636" t="n"/>
      <c r="J41" s="17" t="n"/>
      <c r="K41" s="228" t="inlineStr">
        <is>
          <t>тыс.т.</t>
        </is>
      </c>
    </row>
    <row r="42" ht="20.25" customHeight="1" s="904">
      <c r="A42" s="726" t="n"/>
      <c r="B42" s="726" t="n"/>
      <c r="C42" s="972" t="inlineStr">
        <is>
          <t>1.2.1</t>
        </is>
      </c>
      <c r="D42" s="951" t="inlineStr">
        <is>
          <t>ПАО "ГАЗПРОМ":</t>
        </is>
      </c>
      <c r="E42" s="15" t="inlineStr">
        <is>
          <t>100335864</t>
        </is>
      </c>
      <c r="F42" s="15" t="n"/>
      <c r="G42" s="16" t="n"/>
      <c r="H42" s="17" t="inlineStr">
        <is>
          <t>100335865</t>
        </is>
      </c>
      <c r="I42" s="636" t="n"/>
      <c r="J42" s="17" t="n"/>
      <c r="K42" s="228" t="inlineStr">
        <is>
          <t>тыс.т.</t>
        </is>
      </c>
    </row>
    <row r="43" ht="20.25" customHeight="1" s="904">
      <c r="A43" s="726" t="n"/>
      <c r="B43" s="726" t="n"/>
      <c r="C43" s="224" t="n"/>
      <c r="D43" s="226" t="inlineStr">
        <is>
          <t>ООО "Газпром добыча Уренгой"</t>
        </is>
      </c>
      <c r="E43" s="15" t="inlineStr">
        <is>
          <t>100335865</t>
        </is>
      </c>
      <c r="F43" s="15" t="n"/>
      <c r="G43" s="16" t="n"/>
      <c r="H43" s="17" t="inlineStr">
        <is>
          <t>100331814</t>
        </is>
      </c>
      <c r="I43" s="636" t="n"/>
      <c r="J43" s="17" t="n"/>
      <c r="K43" s="228" t="inlineStr">
        <is>
          <t>тыс.т.</t>
        </is>
      </c>
    </row>
    <row r="44" ht="20.25" customHeight="1" s="904">
      <c r="A44" s="726" t="n"/>
      <c r="B44" s="726" t="n"/>
      <c r="C44" s="1021" t="n"/>
      <c r="D44" s="227" t="inlineStr">
        <is>
          <t>Уренгойское НГКМ</t>
        </is>
      </c>
      <c r="E44" s="15" t="inlineStr">
        <is>
          <t>100331814</t>
        </is>
      </c>
      <c r="F44" s="15" t="n"/>
      <c r="G44" s="16" t="n"/>
      <c r="H44" s="17" t="inlineStr">
        <is>
          <t>100331815+100331963</t>
        </is>
      </c>
      <c r="I44" s="636" t="n"/>
      <c r="J44" s="17" t="n"/>
      <c r="K44" s="228" t="inlineStr">
        <is>
          <t>тыс.т.</t>
        </is>
      </c>
    </row>
    <row r="45" ht="20.25" customHeight="1" s="904">
      <c r="A45" s="726" t="n"/>
      <c r="B45" s="726" t="n"/>
      <c r="C45" s="1021" t="n"/>
      <c r="D45" s="130" t="inlineStr">
        <is>
          <t>в т.ч. поставка на СЗСК</t>
        </is>
      </c>
      <c r="E45" s="15" t="inlineStr">
        <is>
          <t>100331815</t>
        </is>
      </c>
      <c r="F45" s="15" t="n"/>
      <c r="G45" s="16" t="n"/>
      <c r="H45" s="17" t="n"/>
      <c r="I45" s="636" t="n"/>
      <c r="J45" s="17" t="n"/>
      <c r="K45" s="228" t="inlineStr">
        <is>
          <t>тыс.т.</t>
        </is>
      </c>
    </row>
    <row r="46" ht="20.25" customHeight="1" s="904">
      <c r="A46" s="726" t="n"/>
      <c r="B46" s="726" t="n"/>
      <c r="C46" s="1021" t="n"/>
      <c r="D46" s="130" t="inlineStr">
        <is>
          <t>в т.ч нефть на УЗПКТ (НПС)</t>
        </is>
      </c>
      <c r="E46" s="15" t="inlineStr">
        <is>
          <t>100331963</t>
        </is>
      </c>
      <c r="F46" s="15" t="n"/>
      <c r="G46" s="16" t="n"/>
      <c r="H46" s="17" t="n"/>
      <c r="I46" s="636" t="n"/>
      <c r="J46" s="17" t="n"/>
      <c r="K46" s="228" t="inlineStr">
        <is>
          <t>тыс.т.</t>
        </is>
      </c>
    </row>
    <row r="47" ht="20.25" customHeight="1" s="904">
      <c r="A47" s="726" t="n"/>
      <c r="B47" s="726" t="n"/>
      <c r="C47" s="972" t="inlineStr">
        <is>
          <t>1.2.2</t>
        </is>
      </c>
      <c r="D47" s="951" t="inlineStr">
        <is>
          <t xml:space="preserve">ООО "ГАЗПРОМ ПЕРЕРАБОТКА" </t>
        </is>
      </c>
      <c r="E47" s="15" t="inlineStr">
        <is>
          <t>100333678</t>
        </is>
      </c>
      <c r="F47" s="15" t="n"/>
      <c r="G47" s="16" t="n"/>
      <c r="H47" s="17" t="n"/>
      <c r="I47" s="636" t="n"/>
      <c r="J47" s="17" t="n"/>
      <c r="K47" s="228" t="inlineStr">
        <is>
          <t>тыс.т.</t>
        </is>
      </c>
    </row>
    <row r="48" ht="20.25" customHeight="1" s="904">
      <c r="A48" s="726" t="n"/>
      <c r="B48" s="726" t="n"/>
      <c r="C48" s="972" t="inlineStr">
        <is>
          <t>1.2.3</t>
        </is>
      </c>
      <c r="D48" s="951" t="inlineStr">
        <is>
          <t>ООО "ГАЗПРОМ ДОБЫЧА УРЕНГОЙ"</t>
        </is>
      </c>
      <c r="E48" s="15" t="inlineStr">
        <is>
          <t>100335034</t>
        </is>
      </c>
      <c r="F48" s="15" t="n"/>
      <c r="G48" s="16" t="n"/>
      <c r="H48" s="17" t="n"/>
      <c r="I48" s="636" t="n"/>
      <c r="J48" s="17" t="n"/>
      <c r="K48" s="228" t="inlineStr">
        <is>
          <t>тыс.т.</t>
        </is>
      </c>
    </row>
    <row r="49" ht="20.25" customHeight="1" s="904">
      <c r="A49" s="726" t="n"/>
      <c r="B49" s="726" t="n"/>
      <c r="C49" s="972" t="n"/>
      <c r="D49" s="727" t="inlineStr">
        <is>
          <t>Справочно:</t>
        </is>
      </c>
      <c r="E49" s="15" t="n"/>
      <c r="F49" s="15" t="n"/>
      <c r="G49" s="16" t="n"/>
      <c r="H49" s="17" t="n"/>
      <c r="I49" s="636" t="n"/>
      <c r="J49" s="17" t="n"/>
      <c r="K49" s="228" t="n"/>
    </row>
    <row r="50" ht="20.25" customHeight="1" s="904">
      <c r="A50" s="726" t="n"/>
      <c r="B50" s="726" t="n"/>
      <c r="C50" s="972" t="n"/>
      <c r="D50" s="230" t="inlineStr">
        <is>
          <t>Ачимовские отл. всего (без ДРОД)</t>
        </is>
      </c>
      <c r="E50" s="15" t="inlineStr">
        <is>
          <t>100335354</t>
        </is>
      </c>
      <c r="F50" s="15" t="n"/>
      <c r="G50" s="16" t="n"/>
      <c r="H50" s="17" t="inlineStr">
        <is>
          <t>100331807+100331808+100331809+100331810</t>
        </is>
      </c>
      <c r="I50" s="636" t="n"/>
      <c r="J50" s="17" t="n"/>
      <c r="K50" s="228" t="inlineStr">
        <is>
          <t>тыс.т.</t>
        </is>
      </c>
    </row>
    <row r="51" ht="20.25" customHeight="1" s="904">
      <c r="A51" s="726" t="n"/>
      <c r="B51" s="726" t="n"/>
      <c r="C51" s="972" t="n"/>
      <c r="D51" s="231" t="inlineStr">
        <is>
          <t>в т.ч.  на мощности мобильных уст." на процессинг</t>
        </is>
      </c>
      <c r="E51" s="15" t="inlineStr">
        <is>
          <t>100335355</t>
        </is>
      </c>
      <c r="F51" s="15" t="n"/>
      <c r="G51" s="16" t="n"/>
      <c r="H51" s="17" t="n"/>
      <c r="I51" s="636" t="n"/>
      <c r="J51" s="17" t="n"/>
      <c r="K51" s="228" t="inlineStr">
        <is>
          <t>тыс.т.</t>
        </is>
      </c>
    </row>
    <row r="52" ht="39.75" customHeight="1" s="904">
      <c r="A52" s="726" t="n"/>
      <c r="B52" s="726" t="n"/>
      <c r="C52" s="1016" t="n">
        <v>2</v>
      </c>
      <c r="D52" s="948" t="inlineStr">
        <is>
          <t>ПЕРЕРАБОТКА УГЛЕВОДОРОДНОГО СЫРЬЯ 
ПАО "ГАЗПРОМ":</t>
        </is>
      </c>
      <c r="E52" s="15" t="inlineStr">
        <is>
          <t>100331826</t>
        </is>
      </c>
      <c r="F52" s="15" t="n"/>
      <c r="G52" s="16" t="n"/>
      <c r="H52" s="17" t="inlineStr">
        <is>
          <t>100331827+100331837+100335292-100335295</t>
        </is>
      </c>
      <c r="I52" s="636" t="n"/>
      <c r="J52" s="17" t="n"/>
      <c r="K52" s="228" t="inlineStr">
        <is>
          <t>тыс.т.</t>
        </is>
      </c>
    </row>
    <row r="53" ht="39.75" customHeight="1" s="904">
      <c r="A53" s="726" t="n"/>
      <c r="B53" s="726" t="n"/>
      <c r="C53" s="970" t="inlineStr">
        <is>
          <t>2.1</t>
        </is>
      </c>
      <c r="D53" s="1020" t="inlineStr">
        <is>
          <t>ПЕРЕРАБОТКА НЕСТАБИЛЬНОГО ГАЗОВОГО КОНДЕНСАТА, ПАО "ГАЗПРОМ" ВСЕГО:</t>
        </is>
      </c>
      <c r="E53" s="15" t="inlineStr">
        <is>
          <t>100331827</t>
        </is>
      </c>
      <c r="F53" s="15" t="n"/>
      <c r="G53" s="16" t="n"/>
      <c r="H53" s="17" t="inlineStr">
        <is>
          <t>100331828+100331831+100331835+100331836+100335040</t>
        </is>
      </c>
      <c r="I53" s="636" t="n"/>
      <c r="J53" s="17" t="n"/>
      <c r="K53" s="228" t="inlineStr">
        <is>
          <t>тыс.т.</t>
        </is>
      </c>
    </row>
    <row r="54" ht="20.25" customHeight="1" s="904">
      <c r="A54" s="726" t="n"/>
      <c r="B54" s="726" t="n"/>
      <c r="C54" s="970" t="n"/>
      <c r="D54" s="232" t="inlineStr">
        <is>
          <t>ООО "Газпром добыча Ямбург"</t>
        </is>
      </c>
      <c r="E54" s="15" t="inlineStr">
        <is>
          <t>100331828</t>
        </is>
      </c>
      <c r="F54" s="15" t="n"/>
      <c r="G54" s="16" t="n"/>
      <c r="H54" s="17" t="inlineStr">
        <is>
          <t>100331829+100331830</t>
        </is>
      </c>
      <c r="I54" s="636" t="n"/>
      <c r="J54" s="17" t="n"/>
      <c r="K54" s="233" t="inlineStr">
        <is>
          <t>тыс.т.</t>
        </is>
      </c>
    </row>
    <row r="55" ht="20.25" customHeight="1" s="904">
      <c r="A55" s="726" t="n"/>
      <c r="B55" s="726" t="n"/>
      <c r="C55" s="972" t="n"/>
      <c r="D55" s="234" t="inlineStr">
        <is>
          <t xml:space="preserve">Заполярное НГКМ </t>
        </is>
      </c>
      <c r="E55" s="15" t="inlineStr">
        <is>
          <t>100331829</t>
        </is>
      </c>
      <c r="F55" s="15" t="n"/>
      <c r="G55" s="16" t="n"/>
      <c r="H55" s="17" t="inlineStr">
        <is>
          <t>100331802</t>
        </is>
      </c>
      <c r="I55" s="636" t="n"/>
      <c r="J55" s="17" t="n"/>
      <c r="K55" s="228" t="inlineStr">
        <is>
          <t>тыс.т.</t>
        </is>
      </c>
    </row>
    <row r="56" ht="20.25" customHeight="1" s="904">
      <c r="A56" s="726" t="n"/>
      <c r="B56" s="726" t="n"/>
      <c r="C56" s="972" t="n"/>
      <c r="D56" s="234" t="inlineStr">
        <is>
          <t>Ямбургское НГКМ</t>
        </is>
      </c>
      <c r="E56" s="15" t="inlineStr">
        <is>
          <t>100331830</t>
        </is>
      </c>
      <c r="F56" s="15" t="n"/>
      <c r="G56" s="16" t="n"/>
      <c r="H56" s="17" t="inlineStr">
        <is>
          <t>100331803</t>
        </is>
      </c>
      <c r="I56" s="636" t="n"/>
      <c r="J56" s="17" t="n"/>
      <c r="K56" s="228" t="inlineStr">
        <is>
          <t>тыс.т.</t>
        </is>
      </c>
    </row>
    <row r="57" ht="20.25" customHeight="1" s="904">
      <c r="A57" s="726" t="n"/>
      <c r="B57" s="726" t="n"/>
      <c r="C57" s="970" t="n"/>
      <c r="D57" s="232" t="inlineStr">
        <is>
          <t>ООО "Газпром добыча Уренгой"</t>
        </is>
      </c>
      <c r="E57" s="15" t="inlineStr">
        <is>
          <t>100331831</t>
        </is>
      </c>
      <c r="F57" s="15" t="n"/>
      <c r="G57" s="16" t="n"/>
      <c r="H57" s="17" t="inlineStr">
        <is>
          <t>100331832+100331833+100331834+100335866+100335867+100335868+100335869+100335870+100335871+100337101</t>
        </is>
      </c>
      <c r="I57" s="636" t="n"/>
      <c r="J57" s="17" t="n"/>
      <c r="K57" s="228" t="inlineStr">
        <is>
          <t>тыс.т.</t>
        </is>
      </c>
    </row>
    <row r="58" ht="20.25" customHeight="1" s="904">
      <c r="A58" s="726" t="n"/>
      <c r="B58" s="726" t="n"/>
      <c r="C58" s="972" t="n"/>
      <c r="D58" s="234" t="inlineStr">
        <is>
          <t>Уренгойское НГКМ</t>
        </is>
      </c>
      <c r="E58" s="15" t="inlineStr">
        <is>
          <t>100331832</t>
        </is>
      </c>
      <c r="F58" s="15" t="n"/>
      <c r="G58" s="16" t="n"/>
      <c r="H58" s="17" t="inlineStr">
        <is>
          <t>100331805</t>
        </is>
      </c>
      <c r="I58" s="636" t="n"/>
      <c r="J58" s="17" t="n"/>
      <c r="K58" s="228" t="inlineStr">
        <is>
          <t>тыс.т.</t>
        </is>
      </c>
    </row>
    <row r="59" ht="20.25" customHeight="1" s="904">
      <c r="A59" s="726" t="n"/>
      <c r="B59" s="726" t="n"/>
      <c r="C59" s="972" t="n"/>
      <c r="D59" s="235" t="inlineStr">
        <is>
          <t>C5+ от подготовки газа деэтанизации</t>
        </is>
      </c>
      <c r="E59" s="15" t="inlineStr">
        <is>
          <t>100337101</t>
        </is>
      </c>
      <c r="F59" s="15" t="n"/>
      <c r="G59" s="16" t="n"/>
      <c r="H59" s="17" t="inlineStr">
        <is>
          <t>100337100</t>
        </is>
      </c>
      <c r="I59" s="636" t="n"/>
      <c r="J59" s="17" t="n"/>
      <c r="K59" s="228" t="inlineStr">
        <is>
          <t>тыс.т.</t>
        </is>
      </c>
    </row>
    <row r="60" ht="20.25" customHeight="1" s="904">
      <c r="A60" s="726" t="n"/>
      <c r="B60" s="726" t="n"/>
      <c r="C60" s="972" t="n"/>
      <c r="D60" s="235" t="inlineStr">
        <is>
          <t>Уренгойское НГКМ фаза 3 (ДРОД)</t>
        </is>
      </c>
      <c r="E60" s="15" t="inlineStr">
        <is>
          <t>100335866</t>
        </is>
      </c>
      <c r="F60" s="15" t="n"/>
      <c r="G60" s="16" t="n"/>
      <c r="H60" s="17" t="inlineStr">
        <is>
          <t>100335855</t>
        </is>
      </c>
      <c r="I60" s="636" t="n"/>
      <c r="J60" s="17" t="n"/>
      <c r="K60" s="228" t="inlineStr">
        <is>
          <t>тыс.т.</t>
        </is>
      </c>
    </row>
    <row r="61" ht="20.25" customHeight="1" s="904">
      <c r="A61" s="726" t="n"/>
      <c r="B61" s="726" t="n"/>
      <c r="C61" s="972" t="n"/>
      <c r="D61" s="235" t="inlineStr">
        <is>
          <t>Ен-Яхинское НГКМ</t>
        </is>
      </c>
      <c r="E61" s="15" t="inlineStr">
        <is>
          <t>100331833</t>
        </is>
      </c>
      <c r="F61" s="15" t="n"/>
      <c r="G61" s="16" t="n"/>
      <c r="H61" s="17" t="inlineStr">
        <is>
          <t>100331806</t>
        </is>
      </c>
      <c r="I61" s="636" t="n"/>
      <c r="J61" s="17" t="n"/>
      <c r="K61" s="228" t="inlineStr">
        <is>
          <t>тыс.т.</t>
        </is>
      </c>
    </row>
    <row r="62" ht="20.25" customHeight="1" s="904">
      <c r="A62" s="726" t="n"/>
      <c r="B62" s="726" t="n"/>
      <c r="C62" s="972" t="n"/>
      <c r="D62" s="235" t="inlineStr">
        <is>
          <t>Ен-Яхинское НГКМ (ДРОД)</t>
        </is>
      </c>
      <c r="E62" s="15" t="inlineStr">
        <is>
          <t>100335867</t>
        </is>
      </c>
      <c r="F62" s="15" t="n"/>
      <c r="G62" s="16" t="n"/>
      <c r="H62" s="17" t="inlineStr">
        <is>
          <t>100335856</t>
        </is>
      </c>
      <c r="I62" s="636" t="n"/>
      <c r="J62" s="17" t="n"/>
      <c r="K62" s="228" t="inlineStr">
        <is>
          <t>тыс.т.</t>
        </is>
      </c>
    </row>
    <row r="63" ht="20.25" customHeight="1" s="904">
      <c r="A63" s="726" t="n"/>
      <c r="B63" s="726" t="n"/>
      <c r="C63" s="972" t="n"/>
      <c r="D63" s="235" t="inlineStr">
        <is>
          <t>Ачимовские отл. 1 уч.</t>
        </is>
      </c>
      <c r="E63" s="15" t="inlineStr">
        <is>
          <t>100331834</t>
        </is>
      </c>
      <c r="F63" s="15" t="n"/>
      <c r="G63" s="16" t="n"/>
      <c r="H63" s="17" t="inlineStr">
        <is>
          <t>100331807</t>
        </is>
      </c>
      <c r="I63" s="636" t="n"/>
      <c r="J63" s="17" t="n"/>
      <c r="K63" s="228" t="inlineStr">
        <is>
          <t>тыс.т.</t>
        </is>
      </c>
    </row>
    <row r="64" ht="20.25" customHeight="1" s="904">
      <c r="A64" s="726" t="n"/>
      <c r="B64" s="726" t="n"/>
      <c r="C64" s="972" t="n"/>
      <c r="D64" s="235" t="inlineStr">
        <is>
          <t>Ачимовские отл. 2 уч.</t>
        </is>
      </c>
      <c r="E64" s="15" t="inlineStr">
        <is>
          <t>100335868</t>
        </is>
      </c>
      <c r="F64" s="15" t="n"/>
      <c r="G64" s="16" t="n"/>
      <c r="H64" s="17" t="inlineStr">
        <is>
          <t>100331808</t>
        </is>
      </c>
      <c r="I64" s="636" t="n"/>
      <c r="J64" s="17" t="n"/>
      <c r="K64" s="228" t="inlineStr">
        <is>
          <t>тыс.т.</t>
        </is>
      </c>
    </row>
    <row r="65" ht="20.25" customHeight="1" s="904">
      <c r="A65" s="726" t="n"/>
      <c r="B65" s="726" t="n"/>
      <c r="C65" s="972" t="n"/>
      <c r="D65" s="235" t="inlineStr">
        <is>
          <t>Ачимовские отл. 3 уч. (ДРОД)</t>
        </is>
      </c>
      <c r="E65" s="15" t="inlineStr">
        <is>
          <t>100335869</t>
        </is>
      </c>
      <c r="F65" s="15" t="n"/>
      <c r="G65" s="16" t="n"/>
      <c r="H65" s="17" t="inlineStr">
        <is>
          <t>100335857</t>
        </is>
      </c>
      <c r="I65" s="636" t="n"/>
      <c r="J65" s="17" t="n"/>
      <c r="K65" s="228" t="inlineStr">
        <is>
          <t>тыс.т.</t>
        </is>
      </c>
    </row>
    <row r="66" ht="20.25" customHeight="1" s="904">
      <c r="A66" s="726" t="n"/>
      <c r="B66" s="726" t="n"/>
      <c r="C66" s="972" t="n"/>
      <c r="D66" s="235" t="inlineStr">
        <is>
          <t>Песцовое НГКМ (ДРОД)</t>
        </is>
      </c>
      <c r="E66" s="15" t="inlineStr">
        <is>
          <t>100335870</t>
        </is>
      </c>
      <c r="F66" s="15" t="n"/>
      <c r="G66" s="16" t="n"/>
      <c r="H66" s="17" t="inlineStr">
        <is>
          <t>100335859</t>
        </is>
      </c>
      <c r="I66" s="636" t="n"/>
      <c r="J66" s="17" t="n"/>
      <c r="K66" s="228" t="inlineStr">
        <is>
          <t>тыс.т.</t>
        </is>
      </c>
    </row>
    <row r="67" ht="20.25" customHeight="1" s="904">
      <c r="A67" s="726" t="n"/>
      <c r="B67" s="726" t="n"/>
      <c r="C67" s="972" t="n"/>
      <c r="D67" s="235" t="inlineStr">
        <is>
          <t>Песцовое НГКМ (ачим) (ДРОД)</t>
        </is>
      </c>
      <c r="E67" s="15" t="inlineStr">
        <is>
          <t>100335871</t>
        </is>
      </c>
      <c r="F67" s="15" t="n"/>
      <c r="G67" s="16" t="n"/>
      <c r="H67" s="17" t="inlineStr">
        <is>
          <t>100335860</t>
        </is>
      </c>
      <c r="I67" s="636" t="n"/>
      <c r="J67" s="17" t="n"/>
      <c r="K67" s="228" t="inlineStr">
        <is>
          <t>тыс.т.</t>
        </is>
      </c>
    </row>
    <row r="68" ht="20.25" customHeight="1" s="904">
      <c r="A68" s="726" t="n"/>
      <c r="B68" s="726" t="n"/>
      <c r="C68" s="970" t="n"/>
      <c r="D68" s="232" t="inlineStr">
        <is>
          <t>АО "Ачим сбыт"</t>
        </is>
      </c>
      <c r="E68" s="15" t="inlineStr">
        <is>
          <t>100335040</t>
        </is>
      </c>
      <c r="F68" s="15" t="n"/>
      <c r="G68" s="16" t="n"/>
      <c r="H68" s="17" t="inlineStr">
        <is>
          <t>100335041+100335872</t>
        </is>
      </c>
      <c r="I68" s="636" t="n"/>
      <c r="J68" s="17" t="n"/>
      <c r="K68" s="228" t="inlineStr">
        <is>
          <t>тыс.т.</t>
        </is>
      </c>
    </row>
    <row r="69" ht="20.25" customHeight="1" s="904">
      <c r="A69" s="726" t="n"/>
      <c r="B69" s="726" t="n"/>
      <c r="C69" s="972" t="n"/>
      <c r="D69" s="234" t="inlineStr">
        <is>
          <t>Ачимовские отл. 4 уч.</t>
        </is>
      </c>
      <c r="E69" s="15" t="inlineStr">
        <is>
          <t>100335041</t>
        </is>
      </c>
      <c r="F69" s="15" t="n"/>
      <c r="G69" s="16" t="n"/>
      <c r="H69" s="17" t="inlineStr">
        <is>
          <t>100331809</t>
        </is>
      </c>
      <c r="I69" s="636" t="n"/>
      <c r="J69" s="17" t="n"/>
      <c r="K69" s="228" t="inlineStr">
        <is>
          <t>тыс.т.</t>
        </is>
      </c>
    </row>
    <row r="70" ht="20.25" customHeight="1" s="904">
      <c r="A70" s="726" t="n"/>
      <c r="B70" s="726" t="n"/>
      <c r="C70" s="972" t="n"/>
      <c r="D70" s="234" t="inlineStr">
        <is>
          <t>Ачимовские отл. 5 уч.</t>
        </is>
      </c>
      <c r="E70" s="15" t="inlineStr">
        <is>
          <t>100335872</t>
        </is>
      </c>
      <c r="F70" s="15" t="n"/>
      <c r="G70" s="16" t="n"/>
      <c r="H70" s="17" t="inlineStr">
        <is>
          <t>100331810</t>
        </is>
      </c>
      <c r="I70" s="636" t="n"/>
      <c r="J70" s="17" t="n"/>
      <c r="K70" s="228" t="inlineStr">
        <is>
          <t>тыс.т.</t>
        </is>
      </c>
    </row>
    <row r="71" ht="20.25" customHeight="1" s="904">
      <c r="A71" s="726" t="n"/>
      <c r="B71" s="726" t="n"/>
      <c r="C71" s="970" t="n"/>
      <c r="D71" s="232" t="inlineStr">
        <is>
          <t>АО "Сибнефтегаз"</t>
        </is>
      </c>
      <c r="E71" s="15" t="inlineStr">
        <is>
          <t>100331835</t>
        </is>
      </c>
      <c r="F71" s="15" t="n"/>
      <c r="G71" s="16" t="n"/>
      <c r="H71" s="17" t="inlineStr">
        <is>
          <t>100335873</t>
        </is>
      </c>
      <c r="I71" s="636" t="n"/>
      <c r="J71" s="17" t="n"/>
      <c r="K71" s="228" t="inlineStr">
        <is>
          <t>тыс.т.</t>
        </is>
      </c>
    </row>
    <row r="72" ht="20.25" customHeight="1" s="904">
      <c r="A72" s="726" t="n"/>
      <c r="B72" s="726" t="n"/>
      <c r="C72" s="972" t="n"/>
      <c r="D72" s="234" t="inlineStr">
        <is>
          <t>Береговое НГКМ</t>
        </is>
      </c>
      <c r="E72" s="15" t="inlineStr">
        <is>
          <t>100335873</t>
        </is>
      </c>
      <c r="F72" s="15" t="n"/>
      <c r="G72" s="16" t="n"/>
      <c r="H72" s="17" t="inlineStr">
        <is>
          <t>100335861</t>
        </is>
      </c>
      <c r="I72" s="636" t="n"/>
      <c r="J72" s="17" t="n"/>
      <c r="K72" s="228" t="inlineStr">
        <is>
          <t>тыс.т.</t>
        </is>
      </c>
    </row>
    <row r="73" ht="20.25" customHeight="1" s="904">
      <c r="A73" s="726" t="n"/>
      <c r="B73" s="726" t="n"/>
      <c r="C73" s="970" t="n"/>
      <c r="D73" s="232" t="inlineStr">
        <is>
          <t>ООО "Газпром добыча Ноябрьск"</t>
        </is>
      </c>
      <c r="E73" s="15" t="inlineStr">
        <is>
          <t>100331836</t>
        </is>
      </c>
      <c r="F73" s="15" t="n"/>
      <c r="G73" s="16" t="n"/>
      <c r="H73" s="17" t="inlineStr">
        <is>
          <t>100335874</t>
        </is>
      </c>
      <c r="I73" s="636" t="n"/>
      <c r="J73" s="17" t="n"/>
      <c r="K73" s="228" t="inlineStr">
        <is>
          <t>тыс.т.</t>
        </is>
      </c>
    </row>
    <row r="74" ht="20.25" customHeight="1" s="904">
      <c r="A74" s="726" t="n"/>
      <c r="B74" s="726" t="n"/>
      <c r="C74" s="972" t="n"/>
      <c r="D74" s="234" t="inlineStr">
        <is>
          <t>Западно-Таркосалинское НГКМ</t>
        </is>
      </c>
      <c r="E74" s="15" t="inlineStr">
        <is>
          <t>100335874</t>
        </is>
      </c>
      <c r="F74" s="15" t="n"/>
      <c r="G74" s="16" t="n"/>
      <c r="H74" s="17" t="inlineStr">
        <is>
          <t>100335862</t>
        </is>
      </c>
      <c r="I74" s="636" t="n"/>
      <c r="J74" s="17" t="n"/>
      <c r="K74" s="228" t="inlineStr">
        <is>
          <t>тыс.т.</t>
        </is>
      </c>
    </row>
    <row r="75" ht="39.75" customHeight="1" s="904">
      <c r="A75" s="726" t="n"/>
      <c r="B75" s="726" t="n"/>
      <c r="C75" s="224" t="inlineStr">
        <is>
          <t>2.2</t>
        </is>
      </c>
      <c r="D75" s="948" t="inlineStr">
        <is>
          <t>ПЕРЕРАБОТКА НЕФТИ, ПАО "Газпром"</t>
        </is>
      </c>
      <c r="E75" s="15" t="inlineStr">
        <is>
          <t>100331837</t>
        </is>
      </c>
      <c r="F75" s="15" t="n"/>
      <c r="G75" s="16" t="n"/>
      <c r="H75" s="17" t="inlineStr">
        <is>
          <t>100331815+100331963</t>
        </is>
      </c>
      <c r="I75" s="636" t="n"/>
      <c r="J75" s="17" t="n"/>
      <c r="K75" s="228" t="inlineStr">
        <is>
          <t>тыс.т.</t>
        </is>
      </c>
    </row>
    <row r="76" ht="39.75" customHeight="1" s="904">
      <c r="A76" s="726" t="n"/>
      <c r="B76" s="726" t="n"/>
      <c r="C76" s="1016" t="inlineStr">
        <is>
          <t>3</t>
        </is>
      </c>
      <c r="D76" s="118" t="inlineStr">
        <is>
          <t>ПРИСАДКИ (ДОБАВКИ), ВСЕГО:</t>
        </is>
      </c>
      <c r="E76" s="15" t="inlineStr">
        <is>
          <t>100331847</t>
        </is>
      </c>
      <c r="F76" s="15" t="n"/>
      <c r="G76" s="16" t="n"/>
      <c r="H76" s="17" t="inlineStr">
        <is>
          <t>100331848+100331849</t>
        </is>
      </c>
      <c r="I76" s="636" t="n"/>
      <c r="J76" s="17" t="n"/>
      <c r="K76" s="228" t="inlineStr">
        <is>
          <t>тыс.т.</t>
        </is>
      </c>
    </row>
    <row r="77" ht="20.25" customHeight="1" s="904">
      <c r="A77" s="726" t="n"/>
      <c r="B77" s="726" t="n"/>
      <c r="C77" s="973" t="n"/>
      <c r="D77" s="167" t="inlineStr">
        <is>
          <t>УЗПКТ</t>
        </is>
      </c>
      <c r="E77" s="15" t="inlineStr">
        <is>
          <t>100331848</t>
        </is>
      </c>
      <c r="F77" s="15" t="n"/>
      <c r="G77" s="16" t="n"/>
      <c r="H77" s="17" t="n"/>
      <c r="I77" s="636" t="n"/>
      <c r="J77" s="17" t="n"/>
      <c r="K77" s="228" t="inlineStr">
        <is>
          <t>тыс.т.</t>
        </is>
      </c>
    </row>
    <row r="78" ht="20.25" customHeight="1" s="904">
      <c r="A78" s="726" t="n"/>
      <c r="B78" s="726" t="n"/>
      <c r="C78" s="973" t="n"/>
      <c r="D78" s="167" t="inlineStr">
        <is>
          <t>СЗСК</t>
        </is>
      </c>
      <c r="E78" s="15" t="inlineStr">
        <is>
          <t>100331849</t>
        </is>
      </c>
      <c r="F78" s="15" t="n"/>
      <c r="G78" s="16" t="n"/>
      <c r="H78" s="17" t="n"/>
      <c r="I78" s="636" t="n"/>
      <c r="J78" s="17" t="n"/>
      <c r="K78" s="233" t="inlineStr">
        <is>
          <t>тыс.т.</t>
        </is>
      </c>
    </row>
    <row r="79" ht="20.25" customHeight="1" s="904">
      <c r="A79" s="726" t="n"/>
      <c r="B79" s="726" t="n"/>
      <c r="C79" s="973" t="n"/>
      <c r="D79" s="236" t="inlineStr">
        <is>
          <t>в т.ч. МТБЭ</t>
        </is>
      </c>
      <c r="E79" s="15" t="inlineStr">
        <is>
          <t>100335042</t>
        </is>
      </c>
      <c r="F79" s="15" t="n"/>
      <c r="G79" s="16" t="n"/>
      <c r="H79" s="17" t="n"/>
      <c r="I79" s="636" t="n"/>
      <c r="J79" s="17" t="n"/>
      <c r="K79" s="233" t="inlineStr">
        <is>
          <t>тыс.т.</t>
        </is>
      </c>
    </row>
    <row r="80" ht="20.25" customHeight="1" s="904">
      <c r="A80" s="726" t="n"/>
      <c r="B80" s="726" t="n"/>
      <c r="C80" s="973" t="n"/>
      <c r="D80" s="727" t="inlineStr">
        <is>
          <t>Справочно:</t>
        </is>
      </c>
      <c r="E80" s="15" t="n"/>
      <c r="F80" s="15" t="n"/>
      <c r="G80" s="16" t="n"/>
      <c r="H80" s="17" t="n"/>
      <c r="I80" s="636" t="n"/>
      <c r="J80" s="17" t="n"/>
      <c r="K80" s="233" t="n"/>
    </row>
    <row r="81" ht="39.75" customHeight="1" s="904">
      <c r="A81" s="726" t="n"/>
      <c r="B81" s="726" t="n"/>
      <c r="C81" s="1016" t="inlineStr">
        <is>
          <t>4</t>
        </is>
      </c>
      <c r="D81" s="948" t="inlineStr">
        <is>
          <t>ПОТЕРИ СЫРЬЯ ПРИ ПЕРЕРАБОТКЕ, ВСЕГО:</t>
        </is>
      </c>
      <c r="E81" s="15" t="n"/>
      <c r="F81" s="15" t="n"/>
      <c r="G81" s="16" t="n"/>
      <c r="H81" s="17" t="inlineStr">
        <is>
          <t>100331851+100331852+100335361+100335362</t>
        </is>
      </c>
      <c r="I81" s="636" t="n"/>
      <c r="J81" s="17" t="n"/>
      <c r="K81" s="228" t="inlineStr">
        <is>
          <t>тыс.т.</t>
        </is>
      </c>
    </row>
    <row r="82" ht="20.25" customHeight="1" s="904">
      <c r="A82" s="726" t="n"/>
      <c r="B82" s="726" t="n"/>
      <c r="C82" s="1021" t="n"/>
      <c r="D82" s="951" t="inlineStr">
        <is>
          <t>УЗПКТ</t>
        </is>
      </c>
      <c r="E82" s="15" t="inlineStr">
        <is>
          <t>100331851</t>
        </is>
      </c>
      <c r="F82" s="15" t="n"/>
      <c r="G82" s="16" t="n"/>
      <c r="H82" s="17" t="n"/>
      <c r="I82" s="636" t="n"/>
      <c r="J82" s="17" t="n"/>
      <c r="K82" s="228" t="inlineStr">
        <is>
          <t>тыс.т.</t>
        </is>
      </c>
    </row>
    <row r="83" ht="20.25" customHeight="1" s="904">
      <c r="A83" s="726" t="n"/>
      <c r="B83" s="726" t="n"/>
      <c r="C83" s="1021" t="n"/>
      <c r="D83" s="951" t="inlineStr">
        <is>
          <t>СЗСК</t>
        </is>
      </c>
      <c r="E83" s="15" t="inlineStr">
        <is>
          <t>100331852</t>
        </is>
      </c>
      <c r="F83" s="15" t="n"/>
      <c r="G83" s="16" t="n"/>
      <c r="H83" s="17" t="n"/>
      <c r="I83" s="636" t="n"/>
      <c r="J83" s="17" t="n"/>
      <c r="K83" s="228" t="inlineStr">
        <is>
          <t>тыс.т.</t>
        </is>
      </c>
    </row>
    <row r="84" ht="20.25" customHeight="1" s="904">
      <c r="A84" s="726" t="n"/>
      <c r="B84" s="726" t="n"/>
      <c r="C84" s="1021" t="n"/>
      <c r="D84" s="951" t="inlineStr">
        <is>
          <t>На мощностях  ПАО "НОВАТЭК"</t>
        </is>
      </c>
      <c r="E84" s="15" t="inlineStr">
        <is>
          <t>100335361</t>
        </is>
      </c>
      <c r="F84" s="15" t="n"/>
      <c r="G84" s="16" t="n"/>
      <c r="H84" s="17" t="n"/>
      <c r="I84" s="636" t="n"/>
      <c r="J84" s="17" t="n"/>
      <c r="K84" s="228" t="inlineStr">
        <is>
          <t>тыс.т.</t>
        </is>
      </c>
    </row>
    <row r="85" ht="20.25" customHeight="1" s="904">
      <c r="A85" s="726" t="n"/>
      <c r="B85" s="726" t="n"/>
      <c r="C85" s="1021" t="n"/>
      <c r="D85" s="951" t="inlineStr">
        <is>
          <t>На мощностях УДК(м)</t>
        </is>
      </c>
      <c r="E85" s="15" t="inlineStr">
        <is>
          <t>100335362</t>
        </is>
      </c>
      <c r="F85" s="15" t="n"/>
      <c r="G85" s="16" t="n"/>
      <c r="H85" s="17" t="n"/>
      <c r="I85" s="636" t="n"/>
      <c r="J85" s="17" t="n"/>
      <c r="K85" s="228" t="inlineStr">
        <is>
          <t>тыс.т.</t>
        </is>
      </c>
    </row>
    <row r="86" ht="39.75" customHeight="1" s="904">
      <c r="A86" s="726" t="n"/>
      <c r="B86" s="726" t="n"/>
      <c r="C86" s="1016" t="inlineStr">
        <is>
          <t>5</t>
        </is>
      </c>
      <c r="D86" s="948" t="inlineStr">
        <is>
          <t>ПРОИЗВОДСТВО ПРОДУКЦИИ ПАО "ГАЗПРОМ", ВСЕГО:</t>
        </is>
      </c>
      <c r="E86" s="15" t="inlineStr">
        <is>
          <t>100330237</t>
        </is>
      </c>
      <c r="F86" s="15" t="n"/>
      <c r="G86" s="16" t="n"/>
      <c r="H86" s="17" t="inlineStr">
        <is>
          <t>100331854+100331855+100335363+100335364</t>
        </is>
      </c>
      <c r="I86" s="636" t="n"/>
      <c r="J86" s="17" t="n"/>
      <c r="K86" s="228" t="inlineStr">
        <is>
          <t>тыс.т.</t>
        </is>
      </c>
    </row>
    <row r="87" ht="20.25" customHeight="1" s="904">
      <c r="A87" s="726" t="n"/>
      <c r="B87" s="726" t="n"/>
      <c r="C87" s="973" t="n"/>
      <c r="D87" s="951" t="inlineStr">
        <is>
          <t>УЗПКТ</t>
        </is>
      </c>
      <c r="E87" s="15" t="inlineStr">
        <is>
          <t>100331854</t>
        </is>
      </c>
      <c r="F87" s="15" t="n"/>
      <c r="G87" s="16" t="n"/>
      <c r="H87" s="17" t="inlineStr">
        <is>
          <t>100335875+100331870+100331888+100331900+100331909+100331912+100331916+100331921+100331924+100335444/$1000+100331945+100331947+100335044</t>
        </is>
      </c>
      <c r="I87" s="636" t="n"/>
      <c r="J87" s="17" t="n"/>
      <c r="K87" s="228" t="inlineStr">
        <is>
          <t>тыс.т.</t>
        </is>
      </c>
    </row>
    <row r="88" ht="20.25" customHeight="1" s="904">
      <c r="A88" s="726" t="n"/>
      <c r="B88" s="726" t="n"/>
      <c r="C88" s="973" t="n"/>
      <c r="D88" s="951" t="inlineStr">
        <is>
          <t>СЗСК</t>
        </is>
      </c>
      <c r="E88" s="15" t="inlineStr">
        <is>
          <t>100331855</t>
        </is>
      </c>
      <c r="F88" s="15" t="n"/>
      <c r="G88" s="16" t="n"/>
      <c r="H88" s="17" t="inlineStr">
        <is>
          <t>100331876+100331889+100331901+100331904+100331905+100331910+100331913+100331917+100331922+100331925+100335445/$1000</t>
        </is>
      </c>
      <c r="I88" s="636" t="n"/>
      <c r="J88" s="17" t="n"/>
      <c r="K88" s="228" t="inlineStr">
        <is>
          <t>тыс.т.</t>
        </is>
      </c>
    </row>
    <row r="89" ht="20.25" customHeight="1" s="904">
      <c r="A89" s="726" t="n"/>
      <c r="B89" s="726" t="n"/>
      <c r="C89" s="973" t="n"/>
      <c r="D89" s="951" t="inlineStr">
        <is>
          <t>На мощностях  ПАО "НОВАТЭК"</t>
        </is>
      </c>
      <c r="E89" s="15" t="inlineStr">
        <is>
          <t>100335363</t>
        </is>
      </c>
      <c r="F89" s="15" t="n"/>
      <c r="G89" s="16" t="n"/>
      <c r="H89" s="17" t="inlineStr">
        <is>
          <t>100335365+100335359</t>
        </is>
      </c>
      <c r="I89" s="636" t="n"/>
      <c r="J89" s="17" t="n"/>
      <c r="K89" s="228" t="inlineStr">
        <is>
          <t>тыс.т.</t>
        </is>
      </c>
    </row>
    <row r="90" ht="20.25" customHeight="1" s="904">
      <c r="A90" s="726" t="n"/>
      <c r="B90" s="726" t="n"/>
      <c r="C90" s="973" t="n"/>
      <c r="D90" s="951" t="inlineStr">
        <is>
          <t>На мощностях УДК(м)</t>
        </is>
      </c>
      <c r="E90" s="15" t="inlineStr">
        <is>
          <t>100335364</t>
        </is>
      </c>
      <c r="F90" s="15" t="n"/>
      <c r="G90" s="16" t="n"/>
      <c r="H90" s="17" t="inlineStr">
        <is>
          <t>100335367+100335360</t>
        </is>
      </c>
      <c r="I90" s="636" t="n"/>
      <c r="J90" s="17" t="n"/>
      <c r="K90" s="228" t="inlineStr">
        <is>
          <t>тыс.т.</t>
        </is>
      </c>
    </row>
    <row r="91" ht="20.25" customHeight="1" s="904">
      <c r="A91" s="726" t="n"/>
      <c r="B91" s="726" t="n"/>
      <c r="C91" s="1016" t="inlineStr">
        <is>
          <t>5.1</t>
        </is>
      </c>
      <c r="D91" s="948" t="inlineStr">
        <is>
          <t>ГАЗ ДЕЭТАНИЗАЦИИ, ВСЕГО:</t>
        </is>
      </c>
      <c r="E91" s="15" t="n">
        <v>100335875</v>
      </c>
      <c r="F91" s="15" t="n"/>
      <c r="G91" s="16" t="n"/>
      <c r="H91" s="17" t="inlineStr">
        <is>
          <t>100331856+100331858+100335367+100337118+100337120</t>
        </is>
      </c>
      <c r="I91" s="636" t="n"/>
      <c r="J91" s="17" t="n"/>
      <c r="K91" s="228" t="inlineStr">
        <is>
          <t>тыс.т.</t>
        </is>
      </c>
    </row>
    <row r="92" ht="20.25" customHeight="1" s="904">
      <c r="A92" s="726" t="n"/>
      <c r="B92" s="726" t="n"/>
      <c r="C92" s="916" t="n"/>
      <c r="E92" s="15" t="inlineStr">
        <is>
          <t>100335876</t>
        </is>
      </c>
      <c r="F92" s="15" t="n"/>
      <c r="G92" s="16" t="n"/>
      <c r="H92" s="17" t="inlineStr">
        <is>
          <t>100331857+100331859+100335368+100337119+100337121</t>
        </is>
      </c>
      <c r="I92" s="636" t="n"/>
      <c r="J92" s="17" t="n"/>
      <c r="K92" s="594" t="inlineStr">
        <is>
          <t>млн куб.м</t>
        </is>
      </c>
    </row>
    <row r="93" ht="20.25" customHeight="1" s="904">
      <c r="A93" s="726" t="n"/>
      <c r="B93" s="726" t="n"/>
      <c r="C93" s="1016" t="n"/>
      <c r="D93" s="1019" t="inlineStr">
        <is>
          <t>УЗПКТ в адрес ООО "Газпром добыча Уренгой"</t>
        </is>
      </c>
      <c r="E93" s="15" t="inlineStr">
        <is>
          <t>100331856</t>
        </is>
      </c>
      <c r="F93" s="15" t="n"/>
      <c r="G93" s="16" t="n"/>
      <c r="H93" s="17" t="n"/>
      <c r="I93" s="636" t="n"/>
      <c r="J93" s="17" t="n"/>
      <c r="K93" s="228" t="inlineStr">
        <is>
          <t>тыс.т.</t>
        </is>
      </c>
    </row>
    <row r="94" ht="20.25" customHeight="1" s="904">
      <c r="A94" s="726" t="n"/>
      <c r="B94" s="726" t="n"/>
      <c r="C94" s="916" t="n"/>
      <c r="D94" s="919" t="n"/>
      <c r="E94" s="15" t="inlineStr">
        <is>
          <t>100331857</t>
        </is>
      </c>
      <c r="F94" s="15" t="n"/>
      <c r="G94" s="16" t="n"/>
      <c r="H94" s="17" t="n"/>
      <c r="I94" s="636" t="n"/>
      <c r="J94" s="17" t="n"/>
      <c r="K94" s="594" t="inlineStr">
        <is>
          <t>млн куб.м</t>
        </is>
      </c>
    </row>
    <row r="95" ht="20.25" customHeight="1" s="904">
      <c r="A95" s="726" t="n"/>
      <c r="B95" s="726" t="n"/>
      <c r="C95" s="1016" t="n"/>
      <c r="D95" s="1019" t="inlineStr">
        <is>
          <t>УЗПКТ на СТН ООО "Газпром переработка"</t>
        </is>
      </c>
      <c r="E95" s="15" t="inlineStr">
        <is>
          <t>100331858</t>
        </is>
      </c>
      <c r="F95" s="15" t="n"/>
      <c r="G95" s="16" t="n"/>
      <c r="H95" s="17" t="n"/>
      <c r="I95" s="636" t="n"/>
      <c r="J95" s="17" t="n"/>
      <c r="K95" s="228" t="inlineStr">
        <is>
          <t>тыс.т.</t>
        </is>
      </c>
    </row>
    <row r="96" ht="20.25" customHeight="1" s="904">
      <c r="A96" s="726" t="n"/>
      <c r="B96" s="726" t="n"/>
      <c r="C96" s="916" t="n"/>
      <c r="D96" s="919" t="n"/>
      <c r="E96" s="15" t="inlineStr">
        <is>
          <t>100331859</t>
        </is>
      </c>
      <c r="F96" s="15" t="n"/>
      <c r="G96" s="16" t="n"/>
      <c r="H96" s="17" t="n"/>
      <c r="I96" s="636" t="n"/>
      <c r="J96" s="17" t="n"/>
      <c r="K96" s="594" t="inlineStr">
        <is>
          <t>млн куб.м</t>
        </is>
      </c>
    </row>
    <row r="97" ht="20.25" customHeight="1" s="904">
      <c r="A97" s="726" t="n"/>
      <c r="B97" s="726" t="n"/>
      <c r="C97" s="916" t="n"/>
      <c r="D97" s="1019" t="inlineStr">
        <is>
          <t>УЗПКТ на подготовку на мощностях ГДУ, 
собственность ПАО "Газпром"</t>
        </is>
      </c>
      <c r="E97" s="15" t="n">
        <v>100337118</v>
      </c>
      <c r="F97" s="15" t="n"/>
      <c r="G97" s="16" t="n"/>
      <c r="H97" s="17" t="n"/>
      <c r="I97" s="636" t="n"/>
      <c r="J97" s="17" t="n"/>
      <c r="K97" s="228" t="inlineStr">
        <is>
          <t>тыс.т.</t>
        </is>
      </c>
    </row>
    <row r="98" ht="20.25" customHeight="1" s="904">
      <c r="A98" s="726" t="n"/>
      <c r="B98" s="726" t="n"/>
      <c r="C98" s="916" t="n"/>
      <c r="D98" s="919" t="n"/>
      <c r="E98" s="15" t="n">
        <v>100337119</v>
      </c>
      <c r="F98" s="15" t="n"/>
      <c r="G98" s="16" t="n"/>
      <c r="H98" s="17" t="n"/>
      <c r="I98" s="636" t="n"/>
      <c r="J98" s="17" t="n"/>
      <c r="K98" s="594" t="inlineStr">
        <is>
          <t>млн куб.м</t>
        </is>
      </c>
    </row>
    <row r="99" ht="20.25" customHeight="1" s="904">
      <c r="A99" s="726" t="n"/>
      <c r="B99" s="726" t="n"/>
      <c r="C99" s="916" t="n"/>
      <c r="D99" s="1019" t="inlineStr">
        <is>
          <t>УЗПКТ на Новоуренгойский ГХК</t>
        </is>
      </c>
      <c r="E99" s="15" t="n">
        <v>100337120</v>
      </c>
      <c r="F99" s="15" t="n"/>
      <c r="G99" s="16" t="n"/>
      <c r="H99" s="17" t="n"/>
      <c r="I99" s="636" t="n"/>
      <c r="J99" s="17" t="n"/>
      <c r="K99" s="228" t="inlineStr">
        <is>
          <t>тыс.т.</t>
        </is>
      </c>
    </row>
    <row r="100" ht="20.25" customHeight="1" s="904">
      <c r="A100" s="726" t="n"/>
      <c r="B100" s="726" t="n"/>
      <c r="C100" s="916" t="n"/>
      <c r="D100" s="919" t="n"/>
      <c r="E100" s="15" t="n">
        <v>100337121</v>
      </c>
      <c r="F100" s="15" t="n"/>
      <c r="G100" s="16" t="n"/>
      <c r="H100" s="17" t="n"/>
      <c r="I100" s="636" t="n"/>
      <c r="J100" s="17" t="n"/>
      <c r="K100" s="594" t="inlineStr">
        <is>
          <t>млн куб.м</t>
        </is>
      </c>
    </row>
    <row r="101" ht="20.25" customHeight="1" s="904">
      <c r="A101" s="726" t="n"/>
      <c r="B101" s="726" t="n"/>
      <c r="C101" s="1016" t="n"/>
      <c r="D101" s="1019" t="inlineStr">
        <is>
          <t>На мощностях УДК(м) на СТН</t>
        </is>
      </c>
      <c r="E101" s="15" t="inlineStr">
        <is>
          <t>100335367</t>
        </is>
      </c>
      <c r="F101" s="15" t="n"/>
      <c r="G101" s="16" t="n"/>
      <c r="H101" s="17" t="n"/>
      <c r="I101" s="636" t="n"/>
      <c r="J101" s="17" t="n"/>
      <c r="K101" s="228" t="inlineStr">
        <is>
          <t>тыс.т.</t>
        </is>
      </c>
    </row>
    <row r="102" ht="20.25" customHeight="1" s="904">
      <c r="A102" s="726" t="n"/>
      <c r="B102" s="726" t="n"/>
      <c r="C102" s="916" t="n"/>
      <c r="D102" s="919" t="n"/>
      <c r="E102" s="15" t="inlineStr">
        <is>
          <t>100335368</t>
        </is>
      </c>
      <c r="F102" s="15" t="n"/>
      <c r="G102" s="16" t="n"/>
      <c r="H102" s="17" t="n"/>
      <c r="I102" s="636" t="n"/>
      <c r="J102" s="17" t="n"/>
      <c r="K102" s="594" t="inlineStr">
        <is>
          <t>млн куб.м</t>
        </is>
      </c>
    </row>
    <row r="103" ht="20.25" customHeight="1" s="904">
      <c r="A103" s="726" t="n"/>
      <c r="B103" s="726" t="n"/>
      <c r="C103" s="1016" t="n"/>
      <c r="D103" s="727" t="inlineStr">
        <is>
          <t>Справочно:</t>
        </is>
      </c>
      <c r="E103" s="15" t="n"/>
      <c r="F103" s="15" t="n"/>
      <c r="G103" s="16" t="n"/>
      <c r="H103" s="17" t="n"/>
      <c r="I103" s="636" t="n"/>
      <c r="J103" s="17" t="n"/>
      <c r="K103" s="228" t="n"/>
    </row>
    <row r="104" ht="20.25" customHeight="1" s="904">
      <c r="A104" s="726" t="n"/>
      <c r="B104" s="726" t="n"/>
      <c r="C104" s="1016" t="n"/>
      <c r="D104" s="1022" t="inlineStr">
        <is>
          <t>Газ деэтанизации валовый, всего:</t>
        </is>
      </c>
      <c r="E104" s="15" t="n">
        <v>100335877</v>
      </c>
      <c r="F104" s="15" t="n"/>
      <c r="G104" s="16" t="n"/>
      <c r="H104" s="17" t="inlineStr">
        <is>
          <t>100331860+100335879</t>
        </is>
      </c>
      <c r="I104" s="636" t="n"/>
      <c r="J104" s="17" t="n"/>
      <c r="K104" s="228" t="inlineStr">
        <is>
          <t>тыс.т.</t>
        </is>
      </c>
    </row>
    <row r="105" ht="20.25" customHeight="1" s="904">
      <c r="A105" s="726" t="n"/>
      <c r="B105" s="726" t="n"/>
      <c r="C105" s="1016" t="n"/>
      <c r="E105" s="15" t="inlineStr">
        <is>
          <t>100335878</t>
        </is>
      </c>
      <c r="F105" s="15" t="n"/>
      <c r="G105" s="16" t="n"/>
      <c r="H105" s="17" t="inlineStr">
        <is>
          <t>100331861+100335880</t>
        </is>
      </c>
      <c r="I105" s="636" t="n"/>
      <c r="J105" s="17" t="n"/>
      <c r="K105" s="594" t="inlineStr">
        <is>
          <t>млн куб.м</t>
        </is>
      </c>
    </row>
    <row r="106" ht="20.25" customHeight="1" s="904">
      <c r="A106" s="726" t="n"/>
      <c r="B106" s="726" t="n"/>
      <c r="C106" s="1016" t="n"/>
      <c r="D106" s="944" t="inlineStr">
        <is>
          <t>УЗПКТ</t>
        </is>
      </c>
      <c r="E106" s="15" t="inlineStr">
        <is>
          <t>100331860</t>
        </is>
      </c>
      <c r="F106" s="15" t="n"/>
      <c r="G106" s="16" t="n"/>
      <c r="H106" s="17" t="n"/>
      <c r="I106" s="636" t="n"/>
      <c r="J106" s="17" t="n"/>
      <c r="K106" s="228" t="inlineStr">
        <is>
          <t>тыс.т.</t>
        </is>
      </c>
    </row>
    <row r="107" ht="20.25" customHeight="1" s="904">
      <c r="A107" s="726" t="n"/>
      <c r="B107" s="726" t="n"/>
      <c r="C107" s="1016" t="n"/>
      <c r="E107" s="15" t="inlineStr">
        <is>
          <t>100331861</t>
        </is>
      </c>
      <c r="F107" s="15" t="n"/>
      <c r="G107" s="16" t="n"/>
      <c r="H107" s="17" t="n"/>
      <c r="I107" s="636" t="n"/>
      <c r="J107" s="17" t="n"/>
      <c r="K107" s="594" t="inlineStr">
        <is>
          <t>млн куб.м</t>
        </is>
      </c>
    </row>
    <row r="108" ht="20.25" customHeight="1" s="904">
      <c r="A108" s="726" t="n"/>
      <c r="B108" s="726" t="n"/>
      <c r="C108" s="1016" t="n"/>
      <c r="D108" s="944" t="inlineStr">
        <is>
          <t>На мощностях УДК(м)</t>
        </is>
      </c>
      <c r="E108" s="15" t="inlineStr">
        <is>
          <t>100335879</t>
        </is>
      </c>
      <c r="F108" s="15" t="n"/>
      <c r="G108" s="16" t="n"/>
      <c r="H108" s="17" t="inlineStr">
        <is>
          <t>100335367</t>
        </is>
      </c>
      <c r="I108" s="636" t="n"/>
      <c r="J108" s="17" t="n"/>
      <c r="K108" s="228" t="inlineStr">
        <is>
          <t>тыс.т.</t>
        </is>
      </c>
    </row>
    <row r="109" ht="20.25" customHeight="1" s="904">
      <c r="A109" s="726" t="n"/>
      <c r="B109" s="726" t="n"/>
      <c r="C109" s="1016" t="n"/>
      <c r="E109" s="15" t="inlineStr">
        <is>
          <t>100335880</t>
        </is>
      </c>
      <c r="F109" s="15" t="n"/>
      <c r="G109" s="16" t="n"/>
      <c r="H109" s="17" t="inlineStr">
        <is>
          <t>100335368</t>
        </is>
      </c>
      <c r="I109" s="636" t="n"/>
      <c r="J109" s="17" t="n"/>
      <c r="K109" s="594" t="inlineStr">
        <is>
          <t>млн куб.м</t>
        </is>
      </c>
    </row>
    <row r="110" ht="20.25" customHeight="1" s="904">
      <c r="A110" s="726" t="n"/>
      <c r="B110" s="726" t="n"/>
      <c r="C110" s="1016" t="n"/>
      <c r="D110" s="1022" t="inlineStr">
        <is>
          <t>Газ деэтанизации на переработку, всего:</t>
        </is>
      </c>
      <c r="E110" s="15" t="n">
        <v>100331864</v>
      </c>
      <c r="F110" s="15" t="n"/>
      <c r="G110" s="16" t="n"/>
      <c r="H110" s="17" t="inlineStr">
        <is>
          <t>100335881</t>
        </is>
      </c>
      <c r="I110" s="636" t="n"/>
      <c r="J110" s="17" t="n"/>
      <c r="K110" s="228" t="inlineStr">
        <is>
          <t>тыс.т.</t>
        </is>
      </c>
    </row>
    <row r="111" ht="20.25" customHeight="1" s="904">
      <c r="A111" s="726" t="n"/>
      <c r="B111" s="726" t="n"/>
      <c r="C111" s="1016" t="n"/>
      <c r="E111" s="15" t="inlineStr">
        <is>
          <t>100331865</t>
        </is>
      </c>
      <c r="F111" s="15" t="n"/>
      <c r="G111" s="16" t="n"/>
      <c r="H111" s="17" t="inlineStr">
        <is>
          <t>100335882</t>
        </is>
      </c>
      <c r="I111" s="636" t="n"/>
      <c r="J111" s="17" t="n"/>
      <c r="K111" s="594" t="inlineStr">
        <is>
          <t>млн куб.м</t>
        </is>
      </c>
    </row>
    <row r="112" ht="20.25" customHeight="1" s="904">
      <c r="A112" s="726" t="n"/>
      <c r="B112" s="726" t="n"/>
      <c r="C112" s="1016" t="n"/>
      <c r="D112" s="944" t="inlineStr">
        <is>
          <t>УЗПКТ</t>
        </is>
      </c>
      <c r="E112" s="15" t="inlineStr">
        <is>
          <t>100335881</t>
        </is>
      </c>
      <c r="F112" s="15" t="n"/>
      <c r="G112" s="16" t="n"/>
      <c r="H112" s="17" t="n"/>
      <c r="I112" s="636" t="n"/>
      <c r="J112" s="17" t="n"/>
      <c r="K112" s="228" t="inlineStr">
        <is>
          <t>тыс.т.</t>
        </is>
      </c>
    </row>
    <row r="113" ht="20.25" customHeight="1" s="904">
      <c r="A113" s="726" t="n"/>
      <c r="B113" s="726" t="n"/>
      <c r="C113" s="916" t="n"/>
      <c r="E113" s="15" t="inlineStr">
        <is>
          <t>100335882</t>
        </is>
      </c>
      <c r="F113" s="15" t="n"/>
      <c r="G113" s="16" t="n"/>
      <c r="H113" s="17" t="n"/>
      <c r="I113" s="636" t="n"/>
      <c r="J113" s="17" t="n"/>
      <c r="K113" s="594" t="inlineStr">
        <is>
          <t>млн куб.м</t>
        </is>
      </c>
    </row>
    <row r="114" ht="20.25" customHeight="1" s="904">
      <c r="A114" s="726" t="n"/>
      <c r="B114" s="726" t="n"/>
      <c r="C114" s="1016" t="inlineStr">
        <is>
          <t>5.2</t>
        </is>
      </c>
      <c r="D114" s="1020" t="inlineStr">
        <is>
          <t>ГАЗ ГОРЮЧИЙ ПРИРОДНЫЙ, ВСЕГО:</t>
        </is>
      </c>
      <c r="E114" s="15" t="inlineStr">
        <is>
          <t>100335883</t>
        </is>
      </c>
      <c r="F114" s="15" t="n"/>
      <c r="G114" s="16" t="n"/>
      <c r="H114" s="17" t="inlineStr">
        <is>
          <t>100331870+100335365</t>
        </is>
      </c>
      <c r="I114" s="636" t="n"/>
      <c r="J114" s="17" t="n"/>
      <c r="K114" s="228" t="inlineStr">
        <is>
          <t>тыс.т.</t>
        </is>
      </c>
    </row>
    <row r="115" ht="20.25" customHeight="1" s="904">
      <c r="A115" s="726" t="n"/>
      <c r="B115" s="726" t="n"/>
      <c r="C115" s="916" t="n"/>
      <c r="D115" s="919" t="n"/>
      <c r="E115" s="15" t="inlineStr">
        <is>
          <t>100335884</t>
        </is>
      </c>
      <c r="F115" s="15" t="n"/>
      <c r="G115" s="16" t="n"/>
      <c r="H115" s="17" t="inlineStr">
        <is>
          <t>100331871+100335366</t>
        </is>
      </c>
      <c r="I115" s="636" t="n"/>
      <c r="J115" s="17" t="n"/>
      <c r="K115" s="594" t="inlineStr">
        <is>
          <t>млн куб.м</t>
        </is>
      </c>
    </row>
    <row r="116" ht="20.25" customHeight="1" s="904">
      <c r="A116" s="726" t="n"/>
      <c r="B116" s="726" t="n"/>
      <c r="C116" s="1016" t="n"/>
      <c r="D116" s="1019" t="inlineStr">
        <is>
          <t>УЗПКТ (УПГД)</t>
        </is>
      </c>
      <c r="E116" s="15" t="inlineStr">
        <is>
          <t>100331870</t>
        </is>
      </c>
      <c r="F116" s="15" t="n"/>
      <c r="G116" s="16" t="n"/>
      <c r="H116" s="17" t="n"/>
      <c r="I116" s="636" t="n"/>
      <c r="J116" s="17" t="n"/>
      <c r="K116" s="228" t="inlineStr">
        <is>
          <t>тыс.т.</t>
        </is>
      </c>
    </row>
    <row r="117" ht="20.25" customHeight="1" s="904">
      <c r="A117" s="726" t="n"/>
      <c r="B117" s="726" t="n"/>
      <c r="C117" s="916" t="n"/>
      <c r="D117" s="919" t="n"/>
      <c r="E117" s="15" t="inlineStr">
        <is>
          <t>100331871</t>
        </is>
      </c>
      <c r="F117" s="15" t="n"/>
      <c r="G117" s="16" t="n"/>
      <c r="H117" s="17" t="n"/>
      <c r="I117" s="636" t="n"/>
      <c r="J117" s="17" t="n"/>
      <c r="K117" s="594" t="inlineStr">
        <is>
          <t>млн куб.м</t>
        </is>
      </c>
    </row>
    <row r="118" ht="20.25" customHeight="1" s="904">
      <c r="A118" s="726" t="n"/>
      <c r="B118" s="726" t="n"/>
      <c r="C118" s="1021" t="n"/>
      <c r="D118" s="1019" t="inlineStr">
        <is>
          <t>На мощностях  ПАО "НОВАТЭК"</t>
        </is>
      </c>
      <c r="E118" s="15" t="inlineStr">
        <is>
          <t>100335365</t>
        </is>
      </c>
      <c r="F118" s="15" t="n"/>
      <c r="G118" s="16" t="n"/>
      <c r="H118" s="17" t="n"/>
      <c r="I118" s="636" t="n"/>
      <c r="J118" s="17" t="n"/>
      <c r="K118" s="228" t="inlineStr">
        <is>
          <t>тыс.т.</t>
        </is>
      </c>
    </row>
    <row r="119" ht="20.25" customHeight="1" s="904">
      <c r="A119" s="726" t="n"/>
      <c r="B119" s="726" t="n"/>
      <c r="C119" s="916" t="n"/>
      <c r="D119" s="919" t="n"/>
      <c r="E119" s="15" t="inlineStr">
        <is>
          <t>100335366</t>
        </is>
      </c>
      <c r="F119" s="15" t="n"/>
      <c r="G119" s="16" t="n"/>
      <c r="H119" s="17" t="n"/>
      <c r="I119" s="636" t="n"/>
      <c r="J119" s="17" t="n"/>
      <c r="K119" s="594" t="inlineStr">
        <is>
          <t>млн куб.м</t>
        </is>
      </c>
    </row>
    <row r="120" ht="20.25" customHeight="1" s="904">
      <c r="A120" s="726" t="n"/>
      <c r="B120" s="726" t="n"/>
      <c r="C120" s="1016" t="inlineStr">
        <is>
          <t>5.3</t>
        </is>
      </c>
      <c r="D120" s="1020" t="inlineStr">
        <is>
          <t xml:space="preserve"> ГАЗ СБРОСНОЙ, ВСЕГО:</t>
        </is>
      </c>
      <c r="E120" s="15" t="inlineStr">
        <is>
          <t>100331876</t>
        </is>
      </c>
      <c r="F120" s="15" t="n"/>
      <c r="G120" s="16" t="n"/>
      <c r="H120" s="17" t="inlineStr">
        <is>
          <t>100331878</t>
        </is>
      </c>
      <c r="I120" s="636" t="n"/>
      <c r="J120" s="17" t="n"/>
      <c r="K120" s="228" t="inlineStr">
        <is>
          <t>тыс.т.</t>
        </is>
      </c>
    </row>
    <row r="121" ht="20.25" customHeight="1" s="904">
      <c r="A121" s="726" t="n"/>
      <c r="B121" s="726" t="n"/>
      <c r="C121" s="916" t="n"/>
      <c r="D121" s="919" t="n"/>
      <c r="E121" s="15" t="inlineStr">
        <is>
          <t>100331877</t>
        </is>
      </c>
      <c r="F121" s="15" t="n"/>
      <c r="G121" s="16" t="n"/>
      <c r="H121" s="17" t="inlineStr">
        <is>
          <t>100331879</t>
        </is>
      </c>
      <c r="I121" s="636" t="n"/>
      <c r="J121" s="17" t="n"/>
      <c r="K121" s="594" t="inlineStr">
        <is>
          <t>млн куб.м</t>
        </is>
      </c>
    </row>
    <row r="122" ht="20.25" customHeight="1" s="904">
      <c r="A122" s="726" t="n"/>
      <c r="B122" s="726" t="n"/>
      <c r="C122" s="1016" t="n"/>
      <c r="D122" s="1019" t="inlineStr">
        <is>
          <t>СЗСК НА СТН ООО "Газпром переработка"</t>
        </is>
      </c>
      <c r="E122" s="15" t="inlineStr">
        <is>
          <t>100331878</t>
        </is>
      </c>
      <c r="F122" s="15" t="n"/>
      <c r="G122" s="16" t="n"/>
      <c r="H122" s="17" t="n"/>
      <c r="I122" s="636" t="n"/>
      <c r="J122" s="17" t="n"/>
      <c r="K122" s="228" t="inlineStr">
        <is>
          <t>тыс.т.</t>
        </is>
      </c>
    </row>
    <row r="123" ht="20.25" customHeight="1" s="904">
      <c r="A123" s="726" t="n"/>
      <c r="B123" s="726" t="n"/>
      <c r="C123" s="916" t="n"/>
      <c r="D123" s="919" t="n"/>
      <c r="E123" s="15" t="inlineStr">
        <is>
          <t>100331879</t>
        </is>
      </c>
      <c r="F123" s="15" t="n"/>
      <c r="G123" s="16" t="n"/>
      <c r="H123" s="17" t="n"/>
      <c r="I123" s="636" t="n"/>
      <c r="J123" s="17" t="n"/>
      <c r="K123" s="594" t="inlineStr">
        <is>
          <t>млн куб.м</t>
        </is>
      </c>
    </row>
    <row r="124" ht="20.25" customHeight="1" s="904">
      <c r="A124" s="726" t="n"/>
      <c r="B124" s="726" t="n"/>
      <c r="C124" s="1021" t="n"/>
      <c r="D124" s="727" t="inlineStr">
        <is>
          <t>Справочно:</t>
        </is>
      </c>
      <c r="E124" s="15" t="n"/>
      <c r="F124" s="15" t="n"/>
      <c r="G124" s="16" t="n"/>
      <c r="H124" s="17" t="n"/>
      <c r="I124" s="636" t="n"/>
      <c r="J124" s="17" t="n"/>
      <c r="K124" s="228" t="n"/>
    </row>
    <row r="125" ht="20.25" customHeight="1" s="904">
      <c r="A125" s="726" t="n"/>
      <c r="B125" s="726" t="n"/>
      <c r="C125" s="237" t="n"/>
      <c r="D125" s="1023" t="inlineStr">
        <is>
          <t>СЗСК валовая выработка</t>
        </is>
      </c>
      <c r="E125" s="15" t="inlineStr">
        <is>
          <t>100331882</t>
        </is>
      </c>
      <c r="F125" s="15" t="n"/>
      <c r="G125" s="16" t="n"/>
      <c r="H125" s="17" t="n"/>
      <c r="I125" s="636" t="n"/>
      <c r="J125" s="17" t="n"/>
      <c r="K125" s="228" t="inlineStr">
        <is>
          <t>тыс.т.</t>
        </is>
      </c>
    </row>
    <row r="126" ht="20.25" customHeight="1" s="904">
      <c r="A126" s="726" t="n"/>
      <c r="B126" s="726" t="n"/>
      <c r="C126" s="237" t="n"/>
      <c r="D126" s="919" t="n"/>
      <c r="E126" s="15" t="inlineStr">
        <is>
          <t>100331883</t>
        </is>
      </c>
      <c r="F126" s="15" t="n"/>
      <c r="G126" s="16" t="n"/>
      <c r="H126" s="17" t="n"/>
      <c r="I126" s="636" t="n"/>
      <c r="J126" s="17" t="n"/>
      <c r="K126" s="594" t="inlineStr">
        <is>
          <t>млн куб.м</t>
        </is>
      </c>
    </row>
    <row r="127" ht="20.25" customHeight="1" s="904">
      <c r="A127" s="726" t="n"/>
      <c r="B127" s="726" t="n"/>
      <c r="C127" s="1021" t="n"/>
      <c r="D127" s="1023" t="inlineStr">
        <is>
          <t>СЗСК на переработку</t>
        </is>
      </c>
      <c r="E127" s="15" t="inlineStr">
        <is>
          <t>100331884</t>
        </is>
      </c>
      <c r="F127" s="15" t="n"/>
      <c r="G127" s="16" t="n"/>
      <c r="H127" s="17" t="n"/>
      <c r="I127" s="636" t="n"/>
      <c r="J127" s="17" t="n"/>
      <c r="K127" s="228" t="inlineStr">
        <is>
          <t>тыс.т.</t>
        </is>
      </c>
    </row>
    <row r="128" ht="20.25" customHeight="1" s="904">
      <c r="A128" s="726" t="n"/>
      <c r="B128" s="726" t="n"/>
      <c r="C128" s="1021" t="n"/>
      <c r="D128" s="919" t="n"/>
      <c r="E128" s="15" t="inlineStr">
        <is>
          <t>100331885</t>
        </is>
      </c>
      <c r="F128" s="15" t="n"/>
      <c r="G128" s="16" t="n"/>
      <c r="H128" s="17" t="n"/>
      <c r="I128" s="636" t="n"/>
      <c r="J128" s="17" t="n"/>
      <c r="K128" s="594" t="inlineStr">
        <is>
          <t>млн куб.м</t>
        </is>
      </c>
    </row>
    <row r="129" ht="20.25" customHeight="1" s="904">
      <c r="A129" s="726" t="n"/>
      <c r="B129" s="726" t="n"/>
      <c r="C129" s="1016" t="inlineStr">
        <is>
          <t>5.4</t>
        </is>
      </c>
      <c r="D129" s="118" t="inlineStr">
        <is>
          <t>ШФЛУ ТОВАРНАЯ, ВСЕГО:</t>
        </is>
      </c>
      <c r="E129" s="15" t="inlineStr">
        <is>
          <t>100331886</t>
        </is>
      </c>
      <c r="F129" s="15" t="n"/>
      <c r="G129" s="16" t="n"/>
      <c r="H129" s="17" t="inlineStr">
        <is>
          <t>100331888+100331889</t>
        </is>
      </c>
      <c r="I129" s="636" t="n"/>
      <c r="J129" s="17" t="n"/>
      <c r="K129" s="228" t="inlineStr">
        <is>
          <t>тыс.т.</t>
        </is>
      </c>
    </row>
    <row r="130" ht="20.25" customHeight="1" s="904">
      <c r="A130" s="726" t="n"/>
      <c r="B130" s="726" t="n"/>
      <c r="C130" s="1021" t="n"/>
      <c r="D130" s="951" t="inlineStr">
        <is>
          <t>УЗПКТ</t>
        </is>
      </c>
      <c r="E130" s="15" t="inlineStr">
        <is>
          <t>100331888</t>
        </is>
      </c>
      <c r="F130" s="15" t="n"/>
      <c r="G130" s="16" t="n"/>
      <c r="H130" s="17" t="n"/>
      <c r="I130" s="636" t="n"/>
      <c r="J130" s="17" t="n"/>
      <c r="K130" s="228" t="inlineStr">
        <is>
          <t>тыс.т.</t>
        </is>
      </c>
    </row>
    <row r="131" ht="20.25" customHeight="1" s="904">
      <c r="A131" s="726" t="n"/>
      <c r="B131" s="726" t="n"/>
      <c r="C131" s="1021" t="n"/>
      <c r="D131" s="951" t="inlineStr">
        <is>
          <t>СЗСК</t>
        </is>
      </c>
      <c r="E131" s="15" t="inlineStr">
        <is>
          <t>100331889</t>
        </is>
      </c>
      <c r="F131" s="15" t="n"/>
      <c r="G131" s="16" t="n"/>
      <c r="H131" s="17" t="n"/>
      <c r="I131" s="636" t="n"/>
      <c r="J131" s="17" t="n"/>
      <c r="K131" s="228" t="inlineStr">
        <is>
          <t>тыс.т.</t>
        </is>
      </c>
    </row>
    <row r="132" ht="20.25" customHeight="1" s="904">
      <c r="A132" s="726" t="n"/>
      <c r="B132" s="726" t="n"/>
      <c r="C132" s="973" t="n"/>
      <c r="D132" s="119" t="inlineStr">
        <is>
          <t>Справочно:</t>
        </is>
      </c>
      <c r="E132" s="15" t="n"/>
      <c r="F132" s="15" t="n"/>
      <c r="G132" s="16" t="n"/>
      <c r="H132" s="17" t="n"/>
      <c r="I132" s="636" t="n"/>
      <c r="J132" s="17" t="n"/>
      <c r="K132" s="228" t="n"/>
    </row>
    <row r="133" ht="20.25" customHeight="1" s="904">
      <c r="A133" s="726" t="n"/>
      <c r="B133" s="726" t="n"/>
      <c r="C133" s="973" t="n"/>
      <c r="D133" s="120" t="inlineStr">
        <is>
          <t>ШФЛУ валовая, всего:</t>
        </is>
      </c>
      <c r="E133" s="15" t="inlineStr">
        <is>
          <t>100331892</t>
        </is>
      </c>
      <c r="F133" s="15" t="n"/>
      <c r="G133" s="16" t="n"/>
      <c r="H133" s="17" t="inlineStr">
        <is>
          <t>100331893+100331894</t>
        </is>
      </c>
      <c r="I133" s="636" t="n"/>
      <c r="J133" s="17" t="n"/>
      <c r="K133" s="228" t="inlineStr">
        <is>
          <t>тыс.т.</t>
        </is>
      </c>
    </row>
    <row r="134" ht="20.25" customHeight="1" s="904">
      <c r="A134" s="726" t="n"/>
      <c r="B134" s="726" t="n"/>
      <c r="C134" s="973" t="n"/>
      <c r="D134" s="108" t="inlineStr">
        <is>
          <t>УЗПКТ</t>
        </is>
      </c>
      <c r="E134" s="15" t="inlineStr">
        <is>
          <t>100331893</t>
        </is>
      </c>
      <c r="F134" s="15" t="n"/>
      <c r="G134" s="16" t="n"/>
      <c r="H134" s="17" t="n"/>
      <c r="I134" s="636" t="n"/>
      <c r="J134" s="17" t="n"/>
      <c r="K134" s="228" t="inlineStr">
        <is>
          <t>тыс.т.</t>
        </is>
      </c>
    </row>
    <row r="135" ht="20.25" customHeight="1" s="904">
      <c r="A135" s="726" t="n"/>
      <c r="B135" s="726" t="n"/>
      <c r="C135" s="973" t="n"/>
      <c r="D135" s="108" t="inlineStr">
        <is>
          <t>СЗСК</t>
        </is>
      </c>
      <c r="E135" s="15" t="inlineStr">
        <is>
          <t>100331894</t>
        </is>
      </c>
      <c r="F135" s="15" t="n"/>
      <c r="G135" s="16" t="n"/>
      <c r="H135" s="17" t="n"/>
      <c r="I135" s="636" t="n"/>
      <c r="J135" s="17" t="n"/>
      <c r="K135" s="228" t="inlineStr">
        <is>
          <t>тыс.т.</t>
        </is>
      </c>
    </row>
    <row r="136" ht="20.25" customHeight="1" s="904">
      <c r="A136" s="726" t="n"/>
      <c r="B136" s="726" t="n"/>
      <c r="C136" s="973" t="n"/>
      <c r="D136" s="120" t="inlineStr">
        <is>
          <t>ШФЛУ на переработку, всего:</t>
        </is>
      </c>
      <c r="E136" s="15" t="inlineStr">
        <is>
          <t>100331895</t>
        </is>
      </c>
      <c r="F136" s="15" t="n"/>
      <c r="G136" s="16" t="n"/>
      <c r="H136" s="17" t="inlineStr">
        <is>
          <t>100331896+100331897</t>
        </is>
      </c>
      <c r="I136" s="636" t="n"/>
      <c r="J136" s="17" t="n"/>
      <c r="K136" s="228" t="inlineStr">
        <is>
          <t>тыс.т.</t>
        </is>
      </c>
    </row>
    <row r="137" ht="20.25" customHeight="1" s="904">
      <c r="A137" s="726" t="n"/>
      <c r="B137" s="726" t="n"/>
      <c r="C137" s="973" t="n"/>
      <c r="D137" s="238" t="inlineStr">
        <is>
          <t xml:space="preserve"> УЗПКТ</t>
        </is>
      </c>
      <c r="E137" s="15" t="inlineStr">
        <is>
          <t>100331896</t>
        </is>
      </c>
      <c r="F137" s="15" t="n"/>
      <c r="G137" s="16" t="n"/>
      <c r="H137" s="17" t="n"/>
      <c r="I137" s="636" t="n"/>
      <c r="J137" s="17" t="n"/>
      <c r="K137" s="228" t="inlineStr">
        <is>
          <t>тыс.т.</t>
        </is>
      </c>
    </row>
    <row r="138" ht="20.25" customHeight="1" s="904">
      <c r="A138" s="726" t="n"/>
      <c r="B138" s="726" t="n"/>
      <c r="C138" s="973" t="n"/>
      <c r="D138" s="239" t="inlineStr">
        <is>
          <t>в т.ч. по договору переработки</t>
        </is>
      </c>
      <c r="E138" s="15" t="inlineStr">
        <is>
          <t>100335885</t>
        </is>
      </c>
      <c r="F138" s="15" t="n"/>
      <c r="G138" s="16" t="n"/>
      <c r="H138" s="17" t="n"/>
      <c r="I138" s="636" t="n"/>
      <c r="J138" s="17" t="n"/>
      <c r="K138" s="228" t="inlineStr">
        <is>
          <t>тыс.т.</t>
        </is>
      </c>
    </row>
    <row r="139" ht="20.25" customHeight="1" s="904">
      <c r="A139" s="726" t="n"/>
      <c r="B139" s="726" t="n"/>
      <c r="C139" s="973" t="n"/>
      <c r="D139" s="240" t="inlineStr">
        <is>
          <t>СЗСК</t>
        </is>
      </c>
      <c r="E139" s="15" t="inlineStr">
        <is>
          <t>100331897</t>
        </is>
      </c>
      <c r="F139" s="15" t="n"/>
      <c r="G139" s="16" t="n"/>
      <c r="H139" s="17" t="n"/>
      <c r="I139" s="636" t="n"/>
      <c r="J139" s="17" t="n"/>
      <c r="K139" s="228" t="inlineStr">
        <is>
          <t>тыс.т.</t>
        </is>
      </c>
    </row>
    <row r="140" ht="20.25" customHeight="1" s="904">
      <c r="A140" s="726" t="n"/>
      <c r="B140" s="726" t="n"/>
      <c r="C140" s="973" t="n"/>
      <c r="D140" s="239" t="inlineStr">
        <is>
          <t>в т.ч. по договору переработки</t>
        </is>
      </c>
      <c r="E140" s="15" t="inlineStr">
        <is>
          <t>100335886</t>
        </is>
      </c>
      <c r="F140" s="15" t="n"/>
      <c r="G140" s="16" t="n"/>
      <c r="H140" s="17" t="n"/>
      <c r="I140" s="636" t="n"/>
      <c r="J140" s="17" t="n"/>
      <c r="K140" s="228" t="inlineStr">
        <is>
          <t>тыс.т.</t>
        </is>
      </c>
    </row>
    <row r="141" ht="20.25" customHeight="1" s="904">
      <c r="A141" s="726" t="n"/>
      <c r="B141" s="726" t="n"/>
      <c r="C141" s="1016" t="inlineStr">
        <is>
          <t>5.5</t>
        </is>
      </c>
      <c r="D141" s="241" t="inlineStr">
        <is>
          <t>ГАЗЫ УГЛЕВОДОРОДНЫЕ СЖИЖЕННЫЕ, ВСЕГО:</t>
        </is>
      </c>
      <c r="E141" s="15" t="inlineStr">
        <is>
          <t>100331898</t>
        </is>
      </c>
      <c r="F141" s="15" t="n"/>
      <c r="G141" s="16" t="n"/>
      <c r="H141" s="17" t="inlineStr">
        <is>
          <t>100331900+100331901</t>
        </is>
      </c>
      <c r="I141" s="636" t="n"/>
      <c r="J141" s="17" t="n"/>
      <c r="K141" s="228" t="inlineStr">
        <is>
          <t>тыс.т.</t>
        </is>
      </c>
    </row>
    <row r="142" ht="20.25" customHeight="1" s="904">
      <c r="A142" s="726" t="n"/>
      <c r="B142" s="726" t="n"/>
      <c r="C142" s="973" t="n"/>
      <c r="D142" s="242" t="inlineStr">
        <is>
          <t>в т.ч.  УЗПКТ</t>
        </is>
      </c>
      <c r="E142" s="15" t="inlineStr">
        <is>
          <t>100331900</t>
        </is>
      </c>
      <c r="F142" s="15" t="n"/>
      <c r="G142" s="16" t="n"/>
      <c r="H142" s="17" t="inlineStr">
        <is>
          <t>100332910+100335420</t>
        </is>
      </c>
      <c r="I142" s="636" t="n"/>
      <c r="J142" s="17" t="n"/>
      <c r="K142" s="228" t="inlineStr">
        <is>
          <t>тыс.т.</t>
        </is>
      </c>
    </row>
    <row r="143" ht="20.25" customHeight="1" s="904">
      <c r="A143" s="726" t="n"/>
      <c r="B143" s="726" t="n"/>
      <c r="C143" s="973" t="n"/>
      <c r="D143" s="243" t="inlineStr">
        <is>
          <t>фракция пропановая</t>
        </is>
      </c>
      <c r="E143" s="15" t="inlineStr">
        <is>
          <t>100332910</t>
        </is>
      </c>
      <c r="F143" s="15" t="n"/>
      <c r="G143" s="16" t="n"/>
      <c r="H143" s="17" t="n"/>
      <c r="I143" s="636" t="n"/>
      <c r="J143" s="17" t="n"/>
      <c r="K143" s="228" t="inlineStr">
        <is>
          <t>тыс.т.</t>
        </is>
      </c>
    </row>
    <row r="144" ht="20.25" customHeight="1" s="904">
      <c r="A144" s="726" t="n"/>
      <c r="B144" s="726" t="n"/>
      <c r="C144" s="973" t="n"/>
      <c r="D144" s="243" t="inlineStr">
        <is>
          <t>ПБТ/ПБА</t>
        </is>
      </c>
      <c r="E144" s="15" t="inlineStr">
        <is>
          <t>100335420</t>
        </is>
      </c>
      <c r="F144" s="15" t="n"/>
      <c r="G144" s="16" t="n"/>
      <c r="H144" s="17" t="n"/>
      <c r="I144" s="636" t="n"/>
      <c r="J144" s="17" t="n"/>
      <c r="K144" s="228" t="inlineStr">
        <is>
          <t>тыс.т.</t>
        </is>
      </c>
    </row>
    <row r="145" ht="20.25" customHeight="1" s="904">
      <c r="A145" s="726" t="n"/>
      <c r="B145" s="726" t="n"/>
      <c r="C145" s="973" t="n"/>
      <c r="D145" s="242" t="inlineStr">
        <is>
          <t>в т.ч. СЗСК</t>
        </is>
      </c>
      <c r="E145" s="15" t="inlineStr">
        <is>
          <t>100331901</t>
        </is>
      </c>
      <c r="F145" s="15" t="n"/>
      <c r="G145" s="16" t="n"/>
      <c r="H145" s="17" t="inlineStr">
        <is>
          <t>SUM(100332911:100332913)</t>
        </is>
      </c>
      <c r="I145" s="636" t="n"/>
      <c r="J145" s="17" t="n"/>
      <c r="K145" s="228" t="inlineStr">
        <is>
          <t>тыс.т.</t>
        </is>
      </c>
    </row>
    <row r="146" ht="20.25" customHeight="1" s="904">
      <c r="A146" s="726" t="n"/>
      <c r="B146" s="726" t="n"/>
      <c r="C146" s="973" t="n"/>
      <c r="D146" s="243" t="inlineStr">
        <is>
          <t>ПБА/ПБТ</t>
        </is>
      </c>
      <c r="E146" s="15" t="inlineStr">
        <is>
          <t>100332911</t>
        </is>
      </c>
      <c r="F146" s="15" t="n"/>
      <c r="G146" s="16" t="n"/>
      <c r="H146" s="17" t="n"/>
      <c r="I146" s="636" t="n"/>
      <c r="J146" s="17" t="n"/>
      <c r="K146" s="228" t="inlineStr">
        <is>
          <t>тыс.т.</t>
        </is>
      </c>
    </row>
    <row r="147" ht="20.25" customHeight="1" s="904">
      <c r="A147" s="726" t="n"/>
      <c r="B147" s="726" t="n"/>
      <c r="C147" s="973" t="n"/>
      <c r="D147" s="122" t="inlineStr">
        <is>
          <t>пропан</t>
        </is>
      </c>
      <c r="E147" s="15" t="inlineStr">
        <is>
          <t>100332912</t>
        </is>
      </c>
      <c r="F147" s="15" t="n"/>
      <c r="G147" s="16" t="n"/>
      <c r="H147" s="17" t="n"/>
      <c r="I147" s="636" t="n"/>
      <c r="J147" s="17" t="n"/>
      <c r="K147" s="228" t="inlineStr">
        <is>
          <t>тыс.т.</t>
        </is>
      </c>
    </row>
    <row r="148" ht="20.25" customHeight="1" s="904">
      <c r="A148" s="726" t="n"/>
      <c r="B148" s="726" t="n"/>
      <c r="C148" s="973" t="n"/>
      <c r="D148" s="122" t="inlineStr">
        <is>
          <t>бутан</t>
        </is>
      </c>
      <c r="E148" s="15" t="inlineStr">
        <is>
          <t>100332913</t>
        </is>
      </c>
      <c r="F148" s="15" t="n"/>
      <c r="G148" s="16" t="n"/>
      <c r="H148" s="17" t="n"/>
      <c r="I148" s="636" t="n"/>
      <c r="J148" s="17" t="n"/>
      <c r="K148" s="228" t="inlineStr">
        <is>
          <t>тыс.т.</t>
        </is>
      </c>
    </row>
    <row r="149" ht="20.25" customHeight="1" s="904">
      <c r="A149" s="726" t="n"/>
      <c r="B149" s="726" t="n"/>
      <c r="C149" s="1016" t="inlineStr">
        <is>
          <t>5.6</t>
        </is>
      </c>
      <c r="D149" s="118" t="inlineStr">
        <is>
          <t>УГЛЕВОДОРОДНАЯ ФРАКЦИЯ СЗСК</t>
        </is>
      </c>
      <c r="E149" s="15" t="inlineStr">
        <is>
          <t>100331904</t>
        </is>
      </c>
      <c r="F149" s="15" t="n"/>
      <c r="G149" s="16" t="n"/>
      <c r="H149" s="17" t="n"/>
      <c r="I149" s="636" t="n"/>
      <c r="J149" s="17" t="n"/>
      <c r="K149" s="228" t="inlineStr">
        <is>
          <t>тыс.т.</t>
        </is>
      </c>
    </row>
    <row r="150" ht="20.25" customHeight="1" s="904">
      <c r="A150" s="726" t="n"/>
      <c r="B150" s="726" t="n"/>
      <c r="C150" s="1016" t="inlineStr">
        <is>
          <t>5.7</t>
        </is>
      </c>
      <c r="D150" s="118" t="inlineStr">
        <is>
          <t>АВТОМОБИЛЬНЫЕ БЕНЗИНЫ СЗСК, ВСЕГО:</t>
        </is>
      </c>
      <c r="E150" s="15" t="inlineStr">
        <is>
          <t>100331905</t>
        </is>
      </c>
      <c r="F150" s="15" t="n"/>
      <c r="G150" s="16" t="n"/>
      <c r="H150" s="17" t="inlineStr">
        <is>
          <t>100331906+100331907</t>
        </is>
      </c>
      <c r="I150" s="636" t="n"/>
      <c r="J150" s="17" t="n"/>
      <c r="K150" s="228" t="inlineStr">
        <is>
          <t>тыс.т.</t>
        </is>
      </c>
    </row>
    <row r="151" ht="20.25" customHeight="1" s="904">
      <c r="A151" s="726" t="n"/>
      <c r="B151" s="726" t="n"/>
      <c r="C151" s="1016" t="n"/>
      <c r="D151" s="951" t="inlineStr">
        <is>
          <t>ОЧ-92</t>
        </is>
      </c>
      <c r="E151" s="15" t="inlineStr">
        <is>
          <t>100331906</t>
        </is>
      </c>
      <c r="F151" s="15" t="n"/>
      <c r="G151" s="16" t="n"/>
      <c r="H151" s="17" t="n"/>
      <c r="I151" s="636" t="n"/>
      <c r="J151" s="17" t="n"/>
      <c r="K151" s="228" t="inlineStr">
        <is>
          <t>тыс.т.</t>
        </is>
      </c>
    </row>
    <row r="152" ht="20.25" customHeight="1" s="904">
      <c r="A152" s="726" t="n"/>
      <c r="B152" s="726" t="n"/>
      <c r="C152" s="973" t="n"/>
      <c r="D152" s="951" t="inlineStr">
        <is>
          <t>ОЧ-95</t>
        </is>
      </c>
      <c r="E152" s="15" t="inlineStr">
        <is>
          <t>100331907</t>
        </is>
      </c>
      <c r="F152" s="15" t="n"/>
      <c r="G152" s="16" t="n"/>
      <c r="H152" s="17" t="n"/>
      <c r="I152" s="636" t="n"/>
      <c r="J152" s="17" t="n"/>
      <c r="K152" s="228" t="inlineStr">
        <is>
          <t>тыс.т.</t>
        </is>
      </c>
    </row>
    <row r="153" ht="39.75" customHeight="1" s="904">
      <c r="A153" s="726" t="n"/>
      <c r="B153" s="726" t="n"/>
      <c r="C153" s="1016" t="inlineStr">
        <is>
          <t>5.8</t>
        </is>
      </c>
      <c r="D153" s="948" t="inlineStr">
        <is>
          <t>ТОПЛИВО ДЛЯ РЕАКТИВНЫХ ДВИГАТЕЛЕЙ, ВСЕГО:</t>
        </is>
      </c>
      <c r="E153" s="15" t="inlineStr">
        <is>
          <t>100331908</t>
        </is>
      </c>
      <c r="F153" s="15" t="n"/>
      <c r="G153" s="16" t="n"/>
      <c r="H153" s="17" t="inlineStr">
        <is>
          <t>100331909+100331910</t>
        </is>
      </c>
      <c r="I153" s="636" t="n"/>
      <c r="J153" s="17" t="n"/>
      <c r="K153" s="228" t="inlineStr">
        <is>
          <t>тыс.т.</t>
        </is>
      </c>
    </row>
    <row r="154" ht="20.25" customHeight="1" s="904">
      <c r="A154" s="726" t="n"/>
      <c r="B154" s="726" t="n"/>
      <c r="C154" s="973" t="n"/>
      <c r="D154" s="951" t="inlineStr">
        <is>
          <t>в т.ч.  УЗПКТ</t>
        </is>
      </c>
      <c r="E154" s="15" t="n">
        <v>100331909</v>
      </c>
      <c r="F154" s="15" t="n"/>
      <c r="G154" s="16" t="n"/>
      <c r="H154" s="17" t="n"/>
      <c r="I154" s="636" t="n"/>
      <c r="J154" s="17" t="n"/>
      <c r="K154" s="228" t="inlineStr">
        <is>
          <t>тыс.т.</t>
        </is>
      </c>
    </row>
    <row r="155" ht="20.25" customHeight="1" s="904">
      <c r="A155" s="726" t="n"/>
      <c r="B155" s="726" t="n"/>
      <c r="C155" s="973" t="n"/>
      <c r="D155" s="951" t="inlineStr">
        <is>
          <t>в т.ч. СЗСК</t>
        </is>
      </c>
      <c r="E155" s="15" t="inlineStr">
        <is>
          <t>100331910</t>
        </is>
      </c>
      <c r="F155" s="15" t="n"/>
      <c r="G155" s="16" t="n"/>
      <c r="H155" s="17" t="n"/>
      <c r="I155" s="636" t="n"/>
      <c r="J155" s="17" t="n"/>
      <c r="K155" s="228" t="inlineStr">
        <is>
          <t>тыс.т.</t>
        </is>
      </c>
    </row>
    <row r="156" ht="20.25" customHeight="1" s="904">
      <c r="A156" s="726" t="n"/>
      <c r="B156" s="726" t="n"/>
      <c r="C156" s="1016" t="inlineStr">
        <is>
          <t>5.9</t>
        </is>
      </c>
      <c r="D156" s="118" t="inlineStr">
        <is>
          <t>ДИЗЕЛЬНОЕ ТОПЛИВО, ВСЕГО:</t>
        </is>
      </c>
      <c r="E156" s="15" t="inlineStr">
        <is>
          <t>100331911</t>
        </is>
      </c>
      <c r="F156" s="15" t="n"/>
      <c r="G156" s="16" t="n"/>
      <c r="H156" s="17" t="inlineStr">
        <is>
          <t>100331912+100331913</t>
        </is>
      </c>
      <c r="I156" s="636" t="n"/>
      <c r="J156" s="17" t="n"/>
      <c r="K156" s="228" t="inlineStr">
        <is>
          <t>тыс.т.</t>
        </is>
      </c>
    </row>
    <row r="157" ht="20.25" customHeight="1" s="904">
      <c r="A157" s="726" t="n"/>
      <c r="B157" s="726" t="n"/>
      <c r="C157" s="973" t="n"/>
      <c r="D157" s="951" t="inlineStr">
        <is>
          <t>в т.ч.  УЗПКТ</t>
        </is>
      </c>
      <c r="E157" s="15" t="n">
        <v>100331912</v>
      </c>
      <c r="F157" s="15" t="n"/>
      <c r="G157" s="16" t="n"/>
      <c r="H157" s="17" t="n"/>
      <c r="I157" s="636" t="n"/>
      <c r="J157" s="17" t="n"/>
      <c r="K157" s="228" t="inlineStr">
        <is>
          <t>тыс.т.</t>
        </is>
      </c>
    </row>
    <row r="158" ht="20.25" customHeight="1" s="904">
      <c r="A158" s="726" t="n"/>
      <c r="B158" s="726" t="n"/>
      <c r="C158" s="973" t="n"/>
      <c r="D158" s="951" t="inlineStr">
        <is>
          <t>в т.ч. СЗСК</t>
        </is>
      </c>
      <c r="E158" s="15" t="inlineStr">
        <is>
          <t>100331913</t>
        </is>
      </c>
      <c r="F158" s="15" t="n"/>
      <c r="G158" s="16" t="n"/>
      <c r="H158" s="17" t="n"/>
      <c r="I158" s="636" t="n"/>
      <c r="J158" s="17" t="n"/>
      <c r="K158" s="228" t="inlineStr">
        <is>
          <t>тыс.т.</t>
        </is>
      </c>
    </row>
    <row r="159" ht="38.25" customHeight="1" s="904">
      <c r="A159" s="726" t="n"/>
      <c r="B159" s="726" t="n"/>
      <c r="C159" s="1016" t="inlineStr">
        <is>
          <t>5.10</t>
        </is>
      </c>
      <c r="D159" s="118" t="inlineStr">
        <is>
          <t xml:space="preserve">ДИСТИЛЛЯТ ГАЗОВОГО КОНДЕНСАТА ЛЕГКИЙ, ВСЕГО: </t>
        </is>
      </c>
      <c r="E159" s="15" t="inlineStr">
        <is>
          <t>100331914</t>
        </is>
      </c>
      <c r="F159" s="15" t="n"/>
      <c r="G159" s="16" t="n"/>
      <c r="H159" s="17" t="inlineStr">
        <is>
          <t>100331916+100331917</t>
        </is>
      </c>
      <c r="I159" s="636" t="n"/>
      <c r="J159" s="17" t="n"/>
      <c r="K159" s="228" t="inlineStr">
        <is>
          <t>тыс.т.</t>
        </is>
      </c>
    </row>
    <row r="160" ht="20.25" customHeight="1" s="904">
      <c r="A160" s="726" t="n"/>
      <c r="B160" s="726" t="n"/>
      <c r="C160" s="973" t="n"/>
      <c r="D160" s="951" t="inlineStr">
        <is>
          <t>в т.ч.  УЗПКТ</t>
        </is>
      </c>
      <c r="E160" s="15" t="n">
        <v>100331916</v>
      </c>
      <c r="F160" s="15" t="n"/>
      <c r="G160" s="16" t="n"/>
      <c r="H160" s="17" t="n"/>
      <c r="I160" s="636" t="n"/>
      <c r="J160" s="17" t="n"/>
      <c r="K160" s="228" t="inlineStr">
        <is>
          <t>тыс.т.</t>
        </is>
      </c>
    </row>
    <row r="161" ht="20.25" customHeight="1" s="904">
      <c r="A161" s="726" t="n"/>
      <c r="B161" s="726" t="n"/>
      <c r="C161" s="973" t="n"/>
      <c r="D161" s="236" t="inlineStr">
        <is>
          <t xml:space="preserve">   в т.ч. с УПГД</t>
        </is>
      </c>
      <c r="E161" s="15" t="n">
        <v>100335043</v>
      </c>
      <c r="F161" s="15" t="n"/>
      <c r="G161" s="16" t="n"/>
      <c r="H161" s="17" t="n"/>
      <c r="I161" s="636" t="n"/>
      <c r="J161" s="17" t="n"/>
      <c r="K161" s="228" t="inlineStr">
        <is>
          <t>тыс.т.</t>
        </is>
      </c>
    </row>
    <row r="162" ht="20.25" customHeight="1" s="904">
      <c r="A162" s="726" t="n"/>
      <c r="B162" s="726" t="n"/>
      <c r="C162" s="973" t="n"/>
      <c r="D162" s="951" t="inlineStr">
        <is>
          <t>в т.ч. СЗСК</t>
        </is>
      </c>
      <c r="E162" s="15" t="inlineStr">
        <is>
          <t>100331917</t>
        </is>
      </c>
      <c r="F162" s="15" t="n"/>
      <c r="G162" s="16" t="n"/>
      <c r="H162" s="17" t="n"/>
      <c r="I162" s="636" t="n"/>
      <c r="J162" s="17" t="n"/>
      <c r="K162" s="228" t="inlineStr">
        <is>
          <t>тыс.т.</t>
        </is>
      </c>
    </row>
    <row r="163" ht="20.25" customHeight="1" s="904">
      <c r="A163" s="726" t="n"/>
      <c r="B163" s="726" t="n"/>
      <c r="C163" s="1016" t="inlineStr">
        <is>
          <t>5.11</t>
        </is>
      </c>
      <c r="D163" s="118" t="inlineStr">
        <is>
          <t>СТАБИЛЬНЫЙ КОНДЕНСАТ ТОВАРНЫЙ, ВСЕГО:</t>
        </is>
      </c>
      <c r="E163" s="15" t="inlineStr">
        <is>
          <t>100331920</t>
        </is>
      </c>
      <c r="F163" s="15" t="n"/>
      <c r="G163" s="16" t="n"/>
      <c r="H163" s="17" t="inlineStr">
        <is>
          <t>100331921+100331922</t>
        </is>
      </c>
      <c r="I163" s="636" t="n"/>
      <c r="J163" s="17" t="n"/>
      <c r="K163" s="228" t="inlineStr">
        <is>
          <t>тыс.т.</t>
        </is>
      </c>
    </row>
    <row r="164" ht="20.25" customHeight="1" s="904">
      <c r="A164" s="726" t="n"/>
      <c r="B164" s="726" t="n"/>
      <c r="C164" s="973" t="n"/>
      <c r="D164" s="951" t="inlineStr">
        <is>
          <t>в т.ч.  УЗПКТ</t>
        </is>
      </c>
      <c r="E164" s="15" t="n">
        <v>100331921</v>
      </c>
      <c r="F164" s="15" t="n"/>
      <c r="G164" s="16" t="n"/>
      <c r="H164" s="17" t="n"/>
      <c r="I164" s="636" t="n"/>
      <c r="J164" s="17" t="n"/>
      <c r="K164" s="228" t="inlineStr">
        <is>
          <t>тыс.т.</t>
        </is>
      </c>
    </row>
    <row r="165" ht="20.25" customHeight="1" s="904">
      <c r="A165" s="726" t="n"/>
      <c r="B165" s="726" t="n"/>
      <c r="C165" s="973" t="n"/>
      <c r="D165" s="951" t="inlineStr">
        <is>
          <t>в т.ч. СЗСК</t>
        </is>
      </c>
      <c r="E165" s="15" t="inlineStr">
        <is>
          <t>100331922</t>
        </is>
      </c>
      <c r="F165" s="15" t="n"/>
      <c r="G165" s="16" t="n"/>
      <c r="H165" s="17" t="n"/>
      <c r="I165" s="636" t="n"/>
      <c r="J165" s="17" t="n"/>
      <c r="K165" s="228" t="inlineStr">
        <is>
          <t>тыс.т.</t>
        </is>
      </c>
    </row>
    <row r="166" ht="39.75" customHeight="1" s="904">
      <c r="A166" s="726" t="n"/>
      <c r="B166" s="726" t="n"/>
      <c r="C166" s="1016" t="inlineStr">
        <is>
          <t>5.12</t>
        </is>
      </c>
      <c r="D166" s="651" t="inlineStr">
        <is>
          <t xml:space="preserve">  СТАБИЛЬНЫЙ КОНДЕНСАТ ТОВАРНЫЙ (НЕФТЬ), ВСЕГО: </t>
        </is>
      </c>
      <c r="E166" s="15" t="inlineStr">
        <is>
          <t>100331923</t>
        </is>
      </c>
      <c r="F166" s="15" t="n"/>
      <c r="G166" s="16" t="n"/>
      <c r="H166" s="17" t="inlineStr">
        <is>
          <t>100331924+100331925</t>
        </is>
      </c>
      <c r="I166" s="636" t="n"/>
      <c r="J166" s="17" t="n"/>
      <c r="K166" s="228" t="inlineStr">
        <is>
          <t>тыс.т.</t>
        </is>
      </c>
    </row>
    <row r="167" ht="20.25" customHeight="1" s="904">
      <c r="A167" s="726" t="n"/>
      <c r="B167" s="726" t="n"/>
      <c r="C167" s="973" t="n"/>
      <c r="D167" s="951" t="inlineStr">
        <is>
          <t>в т.ч.  УЗПКТ</t>
        </is>
      </c>
      <c r="E167" s="15" t="inlineStr">
        <is>
          <t>100331924</t>
        </is>
      </c>
      <c r="F167" s="15" t="n"/>
      <c r="G167" s="16" t="n"/>
      <c r="H167" s="17" t="inlineStr">
        <is>
          <t>100335091+100335092</t>
        </is>
      </c>
      <c r="I167" s="636" t="n"/>
      <c r="J167" s="17" t="n"/>
      <c r="K167" s="228" t="inlineStr">
        <is>
          <t>тыс.т.</t>
        </is>
      </c>
    </row>
    <row r="168" ht="20.25" customHeight="1" s="904">
      <c r="A168" s="726" t="n"/>
      <c r="B168" s="726" t="n"/>
      <c r="C168" s="973" t="n"/>
      <c r="D168" s="122" t="inlineStr">
        <is>
          <t>в т.ч. с УСК-2</t>
        </is>
      </c>
      <c r="E168" s="15" t="n">
        <v>100335091</v>
      </c>
      <c r="F168" s="15" t="n"/>
      <c r="G168" s="16" t="n"/>
      <c r="H168" s="17" t="n"/>
      <c r="I168" s="636" t="n"/>
      <c r="J168" s="17" t="n"/>
      <c r="K168" s="228" t="inlineStr">
        <is>
          <t>тыс.т.</t>
        </is>
      </c>
    </row>
    <row r="169" ht="20.25" customHeight="1" s="904">
      <c r="A169" s="726" t="n"/>
      <c r="B169" s="726" t="n"/>
      <c r="C169" s="973" t="n"/>
      <c r="D169" s="122" t="inlineStr">
        <is>
          <t>в т.ч нефть на НПС</t>
        </is>
      </c>
      <c r="E169" s="15" t="inlineStr">
        <is>
          <t>100335092</t>
        </is>
      </c>
      <c r="F169" s="15" t="n"/>
      <c r="G169" s="16" t="n"/>
      <c r="H169" s="17" t="n"/>
      <c r="I169" s="636" t="n"/>
      <c r="J169" s="17" t="n"/>
      <c r="K169" s="228" t="inlineStr">
        <is>
          <t>тыс.т.</t>
        </is>
      </c>
    </row>
    <row r="170" ht="20.25" customHeight="1" s="904">
      <c r="A170" s="726" t="n"/>
      <c r="B170" s="726" t="n"/>
      <c r="C170" s="973" t="n"/>
      <c r="D170" s="951" t="inlineStr">
        <is>
          <t>в т.ч. СЗСК</t>
        </is>
      </c>
      <c r="E170" s="15" t="inlineStr">
        <is>
          <t>100331925</t>
        </is>
      </c>
      <c r="F170" s="15" t="n"/>
      <c r="G170" s="16" t="n"/>
      <c r="H170" s="17" t="n"/>
      <c r="I170" s="636" t="n"/>
      <c r="J170" s="17" t="n"/>
      <c r="K170" s="228" t="inlineStr">
        <is>
          <t>тыс.т.</t>
        </is>
      </c>
    </row>
    <row r="171" ht="20.25" customHeight="1" s="904">
      <c r="A171" s="726" t="n"/>
      <c r="B171" s="726" t="n"/>
      <c r="C171" s="973" t="n"/>
      <c r="D171" s="727" t="inlineStr">
        <is>
          <t>Справочно:</t>
        </is>
      </c>
      <c r="E171" s="15" t="n"/>
      <c r="F171" s="15" t="n"/>
      <c r="G171" s="16" t="n"/>
      <c r="H171" s="17" t="n"/>
      <c r="I171" s="636" t="n"/>
      <c r="J171" s="17" t="n"/>
      <c r="K171" s="228" t="inlineStr">
        <is>
          <t>тыс.т.</t>
        </is>
      </c>
    </row>
    <row r="172" ht="20.25" customHeight="1" s="904">
      <c r="A172" s="726" t="n"/>
      <c r="B172" s="726" t="n"/>
      <c r="C172" s="973" t="n"/>
      <c r="D172" s="120" t="inlineStr">
        <is>
          <t>Стабильный конденсат валовый, всего:</t>
        </is>
      </c>
      <c r="E172" s="15" t="inlineStr">
        <is>
          <t>100331926</t>
        </is>
      </c>
      <c r="F172" s="15" t="n"/>
      <c r="G172" s="16" t="n"/>
      <c r="H172" s="17" t="inlineStr">
        <is>
          <t>100335099+100331929</t>
        </is>
      </c>
      <c r="I172" s="636" t="n"/>
      <c r="J172" s="17" t="n"/>
      <c r="K172" s="228" t="inlineStr">
        <is>
          <t>тыс.т.</t>
        </is>
      </c>
    </row>
    <row r="173" ht="20.25" customHeight="1" s="904">
      <c r="A173" s="726" t="n"/>
      <c r="B173" s="726" t="n"/>
      <c r="C173" s="973" t="n"/>
      <c r="D173" s="944" t="inlineStr">
        <is>
          <t>в т.ч.  УЗПКТ</t>
        </is>
      </c>
      <c r="E173" s="15" t="inlineStr">
        <is>
          <t>100335099</t>
        </is>
      </c>
      <c r="F173" s="15" t="n"/>
      <c r="G173" s="16" t="n"/>
      <c r="H173" s="17" t="inlineStr">
        <is>
          <t>100331927+100331928+100335100</t>
        </is>
      </c>
      <c r="I173" s="636" t="n"/>
      <c r="J173" s="17" t="n"/>
      <c r="K173" s="228" t="inlineStr">
        <is>
          <t>тыс.т.</t>
        </is>
      </c>
    </row>
    <row r="174" ht="20.25" customHeight="1" s="904">
      <c r="A174" s="726" t="n"/>
      <c r="B174" s="726" t="n"/>
      <c r="C174" s="973" t="n"/>
      <c r="D174" s="244" t="inlineStr">
        <is>
          <t>в т.ч.  УЗПКТ (с УДК/УСК)</t>
        </is>
      </c>
      <c r="E174" s="15" t="inlineStr">
        <is>
          <t>100331927</t>
        </is>
      </c>
      <c r="F174" s="15" t="n"/>
      <c r="G174" s="16" t="n"/>
      <c r="H174" s="17" t="n"/>
      <c r="I174" s="636" t="n"/>
      <c r="J174" s="17" t="n"/>
      <c r="K174" s="228" t="inlineStr">
        <is>
          <t>тыс.т.</t>
        </is>
      </c>
    </row>
    <row r="175" ht="20.25" customHeight="1" s="904">
      <c r="A175" s="726" t="n"/>
      <c r="B175" s="726" t="n"/>
      <c r="C175" s="973" t="n"/>
      <c r="D175" s="244" t="inlineStr">
        <is>
          <t>в т.ч.  УЗПКТ (с УСК-2)</t>
        </is>
      </c>
      <c r="E175" s="15" t="inlineStr">
        <is>
          <t>100331928</t>
        </is>
      </c>
      <c r="F175" s="15" t="n"/>
      <c r="G175" s="16" t="n"/>
      <c r="H175" s="17" t="n"/>
      <c r="I175" s="636" t="n"/>
      <c r="J175" s="17" t="n"/>
      <c r="K175" s="228" t="inlineStr">
        <is>
          <t>тыс.т.</t>
        </is>
      </c>
    </row>
    <row r="176" ht="20.25" customHeight="1" s="904">
      <c r="A176" s="726" t="n"/>
      <c r="B176" s="726" t="n"/>
      <c r="C176" s="973" t="n"/>
      <c r="D176" s="244" t="inlineStr">
        <is>
          <t>в т.ч нефть на НПС</t>
        </is>
      </c>
      <c r="E176" s="15" t="inlineStr">
        <is>
          <t>100335100</t>
        </is>
      </c>
      <c r="F176" s="15" t="n"/>
      <c r="G176" s="16" t="n"/>
      <c r="H176" s="17" t="n"/>
      <c r="I176" s="636" t="n"/>
      <c r="J176" s="17" t="n"/>
      <c r="K176" s="228" t="inlineStr">
        <is>
          <t>тыс.т.</t>
        </is>
      </c>
    </row>
    <row r="177" ht="20.25" customHeight="1" s="904">
      <c r="A177" s="726" t="n"/>
      <c r="B177" s="726" t="n"/>
      <c r="C177" s="973" t="n"/>
      <c r="D177" s="944" t="inlineStr">
        <is>
          <t>в т.ч. СЗСК</t>
        </is>
      </c>
      <c r="E177" s="15" t="inlineStr">
        <is>
          <t>100331929</t>
        </is>
      </c>
      <c r="F177" s="15" t="n"/>
      <c r="G177" s="16" t="n"/>
      <c r="H177" s="17" t="n"/>
      <c r="I177" s="636" t="n"/>
      <c r="J177" s="17" t="n"/>
      <c r="K177" s="228" t="inlineStr">
        <is>
          <t>тыс.т.</t>
        </is>
      </c>
    </row>
    <row r="178" ht="20.25" customHeight="1" s="904">
      <c r="A178" s="726" t="n"/>
      <c r="B178" s="726" t="n"/>
      <c r="C178" s="973" t="n"/>
      <c r="D178" s="120" t="inlineStr">
        <is>
          <t>Стабильный конденсат на первичную переработку, всего:</t>
        </is>
      </c>
      <c r="E178" s="15" t="inlineStr">
        <is>
          <t>100331930</t>
        </is>
      </c>
      <c r="F178" s="15" t="n"/>
      <c r="G178" s="16" t="n"/>
      <c r="H178" s="17" t="inlineStr">
        <is>
          <t>100331931+100331932</t>
        </is>
      </c>
      <c r="I178" s="636" t="n"/>
      <c r="J178" s="17" t="n"/>
      <c r="K178" s="228" t="inlineStr">
        <is>
          <t>тыс.т.</t>
        </is>
      </c>
    </row>
    <row r="179" ht="20.25" customHeight="1" s="904">
      <c r="A179" s="726" t="n"/>
      <c r="B179" s="726" t="n"/>
      <c r="C179" s="973" t="n"/>
      <c r="D179" s="944" t="inlineStr">
        <is>
          <t>в т.ч.  УЗПКТ</t>
        </is>
      </c>
      <c r="E179" s="15" t="inlineStr">
        <is>
          <t>100331931</t>
        </is>
      </c>
      <c r="F179" s="15" t="n"/>
      <c r="G179" s="16" t="n"/>
      <c r="H179" s="17" t="n"/>
      <c r="I179" s="636" t="n"/>
      <c r="J179" s="17" t="n"/>
      <c r="K179" s="228" t="inlineStr">
        <is>
          <t>тыс.т.</t>
        </is>
      </c>
    </row>
    <row r="180" ht="20.25" customHeight="1" s="904">
      <c r="A180" s="726" t="n"/>
      <c r="B180" s="726" t="n"/>
      <c r="C180" s="973" t="n"/>
      <c r="D180" s="944" t="inlineStr">
        <is>
          <t>в т.ч. СЗСК</t>
        </is>
      </c>
      <c r="E180" s="15" t="inlineStr">
        <is>
          <t>100331932</t>
        </is>
      </c>
      <c r="F180" s="15" t="n"/>
      <c r="G180" s="16" t="n"/>
      <c r="H180" s="17" t="n"/>
      <c r="I180" s="636" t="n"/>
      <c r="J180" s="17" t="n"/>
      <c r="K180" s="228" t="inlineStr">
        <is>
          <t>тыс.т.</t>
        </is>
      </c>
    </row>
    <row r="181" ht="20.25" customHeight="1" s="904">
      <c r="A181" s="726" t="n"/>
      <c r="B181" s="726" t="n"/>
      <c r="C181" s="973" t="n"/>
      <c r="D181" s="1022" t="inlineStr">
        <is>
          <t>Стабильный конденсат на переработку, всего:</t>
        </is>
      </c>
      <c r="E181" s="15" t="inlineStr">
        <is>
          <t>100331933</t>
        </is>
      </c>
      <c r="F181" s="15" t="n"/>
      <c r="G181" s="16" t="n"/>
      <c r="H181" s="17" t="inlineStr">
        <is>
          <t>100331934+100331935</t>
        </is>
      </c>
      <c r="I181" s="636" t="n"/>
      <c r="J181" s="17" t="n"/>
      <c r="K181" s="228" t="inlineStr">
        <is>
          <t>тыс.т.</t>
        </is>
      </c>
    </row>
    <row r="182" ht="20.25" customHeight="1" s="904">
      <c r="A182" s="726" t="n"/>
      <c r="B182" s="726" t="n"/>
      <c r="C182" s="973" t="n"/>
      <c r="D182" s="944" t="inlineStr">
        <is>
          <t>в т.ч.  УЗПКТ</t>
        </is>
      </c>
      <c r="E182" s="15" t="inlineStr">
        <is>
          <t>100331934</t>
        </is>
      </c>
      <c r="F182" s="15" t="n"/>
      <c r="G182" s="16" t="n"/>
      <c r="H182" s="17" t="n"/>
      <c r="I182" s="636" t="n"/>
      <c r="J182" s="17" t="n"/>
      <c r="K182" s="228" t="inlineStr">
        <is>
          <t>тыс.т.</t>
        </is>
      </c>
    </row>
    <row r="183" ht="20.25" customHeight="1" s="904">
      <c r="A183" s="726" t="n"/>
      <c r="B183" s="726" t="n"/>
      <c r="C183" s="973" t="n"/>
      <c r="D183" s="245" t="inlineStr">
        <is>
          <t xml:space="preserve">   в т.ч. по договору переработки</t>
        </is>
      </c>
      <c r="E183" s="15" t="inlineStr">
        <is>
          <t>100335887</t>
        </is>
      </c>
      <c r="F183" s="15" t="n"/>
      <c r="G183" s="16" t="n"/>
      <c r="H183" s="17" t="n"/>
      <c r="I183" s="636" t="n"/>
      <c r="J183" s="17" t="n"/>
      <c r="K183" s="228" t="inlineStr">
        <is>
          <t>тыс.т.</t>
        </is>
      </c>
    </row>
    <row r="184" ht="20.25" customHeight="1" s="904">
      <c r="A184" s="726" t="n"/>
      <c r="B184" s="726" t="n"/>
      <c r="C184" s="973" t="n"/>
      <c r="D184" s="944" t="inlineStr">
        <is>
          <t>в т.ч. СЗСК</t>
        </is>
      </c>
      <c r="E184" s="15" t="inlineStr">
        <is>
          <t>100331935</t>
        </is>
      </c>
      <c r="F184" s="15" t="n"/>
      <c r="G184" s="16" t="n"/>
      <c r="H184" s="17" t="n"/>
      <c r="I184" s="636" t="n"/>
      <c r="J184" s="17" t="n"/>
      <c r="K184" s="228" t="inlineStr">
        <is>
          <t>тыс.т.</t>
        </is>
      </c>
    </row>
    <row r="185" ht="20.25" customHeight="1" s="904">
      <c r="A185" s="726" t="n"/>
      <c r="B185" s="726" t="n"/>
      <c r="C185" s="973" t="n"/>
      <c r="D185" s="245" t="inlineStr">
        <is>
          <t xml:space="preserve">   в т.ч. по договору переработки</t>
        </is>
      </c>
      <c r="E185" s="15" t="inlineStr">
        <is>
          <t>100335888</t>
        </is>
      </c>
      <c r="F185" s="15" t="n"/>
      <c r="G185" s="16" t="n"/>
      <c r="H185" s="17" t="n"/>
      <c r="I185" s="636" t="n"/>
      <c r="J185" s="17" t="n"/>
      <c r="K185" s="228" t="inlineStr">
        <is>
          <t>тыс.т.</t>
        </is>
      </c>
    </row>
    <row r="186" ht="20.25" customHeight="1" s="904">
      <c r="A186" s="726" t="n"/>
      <c r="B186" s="726" t="n"/>
      <c r="C186" s="973" t="n"/>
      <c r="D186" s="1022" t="inlineStr">
        <is>
          <t>Стабильный конденсат на смешение</t>
        </is>
      </c>
      <c r="E186" s="15" t="inlineStr">
        <is>
          <t>100335921</t>
        </is>
      </c>
      <c r="F186" s="15" t="n"/>
      <c r="G186" s="16" t="n"/>
      <c r="H186" s="17" t="n"/>
      <c r="I186" s="636" t="n"/>
      <c r="J186" s="17" t="n"/>
      <c r="K186" s="228" t="n"/>
    </row>
    <row r="187" ht="20.25" customHeight="1" s="904">
      <c r="A187" s="726" t="n"/>
      <c r="B187" s="726" t="n"/>
      <c r="C187" s="973" t="n"/>
      <c r="D187" s="944" t="inlineStr">
        <is>
          <t>в т.ч. СЗСК</t>
        </is>
      </c>
      <c r="E187" s="15" t="inlineStr">
        <is>
          <t>100335922</t>
        </is>
      </c>
      <c r="F187" s="15" t="n"/>
      <c r="G187" s="16" t="n"/>
      <c r="H187" s="17" t="n"/>
      <c r="I187" s="636" t="n"/>
      <c r="J187" s="17" t="n"/>
      <c r="K187" s="228" t="n"/>
    </row>
    <row r="188" ht="20.25" customHeight="1" s="904">
      <c r="A188" s="726" t="n"/>
      <c r="B188" s="726" t="n"/>
      <c r="C188" s="1016" t="inlineStr">
        <is>
          <t>5.13</t>
        </is>
      </c>
      <c r="D188" s="948" t="inlineStr">
        <is>
          <t xml:space="preserve">МЕТАНОЛ, ВСЕГО: </t>
        </is>
      </c>
      <c r="E188" s="15" t="inlineStr">
        <is>
          <t>100335442</t>
        </is>
      </c>
      <c r="F188" s="15" t="n"/>
      <c r="G188" s="16" t="n"/>
      <c r="H188" s="17" t="inlineStr">
        <is>
          <t>100335444+100335445</t>
        </is>
      </c>
      <c r="I188" s="636" t="n"/>
      <c r="J188" s="17" t="n"/>
      <c r="K188" s="228" t="inlineStr">
        <is>
          <t>тонн</t>
        </is>
      </c>
    </row>
    <row r="189" ht="20.25" customHeight="1" s="904">
      <c r="A189" s="726" t="n"/>
      <c r="B189" s="726" t="n"/>
      <c r="C189" s="973" t="n"/>
      <c r="D189" s="951" t="inlineStr">
        <is>
          <t>в т.ч. УЗПКТ (с УПГД)</t>
        </is>
      </c>
      <c r="E189" s="15" t="inlineStr">
        <is>
          <t>100335444</t>
        </is>
      </c>
      <c r="F189" s="15" t="n"/>
      <c r="G189" s="16" t="n"/>
      <c r="H189" s="17" t="n"/>
      <c r="I189" s="636" t="n"/>
      <c r="J189" s="17" t="n"/>
      <c r="K189" s="228" t="inlineStr">
        <is>
          <t>тонн</t>
        </is>
      </c>
    </row>
    <row r="190" ht="20.25" customHeight="1" s="904">
      <c r="A190" s="726" t="n"/>
      <c r="B190" s="726" t="n"/>
      <c r="C190" s="973" t="n"/>
      <c r="D190" s="951" t="inlineStr">
        <is>
          <t>в т.ч. СЗСК (с УРМ)</t>
        </is>
      </c>
      <c r="E190" s="15" t="inlineStr">
        <is>
          <t>100335445</t>
        </is>
      </c>
      <c r="F190" s="15" t="n"/>
      <c r="G190" s="16" t="n"/>
      <c r="H190" s="17" t="n"/>
      <c r="I190" s="636" t="n"/>
      <c r="J190" s="17" t="n"/>
      <c r="K190" s="228" t="inlineStr">
        <is>
          <t>тонн</t>
        </is>
      </c>
    </row>
    <row r="191" ht="20.25" customHeight="1" s="904">
      <c r="A191" s="726" t="n"/>
      <c r="B191" s="726" t="n"/>
      <c r="C191" s="1016" t="inlineStr">
        <is>
          <t>5.14</t>
        </is>
      </c>
      <c r="D191" s="948" t="inlineStr">
        <is>
          <t>ВОДА ПОДТОВАРНАЯ УЗПКТ</t>
        </is>
      </c>
      <c r="E191" s="15" t="inlineStr">
        <is>
          <t>100331942</t>
        </is>
      </c>
      <c r="F191" s="15" t="n"/>
      <c r="G191" s="16" t="n"/>
      <c r="H191" s="17" t="n"/>
      <c r="I191" s="636" t="n"/>
      <c r="J191" s="17" t="n"/>
      <c r="K191" s="228" t="inlineStr">
        <is>
          <t>тыс.т.</t>
        </is>
      </c>
    </row>
    <row r="192" ht="20.25" customHeight="1" s="904">
      <c r="A192" s="726" t="n"/>
      <c r="B192" s="726" t="n"/>
      <c r="C192" s="1016" t="inlineStr">
        <is>
          <t>5.15</t>
        </is>
      </c>
      <c r="D192" s="948" t="inlineStr">
        <is>
          <t>ВОДОМЕТАНОЛЬНАЯ СМЕСЬ СЗСК</t>
        </is>
      </c>
      <c r="E192" s="15" t="inlineStr">
        <is>
          <t>100331943</t>
        </is>
      </c>
      <c r="F192" s="15" t="n"/>
      <c r="G192" s="16" t="n"/>
      <c r="H192" s="17" t="n"/>
      <c r="I192" s="636" t="n"/>
      <c r="J192" s="17" t="n"/>
      <c r="K192" s="228" t="inlineStr">
        <is>
          <t>тыс.т.</t>
        </is>
      </c>
    </row>
    <row r="193" ht="20.25" customHeight="1" s="904">
      <c r="A193" s="726" t="n"/>
      <c r="B193" s="726" t="n"/>
      <c r="C193" s="1016" t="n"/>
      <c r="D193" s="245" t="inlineStr">
        <is>
          <t>в т.ч. по договору переработки</t>
        </is>
      </c>
      <c r="E193" s="15" t="inlineStr">
        <is>
          <t>100335889</t>
        </is>
      </c>
      <c r="F193" s="15" t="n"/>
      <c r="G193" s="16" t="n"/>
      <c r="H193" s="17" t="n"/>
      <c r="I193" s="636" t="n"/>
      <c r="J193" s="17" t="n"/>
      <c r="K193" s="228" t="inlineStr">
        <is>
          <t>тыс.т.</t>
        </is>
      </c>
    </row>
    <row r="194" ht="20.25" customHeight="1" s="904">
      <c r="A194" s="726" t="n"/>
      <c r="B194" s="726" t="n"/>
      <c r="C194" s="224" t="n"/>
      <c r="D194" s="727" t="inlineStr">
        <is>
          <t>Справочно:</t>
        </is>
      </c>
      <c r="E194" s="15" t="n"/>
      <c r="F194" s="15" t="n"/>
      <c r="G194" s="16" t="n"/>
      <c r="H194" s="17" t="n"/>
      <c r="I194" s="636" t="n"/>
      <c r="J194" s="17" t="n"/>
      <c r="K194" s="228" t="n"/>
    </row>
    <row r="195" ht="20.25" customHeight="1" s="904">
      <c r="A195" s="726" t="n"/>
      <c r="B195" s="726" t="n"/>
      <c r="C195" s="1016" t="inlineStr">
        <is>
          <t>6</t>
        </is>
      </c>
      <c r="D195" s="119" t="inlineStr">
        <is>
          <t>Переработка сырья на УЗПКТ и привлеченных мощностях, всего:</t>
        </is>
      </c>
      <c r="E195" s="15" t="inlineStr">
        <is>
          <t>100331839</t>
        </is>
      </c>
      <c r="F195" s="15" t="n"/>
      <c r="G195" s="16" t="n"/>
      <c r="H195" s="17" t="inlineStr">
        <is>
          <t>100335890+100335093</t>
        </is>
      </c>
      <c r="I195" s="636" t="n"/>
      <c r="J195" s="17" t="n"/>
      <c r="K195" s="228" t="inlineStr">
        <is>
          <t>тыс.т.</t>
        </is>
      </c>
    </row>
    <row r="196" ht="20.25" customHeight="1" s="904">
      <c r="A196" s="726" t="n"/>
      <c r="B196" s="726" t="n"/>
      <c r="C196" s="1016" t="inlineStr">
        <is>
          <t>6.1</t>
        </is>
      </c>
      <c r="D196" s="119" t="inlineStr">
        <is>
          <t>Нестабильного конденсата, всего:</t>
        </is>
      </c>
      <c r="E196" s="15" t="n">
        <v>100335890</v>
      </c>
      <c r="F196" s="15" t="n"/>
      <c r="G196" s="16" t="n"/>
      <c r="H196" s="17" t="inlineStr">
        <is>
          <t>100335891+100335357+100335358</t>
        </is>
      </c>
      <c r="I196" s="636" t="n"/>
      <c r="J196" s="17" t="n"/>
      <c r="K196" s="228" t="inlineStr">
        <is>
          <t>тыс.т.</t>
        </is>
      </c>
    </row>
    <row r="197" ht="20.25" customHeight="1" s="904">
      <c r="A197" s="726" t="n"/>
      <c r="B197" s="726" t="n"/>
      <c r="C197" s="1016" t="n"/>
      <c r="D197" s="126" t="inlineStr">
        <is>
          <t>УЗПКТ</t>
        </is>
      </c>
      <c r="E197" s="15" t="inlineStr">
        <is>
          <t>100335891</t>
        </is>
      </c>
      <c r="F197" s="15" t="n"/>
      <c r="G197" s="16" t="n"/>
      <c r="H197" s="17" t="inlineStr">
        <is>
          <t>100331840+100331841+100335293-100335296</t>
        </is>
      </c>
      <c r="I197" s="636" t="n"/>
      <c r="J197" s="17" t="n"/>
      <c r="K197" s="228" t="inlineStr">
        <is>
          <t>тыс.т.</t>
        </is>
      </c>
    </row>
    <row r="198" ht="20.25" customHeight="1" s="904">
      <c r="A198" s="726" t="n"/>
      <c r="B198" s="726" t="n"/>
      <c r="C198" s="246" t="n"/>
      <c r="D198" s="127" t="inlineStr">
        <is>
          <t>УДК/УСК</t>
        </is>
      </c>
      <c r="E198" s="15" t="inlineStr">
        <is>
          <t>100331840</t>
        </is>
      </c>
      <c r="F198" s="15" t="n"/>
      <c r="G198" s="16" t="n"/>
      <c r="H198" s="17" t="n"/>
      <c r="I198" s="636" t="n"/>
      <c r="J198" s="17" t="n"/>
      <c r="K198" s="228" t="inlineStr">
        <is>
          <t>тыс.т.</t>
        </is>
      </c>
    </row>
    <row r="199" ht="20.25" customHeight="1" s="904">
      <c r="A199" s="726" t="n"/>
      <c r="B199" s="726" t="n"/>
      <c r="C199" s="1016" t="n"/>
      <c r="D199" s="245" t="inlineStr">
        <is>
          <t>в т.ч. ДРОД</t>
        </is>
      </c>
      <c r="E199" s="15" t="inlineStr">
        <is>
          <t>100335508</t>
        </is>
      </c>
      <c r="F199" s="15" t="n"/>
      <c r="G199" s="16" t="n"/>
      <c r="H199" s="17" t="n"/>
      <c r="I199" s="636" t="n"/>
      <c r="J199" s="17" t="n"/>
      <c r="K199" s="228" t="inlineStr">
        <is>
          <t>тыс.т.</t>
        </is>
      </c>
    </row>
    <row r="200" ht="20.25" customHeight="1" s="904">
      <c r="A200" s="726" t="n"/>
      <c r="B200" s="726" t="n"/>
      <c r="C200" s="246" t="n"/>
      <c r="D200" s="127" t="inlineStr">
        <is>
          <t>УСК НПТР</t>
        </is>
      </c>
      <c r="E200" s="15" t="inlineStr">
        <is>
          <t>100331841</t>
        </is>
      </c>
      <c r="F200" s="15" t="n"/>
      <c r="G200" s="16" t="n"/>
      <c r="H200" s="17" t="n"/>
      <c r="I200" s="636" t="n"/>
      <c r="J200" s="17" t="n"/>
      <c r="K200" s="228" t="inlineStr">
        <is>
          <t>тыс.т.</t>
        </is>
      </c>
    </row>
    <row r="201" ht="20.25" customHeight="1" s="904">
      <c r="A201" s="726" t="n"/>
      <c r="B201" s="726" t="n"/>
      <c r="C201" s="246" t="n"/>
      <c r="D201" s="126" t="inlineStr">
        <is>
          <t>На мощностях  ПАО "НОВАТЭК"</t>
        </is>
      </c>
      <c r="E201" s="15" t="inlineStr">
        <is>
          <t>100335357</t>
        </is>
      </c>
      <c r="F201" s="15" t="n"/>
      <c r="G201" s="16" t="n"/>
      <c r="H201" s="17" t="n"/>
      <c r="I201" s="636" t="n"/>
      <c r="J201" s="17" t="n"/>
      <c r="K201" s="228" t="inlineStr">
        <is>
          <t>тыс.т.</t>
        </is>
      </c>
    </row>
    <row r="202" ht="20.25" customHeight="1" s="904">
      <c r="A202" s="726" t="n"/>
      <c r="B202" s="726" t="n"/>
      <c r="C202" s="246" t="n"/>
      <c r="D202" s="126" t="inlineStr">
        <is>
          <t>На мощностях УДК(м)</t>
        </is>
      </c>
      <c r="E202" s="15" t="inlineStr">
        <is>
          <t>100335358</t>
        </is>
      </c>
      <c r="F202" s="15" t="n"/>
      <c r="G202" s="16" t="n"/>
      <c r="H202" s="17" t="n"/>
      <c r="I202" s="636" t="n"/>
      <c r="J202" s="17" t="n"/>
      <c r="K202" s="228" t="inlineStr">
        <is>
          <t>тыс.т.</t>
        </is>
      </c>
    </row>
    <row r="203" ht="20.25" customHeight="1" s="904">
      <c r="A203" s="726" t="n"/>
      <c r="B203" s="726" t="n"/>
      <c r="C203" s="224" t="inlineStr">
        <is>
          <t>6.2</t>
        </is>
      </c>
      <c r="D203" s="125" t="inlineStr">
        <is>
          <t>Нефть на НПС УЗПКТ</t>
        </is>
      </c>
      <c r="E203" s="15" t="inlineStr">
        <is>
          <t>100335093</t>
        </is>
      </c>
      <c r="F203" s="15" t="n"/>
      <c r="G203" s="16" t="n"/>
      <c r="H203" s="17" t="n"/>
      <c r="I203" s="636" t="n"/>
      <c r="J203" s="17" t="n"/>
      <c r="K203" s="228" t="inlineStr">
        <is>
          <t>тыс.т.</t>
        </is>
      </c>
    </row>
    <row r="204" ht="20.25" customHeight="1" s="904">
      <c r="A204" s="726" t="n"/>
      <c r="B204" s="726" t="n"/>
      <c r="C204" s="1016" t="inlineStr">
        <is>
          <t>7</t>
        </is>
      </c>
      <c r="D204" s="125" t="inlineStr">
        <is>
          <t>Деэтанизированный конденсат, всего:</t>
        </is>
      </c>
      <c r="E204" s="15" t="n">
        <v>100335892</v>
      </c>
      <c r="F204" s="15" t="n"/>
      <c r="G204" s="16" t="n"/>
      <c r="H204" s="17" t="inlineStr">
        <is>
          <t>100331944+100335359+100335360</t>
        </is>
      </c>
      <c r="I204" s="636" t="n"/>
      <c r="J204" s="17" t="n"/>
      <c r="K204" s="228" t="inlineStr">
        <is>
          <t>тыс.т.</t>
        </is>
      </c>
    </row>
    <row r="205" ht="20.25" customHeight="1" s="904">
      <c r="A205" s="726" t="n"/>
      <c r="B205" s="726" t="n"/>
      <c r="C205" s="1016" t="n"/>
      <c r="D205" s="126" t="inlineStr">
        <is>
          <t>УЗПКТ</t>
        </is>
      </c>
      <c r="E205" s="15" t="inlineStr">
        <is>
          <t>100331944</t>
        </is>
      </c>
      <c r="F205" s="15" t="n"/>
      <c r="G205" s="16" t="n"/>
      <c r="H205" s="17" t="inlineStr">
        <is>
          <t>SUM(100331945:100331947)</t>
        </is>
      </c>
      <c r="I205" s="636" t="n"/>
      <c r="J205" s="17" t="n"/>
      <c r="K205" s="228" t="inlineStr">
        <is>
          <t>тыс.т.</t>
        </is>
      </c>
    </row>
    <row r="206" ht="20.25" customHeight="1" s="904">
      <c r="A206" s="726" t="n"/>
      <c r="B206" s="726" t="n"/>
      <c r="C206" s="973" t="n"/>
      <c r="D206" s="127" t="inlineStr">
        <is>
          <t>ДК (с УДК/УСК)</t>
        </is>
      </c>
      <c r="E206" s="15" t="inlineStr">
        <is>
          <t>100331945</t>
        </is>
      </c>
      <c r="F206" s="15" t="n"/>
      <c r="G206" s="16" t="n"/>
      <c r="H206" s="17" t="n"/>
      <c r="I206" s="636" t="n"/>
      <c r="J206" s="17" t="n"/>
      <c r="K206" s="228" t="inlineStr">
        <is>
          <t>тыс.т.</t>
        </is>
      </c>
    </row>
    <row r="207" ht="20.25" customHeight="1" s="904">
      <c r="A207" s="726" t="n"/>
      <c r="B207" s="726" t="n"/>
      <c r="C207" s="973" t="n"/>
      <c r="D207" s="127" t="inlineStr">
        <is>
          <t>ДК(с УПГД), собственность Газпром</t>
        </is>
      </c>
      <c r="E207" s="15" t="inlineStr">
        <is>
          <t>100335044</t>
        </is>
      </c>
      <c r="F207" s="15" t="n"/>
      <c r="G207" s="16" t="n"/>
      <c r="H207" s="17" t="n"/>
      <c r="I207" s="636" t="n"/>
      <c r="J207" s="17" t="n"/>
      <c r="K207" s="228" t="inlineStr">
        <is>
          <t>тыс.т.</t>
        </is>
      </c>
    </row>
    <row r="208" ht="20.25" customHeight="1" s="904">
      <c r="A208" s="726" t="n"/>
      <c r="B208" s="726" t="n"/>
      <c r="C208" s="973" t="n"/>
      <c r="D208" s="127" t="inlineStr">
        <is>
          <t>ДК(с УСК-2)</t>
        </is>
      </c>
      <c r="E208" s="15" t="inlineStr">
        <is>
          <t>100331947</t>
        </is>
      </c>
      <c r="F208" s="15" t="n"/>
      <c r="G208" s="16" t="n"/>
      <c r="H208" s="17" t="n"/>
      <c r="I208" s="636" t="n"/>
      <c r="J208" s="17" t="n"/>
      <c r="K208" s="233" t="inlineStr">
        <is>
          <t>тыс.т.</t>
        </is>
      </c>
    </row>
    <row r="209" ht="20.25" customHeight="1" s="904">
      <c r="A209" s="726" t="n"/>
      <c r="B209" s="726" t="n"/>
      <c r="C209" s="973" t="n"/>
      <c r="D209" s="126" t="inlineStr">
        <is>
          <t>На мощностях  ПАО "НОВАТЭК"</t>
        </is>
      </c>
      <c r="E209" s="15" t="inlineStr">
        <is>
          <t>100335359</t>
        </is>
      </c>
      <c r="F209" s="15" t="n"/>
      <c r="G209" s="16" t="n"/>
      <c r="H209" s="17" t="n"/>
      <c r="I209" s="636" t="n"/>
      <c r="J209" s="17" t="n"/>
      <c r="K209" s="228" t="inlineStr">
        <is>
          <t>тыс.т.</t>
        </is>
      </c>
    </row>
    <row r="210" ht="20.25" customHeight="1" s="904">
      <c r="A210" s="726" t="n"/>
      <c r="B210" s="726" t="n"/>
      <c r="C210" s="973" t="n"/>
      <c r="D210" s="126" t="inlineStr">
        <is>
          <t>На мощностях УДК(м)</t>
        </is>
      </c>
      <c r="E210" s="15" t="inlineStr">
        <is>
          <t>100335360</t>
        </is>
      </c>
      <c r="F210" s="15" t="n"/>
      <c r="G210" s="16" t="n"/>
      <c r="H210" s="17" t="n"/>
      <c r="I210" s="636" t="n"/>
      <c r="J210" s="17" t="n"/>
      <c r="K210" s="228" t="inlineStr">
        <is>
          <t>тыс.т.</t>
        </is>
      </c>
    </row>
    <row r="211" ht="20.25" customHeight="1" s="904">
      <c r="A211" s="726" t="n"/>
      <c r="B211" s="726" t="n"/>
      <c r="C211" s="224" t="inlineStr">
        <is>
          <t>8</t>
        </is>
      </c>
      <c r="D211" s="119" t="inlineStr">
        <is>
          <t>Переработка сырья на СЗСК, всего:</t>
        </is>
      </c>
      <c r="E211" s="15" t="inlineStr">
        <is>
          <t>100331842</t>
        </is>
      </c>
      <c r="F211" s="15" t="n"/>
      <c r="G211" s="16" t="n"/>
      <c r="H211" s="17" t="inlineStr">
        <is>
          <t>100335893+100331838+100335894+100335294-100335297</t>
        </is>
      </c>
      <c r="I211" s="636" t="n"/>
      <c r="J211" s="17" t="n"/>
      <c r="K211" s="228" t="inlineStr">
        <is>
          <t>тыс.т.</t>
        </is>
      </c>
    </row>
    <row r="212" ht="20.25" customHeight="1" s="904">
      <c r="A212" s="726" t="n"/>
      <c r="B212" s="726" t="n"/>
      <c r="C212" s="246" t="n"/>
      <c r="D212" s="944" t="inlineStr">
        <is>
          <t>Деэтанизированный конденсат</t>
        </is>
      </c>
      <c r="E212" s="15" t="inlineStr">
        <is>
          <t>100335893</t>
        </is>
      </c>
      <c r="F212" s="15" t="n"/>
      <c r="G212" s="16" t="n"/>
      <c r="H212" s="17" t="inlineStr">
        <is>
          <t>100335892-100331824+100331825</t>
        </is>
      </c>
      <c r="I212" s="636" t="n"/>
      <c r="J212" s="17" t="n"/>
      <c r="K212" s="228" t="inlineStr">
        <is>
          <t>тыс.т.</t>
        </is>
      </c>
    </row>
    <row r="213" ht="20.25" customHeight="1" s="904">
      <c r="A213" s="726" t="n"/>
      <c r="B213" s="726" t="n"/>
      <c r="C213" s="246" t="n"/>
      <c r="D213" s="944" t="inlineStr">
        <is>
          <t>Нефть</t>
        </is>
      </c>
      <c r="E213" s="15" t="n">
        <v>100331838</v>
      </c>
      <c r="F213" s="15" t="n"/>
      <c r="G213" s="16" t="n"/>
      <c r="H213" s="17" t="n"/>
      <c r="I213" s="636" t="n"/>
      <c r="J213" s="17" t="n"/>
      <c r="K213" s="228" t="inlineStr">
        <is>
          <t>тыс.т.</t>
        </is>
      </c>
    </row>
    <row r="214" ht="20.25" customHeight="1" s="904">
      <c r="A214" s="726" t="n"/>
      <c r="B214" s="726" t="n"/>
      <c r="C214" s="246" t="n"/>
      <c r="D214" s="944" t="inlineStr">
        <is>
          <t>Нестабильный конденсат</t>
        </is>
      </c>
      <c r="E214" s="15" t="inlineStr">
        <is>
          <t>100335894</t>
        </is>
      </c>
      <c r="F214" s="15" t="n"/>
      <c r="G214" s="16" t="n"/>
      <c r="H214" s="17" t="inlineStr">
        <is>
          <t>100331845+100335895</t>
        </is>
      </c>
      <c r="I214" s="636" t="n"/>
      <c r="J214" s="17" t="n"/>
      <c r="K214" s="228" t="inlineStr">
        <is>
          <t>тыс.т.</t>
        </is>
      </c>
    </row>
    <row r="215" ht="20.25" customHeight="1" s="904">
      <c r="A215" s="726" t="n"/>
      <c r="B215" s="726" t="n"/>
      <c r="C215" s="246" t="n"/>
      <c r="D215" s="130" t="inlineStr">
        <is>
          <t>ООО "Газпром добыча Ноябрьск"</t>
        </is>
      </c>
      <c r="E215" s="15" t="inlineStr">
        <is>
          <t>100331845</t>
        </is>
      </c>
      <c r="F215" s="15" t="n"/>
      <c r="G215" s="16" t="n"/>
      <c r="H215" s="17" t="inlineStr">
        <is>
          <t>100331836</t>
        </is>
      </c>
      <c r="I215" s="636" t="n"/>
      <c r="J215" s="17" t="n"/>
      <c r="K215" s="228" t="inlineStr">
        <is>
          <t>тыс.т.</t>
        </is>
      </c>
    </row>
    <row r="216" ht="20.25" customHeight="1" s="904">
      <c r="A216" s="726" t="n"/>
      <c r="B216" s="726" t="n"/>
      <c r="C216" s="246" t="n"/>
      <c r="D216" s="130" t="inlineStr">
        <is>
          <t>ООО "Газпром добыча Уренгой"</t>
        </is>
      </c>
      <c r="E216" s="15" t="inlineStr">
        <is>
          <t>100335895</t>
        </is>
      </c>
      <c r="F216" s="15" t="n"/>
      <c r="G216" s="16" t="n"/>
      <c r="H216" s="17" t="inlineStr">
        <is>
          <t>100335336+100335470</t>
        </is>
      </c>
      <c r="I216" s="636" t="n"/>
      <c r="J216" s="17" t="n"/>
      <c r="K216" s="228" t="inlineStr">
        <is>
          <t>тыс.т.</t>
        </is>
      </c>
    </row>
    <row r="217" ht="20.25" customHeight="1" s="904">
      <c r="A217" s="726" t="n"/>
      <c r="B217" s="726" t="n"/>
      <c r="C217" s="246" t="n"/>
      <c r="D217" s="131" t="inlineStr">
        <is>
          <t>Уренгойское НГКМ</t>
        </is>
      </c>
      <c r="E217" s="15" t="inlineStr">
        <is>
          <t>100335336</t>
        </is>
      </c>
      <c r="F217" s="15" t="n"/>
      <c r="G217" s="16" t="n"/>
      <c r="H217" s="17" t="n"/>
      <c r="I217" s="636" t="n"/>
      <c r="J217" s="17" t="n"/>
      <c r="K217" s="228" t="inlineStr">
        <is>
          <t>тыс.т.</t>
        </is>
      </c>
    </row>
    <row r="218" outlineLevel="1" ht="20.25" customHeight="1" s="904">
      <c r="A218" s="726" t="n"/>
      <c r="B218" s="726" t="n"/>
      <c r="C218" s="246" t="n"/>
      <c r="D218" s="131" t="inlineStr">
        <is>
          <t>ДРОД</t>
        </is>
      </c>
      <c r="E218" s="15" t="inlineStr">
        <is>
          <t>100335470</t>
        </is>
      </c>
      <c r="F218" s="15" t="n"/>
      <c r="G218" s="16" t="n"/>
      <c r="H218" s="17" t="n"/>
      <c r="I218" s="636" t="n"/>
      <c r="J218" s="17" t="n"/>
      <c r="K218" s="228" t="inlineStr">
        <is>
          <t>тыс.т.</t>
        </is>
      </c>
    </row>
    <row r="219" outlineLevel="1" ht="20.25" customHeight="1" s="904">
      <c r="A219" s="726" t="n"/>
      <c r="B219" s="726" t="n"/>
      <c r="C219" s="970" t="inlineStr">
        <is>
          <t>9</t>
        </is>
      </c>
      <c r="D219" s="119" t="inlineStr">
        <is>
          <t>Переработка сырья по договору стабилизации, всего:</t>
        </is>
      </c>
      <c r="E219" s="15" t="inlineStr">
        <is>
          <t>100335896</t>
        </is>
      </c>
      <c r="F219" s="15" t="n"/>
      <c r="G219" s="16" t="n"/>
      <c r="H219" s="17" t="inlineStr">
        <is>
          <t>100335897+100335898</t>
        </is>
      </c>
      <c r="I219" s="636" t="n"/>
      <c r="J219" s="17" t="n"/>
      <c r="K219" s="136" t="inlineStr">
        <is>
          <t>тыс.т.</t>
        </is>
      </c>
    </row>
    <row r="220" outlineLevel="1" ht="20.25" customHeight="1" s="904">
      <c r="A220" s="726" t="n"/>
      <c r="B220" s="726" t="n"/>
      <c r="C220" s="246" t="n"/>
      <c r="D220" s="944" t="inlineStr">
        <is>
          <t>конденсат газовый нестабильный</t>
        </is>
      </c>
      <c r="E220" s="15" t="inlineStr">
        <is>
          <t>100335897</t>
        </is>
      </c>
      <c r="F220" s="15" t="n"/>
      <c r="G220" s="16" t="n"/>
      <c r="H220" s="17" t="n"/>
      <c r="I220" s="636" t="n"/>
      <c r="J220" s="17" t="n"/>
      <c r="K220" s="136" t="inlineStr">
        <is>
          <t>тыс.т.</t>
        </is>
      </c>
    </row>
    <row r="221" outlineLevel="1" ht="20.25" customHeight="1" s="904">
      <c r="A221" s="726" t="n"/>
      <c r="B221" s="726" t="n"/>
      <c r="C221" s="246" t="n"/>
      <c r="D221" s="1023" t="inlineStr">
        <is>
          <t>нефть</t>
        </is>
      </c>
      <c r="E221" s="15" t="inlineStr">
        <is>
          <t>100335898</t>
        </is>
      </c>
      <c r="F221" s="15" t="n"/>
      <c r="G221" s="16" t="n"/>
      <c r="H221" s="17" t="n"/>
      <c r="I221" s="636" t="n"/>
      <c r="J221" s="17" t="n"/>
      <c r="K221" s="136" t="inlineStr">
        <is>
          <t>тыс.т.</t>
        </is>
      </c>
    </row>
    <row r="222" outlineLevel="1" ht="20.25" customHeight="1" s="904">
      <c r="A222" s="726" t="n"/>
      <c r="B222" s="726" t="n"/>
      <c r="C222" s="970" t="inlineStr">
        <is>
          <t>10</t>
        </is>
      </c>
      <c r="D222" s="247" t="inlineStr">
        <is>
          <t>Справочно: Принято сырья со склада</t>
        </is>
      </c>
      <c r="E222" s="15" t="inlineStr">
        <is>
          <t>100335292</t>
        </is>
      </c>
      <c r="F222" s="15" t="n"/>
      <c r="G222" s="16" t="n"/>
      <c r="H222" s="17" t="inlineStr">
        <is>
          <t>100335293+100335294</t>
        </is>
      </c>
      <c r="I222" s="636" t="n"/>
      <c r="J222" s="17" t="n"/>
      <c r="K222" s="228" t="inlineStr">
        <is>
          <t>тыс.т.</t>
        </is>
      </c>
    </row>
    <row r="223" outlineLevel="1" ht="20.25" customHeight="1" s="904">
      <c r="A223" s="726" t="n"/>
      <c r="B223" s="726" t="n"/>
      <c r="C223" s="970" t="n"/>
      <c r="D223" s="1023" t="inlineStr">
        <is>
          <t xml:space="preserve">         в т.ч.  УЗПКТ</t>
        </is>
      </c>
      <c r="E223" s="15" t="inlineStr">
        <is>
          <t>100335293</t>
        </is>
      </c>
      <c r="F223" s="15" t="n"/>
      <c r="G223" s="16" t="n"/>
      <c r="H223" s="17" t="n"/>
      <c r="I223" s="636" t="n"/>
      <c r="J223" s="17" t="n"/>
      <c r="K223" s="228" t="inlineStr">
        <is>
          <t>тыс.т.</t>
        </is>
      </c>
    </row>
    <row r="224" outlineLevel="1" ht="20.25" customHeight="1" s="904">
      <c r="A224" s="726" t="n"/>
      <c r="B224" s="726" t="n"/>
      <c r="C224" s="970" t="n"/>
      <c r="D224" s="1023" t="inlineStr">
        <is>
          <t xml:space="preserve">         в т.ч. СЗСК</t>
        </is>
      </c>
      <c r="E224" s="15" t="inlineStr">
        <is>
          <t>100335294</t>
        </is>
      </c>
      <c r="F224" s="15" t="n"/>
      <c r="G224" s="16" t="n"/>
      <c r="H224" s="17" t="n"/>
      <c r="I224" s="636" t="n"/>
      <c r="J224" s="17" t="n"/>
      <c r="K224" s="228" t="inlineStr">
        <is>
          <t>тыс.т.</t>
        </is>
      </c>
    </row>
    <row r="225" ht="20.25" customHeight="1" s="904">
      <c r="A225" s="726" t="n"/>
      <c r="B225" s="726" t="n"/>
      <c r="C225" s="970" t="inlineStr">
        <is>
          <t>11</t>
        </is>
      </c>
      <c r="D225" s="247" t="inlineStr">
        <is>
          <t xml:space="preserve">   Передано сырья на склад</t>
        </is>
      </c>
      <c r="E225" s="15" t="inlineStr">
        <is>
          <t>100335295</t>
        </is>
      </c>
      <c r="F225" s="15" t="n"/>
      <c r="G225" s="16" t="n"/>
      <c r="H225" s="17" t="inlineStr">
        <is>
          <t>100335296+100335297</t>
        </is>
      </c>
      <c r="I225" s="636" t="n"/>
      <c r="J225" s="17" t="n"/>
      <c r="K225" s="228" t="inlineStr">
        <is>
          <t>тыс.т.</t>
        </is>
      </c>
    </row>
    <row r="226" ht="20.25" customHeight="1" s="904">
      <c r="A226" s="726" t="n"/>
      <c r="B226" s="726" t="n"/>
      <c r="C226" s="970" t="n"/>
      <c r="D226" s="1023" t="inlineStr">
        <is>
          <t xml:space="preserve">         в т.ч.  УЗПКТ</t>
        </is>
      </c>
      <c r="E226" s="15" t="inlineStr">
        <is>
          <t>100335296</t>
        </is>
      </c>
      <c r="F226" s="15" t="n"/>
      <c r="G226" s="16" t="n"/>
      <c r="H226" s="17" t="n"/>
      <c r="I226" s="636" t="n"/>
      <c r="J226" s="17" t="n"/>
      <c r="K226" s="228" t="inlineStr">
        <is>
          <t>тыс.т.</t>
        </is>
      </c>
    </row>
    <row r="227" ht="20.25" customHeight="1" s="904">
      <c r="A227" s="726" t="n"/>
      <c r="B227" s="726" t="n"/>
      <c r="C227" s="970" t="n"/>
      <c r="D227" s="1023" t="inlineStr">
        <is>
          <t xml:space="preserve">         в т.ч. СЗСК</t>
        </is>
      </c>
      <c r="E227" s="15" t="inlineStr">
        <is>
          <t>100335297</t>
        </is>
      </c>
      <c r="F227" s="15" t="n"/>
      <c r="G227" s="16" t="n"/>
      <c r="H227" s="17" t="n"/>
      <c r="I227" s="636" t="n"/>
      <c r="J227" s="17" t="n"/>
      <c r="K227" s="228" t="inlineStr">
        <is>
          <t>тыс.т.</t>
        </is>
      </c>
    </row>
    <row r="228" ht="20.25" customHeight="1" s="904">
      <c r="A228" s="726" t="n"/>
      <c r="B228" s="726" t="n"/>
      <c r="C228" s="224" t="inlineStr">
        <is>
          <t>12</t>
        </is>
      </c>
      <c r="D228" s="248" t="inlineStr">
        <is>
          <t>Заполнение и вытеснение трубопроводов:</t>
        </is>
      </c>
      <c r="E228" s="15" t="inlineStr">
        <is>
          <t>100335899</t>
        </is>
      </c>
      <c r="F228" s="15" t="n"/>
      <c r="G228" s="16" t="n"/>
      <c r="H228" s="17" t="n"/>
      <c r="I228" s="636" t="n"/>
      <c r="J228" s="17" t="n"/>
      <c r="K228" s="136" t="inlineStr">
        <is>
          <t>тыс.т.</t>
        </is>
      </c>
    </row>
    <row r="229" ht="20.25" customHeight="1" s="904">
      <c r="A229" s="726" t="n"/>
      <c r="B229" s="726" t="n"/>
      <c r="C229" s="224" t="n"/>
      <c r="D229" s="249" t="inlineStr">
        <is>
          <t>Заполнение конденсатопровода Ямбург - Уренгой</t>
        </is>
      </c>
      <c r="E229" s="15" t="inlineStr">
        <is>
          <t>100331822</t>
        </is>
      </c>
      <c r="F229" s="15" t="n"/>
      <c r="G229" s="16" t="n"/>
      <c r="H229" s="17" t="n"/>
      <c r="I229" s="636" t="n"/>
      <c r="J229" s="17" t="n"/>
      <c r="K229" s="228" t="inlineStr">
        <is>
          <t>тыс.т.</t>
        </is>
      </c>
    </row>
    <row r="230" ht="20.25" customHeight="1" s="904">
      <c r="A230" s="726" t="n"/>
      <c r="B230" s="726" t="n"/>
      <c r="C230" s="224" t="n"/>
      <c r="D230" s="249" t="inlineStr">
        <is>
          <t>Вытеснение конденсатопровода Ямбург  - Уренгой</t>
        </is>
      </c>
      <c r="E230" s="15" t="inlineStr">
        <is>
          <t>100331823</t>
        </is>
      </c>
      <c r="F230" s="15" t="n"/>
      <c r="G230" s="16" t="n"/>
      <c r="H230" s="17" t="n"/>
      <c r="I230" s="636" t="n"/>
      <c r="J230" s="17" t="n"/>
      <c r="K230" s="228" t="inlineStr">
        <is>
          <t>тыс.т.</t>
        </is>
      </c>
    </row>
    <row r="231" ht="20.25" customHeight="1" s="904">
      <c r="A231" s="726" t="n"/>
      <c r="B231" s="726" t="n"/>
      <c r="C231" s="224" t="n"/>
      <c r="D231" s="249" t="inlineStr">
        <is>
          <t>Заполнение трубопровода Уренгой-Сургут</t>
        </is>
      </c>
      <c r="E231" s="15" t="inlineStr">
        <is>
          <t>100331824</t>
        </is>
      </c>
      <c r="F231" s="15" t="n"/>
      <c r="G231" s="16" t="n"/>
      <c r="H231" s="17" t="n"/>
      <c r="I231" s="636" t="n"/>
      <c r="J231" s="17" t="n"/>
      <c r="K231" s="228" t="inlineStr">
        <is>
          <t>тыс.т.</t>
        </is>
      </c>
    </row>
    <row r="232" ht="20.25" customHeight="1" s="904">
      <c r="A232" s="726" t="n"/>
      <c r="B232" s="726" t="n"/>
      <c r="C232" s="224" t="n"/>
      <c r="D232" s="249" t="inlineStr">
        <is>
          <t>Вытеснение трубопровода Уренгой-Сургут</t>
        </is>
      </c>
      <c r="E232" s="15" t="inlineStr">
        <is>
          <t>100331825</t>
        </is>
      </c>
      <c r="F232" s="15" t="n"/>
      <c r="G232" s="16" t="n"/>
      <c r="H232" s="17" t="n"/>
      <c r="I232" s="636" t="n"/>
      <c r="J232" s="17" t="n"/>
      <c r="K232" s="228" t="inlineStr">
        <is>
          <t>тыс.т.</t>
        </is>
      </c>
    </row>
    <row r="233" ht="20.25" customHeight="1" s="904">
      <c r="A233" s="726" t="n"/>
      <c r="B233" s="726" t="n"/>
      <c r="C233" s="224" t="n"/>
      <c r="D233" s="249" t="inlineStr">
        <is>
          <t>Заполнение трубопроводов объектов альтернативной схемы</t>
        </is>
      </c>
      <c r="E233" s="15" t="inlineStr">
        <is>
          <t>100331818</t>
        </is>
      </c>
      <c r="F233" s="15" t="n"/>
      <c r="G233" s="16" t="n"/>
      <c r="H233" s="17" t="n"/>
      <c r="I233" s="636" t="n"/>
      <c r="J233" s="17" t="n"/>
      <c r="K233" s="228" t="inlineStr">
        <is>
          <t>тыс.т.</t>
        </is>
      </c>
    </row>
    <row r="234" ht="20.25" customHeight="1" s="904">
      <c r="A234" s="726" t="n"/>
      <c r="B234" s="726" t="n"/>
      <c r="C234" s="224" t="n"/>
      <c r="D234" s="250" t="inlineStr">
        <is>
          <t>Вытеснение из трубопроводов объектов альтернативной схемы</t>
        </is>
      </c>
      <c r="E234" s="15" t="inlineStr">
        <is>
          <t>100331819</t>
        </is>
      </c>
      <c r="F234" s="15" t="n"/>
      <c r="G234" s="16" t="n"/>
      <c r="H234" s="17" t="n"/>
      <c r="I234" s="636" t="n"/>
      <c r="J234" s="17" t="n"/>
      <c r="K234" s="228" t="inlineStr">
        <is>
          <t>тыс.т.</t>
        </is>
      </c>
    </row>
    <row r="235" ht="36.75" customHeight="1" s="904">
      <c r="A235" s="726" t="n"/>
      <c r="B235" s="726" t="n"/>
      <c r="C235" s="1016" t="inlineStr">
        <is>
          <t>13</t>
        </is>
      </c>
      <c r="D235" s="241" t="inlineStr">
        <is>
          <t>Транспортировка нефтегазоконденсатной смеси по объектам альтернативной схемы:</t>
        </is>
      </c>
      <c r="E235" s="15" t="inlineStr">
        <is>
          <t>100335900</t>
        </is>
      </c>
      <c r="F235" s="15" t="n"/>
      <c r="G235" s="16" t="n"/>
      <c r="H235" s="17" t="inlineStr">
        <is>
          <t>100335901+100335905</t>
        </is>
      </c>
      <c r="I235" s="636" t="n"/>
      <c r="J235" s="17" t="n"/>
      <c r="K235" s="228" t="inlineStr">
        <is>
          <t>тыс.т.</t>
        </is>
      </c>
    </row>
    <row r="236" ht="20.25" customHeight="1" s="904">
      <c r="A236" s="726" t="n"/>
      <c r="B236" s="726" t="n"/>
      <c r="C236" s="1016" t="n"/>
      <c r="D236" s="118" t="inlineStr">
        <is>
          <t>Стабильный газовый конденсат (нефть)</t>
        </is>
      </c>
      <c r="E236" s="15" t="n">
        <v>100335901</v>
      </c>
      <c r="F236" s="15" t="n"/>
      <c r="G236" s="16" t="n"/>
      <c r="H236" s="17" t="inlineStr">
        <is>
          <t>100335902+100335903</t>
        </is>
      </c>
      <c r="I236" s="636" t="n"/>
      <c r="J236" s="17" t="n"/>
      <c r="K236" s="228" t="inlineStr">
        <is>
          <t>тыс.т.</t>
        </is>
      </c>
    </row>
    <row r="237" ht="20.25" customHeight="1" s="904">
      <c r="A237" s="726" t="n"/>
      <c r="B237" s="726" t="n"/>
      <c r="C237" s="1016" t="n"/>
      <c r="D237" s="167" t="inlineStr">
        <is>
          <t>ПАО "ГАЗПРОМ"</t>
        </is>
      </c>
      <c r="E237" s="15" t="inlineStr">
        <is>
          <t>100335902</t>
        </is>
      </c>
      <c r="F237" s="15" t="n"/>
      <c r="G237" s="16" t="n"/>
      <c r="H237" s="17" t="n"/>
      <c r="I237" s="636" t="n"/>
      <c r="J237" s="17" t="n"/>
      <c r="K237" s="228" t="inlineStr">
        <is>
          <t>тыс.т.</t>
        </is>
      </c>
    </row>
    <row r="238" ht="20.25" customHeight="1" s="904">
      <c r="A238" s="726" t="n"/>
      <c r="B238" s="726" t="n"/>
      <c r="C238" s="1016" t="n"/>
      <c r="D238" s="167" t="inlineStr">
        <is>
          <t>ДРОД</t>
        </is>
      </c>
      <c r="E238" s="15" t="inlineStr">
        <is>
          <t>100335903</t>
        </is>
      </c>
      <c r="F238" s="15" t="n"/>
      <c r="G238" s="16" t="n"/>
      <c r="H238" s="17" t="inlineStr">
        <is>
          <t>100335777+100335684+100335035+100335904</t>
        </is>
      </c>
      <c r="I238" s="636" t="n"/>
      <c r="J238" s="17" t="n"/>
      <c r="K238" s="228" t="inlineStr">
        <is>
          <t>тыс.т.</t>
        </is>
      </c>
    </row>
    <row r="239" ht="20.25" customHeight="1" s="904">
      <c r="A239" s="726" t="n"/>
      <c r="B239" s="726" t="n"/>
      <c r="C239" s="1016" t="n"/>
      <c r="D239" s="789" t="inlineStr">
        <is>
          <t>Уренгойское НГКМ (ачимовский участок 3А)</t>
        </is>
      </c>
      <c r="E239" s="15" t="inlineStr">
        <is>
          <t>100335777</t>
        </is>
      </c>
      <c r="F239" s="15" t="n"/>
      <c r="G239" s="16" t="n"/>
      <c r="H239" s="17" t="n"/>
      <c r="I239" s="636" t="n"/>
      <c r="J239" s="17" t="n"/>
      <c r="K239" s="228" t="inlineStr">
        <is>
          <t>тыс.т.</t>
        </is>
      </c>
    </row>
    <row r="240" ht="20.25" customHeight="1" s="904">
      <c r="A240" s="726" t="n"/>
      <c r="B240" s="726" t="n"/>
      <c r="C240" s="1016" t="n"/>
      <c r="D240" s="789" t="inlineStr">
        <is>
          <t>Ен-Яхинское НГКМ</t>
        </is>
      </c>
      <c r="E240" s="15" t="inlineStr">
        <is>
          <t>100335684</t>
        </is>
      </c>
      <c r="F240" s="15" t="n"/>
      <c r="G240" s="16" t="n"/>
      <c r="H240" s="17" t="n"/>
      <c r="I240" s="636" t="n"/>
      <c r="J240" s="17" t="n"/>
      <c r="K240" s="228" t="inlineStr">
        <is>
          <t>тыс.т.</t>
        </is>
      </c>
    </row>
    <row r="241" ht="20.25" customHeight="1" s="904">
      <c r="A241" s="726" t="n"/>
      <c r="B241" s="726" t="n"/>
      <c r="C241" s="1016" t="n"/>
      <c r="D241" s="789" t="inlineStr">
        <is>
          <t>Песцовое НГКМ</t>
        </is>
      </c>
      <c r="E241" s="15" t="inlineStr">
        <is>
          <t>100335035</t>
        </is>
      </c>
      <c r="F241" s="15" t="n"/>
      <c r="G241" s="16" t="n"/>
      <c r="H241" s="17" t="n"/>
      <c r="I241" s="636" t="n"/>
      <c r="J241" s="17" t="n"/>
      <c r="K241" s="228" t="inlineStr">
        <is>
          <t>тыс.т.</t>
        </is>
      </c>
    </row>
    <row r="242" ht="20.25" customHeight="1" s="904">
      <c r="A242" s="726" t="n"/>
      <c r="B242" s="726" t="n"/>
      <c r="C242" s="1016" t="n"/>
      <c r="D242" s="789" t="inlineStr">
        <is>
          <t>Песцовое НГКМ (ачим)</t>
        </is>
      </c>
      <c r="E242" s="15" t="inlineStr">
        <is>
          <t>100335904</t>
        </is>
      </c>
      <c r="F242" s="15" t="n"/>
      <c r="G242" s="16" t="n"/>
      <c r="H242" s="17" t="n"/>
      <c r="I242" s="636" t="n"/>
      <c r="J242" s="17" t="n"/>
      <c r="K242" s="228" t="inlineStr">
        <is>
          <t>тыс.т.</t>
        </is>
      </c>
    </row>
    <row r="243" ht="20.25" customHeight="1" s="904">
      <c r="A243" s="726" t="n"/>
      <c r="B243" s="726" t="n"/>
      <c r="C243" s="1016" t="n"/>
      <c r="D243" s="118" t="inlineStr">
        <is>
          <t>Нефть</t>
        </is>
      </c>
      <c r="E243" s="15" t="n">
        <v>100335905</v>
      </c>
      <c r="F243" s="15" t="n"/>
      <c r="G243" s="16" t="n"/>
      <c r="H243" s="17" t="inlineStr">
        <is>
          <t>100335907+100335906</t>
        </is>
      </c>
      <c r="I243" s="636" t="n"/>
      <c r="J243" s="17" t="n"/>
      <c r="K243" s="228" t="inlineStr">
        <is>
          <t>тыс.т.</t>
        </is>
      </c>
    </row>
    <row r="244" ht="20.25" customHeight="1" s="904">
      <c r="A244" s="726" t="n"/>
      <c r="B244" s="726" t="n"/>
      <c r="C244" s="1016" t="n"/>
      <c r="D244" s="167" t="inlineStr">
        <is>
          <t>ПАО "ГАЗПРОМ"</t>
        </is>
      </c>
      <c r="E244" s="15" t="n">
        <v>100335906</v>
      </c>
      <c r="F244" s="15" t="n"/>
      <c r="G244" s="16" t="n"/>
      <c r="H244" s="17" t="n"/>
      <c r="I244" s="636" t="n"/>
      <c r="J244" s="17" t="n"/>
      <c r="K244" s="228" t="inlineStr">
        <is>
          <t>тыс.т.</t>
        </is>
      </c>
    </row>
    <row r="245" ht="20.25" customHeight="1" s="904">
      <c r="A245" s="726" t="n"/>
      <c r="B245" s="726" t="n"/>
      <c r="C245" s="1016" t="n"/>
      <c r="D245" s="167" t="inlineStr">
        <is>
          <t>ДРОД</t>
        </is>
      </c>
      <c r="E245" s="15" t="n">
        <v>100335907</v>
      </c>
      <c r="F245" s="15" t="n"/>
      <c r="G245" s="16" t="n"/>
      <c r="H245" s="17" t="inlineStr">
        <is>
          <t>100335908+100337179+100337109+100336119+100335909+100335910+100337172</t>
        </is>
      </c>
      <c r="I245" s="636" t="n"/>
      <c r="J245" s="17" t="n"/>
      <c r="K245" s="228" t="inlineStr">
        <is>
          <t>тыс.т.</t>
        </is>
      </c>
    </row>
    <row r="246" ht="20.25" customHeight="1" s="904">
      <c r="A246" s="726" t="n"/>
      <c r="B246" s="726" t="n"/>
      <c r="C246" s="1016" t="n"/>
      <c r="D246" s="789" t="inlineStr">
        <is>
          <t>Уренгойское НГКМ фаза 2</t>
        </is>
      </c>
      <c r="E246" s="15" t="n">
        <v>100335908</v>
      </c>
      <c r="F246" s="15" t="n"/>
      <c r="G246" s="16" t="n"/>
      <c r="H246" s="17" t="n"/>
      <c r="I246" s="636" t="n"/>
      <c r="J246" s="17" t="n"/>
      <c r="K246" s="228" t="inlineStr">
        <is>
          <t>тыс.т.</t>
        </is>
      </c>
    </row>
    <row r="247" ht="20.25" customHeight="1" s="904">
      <c r="A247" s="726" t="n"/>
      <c r="B247" s="726" t="n"/>
      <c r="C247" s="1050" t="n"/>
      <c r="D247" s="789" t="inlineStr">
        <is>
          <t>Уренгойское НГКМ (ачимовский участок 3А)</t>
        </is>
      </c>
      <c r="E247" s="774" t="n">
        <v>100337179</v>
      </c>
      <c r="F247" s="774" t="n"/>
      <c r="G247" s="775" t="n"/>
      <c r="H247" s="776" t="n"/>
      <c r="I247" s="776" t="n"/>
      <c r="J247" s="776" t="n"/>
      <c r="K247" s="228" t="inlineStr">
        <is>
          <t>тыс.т.</t>
        </is>
      </c>
    </row>
    <row r="248" ht="20.25" customHeight="1" s="904">
      <c r="A248" s="726" t="n"/>
      <c r="B248" s="726" t="n"/>
      <c r="C248" s="1016" t="n"/>
      <c r="D248" s="789" t="inlineStr">
        <is>
          <t>Уренгойское НГКМ (ачимовский участок 5А)</t>
        </is>
      </c>
      <c r="E248" s="15" t="n">
        <v>100337109</v>
      </c>
      <c r="F248" s="15" t="n"/>
      <c r="G248" s="16" t="n"/>
      <c r="H248" s="17" t="n"/>
      <c r="I248" s="636" t="n"/>
      <c r="J248" s="17" t="n"/>
      <c r="K248" s="228" t="inlineStr">
        <is>
          <t>тыс.т.</t>
        </is>
      </c>
    </row>
    <row r="249" ht="20.25" customHeight="1" s="904">
      <c r="A249" s="726" t="n"/>
      <c r="B249" s="726" t="n"/>
      <c r="C249" s="1016" t="n"/>
      <c r="D249" s="227" t="inlineStr">
        <is>
          <t>Уренгойское НГКМ (ачимовский участок 6А)</t>
        </is>
      </c>
      <c r="E249" s="15" t="n">
        <v>100336119</v>
      </c>
      <c r="F249" s="15" t="n"/>
      <c r="G249" s="16" t="n"/>
      <c r="H249" s="17" t="n"/>
      <c r="I249" s="636" t="n"/>
      <c r="J249" s="17" t="n"/>
      <c r="K249" s="228" t="inlineStr">
        <is>
          <t>тыс.т.</t>
        </is>
      </c>
    </row>
    <row r="250" ht="20.25" customHeight="1" s="904">
      <c r="A250" s="726" t="n"/>
      <c r="B250" s="726" t="n"/>
      <c r="C250" s="1016" t="n"/>
      <c r="D250" s="789" t="inlineStr">
        <is>
          <t>Ен-Яхинское ГКМ</t>
        </is>
      </c>
      <c r="E250" s="15" t="n">
        <v>100335909</v>
      </c>
      <c r="F250" s="15" t="n"/>
      <c r="G250" s="16" t="n"/>
      <c r="H250" s="17" t="n"/>
      <c r="I250" s="636" t="n"/>
      <c r="J250" s="17" t="n"/>
      <c r="K250" s="228" t="inlineStr">
        <is>
          <t>тыс.т.</t>
        </is>
      </c>
    </row>
    <row r="251" ht="20.25" customHeight="1" s="904">
      <c r="A251" s="726" t="n"/>
      <c r="B251" s="726" t="n"/>
      <c r="C251" s="1016" t="n"/>
      <c r="D251" s="789" t="inlineStr">
        <is>
          <t>Песцовое НГКМ</t>
        </is>
      </c>
      <c r="E251" s="15" t="n">
        <v>100335910</v>
      </c>
      <c r="F251" s="15" t="n"/>
      <c r="G251" s="16" t="n"/>
      <c r="H251" s="17" t="n"/>
      <c r="I251" s="636" t="n"/>
      <c r="J251" s="17" t="n"/>
      <c r="K251" s="228" t="inlineStr">
        <is>
          <t>тыс.т.</t>
        </is>
      </c>
    </row>
    <row r="252" ht="20.25" customHeight="1" s="904">
      <c r="A252" s="726" t="n"/>
      <c r="B252" s="726" t="n"/>
      <c r="C252" s="1050" t="n"/>
      <c r="D252" s="789" t="inlineStr">
        <is>
          <t>Ямбургское НГКМ</t>
        </is>
      </c>
      <c r="E252" s="774" t="n">
        <v>100337172</v>
      </c>
      <c r="F252" s="774" t="n"/>
      <c r="G252" s="775" t="n"/>
      <c r="H252" s="776" t="n"/>
      <c r="I252" s="776" t="n"/>
      <c r="J252" s="776" t="n"/>
      <c r="K252" s="228" t="inlineStr">
        <is>
          <t>тыс.т.</t>
        </is>
      </c>
    </row>
    <row r="253" ht="20.25" customHeight="1" s="904">
      <c r="A253" s="726" t="n"/>
      <c r="B253" s="726" t="n"/>
      <c r="C253" s="195" t="inlineStr">
        <is>
          <t>14</t>
        </is>
      </c>
      <c r="D253" s="252" t="inlineStr">
        <is>
          <t>Материальный баланс переработки УВС ("П.3"+"П.4"-"П.5"-"П.6" = 0,000)</t>
        </is>
      </c>
      <c r="E253" s="15" t="n"/>
      <c r="F253" s="15" t="n"/>
      <c r="G253" s="16" t="n"/>
      <c r="H253" s="17" t="n"/>
      <c r="I253" s="636" t="n"/>
      <c r="J253" s="17" t="n"/>
      <c r="K253" s="253" t="inlineStr">
        <is>
          <t>тыс.т.</t>
        </is>
      </c>
    </row>
    <row r="254" ht="20.25" customHeight="1" s="904">
      <c r="A254" s="726" t="n"/>
      <c r="B254" s="726" t="n"/>
      <c r="C254" s="973" t="n"/>
      <c r="D254" s="238" t="inlineStr">
        <is>
          <t>МБ, сырья и продукции УЗПКТ</t>
        </is>
      </c>
      <c r="E254" s="15" t="inlineStr">
        <is>
          <t>100331949</t>
        </is>
      </c>
      <c r="F254" s="15" t="n"/>
      <c r="G254" s="16" t="n"/>
      <c r="H254" s="17" t="inlineStr">
        <is>
          <t>100335891+100335093-100331851+100331848-100331854</t>
        </is>
      </c>
      <c r="I254" s="636" t="n"/>
      <c r="J254" s="17" t="n"/>
      <c r="K254" s="253" t="inlineStr">
        <is>
          <t>тыс.т.</t>
        </is>
      </c>
    </row>
    <row r="255" ht="20.25" customHeight="1" s="904">
      <c r="A255" s="726" t="n"/>
      <c r="B255" s="726" t="n"/>
      <c r="C255" s="973" t="n"/>
      <c r="D255" s="238" t="inlineStr">
        <is>
          <t>МБ, сырья и продукции СЗСК</t>
        </is>
      </c>
      <c r="E255" s="15" t="inlineStr">
        <is>
          <t>100331950</t>
        </is>
      </c>
      <c r="F255" s="15" t="n"/>
      <c r="G255" s="16" t="n"/>
      <c r="H255" s="17" t="inlineStr">
        <is>
          <t>100331842+100331849-100331852-100331855</t>
        </is>
      </c>
      <c r="I255" s="636" t="n"/>
      <c r="J255" s="17" t="n"/>
      <c r="K255" s="253" t="inlineStr">
        <is>
          <t>тыс.т.</t>
        </is>
      </c>
    </row>
    <row r="256" ht="20.25" customHeight="1" s="904">
      <c r="A256" s="726" t="n"/>
      <c r="B256" s="726" t="n"/>
      <c r="C256" s="973" t="n"/>
      <c r="D256" s="238" t="inlineStr">
        <is>
          <t>МБ, сырья и продукции Новатэк</t>
        </is>
      </c>
      <c r="E256" s="15" t="inlineStr">
        <is>
          <t>100335371</t>
        </is>
      </c>
      <c r="F256" s="15" t="n"/>
      <c r="G256" s="16" t="n"/>
      <c r="H256" s="17" t="inlineStr">
        <is>
          <t>100335357-100335361-100335363</t>
        </is>
      </c>
      <c r="I256" s="636" t="n"/>
      <c r="J256" s="17" t="n"/>
      <c r="K256" s="253" t="inlineStr">
        <is>
          <t>тыс.т.</t>
        </is>
      </c>
    </row>
    <row r="257" ht="20.25" customHeight="1" s="904">
      <c r="A257" s="726" t="n"/>
      <c r="B257" s="726" t="n"/>
      <c r="C257" s="973" t="n"/>
      <c r="D257" s="238" t="inlineStr">
        <is>
          <t>МБ, сырья и продукции МУ</t>
        </is>
      </c>
      <c r="E257" s="15" t="inlineStr">
        <is>
          <t>100335372</t>
        </is>
      </c>
      <c r="F257" s="15" t="n"/>
      <c r="G257" s="16" t="n"/>
      <c r="H257" s="17" t="inlineStr">
        <is>
          <t>100335358-100335362-100335364</t>
        </is>
      </c>
      <c r="I257" s="636" t="n"/>
      <c r="J257" s="17" t="n"/>
      <c r="K257" s="976" t="inlineStr">
        <is>
          <t>тыс.т.</t>
        </is>
      </c>
    </row>
    <row r="258" ht="39.75" customHeight="1" s="904">
      <c r="A258" s="726" t="n"/>
      <c r="B258" s="726" t="n"/>
      <c r="C258" s="141" t="n">
        <v>15</v>
      </c>
      <c r="D258" s="254" t="inlineStr">
        <is>
          <t>Производство для реализации ПАО "Газпром"</t>
        </is>
      </c>
      <c r="E258" s="15" t="n"/>
      <c r="F258" s="15" t="n"/>
      <c r="G258" s="16" t="n"/>
      <c r="H258" s="17" t="n"/>
      <c r="I258" s="636" t="n"/>
      <c r="J258" s="17" t="n"/>
      <c r="K258" s="255" t="inlineStr">
        <is>
          <t>тыс.т.</t>
        </is>
      </c>
    </row>
    <row r="259" ht="20.25" customHeight="1" s="904">
      <c r="A259" s="726" t="n"/>
      <c r="B259" s="726" t="n"/>
      <c r="C259" s="141" t="n"/>
      <c r="D259" s="242" t="inlineStr">
        <is>
          <t>УЗПКТ</t>
        </is>
      </c>
      <c r="E259" s="15" t="n"/>
      <c r="F259" s="15" t="inlineStr">
        <is>
          <t>V</t>
        </is>
      </c>
      <c r="G259" s="16" t="n"/>
      <c r="H259" s="17" t="inlineStr">
        <is>
          <t>100331856+100331858+100337120+100335367+100331888+100331900+100331909+100331912+100331916+100331921+100331924+100335444/$1000</t>
        </is>
      </c>
      <c r="I259" s="636" t="n"/>
      <c r="J259" s="17" t="n"/>
      <c r="K259" s="256" t="inlineStr">
        <is>
          <t>тыс.т.</t>
        </is>
      </c>
    </row>
    <row r="260" ht="20.25" customHeight="1" s="904">
      <c r="A260" s="726" t="n"/>
      <c r="B260" s="726" t="n"/>
      <c r="C260" s="141" t="n"/>
      <c r="D260" s="242" t="inlineStr">
        <is>
          <t>СЗСК</t>
        </is>
      </c>
      <c r="E260" s="15" t="n"/>
      <c r="F260" s="15" t="inlineStr">
        <is>
          <t>V</t>
        </is>
      </c>
      <c r="G260" s="16" t="n"/>
      <c r="H260" s="17" t="inlineStr">
        <is>
          <t>100331878+100331889+100331901+100331904+100331905+100331910+100331913+100331917+100331922+100331925+100335445/$1000</t>
        </is>
      </c>
      <c r="I260" s="636" t="n"/>
      <c r="J260" s="17" t="n"/>
      <c r="K260" s="256" t="inlineStr">
        <is>
          <t>тыс.т.</t>
        </is>
      </c>
    </row>
    <row r="261" ht="39.75" customHeight="1" s="904">
      <c r="A261" s="726" t="n"/>
      <c r="B261" s="726" t="n"/>
      <c r="C261" s="213" t="n"/>
      <c r="D261" s="258" t="inlineStr">
        <is>
          <t>Коэффициент выхода</t>
        </is>
      </c>
      <c r="E261" s="774" t="n"/>
      <c r="F261" s="15" t="inlineStr">
        <is>
          <t>V</t>
        </is>
      </c>
      <c r="G261" s="775" t="n"/>
      <c r="H261" s="776" t="n"/>
      <c r="I261" s="776" t="n"/>
      <c r="J261" s="776" t="n"/>
      <c r="K261" s="256" t="n"/>
    </row>
    <row r="262" ht="20.25" customHeight="1" s="904">
      <c r="A262" s="726" t="n"/>
      <c r="B262" s="726" t="n"/>
      <c r="C262" s="1088" t="n"/>
      <c r="D262" s="805" t="inlineStr">
        <is>
          <t>Выход ДК УЗПКТ</t>
        </is>
      </c>
      <c r="E262" s="774" t="n"/>
      <c r="F262" s="15" t="inlineStr">
        <is>
          <t>V</t>
        </is>
      </c>
      <c r="G262" s="775" t="n"/>
      <c r="H262" s="776" t="inlineStr">
        <is>
          <t>(100335892+100335091+100331921+100331916+100331912+100331909)/100335890*100</t>
        </is>
      </c>
      <c r="I262" s="776" t="n"/>
      <c r="J262" s="776" t="n"/>
      <c r="K262" s="256" t="n"/>
    </row>
    <row r="263" ht="20.25" customHeight="1" s="904">
      <c r="A263" s="726" t="n"/>
      <c r="B263" s="726" t="n"/>
      <c r="C263" s="1088" t="n"/>
      <c r="D263" s="805" t="inlineStr">
        <is>
          <t>Выход ГД УЗПКТ</t>
        </is>
      </c>
      <c r="E263" s="774" t="n"/>
      <c r="F263" s="15" t="inlineStr">
        <is>
          <t>V</t>
        </is>
      </c>
      <c r="G263" s="775" t="n"/>
      <c r="H263" s="776" t="inlineStr">
        <is>
          <t>(100335877+(100335877-100331864-100335875))/100335890*100</t>
        </is>
      </c>
      <c r="I263" s="776" t="n"/>
      <c r="J263" s="776" t="n"/>
      <c r="K263" s="256" t="n"/>
    </row>
    <row r="264" ht="39.75" customHeight="1" s="904">
      <c r="A264" s="257" t="n"/>
      <c r="B264" s="257" t="n"/>
      <c r="C264" s="213" t="inlineStr">
        <is>
          <t>16</t>
        </is>
      </c>
      <c r="D264" s="258" t="inlineStr">
        <is>
          <t>Проверка с разделом "Добыча"</t>
        </is>
      </c>
      <c r="E264" s="15" t="n"/>
      <c r="F264" s="15" t="n"/>
      <c r="G264" s="16" t="n"/>
      <c r="H264" s="17" t="n"/>
      <c r="I264" s="636" t="n"/>
      <c r="J264" s="17" t="n"/>
      <c r="K264" s="184" t="n"/>
    </row>
    <row r="265" ht="20.25" customHeight="1" s="904">
      <c r="C265" s="259" t="inlineStr">
        <is>
          <t>16.1</t>
        </is>
      </c>
      <c r="D265" s="260" t="inlineStr">
        <is>
          <t>Поставка НК</t>
        </is>
      </c>
      <c r="E265" s="15" t="n"/>
      <c r="F265" s="15" t="n"/>
      <c r="G265" s="16" t="n"/>
      <c r="H265" s="17" t="n"/>
      <c r="I265" s="636" t="n"/>
      <c r="J265" s="17" t="n"/>
      <c r="K265" s="261" t="inlineStr">
        <is>
          <t>тыс.т.</t>
        </is>
      </c>
    </row>
    <row r="266" ht="20.25" customHeight="1" s="904">
      <c r="C266" s="259" t="n"/>
      <c r="D266" s="262" t="inlineStr">
        <is>
          <t>ПАО "Газпром":</t>
        </is>
      </c>
      <c r="E266" s="15" t="n"/>
      <c r="F266" s="15" t="n"/>
      <c r="G266" s="16" t="n"/>
      <c r="H266" s="17" t="n"/>
      <c r="I266" s="636" t="n"/>
      <c r="J266" s="17" t="n"/>
      <c r="K266" s="261" t="inlineStr">
        <is>
          <t>тыс.т.</t>
        </is>
      </c>
    </row>
    <row r="267" ht="20.25" customHeight="1" s="904">
      <c r="C267" s="1043" t="n"/>
      <c r="D267" s="263" t="inlineStr">
        <is>
          <t>Уренгойское НГКМ и С5+</t>
        </is>
      </c>
      <c r="E267" s="15" t="n"/>
      <c r="F267" s="15" t="n"/>
      <c r="G267" s="16" t="n"/>
      <c r="H267" s="17" t="n"/>
      <c r="I267" s="636" t="n"/>
      <c r="J267" s="17" t="n"/>
      <c r="K267" s="261" t="inlineStr">
        <is>
          <t>тыс.т.</t>
        </is>
      </c>
    </row>
    <row r="268" ht="20.25" customHeight="1" s="904">
      <c r="C268" s="1043" t="n"/>
      <c r="D268" s="263" t="inlineStr">
        <is>
          <t>Ен-Яхинское НГКМ</t>
        </is>
      </c>
      <c r="E268" s="15" t="n"/>
      <c r="F268" s="15" t="n"/>
      <c r="G268" s="16" t="n"/>
      <c r="H268" s="17" t="n"/>
      <c r="I268" s="636" t="n"/>
      <c r="J268" s="17" t="n"/>
      <c r="K268" s="261" t="inlineStr">
        <is>
          <t>тыс.т.</t>
        </is>
      </c>
    </row>
    <row r="269" ht="20.25" customHeight="1" s="904">
      <c r="C269" s="1043" t="n"/>
      <c r="D269" s="263" t="inlineStr">
        <is>
          <t>Уренгойское НГКМ ачим. 1 уч.</t>
        </is>
      </c>
      <c r="E269" s="15" t="n"/>
      <c r="F269" s="15" t="n"/>
      <c r="G269" s="16" t="n"/>
      <c r="H269" s="17" t="n"/>
      <c r="I269" s="636" t="n"/>
      <c r="J269" s="17" t="n"/>
      <c r="K269" s="261" t="inlineStr">
        <is>
          <t>тыс.т.</t>
        </is>
      </c>
    </row>
    <row r="270" ht="20.25" customHeight="1" s="904">
      <c r="C270" s="1043" t="n"/>
      <c r="D270" s="263" t="inlineStr">
        <is>
          <t>Уренгойское НГКМ ачим. 2 уч.</t>
        </is>
      </c>
      <c r="E270" s="15" t="n"/>
      <c r="F270" s="15" t="n"/>
      <c r="G270" s="16" t="n"/>
      <c r="H270" s="17" t="n"/>
      <c r="I270" s="636" t="n"/>
      <c r="J270" s="17" t="n"/>
      <c r="K270" s="261" t="inlineStr">
        <is>
          <t>тыс.т.</t>
        </is>
      </c>
    </row>
    <row r="271" ht="20.25" customHeight="1" s="904">
      <c r="C271" s="1043" t="n"/>
      <c r="D271" s="263" t="inlineStr">
        <is>
          <t>Уренгойское НГКМ ачим. 4 уч.</t>
        </is>
      </c>
      <c r="E271" s="15" t="n"/>
      <c r="F271" s="15" t="n"/>
      <c r="G271" s="16" t="n"/>
      <c r="H271" s="17" t="n"/>
      <c r="I271" s="636" t="n"/>
      <c r="J271" s="17" t="n"/>
      <c r="K271" s="261" t="inlineStr">
        <is>
          <t>тыс.т.</t>
        </is>
      </c>
    </row>
    <row r="272" ht="20.25" customHeight="1" s="904">
      <c r="C272" s="1043" t="n"/>
      <c r="D272" s="263" t="inlineStr">
        <is>
          <t>Уренгойское НГКМ ачим. 5 уч.</t>
        </is>
      </c>
      <c r="E272" s="15" t="n"/>
      <c r="F272" s="15" t="n"/>
      <c r="G272" s="16" t="n"/>
      <c r="H272" s="17" t="n"/>
      <c r="I272" s="636" t="n"/>
      <c r="J272" s="17" t="n"/>
      <c r="K272" s="261" t="inlineStr">
        <is>
          <t>тыс.т.</t>
        </is>
      </c>
    </row>
    <row r="273" ht="20.25" customHeight="1" s="904">
      <c r="C273" s="1043" t="n"/>
      <c r="D273" s="264" t="inlineStr">
        <is>
          <t>ДРОД:</t>
        </is>
      </c>
      <c r="E273" s="15" t="n"/>
      <c r="F273" s="15" t="n"/>
      <c r="G273" s="16" t="n"/>
      <c r="H273" s="17" t="n"/>
      <c r="I273" s="636" t="n"/>
      <c r="J273" s="17" t="n"/>
      <c r="K273" s="261" t="inlineStr">
        <is>
          <t>тыс.т.</t>
        </is>
      </c>
    </row>
    <row r="274" ht="20.25" customHeight="1" s="904">
      <c r="C274" s="1043" t="n"/>
      <c r="D274" s="263" t="inlineStr">
        <is>
          <t>Уренгойское НГКМ (Фаза 3) ДРОД</t>
        </is>
      </c>
      <c r="E274" s="15" t="n"/>
      <c r="F274" s="15" t="n"/>
      <c r="G274" s="16" t="n"/>
      <c r="H274" s="17" t="n"/>
      <c r="I274" s="636" t="n"/>
      <c r="J274" s="17" t="n"/>
      <c r="K274" s="261" t="inlineStr">
        <is>
          <t>тыс.т.</t>
        </is>
      </c>
    </row>
    <row r="275" ht="20.25" customHeight="1" s="904">
      <c r="C275" s="1043" t="n"/>
      <c r="D275" s="263" t="inlineStr">
        <is>
          <t>Ен-Яхинское НГКМ БУ-12  (включая ШФЛУ) ДРОД</t>
        </is>
      </c>
      <c r="E275" s="15" t="n"/>
      <c r="F275" s="15" t="n"/>
      <c r="G275" s="16" t="n"/>
      <c r="H275" s="17" t="n"/>
      <c r="I275" s="636" t="n"/>
      <c r="J275" s="17" t="n"/>
      <c r="K275" s="261" t="inlineStr">
        <is>
          <t>тыс.т.</t>
        </is>
      </c>
    </row>
    <row r="276" ht="20.25" customHeight="1" s="904">
      <c r="C276" s="1043" t="n"/>
      <c r="D276" s="263" t="inlineStr">
        <is>
          <t>Уренгойское НГКМ ачим. 3 уч. ДРОД</t>
        </is>
      </c>
      <c r="E276" s="15" t="n"/>
      <c r="F276" s="15" t="n"/>
      <c r="G276" s="16" t="n"/>
      <c r="H276" s="17" t="n"/>
      <c r="I276" s="636" t="n"/>
      <c r="J276" s="17" t="n"/>
      <c r="K276" s="261" t="inlineStr">
        <is>
          <t>тыс.т.</t>
        </is>
      </c>
    </row>
    <row r="277" ht="20.25" customHeight="1" s="904">
      <c r="C277" s="1043" t="n"/>
      <c r="D277" s="263" t="inlineStr">
        <is>
          <t>Песцовое НГКМ  (валанжин) (включая ШФЛУ) ДРОД</t>
        </is>
      </c>
      <c r="E277" s="15" t="n"/>
      <c r="F277" s="15" t="n"/>
      <c r="G277" s="16" t="n"/>
      <c r="H277" s="17" t="n"/>
      <c r="I277" s="636" t="n"/>
      <c r="J277" s="17" t="n"/>
      <c r="K277" s="261" t="inlineStr">
        <is>
          <t>тыс.т.</t>
        </is>
      </c>
    </row>
    <row r="278" ht="20.25" customHeight="1" s="904">
      <c r="C278" s="1043" t="n"/>
      <c r="D278" s="263" t="inlineStr">
        <is>
          <t>Песцовое НГКМ ачим  (включая ШФЛУ) ДРОД</t>
        </is>
      </c>
      <c r="E278" s="15" t="n"/>
      <c r="F278" s="15" t="n"/>
      <c r="G278" s="16" t="n"/>
      <c r="H278" s="17" t="n"/>
      <c r="I278" s="636" t="n"/>
      <c r="J278" s="17" t="n"/>
      <c r="K278" s="261" t="inlineStr">
        <is>
          <t>тыс.т.</t>
        </is>
      </c>
    </row>
    <row r="279" ht="20.25" customHeight="1" s="904">
      <c r="C279" s="259" t="inlineStr">
        <is>
          <t>16.2</t>
        </is>
      </c>
      <c r="D279" s="265" t="inlineStr">
        <is>
          <t>Поставка нефти</t>
        </is>
      </c>
      <c r="E279" s="15" t="n"/>
      <c r="F279" s="15" t="n"/>
      <c r="G279" s="16" t="n"/>
      <c r="H279" s="17" t="n"/>
      <c r="I279" s="636" t="n"/>
      <c r="J279" s="17" t="n"/>
      <c r="K279" s="261" t="inlineStr">
        <is>
          <t>тыс.т.</t>
        </is>
      </c>
    </row>
    <row r="280" ht="20.25" customHeight="1" s="904">
      <c r="C280" s="1043" t="n"/>
      <c r="D280" s="262" t="inlineStr">
        <is>
          <t>ПАО "Газпром":</t>
        </is>
      </c>
      <c r="E280" s="15" t="n"/>
      <c r="F280" s="15" t="n"/>
      <c r="G280" s="16" t="n"/>
      <c r="H280" s="17" t="n"/>
      <c r="I280" s="636" t="n"/>
      <c r="J280" s="17" t="n"/>
      <c r="K280" s="261" t="inlineStr">
        <is>
          <t>тыс.т.</t>
        </is>
      </c>
    </row>
    <row r="281" ht="20.25" customHeight="1" s="904">
      <c r="C281" s="1043" t="n"/>
      <c r="D281" s="263" t="inlineStr">
        <is>
          <t>Уренгойское НГКМ</t>
        </is>
      </c>
      <c r="E281" s="15" t="n"/>
      <c r="F281" s="15" t="n"/>
      <c r="G281" s="16" t="n"/>
      <c r="H281" s="17" t="n"/>
      <c r="I281" s="636" t="n"/>
      <c r="J281" s="17" t="n"/>
      <c r="K281" s="261" t="inlineStr">
        <is>
          <t>тыс.т.</t>
        </is>
      </c>
    </row>
    <row r="282" ht="20.25" customHeight="1" s="904">
      <c r="C282" s="1043" t="n"/>
      <c r="D282" s="262" t="inlineStr">
        <is>
          <t>ДРОД:</t>
        </is>
      </c>
      <c r="E282" s="15" t="n"/>
      <c r="F282" s="15" t="n"/>
      <c r="G282" s="16" t="n"/>
      <c r="H282" s="17" t="n"/>
      <c r="I282" s="636" t="n"/>
      <c r="J282" s="17" t="n"/>
      <c r="K282" s="261" t="inlineStr">
        <is>
          <t>тыс.т.</t>
        </is>
      </c>
    </row>
    <row r="283" ht="20.25" customHeight="1" s="904">
      <c r="C283" s="1043" t="n"/>
      <c r="D283" s="263" t="inlineStr">
        <is>
          <t>Уренгойское НГКМ, Фаза 2 (Нефть)</t>
        </is>
      </c>
      <c r="E283" s="15" t="n"/>
      <c r="F283" s="15" t="n"/>
      <c r="G283" s="16" t="n"/>
      <c r="H283" s="17" t="n"/>
      <c r="I283" s="636" t="n"/>
      <c r="J283" s="17" t="n"/>
      <c r="K283" s="261" t="inlineStr">
        <is>
          <t>тыс.т.</t>
        </is>
      </c>
    </row>
    <row r="284" ht="20.25" customHeight="1" s="904">
      <c r="C284" s="1043" t="n"/>
      <c r="D284" s="263" t="inlineStr">
        <is>
          <t>Уренгойское НГКМ ачим. 5 уч. (Нефть)</t>
        </is>
      </c>
      <c r="E284" s="15" t="n"/>
      <c r="F284" s="15" t="n"/>
      <c r="G284" s="16" t="n"/>
      <c r="H284" s="17" t="n"/>
      <c r="I284" s="636" t="n"/>
      <c r="J284" s="17" t="n"/>
      <c r="K284" s="261" t="inlineStr">
        <is>
          <t>тыс.т.</t>
        </is>
      </c>
    </row>
    <row r="285" ht="20.25" customHeight="1" s="904">
      <c r="C285" s="1043" t="n"/>
      <c r="D285" s="263" t="inlineStr">
        <is>
          <t>Уренгойское НГКМ ачим. 6 уч. (Нефть)</t>
        </is>
      </c>
      <c r="E285" s="15" t="n"/>
      <c r="F285" s="15" t="n"/>
      <c r="G285" s="16" t="n"/>
      <c r="H285" s="17" t="n"/>
      <c r="I285" s="636" t="n"/>
      <c r="J285" s="17" t="n"/>
      <c r="K285" s="261" t="inlineStr">
        <is>
          <t>тыс.т.</t>
        </is>
      </c>
    </row>
    <row r="286" ht="20.25" customHeight="1" s="904">
      <c r="C286" s="1043" t="n"/>
      <c r="D286" s="263" t="inlineStr">
        <is>
          <t>Ен-Яхинское НГКМ БУ-12 (Нефть)</t>
        </is>
      </c>
      <c r="E286" s="15" t="n"/>
      <c r="F286" s="15" t="n"/>
      <c r="G286" s="16" t="n"/>
      <c r="H286" s="17" t="n"/>
      <c r="I286" s="636" t="n"/>
      <c r="J286" s="17" t="n"/>
      <c r="K286" s="261" t="inlineStr">
        <is>
          <t>тыс.т.</t>
        </is>
      </c>
    </row>
    <row r="287" ht="20.25" customHeight="1" s="904">
      <c r="C287" s="1043" t="n"/>
      <c r="D287" s="263" t="inlineStr">
        <is>
          <t>Песцовое НГКМ (Нефть)</t>
        </is>
      </c>
      <c r="E287" s="15" t="n"/>
      <c r="F287" s="15" t="n"/>
      <c r="G287" s="16" t="n"/>
      <c r="H287" s="17" t="n"/>
      <c r="I287" s="636" t="n"/>
      <c r="J287" s="17" t="n"/>
      <c r="K287" s="261" t="inlineStr">
        <is>
          <t>тыс.т.</t>
        </is>
      </c>
    </row>
    <row r="288" ht="39.75" customHeight="1" s="904">
      <c r="C288" s="259" t="inlineStr">
        <is>
          <t>17</t>
        </is>
      </c>
      <c r="D288" s="258" t="inlineStr">
        <is>
          <t>Проверка с ООО "Газпром добыча Уренгой" "Переработка"</t>
        </is>
      </c>
      <c r="E288" s="15" t="n"/>
      <c r="F288" s="15" t="n"/>
      <c r="G288" s="16" t="n"/>
      <c r="H288" s="17" t="n"/>
      <c r="I288" s="636" t="n"/>
      <c r="J288" s="17" t="n"/>
      <c r="K288" s="266" t="n"/>
    </row>
    <row r="289" ht="20.25" customHeight="1" s="904">
      <c r="C289" s="259" t="inlineStr">
        <is>
          <t>17.1</t>
        </is>
      </c>
      <c r="D289" s="260" t="inlineStr">
        <is>
          <t>Поставка НК и ШФЛУ</t>
        </is>
      </c>
      <c r="E289" s="15" t="n"/>
      <c r="F289" s="15" t="n"/>
      <c r="G289" s="16" t="n"/>
      <c r="H289" s="17" t="n"/>
      <c r="I289" s="636" t="n"/>
      <c r="J289" s="17" t="n"/>
      <c r="K289" s="266" t="inlineStr">
        <is>
          <t>тыс.т.</t>
        </is>
      </c>
    </row>
    <row r="290" ht="20.25" customHeight="1" s="904">
      <c r="C290" s="259" t="n"/>
      <c r="D290" s="267" t="inlineStr">
        <is>
          <t>ООО "Газпром добыча Ямбург"</t>
        </is>
      </c>
      <c r="E290" s="15" t="n"/>
      <c r="F290" s="15" t="inlineStr">
        <is>
          <t>V</t>
        </is>
      </c>
      <c r="G290" s="16" t="n"/>
      <c r="H290" s="17" t="inlineStr">
        <is>
          <t>100331801-7_100330893</t>
        </is>
      </c>
      <c r="I290" s="636" t="n"/>
      <c r="J290" s="17" t="n"/>
      <c r="K290" s="261" t="inlineStr">
        <is>
          <t>тыс.т.</t>
        </is>
      </c>
    </row>
    <row r="291" ht="20.25" customHeight="1" s="904">
      <c r="C291" s="268" t="n"/>
      <c r="D291" s="263" t="inlineStr">
        <is>
          <t xml:space="preserve">Заполярное НГКМ </t>
        </is>
      </c>
      <c r="E291" s="15" t="n"/>
      <c r="F291" s="15" t="inlineStr">
        <is>
          <t>V</t>
        </is>
      </c>
      <c r="G291" s="16" t="n"/>
      <c r="H291" s="17" t="inlineStr">
        <is>
          <t>100331802-7_100330894</t>
        </is>
      </c>
      <c r="I291" s="636" t="n"/>
      <c r="J291" s="17" t="n"/>
      <c r="K291" s="261" t="inlineStr">
        <is>
          <t>тыс.т.</t>
        </is>
      </c>
    </row>
    <row r="292" ht="20.25" customHeight="1" s="904">
      <c r="C292" s="268" t="n"/>
      <c r="D292" s="263" t="inlineStr">
        <is>
          <t>Ямбургское НГКМ</t>
        </is>
      </c>
      <c r="E292" s="15" t="n"/>
      <c r="F292" s="15" t="inlineStr">
        <is>
          <t>V</t>
        </is>
      </c>
      <c r="G292" s="16" t="n"/>
      <c r="H292" s="17" t="inlineStr">
        <is>
          <t>100331803-7_100330895</t>
        </is>
      </c>
      <c r="I292" s="636" t="n"/>
      <c r="J292" s="17" t="n"/>
      <c r="K292" s="261" t="inlineStr">
        <is>
          <t>тыс.т.</t>
        </is>
      </c>
    </row>
    <row r="293" ht="20.25" customHeight="1" s="904">
      <c r="C293" s="259" t="n"/>
      <c r="D293" s="267" t="inlineStr">
        <is>
          <t>ООО "Газпром добыча Уренгой"</t>
        </is>
      </c>
      <c r="E293" s="15" t="n"/>
      <c r="F293" s="15" t="inlineStr">
        <is>
          <t>V</t>
        </is>
      </c>
      <c r="G293" s="16" t="n"/>
      <c r="H293" s="17" t="inlineStr">
        <is>
          <t>100331804-8_100335944</t>
        </is>
      </c>
      <c r="I293" s="636" t="n"/>
      <c r="J293" s="17" t="n"/>
      <c r="K293" s="266" t="inlineStr">
        <is>
          <t>тыс.т.</t>
        </is>
      </c>
    </row>
    <row r="294" ht="20.25" customHeight="1" s="904">
      <c r="C294" s="268" t="n"/>
      <c r="D294" s="269" t="inlineStr">
        <is>
          <t>Уренгойское НГКМ</t>
        </is>
      </c>
      <c r="E294" s="15" t="n"/>
      <c r="F294" s="15" t="inlineStr">
        <is>
          <t>V</t>
        </is>
      </c>
      <c r="G294" s="16" t="n"/>
      <c r="H294" s="17" t="inlineStr">
        <is>
          <t>100331805-8_100330637</t>
        </is>
      </c>
      <c r="I294" s="636" t="n"/>
      <c r="J294" s="17" t="n"/>
      <c r="K294" s="261" t="inlineStr">
        <is>
          <t>тыс.т.</t>
        </is>
      </c>
    </row>
    <row r="295" ht="20.25" customHeight="1" s="904">
      <c r="C295" s="268" t="n"/>
      <c r="D295" s="269" t="inlineStr">
        <is>
          <t>С5+ от подготовки газа деэтанизации</t>
        </is>
      </c>
      <c r="E295" s="15" t="n"/>
      <c r="F295" s="15" t="inlineStr">
        <is>
          <t>V</t>
        </is>
      </c>
      <c r="G295" s="16" t="n"/>
      <c r="H295" s="17" t="inlineStr">
        <is>
          <t>100337100-8_100337099</t>
        </is>
      </c>
      <c r="I295" s="636" t="n"/>
      <c r="J295" s="17" t="n"/>
      <c r="K295" s="261" t="inlineStr">
        <is>
          <t>тыс.т.</t>
        </is>
      </c>
    </row>
    <row r="296" ht="20.25" customHeight="1" s="904">
      <c r="C296" s="268" t="n"/>
      <c r="D296" s="269" t="inlineStr">
        <is>
          <t>Уренгойское НГКМ (Фаза 3) ДРОД</t>
        </is>
      </c>
      <c r="E296" s="15" t="n"/>
      <c r="F296" s="15" t="inlineStr">
        <is>
          <t>V</t>
        </is>
      </c>
      <c r="G296" s="16" t="n"/>
      <c r="H296" s="17" t="inlineStr">
        <is>
          <t>100335855-8_100335598</t>
        </is>
      </c>
      <c r="I296" s="636" t="n"/>
      <c r="J296" s="17" t="n"/>
      <c r="K296" s="261" t="inlineStr">
        <is>
          <t>тыс.т.</t>
        </is>
      </c>
    </row>
    <row r="297" ht="20.25" customHeight="1" s="904">
      <c r="C297" s="268" t="n"/>
      <c r="D297" s="269" t="inlineStr">
        <is>
          <t>Ен-Яхинское НГКМ</t>
        </is>
      </c>
      <c r="E297" s="15" t="n"/>
      <c r="F297" s="15" t="inlineStr">
        <is>
          <t>V</t>
        </is>
      </c>
      <c r="G297" s="16" t="n"/>
      <c r="H297" s="17" t="inlineStr">
        <is>
          <t>100331806-8_100330638</t>
        </is>
      </c>
      <c r="I297" s="636" t="n"/>
      <c r="J297" s="17" t="n"/>
      <c r="K297" s="261" t="inlineStr">
        <is>
          <t>тыс.т.</t>
        </is>
      </c>
    </row>
    <row r="298" ht="20.25" customHeight="1" s="904">
      <c r="C298" s="268" t="n"/>
      <c r="D298" s="269" t="inlineStr">
        <is>
          <t>Ен-Яхинское НГКМ БУ-12  (включая ШФЛУ) ДРОД</t>
        </is>
      </c>
      <c r="E298" s="15" t="n"/>
      <c r="F298" s="15" t="inlineStr">
        <is>
          <t>V</t>
        </is>
      </c>
      <c r="G298" s="16" t="n"/>
      <c r="H298" s="17" t="inlineStr">
        <is>
          <t>100335856-8_100335599</t>
        </is>
      </c>
      <c r="I298" s="636" t="n"/>
      <c r="J298" s="17" t="n"/>
      <c r="K298" s="261" t="inlineStr">
        <is>
          <t>тыс.т.</t>
        </is>
      </c>
    </row>
    <row r="299" ht="20.25" customHeight="1" s="904">
      <c r="C299" s="268" t="n"/>
      <c r="D299" s="269" t="inlineStr">
        <is>
          <t>Уренгойское НГКМ ачим. 1 уч.</t>
        </is>
      </c>
      <c r="E299" s="15" t="n"/>
      <c r="F299" s="15" t="inlineStr">
        <is>
          <t>V</t>
        </is>
      </c>
      <c r="G299" s="16" t="n"/>
      <c r="H299" s="17" t="inlineStr">
        <is>
          <t>100331807-8_100330639</t>
        </is>
      </c>
      <c r="I299" s="636" t="n"/>
      <c r="J299" s="17" t="n"/>
      <c r="K299" s="261" t="inlineStr">
        <is>
          <t>тыс.т.</t>
        </is>
      </c>
    </row>
    <row r="300" ht="20.25" customHeight="1" s="904">
      <c r="C300" s="268" t="n"/>
      <c r="D300" s="269" t="inlineStr">
        <is>
          <t>Уренгойское НГКМ ачим. 2 уч.</t>
        </is>
      </c>
      <c r="E300" s="15" t="n"/>
      <c r="F300" s="15" t="inlineStr">
        <is>
          <t>V</t>
        </is>
      </c>
      <c r="G300" s="16" t="n"/>
      <c r="H300" s="17" t="inlineStr">
        <is>
          <t>100331808-8_100330640</t>
        </is>
      </c>
      <c r="I300" s="636" t="n"/>
      <c r="J300" s="17" t="n"/>
      <c r="K300" s="261" t="inlineStr">
        <is>
          <t>тыс.т.</t>
        </is>
      </c>
    </row>
    <row r="301" ht="20.25" customHeight="1" s="904">
      <c r="C301" s="268" t="n"/>
      <c r="D301" s="269" t="inlineStr">
        <is>
          <t>Уренгойское НГКМ ачим. 3 уч. ДРОД</t>
        </is>
      </c>
      <c r="E301" s="15" t="n"/>
      <c r="F301" s="15" t="inlineStr">
        <is>
          <t>V</t>
        </is>
      </c>
      <c r="G301" s="16" t="n"/>
      <c r="H301" s="17" t="inlineStr">
        <is>
          <t>100335857-8_100333692-8_100335600</t>
        </is>
      </c>
      <c r="I301" s="636" t="n"/>
      <c r="J301" s="17" t="n"/>
      <c r="K301" s="261" t="inlineStr">
        <is>
          <t>тыс.т.</t>
        </is>
      </c>
    </row>
    <row r="302" ht="20.25" customHeight="1" s="904">
      <c r="C302" s="268" t="n"/>
      <c r="D302" s="269" t="inlineStr">
        <is>
          <t>Песцовое НГКМ  (валанжин) (включая ШФЛУ) ДРОД</t>
        </is>
      </c>
      <c r="E302" s="15" t="n"/>
      <c r="F302" s="15" t="inlineStr">
        <is>
          <t>V</t>
        </is>
      </c>
      <c r="G302" s="16" t="n"/>
      <c r="H302" s="17" t="inlineStr">
        <is>
          <t>100335859-8_100335471</t>
        </is>
      </c>
      <c r="I302" s="636" t="n"/>
      <c r="J302" s="17" t="n"/>
      <c r="K302" s="261" t="inlineStr">
        <is>
          <t>тыс.т.</t>
        </is>
      </c>
    </row>
    <row r="303" ht="20.25" customHeight="1" s="904">
      <c r="C303" s="268" t="n"/>
      <c r="D303" s="269" t="inlineStr">
        <is>
          <t>Песцовое НГКМ ачим  (включая ШФЛУ) ДРОД</t>
        </is>
      </c>
      <c r="E303" s="15" t="n"/>
      <c r="F303" s="15" t="inlineStr">
        <is>
          <t>V</t>
        </is>
      </c>
      <c r="G303" s="16" t="n"/>
      <c r="H303" s="17" t="inlineStr">
        <is>
          <t>100335860-8_100335602</t>
        </is>
      </c>
      <c r="I303" s="636" t="n"/>
      <c r="J303" s="17" t="n"/>
      <c r="K303" s="261" t="inlineStr">
        <is>
          <t>тыс.т.</t>
        </is>
      </c>
    </row>
    <row r="304" ht="20.25" customHeight="1" s="904">
      <c r="C304" s="270" t="n"/>
      <c r="D304" s="267" t="inlineStr">
        <is>
          <t>АО "Ачим сбыт"</t>
        </is>
      </c>
      <c r="E304" s="15" t="n"/>
      <c r="F304" s="15" t="inlineStr">
        <is>
          <t>V</t>
        </is>
      </c>
      <c r="G304" s="16" t="n"/>
      <c r="H304" s="17" t="inlineStr">
        <is>
          <t>100335033-8_100335052</t>
        </is>
      </c>
      <c r="I304" s="636" t="n"/>
      <c r="J304" s="17" t="n"/>
      <c r="K304" s="266" t="inlineStr">
        <is>
          <t>тыс.т.</t>
        </is>
      </c>
    </row>
    <row r="305" ht="20.25" customHeight="1" s="904">
      <c r="C305" s="268" t="n"/>
      <c r="D305" s="263" t="inlineStr">
        <is>
          <t>Ачимовские отл. 4 уч.</t>
        </is>
      </c>
      <c r="E305" s="15" t="n"/>
      <c r="F305" s="15" t="inlineStr">
        <is>
          <t>V</t>
        </is>
      </c>
      <c r="G305" s="16" t="n"/>
      <c r="H305" s="17" t="inlineStr">
        <is>
          <t>100331809-8_100330641</t>
        </is>
      </c>
      <c r="I305" s="636" t="n"/>
      <c r="J305" s="17" t="n"/>
      <c r="K305" s="261" t="inlineStr">
        <is>
          <t>тыс.т.</t>
        </is>
      </c>
    </row>
    <row r="306" ht="20.25" customHeight="1" s="904">
      <c r="C306" s="268" t="n"/>
      <c r="D306" s="263" t="inlineStr">
        <is>
          <t>Ачимовские отл. 5 уч.</t>
        </is>
      </c>
      <c r="E306" s="15" t="n"/>
      <c r="F306" s="15" t="inlineStr">
        <is>
          <t>V</t>
        </is>
      </c>
      <c r="G306" s="16" t="n"/>
      <c r="H306" s="17" t="inlineStr">
        <is>
          <t>100331810-8_100330642</t>
        </is>
      </c>
      <c r="I306" s="636" t="n"/>
      <c r="J306" s="17" t="n"/>
      <c r="K306" s="261" t="inlineStr">
        <is>
          <t>тыс.т.</t>
        </is>
      </c>
    </row>
    <row r="307" ht="20.25" customHeight="1" s="904">
      <c r="C307" s="270" t="n"/>
      <c r="D307" s="267" t="inlineStr">
        <is>
          <t>ООО "Газпром добыча Ноябрьск"</t>
        </is>
      </c>
      <c r="E307" s="15" t="n"/>
      <c r="F307" s="15" t="inlineStr">
        <is>
          <t>V</t>
        </is>
      </c>
      <c r="G307" s="16" t="n"/>
      <c r="H307" s="17" t="inlineStr">
        <is>
          <t>100331812-10_100330732</t>
        </is>
      </c>
      <c r="I307" s="636" t="n"/>
      <c r="J307" s="17" t="n"/>
      <c r="K307" s="266" t="inlineStr">
        <is>
          <t>тыс.т.</t>
        </is>
      </c>
    </row>
    <row r="308" ht="20.25" customHeight="1" s="904">
      <c r="C308" s="268" t="n"/>
      <c r="D308" s="263" t="inlineStr">
        <is>
          <t>Западно-Таркосалинское НГКМ</t>
        </is>
      </c>
      <c r="E308" s="15" t="n"/>
      <c r="F308" s="15" t="inlineStr">
        <is>
          <t>V</t>
        </is>
      </c>
      <c r="G308" s="16" t="n"/>
      <c r="H308" s="17" t="inlineStr">
        <is>
          <t>100335862-10_100330861</t>
        </is>
      </c>
      <c r="I308" s="636" t="n"/>
      <c r="J308" s="17" t="n"/>
      <c r="K308" s="261" t="inlineStr">
        <is>
          <t>тыс.т.</t>
        </is>
      </c>
    </row>
    <row r="309" ht="20.25" customHeight="1" s="904">
      <c r="C309" s="259" t="inlineStr">
        <is>
          <t>17.2</t>
        </is>
      </c>
      <c r="D309" s="260" t="inlineStr">
        <is>
          <t>Поставка нефти</t>
        </is>
      </c>
      <c r="E309" s="15" t="n"/>
      <c r="F309" s="15" t="inlineStr">
        <is>
          <t>V</t>
        </is>
      </c>
      <c r="G309" s="16" t="n"/>
      <c r="H309" s="17" t="inlineStr">
        <is>
          <t>100335865-8_100330648</t>
        </is>
      </c>
      <c r="I309" s="636" t="n"/>
      <c r="J309" s="17" t="n"/>
      <c r="K309" s="266" t="inlineStr">
        <is>
          <t>тыс.т.</t>
        </is>
      </c>
    </row>
    <row r="310" ht="20.25" customHeight="1" s="904">
      <c r="C310" s="271" t="n"/>
      <c r="D310" s="272" t="inlineStr">
        <is>
          <t>Уренгойское НГКМ</t>
        </is>
      </c>
      <c r="E310" s="15" t="n"/>
      <c r="F310" s="15" t="inlineStr">
        <is>
          <t>V</t>
        </is>
      </c>
      <c r="G310" s="16" t="n"/>
      <c r="H310" s="17" t="inlineStr">
        <is>
          <t>100331814-8_100330649</t>
        </is>
      </c>
      <c r="I310" s="636" t="n"/>
      <c r="J310" s="17" t="n"/>
      <c r="K310" s="261" t="inlineStr">
        <is>
          <t>тыс.т.</t>
        </is>
      </c>
    </row>
    <row r="311" ht="20.25" customHeight="1" s="904">
      <c r="C311" s="259" t="inlineStr">
        <is>
          <t>17.3</t>
        </is>
      </c>
      <c r="D311" s="260" t="inlineStr">
        <is>
          <t>Проверка газа деэтанизации</t>
        </is>
      </c>
      <c r="E311" s="15" t="n"/>
      <c r="F311" s="15" t="n"/>
      <c r="G311" s="16" t="n"/>
      <c r="H311" s="17" t="n"/>
      <c r="I311" s="636" t="n"/>
      <c r="J311" s="17" t="n"/>
      <c r="K311" s="266" t="inlineStr">
        <is>
          <t>тыс.т.</t>
        </is>
      </c>
    </row>
    <row r="312" ht="20.25" customHeight="1" s="904">
      <c r="C312" s="273" t="n"/>
      <c r="D312" s="1018" t="inlineStr">
        <is>
          <t>УЗПКТ в адрес ООО "Газпром добыча Уренгой"</t>
        </is>
      </c>
      <c r="E312" s="15" t="n"/>
      <c r="F312" s="15" t="inlineStr">
        <is>
          <t>V</t>
        </is>
      </c>
      <c r="G312" s="16" t="n"/>
      <c r="H312" s="17" t="inlineStr">
        <is>
          <t>100331856-8_100332321</t>
        </is>
      </c>
      <c r="I312" s="636" t="n"/>
      <c r="J312" s="17" t="n"/>
      <c r="K312" s="261" t="inlineStr">
        <is>
          <t>тыс.т.</t>
        </is>
      </c>
    </row>
    <row r="313" ht="20.25" customHeight="1" s="904">
      <c r="C313" s="274" t="n"/>
      <c r="D313" s="919" t="n"/>
      <c r="E313" s="15" t="n"/>
      <c r="F313" s="15" t="inlineStr">
        <is>
          <t>V</t>
        </is>
      </c>
      <c r="G313" s="16" t="n"/>
      <c r="H313" s="17" t="inlineStr">
        <is>
          <t>100331857-8_100332322</t>
        </is>
      </c>
      <c r="I313" s="636" t="n"/>
      <c r="J313" s="17" t="n"/>
      <c r="K313" s="261" t="inlineStr">
        <is>
          <t>тыс.т.</t>
        </is>
      </c>
    </row>
    <row r="314" ht="20.25" customHeight="1" s="904">
      <c r="C314" s="271" t="n"/>
      <c r="D314" s="1018" t="inlineStr">
        <is>
          <t>УЗПКТ на подготовку на мощностях ГДУ, 
собственность ПАО "Газпром"</t>
        </is>
      </c>
      <c r="E314" s="15" t="n"/>
      <c r="F314" s="15" t="inlineStr">
        <is>
          <t>V</t>
        </is>
      </c>
      <c r="G314" s="16" t="n"/>
      <c r="H314" s="17" t="inlineStr">
        <is>
          <t>100337118-8_100337114</t>
        </is>
      </c>
      <c r="I314" s="636" t="n"/>
      <c r="J314" s="17" t="n"/>
      <c r="K314" s="261" t="inlineStr">
        <is>
          <t>тыс.т.</t>
        </is>
      </c>
    </row>
    <row r="315" ht="20.25" customHeight="1" s="904">
      <c r="C315" s="271" t="n"/>
      <c r="D315" s="919" t="n"/>
      <c r="E315" s="15" t="n"/>
      <c r="F315" s="15" t="inlineStr">
        <is>
          <t>V</t>
        </is>
      </c>
      <c r="G315" s="16" t="n"/>
      <c r="H315" s="17" t="inlineStr">
        <is>
          <t>100337119-8_100337115</t>
        </is>
      </c>
      <c r="I315" s="636" t="n"/>
      <c r="J315" s="17" t="n"/>
      <c r="K315" s="261" t="inlineStr">
        <is>
          <t>тыс.т.</t>
        </is>
      </c>
    </row>
    <row r="316" ht="20.25" customHeight="1" s="904">
      <c r="C316" s="271" t="n"/>
      <c r="D316" s="1018" t="inlineStr">
        <is>
          <t>УЗПКТ на Новоуренгойский ГХК</t>
        </is>
      </c>
      <c r="E316" s="15" t="n"/>
      <c r="F316" s="15" t="inlineStr">
        <is>
          <t>V</t>
        </is>
      </c>
      <c r="G316" s="16" t="n"/>
      <c r="H316" s="17" t="inlineStr">
        <is>
          <t>100337120-8_100337116</t>
        </is>
      </c>
      <c r="I316" s="636" t="n"/>
      <c r="J316" s="17" t="n"/>
      <c r="K316" s="261" t="inlineStr">
        <is>
          <t>тыс.т.</t>
        </is>
      </c>
    </row>
    <row r="317" ht="20.25" customHeight="1" s="904">
      <c r="C317" s="271" t="n"/>
      <c r="D317" s="919" t="n"/>
      <c r="E317" s="15" t="n"/>
      <c r="F317" s="15" t="inlineStr">
        <is>
          <t>V</t>
        </is>
      </c>
      <c r="G317" s="16" t="n"/>
      <c r="H317" s="17" t="inlineStr">
        <is>
          <t>100337121-8_100337117</t>
        </is>
      </c>
      <c r="I317" s="636" t="n"/>
      <c r="J317" s="17" t="n"/>
      <c r="K317" s="261" t="inlineStr">
        <is>
          <t>тыс.т.</t>
        </is>
      </c>
    </row>
    <row r="318" ht="20.25" customHeight="1" s="904">
      <c r="C318" s="259" t="inlineStr">
        <is>
          <t>17.4</t>
        </is>
      </c>
      <c r="D318" s="260" t="inlineStr">
        <is>
          <t>Транспортировка нефтегазоконденсатной смеси по объектам альтернативной схемы:</t>
        </is>
      </c>
      <c r="E318" s="15" t="n"/>
      <c r="F318" s="15" t="n"/>
      <c r="G318" s="16" t="n"/>
      <c r="H318" s="17" t="n"/>
      <c r="I318" s="636" t="n"/>
      <c r="J318" s="17" t="n"/>
      <c r="K318" s="266" t="inlineStr">
        <is>
          <t>тыс.т.</t>
        </is>
      </c>
    </row>
    <row r="319" ht="20.25" customHeight="1" s="904">
      <c r="C319" s="275" t="n"/>
      <c r="D319" s="276" t="inlineStr">
        <is>
          <t>Стабильный газовый конденсат (нефть) ДРОД</t>
        </is>
      </c>
      <c r="E319" s="15" t="n"/>
      <c r="F319" s="15" t="n"/>
      <c r="G319" s="16" t="n"/>
      <c r="H319" s="17" t="n"/>
      <c r="I319" s="636" t="n"/>
      <c r="J319" s="17" t="n"/>
      <c r="K319" s="277" t="inlineStr">
        <is>
          <t>тыс.т.</t>
        </is>
      </c>
    </row>
    <row r="320" ht="20.25" customHeight="1" s="904">
      <c r="C320" s="271" t="n"/>
      <c r="D320" s="269" t="inlineStr">
        <is>
          <t>Ачимовские отл. 3 уч.</t>
        </is>
      </c>
      <c r="E320" s="15" t="n"/>
      <c r="F320" s="15" t="inlineStr">
        <is>
          <t>V</t>
        </is>
      </c>
      <c r="G320" s="16" t="n"/>
      <c r="H320" s="17" t="inlineStr">
        <is>
          <t>100335777-8_100335051</t>
        </is>
      </c>
      <c r="I320" s="636" t="n"/>
      <c r="J320" s="17" t="n"/>
      <c r="K320" s="261" t="inlineStr">
        <is>
          <t>тыс.т.</t>
        </is>
      </c>
    </row>
    <row r="321" ht="20.25" customHeight="1" s="904">
      <c r="C321" s="271" t="n"/>
      <c r="D321" s="269" t="inlineStr">
        <is>
          <t>Ен-Яхинское НГКМ</t>
        </is>
      </c>
      <c r="E321" s="15" t="n"/>
      <c r="F321" s="15" t="inlineStr">
        <is>
          <t>V</t>
        </is>
      </c>
      <c r="G321" s="16" t="n"/>
      <c r="H321" s="17" t="inlineStr">
        <is>
          <t>100335684-8_100335516</t>
        </is>
      </c>
      <c r="I321" s="636" t="n"/>
      <c r="J321" s="17" t="n"/>
      <c r="K321" s="261" t="inlineStr">
        <is>
          <t>тыс.т.</t>
        </is>
      </c>
    </row>
    <row r="322" ht="20.25" customHeight="1" s="904">
      <c r="C322" s="271" t="n"/>
      <c r="D322" s="269" t="inlineStr">
        <is>
          <t>Песцовое НГКМ</t>
        </is>
      </c>
      <c r="E322" s="15" t="n"/>
      <c r="F322" s="15" t="inlineStr">
        <is>
          <t>V</t>
        </is>
      </c>
      <c r="G322" s="16" t="n"/>
      <c r="H322" s="17" t="inlineStr">
        <is>
          <t>100335035-8_100330643</t>
        </is>
      </c>
      <c r="I322" s="636" t="n"/>
      <c r="J322" s="17" t="n"/>
      <c r="K322" s="261" t="inlineStr">
        <is>
          <t>тыс.т.</t>
        </is>
      </c>
    </row>
    <row r="323" ht="20.25" customHeight="1" s="904">
      <c r="C323" s="271" t="n"/>
      <c r="D323" s="269" t="inlineStr">
        <is>
          <t>Песцовое НГКМ (ачим)</t>
        </is>
      </c>
      <c r="E323" s="15" t="n"/>
      <c r="F323" s="15" t="inlineStr">
        <is>
          <t>V</t>
        </is>
      </c>
      <c r="G323" s="16" t="n"/>
      <c r="H323" s="17" t="inlineStr">
        <is>
          <t>100335904-8_100333691</t>
        </is>
      </c>
      <c r="I323" s="636" t="n"/>
      <c r="J323" s="17" t="n"/>
      <c r="K323" s="261" t="inlineStr">
        <is>
          <t>тыс.т.</t>
        </is>
      </c>
    </row>
    <row r="324" ht="20.25" customHeight="1" s="904">
      <c r="C324" s="275" t="n"/>
      <c r="D324" s="276" t="inlineStr">
        <is>
          <t>Нефть ДРОД</t>
        </is>
      </c>
      <c r="E324" s="15" t="n"/>
      <c r="F324" s="15" t="n"/>
      <c r="G324" s="16" t="n"/>
      <c r="H324" s="17" t="n"/>
      <c r="I324" s="636" t="n"/>
      <c r="J324" s="17" t="n"/>
      <c r="K324" s="277" t="inlineStr">
        <is>
          <t>тыс.т.</t>
        </is>
      </c>
    </row>
    <row r="325" ht="20.25" customHeight="1" s="904">
      <c r="C325" s="271" t="n"/>
      <c r="D325" s="269" t="inlineStr">
        <is>
          <t>Уренгойское НГКМ фаза 2</t>
        </is>
      </c>
      <c r="E325" s="15" t="n"/>
      <c r="F325" s="15" t="inlineStr">
        <is>
          <t>V</t>
        </is>
      </c>
      <c r="G325" s="16" t="n"/>
      <c r="H325" s="17" t="inlineStr">
        <is>
          <t>100335908-8_100335670</t>
        </is>
      </c>
      <c r="I325" s="636" t="n"/>
      <c r="J325" s="17" t="n"/>
      <c r="K325" s="261" t="inlineStr">
        <is>
          <t>тыс.т.</t>
        </is>
      </c>
    </row>
    <row r="326" ht="20.25" customHeight="1" s="904">
      <c r="C326" s="271" t="n"/>
      <c r="D326" s="269" t="inlineStr">
        <is>
          <t>Ачимовские отл. 5 уч.</t>
        </is>
      </c>
      <c r="E326" s="15" t="n"/>
      <c r="F326" s="15" t="inlineStr">
        <is>
          <t>V</t>
        </is>
      </c>
      <c r="G326" s="16" t="n"/>
      <c r="H326" s="17" t="inlineStr">
        <is>
          <t>100337109-8_100337111</t>
        </is>
      </c>
      <c r="I326" s="636" t="n"/>
      <c r="J326" s="17" t="n"/>
      <c r="K326" s="261" t="inlineStr">
        <is>
          <t>тыс.т.</t>
        </is>
      </c>
    </row>
    <row r="327" ht="20.25" customHeight="1" s="904">
      <c r="C327" s="271" t="n"/>
      <c r="D327" s="269" t="inlineStr">
        <is>
          <t>Ачимовские отл. 6 уч.</t>
        </is>
      </c>
      <c r="E327" s="15" t="n"/>
      <c r="F327" s="15" t="inlineStr">
        <is>
          <t>V</t>
        </is>
      </c>
      <c r="G327" s="16" t="n"/>
      <c r="H327" s="17" t="inlineStr">
        <is>
          <t>100336119-8_100336114</t>
        </is>
      </c>
      <c r="I327" s="636" t="n"/>
      <c r="J327" s="17" t="n"/>
      <c r="K327" s="261" t="inlineStr">
        <is>
          <t>тыс.т.</t>
        </is>
      </c>
    </row>
    <row r="328" ht="20.25" customHeight="1" s="904">
      <c r="C328" s="271" t="n"/>
      <c r="D328" s="269" t="inlineStr">
        <is>
          <t>Ен-Яхинское ГКМ</t>
        </is>
      </c>
      <c r="E328" s="15" t="n"/>
      <c r="F328" s="15" t="inlineStr">
        <is>
          <t>V</t>
        </is>
      </c>
      <c r="G328" s="16" t="n"/>
      <c r="H328" s="17" t="inlineStr">
        <is>
          <t>100335909-8_100330646</t>
        </is>
      </c>
      <c r="I328" s="636" t="n"/>
      <c r="J328" s="17" t="n"/>
      <c r="K328" s="261" t="inlineStr">
        <is>
          <t>тыс.т.</t>
        </is>
      </c>
    </row>
    <row r="329" ht="20.25" customHeight="1" s="904">
      <c r="C329" s="278" t="n"/>
      <c r="D329" s="279" t="inlineStr">
        <is>
          <t>Песцовое НГКМ</t>
        </is>
      </c>
      <c r="E329" s="15" t="n"/>
      <c r="F329" s="15" t="inlineStr">
        <is>
          <t>V</t>
        </is>
      </c>
      <c r="G329" s="16" t="n"/>
      <c r="H329" s="17" t="inlineStr">
        <is>
          <t>100335910-8_100330647</t>
        </is>
      </c>
      <c r="I329" s="636" t="n"/>
      <c r="J329" s="17" t="n"/>
      <c r="K329" s="280" t="inlineStr">
        <is>
          <t>тыс.т.</t>
        </is>
      </c>
    </row>
  </sheetData>
  <mergeCells count="42">
    <mergeCell ref="E8:E9"/>
    <mergeCell ref="G8:G9"/>
    <mergeCell ref="D99:D100"/>
    <mergeCell ref="D316:D317"/>
    <mergeCell ref="D108:D109"/>
    <mergeCell ref="C112:C113"/>
    <mergeCell ref="D120:D121"/>
    <mergeCell ref="D101:D102"/>
    <mergeCell ref="D312:D313"/>
    <mergeCell ref="C7:C9"/>
    <mergeCell ref="C114:C115"/>
    <mergeCell ref="D95:D96"/>
    <mergeCell ref="C118:C119"/>
    <mergeCell ref="K7:K9"/>
    <mergeCell ref="F8:F9"/>
    <mergeCell ref="D104:D105"/>
    <mergeCell ref="D122:D123"/>
    <mergeCell ref="D91:D92"/>
    <mergeCell ref="C93:C94"/>
    <mergeCell ref="D116:D117"/>
    <mergeCell ref="D125:D126"/>
    <mergeCell ref="D97:D98"/>
    <mergeCell ref="D106:D107"/>
    <mergeCell ref="E7:J7"/>
    <mergeCell ref="C120:C121"/>
    <mergeCell ref="C95:C96"/>
    <mergeCell ref="D118:D119"/>
    <mergeCell ref="I8:I9"/>
    <mergeCell ref="D127:D128"/>
    <mergeCell ref="D112:D113"/>
    <mergeCell ref="C122:C123"/>
    <mergeCell ref="C91:C92"/>
    <mergeCell ref="C3:K3"/>
    <mergeCell ref="D93:D94"/>
    <mergeCell ref="D114:D115"/>
    <mergeCell ref="H8:H9"/>
    <mergeCell ref="J8:J9"/>
    <mergeCell ref="D7:D9"/>
    <mergeCell ref="D314:D315"/>
    <mergeCell ref="D110:D111"/>
    <mergeCell ref="C101:C102"/>
    <mergeCell ref="C116:C117"/>
  </mergeCells>
  <conditionalFormatting sqref="B11:B250 B252:B263">
    <cfRule type="cellIs" priority="32" operator="equal" dxfId="25">
      <formula>FALSE</formula>
    </cfRule>
  </conditionalFormatting>
  <conditionalFormatting sqref="P11:Q250 P252:Q329 V11:W250 V252:W329 AB11:AC250 AB252:AC329 AH11:AI250 AH252:AI329 AN11:AO250 AN252:AO329 AT11:AU250 AT252:AU329 AZ11:BA250 AZ252:BA329 BF11:BG250 BF252:BG329 BL11:BM250 BL252:BM329 BR11:BS250 BR252:BS329 BX11:BY250 BX252:BY329 CD11:CE250 CD252:CE329 CJ11:CK250 CJ252:CK329 CP11:CQ250 CP252:CQ329 CV11:CW250 CV252:CW329 DB11:DC250 DB252:DC329 DH11:DI250 DH252:DI329">
    <cfRule type="cellIs" priority="33" operator="lessThan" dxfId="25">
      <formula>0</formula>
    </cfRule>
    <cfRule type="cellIs" priority="33" operator="equal" dxfId="0">
      <formula>0</formula>
    </cfRule>
    <cfRule type="cellIs" priority="33" operator="lessThan" dxfId="25">
      <formula>0</formula>
    </cfRule>
    <cfRule type="cellIs" priority="33" operator="equal" dxfId="0">
      <formula>0</formula>
    </cfRule>
    <cfRule type="cellIs" priority="34" operator="greaterThan" dxfId="21">
      <formula>0</formula>
    </cfRule>
    <cfRule type="cellIs" priority="34" operator="greaterThan" dxfId="21">
      <formula>0</formula>
    </cfRule>
    <cfRule type="cellIs" priority="40" operator="lessThan" dxfId="25">
      <formula>0</formula>
    </cfRule>
    <cfRule type="cellIs" priority="40" operator="greaterThan" dxfId="21">
      <formula>0</formula>
    </cfRule>
    <cfRule type="cellIs" priority="40" operator="equal" dxfId="0">
      <formula>0</formula>
    </cfRule>
  </conditionalFormatting>
  <conditionalFormatting sqref="M11:M250 M252:M329 O11:O250 O252:O329 S11:S250 S252:S329 U11:U250 U252:U329 Y11:Y250 Y252:Y329 AA11:AA250 AA252:AA329 AE11:AE250 AE252:AE329 AG11:AG250 AG252:AG329 AK11:AK250 AK252:AK329 AM11:AM250 AM252:AM329 AQ11:AQ250 AQ252:AQ329 AS11:AS250 AS252:AS329 AW11:AW250 AW252:AW329 AY11:AY250 AY252:AY329 BC11:BC250 BC252:BC329 BE11:BE250 BE252:BE329 BI11:BI250 BI252:BI329 BK11:BK250 BK252:BK329 BO11:BO250 BO252:BO329 BQ11:BQ250 BQ252:BQ329 BU11:BU250 BU252:BU329 BW11:BW250 BW252:BW329 CA11:CA250 CA252:CA329 CC11:CC250 CC252:CC329 CG11:CG250 CG252:CG329 CI11:CI250 CI252:CI329 CM11:CM250 CM252:CM329 CO11:CO250 CO252:CO329 CS11:CS250 CS252:CS329 CU11:CU250 CU252:CU329 CY11:CY250 CY252:CY329 DA11:DA250 DA252:DA329 DE11:DE250 DE252:DE329 DG11:DG250 DG252:DG329">
    <cfRule type="cellIs" priority="31" operator="equal" dxfId="0">
      <formula>0</formula>
    </cfRule>
    <cfRule type="cellIs" priority="35" operator="equal" dxfId="0">
      <formula>0</formula>
    </cfRule>
    <cfRule type="cellIs" priority="35" operator="equal" dxfId="0">
      <formula>0</formula>
    </cfRule>
  </conditionalFormatting>
  <conditionalFormatting sqref="M11:M250 M252:M329 O11:O250 O252:O329 Q11:Q250 Q252:Q329 S11:S250 S252:S329 U11:U250 U252:U329 W11:W250 W252:W329 Y11:Y250 Y252:Y329 AA11:AA250 AA252:AA329 AC11:AC250 AC252:AC329 AE11:AE250 AE252:AE329 AG11:AG250 AG252:AG329 AI11:AI250 AI252:AI329 AK11:AK250 AK252:AK329 AM11:AM250 AM252:AM329 AO11:AO250 AO252:AO329 AQ11:AQ250 AQ252:AQ329 AS11:AS250 AS252:AS329">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fRule type="cellIs" priority="36" operator="equal" dxfId="0">
      <formula>0</formula>
    </cfRule>
  </conditionalFormatting>
  <conditionalFormatting sqref="P11:Q250 P252:Q330 V11:W250 V252:W330 AB11:AC250 AB252:AC330 AH11:AI250 AH252:AI330 AN11:AO250 AN252:AO330 AT11:AU250 AT252:AU330 AZ11:BA250 AZ252:BA330 BF11:BG250 BF252:BG330 BL11:BM250 BL252:BM330 BR11:BS250 BR252:BS330 BX11:BY250 BX252:BY330 CD11:CE250 CD252:CE330 CJ11:CK250 CJ252:CK330 CP11:CQ250 CP252:CQ330 CV11:CW250 CV252:CW330 DB11:DC250 DB252:DC330 DH11:DI250 DH252:DI330">
    <cfRule type="cellIs" priority="37" operator="lessThan" dxfId="25">
      <formula>0</formula>
    </cfRule>
    <cfRule type="cellIs" priority="37" operator="greaterThan" dxfId="21">
      <formula>0</formula>
    </cfRule>
    <cfRule type="cellIs" priority="37" operator="equal" dxfId="0">
      <formula>0</formula>
    </cfRule>
  </conditionalFormatting>
  <conditionalFormatting sqref="M11:M250 M252:M330 O11:O250 O252:O330 S11:S250 S252:S330 U11:U250 U252:U330 Y11:Y250 Y252:Y330 AA11:AA250 AA252:AA330 AE11:AE250 AE252:AE330 AG11:AG250 AG252:AG330 AK11:AK250 AK252:AK330 AM11:AM250 AM252:AM330 AQ11:AQ250 AQ252:AQ330 AS11:AS250 AS252:AS330 AW11:AW250 AW252:AW330 AY11:AY250 AY252:AY330 BC11:BC250 BC252:BC330 BE11:BE250 BE252:BE330 BI11:BI250 BI252:BI330 BK11:BK250 BK252:BK330 BO11:BO250 BO252:BO330 BQ11:BQ250 BQ252:BQ330 BU11:BU250 BU252:BU330 BW11:BW250 BW252:BW330 CA11:CA250 CA252:CA330 CC11:CC250 CC252:CC330 CG11:CG250 CG252:CG330 CI11:CI250 CI252:CI330 CM11:CM250 CM252:CM330 CO11:CO250 CO252:CO330 CS11:CS250 CS252:CS330 CU11:CU250 CU252:CU330 CY11:CY250 CY252:CY330 DA11:DA250 DA252:DA330 DE11:DE250 DE252:DE330 DG11:DG250 DG252:DG330">
    <cfRule type="cellIs" priority="38" operator="equal" dxfId="0">
      <formula>0</formula>
    </cfRule>
  </conditionalFormatting>
  <conditionalFormatting sqref="A11:A250 A252:A263">
    <cfRule type="cellIs" priority="39" operator="equal" dxfId="25">
      <formula>FALSE</formula>
    </cfRule>
  </conditionalFormatting>
  <conditionalFormatting sqref="B251">
    <cfRule type="cellIs" priority="2" operator="equal" dxfId="25">
      <formula>FALSE</formula>
    </cfRule>
  </conditionalFormatting>
  <conditionalFormatting sqref="P251:Q251 V251:W251 AB251:AC251 AH251:AI251 AN251:AO251 AT251:AU251 AZ251:BA251 BF251:BG251 BL251:BM251 BR251:BS251 BX251:BY251 CD251:CE251 CJ251:CK251 CP251:CQ251 CV251:CW251 DB251:DC251 DH251:DI251">
    <cfRule type="cellIs" priority="3" operator="lessThan" dxfId="25">
      <formula>0</formula>
    </cfRule>
    <cfRule type="cellIs" priority="4" operator="greaterThan" dxfId="21">
      <formula>0</formula>
    </cfRule>
    <cfRule type="cellIs" priority="7" operator="lessThan" dxfId="25">
      <formula>0</formula>
    </cfRule>
    <cfRule type="cellIs" priority="10" operator="lessThan" dxfId="25">
      <formula>0</formula>
    </cfRule>
  </conditionalFormatting>
  <conditionalFormatting sqref="M251 O251 S251 U251 Y251 AA251 AE251 AG251 AK251 AM251 AQ251 AS251 AW251 AY251 BC251 BE251 BI251 BK251 BO251 BQ251 BU251 BW251 CA251 CC251 CG251 CI251 CM251 CO251 CS251 CU251 CY251 DA251 DE251 DG251">
    <cfRule type="cellIs" priority="1" operator="equal" dxfId="0">
      <formula>0</formula>
    </cfRule>
    <cfRule type="cellIs" priority="5" operator="equal" dxfId="0">
      <formula>0</formula>
    </cfRule>
    <cfRule type="cellIs" priority="8" operator="equal" dxfId="0">
      <formula>0</formula>
    </cfRule>
  </conditionalFormatting>
  <conditionalFormatting sqref="M251 O251 Q251 S251 U251 W251 Y251 AA251 AC251 AE251 AG251 AI251 AK251 AM251 AO251 AQ251 AS251">
    <cfRule type="cellIs" priority="6" operator="equal" dxfId="0">
      <formula>0</formula>
    </cfRule>
  </conditionalFormatting>
  <conditionalFormatting sqref="A251">
    <cfRule type="cellIs" priority="9" operator="equal" dxfId="25">
      <formula>FALSE</formula>
    </cfRule>
  </conditionalFormatting>
  <conditionalFormatting sqref="M11:M329 O11:O329 Q11:Q329 S11:S329 U11:U329 W11:W329 Y11:Y329 AA11:AA329 AC11:AC329 AE11:AE329 AG11:AG329 AI11:AI329 AK11:AK329 AM11:AM329 AO11:AO329 AQ11:AQ329 AS11:AS329">
    <cfRule type="cellIs" priority="41" operator="equal" dxfId="0">
      <formula>0</formula>
    </cfRule>
    <cfRule type="cellIs" priority="41" operator="equal" dxfId="0">
      <formula>0</formula>
    </cfRule>
    <cfRule type="cellIs" priority="41" operator="equal" dxfId="0">
      <formula>0</formula>
    </cfRule>
    <cfRule type="cellIs" priority="41" operator="equal" dxfId="0">
      <formula>0</formula>
    </cfRule>
    <cfRule type="cellIs" priority="41" operator="equal" dxfId="0">
      <formula>0</formula>
    </cfRule>
  </conditionalFormatting>
  <pageMargins left="0.2362204724409449" right="0.2362204724409449" top="0.7480314960629921" bottom="0.7480314960629921" header="0.3149606299212598" footer="0.3149606299212598"/>
  <pageSetup orientation="portrait" paperSize="9" scale="44" fitToHeight="0"/>
  <legacyDrawing xmlns:r="http://schemas.openxmlformats.org/officeDocument/2006/relationships" r:id="anysvml"/>
</worksheet>
</file>

<file path=xl/worksheets/sheet12.xml><?xml version="1.0" encoding="utf-8"?>
<worksheet xmlns="http://schemas.openxmlformats.org/spreadsheetml/2006/main">
  <sheetPr codeName="Лист9">
    <tabColor theme="4" tint="0.7999816888943144"/>
    <outlinePr summaryBelow="1" summaryRight="1"/>
    <pageSetUpPr fitToPage="1"/>
  </sheetPr>
  <dimension ref="B2:K29"/>
  <sheetViews>
    <sheetView zoomScale="60" workbookViewId="0">
      <pane xSplit="11" ySplit="9" topLeftCell="L10" activePane="bottomRight" state="frozen"/>
      <selection activeCell="C1" sqref="C1"/>
      <selection pane="topRight" activeCell="L1" sqref="L1"/>
      <selection pane="bottomLeft" activeCell="C10" sqref="C10"/>
      <selection pane="bottomRight" activeCell="L31" sqref="L31"/>
    </sheetView>
  </sheetViews>
  <sheetFormatPr baseColWidth="8" defaultColWidth="15" defaultRowHeight="18.75" outlineLevelRow="1"/>
  <cols>
    <col hidden="1" outlineLevel="1" width="13" customWidth="1" style="975" min="1" max="1"/>
    <col hidden="1" outlineLevel="1" width="12.42578125" customWidth="1" style="975" min="2" max="2"/>
    <col collapsed="1" width="12.140625" bestFit="1" customWidth="1" style="1009" min="3" max="3"/>
    <col width="90.28515625" customWidth="1" style="975" min="4" max="4"/>
    <col hidden="1" outlineLevel="1" width="17.7109375" customWidth="1" style="975" min="5" max="9"/>
    <col hidden="1" outlineLevel="1" width="14.42578125" customWidth="1" style="975" min="10" max="10"/>
    <col collapsed="1" width="13" bestFit="1" customWidth="1" style="976"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27.75" customHeight="1" s="904"/>
    <row r="2" ht="18.75" customHeight="1" s="904">
      <c r="C2" s="281" t="n"/>
      <c r="D2" s="281" t="n"/>
      <c r="E2" s="281" t="n"/>
      <c r="F2" s="281" t="n"/>
      <c r="G2" s="281" t="n"/>
      <c r="H2" s="281" t="n"/>
      <c r="I2" s="281" t="n"/>
      <c r="J2" s="281" t="n"/>
      <c r="K2" s="281" t="n"/>
    </row>
    <row r="3" ht="20.25" customHeight="1" s="904">
      <c r="C3" s="1027" t="inlineStr">
        <is>
          <t>Прогнозные показатели по поставке, переработке сырья и производству продукции ООО "Газпром добыча Астрахань"</t>
        </is>
      </c>
    </row>
    <row r="4" ht="19.5" customHeight="1" s="904">
      <c r="C4" s="133" t="n"/>
      <c r="D4" s="595" t="n"/>
      <c r="E4" s="595" t="n"/>
      <c r="F4" s="595" t="n"/>
      <c r="G4" s="595" t="n"/>
      <c r="H4" s="595" t="n"/>
      <c r="I4" s="595" t="n"/>
      <c r="J4" s="595" t="n"/>
      <c r="K4" s="596" t="n"/>
    </row>
    <row r="5" ht="19.5" customHeight="1" s="904">
      <c r="B5" s="658" t="n"/>
      <c r="C5" s="133" t="inlineStr">
        <is>
          <t xml:space="preserve"> 5. ООО "Газпром добыча Астрахань"</t>
        </is>
      </c>
      <c r="K5" s="596" t="n"/>
    </row>
    <row r="6" ht="20.1" customHeight="1" s="904">
      <c r="B6" s="669" t="n"/>
      <c r="C6" s="971" t="inlineStr">
        <is>
          <t>№ п/п</t>
        </is>
      </c>
      <c r="D6" s="969" t="inlineStr">
        <is>
          <t>Показатели</t>
        </is>
      </c>
      <c r="E6" s="924" t="inlineStr">
        <is>
          <t>Внутренние настройки листа</t>
        </is>
      </c>
      <c r="F6" s="925" t="n"/>
      <c r="G6" s="925" t="n"/>
      <c r="H6" s="925" t="n"/>
      <c r="I6" s="925" t="n"/>
      <c r="J6" s="926" t="n"/>
      <c r="K6" s="969" t="inlineStr">
        <is>
          <t>Ед.изм.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B9" s="1031" t="n"/>
      <c r="C9" s="1028" t="n"/>
      <c r="D9" s="282" t="n"/>
      <c r="E9" s="1057" t="n"/>
      <c r="F9" s="1057" t="n"/>
      <c r="G9" s="1057" t="n"/>
      <c r="H9" s="1057" t="n"/>
      <c r="I9" s="1057" t="n"/>
      <c r="J9" s="1057" t="n"/>
      <c r="K9" s="1046" t="n"/>
    </row>
    <row r="10" ht="39" customHeight="1" s="904">
      <c r="C10" s="138" t="n">
        <v>1</v>
      </c>
      <c r="D10" s="139" t="inlineStr">
        <is>
          <t>Поставка сырья на переработку 
(оказание услуг ООО "Газпром добыча Астрахань"), всего:</t>
        </is>
      </c>
      <c r="E10" s="15" t="inlineStr">
        <is>
          <t>100332291</t>
        </is>
      </c>
      <c r="F10" s="15" t="n"/>
      <c r="G10" s="16" t="n"/>
      <c r="H10" s="17" t="inlineStr">
        <is>
          <t>100330005+100330016</t>
        </is>
      </c>
      <c r="I10" s="636" t="n"/>
      <c r="J10" s="17" t="n"/>
      <c r="K10" s="1046" t="inlineStr">
        <is>
          <t>тыс.т.</t>
        </is>
      </c>
    </row>
    <row r="11" ht="20.1" customHeight="1" s="904">
      <c r="C11" s="972" t="inlineStr">
        <is>
          <t>1.1</t>
        </is>
      </c>
      <c r="D11" s="1025" t="inlineStr">
        <is>
          <t>Природный газ, 
собственность ООО "Газпром добыча Астрахань"</t>
        </is>
      </c>
      <c r="E11" s="15" t="inlineStr">
        <is>
          <t>100330005</t>
        </is>
      </c>
      <c r="F11" s="15" t="n"/>
      <c r="G11" s="16" t="n"/>
      <c r="H11" s="17" t="n"/>
      <c r="I11" s="636" t="n"/>
      <c r="J11" s="17" t="n"/>
      <c r="K11" s="136" t="inlineStr">
        <is>
          <t>тыс.т.</t>
        </is>
      </c>
    </row>
    <row r="12" ht="20.1" customHeight="1" s="904">
      <c r="C12" s="916" t="n"/>
      <c r="D12" s="916" t="n"/>
      <c r="E12" s="15" t="inlineStr">
        <is>
          <t>100330006</t>
        </is>
      </c>
      <c r="F12" s="15" t="n"/>
      <c r="G12" s="16" t="n"/>
      <c r="H12" s="17" t="n"/>
      <c r="I12" s="636" t="n"/>
      <c r="J12" s="17" t="n"/>
      <c r="K12" s="588" t="inlineStr">
        <is>
          <t>млн куб.м</t>
        </is>
      </c>
    </row>
    <row r="13" ht="39" customHeight="1" s="904">
      <c r="C13" s="972" t="inlineStr">
        <is>
          <t>1.2</t>
        </is>
      </c>
      <c r="D13" s="1025" t="inlineStr">
        <is>
          <t>Конденсат газовый нестабильный, 
собственность ООО "Газпром добыча Астрахань"</t>
        </is>
      </c>
      <c r="E13" s="15" t="inlineStr">
        <is>
          <t>100330016</t>
        </is>
      </c>
      <c r="F13" s="15" t="n"/>
      <c r="G13" s="16" t="n"/>
      <c r="H13" s="17" t="n"/>
      <c r="I13" s="636" t="n"/>
      <c r="J13" s="17" t="n"/>
      <c r="K13" s="136" t="inlineStr">
        <is>
          <t>тыс.т.</t>
        </is>
      </c>
    </row>
    <row r="14" outlineLevel="1" ht="20.1" customHeight="1" s="904">
      <c r="C14" s="972" t="n"/>
      <c r="D14" s="145" t="inlineStr">
        <is>
          <t xml:space="preserve">Справочно: </t>
        </is>
      </c>
      <c r="E14" s="15" t="n"/>
      <c r="F14" s="15" t="n"/>
      <c r="G14" s="16" t="n"/>
      <c r="H14" s="17" t="n"/>
      <c r="I14" s="636" t="n"/>
      <c r="J14" s="17" t="n"/>
      <c r="K14" s="136" t="n"/>
    </row>
    <row r="15" outlineLevel="1" ht="20.1" customHeight="1" s="904">
      <c r="C15" s="141" t="n">
        <v>2</v>
      </c>
      <c r="D15" s="1056" t="inlineStr">
        <is>
          <t>Потери сырья при переработке (условные ), всего:</t>
        </is>
      </c>
      <c r="E15" s="15" t="inlineStr">
        <is>
          <t>100332290</t>
        </is>
      </c>
      <c r="F15" s="15" t="n"/>
      <c r="G15" s="16" t="n"/>
      <c r="H15" s="17" t="inlineStr">
        <is>
          <t>100330040+100330047</t>
        </is>
      </c>
      <c r="I15" s="636" t="n"/>
      <c r="J15" s="17" t="n"/>
      <c r="K15" s="136" t="inlineStr">
        <is>
          <t>тыс.т.</t>
        </is>
      </c>
    </row>
    <row r="16" outlineLevel="1" ht="39" customHeight="1" s="904">
      <c r="C16" s="972" t="inlineStr">
        <is>
          <t>2.1</t>
        </is>
      </c>
      <c r="D16" s="1011" t="inlineStr">
        <is>
          <t>Природный газ сырой, 
собственность ООО "Газпром добыча Астрахань"</t>
        </is>
      </c>
      <c r="E16" s="15" t="inlineStr">
        <is>
          <t>100330040</t>
        </is>
      </c>
      <c r="F16" s="15" t="n"/>
      <c r="G16" s="16" t="n"/>
      <c r="H16" s="17" t="n"/>
      <c r="I16" s="636" t="n"/>
      <c r="J16" s="17" t="n"/>
      <c r="K16" s="136" t="inlineStr">
        <is>
          <t>тыс.т.</t>
        </is>
      </c>
    </row>
    <row r="17" outlineLevel="1" ht="39" customHeight="1" s="904">
      <c r="C17" s="972" t="inlineStr">
        <is>
          <t>2.2</t>
        </is>
      </c>
      <c r="D17" s="1011" t="inlineStr">
        <is>
          <t>Конденсат газовый нестабильный, 
собственность ООО "Газпром добыча Астрахань"</t>
        </is>
      </c>
      <c r="E17" s="15" t="inlineStr">
        <is>
          <t>100330047</t>
        </is>
      </c>
      <c r="F17" s="15" t="n"/>
      <c r="G17" s="16" t="n"/>
      <c r="H17" s="17" t="n"/>
      <c r="I17" s="636" t="n"/>
      <c r="J17" s="17" t="n"/>
      <c r="K17" s="136" t="inlineStr">
        <is>
          <t>тыс.т.</t>
        </is>
      </c>
    </row>
    <row r="18" ht="20.1" customHeight="1" s="904">
      <c r="C18" s="141" t="n">
        <v>3</v>
      </c>
      <c r="D18" s="967" t="inlineStr">
        <is>
          <t>Производство продукции, всего:</t>
        </is>
      </c>
      <c r="E18" s="15" t="inlineStr">
        <is>
          <t>100330049</t>
        </is>
      </c>
      <c r="F18" s="15" t="n"/>
      <c r="G18" s="16" t="n"/>
      <c r="H18" s="17" t="inlineStr">
        <is>
          <t>100335795+100335797</t>
        </is>
      </c>
      <c r="I18" s="636" t="n"/>
      <c r="J18" s="17" t="n"/>
      <c r="K18" s="136" t="inlineStr">
        <is>
          <t>тыс.т.</t>
        </is>
      </c>
    </row>
    <row r="19" ht="20.1" customHeight="1" s="904">
      <c r="C19" s="972" t="inlineStr">
        <is>
          <t>3.1</t>
        </is>
      </c>
      <c r="D19" s="1025" t="inlineStr">
        <is>
          <t>Газ сырой отсепарированный</t>
        </is>
      </c>
      <c r="E19" s="15" t="inlineStr">
        <is>
          <t>100335795</t>
        </is>
      </c>
      <c r="F19" s="15" t="n"/>
      <c r="G19" s="16" t="n"/>
      <c r="H19" s="17" t="n"/>
      <c r="I19" s="636" t="n"/>
      <c r="J19" s="17" t="n"/>
      <c r="K19" s="136" t="inlineStr">
        <is>
          <t>тыс.т.</t>
        </is>
      </c>
    </row>
    <row r="20" ht="20.1" customHeight="1" s="904">
      <c r="C20" s="916" t="n"/>
      <c r="D20" s="916" t="n"/>
      <c r="E20" s="15" t="inlineStr">
        <is>
          <t>100335796</t>
        </is>
      </c>
      <c r="F20" s="15" t="n"/>
      <c r="G20" s="16" t="n"/>
      <c r="H20" s="17" t="n"/>
      <c r="I20" s="636" t="n"/>
      <c r="J20" s="17" t="n"/>
      <c r="K20" s="588" t="inlineStr">
        <is>
          <t>млн куб.м</t>
        </is>
      </c>
    </row>
    <row r="21" ht="39" customHeight="1" s="904">
      <c r="C21" s="972" t="inlineStr">
        <is>
          <t>3.2</t>
        </is>
      </c>
      <c r="D21" s="1025" t="inlineStr">
        <is>
          <t>Конденсат газовый нестабильный</t>
        </is>
      </c>
      <c r="E21" s="15" t="inlineStr">
        <is>
          <t>100335797</t>
        </is>
      </c>
      <c r="F21" s="15" t="n"/>
      <c r="G21" s="16" t="n"/>
      <c r="H21" s="17" t="n"/>
      <c r="I21" s="636" t="n"/>
      <c r="J21" s="17" t="n"/>
      <c r="K21" s="136" t="inlineStr">
        <is>
          <t>тыс.т.</t>
        </is>
      </c>
    </row>
    <row r="22" outlineLevel="1" ht="20.1" customHeight="1" s="904">
      <c r="C22" s="213" t="inlineStr">
        <is>
          <t>4</t>
        </is>
      </c>
      <c r="D22" s="163" t="inlineStr">
        <is>
          <t>Материальный баланс переработки УВС ("П.1"-"П.2"-"П.3" = 0,000)</t>
        </is>
      </c>
      <c r="E22" s="15" t="inlineStr">
        <is>
          <t>100330143</t>
        </is>
      </c>
      <c r="F22" s="15" t="n"/>
      <c r="G22" s="16" t="n"/>
      <c r="H22" s="17" t="inlineStr">
        <is>
          <t>100332291-100332290-100330049</t>
        </is>
      </c>
      <c r="I22" s="636" t="n"/>
      <c r="J22" s="17" t="n"/>
      <c r="K22" s="162" t="inlineStr">
        <is>
          <t>тыс.т.</t>
        </is>
      </c>
    </row>
    <row r="23" outlineLevel="1" ht="20.1" customHeight="1" s="904">
      <c r="C23" s="1026" t="n">
        <v>5</v>
      </c>
      <c r="D23" s="163" t="inlineStr">
        <is>
          <t>Проверка с разделом "Добыча"</t>
        </is>
      </c>
      <c r="E23" s="15" t="n"/>
      <c r="F23" s="15" t="n"/>
      <c r="G23" s="16" t="n"/>
      <c r="H23" s="17" t="n"/>
      <c r="I23" s="636" t="n"/>
      <c r="J23" s="17" t="n"/>
      <c r="K23" s="162" t="n"/>
    </row>
    <row r="24" outlineLevel="1" ht="20.1" customHeight="1" s="904">
      <c r="C24" s="916" t="n"/>
      <c r="D24" s="977" t="inlineStr">
        <is>
          <t>природный газ</t>
        </is>
      </c>
      <c r="E24" s="15" t="n"/>
      <c r="F24" s="15" t="n"/>
      <c r="G24" s="16" t="n"/>
      <c r="H24" s="17" t="n"/>
      <c r="I24" s="636" t="n"/>
      <c r="J24" s="17" t="n"/>
      <c r="K24" s="1026" t="inlineStr">
        <is>
          <t>млн куб.м</t>
        </is>
      </c>
    </row>
    <row r="25" outlineLevel="1" ht="20.1" customHeight="1" s="904">
      <c r="C25" s="916" t="n"/>
      <c r="D25" s="977" t="inlineStr">
        <is>
          <t>конденсат газовый нестабильный</t>
        </is>
      </c>
      <c r="E25" s="15" t="n"/>
      <c r="F25" s="15" t="n"/>
      <c r="G25" s="16" t="n"/>
      <c r="H25" s="17" t="n"/>
      <c r="I25" s="636" t="n"/>
      <c r="J25" s="17" t="n"/>
      <c r="K25" s="1026" t="inlineStr">
        <is>
          <t>тыс.т.</t>
        </is>
      </c>
    </row>
    <row r="26" outlineLevel="1" ht="20.1" customHeight="1" s="904">
      <c r="C26" s="1024" t="n">
        <v>6</v>
      </c>
      <c r="D26" s="163" t="inlineStr">
        <is>
          <t>Проверка с ООО "Газпром добыча Астрахань"</t>
        </is>
      </c>
      <c r="E26" s="15" t="n"/>
      <c r="F26" s="15" t="n"/>
      <c r="G26" s="16" t="n"/>
      <c r="H26" s="17" t="n"/>
      <c r="I26" s="636" t="n"/>
      <c r="J26" s="17" t="n"/>
      <c r="K26" s="1026" t="n"/>
    </row>
    <row r="27" outlineLevel="1" ht="20.1" customHeight="1" s="904">
      <c r="C27" s="916" t="n"/>
      <c r="D27" s="977" t="inlineStr">
        <is>
          <t>природный газ</t>
        </is>
      </c>
      <c r="E27" s="15" t="n"/>
      <c r="F27" s="15" t="inlineStr">
        <is>
          <t>V1</t>
        </is>
      </c>
      <c r="G27" s="16" t="n"/>
      <c r="H27" s="17" t="inlineStr">
        <is>
          <t>100330005-1_100331978</t>
        </is>
      </c>
      <c r="I27" s="636" t="n"/>
      <c r="J27" s="17" t="n"/>
      <c r="K27" s="1026" t="inlineStr">
        <is>
          <t>тыс.т.</t>
        </is>
      </c>
    </row>
    <row r="28" outlineLevel="1" ht="20.1" customHeight="1" s="904">
      <c r="C28" s="916" t="n"/>
      <c r="D28" s="916" t="n"/>
      <c r="E28" s="15" t="n"/>
      <c r="F28" s="15" t="inlineStr">
        <is>
          <t>V2</t>
        </is>
      </c>
      <c r="G28" s="16" t="n"/>
      <c r="H28" s="17" t="inlineStr">
        <is>
          <t>100330006-1_100331979</t>
        </is>
      </c>
      <c r="I28" s="636" t="n"/>
      <c r="J28" s="17" t="n"/>
      <c r="K28" s="1026" t="inlineStr">
        <is>
          <t>млн куб.м</t>
        </is>
      </c>
    </row>
    <row r="29" outlineLevel="1" ht="20.1" customHeight="1" s="904">
      <c r="C29" s="911" t="n"/>
      <c r="D29" s="166" t="inlineStr">
        <is>
          <t>конденсат газовый нестабильный</t>
        </is>
      </c>
      <c r="E29" s="15" t="n"/>
      <c r="F29" s="15" t="inlineStr">
        <is>
          <t>V3</t>
        </is>
      </c>
      <c r="G29" s="16" t="n"/>
      <c r="H29" s="17" t="inlineStr">
        <is>
          <t>100330016-1_100335798</t>
        </is>
      </c>
      <c r="I29" s="636" t="n"/>
      <c r="J29" s="17" t="n"/>
      <c r="K29" s="1024" t="inlineStr">
        <is>
          <t>тыс.т.</t>
        </is>
      </c>
    </row>
  </sheetData>
  <mergeCells count="18">
    <mergeCell ref="D19:D20"/>
    <mergeCell ref="K6:K8"/>
    <mergeCell ref="D27:D28"/>
    <mergeCell ref="C6:C8"/>
    <mergeCell ref="C26:C29"/>
    <mergeCell ref="G7:G8"/>
    <mergeCell ref="E7:E8"/>
    <mergeCell ref="C3:K3"/>
    <mergeCell ref="H7:H8"/>
    <mergeCell ref="F7:F8"/>
    <mergeCell ref="D11:D12"/>
    <mergeCell ref="C23:C25"/>
    <mergeCell ref="J7:J8"/>
    <mergeCell ref="E6:J6"/>
    <mergeCell ref="I7:I8"/>
    <mergeCell ref="D6:D8"/>
    <mergeCell ref="C11:C12"/>
    <mergeCell ref="C19:C20"/>
  </mergeCells>
  <conditionalFormatting sqref="P10:P29 Q10:Q29 V10:V29 W10:W29 AB10:AB29 AC10:AC29 AH10:AH29 AI10:AI29 AN10:AN29 AO10:AO29 AT10:AT29 AU10:AU29 AZ10:AZ29 BA10:BA29 BF10:BF29 BG10:BG29 BL10:BL29 BM10:BM29 BR10:BR29 BS10:BS29 BX10:BX29 BY10:BY29 CD10:CD29 CE10:CE29 CJ10:CJ29 CK10:CK29 CP10:CP29 CQ10:CQ29 CV10:CV29 CW10:CW29 DB10:DB29 DC10:DC29 DH10:DH29 DI10:DI29">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29 O10:O29 S10:S29 U10:U29 Y10:Y29 AA10:AA29 AE10:AE29 AG10:AG29 AK10:AK29 AM10:AM29 AQ10:AQ29 AS10:AS29 AW10:AW29 AY10:AY29 BC10:BC29 BE10:BE29 BI10:BI29 BK10:BK29 BO10:BO29 BQ10:BQ29 BU10:BU29 BW10:BW29 CA10:CA29 CC10:CC29 CG10:CG29 CI10:CI29 CM10:CM29 CO10:CO29 CS10:CS29 CU10:CU29 CY10:CY29 DA10:DA29 DE10:DE29 DG10:DG29">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29 O10:O29 Q10:Q29 S10:S29 U10:U29 W10:W29 Y10:Y29 AA10:AA29 AC10:AC29 AE10:AE29 AG10:AG29 AI10:AI29 AK10:AK29 AM10:AM29 AO10:AO29 AQ10:AQ29 AS10:AS29">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77" fitToHeight="0"/>
</worksheet>
</file>

<file path=xl/worksheets/sheet13.xml><?xml version="1.0" encoding="utf-8"?>
<worksheet xmlns="http://schemas.openxmlformats.org/spreadsheetml/2006/main">
  <sheetPr codeName="Лист10">
    <tabColor theme="4" tint="0.7999816888943144"/>
    <outlinePr summaryBelow="1" summaryRight="1"/>
    <pageSetUpPr fitToPage="1"/>
  </sheetPr>
  <dimension ref="A3:K82"/>
  <sheetViews>
    <sheetView zoomScale="60" workbookViewId="0">
      <pane xSplit="11" ySplit="9" topLeftCell="L56" activePane="bottomRight" state="frozen"/>
      <selection activeCell="I10" sqref="I10"/>
      <selection pane="topRight" activeCell="C1" sqref="C1"/>
      <selection pane="bottomLeft" activeCell="C1" sqref="C1"/>
      <selection pane="bottomRight" activeCell="P70" sqref="P70"/>
    </sheetView>
  </sheetViews>
  <sheetFormatPr baseColWidth="8" defaultColWidth="15" defaultRowHeight="18.75" outlineLevelRow="1"/>
  <cols>
    <col hidden="1" outlineLevel="1" width="17.5703125" customWidth="1" style="626" min="1" max="1"/>
    <col hidden="1" outlineLevel="1" width="17.85546875" customWidth="1" style="1009" min="2" max="2"/>
    <col collapsed="1" width="9.42578125" bestFit="1" customWidth="1" style="1009" min="3" max="3"/>
    <col width="72" customWidth="1" style="1009" min="4" max="4"/>
    <col hidden="1" outlineLevel="1" width="19.85546875" customWidth="1" style="1009" min="5" max="9"/>
    <col hidden="1" outlineLevel="1" width="15.28515625" customWidth="1" style="1009" min="10" max="10"/>
    <col collapsed="1" width="13.5703125" bestFit="1" customWidth="1" style="1030"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15" customHeight="1" s="904"/>
    <row r="2" ht="20.1" customHeight="1" s="904"/>
    <row r="3" ht="20.1" customHeight="1" s="904">
      <c r="C3" s="1029" t="inlineStr">
        <is>
          <t>Прогнозные показатели по поставке ООО "Газпром добыча Оренбург"</t>
        </is>
      </c>
    </row>
    <row r="4" ht="20.1" customHeight="1" s="904"/>
    <row r="5" ht="17.25" customHeight="1" s="904">
      <c r="C5" s="133" t="inlineStr">
        <is>
          <t xml:space="preserve"> 6. ООО "Газпром добыча Оренбург"</t>
        </is>
      </c>
      <c r="D5" s="133" t="n"/>
      <c r="E5" s="133" t="n"/>
      <c r="F5" s="133" t="n"/>
      <c r="G5" s="133" t="n"/>
      <c r="H5" s="133" t="n"/>
      <c r="I5" s="133" t="n"/>
      <c r="J5" s="133" t="n"/>
      <c r="K5" s="596" t="n"/>
    </row>
    <row r="6" ht="20.1" customHeight="1" s="904">
      <c r="B6" s="1031" t="n"/>
      <c r="C6" s="1028" t="inlineStr">
        <is>
          <t>№ п/п</t>
        </is>
      </c>
      <c r="D6" s="969" t="inlineStr">
        <is>
          <t>Показатели</t>
        </is>
      </c>
      <c r="E6" s="924" t="inlineStr">
        <is>
          <t>Внутренние настройки листа</t>
        </is>
      </c>
      <c r="F6" s="925" t="n"/>
      <c r="G6" s="925" t="n"/>
      <c r="H6" s="925" t="n"/>
      <c r="I6" s="925" t="n"/>
      <c r="J6" s="926" t="n"/>
      <c r="K6" s="969" t="inlineStr">
        <is>
          <t>Ед.изм.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6" t="n"/>
      <c r="D8" s="911" t="n"/>
      <c r="E8" s="911" t="n"/>
      <c r="F8" s="911" t="n"/>
      <c r="G8" s="911" t="n"/>
      <c r="H8" s="911" t="n"/>
      <c r="I8" s="911" t="n"/>
      <c r="J8" s="911" t="n"/>
      <c r="K8" s="911" t="n"/>
    </row>
    <row r="9" hidden="1" ht="20.1" customHeight="1" s="904">
      <c r="B9" s="1031" t="n"/>
      <c r="C9" s="288" t="n"/>
      <c r="D9" s="289" t="n"/>
      <c r="E9" s="1057" t="n"/>
      <c r="F9" s="1057" t="n"/>
      <c r="G9" s="1057" t="n"/>
      <c r="H9" s="1057" t="n"/>
      <c r="I9" s="1057" t="n"/>
      <c r="J9" s="1057" t="n"/>
      <c r="K9" s="136" t="n"/>
    </row>
    <row r="10" ht="37.5" customHeight="1" s="904">
      <c r="A10" s="627" t="n"/>
      <c r="B10" s="627" t="n"/>
      <c r="C10" s="630" t="inlineStr">
        <is>
          <t>1.</t>
        </is>
      </c>
      <c r="D10" s="290" t="inlineStr">
        <is>
          <t>Поставка газа природного отсепарированного на ГПЗ 
ООО "Газпром переработка" (смесевой газ), всего</t>
        </is>
      </c>
      <c r="E10" s="15" t="inlineStr">
        <is>
          <t>100332291</t>
        </is>
      </c>
      <c r="F10" s="15" t="n"/>
      <c r="G10" s="16" t="n"/>
      <c r="H10" s="17" t="inlineStr">
        <is>
          <t>100332966+100332967</t>
        </is>
      </c>
      <c r="I10" s="636" t="n"/>
      <c r="J10" s="17" t="n"/>
      <c r="K10" s="597" t="inlineStr">
        <is>
          <t>млн куб.м</t>
        </is>
      </c>
    </row>
    <row r="11" ht="24" customHeight="1" s="904">
      <c r="A11" s="627" t="n"/>
      <c r="B11" s="627" t="n"/>
      <c r="C11" s="631" t="inlineStr">
        <is>
          <t xml:space="preserve"> 1.1</t>
        </is>
      </c>
      <c r="D11" s="290" t="inlineStr">
        <is>
          <t>Собственность ООО "Газпром добыча Оренбург":</t>
        </is>
      </c>
      <c r="E11" s="15" t="inlineStr">
        <is>
          <t>100332966</t>
        </is>
      </c>
      <c r="F11" s="15" t="n"/>
      <c r="G11" s="16" t="n"/>
      <c r="H11" s="17" t="inlineStr">
        <is>
          <t>СУММ(100332297:100335487)-100335049</t>
        </is>
      </c>
      <c r="I11" s="636" t="n"/>
      <c r="J11" s="17" t="n"/>
      <c r="K11" s="588" t="inlineStr">
        <is>
          <t>млн куб.м</t>
        </is>
      </c>
    </row>
    <row r="12" ht="17.25" customHeight="1" s="904">
      <c r="A12" s="628" t="n"/>
      <c r="B12" s="627" t="n"/>
      <c r="C12" s="1088" t="n"/>
      <c r="D12" s="291" t="inlineStr">
        <is>
          <t>из сырья ООО "Газпром добыча Оренбург"</t>
        </is>
      </c>
      <c r="E12" s="15" t="inlineStr">
        <is>
          <t>100332297</t>
        </is>
      </c>
      <c r="F12" s="15" t="n"/>
      <c r="G12" s="16" t="n"/>
      <c r="H12" s="17" t="n"/>
      <c r="I12" s="636" t="n"/>
      <c r="J12" s="17" t="n"/>
      <c r="K12" s="588" t="inlineStr">
        <is>
          <t>млн куб.м</t>
        </is>
      </c>
    </row>
    <row r="13" ht="17.25" customHeight="1" s="904">
      <c r="A13" s="628" t="n"/>
      <c r="B13" s="627" t="n"/>
      <c r="C13" s="1088" t="n"/>
      <c r="D13" s="292" t="inlineStr">
        <is>
          <t>в т.ч. ДРОД (Филипповская залежь и др.)</t>
        </is>
      </c>
      <c r="E13" s="15" t="inlineStr">
        <is>
          <t>100335049</t>
        </is>
      </c>
      <c r="F13" s="15" t="n"/>
      <c r="G13" s="16" t="n"/>
      <c r="H13" s="17" t="n"/>
      <c r="I13" s="636" t="n"/>
      <c r="J13" s="17" t="n"/>
      <c r="K13" s="588" t="inlineStr">
        <is>
          <t>млн куб.м</t>
        </is>
      </c>
    </row>
    <row r="14" ht="17.25" customHeight="1" s="904">
      <c r="A14" s="628" t="n"/>
      <c r="B14" s="627" t="n"/>
      <c r="C14" s="1088" t="n"/>
      <c r="D14" s="291" t="inlineStr">
        <is>
          <t>из сырья  ПАО "Газпром нефть"</t>
        </is>
      </c>
      <c r="E14" s="15" t="inlineStr">
        <is>
          <t>100332298</t>
        </is>
      </c>
      <c r="F14" s="15" t="n"/>
      <c r="G14" s="16" t="n"/>
      <c r="H14" s="17" t="n"/>
      <c r="I14" s="636" t="n"/>
      <c r="J14" s="17" t="n"/>
      <c r="K14" s="588" t="inlineStr">
        <is>
          <t>млн куб.м</t>
        </is>
      </c>
    </row>
    <row r="15" ht="17.25" customHeight="1" s="904">
      <c r="A15" s="628" t="n"/>
      <c r="B15" s="627" t="n"/>
      <c r="C15" s="1088" t="n"/>
      <c r="D15" s="291" t="inlineStr">
        <is>
          <t>из сырья АО "УНГП"</t>
        </is>
      </c>
      <c r="E15" s="15" t="inlineStr">
        <is>
          <t>100332299</t>
        </is>
      </c>
      <c r="F15" s="15" t="n"/>
      <c r="G15" s="16" t="n"/>
      <c r="H15" s="17" t="n"/>
      <c r="I15" s="636" t="n"/>
      <c r="J15" s="17" t="n"/>
      <c r="K15" s="588" t="inlineStr">
        <is>
          <t>млн куб.м</t>
        </is>
      </c>
    </row>
    <row r="16" ht="17.25" customHeight="1" s="904">
      <c r="A16" s="628" t="n"/>
      <c r="B16" s="627" t="n"/>
      <c r="C16" s="1088" t="n"/>
      <c r="D16" s="291" t="inlineStr">
        <is>
          <t>из сырья ООО "Сервиснефтегаз"</t>
        </is>
      </c>
      <c r="E16" s="15" t="inlineStr">
        <is>
          <t>100332300</t>
        </is>
      </c>
      <c r="F16" s="15" t="n"/>
      <c r="G16" s="16" t="n"/>
      <c r="H16" s="17" t="n"/>
      <c r="I16" s="636" t="n"/>
      <c r="J16" s="17" t="n"/>
      <c r="K16" s="588" t="inlineStr">
        <is>
          <t>млн куб.м</t>
        </is>
      </c>
    </row>
    <row r="17" ht="18.75" customHeight="1" s="904">
      <c r="A17" s="628" t="n"/>
      <c r="B17" s="627" t="n"/>
      <c r="C17" s="1088" t="n"/>
      <c r="D17" s="291" t="inlineStr">
        <is>
          <t>из сырья ЗАО "КАРБОН"</t>
        </is>
      </c>
      <c r="E17" s="15" t="inlineStr">
        <is>
          <t>100332931</t>
        </is>
      </c>
      <c r="F17" s="15" t="n"/>
      <c r="G17" s="16" t="n"/>
      <c r="H17" s="17" t="n"/>
      <c r="I17" s="636" t="n"/>
      <c r="J17" s="17" t="n"/>
      <c r="K17" s="588" t="inlineStr">
        <is>
          <t>млн куб.м</t>
        </is>
      </c>
    </row>
    <row r="18" ht="18.75" customHeight="1" s="904">
      <c r="A18" s="627" t="n"/>
      <c r="B18" s="627" t="n"/>
      <c r="C18" s="1088" t="n"/>
      <c r="D18" s="291" t="inlineStr">
        <is>
          <t>из сырья ООО "Сладковско-Заречное"</t>
        </is>
      </c>
      <c r="E18" s="15" t="inlineStr">
        <is>
          <t>100335487</t>
        </is>
      </c>
      <c r="F18" s="15" t="n"/>
      <c r="G18" s="16" t="n"/>
      <c r="H18" s="17" t="n"/>
      <c r="I18" s="636" t="n"/>
      <c r="J18" s="17" t="n"/>
      <c r="K18" s="588" t="inlineStr">
        <is>
          <t>млн куб.м</t>
        </is>
      </c>
    </row>
    <row r="19" ht="18.75" customHeight="1" s="904">
      <c r="A19" s="628" t="n"/>
      <c r="B19" s="627" t="n"/>
      <c r="C19" s="1088" t="inlineStr">
        <is>
          <t xml:space="preserve"> 1.2</t>
        </is>
      </c>
      <c r="D19" s="290" t="inlineStr">
        <is>
          <t>Собственность ООО "Газпром переработка":</t>
        </is>
      </c>
      <c r="E19" s="15" t="inlineStr">
        <is>
          <t>100332967</t>
        </is>
      </c>
      <c r="F19" s="15" t="n"/>
      <c r="G19" s="16" t="n"/>
      <c r="H19" s="17" t="inlineStr">
        <is>
          <t>100332968</t>
        </is>
      </c>
      <c r="I19" s="636" t="n"/>
      <c r="J19" s="17" t="n"/>
      <c r="K19" s="587" t="n"/>
    </row>
    <row r="20" ht="17.25" customHeight="1" s="904">
      <c r="A20" s="628" t="n"/>
      <c r="B20" s="627" t="n"/>
      <c r="C20" s="1088" t="n"/>
      <c r="D20" s="293" t="inlineStr">
        <is>
          <t xml:space="preserve"> из сырья ООО "Газпромнефть-Заполярье"</t>
        </is>
      </c>
      <c r="E20" s="15" t="inlineStr">
        <is>
          <t>100332968</t>
        </is>
      </c>
      <c r="F20" s="15" t="n"/>
      <c r="G20" s="16" t="n"/>
      <c r="H20" s="17" t="n"/>
      <c r="I20" s="636" t="n"/>
      <c r="J20" s="17" t="n"/>
      <c r="K20" s="588" t="inlineStr">
        <is>
          <t>млн куб.м</t>
        </is>
      </c>
    </row>
    <row r="21" ht="37.5" customHeight="1" s="904">
      <c r="A21" s="628" t="n"/>
      <c r="B21" s="627" t="n"/>
      <c r="C21" s="1088" t="inlineStr">
        <is>
          <t>2.</t>
        </is>
      </c>
      <c r="D21" s="290" t="inlineStr">
        <is>
          <t>Поставка жидких углеводородов ООО "Газпром добыча Оренбург" для ПАО "Газпром", всего:</t>
        </is>
      </c>
      <c r="E21" s="15" t="inlineStr">
        <is>
          <t>100332301</t>
        </is>
      </c>
      <c r="F21" s="15" t="n"/>
      <c r="G21" s="16" t="n"/>
      <c r="H21" s="17" t="inlineStr">
        <is>
          <t>100332302+100332303</t>
        </is>
      </c>
      <c r="I21" s="636" t="n"/>
      <c r="J21" s="17" t="n"/>
      <c r="K21" s="141" t="inlineStr">
        <is>
          <t>тыс.т.</t>
        </is>
      </c>
    </row>
    <row r="22" ht="37.5" customHeight="1" s="904">
      <c r="A22" s="628" t="n"/>
      <c r="B22" s="627" t="n"/>
      <c r="C22" s="1083" t="inlineStr">
        <is>
          <t>2.1</t>
        </is>
      </c>
      <c r="D22" s="290" t="inlineStr">
        <is>
          <t>Нестабильный газовый конденсат ООО "Газпром добыча Оренбург"</t>
        </is>
      </c>
      <c r="E22" s="15" t="inlineStr">
        <is>
          <t>100332302</t>
        </is>
      </c>
      <c r="F22" s="15" t="n"/>
      <c r="G22" s="16" t="n"/>
      <c r="H22" s="17" t="n"/>
      <c r="I22" s="636" t="n"/>
      <c r="J22" s="17" t="n"/>
      <c r="K22" s="141" t="inlineStr">
        <is>
          <t>тыс.т.</t>
        </is>
      </c>
    </row>
    <row r="23" ht="37.5" customHeight="1" s="904">
      <c r="A23" s="628" t="n"/>
      <c r="B23" s="627" t="n"/>
      <c r="C23" s="1088" t="n"/>
      <c r="D23" s="292" t="inlineStr">
        <is>
          <t>в том числе из сырья в рамках ДРОД (оператор "Газпром нефть Заполярье")</t>
        </is>
      </c>
      <c r="E23" s="15" t="inlineStr">
        <is>
          <t>100335974</t>
        </is>
      </c>
      <c r="F23" s="15" t="n"/>
      <c r="G23" s="16" t="n"/>
      <c r="H23" s="17" t="n"/>
      <c r="I23" s="636" t="n"/>
      <c r="J23" s="17" t="n"/>
      <c r="K23" s="225" t="inlineStr">
        <is>
          <t>тыс.т.</t>
        </is>
      </c>
    </row>
    <row r="24" ht="18.75" customHeight="1" s="904">
      <c r="A24" s="628" t="n"/>
      <c r="B24" s="627" t="n"/>
      <c r="C24" s="1083" t="inlineStr">
        <is>
          <t>2.2</t>
        </is>
      </c>
      <c r="D24" s="290" t="inlineStr">
        <is>
          <t>Нефть сырая нестабильная, всего:</t>
        </is>
      </c>
      <c r="E24" s="15" t="inlineStr">
        <is>
          <t>100332303</t>
        </is>
      </c>
      <c r="F24" s="15" t="n"/>
      <c r="G24" s="16" t="n"/>
      <c r="H24" s="17" t="inlineStr">
        <is>
          <t>100332304+100332305</t>
        </is>
      </c>
      <c r="I24" s="636" t="n"/>
      <c r="J24" s="17" t="n"/>
      <c r="K24" s="141" t="inlineStr">
        <is>
          <t>тыс.т.</t>
        </is>
      </c>
    </row>
    <row r="25" ht="17.25" customHeight="1" s="904">
      <c r="A25" s="628" t="n"/>
      <c r="B25" s="627" t="n"/>
      <c r="C25" s="1088" t="n"/>
      <c r="D25" s="291" t="inlineStr">
        <is>
          <t>нефть от добычи ООО "Газпром добыча Оренбург"</t>
        </is>
      </c>
      <c r="E25" s="15" t="inlineStr">
        <is>
          <t>100332304</t>
        </is>
      </c>
      <c r="F25" s="15" t="n"/>
      <c r="G25" s="16" t="n"/>
      <c r="H25" s="17" t="n"/>
      <c r="I25" s="636" t="n"/>
      <c r="J25" s="17" t="n"/>
      <c r="K25" s="225" t="inlineStr">
        <is>
          <t>тыс.т.</t>
        </is>
      </c>
    </row>
    <row r="26" ht="37.5" customHeight="1" s="904">
      <c r="A26" s="628" t="n"/>
      <c r="B26" s="627" t="n"/>
      <c r="C26" s="1088" t="n"/>
      <c r="D26" s="292" t="inlineStr">
        <is>
          <t>в том числе из сырья в рамках ДРОД (оператор "Газпром нефть Заполярье")</t>
        </is>
      </c>
      <c r="E26" s="15" t="inlineStr">
        <is>
          <t>100335975</t>
        </is>
      </c>
      <c r="F26" s="15" t="n"/>
      <c r="G26" s="16" t="n"/>
      <c r="H26" s="17" t="n"/>
      <c r="I26" s="636" t="n"/>
      <c r="J26" s="17" t="n"/>
      <c r="K26" s="225" t="inlineStr">
        <is>
          <t>тыс.т.</t>
        </is>
      </c>
    </row>
    <row r="27" ht="17.25" customHeight="1" s="904">
      <c r="A27" s="628" t="n"/>
      <c r="B27" s="627" t="n"/>
      <c r="C27" s="1088" t="n"/>
      <c r="D27" s="291" t="inlineStr">
        <is>
          <t>нефть от добычи ПАО "Газпром нефть"</t>
        </is>
      </c>
      <c r="E27" s="15" t="inlineStr">
        <is>
          <t>100332305</t>
        </is>
      </c>
      <c r="F27" s="15" t="n"/>
      <c r="G27" s="16" t="n"/>
      <c r="H27" s="17" t="n"/>
      <c r="I27" s="636" t="n"/>
      <c r="J27" s="17" t="n"/>
      <c r="K27" s="225" t="inlineStr">
        <is>
          <t>тыс.т.</t>
        </is>
      </c>
    </row>
    <row r="28" ht="37.5" customHeight="1" s="904">
      <c r="A28" s="628" t="n"/>
      <c r="B28" s="627" t="n"/>
      <c r="C28" s="1088" t="inlineStr">
        <is>
          <t>3.</t>
        </is>
      </c>
      <c r="D28" s="290" t="inlineStr">
        <is>
          <t>Поставка жидких углеводородов АО "УНГП" для ООО "Газпром переработка"</t>
        </is>
      </c>
      <c r="E28" s="15" t="inlineStr">
        <is>
          <t>100332306</t>
        </is>
      </c>
      <c r="F28" s="15" t="n"/>
      <c r="G28" s="16" t="n"/>
      <c r="H28" s="17" t="inlineStr">
        <is>
          <t>100332307+100332308</t>
        </is>
      </c>
      <c r="I28" s="636" t="n"/>
      <c r="J28" s="17" t="n"/>
      <c r="K28" s="141" t="inlineStr">
        <is>
          <t>тыс.т.</t>
        </is>
      </c>
    </row>
    <row r="29" ht="17.25" customHeight="1" s="904">
      <c r="A29" s="629" t="n"/>
      <c r="B29" s="627" t="n"/>
      <c r="C29" s="1088" t="n"/>
      <c r="D29" s="291" t="inlineStr">
        <is>
          <t>конденсат газовый нестабильный АО "УНГП"</t>
        </is>
      </c>
      <c r="E29" s="15" t="inlineStr">
        <is>
          <t>100332307</t>
        </is>
      </c>
      <c r="F29" s="15" t="n"/>
      <c r="G29" s="16" t="n"/>
      <c r="H29" s="17" t="n"/>
      <c r="I29" s="636" t="n"/>
      <c r="J29" s="17" t="n"/>
      <c r="K29" s="225" t="inlineStr">
        <is>
          <t>тыс.т.</t>
        </is>
      </c>
    </row>
    <row r="30" ht="17.25" customHeight="1" s="904">
      <c r="A30" s="629" t="n"/>
      <c r="B30" s="627" t="n"/>
      <c r="C30" s="1088" t="n"/>
      <c r="D30" s="291" t="inlineStr">
        <is>
          <t>нефть сырая АО "УНГП"</t>
        </is>
      </c>
      <c r="E30" s="15" t="inlineStr">
        <is>
          <t>100332308</t>
        </is>
      </c>
      <c r="F30" s="15" t="n"/>
      <c r="G30" s="16" t="n"/>
      <c r="H30" s="17" t="n"/>
      <c r="I30" s="636" t="n"/>
      <c r="J30" s="17" t="n"/>
      <c r="K30" s="225" t="inlineStr">
        <is>
          <t>тыс.т.</t>
        </is>
      </c>
    </row>
    <row r="31" ht="56.25" customHeight="1" s="904">
      <c r="B31" s="627" t="n"/>
      <c r="C31" s="1088" t="inlineStr">
        <is>
          <t>4.</t>
        </is>
      </c>
      <c r="D31" s="290" t="inlineStr">
        <is>
          <t>Поставка жидких углеводородов ООО "Газпромнефть-Заполярье" для 
ООО "Газпром переработка"</t>
        </is>
      </c>
      <c r="E31" s="15" t="inlineStr">
        <is>
          <t>100332969</t>
        </is>
      </c>
      <c r="F31" s="15" t="n"/>
      <c r="G31" s="16" t="n"/>
      <c r="H31" s="17" t="inlineStr">
        <is>
          <t>100332970</t>
        </is>
      </c>
      <c r="I31" s="636" t="n"/>
      <c r="J31" s="17" t="n"/>
      <c r="K31" s="141" t="inlineStr">
        <is>
          <t>тыс.т.</t>
        </is>
      </c>
    </row>
    <row r="32" ht="18.75" customHeight="1" s="904">
      <c r="B32" s="627" t="n"/>
      <c r="C32" s="1088" t="n"/>
      <c r="D32" s="291" t="inlineStr">
        <is>
          <t>нефть сырая  ООО "Газпромнефть-Заполярье"</t>
        </is>
      </c>
      <c r="E32" s="15" t="inlineStr">
        <is>
          <t>100332970</t>
        </is>
      </c>
      <c r="F32" s="15" t="n"/>
      <c r="G32" s="16" t="n"/>
      <c r="H32" s="17" t="n"/>
      <c r="I32" s="636" t="n"/>
      <c r="J32" s="17" t="n"/>
      <c r="K32" s="225" t="inlineStr">
        <is>
          <t>тыс.т.</t>
        </is>
      </c>
    </row>
    <row r="33" ht="37.5" customHeight="1" s="904">
      <c r="B33" s="627" t="n"/>
      <c r="C33" s="1088" t="inlineStr">
        <is>
          <t>5.</t>
        </is>
      </c>
      <c r="D33" s="290" t="inlineStr">
        <is>
          <t>Поставка жидких углеводородов ООО "Сервиснефтегаз"</t>
        </is>
      </c>
      <c r="E33" s="15" t="inlineStr">
        <is>
          <t>100332309</t>
        </is>
      </c>
      <c r="F33" s="15" t="n"/>
      <c r="G33" s="16" t="n"/>
      <c r="H33" s="17" t="inlineStr">
        <is>
          <t>100332310</t>
        </is>
      </c>
      <c r="I33" s="636" t="n"/>
      <c r="J33" s="17" t="n"/>
      <c r="K33" s="141" t="inlineStr">
        <is>
          <t>тыс.т.</t>
        </is>
      </c>
    </row>
    <row r="34" ht="17.25" customHeight="1" s="904">
      <c r="B34" s="627" t="n"/>
      <c r="C34" s="632" t="n"/>
      <c r="D34" s="296" t="inlineStr">
        <is>
          <t>нефть сырая ООО "Сервиснефтегаз"</t>
        </is>
      </c>
      <c r="E34" s="15" t="inlineStr">
        <is>
          <t>100332310</t>
        </is>
      </c>
      <c r="F34" s="15" t="n"/>
      <c r="G34" s="16" t="n"/>
      <c r="H34" s="17" t="n"/>
      <c r="I34" s="636" t="n"/>
      <c r="J34" s="17" t="n"/>
      <c r="K34" s="297" t="inlineStr">
        <is>
          <t>тыс.т.</t>
        </is>
      </c>
    </row>
    <row r="35" outlineLevel="1" ht="19.5" customHeight="1" s="904">
      <c r="A35" s="779" t="n"/>
      <c r="B35" s="627" t="n"/>
      <c r="C35" s="205" t="n"/>
      <c r="D35" s="298" t="inlineStr">
        <is>
          <t>Справочно:</t>
        </is>
      </c>
      <c r="E35" s="15" t="n"/>
      <c r="F35" s="15" t="n"/>
      <c r="G35" s="16" t="n"/>
      <c r="H35" s="17" t="n"/>
      <c r="I35" s="636" t="n"/>
      <c r="J35" s="17" t="n"/>
      <c r="K35" s="299" t="n"/>
    </row>
    <row r="36" outlineLevel="1" ht="19.5" customHeight="1" s="904">
      <c r="A36" s="779" t="n"/>
      <c r="B36" s="627" t="n"/>
      <c r="C36" s="205" t="inlineStr">
        <is>
          <t>6.</t>
        </is>
      </c>
      <c r="D36" s="300" t="inlineStr">
        <is>
          <t xml:space="preserve">Поставка природного газа от ТОО "КазРосГаз" </t>
        </is>
      </c>
      <c r="E36" s="15" t="inlineStr">
        <is>
          <t>100332311</t>
        </is>
      </c>
      <c r="F36" s="15" t="n"/>
      <c r="G36" s="16" t="n"/>
      <c r="H36" s="17" t="n"/>
      <c r="I36" s="636" t="n"/>
      <c r="J36" s="17" t="n"/>
      <c r="K36" s="598" t="inlineStr">
        <is>
          <t>млн куб.м</t>
        </is>
      </c>
    </row>
    <row r="37" outlineLevel="1" ht="58.5" customHeight="1" s="904">
      <c r="A37" s="779" t="n"/>
      <c r="B37" s="627" t="n"/>
      <c r="C37" s="205" t="inlineStr">
        <is>
          <t>7.</t>
        </is>
      </c>
      <c r="D37" s="300" t="inlineStr">
        <is>
          <t>Транспортировка углеводородного сырья от добычи ООО "Газпромнефть-Оренбург" (Царичанское НМ) (собственность ООО "Газпром нефтехим Салават")</t>
        </is>
      </c>
      <c r="E37" s="15" t="n">
        <v>100332312</v>
      </c>
      <c r="F37" s="15" t="n"/>
      <c r="G37" s="16" t="n"/>
      <c r="H37" s="17" t="n"/>
      <c r="I37" s="636" t="n"/>
      <c r="J37" s="17" t="n"/>
      <c r="K37" s="1074" t="inlineStr">
        <is>
          <t>тыс.т.</t>
        </is>
      </c>
    </row>
    <row r="38" outlineLevel="1" ht="39.75" customHeight="1" s="904">
      <c r="C38" s="301" t="n">
        <v>8</v>
      </c>
      <c r="D38" s="302" t="inlineStr">
        <is>
          <t>Проверка с разделом "Добыча"</t>
        </is>
      </c>
      <c r="E38" s="15" t="n"/>
      <c r="F38" s="15" t="n"/>
      <c r="G38" s="16" t="n"/>
      <c r="H38" s="17" t="n"/>
      <c r="I38" s="636" t="n"/>
      <c r="J38" s="17" t="n"/>
      <c r="K38" s="303" t="n"/>
    </row>
    <row r="39" outlineLevel="1" ht="19.5" customHeight="1" s="904">
      <c r="C39" s="304" t="n"/>
      <c r="D39" s="186" t="inlineStr">
        <is>
          <t>Поставка газа:</t>
        </is>
      </c>
      <c r="E39" s="15" t="n"/>
      <c r="F39" s="15" t="n"/>
      <c r="G39" s="16" t="n"/>
      <c r="H39" s="17" t="n"/>
      <c r="I39" s="636" t="n"/>
      <c r="J39" s="17" t="n"/>
      <c r="K39" s="190" t="n"/>
    </row>
    <row r="40" outlineLevel="1" ht="17.25" customHeight="1" s="904">
      <c r="C40" s="305" t="n"/>
      <c r="D40" s="187" t="inlineStr">
        <is>
          <t>ООО "Газпром добыча Оренбург" (без ДРОД)</t>
        </is>
      </c>
      <c r="E40" s="15" t="n"/>
      <c r="F40" s="15" t="n"/>
      <c r="G40" s="16" t="n"/>
      <c r="H40" s="17" t="n"/>
      <c r="I40" s="636" t="n"/>
      <c r="J40" s="17" t="n"/>
      <c r="K40" s="261" t="inlineStr">
        <is>
          <t>млн куб.м</t>
        </is>
      </c>
    </row>
    <row r="41" outlineLevel="1" ht="17.25" customHeight="1" s="904">
      <c r="C41" s="305" t="n"/>
      <c r="D41" s="187" t="inlineStr">
        <is>
          <t>Филипповская залежь и др. (ДРОД)</t>
        </is>
      </c>
      <c r="E41" s="15" t="n"/>
      <c r="F41" s="15" t="n"/>
      <c r="G41" s="16" t="n"/>
      <c r="H41" s="17" t="n"/>
      <c r="I41" s="636" t="n"/>
      <c r="J41" s="17" t="n"/>
      <c r="K41" s="261" t="inlineStr">
        <is>
          <t>млн куб.м</t>
        </is>
      </c>
    </row>
    <row r="42" outlineLevel="1" ht="19.5" customHeight="1" s="904">
      <c r="C42" s="1074" t="n"/>
      <c r="D42" s="187" t="inlineStr">
        <is>
          <t>ПАО "Газпром нефть"</t>
        </is>
      </c>
      <c r="E42" s="15" t="n"/>
      <c r="F42" s="15" t="n"/>
      <c r="G42" s="16" t="n"/>
      <c r="H42" s="17" t="n"/>
      <c r="I42" s="636" t="n"/>
      <c r="J42" s="17" t="n"/>
      <c r="K42" s="261" t="inlineStr">
        <is>
          <t>млн куб.м</t>
        </is>
      </c>
    </row>
    <row r="43" outlineLevel="1" ht="19.5" customHeight="1" s="904">
      <c r="C43" s="1074" t="n"/>
      <c r="D43" s="187" t="inlineStr">
        <is>
          <t>АО "УНГП"</t>
        </is>
      </c>
      <c r="E43" s="15" t="n"/>
      <c r="F43" s="15" t="n"/>
      <c r="G43" s="16" t="n"/>
      <c r="H43" s="17" t="n"/>
      <c r="I43" s="636" t="n"/>
      <c r="J43" s="17" t="n"/>
      <c r="K43" s="261" t="inlineStr">
        <is>
          <t>млн куб.м</t>
        </is>
      </c>
    </row>
    <row r="44" outlineLevel="1" ht="19.5" customHeight="1" s="904">
      <c r="C44" s="1074" t="n"/>
      <c r="D44" s="187" t="inlineStr">
        <is>
          <t>ООО "Сервиснефтегаз"</t>
        </is>
      </c>
      <c r="E44" s="15" t="n"/>
      <c r="F44" s="15" t="n"/>
      <c r="G44" s="16" t="n"/>
      <c r="H44" s="17" t="n"/>
      <c r="I44" s="636" t="n"/>
      <c r="J44" s="17" t="n"/>
      <c r="K44" s="261" t="inlineStr">
        <is>
          <t>млн куб.м</t>
        </is>
      </c>
    </row>
    <row r="45" outlineLevel="1" ht="19.5" customHeight="1" s="904">
      <c r="C45" s="1074" t="n"/>
      <c r="D45" s="186" t="inlineStr">
        <is>
          <t>Поставка нестабильного газового конденсата:</t>
        </is>
      </c>
      <c r="E45" s="15" t="n"/>
      <c r="F45" s="15" t="n"/>
      <c r="G45" s="16" t="n"/>
      <c r="H45" s="17" t="n"/>
      <c r="I45" s="636" t="n"/>
      <c r="J45" s="17" t="n"/>
      <c r="K45" s="190" t="n"/>
    </row>
    <row r="46" outlineLevel="1" ht="19.5" customHeight="1" s="904">
      <c r="C46" s="1074" t="n"/>
      <c r="D46" s="187" t="inlineStr">
        <is>
          <t>ООО "Газпром добыча Оренбург" (без ДРОД)</t>
        </is>
      </c>
      <c r="E46" s="15" t="n"/>
      <c r="F46" s="15" t="n"/>
      <c r="G46" s="16" t="n"/>
      <c r="H46" s="17" t="n"/>
      <c r="I46" s="636" t="n"/>
      <c r="J46" s="17" t="n"/>
      <c r="K46" s="261" t="inlineStr">
        <is>
          <t>тыс.т.</t>
        </is>
      </c>
    </row>
    <row r="47" outlineLevel="1" ht="19.5" customHeight="1" s="904">
      <c r="C47" s="1074" t="n"/>
      <c r="D47" s="187" t="inlineStr">
        <is>
          <t>Филипповская залежь и др. (ДРОД)</t>
        </is>
      </c>
      <c r="E47" s="15" t="n"/>
      <c r="F47" s="15" t="n"/>
      <c r="G47" s="16" t="n"/>
      <c r="H47" s="17" t="n"/>
      <c r="I47" s="636" t="n"/>
      <c r="J47" s="17" t="n"/>
      <c r="K47" s="261" t="inlineStr">
        <is>
          <t>тыс.т.</t>
        </is>
      </c>
    </row>
    <row r="48" outlineLevel="1" ht="19.5" customHeight="1" s="904">
      <c r="C48" s="1074" t="n"/>
      <c r="D48" s="187" t="inlineStr">
        <is>
          <t>АО "УНГП"</t>
        </is>
      </c>
      <c r="E48" s="15" t="n"/>
      <c r="F48" s="15" t="n"/>
      <c r="G48" s="16" t="n"/>
      <c r="H48" s="17" t="n"/>
      <c r="I48" s="636" t="n"/>
      <c r="J48" s="17" t="n"/>
      <c r="K48" s="261" t="inlineStr">
        <is>
          <t>тыс.т.</t>
        </is>
      </c>
    </row>
    <row r="49" outlineLevel="1" ht="19.5" customHeight="1" s="904">
      <c r="C49" s="1074" t="n"/>
      <c r="D49" s="186" t="inlineStr">
        <is>
          <t>Поставка нефти:</t>
        </is>
      </c>
      <c r="E49" s="15" t="n"/>
      <c r="F49" s="15" t="n"/>
      <c r="G49" s="16" t="n"/>
      <c r="H49" s="17" t="n"/>
      <c r="I49" s="636" t="n"/>
      <c r="J49" s="17" t="n"/>
      <c r="K49" s="190" t="n"/>
    </row>
    <row r="50" outlineLevel="1" ht="19.5" customHeight="1" s="904">
      <c r="C50" s="1074" t="n"/>
      <c r="D50" s="187" t="inlineStr">
        <is>
          <t>ООО "Газпром добыча Оренбург" (без ДРОД)</t>
        </is>
      </c>
      <c r="E50" s="15" t="n"/>
      <c r="F50" s="15" t="n"/>
      <c r="G50" s="16" t="n"/>
      <c r="H50" s="17" t="n"/>
      <c r="I50" s="636" t="n"/>
      <c r="J50" s="17" t="n"/>
      <c r="K50" s="261" t="inlineStr">
        <is>
          <t>тыс.т.</t>
        </is>
      </c>
    </row>
    <row r="51" outlineLevel="1" ht="19.5" customHeight="1" s="904">
      <c r="C51" s="1074" t="n"/>
      <c r="D51" s="187" t="inlineStr">
        <is>
          <t>Филипповская залежь и др. (ДРОД) для ПАО</t>
        </is>
      </c>
      <c r="E51" s="15" t="n"/>
      <c r="F51" s="15" t="n"/>
      <c r="G51" s="16" t="n"/>
      <c r="H51" s="17" t="n"/>
      <c r="I51" s="636" t="n"/>
      <c r="J51" s="17" t="n"/>
      <c r="K51" s="261" t="inlineStr">
        <is>
          <t>тыс.т.</t>
        </is>
      </c>
    </row>
    <row r="52" outlineLevel="1" ht="19.5" customHeight="1" s="904">
      <c r="C52" s="1074" t="n"/>
      <c r="D52" s="187" t="inlineStr">
        <is>
          <t>ПАО "Газпром нефть"</t>
        </is>
      </c>
      <c r="E52" s="15" t="n"/>
      <c r="F52" s="15" t="n"/>
      <c r="G52" s="16" t="n"/>
      <c r="H52" s="17" t="n"/>
      <c r="I52" s="636" t="n"/>
      <c r="J52" s="17" t="n"/>
      <c r="K52" s="261" t="inlineStr">
        <is>
          <t>тыс.т.</t>
        </is>
      </c>
    </row>
    <row r="53" outlineLevel="1" ht="19.5" customHeight="1" s="904">
      <c r="C53" s="1074" t="n"/>
      <c r="D53" s="187" t="inlineStr">
        <is>
          <t>АО "УНГП"</t>
        </is>
      </c>
      <c r="E53" s="15" t="n"/>
      <c r="F53" s="15" t="n"/>
      <c r="G53" s="16" t="n"/>
      <c r="H53" s="17" t="n"/>
      <c r="I53" s="636" t="n"/>
      <c r="J53" s="17" t="n"/>
      <c r="K53" s="261" t="inlineStr">
        <is>
          <t>тыс.т.</t>
        </is>
      </c>
    </row>
    <row r="54" outlineLevel="1" ht="19.5" customHeight="1" s="904">
      <c r="C54" s="1074" t="n"/>
      <c r="D54" s="187" t="inlineStr">
        <is>
          <t>ООО "Газпромнефть-Заполярье" (ДРОД) для ГПП</t>
        </is>
      </c>
      <c r="E54" s="15" t="n"/>
      <c r="F54" s="15" t="n"/>
      <c r="G54" s="16" t="n"/>
      <c r="H54" s="17" t="n"/>
      <c r="I54" s="636" t="n"/>
      <c r="J54" s="17" t="n"/>
      <c r="K54" s="261" t="inlineStr">
        <is>
          <t>тыс.т.</t>
        </is>
      </c>
    </row>
    <row r="55" outlineLevel="1" ht="19.5" customHeight="1" s="904">
      <c r="C55" s="1074" t="n"/>
      <c r="D55" s="187" t="inlineStr">
        <is>
          <t>ООО "Сервиснефтегаз"</t>
        </is>
      </c>
      <c r="E55" s="15" t="n"/>
      <c r="F55" s="15" t="n"/>
      <c r="G55" s="16" t="n"/>
      <c r="H55" s="17" t="n"/>
      <c r="I55" s="636" t="n"/>
      <c r="J55" s="17" t="n"/>
      <c r="K55" s="261" t="inlineStr">
        <is>
          <t>тыс.т.</t>
        </is>
      </c>
    </row>
    <row r="56" outlineLevel="1" ht="39.75" customHeight="1" s="904">
      <c r="C56" s="162" t="n">
        <v>9</v>
      </c>
      <c r="D56" s="185" t="inlineStr">
        <is>
          <t>Проверка с Оренбургским ГХК "Переработка"</t>
        </is>
      </c>
      <c r="E56" s="15" t="n"/>
      <c r="F56" s="15" t="n"/>
      <c r="G56" s="16" t="n"/>
      <c r="H56" s="17" t="n"/>
      <c r="I56" s="636" t="n"/>
      <c r="J56" s="17" t="n"/>
      <c r="K56" s="190" t="n"/>
    </row>
    <row r="57" outlineLevel="1" ht="19.5" customHeight="1" s="904">
      <c r="C57" s="304" t="n"/>
      <c r="D57" s="186" t="inlineStr">
        <is>
          <t>Поставка газа:</t>
        </is>
      </c>
      <c r="E57" s="15" t="n"/>
      <c r="F57" s="15" t="n"/>
      <c r="G57" s="16" t="n"/>
      <c r="H57" s="17" t="n"/>
      <c r="I57" s="636" t="n"/>
      <c r="J57" s="17" t="n"/>
      <c r="K57" s="190" t="n"/>
    </row>
    <row r="58" outlineLevel="1" ht="36" customHeight="1" s="904">
      <c r="C58" s="305" t="n"/>
      <c r="D58" s="187" t="inlineStr">
        <is>
          <t>ООО "Газпром добыча Оренбург" (без ДРОД)</t>
        </is>
      </c>
      <c r="E58" s="15" t="n"/>
      <c r="F58" s="15" t="inlineStr">
        <is>
          <t>V</t>
        </is>
      </c>
      <c r="G58" s="16" t="n"/>
      <c r="H58" s="17" t="inlineStr">
        <is>
          <t>(100332297-100335049)-(2_100332038-2_100334999)</t>
        </is>
      </c>
      <c r="I58" s="636" t="n"/>
      <c r="J58" s="17" t="n"/>
      <c r="K58" s="261" t="inlineStr">
        <is>
          <t>млн куб.м</t>
        </is>
      </c>
    </row>
    <row r="59" outlineLevel="1" ht="19.5" customHeight="1" s="904">
      <c r="C59" s="305" t="n"/>
      <c r="D59" s="187" t="inlineStr">
        <is>
          <t>Филипповская залежь и др. (ДРОД)</t>
        </is>
      </c>
      <c r="E59" s="15" t="n"/>
      <c r="F59" s="15" t="inlineStr">
        <is>
          <t>V</t>
        </is>
      </c>
      <c r="G59" s="16" t="n"/>
      <c r="H59" s="17" t="inlineStr">
        <is>
          <t>100335049-2_100334999</t>
        </is>
      </c>
      <c r="I59" s="636" t="n"/>
      <c r="J59" s="17" t="n"/>
      <c r="K59" s="261" t="inlineStr">
        <is>
          <t>млн куб.м</t>
        </is>
      </c>
    </row>
    <row r="60" outlineLevel="1" ht="19.5" customHeight="1" s="904">
      <c r="C60" s="1074" t="n"/>
      <c r="D60" s="187" t="inlineStr">
        <is>
          <t>ПАО "Газпром нефть"</t>
        </is>
      </c>
      <c r="E60" s="15" t="n"/>
      <c r="F60" s="15" t="inlineStr">
        <is>
          <t>V</t>
        </is>
      </c>
      <c r="G60" s="16" t="n"/>
      <c r="H60" s="17" t="inlineStr">
        <is>
          <t>100332298-2_100332040</t>
        </is>
      </c>
      <c r="I60" s="636" t="n"/>
      <c r="J60" s="17" t="n"/>
      <c r="K60" s="261" t="inlineStr">
        <is>
          <t>млн куб.м</t>
        </is>
      </c>
    </row>
    <row r="61" outlineLevel="1" ht="19.5" customHeight="1" s="904">
      <c r="C61" s="1074" t="n"/>
      <c r="D61" s="187" t="inlineStr">
        <is>
          <t>АО "УНГП"</t>
        </is>
      </c>
      <c r="E61" s="15" t="n"/>
      <c r="F61" s="15" t="inlineStr">
        <is>
          <t>V</t>
        </is>
      </c>
      <c r="G61" s="16" t="n"/>
      <c r="H61" s="17" t="inlineStr">
        <is>
          <t>100332299-2_100332042</t>
        </is>
      </c>
      <c r="I61" s="636" t="n"/>
      <c r="J61" s="17" t="n"/>
      <c r="K61" s="261" t="inlineStr">
        <is>
          <t>млн куб.м</t>
        </is>
      </c>
    </row>
    <row r="62" outlineLevel="1" ht="19.5" customHeight="1" s="904">
      <c r="C62" s="1074" t="n"/>
      <c r="D62" s="187" t="inlineStr">
        <is>
          <t>ООО "Сервиснефтегаз"</t>
        </is>
      </c>
      <c r="E62" s="15" t="n"/>
      <c r="F62" s="15" t="inlineStr">
        <is>
          <t>V</t>
        </is>
      </c>
      <c r="G62" s="16" t="n"/>
      <c r="H62" s="17" t="inlineStr">
        <is>
          <t>100332300-2_100332044</t>
        </is>
      </c>
      <c r="I62" s="636" t="n"/>
      <c r="J62" s="17" t="n"/>
      <c r="K62" s="261" t="inlineStr">
        <is>
          <t>млн куб.м</t>
        </is>
      </c>
    </row>
    <row r="63" outlineLevel="1" ht="19.5" customHeight="1" s="904">
      <c r="C63" s="1074" t="n"/>
      <c r="D63" s="187" t="inlineStr">
        <is>
          <t xml:space="preserve">ТОО "КазРосГаз" </t>
        </is>
      </c>
      <c r="E63" s="15" t="n"/>
      <c r="F63" s="15" t="inlineStr">
        <is>
          <t>V</t>
        </is>
      </c>
      <c r="G63" s="16" t="n"/>
      <c r="H63" s="17" t="n"/>
      <c r="I63" s="636" t="n"/>
      <c r="J63" s="17" t="n"/>
      <c r="K63" s="261" t="inlineStr">
        <is>
          <t>млн куб.м</t>
        </is>
      </c>
    </row>
    <row r="64" outlineLevel="1" ht="19.5" customHeight="1" s="904">
      <c r="C64" s="1074" t="n"/>
      <c r="D64" s="186" t="inlineStr">
        <is>
          <t>Поставка нестабильного газового конденсата:</t>
        </is>
      </c>
      <c r="E64" s="15" t="n"/>
      <c r="F64" s="15" t="n"/>
      <c r="G64" s="16" t="n"/>
      <c r="H64" s="17" t="n"/>
      <c r="I64" s="636" t="n"/>
      <c r="J64" s="17" t="n"/>
      <c r="K64" s="190" t="n"/>
    </row>
    <row r="65" outlineLevel="1" ht="36" customHeight="1" s="904">
      <c r="C65" s="1074" t="n"/>
      <c r="D65" s="187" t="inlineStr">
        <is>
          <t>ООО "Газпром добыча Оренбург" (без ДРОД)</t>
        </is>
      </c>
      <c r="E65" s="15" t="n"/>
      <c r="F65" s="15" t="inlineStr">
        <is>
          <t>V</t>
        </is>
      </c>
      <c r="G65" s="16" t="n"/>
      <c r="H65" s="17" t="inlineStr">
        <is>
          <t>(100332302-100335974)-(2_100332061-2_100335946)</t>
        </is>
      </c>
      <c r="I65" s="636" t="n"/>
      <c r="J65" s="17" t="n"/>
      <c r="K65" s="261" t="inlineStr">
        <is>
          <t>тыс.т.</t>
        </is>
      </c>
    </row>
    <row r="66" outlineLevel="1" ht="19.5" customHeight="1" s="904">
      <c r="C66" s="1074" t="n"/>
      <c r="D66" s="187" t="inlineStr">
        <is>
          <t>Филипповская залежь и др. (ДРОД)</t>
        </is>
      </c>
      <c r="E66" s="15" t="n"/>
      <c r="F66" s="15" t="inlineStr">
        <is>
          <t>V</t>
        </is>
      </c>
      <c r="G66" s="16" t="n"/>
      <c r="H66" s="17" t="inlineStr">
        <is>
          <t>100335974-2_100335946</t>
        </is>
      </c>
      <c r="I66" s="636" t="n"/>
      <c r="J66" s="17" t="n"/>
      <c r="K66" s="261" t="inlineStr">
        <is>
          <t>тыс.т.</t>
        </is>
      </c>
    </row>
    <row r="67" outlineLevel="1" ht="19.5" customHeight="1" s="904">
      <c r="C67" s="1074" t="n"/>
      <c r="D67" s="187" t="inlineStr">
        <is>
          <t>АО "УНГП"</t>
        </is>
      </c>
      <c r="E67" s="15" t="n"/>
      <c r="F67" s="15" t="inlineStr">
        <is>
          <t>V</t>
        </is>
      </c>
      <c r="G67" s="16" t="n"/>
      <c r="H67" s="17" t="inlineStr">
        <is>
          <t>100332307-2_100332062</t>
        </is>
      </c>
      <c r="I67" s="636" t="n"/>
      <c r="J67" s="17" t="n"/>
      <c r="K67" s="261" t="inlineStr">
        <is>
          <t>тыс.т.</t>
        </is>
      </c>
    </row>
    <row r="68" outlineLevel="1" ht="19.5" customHeight="1" s="904">
      <c r="C68" s="1074" t="n"/>
      <c r="D68" s="186" t="inlineStr">
        <is>
          <t>Поставка нефти:</t>
        </is>
      </c>
      <c r="E68" s="15" t="n"/>
      <c r="F68" s="15" t="n"/>
      <c r="G68" s="16" t="n"/>
      <c r="H68" s="17" t="n"/>
      <c r="I68" s="636" t="n"/>
      <c r="J68" s="17" t="n"/>
      <c r="K68" s="190" t="n"/>
    </row>
    <row r="69" outlineLevel="1" ht="36" customHeight="1" s="904">
      <c r="C69" s="1074" t="n"/>
      <c r="D69" s="187" t="inlineStr">
        <is>
          <t>ООО "Газпром добыча Оренбург" (без ДРОД)</t>
        </is>
      </c>
      <c r="E69" s="15" t="n"/>
      <c r="F69" s="15" t="inlineStr">
        <is>
          <t>V</t>
        </is>
      </c>
      <c r="G69" s="16" t="n"/>
      <c r="H69" s="17" t="inlineStr">
        <is>
          <t>(100332304-100335975)-(2_100332066-2_100335947)</t>
        </is>
      </c>
      <c r="I69" s="636" t="n"/>
      <c r="J69" s="17" t="n"/>
      <c r="K69" s="261" t="inlineStr">
        <is>
          <t>тыс.т.</t>
        </is>
      </c>
    </row>
    <row r="70" outlineLevel="1" ht="36" customHeight="1" s="904">
      <c r="C70" s="1074" t="n"/>
      <c r="D70" s="187" t="inlineStr">
        <is>
          <t>Филипповская залежь и др. (ДРОД) для ПАО</t>
        </is>
      </c>
      <c r="E70" s="15" t="n"/>
      <c r="F70" s="15" t="inlineStr">
        <is>
          <t>V</t>
        </is>
      </c>
      <c r="G70" s="16" t="n"/>
      <c r="H70" s="17" t="inlineStr">
        <is>
          <t>(100332304-100335975)-(2_100332066-2_100335947)</t>
        </is>
      </c>
      <c r="I70" s="636" t="n"/>
      <c r="J70" s="17" t="n"/>
      <c r="K70" s="261" t="inlineStr">
        <is>
          <t>тыс.т.</t>
        </is>
      </c>
    </row>
    <row r="71" outlineLevel="1" ht="19.5" customHeight="1" s="904">
      <c r="C71" s="1074" t="n"/>
      <c r="D71" s="187" t="inlineStr">
        <is>
          <t>ПАО "Газпром нефть"</t>
        </is>
      </c>
      <c r="E71" s="15" t="n"/>
      <c r="F71" s="15" t="inlineStr">
        <is>
          <t>V</t>
        </is>
      </c>
      <c r="G71" s="16" t="n"/>
      <c r="H71" s="17" t="inlineStr">
        <is>
          <t>100332305-2_100332067</t>
        </is>
      </c>
      <c r="I71" s="636" t="n"/>
      <c r="J71" s="17" t="n"/>
      <c r="K71" s="261" t="inlineStr">
        <is>
          <t>тыс.т.</t>
        </is>
      </c>
    </row>
    <row r="72" outlineLevel="1" ht="19.5" customHeight="1" s="904">
      <c r="C72" s="1074" t="n"/>
      <c r="D72" s="187" t="inlineStr">
        <is>
          <t>АО "УНГП"</t>
        </is>
      </c>
      <c r="E72" s="15" t="n"/>
      <c r="F72" s="15" t="inlineStr">
        <is>
          <t>V</t>
        </is>
      </c>
      <c r="G72" s="16" t="n"/>
      <c r="H72" s="17" t="inlineStr">
        <is>
          <t>100332308-2_100332068</t>
        </is>
      </c>
      <c r="I72" s="636" t="n"/>
      <c r="J72" s="17" t="n"/>
      <c r="K72" s="261" t="inlineStr">
        <is>
          <t>тыс.т.</t>
        </is>
      </c>
    </row>
    <row r="73" outlineLevel="1" ht="36" customHeight="1" s="904">
      <c r="C73" s="1074" t="n"/>
      <c r="D73" s="187" t="inlineStr">
        <is>
          <t>ООО "Газпромнефть-Заполярье" (ДРОД) для ГПП</t>
        </is>
      </c>
      <c r="E73" s="15" t="n"/>
      <c r="F73" s="15" t="inlineStr">
        <is>
          <t>V</t>
        </is>
      </c>
      <c r="G73" s="16" t="n"/>
      <c r="H73" s="17" t="inlineStr">
        <is>
          <t>-100332970-(2_100332947+2_100335697)</t>
        </is>
      </c>
      <c r="I73" s="636" t="n"/>
      <c r="J73" s="17" t="n"/>
      <c r="K73" s="261" t="inlineStr">
        <is>
          <t>тыс.т.</t>
        </is>
      </c>
    </row>
    <row r="74" outlineLevel="1" ht="19.5" customHeight="1" s="904">
      <c r="C74" s="1074" t="n"/>
      <c r="D74" s="187" t="inlineStr">
        <is>
          <t>ООО "Сервиснефтегаз"</t>
        </is>
      </c>
      <c r="E74" s="15" t="n"/>
      <c r="F74" s="15" t="inlineStr">
        <is>
          <t>V</t>
        </is>
      </c>
      <c r="G74" s="16" t="n"/>
      <c r="H74" s="17" t="inlineStr">
        <is>
          <t>100332310-2_100332069</t>
        </is>
      </c>
      <c r="I74" s="636" t="n"/>
      <c r="J74" s="17" t="n"/>
      <c r="K74" s="261" t="inlineStr">
        <is>
          <t>тыс.т.</t>
        </is>
      </c>
    </row>
    <row r="75" outlineLevel="1" ht="39.75" customHeight="1" s="904">
      <c r="C75" s="162" t="n">
        <v>10</v>
      </c>
      <c r="D75" s="185" t="inlineStr">
        <is>
          <t>Проверка с ООО "ГПНСалават" "Переработка"</t>
        </is>
      </c>
      <c r="E75" s="15" t="n"/>
      <c r="F75" s="15" t="n"/>
      <c r="G75" s="16" t="n"/>
      <c r="H75" s="17" t="n"/>
      <c r="I75" s="636" t="n"/>
      <c r="J75" s="17" t="n"/>
      <c r="K75" s="190" t="n"/>
    </row>
    <row r="76" outlineLevel="1" ht="24" customHeight="1" s="904">
      <c r="C76" s="1074" t="n"/>
      <c r="D76" s="187" t="inlineStr">
        <is>
          <t>Траснпортировка нефти Царичанское мс</t>
        </is>
      </c>
      <c r="E76" s="15" t="n"/>
      <c r="F76" s="15" t="inlineStr">
        <is>
          <t>V</t>
        </is>
      </c>
      <c r="G76" s="16" t="n"/>
      <c r="H76" s="17" t="inlineStr">
        <is>
          <t>100332312-17_100335991</t>
        </is>
      </c>
      <c r="I76" s="636" t="n"/>
      <c r="J76" s="17" t="n"/>
      <c r="K76" s="261" t="inlineStr">
        <is>
          <t>тыс.т.</t>
        </is>
      </c>
    </row>
    <row r="77" outlineLevel="1" ht="39.75" customHeight="1" s="904">
      <c r="C77" s="162" t="n">
        <v>11</v>
      </c>
      <c r="D77" s="185" t="inlineStr">
        <is>
          <t>Справочно:</t>
        </is>
      </c>
      <c r="E77" s="15" t="n"/>
      <c r="F77" s="15" t="n"/>
      <c r="G77" s="16" t="n"/>
      <c r="H77" s="17" t="n"/>
      <c r="I77" s="636" t="n"/>
      <c r="J77" s="17" t="n"/>
      <c r="K77" s="183" t="n"/>
    </row>
    <row r="78" outlineLevel="1" ht="19.5" customHeight="1" s="904">
      <c r="C78" s="162" t="n"/>
      <c r="D78" s="187" t="inlineStr">
        <is>
          <t>Газ природный без ДРОД</t>
        </is>
      </c>
      <c r="E78" s="15" t="n"/>
      <c r="F78" s="15" t="inlineStr">
        <is>
          <t>V</t>
        </is>
      </c>
      <c r="G78" s="16" t="n"/>
      <c r="H78" s="17" t="inlineStr">
        <is>
          <t>100332297-100335049</t>
        </is>
      </c>
      <c r="I78" s="636" t="n"/>
      <c r="J78" s="17" t="n"/>
      <c r="K78" s="261" t="inlineStr">
        <is>
          <t>млн куб.м</t>
        </is>
      </c>
    </row>
    <row r="79" outlineLevel="1" ht="19.5" customHeight="1" s="904">
      <c r="C79" s="1074" t="n"/>
      <c r="D79" s="187" t="inlineStr">
        <is>
          <t>Нестабильный газовый конденсат без ДРОД</t>
        </is>
      </c>
      <c r="E79" s="15" t="n"/>
      <c r="F79" s="15" t="inlineStr">
        <is>
          <t>V</t>
        </is>
      </c>
      <c r="G79" s="16" t="n"/>
      <c r="H79" s="17" t="inlineStr">
        <is>
          <t>100332302-100335974</t>
        </is>
      </c>
      <c r="I79" s="636" t="n"/>
      <c r="J79" s="17" t="n"/>
      <c r="K79" s="261" t="inlineStr">
        <is>
          <t>тыс.т.</t>
        </is>
      </c>
    </row>
    <row r="80" outlineLevel="1" ht="19.5" customHeight="1" s="904">
      <c r="C80" s="306" t="n"/>
      <c r="D80" s="191" t="inlineStr">
        <is>
          <t>Нефть без ДРОД</t>
        </is>
      </c>
      <c r="E80" s="15" t="n"/>
      <c r="F80" s="15" t="inlineStr">
        <is>
          <t>V</t>
        </is>
      </c>
      <c r="G80" s="16" t="n"/>
      <c r="H80" s="17" t="inlineStr">
        <is>
          <t>100332304-100335975</t>
        </is>
      </c>
      <c r="I80" s="636" t="n"/>
      <c r="J80" s="17" t="n"/>
      <c r="K80" s="280" t="inlineStr">
        <is>
          <t>тыс.т.</t>
        </is>
      </c>
    </row>
    <row r="82">
      <c r="D82" s="1009"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12">
    <mergeCell ref="K6:K8"/>
    <mergeCell ref="G7:G8"/>
    <mergeCell ref="E7:E8"/>
    <mergeCell ref="C3:K3"/>
    <mergeCell ref="I7:I8"/>
    <mergeCell ref="F7:F8"/>
    <mergeCell ref="H7:H8"/>
    <mergeCell ref="J7:J8"/>
    <mergeCell ref="C6:C8"/>
    <mergeCell ref="E6:J6"/>
    <mergeCell ref="D6:D8"/>
    <mergeCell ref="B6:B8"/>
  </mergeCells>
  <conditionalFormatting sqref="P10:P80 Q10:Q80 V10:V80 W10:W80 AB10:AB80 AC10:AC80 AH10:AH80 AI10:AI80 AN10:AN80 AO10:AO80 AT10:AT80 AU10:AU80 AZ10:AZ80 BA10:BA80 BF10:BF80 BG10:BG80 BL10:BL80 BM10:BM80 BR10:BR80 BS10:BS80 BX10:BX80 BY10:BY80 CD10:CD80 CE10:CE80 CJ10:CJ80 CK10:CK80 CP10:CP80 CQ10:CQ80 CV10:CV80 CW10:CW80 DB10:DB80 DC10:DC80 DH10:DH80 DI10:DI80">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80 O10:O80 S10:S80 U10:U80 Y10:Y80 AA10:AA80 AE10:AE80 AG10:AG80 AK10:AK80 AM10:AM80 AQ10:AQ80 AS10:AS80 AW10:AW80 AY10:AY80 BC10:BC80 BE10:BE80 BI10:BI80 BK10:BK80 BO10:BO80 BQ10:BQ80 BU10:BU80 BW10:BW80 CA10:CA80 CC10:CC80 CG10:CG80 CI10:CI80 CM10:CM80 CO10:CO80 CS10:CS80 CU10:CU80 CY10:CY80 DA10:DA80 DE10:DE80 DG10:DG80">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80 O10:O80 Q10:Q80 S10:S80 U10:U80 W10:W80 Y10:Y80 AA10:AA80 AC10:AC80 AE10:AE80 AG10:AG80 AI10:AI80 AK10:AK80 AM10:AM80 AO10:AO80 AQ10:AQ80 AS10:AS80">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3937007874015748" right="0.3937007874015748" top="0.3937007874015748" bottom="0.3937007874015748" header="0.5118110236220472" footer="0.5118110236220472"/>
  <pageSetup orientation="portrait" paperSize="9" fitToHeight="0"/>
  <legacyDrawing xmlns:r="http://schemas.openxmlformats.org/officeDocument/2006/relationships" r:id="anysvml"/>
</worksheet>
</file>

<file path=xl/worksheets/sheet14.xml><?xml version="1.0" encoding="utf-8"?>
<worksheet xmlns="http://schemas.openxmlformats.org/spreadsheetml/2006/main">
  <sheetPr codeName="Лист11">
    <tabColor theme="4" tint="0.7999816888943144"/>
    <outlinePr summaryBelow="1" summaryRight="1"/>
    <pageSetUpPr fitToPage="1"/>
  </sheetPr>
  <dimension ref="B3:K75"/>
  <sheetViews>
    <sheetView tabSelected="1" zoomScale="60" workbookViewId="0">
      <pane xSplit="10" ySplit="9" topLeftCell="K32" activePane="bottomRight" state="frozen"/>
      <selection activeCell="J10" sqref="J10"/>
      <selection pane="topRight" activeCell="A1" sqref="A1"/>
      <selection pane="bottomLeft" activeCell="A1" sqref="A1"/>
      <selection pane="bottomRight" activeCell="I35" sqref="I35"/>
    </sheetView>
  </sheetViews>
  <sheetFormatPr baseColWidth="8" defaultColWidth="8.42578125" defaultRowHeight="18.75" outlineLevelRow="1"/>
  <cols>
    <col hidden="1" outlineLevel="1" width="17.85546875" customWidth="1" style="975" min="1" max="1"/>
    <col hidden="1" outlineLevel="1" width="20.42578125" customWidth="1" style="975" min="2" max="2"/>
    <col collapsed="1" width="6.7109375" customWidth="1" style="307" min="3" max="3"/>
    <col width="82.85546875" customWidth="1" style="1009" min="4" max="4"/>
    <col outlineLevel="1" width="26.140625" customWidth="1" style="1009" min="5" max="10"/>
    <col width="12.85546875" bestFit="1" customWidth="1" style="976"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15" customHeight="1" s="904"/>
    <row r="2" ht="15" customHeight="1" s="904"/>
    <row r="3" ht="24" customHeight="1" s="904">
      <c r="C3" s="1034" t="inlineStr">
        <is>
          <t>Прогнозные показатели по поставке, переработке сырья и производству продукции ООО "Газпром добыча Ямбург"</t>
        </is>
      </c>
    </row>
    <row r="4" ht="19.5" customHeight="1" s="904"/>
    <row r="5" ht="22.5" customHeight="1" s="904">
      <c r="C5" s="222" t="inlineStr">
        <is>
          <t>7. ООО "Газпром добыча Ямбург"</t>
        </is>
      </c>
    </row>
    <row r="6" ht="20.1" customHeight="1" s="904">
      <c r="B6" s="669" t="n"/>
      <c r="C6" s="1012" t="inlineStr">
        <is>
          <t>№ 
п/п</t>
        </is>
      </c>
      <c r="D6" s="1033"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B9" s="1031" t="n"/>
      <c r="C9" s="617" t="n"/>
      <c r="D9" s="225" t="n"/>
      <c r="E9" s="211" t="n"/>
      <c r="F9" s="211" t="n"/>
      <c r="G9" s="211" t="n"/>
      <c r="H9" s="211" t="n"/>
      <c r="I9" s="211" t="n"/>
      <c r="J9" s="211" t="n"/>
      <c r="K9" s="136" t="n"/>
    </row>
    <row r="10" ht="56.25" customHeight="1" s="904">
      <c r="C10" s="308" t="inlineStr">
        <is>
          <t>1</t>
        </is>
      </c>
      <c r="D10" s="196" t="inlineStr">
        <is>
          <t>Добыча нестабильного газового конденсата на месторождениях
ООО "Газпром добыча Ямбург", всего:</t>
        </is>
      </c>
      <c r="E10" s="15" t="n">
        <v>100332291</v>
      </c>
      <c r="F10" s="15" t="n"/>
      <c r="G10" s="16" t="n"/>
      <c r="H10" s="17" t="inlineStr">
        <is>
          <t>100330587+100330588</t>
        </is>
      </c>
      <c r="I10" s="636" t="n"/>
      <c r="J10" s="17" t="n"/>
      <c r="K10" s="309" t="inlineStr">
        <is>
          <t>тыс.т.</t>
        </is>
      </c>
    </row>
    <row r="11" ht="19.5" customHeight="1" s="904">
      <c r="C11" s="310" t="n"/>
      <c r="D11" s="968" t="inlineStr">
        <is>
          <t>Заполярное НГКМ</t>
        </is>
      </c>
      <c r="E11" s="15" t="n">
        <v>100330587</v>
      </c>
      <c r="F11" s="15" t="n"/>
      <c r="G11" s="16" t="n"/>
      <c r="H11" s="17" t="n"/>
      <c r="I11" s="636" t="n"/>
      <c r="J11" s="17" t="n"/>
      <c r="K11" s="228" t="inlineStr">
        <is>
          <t>тыс.т.</t>
        </is>
      </c>
    </row>
    <row r="12" ht="20.1" customHeight="1" s="904">
      <c r="C12" s="310" t="n"/>
      <c r="D12" s="968" t="inlineStr">
        <is>
          <t>Ямбургское НГКМ</t>
        </is>
      </c>
      <c r="E12" s="15" t="n">
        <v>100330588</v>
      </c>
      <c r="F12" s="15" t="n"/>
      <c r="G12" s="16" t="n"/>
      <c r="H12" s="17" t="n"/>
      <c r="I12" s="636" t="n"/>
      <c r="J12" s="17" t="n"/>
      <c r="K12" s="228" t="inlineStr">
        <is>
          <t>тыс.т.</t>
        </is>
      </c>
    </row>
    <row r="13" ht="34.9" customHeight="1" s="904">
      <c r="C13" s="310" t="n">
        <v>2</v>
      </c>
      <c r="D13" s="965" t="inlineStr">
        <is>
          <t>Поставка нестабильного газового конденсата в ПАО "НОВАТЭК"</t>
        </is>
      </c>
      <c r="E13" s="15" t="n">
        <v>100333319</v>
      </c>
      <c r="F13" s="15" t="n"/>
      <c r="G13" s="16" t="n"/>
      <c r="H13" s="17" t="inlineStr">
        <is>
          <t>100333320</t>
        </is>
      </c>
      <c r="I13" s="636" t="n"/>
      <c r="J13" s="17" t="n"/>
      <c r="K13" s="228" t="inlineStr">
        <is>
          <t>тыс.т.</t>
        </is>
      </c>
    </row>
    <row r="14" ht="20.1" customHeight="1" s="904">
      <c r="C14" s="310" t="n"/>
      <c r="D14" s="968" t="inlineStr">
        <is>
          <t>Ямбургское НГКМ</t>
        </is>
      </c>
      <c r="E14" s="15" t="n">
        <v>100333320</v>
      </c>
      <c r="F14" s="15" t="n"/>
      <c r="G14" s="16" t="n"/>
      <c r="H14" s="17" t="n"/>
      <c r="I14" s="636" t="n"/>
      <c r="J14" s="17" t="n"/>
      <c r="K14" s="228" t="inlineStr">
        <is>
          <t>тыс.т.</t>
        </is>
      </c>
    </row>
    <row r="15" ht="56.25" customHeight="1" s="904">
      <c r="C15" s="310" t="n">
        <v>3</v>
      </c>
      <c r="D15" s="965" t="inlineStr">
        <is>
          <t>'Поставка нестабильного газового конденсата ООО "Газпром переработка" (по договору №Z16-602323 от 15.12.2023)</t>
        </is>
      </c>
      <c r="E15" s="15" t="n">
        <v>100335967</v>
      </c>
      <c r="F15" s="15" t="n"/>
      <c r="G15" s="16" t="n"/>
      <c r="H15" s="17" t="n"/>
      <c r="I15" s="636" t="n"/>
      <c r="J15" s="17" t="n"/>
      <c r="K15" s="228" t="inlineStr">
        <is>
          <t>тыс.т.</t>
        </is>
      </c>
    </row>
    <row r="16" ht="20.1" customHeight="1" s="904">
      <c r="C16" s="310" t="n"/>
      <c r="D16" s="968" t="inlineStr">
        <is>
          <t>'Заполярное НГКМ, собственность ООО "Газпром добыча Ямбург"</t>
        </is>
      </c>
      <c r="E16" s="15" t="n">
        <v>100335968</v>
      </c>
      <c r="F16" s="15" t="n"/>
      <c r="G16" s="16" t="n"/>
      <c r="H16" s="17" t="n"/>
      <c r="I16" s="636" t="n"/>
      <c r="J16" s="17" t="n"/>
      <c r="K16" s="228" t="inlineStr">
        <is>
          <t>тыс.т.</t>
        </is>
      </c>
    </row>
    <row r="17" ht="37.5" customHeight="1" s="904">
      <c r="C17" s="310" t="n">
        <v>4</v>
      </c>
      <c r="D17" s="965" t="inlineStr">
        <is>
          <t>'Поставка деметанизированного газового конденсата ООО "ГНП "Холдинг"</t>
        </is>
      </c>
      <c r="E17" s="15" t="n">
        <v>100335969</v>
      </c>
      <c r="F17" s="15" t="n"/>
      <c r="G17" s="16" t="n"/>
      <c r="H17" s="17" t="n"/>
      <c r="I17" s="636" t="n"/>
      <c r="J17" s="17" t="n"/>
      <c r="K17" s="228" t="inlineStr">
        <is>
          <t>тыс.т.</t>
        </is>
      </c>
    </row>
    <row r="18" ht="20.1" customHeight="1" s="904">
      <c r="C18" s="310" t="n"/>
      <c r="D18" s="968" t="inlineStr">
        <is>
          <t>'Заполярное НГКМ, собственность ООО "Газпром добыча Ямбург"</t>
        </is>
      </c>
      <c r="E18" s="15" t="n">
        <v>100335970</v>
      </c>
      <c r="F18" s="15" t="n"/>
      <c r="G18" s="16" t="n"/>
      <c r="H18" s="17" t="n"/>
      <c r="I18" s="636" t="n"/>
      <c r="J18" s="17" t="n"/>
      <c r="K18" s="228" t="inlineStr">
        <is>
          <t>тыс.т.</t>
        </is>
      </c>
    </row>
    <row r="19" ht="19.5" customHeight="1" s="904">
      <c r="C19" s="310" t="n">
        <v>5</v>
      </c>
      <c r="D19" s="965" t="inlineStr">
        <is>
          <t>Поставка НГК на Уренгойский ЗПКТ, всего</t>
        </is>
      </c>
      <c r="E19" s="15" t="n">
        <v>100330893</v>
      </c>
      <c r="F19" s="15" t="n"/>
      <c r="G19" s="16" t="n"/>
      <c r="H19" s="17" t="inlineStr">
        <is>
          <t>100330894+100330895</t>
        </is>
      </c>
      <c r="I19" s="636" t="n"/>
      <c r="J19" s="17" t="n"/>
      <c r="K19" s="228" t="inlineStr">
        <is>
          <t>тыс.т.</t>
        </is>
      </c>
    </row>
    <row r="20" ht="20.1" customHeight="1" s="904">
      <c r="C20" s="310" t="n"/>
      <c r="D20" s="311" t="inlineStr">
        <is>
          <t>Заполярное НГКМ, собственность Газпром</t>
        </is>
      </c>
      <c r="E20" s="15" t="n">
        <v>100330894</v>
      </c>
      <c r="F20" s="15" t="n"/>
      <c r="G20" s="16" t="n"/>
      <c r="H20" s="17" t="n"/>
      <c r="I20" s="636" t="n"/>
      <c r="J20" s="17" t="n"/>
      <c r="K20" s="228" t="inlineStr">
        <is>
          <t>тыс.т.</t>
        </is>
      </c>
    </row>
    <row r="21" ht="20.1" customHeight="1" s="904">
      <c r="C21" s="310" t="n"/>
      <c r="D21" s="311" t="inlineStr">
        <is>
          <t>Ямбургское НГКМ, собственность Газпром</t>
        </is>
      </c>
      <c r="E21" s="15" t="n">
        <v>100330895</v>
      </c>
      <c r="F21" s="15" t="n"/>
      <c r="G21" s="16" t="n"/>
      <c r="H21" s="17" t="n"/>
      <c r="I21" s="636" t="n"/>
      <c r="J21" s="17" t="n"/>
      <c r="K21" s="228" t="inlineStr">
        <is>
          <t>тыс.т.</t>
        </is>
      </c>
    </row>
    <row r="22" ht="21.75" customHeight="1" s="904">
      <c r="C22" s="224" t="inlineStr">
        <is>
          <t>6</t>
        </is>
      </c>
      <c r="D22" s="965" t="inlineStr">
        <is>
          <t>Поставка нефти, всего:</t>
        </is>
      </c>
      <c r="E22" s="15" t="n">
        <v>100330589</v>
      </c>
      <c r="F22" s="15" t="n"/>
      <c r="G22" s="16" t="n"/>
      <c r="H22" s="17" t="inlineStr">
        <is>
          <t>100330590+100330591+100330592+100330593</t>
        </is>
      </c>
      <c r="I22" s="636" t="n"/>
      <c r="J22" s="17" t="n"/>
      <c r="K22" s="228" t="inlineStr">
        <is>
          <t>тыс.т.</t>
        </is>
      </c>
    </row>
    <row r="23" ht="20.1" customHeight="1" s="904">
      <c r="C23" s="224" t="n"/>
      <c r="D23" s="968" t="inlineStr">
        <is>
          <t>Заполярное НГКМ, собственность ПАО "Газпром"</t>
        </is>
      </c>
      <c r="E23" s="15" t="n">
        <v>100330590</v>
      </c>
      <c r="F23" s="15" t="n"/>
      <c r="G23" s="16" t="n"/>
      <c r="H23" s="17" t="n"/>
      <c r="I23" s="636" t="n"/>
      <c r="J23" s="17" t="n"/>
      <c r="K23" s="228" t="inlineStr">
        <is>
          <t>тыс.т.</t>
        </is>
      </c>
    </row>
    <row r="24" ht="20.1" customHeight="1" s="904">
      <c r="C24" s="310" t="n"/>
      <c r="D24" s="968" t="inlineStr">
        <is>
          <t>Заполярное НГКМ, собственность ООО "Газпром добыча Ямбург"</t>
        </is>
      </c>
      <c r="E24" s="15" t="n">
        <v>100330591</v>
      </c>
      <c r="F24" s="15" t="n"/>
      <c r="G24" s="16" t="n"/>
      <c r="H24" s="17" t="n"/>
      <c r="I24" s="636" t="n"/>
      <c r="J24" s="17" t="n"/>
      <c r="K24" s="228" t="inlineStr">
        <is>
          <t>тыс.т.</t>
        </is>
      </c>
    </row>
    <row r="25" ht="20.1" customHeight="1" s="904">
      <c r="C25" s="310" t="n"/>
      <c r="D25" s="968" t="inlineStr">
        <is>
          <t>Ямбургское НГКМ, собственность ПАО "Газпром"</t>
        </is>
      </c>
      <c r="E25" s="15" t="n">
        <v>100330592</v>
      </c>
      <c r="F25" s="15" t="n"/>
      <c r="G25" s="16" t="n"/>
      <c r="H25" s="17" t="n"/>
      <c r="I25" s="636" t="n"/>
      <c r="J25" s="17" t="n"/>
      <c r="K25" s="228" t="inlineStr">
        <is>
          <t>тыс.т.</t>
        </is>
      </c>
    </row>
    <row r="26" ht="37.5" customHeight="1" s="904">
      <c r="C26" s="310" t="n"/>
      <c r="D26" s="968" t="inlineStr">
        <is>
          <t>Ямбургское НГКМ, собственность ООО "Газпром добыча Ямбург" в рамках ДРОД:</t>
        </is>
      </c>
      <c r="E26" s="639" t="n">
        <v>100330593</v>
      </c>
      <c r="F26" s="15" t="n"/>
      <c r="G26" s="16" t="n"/>
      <c r="H26" s="17" t="n"/>
      <c r="I26" s="636" t="n"/>
      <c r="J26" s="17" t="n"/>
      <c r="K26" s="228" t="inlineStr">
        <is>
          <t>тыс.т.</t>
        </is>
      </c>
    </row>
    <row r="27" ht="20.25" customHeight="1" s="904">
      <c r="C27" s="633" t="n"/>
      <c r="D27" s="638" t="inlineStr">
        <is>
          <t>автовывоз</t>
        </is>
      </c>
      <c r="E27" s="634" t="inlineStr">
        <is>
          <t>100337154</t>
        </is>
      </c>
      <c r="F27" s="634" t="n"/>
      <c r="G27" s="635" t="n"/>
      <c r="H27" s="636" t="n"/>
      <c r="I27" s="636" t="n"/>
      <c r="J27" s="636" t="n"/>
      <c r="K27" s="637" t="n"/>
    </row>
    <row r="28" ht="20.25" customHeight="1" s="904">
      <c r="C28" s="633" t="n"/>
      <c r="D28" s="638" t="inlineStr">
        <is>
          <t>альтернативная схема</t>
        </is>
      </c>
      <c r="E28" s="634" t="inlineStr">
        <is>
          <t>100337155</t>
        </is>
      </c>
      <c r="F28" s="634" t="n"/>
      <c r="G28" s="635" t="n"/>
      <c r="H28" s="636" t="n"/>
      <c r="I28" s="636" t="n"/>
      <c r="J28" s="636" t="n"/>
      <c r="K28" s="637" t="n"/>
    </row>
    <row r="29" ht="37.5" customHeight="1" s="904">
      <c r="C29" s="1077" t="n">
        <v>7</v>
      </c>
      <c r="D29" s="143" t="inlineStr">
        <is>
          <t>Переработка нестабильного газового конденсата ( УПМТ -15 ЗНГКМ, УПМТ -1 ЯНГКМ), всего:</t>
        </is>
      </c>
      <c r="E29" s="15" t="n">
        <v>100330594</v>
      </c>
      <c r="F29" s="15" t="n"/>
      <c r="G29" s="16" t="n"/>
      <c r="H29" s="17" t="inlineStr">
        <is>
          <t>100330595</t>
        </is>
      </c>
      <c r="I29" s="636" t="n"/>
      <c r="J29" s="17" t="n"/>
      <c r="K29" s="228" t="inlineStr">
        <is>
          <t>тыс.т.</t>
        </is>
      </c>
    </row>
    <row r="30" ht="20.1" customHeight="1" s="904">
      <c r="C30" s="1077" t="n"/>
      <c r="D30" s="157" t="inlineStr">
        <is>
          <t>Переработка НГК, собственность ООО "Газпром добыча Ямбург"</t>
        </is>
      </c>
      <c r="E30" s="15" t="n">
        <v>100330595</v>
      </c>
      <c r="F30" s="15" t="n"/>
      <c r="G30" s="16" t="n"/>
      <c r="H30" s="17" t="n"/>
      <c r="I30" s="636" t="n"/>
      <c r="J30" s="17" t="n"/>
      <c r="K30" s="228" t="inlineStr">
        <is>
          <t>тыс.т.</t>
        </is>
      </c>
    </row>
    <row r="31" outlineLevel="1" ht="20.1" customHeight="1" s="904">
      <c r="C31" s="1077" t="n"/>
      <c r="D31" s="154" t="inlineStr">
        <is>
          <t>Справочно:</t>
        </is>
      </c>
      <c r="E31" s="15" t="n"/>
      <c r="F31" s="15" t="n"/>
      <c r="G31" s="16" t="n"/>
      <c r="H31" s="17" t="n"/>
      <c r="I31" s="636" t="n"/>
      <c r="J31" s="17" t="n"/>
      <c r="K31" s="228" t="n"/>
    </row>
    <row r="32" outlineLevel="1" ht="34.15" customHeight="1" s="904">
      <c r="C32" s="1077" t="n">
        <v>8</v>
      </c>
      <c r="D32" s="1011" t="inlineStr">
        <is>
          <t>Потери  нестабильного газового конденсата при переработке, всего:</t>
        </is>
      </c>
      <c r="E32" s="15" t="n">
        <v>100330598</v>
      </c>
      <c r="F32" s="15" t="n"/>
      <c r="G32" s="16" t="n"/>
      <c r="H32" s="17" t="n"/>
      <c r="I32" s="776" t="n"/>
      <c r="J32" s="17" t="n"/>
      <c r="K32" s="228" t="inlineStr">
        <is>
          <t>тыс.т.</t>
        </is>
      </c>
    </row>
    <row r="33" outlineLevel="1" ht="34.15" customHeight="1" s="904">
      <c r="C33" s="1077" t="n"/>
      <c r="D33" s="312" t="inlineStr">
        <is>
          <t>в т.ч. при первичной переработке</t>
        </is>
      </c>
      <c r="E33" s="15" t="n">
        <v>100336115</v>
      </c>
      <c r="F33" s="15" t="n"/>
      <c r="G33" s="16" t="n"/>
      <c r="H33" s="17" t="n"/>
      <c r="I33" s="776" t="n"/>
      <c r="J33" s="17" t="n"/>
      <c r="K33" s="228" t="inlineStr">
        <is>
          <t>тыс.т.</t>
        </is>
      </c>
    </row>
    <row r="34" ht="24" customHeight="1" s="904">
      <c r="C34" s="1077" t="n">
        <v>9</v>
      </c>
      <c r="D34" s="143" t="inlineStr">
        <is>
          <t>Производство продукции, всего:</t>
        </is>
      </c>
      <c r="E34" s="15" t="n">
        <v>100330049</v>
      </c>
      <c r="F34" s="15" t="n"/>
      <c r="G34" s="16" t="n"/>
      <c r="H34" s="17" t="inlineStr">
        <is>
          <t>100330605+100330609+100330611+100330623+100330601</t>
        </is>
      </c>
      <c r="I34" s="776" t="n"/>
      <c r="J34" s="17" t="n"/>
      <c r="K34" s="228" t="inlineStr">
        <is>
          <t>тыс.т.</t>
        </is>
      </c>
    </row>
    <row r="35" ht="36.75" customHeight="1" s="904">
      <c r="C35" s="1016" t="inlineStr">
        <is>
          <t>9.1</t>
        </is>
      </c>
      <c r="D35" s="143" t="inlineStr">
        <is>
          <t>Стабильный конденсат, в т.ч.</t>
        </is>
      </c>
      <c r="E35" s="15" t="n">
        <v>100330601</v>
      </c>
      <c r="F35" s="15" t="n"/>
      <c r="G35" s="16" t="n"/>
      <c r="H35" s="17" t="n"/>
      <c r="I35" s="776" t="n"/>
      <c r="J35" s="17" t="n"/>
      <c r="K35" s="228" t="inlineStr">
        <is>
          <t>тыс.т.</t>
        </is>
      </c>
    </row>
    <row r="36" ht="20.1" customHeight="1" s="904">
      <c r="C36" s="1077" t="n"/>
      <c r="D36" s="313" t="inlineStr">
        <is>
          <t xml:space="preserve">в т.ч. СК на собственные нужды </t>
        </is>
      </c>
      <c r="E36" s="15" t="n">
        <v>100330604</v>
      </c>
      <c r="F36" s="15" t="n"/>
      <c r="G36" s="16" t="n"/>
      <c r="H36" s="17" t="n"/>
      <c r="I36" s="776" t="n"/>
      <c r="J36" s="17" t="n"/>
      <c r="K36" s="228" t="inlineStr">
        <is>
          <t>тыс.т.</t>
        </is>
      </c>
    </row>
    <row r="37" ht="20.1" customHeight="1" s="904">
      <c r="C37" s="1016" t="inlineStr">
        <is>
          <t>9.2</t>
        </is>
      </c>
      <c r="D37" s="143" t="inlineStr">
        <is>
          <t>Дизельное топливо, в т.ч.</t>
        </is>
      </c>
      <c r="E37" s="15" t="n">
        <v>100330605</v>
      </c>
      <c r="F37" s="15" t="n"/>
      <c r="G37" s="16" t="n"/>
      <c r="H37" s="17" t="n"/>
      <c r="I37" s="776" t="inlineStr">
        <is>
          <t>ОКРУГЛ({100330605:-1}/{100330629:-1}*$100;$6)</t>
        </is>
      </c>
      <c r="J37" s="17" t="n"/>
      <c r="K37" s="228" t="inlineStr">
        <is>
          <t>тыс.т.</t>
        </is>
      </c>
    </row>
    <row r="38" ht="20.1" customHeight="1" s="904">
      <c r="C38" s="1077" t="n"/>
      <c r="D38" s="314" t="inlineStr">
        <is>
          <t xml:space="preserve">  в т.ч. на собственные нужды</t>
        </is>
      </c>
      <c r="E38" s="15" t="n">
        <v>100336116</v>
      </c>
      <c r="F38" s="15" t="n"/>
      <c r="G38" s="16" t="n"/>
      <c r="H38" s="17" t="n"/>
      <c r="I38" s="776" t="n"/>
      <c r="J38" s="17" t="n"/>
      <c r="K38" s="228" t="inlineStr">
        <is>
          <t>тыс.т.</t>
        </is>
      </c>
    </row>
    <row r="39" ht="20.1" customHeight="1" s="904">
      <c r="C39" s="1016" t="inlineStr">
        <is>
          <t>9.3</t>
        </is>
      </c>
      <c r="D39" s="143" t="inlineStr">
        <is>
          <t>Фракция пропан-бутановая, в т.ч.</t>
        </is>
      </c>
      <c r="E39" s="15" t="n">
        <v>100330609</v>
      </c>
      <c r="F39" s="15" t="n"/>
      <c r="G39" s="16" t="n"/>
      <c r="H39" s="17" t="n"/>
      <c r="I39" s="776" t="inlineStr">
        <is>
          <t>ОКРУГЛ({100330609:-1}/{100330594:-1}*$100;$6)</t>
        </is>
      </c>
      <c r="J39" s="17" t="n"/>
      <c r="K39" s="228" t="inlineStr">
        <is>
          <t>тыс.т.</t>
        </is>
      </c>
    </row>
    <row r="40" ht="20.1" customHeight="1" s="904">
      <c r="C40" s="1016" t="inlineStr">
        <is>
          <t>9.4</t>
        </is>
      </c>
      <c r="D40" s="965" t="inlineStr">
        <is>
          <t>Газы деэтанизации и стабилизации, всего:</t>
        </is>
      </c>
      <c r="E40" s="15" t="n">
        <v>100330611</v>
      </c>
      <c r="F40" s="15" t="n"/>
      <c r="G40" s="16" t="n"/>
      <c r="H40" s="17" t="n"/>
      <c r="I40" s="776" t="inlineStr">
        <is>
          <t>ОКРУГЛ({100330611:-1}/{100330594:-1}*$100;$6)</t>
        </is>
      </c>
      <c r="J40" s="17" t="n"/>
      <c r="K40" s="228" t="inlineStr">
        <is>
          <t>тыс.т.</t>
        </is>
      </c>
    </row>
    <row r="41" ht="20.1" customHeight="1" s="904">
      <c r="C41" s="916" t="n"/>
      <c r="D41" s="916" t="n"/>
      <c r="E41" s="15" t="n">
        <v>100330612</v>
      </c>
      <c r="F41" s="15" t="n"/>
      <c r="G41" s="16" t="n"/>
      <c r="H41" s="17" t="n"/>
      <c r="I41" s="636" t="n"/>
      <c r="J41" s="17" t="n"/>
      <c r="K41" s="588" t="inlineStr">
        <is>
          <t>млн куб.м</t>
        </is>
      </c>
    </row>
    <row r="42" ht="20.1" customHeight="1" s="904">
      <c r="C42" s="1016" t="n"/>
      <c r="D42" s="1011" t="inlineStr">
        <is>
          <t>газы деэтанизации и стабилизации на собственные нужды, в т.ч:</t>
        </is>
      </c>
      <c r="E42" s="15" t="n">
        <v>100330617</v>
      </c>
      <c r="F42" s="15" t="n"/>
      <c r="G42" s="16" t="n"/>
      <c r="H42" s="17" t="n"/>
      <c r="I42" s="776" t="inlineStr">
        <is>
          <t>ОКРУГЛ({100330617:-1}/{100330594:-1}*$100;$6)</t>
        </is>
      </c>
      <c r="J42" s="17" t="n"/>
      <c r="K42" s="228" t="inlineStr">
        <is>
          <t>тыс.т.</t>
        </is>
      </c>
    </row>
    <row r="43" ht="20.1" customHeight="1" s="904">
      <c r="C43" s="916" t="n"/>
      <c r="D43" s="916" t="n"/>
      <c r="E43" s="15" t="n">
        <v>100330618</v>
      </c>
      <c r="F43" s="15" t="n"/>
      <c r="G43" s="16" t="n"/>
      <c r="H43" s="17" t="n"/>
      <c r="I43" s="636" t="n"/>
      <c r="J43" s="17" t="n"/>
      <c r="K43" s="588" t="inlineStr">
        <is>
          <t>млн куб.м</t>
        </is>
      </c>
    </row>
    <row r="44" ht="20.1" customHeight="1" s="904">
      <c r="C44" s="224" t="inlineStr">
        <is>
          <t>9.5</t>
        </is>
      </c>
      <c r="D44" s="143" t="inlineStr">
        <is>
          <t>Возврат в нестабильный конденсат, в т.ч.</t>
        </is>
      </c>
      <c r="E44" s="15" t="n">
        <v>100330623</v>
      </c>
      <c r="F44" s="15" t="n"/>
      <c r="G44" s="16" t="n"/>
      <c r="H44" s="17" t="n"/>
      <c r="I44" s="776" t="inlineStr">
        <is>
          <t>ОКРУГЛ({100330623:-1}/{100330629:-1}*$100;$6)</t>
        </is>
      </c>
      <c r="J44" s="17" t="n"/>
      <c r="K44" s="228" t="inlineStr">
        <is>
          <t>тыс.т.</t>
        </is>
      </c>
    </row>
    <row r="45" ht="20.1" customHeight="1" s="904">
      <c r="C45" s="224" t="n"/>
      <c r="D45" s="314" t="inlineStr">
        <is>
          <t>Справочно:</t>
        </is>
      </c>
      <c r="E45" s="15" t="n"/>
      <c r="F45" s="15" t="n"/>
      <c r="G45" s="16" t="n"/>
      <c r="H45" s="17" t="n"/>
      <c r="I45" s="636" t="n"/>
      <c r="J45" s="17" t="n"/>
      <c r="K45" s="228" t="n"/>
    </row>
    <row r="46" ht="20.1" customHeight="1" s="904">
      <c r="C46" s="1016" t="n"/>
      <c r="D46" s="150" t="inlineStr">
        <is>
          <t>СК валовый, в т.ч.</t>
        </is>
      </c>
      <c r="E46" s="15" t="n">
        <v>100330626</v>
      </c>
      <c r="F46" s="15" t="n"/>
      <c r="G46" s="16" t="n"/>
      <c r="H46" s="17" t="n"/>
      <c r="I46" s="776" t="inlineStr">
        <is>
          <t>ОКРУГЛ({100330626:-1}/{100330594:-1}*$100;$6)</t>
        </is>
      </c>
      <c r="J46" s="17" t="n"/>
      <c r="K46" s="228" t="inlineStr">
        <is>
          <t>тыс.т.</t>
        </is>
      </c>
    </row>
    <row r="47" ht="19.5" customHeight="1" s="904">
      <c r="C47" s="1016" t="n"/>
      <c r="D47" s="150" t="inlineStr">
        <is>
          <t>СК первичная переработка, в т.ч.</t>
        </is>
      </c>
      <c r="E47" s="15" t="n">
        <v>100330629</v>
      </c>
      <c r="F47" s="15" t="n"/>
      <c r="G47" s="16" t="n"/>
      <c r="H47" s="17" t="n"/>
      <c r="I47" s="776" t="inlineStr">
        <is>
          <t>ОКРУГЛ({100330629:-1}/{100330626:-1}*$100;$6)</t>
        </is>
      </c>
      <c r="J47" s="17" t="n"/>
      <c r="K47" s="228" t="inlineStr">
        <is>
          <t>тыс.т.</t>
        </is>
      </c>
    </row>
    <row r="48" outlineLevel="1" ht="20.25" customHeight="1" s="904">
      <c r="C48" s="1016" t="inlineStr">
        <is>
          <t>10</t>
        </is>
      </c>
      <c r="D48" s="1042" t="inlineStr">
        <is>
          <t>Продукция принятая в производство со склада</t>
        </is>
      </c>
      <c r="E48" s="15" t="n">
        <v>100332942</v>
      </c>
      <c r="F48" s="15" t="n"/>
      <c r="G48" s="16" t="n"/>
      <c r="H48" s="17" t="n"/>
      <c r="I48" s="636" t="n"/>
      <c r="J48" s="17" t="n"/>
      <c r="K48" s="228" t="inlineStr">
        <is>
          <t>тыс.т.</t>
        </is>
      </c>
    </row>
    <row r="49" outlineLevel="1" ht="20.25" customHeight="1" s="904">
      <c r="C49" s="1016" t="inlineStr">
        <is>
          <t>11</t>
        </is>
      </c>
      <c r="D49" s="154" t="inlineStr">
        <is>
          <t xml:space="preserve">Материальный баланс переработки УВС </t>
        </is>
      </c>
      <c r="E49" s="15" t="n">
        <v>100336118</v>
      </c>
      <c r="F49" s="15" t="n"/>
      <c r="G49" s="16" t="n"/>
      <c r="H49" s="17" t="inlineStr">
        <is>
          <t>100330595+100332942-100330049-100330598</t>
        </is>
      </c>
      <c r="I49" s="636" t="n"/>
      <c r="J49" s="17" t="n"/>
      <c r="K49" s="228" t="inlineStr">
        <is>
          <t>тыс.т.</t>
        </is>
      </c>
    </row>
    <row r="50" ht="20.25" customHeight="1" s="904">
      <c r="C50" s="315" t="n"/>
      <c r="D50" s="154" t="inlineStr">
        <is>
          <t xml:space="preserve">Материальный баланс переработки УВС </t>
        </is>
      </c>
      <c r="E50" s="15" t="n">
        <v>100336117</v>
      </c>
      <c r="F50" s="15" t="n"/>
      <c r="G50" s="16" t="n"/>
      <c r="H50" s="17" t="inlineStr">
        <is>
          <t>100332291-100333319-100335967-100335969-100330594-100330893+100330623</t>
        </is>
      </c>
      <c r="I50" s="636" t="n"/>
      <c r="J50" s="17" t="n"/>
      <c r="K50" s="228" t="inlineStr">
        <is>
          <t>тыс.т.</t>
        </is>
      </c>
    </row>
    <row r="51" ht="39.75" customHeight="1" s="904">
      <c r="C51" s="138" t="n">
        <v>7</v>
      </c>
      <c r="D51" s="680" t="inlineStr">
        <is>
          <t>Производство для реализации ПАО "Газпром"</t>
        </is>
      </c>
      <c r="E51" s="15" t="n"/>
      <c r="F51" s="15" t="inlineStr">
        <is>
          <t>T</t>
        </is>
      </c>
      <c r="G51" s="16" t="n"/>
      <c r="H51" s="17" t="inlineStr">
        <is>
          <t>100330601+100330609</t>
        </is>
      </c>
      <c r="I51" s="636" t="n"/>
      <c r="J51" s="17" t="n"/>
      <c r="K51" s="140" t="inlineStr">
        <is>
          <t>тыс.т.</t>
        </is>
      </c>
    </row>
    <row r="52" ht="39.75" customHeight="1" s="904">
      <c r="C52" s="213" t="n">
        <v>6</v>
      </c>
      <c r="D52" s="163" t="inlineStr">
        <is>
          <t>Проверка с разделом "Добыча"</t>
        </is>
      </c>
      <c r="E52" s="15" t="n"/>
      <c r="F52" s="15" t="n"/>
      <c r="G52" s="16" t="n"/>
      <c r="H52" s="17" t="n"/>
      <c r="I52" s="636" t="n"/>
      <c r="J52" s="17" t="n"/>
      <c r="K52" s="162" t="n"/>
    </row>
    <row r="53" ht="19.5" customHeight="1" s="904">
      <c r="C53" s="1043" t="inlineStr">
        <is>
          <t>6.1</t>
        </is>
      </c>
      <c r="D53" s="186" t="inlineStr">
        <is>
          <t>Добыча НГК ООО "Газпром добыча Ямбург", всего:</t>
        </is>
      </c>
      <c r="E53" s="15" t="n"/>
      <c r="F53" s="15" t="n"/>
      <c r="G53" s="16" t="n"/>
      <c r="H53" s="17" t="n"/>
      <c r="I53" s="636" t="n"/>
      <c r="J53" s="17" t="n"/>
      <c r="K53" s="1026" t="inlineStr">
        <is>
          <t>тыс.т.</t>
        </is>
      </c>
    </row>
    <row r="54" ht="17.25" customHeight="1" s="904">
      <c r="C54" s="1043" t="n"/>
      <c r="D54" s="1068" t="inlineStr">
        <is>
          <t>Заполярное НГКМ</t>
        </is>
      </c>
      <c r="E54" s="15" t="n"/>
      <c r="F54" s="15" t="n"/>
      <c r="G54" s="16" t="n"/>
      <c r="H54" s="17" t="n"/>
      <c r="I54" s="636" t="n"/>
      <c r="J54" s="17" t="n"/>
      <c r="K54" s="188" t="inlineStr">
        <is>
          <t>тыс.т.</t>
        </is>
      </c>
    </row>
    <row r="55" ht="17.25" customHeight="1" s="904">
      <c r="C55" s="1043" t="n"/>
      <c r="D55" s="1068" t="inlineStr">
        <is>
          <t>Ямбургское НГКМ</t>
        </is>
      </c>
      <c r="E55" s="15" t="n"/>
      <c r="F55" s="15" t="n"/>
      <c r="G55" s="16" t="n"/>
      <c r="H55" s="17" t="n"/>
      <c r="I55" s="636" t="n"/>
      <c r="J55" s="17" t="n"/>
      <c r="K55" s="188" t="inlineStr">
        <is>
          <t>тыс.т.</t>
        </is>
      </c>
    </row>
    <row r="56" ht="19.5" customHeight="1" s="904">
      <c r="C56" s="1043" t="inlineStr">
        <is>
          <t>6.2</t>
        </is>
      </c>
      <c r="D56" s="186" t="inlineStr">
        <is>
          <t>Поставка НГК на Уренгойский ЗПКТ, всего</t>
        </is>
      </c>
      <c r="E56" s="15" t="n"/>
      <c r="F56" s="15" t="n"/>
      <c r="G56" s="16" t="n"/>
      <c r="H56" s="17" t="n"/>
      <c r="I56" s="636" t="n"/>
      <c r="J56" s="17" t="n"/>
      <c r="K56" s="1026" t="inlineStr">
        <is>
          <t>тыс.т.</t>
        </is>
      </c>
    </row>
    <row r="57" ht="17.25" customHeight="1" s="904">
      <c r="C57" s="1043" t="n"/>
      <c r="D57" s="316" t="inlineStr">
        <is>
          <t>Заполярное НГКМ, собственность Газпром</t>
        </is>
      </c>
      <c r="E57" s="15" t="n"/>
      <c r="F57" s="15" t="n"/>
      <c r="G57" s="16" t="n"/>
      <c r="H57" s="17" t="n"/>
      <c r="I57" s="636" t="n"/>
      <c r="J57" s="17" t="n"/>
      <c r="K57" s="305" t="inlineStr">
        <is>
          <t>тыс.т.</t>
        </is>
      </c>
    </row>
    <row r="58" ht="17.25" customHeight="1" s="904">
      <c r="C58" s="1043" t="n"/>
      <c r="D58" s="316" t="inlineStr">
        <is>
          <t>Ямбургское НГКМ, собственность Газпром</t>
        </is>
      </c>
      <c r="E58" s="15" t="n"/>
      <c r="F58" s="15" t="n"/>
      <c r="G58" s="16" t="n"/>
      <c r="H58" s="17" t="n"/>
      <c r="I58" s="636" t="n"/>
      <c r="J58" s="17" t="n"/>
      <c r="K58" s="305" t="inlineStr">
        <is>
          <t>тыс.т.</t>
        </is>
      </c>
    </row>
    <row r="59" ht="19.5" customHeight="1" s="904">
      <c r="C59" s="1043" t="inlineStr">
        <is>
          <t>6.3</t>
        </is>
      </c>
      <c r="D59" s="186" t="inlineStr">
        <is>
          <t>Поставка нефти, всего:</t>
        </is>
      </c>
      <c r="E59" s="15" t="n"/>
      <c r="F59" s="15" t="n"/>
      <c r="G59" s="16" t="n"/>
      <c r="H59" s="17" t="n"/>
      <c r="I59" s="636" t="n"/>
      <c r="J59" s="17" t="n"/>
      <c r="K59" s="1026" t="inlineStr">
        <is>
          <t>тыс.т.</t>
        </is>
      </c>
    </row>
    <row r="60" ht="37.5" customHeight="1" s="904">
      <c r="C60" s="1043" t="n"/>
      <c r="D60" s="1068" t="inlineStr">
        <is>
          <t>Ямбургское НГКМ, собственность ООО "Газпром добыча Ямбург" в рамках ДРОД</t>
        </is>
      </c>
      <c r="E60" s="15" t="n"/>
      <c r="F60" s="15" t="n"/>
      <c r="G60" s="16" t="n"/>
      <c r="H60" s="17" t="n"/>
      <c r="I60" s="636" t="n"/>
      <c r="J60" s="17" t="n"/>
      <c r="K60" s="305" t="inlineStr">
        <is>
          <t>тыс.т.</t>
        </is>
      </c>
    </row>
    <row r="61" ht="39.75" customHeight="1" s="904">
      <c r="C61" s="213" t="n">
        <v>7</v>
      </c>
      <c r="D61" s="163" t="inlineStr">
        <is>
          <t>Проверка с комплексом УЗПКТ-СЗСК " "Переработка"</t>
        </is>
      </c>
      <c r="E61" s="15" t="n"/>
      <c r="F61" s="15" t="n"/>
      <c r="G61" s="16" t="n"/>
      <c r="H61" s="17" t="n"/>
      <c r="I61" s="636" t="n"/>
      <c r="J61" s="17" t="n"/>
      <c r="K61" s="1026" t="n"/>
    </row>
    <row r="62" ht="19.5" customHeight="1" s="904">
      <c r="C62" s="317" t="inlineStr">
        <is>
          <t>7.1</t>
        </is>
      </c>
      <c r="D62" s="186" t="inlineStr">
        <is>
          <t>Поставка НГК на Уренгойский ЗПКТ, всего</t>
        </is>
      </c>
      <c r="E62" s="15" t="n"/>
      <c r="F62" s="15" t="inlineStr">
        <is>
          <t>V</t>
        </is>
      </c>
      <c r="G62" s="16" t="n"/>
      <c r="H62" s="17" t="inlineStr">
        <is>
          <t>100330893-4_100331801</t>
        </is>
      </c>
      <c r="I62" s="636" t="n"/>
      <c r="J62" s="17" t="n"/>
      <c r="K62" s="1026" t="inlineStr">
        <is>
          <t>тыс.т.</t>
        </is>
      </c>
    </row>
    <row r="63" ht="19.5" customHeight="1" s="904">
      <c r="C63" s="317" t="n"/>
      <c r="D63" s="316" t="inlineStr">
        <is>
          <t>Заполярное НГКМ, собственность Газпром</t>
        </is>
      </c>
      <c r="E63" s="15" t="n"/>
      <c r="F63" s="15" t="inlineStr">
        <is>
          <t>V</t>
        </is>
      </c>
      <c r="G63" s="16" t="n"/>
      <c r="H63" s="17" t="inlineStr">
        <is>
          <t>100330894-4_100331802</t>
        </is>
      </c>
      <c r="I63" s="636" t="n"/>
      <c r="J63" s="17" t="n"/>
      <c r="K63" s="305" t="inlineStr">
        <is>
          <t>тыс.т.</t>
        </is>
      </c>
    </row>
    <row r="64" ht="19.5" customHeight="1" s="904">
      <c r="C64" s="218" t="n"/>
      <c r="D64" s="318" t="inlineStr">
        <is>
          <t>Ямбургское НГКМ, собственность Газпром</t>
        </is>
      </c>
      <c r="E64" s="15" t="n"/>
      <c r="F64" s="15" t="inlineStr">
        <is>
          <t>V</t>
        </is>
      </c>
      <c r="G64" s="16" t="n"/>
      <c r="H64" s="17" t="inlineStr">
        <is>
          <t>100330895-4_100331803</t>
        </is>
      </c>
      <c r="I64" s="636" t="n"/>
      <c r="J64" s="17" t="n"/>
      <c r="K64" s="165" t="inlineStr">
        <is>
          <t>тыс.т.</t>
        </is>
      </c>
    </row>
    <row r="66" ht="17.25" customHeight="1" s="904">
      <c r="D66" s="1009" t="inlineStr">
        <is>
          <t>* - Обеспечение своевременного внесения изменений в перечень номенклатуры сырья и продукции входит в компетенцию дочернего общества.</t>
        </is>
      </c>
      <c r="G66" s="976" t="n"/>
    </row>
    <row r="67">
      <c r="G67" s="976" t="n"/>
    </row>
    <row r="68">
      <c r="D68" s="319" t="inlineStr">
        <is>
          <t>Примечание:</t>
        </is>
      </c>
      <c r="G68" s="976" t="n"/>
    </row>
    <row r="69">
      <c r="D69" s="1009" t="inlineStr">
        <is>
          <t>на У15 из валового СК вырабатывается вся продукция, кроме стабильного конд, т.к. на него нет спроса.</t>
        </is>
      </c>
      <c r="G69" s="976" t="n"/>
    </row>
    <row r="70">
      <c r="D70" s="1009" t="inlineStr">
        <is>
          <t>ДТ соответствует 3 классу, используется на СТН в автопарке УТТиСТ, небольшой обём реализуется подрядчикам</t>
        </is>
      </c>
      <c r="G70" s="320" t="n"/>
    </row>
    <row r="71">
      <c r="D71" s="1009" t="inlineStr">
        <is>
          <t>Остаточный компонент на У15 тяжёлый остаток идёт на переработку и направляется на СурЗСК, на У1 остаток делится на 1)шфлу (после колонны стаб конденсата) и 2)остаточный компонент направляется на СурЗСК (после разгонной колонны)</t>
        </is>
      </c>
      <c r="G71" s="321" t="n"/>
    </row>
    <row r="72">
      <c r="D72" s="322" t="inlineStr">
        <is>
          <t>газы деэтанизации и стаб с У15 идёт в магистраль, с У1 весь используется на СТН (печи)</t>
        </is>
      </c>
      <c r="E72" s="322" t="n"/>
      <c r="F72" s="322" t="n"/>
      <c r="G72" s="193" t="n"/>
    </row>
    <row r="73">
      <c r="D73" s="1032" t="inlineStr">
        <is>
          <t>При переботке НК получаем СК валовый, ПБФ и ГД</t>
        </is>
      </c>
    </row>
    <row r="74">
      <c r="D74" s="1009" t="inlineStr">
        <is>
          <t>СК валовый идет на первичную переработку или отгружается СК товар</t>
        </is>
      </c>
      <c r="G74" s="976" t="n"/>
    </row>
    <row r="75">
      <c r="D75" s="1009" t="inlineStr">
        <is>
          <t>Из СК при первичной переработке получаем ДТ и возврат СК на УМТ 15</t>
        </is>
      </c>
      <c r="G75" s="976" t="n"/>
    </row>
  </sheetData>
  <mergeCells count="16">
    <mergeCell ref="C40:C41"/>
    <mergeCell ref="K6:K8"/>
    <mergeCell ref="C42:C43"/>
    <mergeCell ref="G7:G8"/>
    <mergeCell ref="E7:E8"/>
    <mergeCell ref="C3:K3"/>
    <mergeCell ref="H7:H8"/>
    <mergeCell ref="F7:F8"/>
    <mergeCell ref="D73:G73"/>
    <mergeCell ref="J7:J8"/>
    <mergeCell ref="C6:C8"/>
    <mergeCell ref="E6:J6"/>
    <mergeCell ref="I7:I8"/>
    <mergeCell ref="D6:D8"/>
    <mergeCell ref="D42:D43"/>
    <mergeCell ref="D40:D41"/>
  </mergeCells>
  <conditionalFormatting sqref="P10:P64 Q10:Q64 V10:V64 W10:W64 AB10:AB64 AC10:AC64 AH10:AH64 AI10:AI64 AN10:AN64 AO10:AO64 AT10:AT64 AU10:AU64 AZ10:AZ64 BA10:BA64 BF10:BF64 BG10:BG64 BL10:BL64 BM10:BM64 BR10:BR64 BS10:BS64 BX10:BX64 BY10:BY64 CD10:CD64 CE10:CE64 CJ10:CJ64 CK10:CK64 CP10:CP64 CQ10:CQ64 CV10:CV64 CW10:CW64 DB10:DB64 DC10:DC64 DH10:DH64 DI10:DI64">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31 M48:M64 O10:O64 S10:S64 U10:U64 Y10:Y64 AA10:AA64 AE10:AE64 AG10:AG64 AK10:AK64 AM10:AM64 AQ10:AQ64 AS10:AS64 AW10:AW64 AY10:AY64 BC10:BC64 BE10:BE64 BI10:BI64 BK10:BK64 BO10:BO64 BQ10:BQ64 BU10:BU64 BW10:BW64 CA10:CA64 CC10:CC64 CG10:CG64 CI10:CI64 CM10:CM64 CO10:CO64 CS10:CS64 CU10:CU64 CY10:CY64 DA10:DA64 DE10:DE64 DG10:DG64">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31 M48:M64 O10:O64 Q10:Q64 S10:S64 U10:U64 W10:W64 Y10:Y64 AA10:AA64 AC10:AC64 AE10:AE64 AG10:AG64 AI10:AI64 AK10:AK64 AM10:AM64 AO10:AO64 AQ10:AQ64 AS10:AS64">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62" fitToWidth="0"/>
  <legacyDrawing xmlns:r="http://schemas.openxmlformats.org/officeDocument/2006/relationships" r:id="anysvml"/>
</worksheet>
</file>

<file path=xl/worksheets/sheet15.xml><?xml version="1.0" encoding="utf-8"?>
<worksheet xmlns="http://schemas.openxmlformats.org/spreadsheetml/2006/main">
  <sheetPr codeName="Лист12">
    <tabColor theme="4" tint="0.7999816888943144"/>
    <outlinePr summaryBelow="1" summaryRight="1"/>
    <pageSetUpPr fitToPage="1"/>
  </sheetPr>
  <dimension ref="A3:K159"/>
  <sheetViews>
    <sheetView topLeftCell="B1" zoomScale="60" workbookViewId="0">
      <pane xSplit="10" ySplit="9" topLeftCell="L70" activePane="bottomRight" state="frozen"/>
      <selection activeCell="I10" sqref="I10"/>
      <selection pane="topRight" activeCell="C1" sqref="C1"/>
      <selection pane="bottomLeft" activeCell="C1" sqref="C1"/>
      <selection pane="bottomRight" activeCell="F83" sqref="F83"/>
    </sheetView>
  </sheetViews>
  <sheetFormatPr baseColWidth="8" defaultColWidth="9.140625" defaultRowHeight="19.5" outlineLevelRow="1"/>
  <cols>
    <col width="7.42578125" customWidth="1" style="684" min="1" max="1"/>
    <col hidden="1" outlineLevel="1" width="13.5703125" customWidth="1" style="1041" min="2" max="2"/>
    <col collapsed="1" width="12.85546875" customWidth="1" style="403" min="3" max="3"/>
    <col width="81.42578125" customWidth="1" style="975" min="4" max="4"/>
    <col hidden="1" outlineLevel="1" width="22.140625" customWidth="1" style="975" min="5" max="9"/>
    <col hidden="1" outlineLevel="1" width="15.85546875" customWidth="1" style="975" min="10" max="10"/>
    <col collapsed="1" width="19.42578125" customWidth="1" style="976"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5"/>
  </cols>
  <sheetData>
    <row r="3" ht="20.25" customHeight="1" s="904">
      <c r="C3" s="1039" t="inlineStr">
        <is>
          <t>Прогнозные показатели по поставке ООО "Газпром добыча Уренгой"</t>
        </is>
      </c>
    </row>
    <row r="4" ht="19.5" customHeight="1" s="904"/>
    <row r="5" ht="19.5" customHeight="1" s="904">
      <c r="B5" s="482" t="n"/>
      <c r="C5" s="222" t="inlineStr">
        <is>
          <t>8. ООО "Газпром добыча Уренгой"</t>
        </is>
      </c>
      <c r="K5" s="596" t="n"/>
    </row>
    <row r="6" ht="20.1" customHeight="1" s="904">
      <c r="B6" s="1031" t="n"/>
      <c r="C6" s="1012" t="inlineStr">
        <is>
          <t>№ 
п/п</t>
        </is>
      </c>
      <c r="D6" s="969"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B9" s="1031" t="n"/>
      <c r="C9" s="1045" t="n"/>
      <c r="D9" s="1046" t="n"/>
      <c r="E9" s="1057" t="n"/>
      <c r="F9" s="1057" t="n"/>
      <c r="G9" s="1057" t="n"/>
      <c r="H9" s="1057" t="n"/>
      <c r="I9" s="1057" t="n"/>
      <c r="J9" s="1057" t="n"/>
      <c r="K9" s="282" t="n"/>
    </row>
    <row r="10" ht="39.75" customHeight="1" s="904">
      <c r="B10" s="728" t="n"/>
      <c r="C10" s="308" t="n">
        <v>1</v>
      </c>
      <c r="D10" s="483" t="inlineStr">
        <is>
          <t>Поставка нестабильного газового конденсата, всего:</t>
        </is>
      </c>
      <c r="E10" s="15" t="inlineStr">
        <is>
          <t>100332291</t>
        </is>
      </c>
      <c r="F10" s="15" t="n"/>
      <c r="G10" s="16" t="n"/>
      <c r="H10" s="17" t="inlineStr">
        <is>
          <t>100333680+100335944+100335052+100333321+100335911</t>
        </is>
      </c>
      <c r="I10" s="636" t="n"/>
      <c r="J10" s="17" t="n"/>
      <c r="K10" s="140" t="inlineStr">
        <is>
          <t>тыс.т.</t>
        </is>
      </c>
    </row>
    <row r="11" ht="39.75" customHeight="1" s="904">
      <c r="B11" s="729" t="n"/>
      <c r="C11" s="1016" t="inlineStr">
        <is>
          <t>1.1</t>
        </is>
      </c>
      <c r="D11" s="965" t="inlineStr">
        <is>
          <t>Поставка нестабильного газового конденсата 
в адрес ООО "Газпром переработка"</t>
        </is>
      </c>
      <c r="E11" s="15" t="inlineStr">
        <is>
          <t>100333680</t>
        </is>
      </c>
      <c r="F11" s="15" t="n"/>
      <c r="G11" s="16" t="n"/>
      <c r="H11" s="17" t="n"/>
      <c r="I11" s="636" t="n"/>
      <c r="J11" s="17" t="n"/>
      <c r="K11" s="1077" t="inlineStr">
        <is>
          <t>тыс.т.</t>
        </is>
      </c>
    </row>
    <row r="12" ht="20.25" customHeight="1" s="904">
      <c r="B12" s="729" t="n"/>
      <c r="C12" s="1016" t="inlineStr">
        <is>
          <t>1.2</t>
        </is>
      </c>
      <c r="D12" s="965" t="inlineStr">
        <is>
          <t>Поставка НК и ШФЛУ в ПАО "Газпром"</t>
        </is>
      </c>
      <c r="E12" s="15" t="inlineStr">
        <is>
          <t>100335944</t>
        </is>
      </c>
      <c r="F12" s="15" t="n"/>
      <c r="G12" s="16" t="n"/>
      <c r="H12" s="17" t="inlineStr">
        <is>
          <t>100330943+100335945</t>
        </is>
      </c>
      <c r="I12" s="636" t="n"/>
      <c r="J12" s="17" t="n"/>
      <c r="K12" s="1077" t="inlineStr">
        <is>
          <t>тыс.т.</t>
        </is>
      </c>
    </row>
    <row r="13" ht="20.25" customHeight="1" s="904">
      <c r="B13" s="730" t="n"/>
      <c r="C13" s="1016" t="inlineStr">
        <is>
          <t>1.2.1</t>
        </is>
      </c>
      <c r="D13" s="143" t="inlineStr">
        <is>
          <t>Поставка нестабильного газового конденсата 
в адрес ПАО "Газпром"</t>
        </is>
      </c>
      <c r="E13" s="15" t="inlineStr">
        <is>
          <t>100330943</t>
        </is>
      </c>
      <c r="F13" s="15" t="n"/>
      <c r="G13" s="16" t="n"/>
      <c r="H13" s="17" t="inlineStr">
        <is>
          <t>100330637+100335598+100330638+100335599+100330639+100330640+100333692+100335471+100335602+100337099</t>
        </is>
      </c>
      <c r="I13" s="636" t="n"/>
      <c r="J13" s="17" t="n"/>
      <c r="K13" s="1077" t="inlineStr">
        <is>
          <t>тыс.т.</t>
        </is>
      </c>
    </row>
    <row r="14" ht="20.25" customHeight="1" s="904">
      <c r="A14" s="484" t="inlineStr">
        <is>
          <t>!</t>
        </is>
      </c>
      <c r="B14" s="729" t="n"/>
      <c r="C14" s="973" t="n"/>
      <c r="D14" s="325" t="inlineStr">
        <is>
          <t>Уренгойское НГКМ</t>
        </is>
      </c>
      <c r="E14" s="15" t="inlineStr">
        <is>
          <t>100330637</t>
        </is>
      </c>
      <c r="F14" s="15" t="n"/>
      <c r="G14" s="16" t="n"/>
      <c r="H14" s="17" t="n"/>
      <c r="I14" s="636" t="n"/>
      <c r="J14" s="17" t="n"/>
      <c r="K14" s="136" t="inlineStr">
        <is>
          <t>тыс.т.</t>
        </is>
      </c>
    </row>
    <row r="15" ht="20.25" customHeight="1" s="904">
      <c r="A15" s="484" t="n"/>
      <c r="B15" s="729" t="n"/>
      <c r="C15" s="973" t="n"/>
      <c r="D15" s="325" t="inlineStr">
        <is>
          <t>С5+ от подготовки газа деэтанизации</t>
        </is>
      </c>
      <c r="E15" s="15" t="inlineStr">
        <is>
          <t>100337099</t>
        </is>
      </c>
      <c r="F15" s="15" t="n"/>
      <c r="G15" s="16" t="n"/>
      <c r="H15" s="17" t="n"/>
      <c r="I15" s="636" t="n"/>
      <c r="J15" s="17" t="n"/>
      <c r="K15" s="136" t="inlineStr">
        <is>
          <t>тыс.т.</t>
        </is>
      </c>
    </row>
    <row r="16" ht="20.25" customHeight="1" s="904">
      <c r="B16" s="729" t="n"/>
      <c r="C16" s="973" t="n"/>
      <c r="D16" s="325" t="inlineStr">
        <is>
          <t>Уренгойское НГКМ (Фаза 3) ДРОД</t>
        </is>
      </c>
      <c r="E16" s="15" t="inlineStr">
        <is>
          <t>100335598</t>
        </is>
      </c>
      <c r="F16" s="15" t="n"/>
      <c r="G16" s="16" t="n"/>
      <c r="H16" s="17" t="n"/>
      <c r="I16" s="636" t="n"/>
      <c r="J16" s="17" t="n"/>
      <c r="K16" s="136" t="inlineStr">
        <is>
          <t>тыс.т.</t>
        </is>
      </c>
    </row>
    <row r="17" ht="20.25" customHeight="1" s="904">
      <c r="B17" s="730" t="n"/>
      <c r="C17" s="206" t="n"/>
      <c r="D17" s="325" t="inlineStr">
        <is>
          <t>Ен-Яхинское НГКМ</t>
        </is>
      </c>
      <c r="E17" s="15" t="inlineStr">
        <is>
          <t>100330638</t>
        </is>
      </c>
      <c r="F17" s="15" t="n"/>
      <c r="G17" s="16" t="n"/>
      <c r="H17" s="17" t="n"/>
      <c r="I17" s="636" t="n"/>
      <c r="J17" s="17" t="n"/>
      <c r="K17" s="136" t="inlineStr">
        <is>
          <t>тыс.т.</t>
        </is>
      </c>
    </row>
    <row r="18" ht="20.25" customHeight="1" s="904">
      <c r="B18" s="730" t="n"/>
      <c r="C18" s="206" t="n"/>
      <c r="D18" s="966" t="inlineStr">
        <is>
          <t>Ен-Яхинское НГКМ БУ-12  (включая ШФЛУ) ДРОД</t>
        </is>
      </c>
      <c r="E18" s="15" t="inlineStr">
        <is>
          <t>100335599</t>
        </is>
      </c>
      <c r="F18" s="15" t="n"/>
      <c r="G18" s="16" t="n"/>
      <c r="H18" s="17" t="n"/>
      <c r="I18" s="636" t="n"/>
      <c r="J18" s="17" t="n"/>
      <c r="K18" s="136" t="inlineStr">
        <is>
          <t>тыс.т.</t>
        </is>
      </c>
    </row>
    <row r="19" ht="20.25" customHeight="1" s="904">
      <c r="B19" s="729" t="n"/>
      <c r="C19" s="206" t="n"/>
      <c r="D19" s="325" t="inlineStr">
        <is>
          <t>Уренгойское НГКМ ачим. 1 уч.</t>
        </is>
      </c>
      <c r="E19" s="15" t="inlineStr">
        <is>
          <t>100330639</t>
        </is>
      </c>
      <c r="F19" s="15" t="n"/>
      <c r="G19" s="16" t="n"/>
      <c r="H19" s="17" t="n"/>
      <c r="I19" s="636" t="n"/>
      <c r="J19" s="17" t="n"/>
      <c r="K19" s="136" t="inlineStr">
        <is>
          <t>тыс.т.</t>
        </is>
      </c>
    </row>
    <row r="20" ht="20.25" customHeight="1" s="904">
      <c r="B20" s="730" t="n"/>
      <c r="C20" s="206" t="n"/>
      <c r="D20" s="485" t="inlineStr">
        <is>
          <t xml:space="preserve">в т.ч на УСК НПТР  </t>
        </is>
      </c>
      <c r="E20" s="15" t="inlineStr">
        <is>
          <t>100335373</t>
        </is>
      </c>
      <c r="F20" s="15" t="n"/>
      <c r="G20" s="16" t="n"/>
      <c r="H20" s="17" t="n"/>
      <c r="I20" s="636" t="n"/>
      <c r="J20" s="17" t="n"/>
      <c r="K20" s="228" t="inlineStr">
        <is>
          <t>тыс.т.</t>
        </is>
      </c>
    </row>
    <row r="21" ht="20.25" customHeight="1" s="904">
      <c r="B21" s="729" t="n"/>
      <c r="C21" s="206" t="n"/>
      <c r="D21" s="325" t="inlineStr">
        <is>
          <t>Уренгойское НГКМ ачим. 2 уч.</t>
        </is>
      </c>
      <c r="E21" s="15" t="inlineStr">
        <is>
          <t>100330640</t>
        </is>
      </c>
      <c r="F21" s="15" t="n"/>
      <c r="G21" s="16" t="n"/>
      <c r="H21" s="17" t="n"/>
      <c r="I21" s="636" t="n"/>
      <c r="J21" s="17" t="n"/>
      <c r="K21" s="228" t="inlineStr">
        <is>
          <t>тыс.т.</t>
        </is>
      </c>
    </row>
    <row r="22" ht="20.25" customHeight="1" s="904">
      <c r="A22" s="684" t="inlineStr">
        <is>
          <t>!</t>
        </is>
      </c>
      <c r="B22" s="730" t="n"/>
      <c r="C22" s="206" t="n"/>
      <c r="D22" s="966" t="inlineStr">
        <is>
          <t>Уренгойское НГКМ ачим. 3 уч. ДРОД</t>
        </is>
      </c>
      <c r="E22" s="15" t="inlineStr">
        <is>
          <t>100333692</t>
        </is>
      </c>
      <c r="F22" s="15" t="n"/>
      <c r="G22" s="16" t="n"/>
      <c r="H22" s="17" t="inlineStr">
        <is>
          <t>100335601</t>
        </is>
      </c>
      <c r="I22" s="636" t="n"/>
      <c r="J22" s="17" t="n"/>
      <c r="K22" s="228" t="inlineStr">
        <is>
          <t>тыс.т.</t>
        </is>
      </c>
    </row>
    <row r="23" ht="20.25" customHeight="1" s="904">
      <c r="B23" s="730" t="n"/>
      <c r="C23" s="206" t="n"/>
      <c r="D23" s="486" t="inlineStr">
        <is>
          <t>НК (на УЗПКТ-СЗСК)</t>
        </is>
      </c>
      <c r="E23" s="15" t="inlineStr">
        <is>
          <t>100335601</t>
        </is>
      </c>
      <c r="F23" s="15" t="n"/>
      <c r="G23" s="16" t="n"/>
      <c r="H23" s="17" t="n"/>
      <c r="I23" s="636" t="n"/>
      <c r="J23" s="17" t="n"/>
      <c r="K23" s="228" t="inlineStr">
        <is>
          <t>тыс.т.</t>
        </is>
      </c>
    </row>
    <row r="24" ht="20.25" customHeight="1" s="904">
      <c r="B24" s="730" t="n"/>
      <c r="C24" s="206" t="n"/>
      <c r="D24" s="966" t="inlineStr">
        <is>
          <t>Песцовое НГКМ  (валанжин) (включая ШФЛУ) ДРОД</t>
        </is>
      </c>
      <c r="E24" s="15" t="inlineStr">
        <is>
          <t>100335471</t>
        </is>
      </c>
      <c r="F24" s="15" t="n"/>
      <c r="G24" s="16" t="n"/>
      <c r="H24" s="17" t="n"/>
      <c r="I24" s="636" t="n"/>
      <c r="J24" s="17" t="n"/>
      <c r="K24" s="228" t="inlineStr">
        <is>
          <t>тыс.т.</t>
        </is>
      </c>
    </row>
    <row r="25" ht="20.25" customHeight="1" s="904">
      <c r="B25" s="730" t="n"/>
      <c r="C25" s="206" t="n"/>
      <c r="D25" s="966" t="inlineStr">
        <is>
          <t>Песцовое НГКМ ачим  (включая ШФЛУ) ДРОД</t>
        </is>
      </c>
      <c r="E25" s="15" t="inlineStr">
        <is>
          <t>100335602</t>
        </is>
      </c>
      <c r="F25" s="15" t="n"/>
      <c r="G25" s="16" t="n"/>
      <c r="H25" s="17" t="n"/>
      <c r="I25" s="636" t="n"/>
      <c r="J25" s="17" t="n"/>
      <c r="K25" s="228" t="inlineStr">
        <is>
          <t>тыс.т.</t>
        </is>
      </c>
    </row>
    <row r="26" ht="39.75" customHeight="1" s="904">
      <c r="B26" s="730" t="n"/>
      <c r="C26" s="1016" t="inlineStr">
        <is>
          <t>1.2.2</t>
        </is>
      </c>
      <c r="D26" s="967" t="inlineStr">
        <is>
          <t>Поставка продуктов перерарботки для ПАО "Газпром"</t>
        </is>
      </c>
      <c r="E26" s="15" t="inlineStr">
        <is>
          <t>100335945</t>
        </is>
      </c>
      <c r="F26" s="15" t="n"/>
      <c r="G26" s="16" t="n"/>
      <c r="H26" s="17" t="inlineStr">
        <is>
          <t>100335600</t>
        </is>
      </c>
      <c r="I26" s="636" t="n"/>
      <c r="J26" s="17" t="n"/>
      <c r="K26" s="228" t="inlineStr">
        <is>
          <t>тыс.т.</t>
        </is>
      </c>
    </row>
    <row r="27" ht="20.25" customHeight="1" s="904">
      <c r="B27" s="730" t="n"/>
      <c r="C27" s="206" t="n"/>
      <c r="D27" s="487" t="inlineStr">
        <is>
          <t>в т.ч  ШФЛУ (с УСК ГПНЗ на УЗПКТ-СЗСК) ДРОД</t>
        </is>
      </c>
      <c r="E27" s="15" t="inlineStr">
        <is>
          <t>100335600</t>
        </is>
      </c>
      <c r="F27" s="15" t="n"/>
      <c r="G27" s="16" t="n"/>
      <c r="H27" s="17" t="n"/>
      <c r="I27" s="636" t="n"/>
      <c r="J27" s="17" t="n"/>
      <c r="K27" s="228" t="inlineStr">
        <is>
          <t>тыс.т.</t>
        </is>
      </c>
    </row>
    <row r="28" ht="39.75" customHeight="1" s="904">
      <c r="B28" s="729" t="n"/>
      <c r="C28" s="1016" t="inlineStr">
        <is>
          <t>1.3</t>
        </is>
      </c>
      <c r="D28" s="967" t="inlineStr">
        <is>
          <t>Поставка нестабильного газового конденсата 
в адрес ООО "Ачим Девелопмент" - ООО "Ачим сбыт"</t>
        </is>
      </c>
      <c r="E28" s="15" t="inlineStr">
        <is>
          <t>100335052</t>
        </is>
      </c>
      <c r="F28" s="15" t="n"/>
      <c r="G28" s="16" t="n"/>
      <c r="H28" s="17" t="inlineStr">
        <is>
          <t>100330641+100330642</t>
        </is>
      </c>
      <c r="I28" s="636" t="n"/>
      <c r="J28" s="17" t="n"/>
      <c r="K28" s="1077" t="inlineStr">
        <is>
          <t>тыс.т.</t>
        </is>
      </c>
    </row>
    <row r="29" ht="20.25" customHeight="1" s="904">
      <c r="B29" s="730" t="n"/>
      <c r="C29" s="206" t="n"/>
      <c r="D29" s="1025" t="inlineStr">
        <is>
          <t>Уренгойское НГКМ ачим. 4 уч.</t>
        </is>
      </c>
      <c r="E29" s="15" t="inlineStr">
        <is>
          <t>100330641</t>
        </is>
      </c>
      <c r="F29" s="15" t="n"/>
      <c r="G29" s="16" t="n"/>
      <c r="H29" s="17" t="n"/>
      <c r="I29" s="636" t="n"/>
      <c r="J29" s="17" t="n"/>
      <c r="K29" s="228" t="inlineStr">
        <is>
          <t>тыс.т.</t>
        </is>
      </c>
    </row>
    <row r="30" ht="20.25" customHeight="1" s="904">
      <c r="B30" s="729" t="n"/>
      <c r="C30" s="206" t="n"/>
      <c r="D30" s="1025" t="inlineStr">
        <is>
          <t>Уренгойское НГКМ ачим. 5 уч.</t>
        </is>
      </c>
      <c r="E30" s="15" t="inlineStr">
        <is>
          <t>100330642</t>
        </is>
      </c>
      <c r="F30" s="15" t="n"/>
      <c r="G30" s="16" t="n"/>
      <c r="H30" s="17" t="n"/>
      <c r="I30" s="636" t="n"/>
      <c r="J30" s="17" t="n"/>
      <c r="K30" s="228" t="inlineStr">
        <is>
          <t>тыс.т.</t>
        </is>
      </c>
    </row>
    <row r="31" ht="39.75" customHeight="1" s="904">
      <c r="B31" s="730" t="n"/>
      <c r="C31" s="1016" t="inlineStr">
        <is>
          <t>1.4</t>
        </is>
      </c>
      <c r="D31" s="967" t="inlineStr">
        <is>
          <t>Поставка нестабильного газового конденсата 
в адрес ПАО "НОВАТЭК"</t>
        </is>
      </c>
      <c r="E31" s="15" t="inlineStr">
        <is>
          <t>100333321</t>
        </is>
      </c>
      <c r="F31" s="15" t="n"/>
      <c r="G31" s="16" t="n"/>
      <c r="H31" s="17" t="inlineStr">
        <is>
          <t>100333322</t>
        </is>
      </c>
      <c r="I31" s="636" t="n"/>
      <c r="J31" s="17" t="n"/>
      <c r="K31" s="1077" t="inlineStr">
        <is>
          <t>тыс.т.</t>
        </is>
      </c>
    </row>
    <row r="32" ht="20.25" customHeight="1" s="904">
      <c r="B32" s="729" t="n"/>
      <c r="C32" s="206" t="n"/>
      <c r="D32" s="966" t="inlineStr">
        <is>
          <t>Ен-Яхинское НГКМ</t>
        </is>
      </c>
      <c r="E32" s="15" t="inlineStr">
        <is>
          <t>100333322</t>
        </is>
      </c>
      <c r="F32" s="15" t="n"/>
      <c r="G32" s="16" t="n"/>
      <c r="H32" s="17" t="n"/>
      <c r="I32" s="636" t="n"/>
      <c r="J32" s="17" t="n"/>
      <c r="K32" s="228" t="inlineStr">
        <is>
          <t>тыс.т.</t>
        </is>
      </c>
    </row>
    <row r="33" ht="39.75" customHeight="1" s="904">
      <c r="B33" s="730" t="n"/>
      <c r="C33" s="1016" t="inlineStr">
        <is>
          <t>1.5</t>
        </is>
      </c>
      <c r="D33" s="967" t="inlineStr">
        <is>
          <t>Поставка газового конденсата 
в адрес ООО "Газпромнефть-Заполярье"  (минуя альт-схему)</t>
        </is>
      </c>
      <c r="E33" s="15" t="inlineStr">
        <is>
          <t>100335911</t>
        </is>
      </c>
      <c r="F33" s="15" t="n"/>
      <c r="G33" s="16" t="n"/>
      <c r="H33" s="17" t="inlineStr">
        <is>
          <t>100335912+100335914+100335915+100335913</t>
        </is>
      </c>
      <c r="I33" s="636" t="n"/>
      <c r="J33" s="17" t="n"/>
      <c r="K33" s="141" t="inlineStr">
        <is>
          <t xml:space="preserve"> тыс. т.</t>
        </is>
      </c>
    </row>
    <row r="34" ht="20.25" customHeight="1" s="904">
      <c r="B34" s="730" t="n"/>
      <c r="C34" s="206" t="n"/>
      <c r="D34" s="1084" t="inlineStr">
        <is>
          <t>Уренгойское НГКМ ачим. 3 уч. ДРОД</t>
        </is>
      </c>
      <c r="E34" s="15" t="inlineStr">
        <is>
          <t>100335912</t>
        </is>
      </c>
      <c r="F34" s="15" t="n"/>
      <c r="G34" s="16" t="n"/>
      <c r="H34" s="17" t="n"/>
      <c r="I34" s="636" t="n"/>
      <c r="J34" s="17" t="n"/>
      <c r="K34" s="225" t="inlineStr">
        <is>
          <t xml:space="preserve"> тыс. т.</t>
        </is>
      </c>
    </row>
    <row r="35" ht="20.25" customHeight="1" s="904">
      <c r="B35" s="730" t="n"/>
      <c r="C35" s="206" t="n"/>
      <c r="D35" s="1084" t="inlineStr">
        <is>
          <t>Ен-Яхинское НГКМ  БУ-12</t>
        </is>
      </c>
      <c r="E35" s="15" t="inlineStr">
        <is>
          <t>100335913</t>
        </is>
      </c>
      <c r="F35" s="15" t="n"/>
      <c r="G35" s="16" t="n"/>
      <c r="H35" s="17" t="n"/>
      <c r="I35" s="636" t="n"/>
      <c r="J35" s="17" t="n"/>
      <c r="K35" s="225" t="inlineStr">
        <is>
          <t xml:space="preserve"> тыс. т.</t>
        </is>
      </c>
    </row>
    <row r="36" ht="20.25" customHeight="1" s="904">
      <c r="B36" s="730" t="n"/>
      <c r="C36" s="206" t="n"/>
      <c r="D36" s="1084" t="inlineStr">
        <is>
          <t>Песцовое НГКМ  (неоком)</t>
        </is>
      </c>
      <c r="E36" s="15" t="inlineStr">
        <is>
          <t>100335914</t>
        </is>
      </c>
      <c r="F36" s="15" t="n"/>
      <c r="G36" s="16" t="n"/>
      <c r="H36" s="17" t="n"/>
      <c r="I36" s="636" t="n"/>
      <c r="J36" s="17" t="n"/>
      <c r="K36" s="225" t="inlineStr">
        <is>
          <t xml:space="preserve"> тыс. т.</t>
        </is>
      </c>
    </row>
    <row r="37" ht="20.25" customHeight="1" s="904">
      <c r="B37" s="730" t="n"/>
      <c r="C37" s="206" t="n"/>
      <c r="D37" s="1084" t="inlineStr">
        <is>
          <t>Песцовое НГКМ (ачим)</t>
        </is>
      </c>
      <c r="E37" s="15" t="inlineStr">
        <is>
          <t>100335915</t>
        </is>
      </c>
      <c r="F37" s="15" t="n"/>
      <c r="G37" s="16" t="n"/>
      <c r="H37" s="17" t="n"/>
      <c r="I37" s="636" t="n"/>
      <c r="J37" s="17" t="n"/>
      <c r="K37" s="225" t="inlineStr">
        <is>
          <t xml:space="preserve"> тыс. т.</t>
        </is>
      </c>
    </row>
    <row r="38" outlineLevel="1" ht="20.25" customHeight="1" s="904">
      <c r="B38" s="730" t="n"/>
      <c r="C38" s="206" t="n"/>
      <c r="D38" s="145" t="inlineStr">
        <is>
          <t>Справочно:</t>
        </is>
      </c>
      <c r="E38" s="15" t="n"/>
      <c r="F38" s="15" t="n"/>
      <c r="G38" s="16" t="n"/>
      <c r="H38" s="17" t="n"/>
      <c r="I38" s="636" t="n"/>
      <c r="J38" s="17" t="n"/>
      <c r="K38" s="225" t="n"/>
    </row>
    <row r="39" outlineLevel="1" ht="20.25" customHeight="1" s="904">
      <c r="B39" s="729" t="n"/>
      <c r="C39" s="206" t="n"/>
      <c r="D39" s="1044" t="inlineStr">
        <is>
          <t>Добыча газа</t>
        </is>
      </c>
      <c r="E39" s="15" t="inlineStr">
        <is>
          <t>100330652</t>
        </is>
      </c>
      <c r="F39" s="15" t="n"/>
      <c r="G39" s="16" t="n"/>
      <c r="H39" s="17" t="n"/>
      <c r="I39" s="636" t="n"/>
      <c r="J39" s="17" t="n"/>
      <c r="K39" s="588" t="n"/>
    </row>
    <row r="40" outlineLevel="1" ht="20.25" customHeight="1" s="904">
      <c r="B40" s="730" t="n"/>
      <c r="C40" s="206" t="n"/>
      <c r="D40" s="488" t="inlineStr">
        <is>
          <t xml:space="preserve"> 1 участок (услуги Ачимгаза)</t>
        </is>
      </c>
      <c r="E40" s="15" t="inlineStr">
        <is>
          <t>100330653</t>
        </is>
      </c>
      <c r="F40" s="15" t="n"/>
      <c r="G40" s="16" t="n"/>
      <c r="H40" s="17" t="n"/>
      <c r="I40" s="636" t="n"/>
      <c r="J40" s="17" t="n"/>
      <c r="K40" s="588" t="inlineStr">
        <is>
          <t>млн куб.м</t>
        </is>
      </c>
    </row>
    <row r="41" outlineLevel="1" ht="20.25" customHeight="1" s="904">
      <c r="B41" s="730" t="n"/>
      <c r="C41" s="206" t="n"/>
      <c r="D41" s="1044" t="inlineStr">
        <is>
          <t>Добыча НК (поставка)</t>
        </is>
      </c>
      <c r="E41" s="15" t="n"/>
      <c r="F41" s="15" t="n"/>
      <c r="G41" s="16" t="n"/>
      <c r="H41" s="17" t="n"/>
      <c r="I41" s="636" t="n"/>
      <c r="J41" s="17" t="n"/>
      <c r="K41" s="136" t="inlineStr">
        <is>
          <t>тыс.т.</t>
        </is>
      </c>
    </row>
    <row r="42" outlineLevel="1" ht="20.25" customHeight="1" s="904">
      <c r="B42" s="730" t="n"/>
      <c r="C42" s="206" t="n"/>
      <c r="D42" s="488" t="inlineStr">
        <is>
          <t>Уренгойское НГКМ ачим. 3 уч. ДРОД</t>
        </is>
      </c>
      <c r="E42" s="15" t="inlineStr">
        <is>
          <t>100335489</t>
        </is>
      </c>
      <c r="F42" s="15" t="n"/>
      <c r="G42" s="16" t="n"/>
      <c r="H42" s="17" t="n"/>
      <c r="I42" s="636" t="n"/>
      <c r="J42" s="17" t="n"/>
      <c r="K42" s="136" t="inlineStr">
        <is>
          <t>тыс.т.</t>
        </is>
      </c>
    </row>
    <row r="43" outlineLevel="1" ht="20.25" customHeight="1" s="904">
      <c r="B43" s="730" t="n"/>
      <c r="C43" s="206" t="n"/>
      <c r="D43" s="488" t="inlineStr">
        <is>
          <t>Песцовое НГКМ (валанжин)</t>
        </is>
      </c>
      <c r="E43" s="15" t="inlineStr">
        <is>
          <t>100335490</t>
        </is>
      </c>
      <c r="F43" s="15" t="n"/>
      <c r="G43" s="16" t="n"/>
      <c r="H43" s="17" t="n"/>
      <c r="I43" s="636" t="n"/>
      <c r="J43" s="17" t="n"/>
      <c r="K43" s="136" t="inlineStr">
        <is>
          <t>тыс.т.</t>
        </is>
      </c>
    </row>
    <row r="44" outlineLevel="1" ht="20.25" customHeight="1" s="904">
      <c r="B44" s="730" t="n"/>
      <c r="C44" s="206" t="n"/>
      <c r="D44" s="488" t="inlineStr">
        <is>
          <t xml:space="preserve">   в т.ч. из ПНГ</t>
        </is>
      </c>
      <c r="E44" s="15" t="inlineStr">
        <is>
          <t>100335775</t>
        </is>
      </c>
      <c r="F44" s="15" t="n"/>
      <c r="G44" s="16" t="n"/>
      <c r="H44" s="17" t="n"/>
      <c r="I44" s="636" t="n"/>
      <c r="J44" s="17" t="n"/>
      <c r="K44" s="136" t="inlineStr">
        <is>
          <t>тыс.т.</t>
        </is>
      </c>
    </row>
    <row r="45" outlineLevel="1" ht="20.25" customHeight="1" s="904">
      <c r="B45" s="730" t="n"/>
      <c r="C45" s="206" t="n"/>
      <c r="D45" s="488" t="inlineStr">
        <is>
          <t>Песцовое НГКМ ачим</t>
        </is>
      </c>
      <c r="E45" s="15" t="inlineStr">
        <is>
          <t>100335603</t>
        </is>
      </c>
      <c r="F45" s="15" t="n"/>
      <c r="G45" s="16" t="n"/>
      <c r="H45" s="17" t="n"/>
      <c r="I45" s="636" t="n"/>
      <c r="J45" s="17" t="n"/>
      <c r="K45" s="136" t="inlineStr">
        <is>
          <t>тыс.т.</t>
        </is>
      </c>
    </row>
    <row r="46" outlineLevel="1" ht="20.25" customHeight="1" s="904">
      <c r="B46" s="730" t="n"/>
      <c r="C46" s="206" t="n"/>
      <c r="D46" s="488" t="inlineStr">
        <is>
          <t>Ен-Яхинское НГКМ  БУ-12</t>
        </is>
      </c>
      <c r="E46" s="15" t="inlineStr">
        <is>
          <t>100335604</t>
        </is>
      </c>
      <c r="F46" s="15" t="n"/>
      <c r="G46" s="16" t="n"/>
      <c r="H46" s="17" t="n"/>
      <c r="I46" s="636" t="n"/>
      <c r="J46" s="17" t="n"/>
      <c r="K46" s="136" t="inlineStr">
        <is>
          <t>тыс.т.</t>
        </is>
      </c>
    </row>
    <row r="47" outlineLevel="1" ht="20.25" customHeight="1" s="904">
      <c r="B47" s="730" t="n"/>
      <c r="C47" s="206" t="n"/>
      <c r="D47" s="488" t="inlineStr">
        <is>
          <t xml:space="preserve">   в т.ч. из ПНГ</t>
        </is>
      </c>
      <c r="E47" s="15" t="inlineStr">
        <is>
          <t>100335776</t>
        </is>
      </c>
      <c r="F47" s="15" t="n"/>
      <c r="G47" s="16" t="n"/>
      <c r="H47" s="17" t="n"/>
      <c r="I47" s="636" t="n"/>
      <c r="J47" s="17" t="n"/>
      <c r="K47" s="136" t="inlineStr">
        <is>
          <t>тыс.т.</t>
        </is>
      </c>
    </row>
    <row r="48" outlineLevel="1" ht="20.25" customHeight="1" s="904">
      <c r="B48" s="730" t="n"/>
      <c r="C48" s="206" t="n"/>
      <c r="D48" s="488" t="inlineStr">
        <is>
          <t>Уренгойское НГКМ (Фаза 3)</t>
        </is>
      </c>
      <c r="E48" s="15" t="inlineStr">
        <is>
          <t>100335605</t>
        </is>
      </c>
      <c r="F48" s="15" t="n"/>
      <c r="G48" s="16" t="n"/>
      <c r="H48" s="17" t="n"/>
      <c r="I48" s="636" t="n"/>
      <c r="J48" s="17" t="n"/>
      <c r="K48" s="136" t="inlineStr">
        <is>
          <t>тыс.т.</t>
        </is>
      </c>
    </row>
    <row r="49" ht="20.25" customHeight="1" s="904">
      <c r="A49" s="284" t="n"/>
      <c r="B49" s="729" t="n"/>
      <c r="C49" s="1016" t="inlineStr">
        <is>
          <t>2</t>
        </is>
      </c>
      <c r="D49" s="967" t="inlineStr">
        <is>
          <t>Поставка нефти, всего:</t>
        </is>
      </c>
      <c r="E49" s="15" t="inlineStr">
        <is>
          <t>100330589</t>
        </is>
      </c>
      <c r="F49" s="15" t="n"/>
      <c r="G49" s="16" t="n"/>
      <c r="H49" s="17" t="inlineStr">
        <is>
          <t>100330648+100330644</t>
        </is>
      </c>
      <c r="I49" s="636" t="n"/>
      <c r="J49" s="17" t="n"/>
      <c r="K49" s="1077" t="inlineStr">
        <is>
          <t>тыс.т.</t>
        </is>
      </c>
    </row>
    <row r="50" ht="20.25" customHeight="1" s="904">
      <c r="A50" s="489" t="inlineStr">
        <is>
          <t>!</t>
        </is>
      </c>
      <c r="B50" s="730" t="n"/>
      <c r="C50" s="1016" t="inlineStr">
        <is>
          <t>2.1</t>
        </is>
      </c>
      <c r="D50" s="967" t="inlineStr">
        <is>
          <t>Поставка нефти, собственность ПАО "Газпром"</t>
        </is>
      </c>
      <c r="E50" s="15" t="inlineStr">
        <is>
          <t>100330648</t>
        </is>
      </c>
      <c r="F50" s="15" t="n"/>
      <c r="G50" s="16" t="n"/>
      <c r="H50" s="17" t="inlineStr">
        <is>
          <t>100330649+100335491</t>
        </is>
      </c>
      <c r="I50" s="636" t="n"/>
      <c r="J50" s="17" t="n"/>
      <c r="K50" s="490" t="inlineStr">
        <is>
          <t>тыс.т.</t>
        </is>
      </c>
    </row>
    <row r="51" ht="20.25" customHeight="1" s="904">
      <c r="A51" s="489" t="n"/>
      <c r="B51" s="729" t="n"/>
      <c r="C51" s="206" t="n"/>
      <c r="D51" s="1084" t="inlineStr">
        <is>
          <t>Уренгойское НГКМ</t>
        </is>
      </c>
      <c r="E51" s="15" t="inlineStr">
        <is>
          <t>100330649</t>
        </is>
      </c>
      <c r="F51" s="15" t="n"/>
      <c r="G51" s="16" t="n"/>
      <c r="H51" s="17" t="n"/>
      <c r="I51" s="636" t="n"/>
      <c r="J51" s="17" t="n"/>
      <c r="K51" s="228" t="inlineStr">
        <is>
          <t>тыс.т.</t>
        </is>
      </c>
    </row>
    <row r="52" ht="20.25" customHeight="1" s="904">
      <c r="A52" s="489" t="n"/>
      <c r="B52" s="729" t="n"/>
      <c r="C52" s="206" t="n"/>
      <c r="D52" s="1084" t="inlineStr">
        <is>
          <t xml:space="preserve">Песцовое НГКМ </t>
        </is>
      </c>
      <c r="E52" s="15" t="inlineStr">
        <is>
          <t>100335491</t>
        </is>
      </c>
      <c r="F52" s="15" t="n"/>
      <c r="G52" s="16" t="n"/>
      <c r="H52" s="17" t="n"/>
      <c r="I52" s="636" t="n"/>
      <c r="J52" s="17" t="n"/>
      <c r="K52" s="228" t="inlineStr">
        <is>
          <t>тыс.т.</t>
        </is>
      </c>
    </row>
    <row r="53" ht="20.25" customHeight="1" s="904">
      <c r="A53" s="489" t="n"/>
      <c r="B53" s="730" t="n"/>
      <c r="C53" s="1016" t="inlineStr">
        <is>
          <t>2.2</t>
        </is>
      </c>
      <c r="D53" s="967" t="inlineStr">
        <is>
          <t>Поставка нефти потребителям, всего:</t>
        </is>
      </c>
      <c r="E53" s="15" t="inlineStr">
        <is>
          <t>100330644</t>
        </is>
      </c>
      <c r="F53" s="15" t="n"/>
      <c r="G53" s="16" t="n"/>
      <c r="H53" s="17" t="inlineStr">
        <is>
          <t>100333681+100335156+100335916+100335917</t>
        </is>
      </c>
      <c r="I53" s="636" t="n"/>
      <c r="J53" s="17" t="n"/>
      <c r="K53" s="490" t="inlineStr">
        <is>
          <t>тыс.т.</t>
        </is>
      </c>
    </row>
    <row r="54" ht="20.25" customHeight="1" s="904">
      <c r="A54" s="489" t="inlineStr">
        <is>
          <t>!</t>
        </is>
      </c>
      <c r="B54" s="729" t="n"/>
      <c r="C54" s="973" t="n"/>
      <c r="D54" s="1025" t="inlineStr">
        <is>
          <t>Уренгойское НГКМ,  в адрес ООО "Газпром переработка"</t>
        </is>
      </c>
      <c r="E54" s="15" t="inlineStr">
        <is>
          <t>100333681</t>
        </is>
      </c>
      <c r="F54" s="15" t="n"/>
      <c r="G54" s="16" t="n"/>
      <c r="H54" s="17" t="n"/>
      <c r="I54" s="636" t="n"/>
      <c r="J54" s="17" t="n"/>
      <c r="K54" s="228" t="inlineStr">
        <is>
          <t>тыс.т.</t>
        </is>
      </c>
    </row>
    <row r="55" ht="33.75" customHeight="1" s="904">
      <c r="A55" s="489" t="n"/>
      <c r="B55" s="730" t="n"/>
      <c r="C55" s="206" t="n"/>
      <c r="D55" s="1025" t="inlineStr">
        <is>
          <t>Уренгойское НГКМ, собственность ООО "Газпром добыча Уренгой"</t>
        </is>
      </c>
      <c r="E55" s="15" t="inlineStr">
        <is>
          <t>100335156</t>
        </is>
      </c>
      <c r="F55" s="15" t="n"/>
      <c r="G55" s="16" t="n"/>
      <c r="H55" s="17" t="n"/>
      <c r="I55" s="636" t="n"/>
      <c r="J55" s="17" t="n"/>
      <c r="K55" s="228" t="inlineStr">
        <is>
          <t>тыс.т.</t>
        </is>
      </c>
    </row>
    <row r="56" ht="20.25" customHeight="1" s="904">
      <c r="A56" s="489" t="n"/>
      <c r="B56" s="730" t="n"/>
      <c r="C56" s="206" t="n"/>
      <c r="D56" s="1025" t="inlineStr">
        <is>
          <t>ГД Уренгой в рамках ДРОД в адрес трейдера</t>
        </is>
      </c>
      <c r="E56" s="15" t="n">
        <v>100335916</v>
      </c>
      <c r="F56" s="15" t="n"/>
      <c r="G56" s="16" t="n"/>
      <c r="H56" s="17" t="inlineStr">
        <is>
          <t>100335670+100330646+100330647+100335051+100337142+100335516+100330643+100333691+100336114+100337111</t>
        </is>
      </c>
      <c r="I56" s="636" t="n"/>
      <c r="J56" s="17" t="n"/>
      <c r="K56" s="228" t="inlineStr">
        <is>
          <t>тыс.т.</t>
        </is>
      </c>
    </row>
    <row r="57" ht="20.25" customHeight="1" s="904">
      <c r="A57" s="489" t="inlineStr">
        <is>
          <t>!</t>
        </is>
      </c>
      <c r="B57" s="730" t="n"/>
      <c r="C57" s="206" t="n"/>
      <c r="D57" s="406" t="inlineStr">
        <is>
          <t>Уренгойское НГКМ, Фаза 2 (Нефть)</t>
        </is>
      </c>
      <c r="E57" s="15" t="inlineStr">
        <is>
          <t>100335670</t>
        </is>
      </c>
      <c r="F57" s="15" t="n"/>
      <c r="G57" s="16" t="n"/>
      <c r="H57" s="17" t="n"/>
      <c r="I57" s="636" t="n"/>
      <c r="J57" s="17" t="n"/>
      <c r="K57" s="228" t="inlineStr">
        <is>
          <t>тыс.т.</t>
        </is>
      </c>
    </row>
    <row r="58" ht="20.25" customHeight="1" s="904">
      <c r="B58" s="730" t="n"/>
      <c r="C58" s="206" t="n"/>
      <c r="D58" s="406" t="inlineStr">
        <is>
          <t>Уренгойское НГКМ ачим. 3 уч.  (СК)</t>
        </is>
      </c>
      <c r="E58" s="15" t="n">
        <v>100335051</v>
      </c>
      <c r="F58" s="15" t="n"/>
      <c r="G58" s="16" t="n"/>
      <c r="H58" s="17" t="n"/>
      <c r="I58" s="636" t="n"/>
      <c r="J58" s="17" t="n"/>
      <c r="K58" s="228" t="inlineStr">
        <is>
          <t>тыс.т.</t>
        </is>
      </c>
    </row>
    <row r="59" ht="20.25" customHeight="1" s="904">
      <c r="B59" s="730" t="n"/>
      <c r="C59" s="784" t="n"/>
      <c r="D59" s="785" t="inlineStr">
        <is>
          <t>Уренгойское НГКМ ачим. 3 уч.  (Нефть)</t>
        </is>
      </c>
      <c r="E59" s="774" t="n">
        <v>100337142</v>
      </c>
      <c r="F59" s="774" t="n"/>
      <c r="G59" s="775" t="n"/>
      <c r="H59" s="776" t="n"/>
      <c r="I59" s="776" t="n"/>
      <c r="J59" s="776" t="n"/>
      <c r="K59" s="228" t="inlineStr">
        <is>
          <t>тыс.т.</t>
        </is>
      </c>
    </row>
    <row r="60" ht="20.25" customHeight="1" s="904">
      <c r="B60" s="730" t="n"/>
      <c r="C60" s="206" t="n"/>
      <c r="D60" s="406" t="inlineStr">
        <is>
          <t>Уренгойское НГКМ ачим. 5 уч.  (Нефть)</t>
        </is>
      </c>
      <c r="E60" s="15" t="inlineStr">
        <is>
          <t>100337111</t>
        </is>
      </c>
      <c r="F60" s="15" t="n"/>
      <c r="G60" s="16" t="n"/>
      <c r="H60" s="17" t="n"/>
      <c r="I60" s="636" t="n"/>
      <c r="J60" s="17" t="n"/>
      <c r="K60" s="228" t="inlineStr">
        <is>
          <t>тыс.т.</t>
        </is>
      </c>
    </row>
    <row r="61" ht="20.25" customHeight="1" s="904">
      <c r="B61" s="730" t="n"/>
      <c r="C61" s="206" t="n"/>
      <c r="D61" s="406" t="inlineStr">
        <is>
          <t>Уренгойское НГКМ ачим. 6 уч.  (Нефть)</t>
        </is>
      </c>
      <c r="E61" s="15" t="inlineStr">
        <is>
          <t>100336114</t>
        </is>
      </c>
      <c r="F61" s="15" t="n"/>
      <c r="G61" s="16" t="n"/>
      <c r="H61" s="17" t="n"/>
      <c r="I61" s="636" t="n"/>
      <c r="J61" s="17" t="n"/>
      <c r="K61" s="228" t="inlineStr">
        <is>
          <t>тыс.т.</t>
        </is>
      </c>
    </row>
    <row r="62" ht="20.25" customHeight="1" s="904">
      <c r="B62" s="729" t="n"/>
      <c r="C62" s="206" t="n"/>
      <c r="D62" s="406" t="inlineStr">
        <is>
          <t>Ен-Яхинское НГКМ БУ-12 (Нефть)</t>
        </is>
      </c>
      <c r="E62" s="15" t="inlineStr">
        <is>
          <t>100330646</t>
        </is>
      </c>
      <c r="F62" s="15" t="n"/>
      <c r="G62" s="16" t="n"/>
      <c r="H62" s="17" t="n"/>
      <c r="I62" s="636" t="n"/>
      <c r="J62" s="17" t="n"/>
      <c r="K62" s="228" t="inlineStr">
        <is>
          <t>тыс.т.</t>
        </is>
      </c>
    </row>
    <row r="63" ht="20.25" customHeight="1" s="904">
      <c r="B63" s="730" t="n"/>
      <c r="C63" s="155" t="n"/>
      <c r="D63" s="406" t="inlineStr">
        <is>
          <t>Ен-Яхинское НГКМ  БУ-12  (СК)</t>
        </is>
      </c>
      <c r="E63" s="15" t="inlineStr">
        <is>
          <t>100335516</t>
        </is>
      </c>
      <c r="F63" s="15" t="n"/>
      <c r="G63" s="16" t="n"/>
      <c r="H63" s="17" t="n"/>
      <c r="I63" s="636" t="n"/>
      <c r="J63" s="17" t="n"/>
      <c r="K63" s="225" t="inlineStr">
        <is>
          <t xml:space="preserve"> тыс. т.</t>
        </is>
      </c>
    </row>
    <row r="64" ht="20.25" customHeight="1" s="904">
      <c r="A64" s="684" t="inlineStr">
        <is>
          <t>!</t>
        </is>
      </c>
      <c r="B64" s="730" t="n"/>
      <c r="C64" s="206" t="n"/>
      <c r="D64" s="406" t="inlineStr">
        <is>
          <t>Песцовое НГКМ (Нефть)</t>
        </is>
      </c>
      <c r="E64" s="15" t="inlineStr">
        <is>
          <t>100330647</t>
        </is>
      </c>
      <c r="F64" s="15" t="n"/>
      <c r="G64" s="16" t="n"/>
      <c r="H64" s="17" t="n"/>
      <c r="I64" s="636" t="n"/>
      <c r="J64" s="17" t="n"/>
      <c r="K64" s="228" t="inlineStr">
        <is>
          <t>тыс.т.</t>
        </is>
      </c>
    </row>
    <row r="65" ht="20.25" customHeight="1" s="904">
      <c r="B65" s="729" t="n"/>
      <c r="C65" s="206" t="n"/>
      <c r="D65" s="406" t="inlineStr">
        <is>
          <t>Песцовое НГКМ (неоком)  (СК)</t>
        </is>
      </c>
      <c r="E65" s="15" t="inlineStr">
        <is>
          <t>100330643</t>
        </is>
      </c>
      <c r="F65" s="15" t="n"/>
      <c r="G65" s="16" t="n"/>
      <c r="H65" s="17" t="n"/>
      <c r="I65" s="636" t="n"/>
      <c r="J65" s="17" t="n"/>
      <c r="K65" s="225" t="inlineStr">
        <is>
          <t xml:space="preserve"> тыс. т.</t>
        </is>
      </c>
    </row>
    <row r="66" ht="20.25" customHeight="1" s="904">
      <c r="B66" s="730" t="n"/>
      <c r="C66" s="206" t="n"/>
      <c r="D66" s="406" t="inlineStr">
        <is>
          <t>Песцовое НГКМ (ачим) (СК)</t>
        </is>
      </c>
      <c r="E66" s="15" t="inlineStr">
        <is>
          <t>100333691</t>
        </is>
      </c>
      <c r="F66" s="15" t="n"/>
      <c r="G66" s="16" t="n"/>
      <c r="H66" s="17" t="n"/>
      <c r="I66" s="636" t="n"/>
      <c r="J66" s="17" t="n"/>
      <c r="K66" s="225" t="inlineStr">
        <is>
          <t xml:space="preserve"> тыс. т.</t>
        </is>
      </c>
    </row>
    <row r="67" ht="33.75" customHeight="1" s="904">
      <c r="B67" s="730" t="n"/>
      <c r="C67" s="206" t="n"/>
      <c r="D67" s="1084" t="inlineStr">
        <is>
          <t xml:space="preserve"> ГД Уренгой  в рамках ДРОД в адрес ГПНефть-Заполярье (автовывоз)</t>
        </is>
      </c>
      <c r="E67" s="15" t="inlineStr">
        <is>
          <t>100335917</t>
        </is>
      </c>
      <c r="F67" s="15" t="n"/>
      <c r="G67" s="16" t="n"/>
      <c r="H67" s="17" t="inlineStr">
        <is>
          <t>100335918+100335919+100335920+100337105</t>
        </is>
      </c>
      <c r="I67" s="636" t="n"/>
      <c r="J67" s="17" t="n"/>
      <c r="K67" s="228" t="inlineStr">
        <is>
          <t>тыс.т.</t>
        </is>
      </c>
    </row>
    <row r="68" ht="20.25" customHeight="1" s="904">
      <c r="B68" s="730" t="n"/>
      <c r="C68" s="206" t="n"/>
      <c r="D68" s="406" t="inlineStr">
        <is>
          <t>Уренгойское НГКМ, Фаза 2 (Нефть)</t>
        </is>
      </c>
      <c r="E68" s="15" t="inlineStr">
        <is>
          <t>100335918</t>
        </is>
      </c>
      <c r="F68" s="15" t="n"/>
      <c r="G68" s="16" t="n"/>
      <c r="H68" s="17" t="n"/>
      <c r="I68" s="636" t="n"/>
      <c r="J68" s="17" t="n"/>
      <c r="K68" s="228" t="inlineStr">
        <is>
          <t>тыс.т.</t>
        </is>
      </c>
    </row>
    <row r="69" ht="20.25" customHeight="1" s="904">
      <c r="B69" s="730" t="n"/>
      <c r="C69" s="206" t="n"/>
      <c r="D69" s="406" t="inlineStr">
        <is>
          <t>Уренгойское НГКМ ачим. 6 уч.  (Нефть)</t>
        </is>
      </c>
      <c r="E69" s="15" t="inlineStr">
        <is>
          <t>100337105</t>
        </is>
      </c>
      <c r="F69" s="15" t="n"/>
      <c r="G69" s="16" t="n"/>
      <c r="H69" s="17" t="n"/>
      <c r="I69" s="636" t="n"/>
      <c r="J69" s="17" t="n"/>
      <c r="K69" s="228" t="inlineStr">
        <is>
          <t>тыс.т.</t>
        </is>
      </c>
    </row>
    <row r="70" ht="20.25" customHeight="1" s="904">
      <c r="B70" s="730" t="n"/>
      <c r="C70" s="206" t="n"/>
      <c r="D70" s="406" t="inlineStr">
        <is>
          <t>Ен-Яхинское НГКМ</t>
        </is>
      </c>
      <c r="E70" s="15" t="inlineStr">
        <is>
          <t>100335919</t>
        </is>
      </c>
      <c r="F70" s="15" t="n"/>
      <c r="G70" s="16" t="n"/>
      <c r="H70" s="17" t="n"/>
      <c r="I70" s="636" t="n"/>
      <c r="J70" s="17" t="n"/>
      <c r="K70" s="228" t="inlineStr">
        <is>
          <t>тыс.т.</t>
        </is>
      </c>
    </row>
    <row r="71" ht="20.25" customHeight="1" s="904">
      <c r="B71" s="730" t="n"/>
      <c r="C71" s="206" t="n"/>
      <c r="D71" s="406" t="inlineStr">
        <is>
          <t>Песцовое НГКМ</t>
        </is>
      </c>
      <c r="E71" s="15" t="inlineStr">
        <is>
          <t>100335920</t>
        </is>
      </c>
      <c r="F71" s="15" t="n"/>
      <c r="G71" s="16" t="n"/>
      <c r="H71" s="17" t="n"/>
      <c r="I71" s="636" t="n"/>
      <c r="J71" s="17" t="n"/>
      <c r="K71" s="228" t="inlineStr">
        <is>
          <t>тыс.т.</t>
        </is>
      </c>
    </row>
    <row r="72" ht="20.25" customHeight="1" s="904">
      <c r="A72" s="684" t="inlineStr">
        <is>
          <t>!</t>
        </is>
      </c>
      <c r="B72" s="730" t="n"/>
      <c r="C72" s="1016" t="inlineStr">
        <is>
          <t>3.</t>
        </is>
      </c>
      <c r="D72" s="1037" t="inlineStr">
        <is>
          <t xml:space="preserve">Выработка газа выветривания в рамках ДРОД </t>
        </is>
      </c>
      <c r="E72" s="15" t="inlineStr">
        <is>
          <t>100335492</t>
        </is>
      </c>
      <c r="F72" s="15" t="n"/>
      <c r="G72" s="16" t="n"/>
      <c r="H72" s="17" t="inlineStr">
        <is>
          <t>100335494+100335496+100335517+100335606</t>
        </is>
      </c>
      <c r="I72" s="636" t="n"/>
      <c r="J72" s="17" t="n"/>
      <c r="K72" s="1077" t="inlineStr">
        <is>
          <t xml:space="preserve"> тыс. т.</t>
        </is>
      </c>
    </row>
    <row r="73" ht="20.25" customHeight="1" s="904">
      <c r="B73" s="730" t="n"/>
      <c r="C73" s="916" t="n"/>
      <c r="D73" s="916" t="n"/>
      <c r="E73" s="15" t="inlineStr">
        <is>
          <t>100335493</t>
        </is>
      </c>
      <c r="F73" s="15" t="n"/>
      <c r="G73" s="16" t="n"/>
      <c r="H73" s="17" t="inlineStr">
        <is>
          <t>100335495+100335497+100335518+100335607</t>
        </is>
      </c>
      <c r="I73" s="636" t="n"/>
      <c r="J73" s="17" t="n"/>
      <c r="K73" s="1077" t="inlineStr">
        <is>
          <t>млн куб.м</t>
        </is>
      </c>
    </row>
    <row r="74" ht="20.25" customHeight="1" s="904">
      <c r="B74" s="730" t="n"/>
      <c r="C74" s="973" t="inlineStr">
        <is>
          <t>3.1</t>
        </is>
      </c>
      <c r="D74" s="1036" t="inlineStr">
        <is>
          <t>Уренгойское НГКМ ачим. 3 уч. ДРОД</t>
        </is>
      </c>
      <c r="E74" s="15" t="inlineStr">
        <is>
          <t>100335496</t>
        </is>
      </c>
      <c r="F74" s="15" t="n"/>
      <c r="G74" s="16" t="n"/>
      <c r="H74" s="17" t="n"/>
      <c r="I74" s="636" t="n"/>
      <c r="J74" s="17" t="n"/>
      <c r="K74" s="136" t="inlineStr">
        <is>
          <t xml:space="preserve"> тыс. т.</t>
        </is>
      </c>
    </row>
    <row r="75" ht="20.25" customHeight="1" s="904">
      <c r="B75" s="730" t="n"/>
      <c r="C75" s="916" t="n"/>
      <c r="D75" s="916" t="n"/>
      <c r="E75" s="15" t="inlineStr">
        <is>
          <t>100335497</t>
        </is>
      </c>
      <c r="F75" s="15" t="n"/>
      <c r="G75" s="16" t="n"/>
      <c r="H75" s="17" t="n"/>
      <c r="I75" s="636" t="n"/>
      <c r="J75" s="17" t="n"/>
      <c r="K75" s="136" t="inlineStr">
        <is>
          <t>млн куб.м</t>
        </is>
      </c>
    </row>
    <row r="76" ht="20.25" customHeight="1" s="904">
      <c r="B76" s="730" t="n"/>
      <c r="C76" s="973" t="inlineStr">
        <is>
          <t>3.2</t>
        </is>
      </c>
      <c r="D76" s="1036" t="inlineStr">
        <is>
          <t>Ен-Яхинское НГКМ БУ-12 ДРОД</t>
        </is>
      </c>
      <c r="E76" s="15" t="inlineStr">
        <is>
          <t>100335517</t>
        </is>
      </c>
      <c r="F76" s="15" t="n"/>
      <c r="G76" s="16" t="n"/>
      <c r="H76" s="17" t="n"/>
      <c r="I76" s="636" t="n"/>
      <c r="J76" s="17" t="n"/>
      <c r="K76" s="136" t="inlineStr">
        <is>
          <t xml:space="preserve"> тыс. т.</t>
        </is>
      </c>
    </row>
    <row r="77" ht="20.25" customHeight="1" s="904">
      <c r="B77" s="730" t="n"/>
      <c r="C77" s="916" t="n"/>
      <c r="D77" s="916" t="n"/>
      <c r="E77" s="15" t="inlineStr">
        <is>
          <t>100335518</t>
        </is>
      </c>
      <c r="F77" s="15" t="n"/>
      <c r="G77" s="16" t="n"/>
      <c r="H77" s="17" t="n"/>
      <c r="I77" s="636" t="n"/>
      <c r="J77" s="17" t="n"/>
      <c r="K77" s="136" t="inlineStr">
        <is>
          <t>млн куб.м</t>
        </is>
      </c>
    </row>
    <row r="78" ht="20.25" customHeight="1" s="904">
      <c r="B78" s="730" t="n"/>
      <c r="C78" s="973" t="inlineStr">
        <is>
          <t>3.3</t>
        </is>
      </c>
      <c r="D78" s="1036" t="inlineStr">
        <is>
          <t xml:space="preserve"> Песцовое НГКМ (валанжин) ДРОД</t>
        </is>
      </c>
      <c r="E78" s="15" t="inlineStr">
        <is>
          <t>100335494</t>
        </is>
      </c>
      <c r="F78" s="15" t="n"/>
      <c r="G78" s="16" t="n"/>
      <c r="H78" s="17" t="n"/>
      <c r="I78" s="636" t="n"/>
      <c r="J78" s="17" t="n"/>
      <c r="K78" s="136" t="inlineStr">
        <is>
          <t xml:space="preserve"> тыс. т.</t>
        </is>
      </c>
    </row>
    <row r="79" ht="20.25" customHeight="1" s="904">
      <c r="B79" s="730" t="n"/>
      <c r="C79" s="916" t="n"/>
      <c r="D79" s="916" t="n"/>
      <c r="E79" s="15" t="inlineStr">
        <is>
          <t>100335495</t>
        </is>
      </c>
      <c r="F79" s="15" t="n"/>
      <c r="G79" s="16" t="n"/>
      <c r="H79" s="17" t="n"/>
      <c r="I79" s="636" t="n"/>
      <c r="J79" s="17" t="n"/>
      <c r="K79" s="136" t="inlineStr">
        <is>
          <t>млн куб.м</t>
        </is>
      </c>
    </row>
    <row r="80" ht="20.25" customHeight="1" s="904">
      <c r="B80" s="730" t="n"/>
      <c r="C80" s="973" t="inlineStr">
        <is>
          <t>3.4</t>
        </is>
      </c>
      <c r="D80" s="1036" t="inlineStr">
        <is>
          <t xml:space="preserve"> Песцовое НГКМ (ачим) ДРОД</t>
        </is>
      </c>
      <c r="E80" s="15" t="inlineStr">
        <is>
          <t>100335606</t>
        </is>
      </c>
      <c r="F80" s="15" t="n"/>
      <c r="G80" s="16" t="n"/>
      <c r="H80" s="17" t="n"/>
      <c r="I80" s="636" t="n"/>
      <c r="J80" s="17" t="n"/>
      <c r="K80" s="136" t="inlineStr">
        <is>
          <t xml:space="preserve"> тыс. т.</t>
        </is>
      </c>
    </row>
    <row r="81" ht="20.25" customHeight="1" s="904">
      <c r="B81" s="730" t="n"/>
      <c r="C81" s="916" t="n"/>
      <c r="D81" s="916" t="n"/>
      <c r="E81" s="15" t="inlineStr">
        <is>
          <t>100335607</t>
        </is>
      </c>
      <c r="F81" s="15" t="n"/>
      <c r="G81" s="16" t="n"/>
      <c r="H81" s="17" t="n"/>
      <c r="I81" s="636" t="n"/>
      <c r="J81" s="17" t="n"/>
      <c r="K81" s="136" t="inlineStr">
        <is>
          <t>млн куб.м</t>
        </is>
      </c>
    </row>
    <row r="82" ht="20.25" customHeight="1" s="904">
      <c r="A82" s="284" t="n"/>
      <c r="B82" s="730" t="n"/>
      <c r="C82" s="1016" t="inlineStr">
        <is>
          <t>4</t>
        </is>
      </c>
      <c r="D82" s="967" t="inlineStr">
        <is>
          <t>Поставка  газа деэтанизации на переработку на УКПГ 2В, собственность ООО "Газпром добыча Уренгой"</t>
        </is>
      </c>
      <c r="E82" s="15" t="inlineStr">
        <is>
          <t>100332321</t>
        </is>
      </c>
      <c r="F82" s="15" t="n"/>
      <c r="G82" s="16" t="n"/>
      <c r="H82" s="17" t="n"/>
      <c r="I82" s="636" t="n"/>
      <c r="J82" s="17" t="n"/>
      <c r="K82" s="141" t="inlineStr">
        <is>
          <t xml:space="preserve"> тыс. т.</t>
        </is>
      </c>
    </row>
    <row r="83" ht="20.25" customHeight="1" s="904">
      <c r="A83" s="284" t="n"/>
      <c r="B83" s="729" t="n"/>
      <c r="C83" s="916" t="n"/>
      <c r="D83" s="916" t="n"/>
      <c r="E83" s="15" t="inlineStr">
        <is>
          <t>100332322</t>
        </is>
      </c>
      <c r="F83" s="15" t="n"/>
      <c r="G83" s="16" t="n"/>
      <c r="H83" s="17" t="n"/>
      <c r="I83" s="636" t="n"/>
      <c r="J83" s="17" t="n"/>
      <c r="K83" s="587" t="inlineStr">
        <is>
          <t>млн куб.м</t>
        </is>
      </c>
    </row>
    <row r="84" ht="20.25" customHeight="1" s="904">
      <c r="A84" s="489" t="n"/>
      <c r="B84" s="730" t="n"/>
      <c r="C84" s="1016" t="inlineStr">
        <is>
          <t>5</t>
        </is>
      </c>
      <c r="D84" s="967" t="inlineStr">
        <is>
          <t>Поставка газа деэтанизации на подготовку на мощностях ГДУ, 
собственность ПАО "Газпром"</t>
        </is>
      </c>
      <c r="E84" s="15" t="inlineStr">
        <is>
          <t>100337114</t>
        </is>
      </c>
      <c r="F84" s="15" t="n"/>
      <c r="G84" s="16" t="n"/>
      <c r="H84" s="17" t="n"/>
      <c r="I84" s="636" t="n"/>
      <c r="J84" s="17" t="n"/>
      <c r="K84" s="141" t="inlineStr">
        <is>
          <t xml:space="preserve"> тыс. т.</t>
        </is>
      </c>
    </row>
    <row r="85" ht="20.25" customHeight="1" s="904">
      <c r="A85" s="489" t="n"/>
      <c r="B85" s="729" t="n"/>
      <c r="C85" s="916" t="n"/>
      <c r="D85" s="916" t="n"/>
      <c r="E85" s="15" t="inlineStr">
        <is>
          <t>100337115</t>
        </is>
      </c>
      <c r="F85" s="15" t="n"/>
      <c r="G85" s="16" t="n"/>
      <c r="H85" s="17" t="n"/>
      <c r="I85" s="636" t="n"/>
      <c r="J85" s="17" t="n"/>
      <c r="K85" s="587" t="inlineStr">
        <is>
          <t>млн куб.м</t>
        </is>
      </c>
    </row>
    <row r="86" ht="20.25" customHeight="1" s="904">
      <c r="A86" s="489" t="n"/>
      <c r="B86" s="729" t="n"/>
      <c r="C86" s="1016" t="n"/>
      <c r="D86" s="1038" t="inlineStr">
        <is>
          <t>Справочно:</t>
        </is>
      </c>
      <c r="E86" s="15" t="n"/>
      <c r="F86" s="15" t="n"/>
      <c r="G86" s="16" t="n"/>
      <c r="H86" s="17" t="n"/>
      <c r="I86" s="636" t="n"/>
      <c r="J86" s="17" t="n"/>
      <c r="K86" s="588" t="n"/>
    </row>
    <row r="87" ht="20.25" customHeight="1" s="904">
      <c r="A87" s="489" t="n"/>
      <c r="B87" s="729" t="n"/>
      <c r="C87" s="1016" t="n"/>
      <c r="D87" s="1038" t="inlineStr">
        <is>
          <t>Сухой газ после УКПГ 2В, 
собственность ПАО "Газпром"</t>
        </is>
      </c>
      <c r="E87" s="15" t="inlineStr">
        <is>
          <t>100337140</t>
        </is>
      </c>
      <c r="F87" s="15" t="n"/>
      <c r="G87" s="16" t="n"/>
      <c r="H87" s="17" t="n"/>
      <c r="I87" s="636" t="n"/>
      <c r="J87" s="17" t="n"/>
      <c r="K87" s="225" t="inlineStr">
        <is>
          <t xml:space="preserve"> тыс. т.</t>
        </is>
      </c>
    </row>
    <row r="88" ht="20.25" customHeight="1" s="904">
      <c r="B88" s="976" t="n"/>
      <c r="C88" s="1016" t="n"/>
      <c r="D88" s="916" t="n"/>
      <c r="E88" s="15" t="inlineStr">
        <is>
          <t>100337141</t>
        </is>
      </c>
      <c r="F88" s="15" t="n"/>
      <c r="G88" s="16" t="n"/>
      <c r="H88" s="17" t="n"/>
      <c r="I88" s="636" t="n"/>
      <c r="J88" s="17" t="n"/>
      <c r="K88" s="588" t="inlineStr">
        <is>
          <t>млн куб.м</t>
        </is>
      </c>
    </row>
    <row r="89" ht="20.25" customHeight="1" s="904">
      <c r="B89" s="976" t="n"/>
      <c r="C89" s="1035" t="inlineStr">
        <is>
          <t>6</t>
        </is>
      </c>
      <c r="D89" s="1040" t="inlineStr">
        <is>
          <t>Поставка газа деэтанизации на Новоуренгойский ГХК</t>
        </is>
      </c>
      <c r="E89" s="15" t="inlineStr">
        <is>
          <t>100337116</t>
        </is>
      </c>
      <c r="F89" s="15" t="n"/>
      <c r="G89" s="16" t="n"/>
      <c r="H89" s="17" t="n"/>
      <c r="I89" s="636" t="n"/>
      <c r="J89" s="17" t="n"/>
      <c r="K89" s="490" t="inlineStr">
        <is>
          <t>тыс.т.</t>
        </is>
      </c>
    </row>
    <row r="90" ht="20.25" customHeight="1" s="904">
      <c r="B90" s="976" t="n"/>
      <c r="C90" s="911" t="n"/>
      <c r="D90" s="911" t="n"/>
      <c r="E90" s="15" t="inlineStr">
        <is>
          <t>100337117</t>
        </is>
      </c>
      <c r="F90" s="15" t="n"/>
      <c r="G90" s="16" t="n"/>
      <c r="H90" s="17" t="n"/>
      <c r="I90" s="636" t="n"/>
      <c r="J90" s="17" t="n"/>
      <c r="K90" s="605" t="inlineStr">
        <is>
          <t>млн куб.м</t>
        </is>
      </c>
    </row>
    <row r="91" ht="20.25" customHeight="1" s="904">
      <c r="C91" s="195" t="inlineStr">
        <is>
          <t>7</t>
        </is>
      </c>
      <c r="D91" s="491" t="inlineStr">
        <is>
          <t xml:space="preserve">Материальный баланс переработки УВС </t>
        </is>
      </c>
      <c r="E91" s="15" t="n"/>
      <c r="F91" s="15" t="n"/>
      <c r="G91" s="16" t="n"/>
      <c r="H91" s="17" t="n"/>
      <c r="I91" s="636" t="n"/>
      <c r="J91" s="17" t="n"/>
      <c r="K91" s="309" t="n"/>
    </row>
    <row r="92" ht="20.25" customHeight="1" s="904">
      <c r="C92" s="492" t="n"/>
      <c r="D92" s="142" t="inlineStr">
        <is>
          <t>Уренгойское НГКМ (Фаза 3) ДРОД</t>
        </is>
      </c>
      <c r="E92" s="15" t="n"/>
      <c r="F92" s="15" t="inlineStr">
        <is>
          <t>V</t>
        </is>
      </c>
      <c r="G92" s="16" t="n"/>
      <c r="H92" s="17" t="inlineStr">
        <is>
          <t>100335605-100335598</t>
        </is>
      </c>
      <c r="I92" s="636" t="n"/>
      <c r="J92" s="17" t="n"/>
      <c r="K92" s="160" t="inlineStr">
        <is>
          <t>тыс.т.</t>
        </is>
      </c>
    </row>
    <row r="93" ht="20.25" customHeight="1" s="904">
      <c r="C93" s="492" t="n"/>
      <c r="D93" s="142" t="inlineStr">
        <is>
          <t>Ен-Яхинское НГКМ БУ-12 (включая ШФЛУ) ДРОД</t>
        </is>
      </c>
      <c r="E93" s="15" t="n"/>
      <c r="F93" s="15" t="inlineStr">
        <is>
          <t>V</t>
        </is>
      </c>
      <c r="G93" s="16" t="n"/>
      <c r="H93" s="17" t="inlineStr">
        <is>
          <t>100335604-100335599-100335516-100335517</t>
        </is>
      </c>
      <c r="I93" s="636" t="n"/>
      <c r="J93" s="17" t="n"/>
      <c r="K93" s="160" t="inlineStr">
        <is>
          <t>тыс.т.</t>
        </is>
      </c>
    </row>
    <row r="94" ht="20.25" customHeight="1" s="904">
      <c r="C94" s="492" t="n"/>
      <c r="D94" s="142" t="inlineStr">
        <is>
          <t>Уренгойское НГКМ ачим. 3 уч. ДРОД</t>
        </is>
      </c>
      <c r="E94" s="15" t="n"/>
      <c r="F94" s="15" t="inlineStr">
        <is>
          <t>V</t>
        </is>
      </c>
      <c r="G94" s="16" t="n"/>
      <c r="H94" s="17" t="inlineStr">
        <is>
          <t>100335489-100333692-100335945-100335051-100335496</t>
        </is>
      </c>
      <c r="I94" s="636" t="n"/>
      <c r="J94" s="17" t="n"/>
      <c r="K94" s="160" t="inlineStr">
        <is>
          <t>тыс.т.</t>
        </is>
      </c>
    </row>
    <row r="95" ht="20.25" customHeight="1" s="904">
      <c r="C95" s="1074" t="n"/>
      <c r="D95" s="142" t="inlineStr">
        <is>
          <t>Песцовое НГКМ  (валанжин) (включая ШФЛУ) ДРОД</t>
        </is>
      </c>
      <c r="E95" s="15" t="n"/>
      <c r="F95" s="15" t="inlineStr">
        <is>
          <t>V</t>
        </is>
      </c>
      <c r="G95" s="16" t="n"/>
      <c r="H95" s="17" t="inlineStr">
        <is>
          <t>100335490-100335471-100330643-100335920</t>
        </is>
      </c>
      <c r="I95" s="636" t="n"/>
      <c r="J95" s="17" t="n"/>
      <c r="K95" s="160" t="inlineStr">
        <is>
          <t>тыс.т.</t>
        </is>
      </c>
    </row>
    <row r="96" ht="20.25" customHeight="1" s="904">
      <c r="C96" s="492" t="n"/>
      <c r="D96" s="142" t="inlineStr">
        <is>
          <t>Песцовое НГКМ ачим  (включая ШФЛУ) ДРОД</t>
        </is>
      </c>
      <c r="E96" s="15" t="n"/>
      <c r="F96" s="15" t="inlineStr">
        <is>
          <t>V</t>
        </is>
      </c>
      <c r="G96" s="16" t="n"/>
      <c r="H96" s="17" t="inlineStr">
        <is>
          <t>100335603-100335602-100333691-100335606</t>
        </is>
      </c>
      <c r="I96" s="636" t="n"/>
      <c r="J96" s="17" t="n"/>
      <c r="K96" s="160" t="inlineStr">
        <is>
          <t>тыс.т.</t>
        </is>
      </c>
    </row>
    <row r="97" ht="20.25" customHeight="1" s="904">
      <c r="C97" s="492" t="n"/>
      <c r="D97" s="142" t="inlineStr">
        <is>
          <t>Поставка НК без ДРОД и без 4,5 участка</t>
        </is>
      </c>
      <c r="E97" s="15" t="n"/>
      <c r="F97" s="15" t="inlineStr">
        <is>
          <t>V</t>
        </is>
      </c>
      <c r="G97" s="16" t="n"/>
      <c r="H97" s="17" t="inlineStr">
        <is>
          <t>100330637+100337099+100330638+100330639+100330640</t>
        </is>
      </c>
      <c r="I97" s="636" t="n"/>
      <c r="J97" s="17" t="n"/>
      <c r="K97" s="160" t="inlineStr">
        <is>
          <t>тыс.т.</t>
        </is>
      </c>
    </row>
    <row r="98" ht="20.25" customHeight="1" s="904">
      <c r="C98" s="492" t="n"/>
      <c r="D98" s="142" t="inlineStr">
        <is>
          <t>Поставка без ДРОД</t>
        </is>
      </c>
      <c r="E98" s="15" t="n"/>
      <c r="F98" s="15" t="inlineStr">
        <is>
          <t>V</t>
        </is>
      </c>
      <c r="G98" s="16" t="n"/>
      <c r="H98" s="17" t="inlineStr">
        <is>
          <t>100330637+100337099+100330638+100330639+100330640+100330641+100330642</t>
        </is>
      </c>
      <c r="I98" s="636" t="n"/>
      <c r="J98" s="17" t="n"/>
      <c r="K98" s="160" t="inlineStr">
        <is>
          <t>тыс.т.</t>
        </is>
      </c>
    </row>
    <row r="99" ht="20.25" customHeight="1" s="904">
      <c r="C99" s="492" t="n"/>
      <c r="D99" s="142" t="inlineStr">
        <is>
          <t>Добыча конденсата ДРОД без ПНГ</t>
        </is>
      </c>
      <c r="E99" s="15" t="n"/>
      <c r="F99" s="15" t="inlineStr">
        <is>
          <t>V</t>
        </is>
      </c>
      <c r="G99" s="16" t="n"/>
      <c r="H99" s="17" t="inlineStr">
        <is>
          <t>100335489+100335490-100335775+100335603+100335604-100335776+100335605</t>
        </is>
      </c>
      <c r="I99" s="636" t="n"/>
      <c r="J99" s="17" t="n"/>
      <c r="K99" s="160" t="inlineStr">
        <is>
          <t>тыс.т.</t>
        </is>
      </c>
    </row>
    <row r="100" ht="20.25" customHeight="1" s="904">
      <c r="C100" s="492" t="n"/>
      <c r="D100" s="142" t="inlineStr">
        <is>
          <t>Поставка нефти в адрес трейдера ДРОД</t>
        </is>
      </c>
      <c r="E100" s="15" t="n"/>
      <c r="F100" s="15" t="inlineStr">
        <is>
          <t>V</t>
        </is>
      </c>
      <c r="G100" s="16" t="n"/>
      <c r="H100" s="17" t="inlineStr">
        <is>
          <t>100335670+100337111+100336114+100330646+100330647+100335918+100337105+100335919+100335920</t>
        </is>
      </c>
      <c r="I100" s="636" t="n"/>
      <c r="J100" s="17" t="n"/>
      <c r="K100" s="160" t="inlineStr">
        <is>
          <t>тыс.т.</t>
        </is>
      </c>
    </row>
    <row r="101" ht="39.75" customHeight="1" s="904">
      <c r="C101" s="213" t="inlineStr">
        <is>
          <t>8</t>
        </is>
      </c>
      <c r="D101" s="258" t="inlineStr">
        <is>
          <t>Проверка с разделом "Добыча"</t>
        </is>
      </c>
      <c r="E101" s="15" t="n"/>
      <c r="F101" s="15" t="n"/>
      <c r="G101" s="16" t="n"/>
      <c r="H101" s="17" t="n"/>
      <c r="I101" s="636" t="n"/>
      <c r="J101" s="17" t="n"/>
      <c r="K101" s="162" t="n"/>
    </row>
    <row r="102" ht="20.25" customHeight="1" s="904">
      <c r="C102" s="259" t="inlineStr">
        <is>
          <t>8.1</t>
        </is>
      </c>
      <c r="D102" s="260" t="inlineStr">
        <is>
          <t>Поставка НК</t>
        </is>
      </c>
      <c r="E102" s="15" t="n"/>
      <c r="F102" s="15" t="n"/>
      <c r="G102" s="16" t="n"/>
      <c r="H102" s="17" t="n"/>
      <c r="I102" s="636" t="n"/>
      <c r="J102" s="17" t="n"/>
      <c r="K102" s="188" t="inlineStr">
        <is>
          <t>тыс.т.</t>
        </is>
      </c>
    </row>
    <row r="103" ht="20.25" customHeight="1" s="904">
      <c r="C103" s="259" t="n"/>
      <c r="D103" s="262" t="inlineStr">
        <is>
          <t>ПАО "Газпром":</t>
        </is>
      </c>
      <c r="E103" s="15" t="n"/>
      <c r="F103" s="15" t="n"/>
      <c r="G103" s="16" t="n"/>
      <c r="H103" s="17" t="n"/>
      <c r="I103" s="636" t="n"/>
      <c r="J103" s="17" t="n"/>
      <c r="K103" s="188" t="inlineStr">
        <is>
          <t>тыс.т.</t>
        </is>
      </c>
    </row>
    <row r="104" ht="20.25" customHeight="1" s="904">
      <c r="C104" s="1043" t="n"/>
      <c r="D104" s="263" t="inlineStr">
        <is>
          <t>Уренгойское НГКМ и С5+</t>
        </is>
      </c>
      <c r="E104" s="15" t="n"/>
      <c r="F104" s="15" t="n"/>
      <c r="G104" s="16" t="n"/>
      <c r="H104" s="17" t="n"/>
      <c r="I104" s="636" t="n"/>
      <c r="J104" s="17" t="n"/>
      <c r="K104" s="188" t="inlineStr">
        <is>
          <t>тыс.т.</t>
        </is>
      </c>
    </row>
    <row r="105" ht="20.25" customHeight="1" s="904">
      <c r="C105" s="1043" t="n"/>
      <c r="D105" s="263" t="inlineStr">
        <is>
          <t>Ен-Яхинское НГКМ</t>
        </is>
      </c>
      <c r="E105" s="15" t="n"/>
      <c r="F105" s="15" t="n"/>
      <c r="G105" s="16" t="n"/>
      <c r="H105" s="17" t="n"/>
      <c r="I105" s="636" t="n"/>
      <c r="J105" s="17" t="n"/>
      <c r="K105" s="188" t="inlineStr">
        <is>
          <t>тыс.т.</t>
        </is>
      </c>
    </row>
    <row r="106" ht="20.25" customHeight="1" s="904">
      <c r="C106" s="1043" t="n"/>
      <c r="D106" s="263" t="inlineStr">
        <is>
          <t>Уренгойское НГКМ ачим. 1 уч.</t>
        </is>
      </c>
      <c r="E106" s="15" t="n"/>
      <c r="F106" s="15" t="n"/>
      <c r="G106" s="16" t="n"/>
      <c r="H106" s="17" t="n"/>
      <c r="I106" s="636" t="n"/>
      <c r="J106" s="17" t="n"/>
      <c r="K106" s="188" t="inlineStr">
        <is>
          <t>тыс.т.</t>
        </is>
      </c>
    </row>
    <row r="107" ht="20.25" customHeight="1" s="904">
      <c r="C107" s="1043" t="n"/>
      <c r="D107" s="263" t="inlineStr">
        <is>
          <t>Уренгойское НГКМ ачим. 2 уч.</t>
        </is>
      </c>
      <c r="E107" s="15" t="n"/>
      <c r="F107" s="15" t="n"/>
      <c r="G107" s="16" t="n"/>
      <c r="H107" s="17" t="n"/>
      <c r="I107" s="636" t="n"/>
      <c r="J107" s="17" t="n"/>
      <c r="K107" s="188" t="inlineStr">
        <is>
          <t>тыс.т.</t>
        </is>
      </c>
    </row>
    <row r="108" ht="20.25" customHeight="1" s="904">
      <c r="C108" s="1043" t="n"/>
      <c r="D108" s="263" t="inlineStr">
        <is>
          <t>Уренгойское НГКМ ачим. 4 уч.</t>
        </is>
      </c>
      <c r="E108" s="15" t="n"/>
      <c r="F108" s="15" t="n"/>
      <c r="G108" s="16" t="n"/>
      <c r="H108" s="17" t="n"/>
      <c r="I108" s="636" t="n"/>
      <c r="J108" s="17" t="n"/>
      <c r="K108" s="188" t="inlineStr">
        <is>
          <t>тыс.т.</t>
        </is>
      </c>
    </row>
    <row r="109" ht="20.25" customHeight="1" s="904">
      <c r="C109" s="1043" t="n"/>
      <c r="D109" s="263" t="inlineStr">
        <is>
          <t>Уренгойское НГКМ ачим. 5 уч.</t>
        </is>
      </c>
      <c r="E109" s="15" t="n"/>
      <c r="F109" s="15" t="n"/>
      <c r="G109" s="16" t="n"/>
      <c r="H109" s="17" t="n"/>
      <c r="I109" s="636" t="n"/>
      <c r="J109" s="17" t="n"/>
      <c r="K109" s="188" t="inlineStr">
        <is>
          <t>тыс.т.</t>
        </is>
      </c>
    </row>
    <row r="110" ht="20.25" customHeight="1" s="904">
      <c r="C110" s="1043" t="n"/>
      <c r="D110" s="264" t="inlineStr">
        <is>
          <t>ДРОД:</t>
        </is>
      </c>
      <c r="E110" s="15" t="n"/>
      <c r="F110" s="15" t="n"/>
      <c r="G110" s="16" t="n"/>
      <c r="H110" s="17" t="n"/>
      <c r="I110" s="636" t="n"/>
      <c r="J110" s="17" t="n"/>
      <c r="K110" s="188" t="inlineStr">
        <is>
          <t>тыс.т.</t>
        </is>
      </c>
    </row>
    <row r="111" ht="20.25" customHeight="1" s="904">
      <c r="C111" s="1043" t="n"/>
      <c r="D111" s="263" t="inlineStr">
        <is>
          <t>Уренгойское НГКМ (Фаза 3) ДРОД</t>
        </is>
      </c>
      <c r="E111" s="15" t="n"/>
      <c r="F111" s="15" t="n"/>
      <c r="G111" s="16" t="n"/>
      <c r="H111" s="17" t="n"/>
      <c r="I111" s="636" t="n"/>
      <c r="J111" s="17" t="n"/>
      <c r="K111" s="188" t="inlineStr">
        <is>
          <t>тыс.т.</t>
        </is>
      </c>
    </row>
    <row r="112" ht="20.25" customHeight="1" s="904">
      <c r="C112" s="1043" t="n"/>
      <c r="D112" s="263" t="inlineStr">
        <is>
          <t>Ен-Яхинское НГКМ БУ-12  (включая ШФЛУ) ДРОД</t>
        </is>
      </c>
      <c r="E112" s="15" t="n"/>
      <c r="F112" s="15" t="n"/>
      <c r="G112" s="16" t="n"/>
      <c r="H112" s="17" t="n"/>
      <c r="I112" s="636" t="n"/>
      <c r="J112" s="17" t="n"/>
      <c r="K112" s="188" t="inlineStr">
        <is>
          <t>тыс.т.</t>
        </is>
      </c>
    </row>
    <row r="113" ht="20.25" customHeight="1" s="904">
      <c r="C113" s="1043" t="n"/>
      <c r="D113" s="263" t="inlineStr">
        <is>
          <t>Уренгойское НГКМ ачим. 3 уч. ДРОД</t>
        </is>
      </c>
      <c r="E113" s="15" t="n"/>
      <c r="F113" s="15" t="n"/>
      <c r="G113" s="16" t="n"/>
      <c r="H113" s="17" t="n"/>
      <c r="I113" s="636" t="n"/>
      <c r="J113" s="17" t="n"/>
      <c r="K113" s="188" t="inlineStr">
        <is>
          <t>тыс.т.</t>
        </is>
      </c>
    </row>
    <row r="114" ht="20.25" customHeight="1" s="904">
      <c r="C114" s="1043" t="n"/>
      <c r="D114" s="263" t="inlineStr">
        <is>
          <t>Песцовое НГКМ  (валанжин) (включая ШФЛУ) ДРОД</t>
        </is>
      </c>
      <c r="E114" s="15" t="n"/>
      <c r="F114" s="15" t="n"/>
      <c r="G114" s="16" t="n"/>
      <c r="H114" s="17" t="n"/>
      <c r="I114" s="636" t="n"/>
      <c r="J114" s="17" t="n"/>
      <c r="K114" s="188" t="inlineStr">
        <is>
          <t>тыс.т.</t>
        </is>
      </c>
    </row>
    <row r="115" ht="20.25" customHeight="1" s="904">
      <c r="C115" s="1043" t="n"/>
      <c r="D115" s="263" t="inlineStr">
        <is>
          <t>Песцовое НГКМ ачим  (включая ШФЛУ) ДРОД</t>
        </is>
      </c>
      <c r="E115" s="15" t="n"/>
      <c r="F115" s="15" t="n"/>
      <c r="G115" s="16" t="n"/>
      <c r="H115" s="17" t="n"/>
      <c r="I115" s="636" t="n"/>
      <c r="J115" s="17" t="n"/>
      <c r="K115" s="188" t="inlineStr">
        <is>
          <t>тыс.т.</t>
        </is>
      </c>
    </row>
    <row r="116" ht="20.25" customHeight="1" s="904">
      <c r="C116" s="259" t="inlineStr">
        <is>
          <t>8.2</t>
        </is>
      </c>
      <c r="D116" s="265" t="inlineStr">
        <is>
          <t>Поставка нефти</t>
        </is>
      </c>
      <c r="E116" s="15" t="n"/>
      <c r="F116" s="15" t="n"/>
      <c r="G116" s="16" t="n"/>
      <c r="H116" s="17" t="n"/>
      <c r="I116" s="636" t="n"/>
      <c r="J116" s="17" t="n"/>
      <c r="K116" s="188" t="inlineStr">
        <is>
          <t>тыс.т.</t>
        </is>
      </c>
    </row>
    <row r="117" ht="20.25" customHeight="1" s="904">
      <c r="C117" s="1043" t="n"/>
      <c r="D117" s="262" t="inlineStr">
        <is>
          <t>ПАО "Газпром":</t>
        </is>
      </c>
      <c r="E117" s="15" t="n"/>
      <c r="F117" s="15" t="n"/>
      <c r="G117" s="16" t="n"/>
      <c r="H117" s="17" t="n"/>
      <c r="I117" s="636" t="n"/>
      <c r="J117" s="17" t="n"/>
      <c r="K117" s="188" t="inlineStr">
        <is>
          <t>тыс.т.</t>
        </is>
      </c>
    </row>
    <row r="118" ht="20.25" customHeight="1" s="904">
      <c r="C118" s="1043" t="n"/>
      <c r="D118" s="263" t="inlineStr">
        <is>
          <t>Уренгойское НГКМ</t>
        </is>
      </c>
      <c r="E118" s="15" t="n"/>
      <c r="F118" s="15" t="n"/>
      <c r="G118" s="16" t="n"/>
      <c r="H118" s="17" t="n"/>
      <c r="I118" s="636" t="n"/>
      <c r="J118" s="17" t="n"/>
      <c r="K118" s="188" t="inlineStr">
        <is>
          <t>тыс.т.</t>
        </is>
      </c>
    </row>
    <row r="119" ht="20.25" customHeight="1" s="904">
      <c r="C119" s="1043" t="n"/>
      <c r="D119" s="262" t="inlineStr">
        <is>
          <t>ДРОД:</t>
        </is>
      </c>
      <c r="E119" s="15" t="n"/>
      <c r="F119" s="15" t="n"/>
      <c r="G119" s="16" t="n"/>
      <c r="H119" s="17" t="n"/>
      <c r="I119" s="636" t="n"/>
      <c r="J119" s="17" t="n"/>
      <c r="K119" s="188" t="inlineStr">
        <is>
          <t>тыс.т.</t>
        </is>
      </c>
    </row>
    <row r="120" ht="20.25" customHeight="1" s="904">
      <c r="C120" s="1043" t="n"/>
      <c r="D120" s="263" t="inlineStr">
        <is>
          <t>Уренгойское НГКМ, Фаза 2 (Нефть)</t>
        </is>
      </c>
      <c r="E120" s="15" t="n"/>
      <c r="F120" s="15" t="n"/>
      <c r="G120" s="16" t="n"/>
      <c r="H120" s="17" t="n"/>
      <c r="I120" s="636" t="n"/>
      <c r="J120" s="17" t="n"/>
      <c r="K120" s="188" t="inlineStr">
        <is>
          <t>тыс.т.</t>
        </is>
      </c>
    </row>
    <row r="121" ht="20.25" customHeight="1" s="904">
      <c r="C121" s="1043" t="n"/>
      <c r="D121" s="263" t="inlineStr">
        <is>
          <t>Уренгойское НГКМ ачим. 5 уч. (Нефть)</t>
        </is>
      </c>
      <c r="E121" s="15" t="n"/>
      <c r="F121" s="15" t="n"/>
      <c r="G121" s="16" t="n"/>
      <c r="H121" s="17" t="n"/>
      <c r="I121" s="636" t="n"/>
      <c r="J121" s="17" t="n"/>
      <c r="K121" s="188" t="inlineStr">
        <is>
          <t>тыс.т.</t>
        </is>
      </c>
    </row>
    <row r="122" ht="20.25" customHeight="1" s="904">
      <c r="C122" s="1043" t="n"/>
      <c r="D122" s="263" t="inlineStr">
        <is>
          <t>Уренгойское НГКМ ачим. 6 уч. (Нефть)</t>
        </is>
      </c>
      <c r="E122" s="15" t="n"/>
      <c r="F122" s="15" t="n"/>
      <c r="G122" s="16" t="n"/>
      <c r="H122" s="17" t="n"/>
      <c r="I122" s="636" t="n"/>
      <c r="J122" s="17" t="n"/>
      <c r="K122" s="188" t="inlineStr">
        <is>
          <t>тыс.т.</t>
        </is>
      </c>
    </row>
    <row r="123" ht="20.25" customHeight="1" s="904">
      <c r="C123" s="1043" t="n"/>
      <c r="D123" s="263" t="inlineStr">
        <is>
          <t>Ен-Яхинское НГКМ БУ-12 (Нефть)</t>
        </is>
      </c>
      <c r="E123" s="15" t="n"/>
      <c r="F123" s="15" t="n"/>
      <c r="G123" s="16" t="n"/>
      <c r="H123" s="17" t="n"/>
      <c r="I123" s="636" t="n"/>
      <c r="J123" s="17" t="n"/>
      <c r="K123" s="188" t="inlineStr">
        <is>
          <t>тыс.т.</t>
        </is>
      </c>
    </row>
    <row r="124" ht="20.25" customHeight="1" s="904">
      <c r="C124" s="1043" t="n"/>
      <c r="D124" s="263" t="inlineStr">
        <is>
          <t>Песцовое НГКМ (Нефть)</t>
        </is>
      </c>
      <c r="E124" s="15" t="n"/>
      <c r="F124" s="15" t="n"/>
      <c r="G124" s="16" t="n"/>
      <c r="H124" s="17" t="n"/>
      <c r="I124" s="636" t="n"/>
      <c r="J124" s="17" t="n"/>
      <c r="K124" s="305" t="inlineStr">
        <is>
          <t>тыс.т.</t>
        </is>
      </c>
    </row>
    <row r="125" ht="20.25" customHeight="1" s="904">
      <c r="C125" s="213" t="inlineStr">
        <is>
          <t>8.3</t>
        </is>
      </c>
      <c r="D125" s="493" t="inlineStr">
        <is>
          <t xml:space="preserve"> Добыча газа 1 участок (услуги Ачимгаза)</t>
        </is>
      </c>
      <c r="E125" s="15" t="n"/>
      <c r="F125" s="15" t="n"/>
      <c r="G125" s="16" t="n"/>
      <c r="H125" s="17" t="n"/>
      <c r="I125" s="636" t="n"/>
      <c r="J125" s="17" t="n"/>
      <c r="K125" s="606" t="inlineStr">
        <is>
          <t>млн куб.м</t>
        </is>
      </c>
    </row>
    <row r="126" ht="20.25" customHeight="1" s="904">
      <c r="C126" s="213" t="inlineStr">
        <is>
          <t>8.4</t>
        </is>
      </c>
      <c r="D126" s="163" t="inlineStr">
        <is>
          <t>Добыча НК:</t>
        </is>
      </c>
      <c r="E126" s="15" t="n"/>
      <c r="F126" s="15" t="n"/>
      <c r="G126" s="16" t="n"/>
      <c r="H126" s="17" t="n"/>
      <c r="I126" s="636" t="n"/>
      <c r="J126" s="17" t="n"/>
      <c r="K126" s="162" t="n"/>
    </row>
    <row r="127" ht="20.25" customHeight="1" s="904">
      <c r="C127" s="317" t="n"/>
      <c r="D127" s="1068" t="inlineStr">
        <is>
          <t>Уренгойское НГКМ ачим. 3 уч. ДРОД</t>
        </is>
      </c>
      <c r="E127" s="15" t="n"/>
      <c r="F127" s="15" t="n"/>
      <c r="G127" s="16" t="n"/>
      <c r="H127" s="17" t="n"/>
      <c r="I127" s="636" t="n"/>
      <c r="J127" s="17" t="n"/>
      <c r="K127" s="305" t="inlineStr">
        <is>
          <t>тыс.т.</t>
        </is>
      </c>
    </row>
    <row r="128" ht="20.25" customHeight="1" s="904">
      <c r="C128" s="317" t="n"/>
      <c r="D128" s="1068" t="inlineStr">
        <is>
          <t>Песцовое НГКМ (валанжин)</t>
        </is>
      </c>
      <c r="E128" s="15" t="n"/>
      <c r="F128" s="15" t="n"/>
      <c r="G128" s="16" t="n"/>
      <c r="H128" s="17" t="n"/>
      <c r="I128" s="636" t="n"/>
      <c r="J128" s="17" t="n"/>
      <c r="K128" s="305" t="inlineStr">
        <is>
          <t>тыс.т.</t>
        </is>
      </c>
    </row>
    <row r="129" ht="20.25" customHeight="1" s="904">
      <c r="C129" s="348" t="n"/>
      <c r="D129" s="1068" t="inlineStr">
        <is>
          <t>Песцовое НГКМ ачим</t>
        </is>
      </c>
      <c r="E129" s="15" t="n"/>
      <c r="F129" s="15" t="n"/>
      <c r="G129" s="16" t="n"/>
      <c r="H129" s="17" t="n"/>
      <c r="I129" s="636" t="n"/>
      <c r="J129" s="17" t="n"/>
      <c r="K129" s="305" t="inlineStr">
        <is>
          <t>тыс.т.</t>
        </is>
      </c>
    </row>
    <row r="130" ht="20.25" customHeight="1" s="904">
      <c r="C130" s="348" t="n"/>
      <c r="D130" s="1068" t="inlineStr">
        <is>
          <t>Ен-Яхинское НГКМ  БУ-12</t>
        </is>
      </c>
      <c r="E130" s="15" t="n"/>
      <c r="F130" s="15" t="n"/>
      <c r="G130" s="16" t="n"/>
      <c r="H130" s="17" t="n"/>
      <c r="I130" s="636" t="n"/>
      <c r="J130" s="17" t="n"/>
      <c r="K130" s="305" t="inlineStr">
        <is>
          <t>тыс.т.</t>
        </is>
      </c>
    </row>
    <row r="131" ht="20.25" customHeight="1" s="904">
      <c r="C131" s="348" t="n"/>
      <c r="D131" s="1068" t="inlineStr">
        <is>
          <t>Уренгойское НГКМ (Фаза 3)</t>
        </is>
      </c>
      <c r="E131" s="15" t="n"/>
      <c r="F131" s="15" t="n"/>
      <c r="G131" s="16" t="n"/>
      <c r="H131" s="17" t="n"/>
      <c r="I131" s="636" t="n"/>
      <c r="J131" s="17" t="n"/>
      <c r="K131" s="305" t="inlineStr">
        <is>
          <t>тыс.т.</t>
        </is>
      </c>
    </row>
    <row r="132" ht="39.75" customHeight="1" s="904">
      <c r="C132" s="213" t="inlineStr">
        <is>
          <t>9</t>
        </is>
      </c>
      <c r="D132" s="163" t="inlineStr">
        <is>
          <t>Проверка с комплексом УЗПКТ-СЗСК  "Переработка"</t>
        </is>
      </c>
      <c r="E132" s="15" t="n"/>
      <c r="F132" s="15" t="n"/>
      <c r="G132" s="16" t="n"/>
      <c r="H132" s="17" t="n"/>
      <c r="I132" s="636" t="n"/>
      <c r="J132" s="17" t="n"/>
      <c r="K132" s="162" t="n"/>
    </row>
    <row r="133" ht="20.25" customHeight="1" s="904">
      <c r="C133" s="213" t="inlineStr">
        <is>
          <t>9.1</t>
        </is>
      </c>
      <c r="D133" s="494" t="inlineStr">
        <is>
          <t>Поставка НК</t>
        </is>
      </c>
      <c r="E133" s="15" t="n"/>
      <c r="F133" s="15" t="n"/>
      <c r="G133" s="16" t="n"/>
      <c r="H133" s="17" t="n"/>
      <c r="I133" s="636" t="n"/>
      <c r="J133" s="17" t="n"/>
      <c r="K133" s="162" t="n"/>
    </row>
    <row r="134" ht="20.25" customHeight="1" s="904">
      <c r="C134" s="1043" t="n"/>
      <c r="D134" s="1068" t="inlineStr">
        <is>
          <t>Уренгойское НГКМ</t>
        </is>
      </c>
      <c r="E134" s="15" t="n"/>
      <c r="F134" s="15" t="inlineStr">
        <is>
          <t>V</t>
        </is>
      </c>
      <c r="G134" s="16" t="n"/>
      <c r="H134" s="17" t="inlineStr">
        <is>
          <t>100330637-4_100331805</t>
        </is>
      </c>
      <c r="I134" s="636" t="n"/>
      <c r="J134" s="17" t="n"/>
      <c r="K134" s="188" t="inlineStr">
        <is>
          <t>тыс.т.</t>
        </is>
      </c>
    </row>
    <row r="135" ht="20.25" customHeight="1" s="904">
      <c r="C135" s="1043" t="n"/>
      <c r="D135" s="1068" t="inlineStr">
        <is>
          <t>С5+ от подготовки газа деэтанизации</t>
        </is>
      </c>
      <c r="E135" s="15" t="n"/>
      <c r="F135" s="15" t="inlineStr">
        <is>
          <t>V</t>
        </is>
      </c>
      <c r="G135" s="16" t="n"/>
      <c r="H135" s="17" t="inlineStr">
        <is>
          <t>100337099-4_100337100</t>
        </is>
      </c>
      <c r="I135" s="636" t="n"/>
      <c r="J135" s="17" t="n"/>
      <c r="K135" s="188" t="inlineStr">
        <is>
          <t>тыс.т.</t>
        </is>
      </c>
    </row>
    <row r="136" ht="20.25" customHeight="1" s="904">
      <c r="C136" s="1043" t="n"/>
      <c r="D136" s="1068" t="inlineStr">
        <is>
          <t>Уренгойское НГКМ (Фаза 3) ДРОД</t>
        </is>
      </c>
      <c r="E136" s="15" t="n"/>
      <c r="F136" s="15" t="inlineStr">
        <is>
          <t>V</t>
        </is>
      </c>
      <c r="G136" s="16" t="n"/>
      <c r="H136" s="17" t="inlineStr">
        <is>
          <t>100335598-4_100335855</t>
        </is>
      </c>
      <c r="I136" s="636" t="n"/>
      <c r="J136" s="17" t="n"/>
      <c r="K136" s="188" t="inlineStr">
        <is>
          <t>тыс.т.</t>
        </is>
      </c>
    </row>
    <row r="137" ht="20.25" customHeight="1" s="904">
      <c r="C137" s="1043" t="n"/>
      <c r="D137" s="1068" t="inlineStr">
        <is>
          <t>Ен-Яхинское НГКМ</t>
        </is>
      </c>
      <c r="E137" s="15" t="n"/>
      <c r="F137" s="15" t="inlineStr">
        <is>
          <t>V</t>
        </is>
      </c>
      <c r="G137" s="16" t="n"/>
      <c r="H137" s="17" t="inlineStr">
        <is>
          <t>100330638-4_100331806</t>
        </is>
      </c>
      <c r="I137" s="636" t="n"/>
      <c r="J137" s="17" t="n"/>
      <c r="K137" s="188" t="inlineStr">
        <is>
          <t>тыс.т.</t>
        </is>
      </c>
    </row>
    <row r="138" ht="20.25" customHeight="1" s="904">
      <c r="C138" s="1043" t="n"/>
      <c r="D138" s="1068" t="inlineStr">
        <is>
          <t>Ен-Яхинское НГКМ БУ-12  (включая ШФЛУ) ДРОД</t>
        </is>
      </c>
      <c r="E138" s="15" t="n"/>
      <c r="F138" s="15" t="inlineStr">
        <is>
          <t>V</t>
        </is>
      </c>
      <c r="G138" s="16" t="n"/>
      <c r="H138" s="17" t="inlineStr">
        <is>
          <t>100335599-4_100335856</t>
        </is>
      </c>
      <c r="I138" s="636" t="n"/>
      <c r="J138" s="17" t="n"/>
      <c r="K138" s="305" t="inlineStr">
        <is>
          <t>тыс.т.</t>
        </is>
      </c>
    </row>
    <row r="139" ht="20.25" customHeight="1" s="904">
      <c r="C139" s="1043" t="n"/>
      <c r="D139" s="1068" t="inlineStr">
        <is>
          <t>Уренгойское НГКМ ачим. 1 уч.</t>
        </is>
      </c>
      <c r="E139" s="15" t="n"/>
      <c r="F139" s="15" t="inlineStr">
        <is>
          <t>V</t>
        </is>
      </c>
      <c r="G139" s="16" t="n"/>
      <c r="H139" s="17" t="inlineStr">
        <is>
          <t>100330639-4_100331807</t>
        </is>
      </c>
      <c r="I139" s="636" t="n"/>
      <c r="J139" s="17" t="n"/>
      <c r="K139" s="305" t="inlineStr">
        <is>
          <t>тыс.т.</t>
        </is>
      </c>
    </row>
    <row r="140" ht="20.25" customHeight="1" s="904">
      <c r="C140" s="259" t="n"/>
      <c r="D140" s="1068" t="inlineStr">
        <is>
          <t>Уренгойское НГКМ ачим. 2 уч.</t>
        </is>
      </c>
      <c r="E140" s="15" t="n"/>
      <c r="F140" s="15" t="inlineStr">
        <is>
          <t>V</t>
        </is>
      </c>
      <c r="G140" s="16" t="n"/>
      <c r="H140" s="17" t="inlineStr">
        <is>
          <t>100330640-4_100331808</t>
        </is>
      </c>
      <c r="I140" s="636" t="n"/>
      <c r="J140" s="17" t="n"/>
      <c r="K140" s="305" t="inlineStr">
        <is>
          <t>тыс.т.</t>
        </is>
      </c>
    </row>
    <row r="141" ht="20.25" customHeight="1" s="904">
      <c r="C141" s="317" t="n"/>
      <c r="D141" s="1068" t="inlineStr">
        <is>
          <t>Уренгойское НГКМ ачим. 3 уч. ДРОД</t>
        </is>
      </c>
      <c r="E141" s="15" t="n"/>
      <c r="F141" s="15" t="inlineStr">
        <is>
          <t>V</t>
        </is>
      </c>
      <c r="G141" s="16" t="n"/>
      <c r="H141" s="17" t="inlineStr">
        <is>
          <t>100333692+100335600-4_100335857</t>
        </is>
      </c>
      <c r="I141" s="636" t="n"/>
      <c r="J141" s="17" t="n"/>
      <c r="K141" s="305" t="inlineStr">
        <is>
          <t>тыс.т.</t>
        </is>
      </c>
    </row>
    <row r="142" ht="20.25" customHeight="1" s="904">
      <c r="C142" s="348" t="n"/>
      <c r="D142" s="1068" t="inlineStr">
        <is>
          <t>Песцовое НГКМ  (валанжин) (включая ШФЛУ) ДРОД</t>
        </is>
      </c>
      <c r="E142" s="15" t="n"/>
      <c r="F142" s="15" t="inlineStr">
        <is>
          <t>V</t>
        </is>
      </c>
      <c r="G142" s="16" t="n"/>
      <c r="H142" s="17" t="inlineStr">
        <is>
          <t>100335471-4_100335859</t>
        </is>
      </c>
      <c r="I142" s="636" t="n"/>
      <c r="J142" s="17" t="n"/>
      <c r="K142" s="305" t="inlineStr">
        <is>
          <t>тыс.т.</t>
        </is>
      </c>
    </row>
    <row r="143" ht="20.25" customHeight="1" s="904">
      <c r="C143" s="348" t="n"/>
      <c r="D143" s="1068" t="inlineStr">
        <is>
          <t>Песцовое НГКМ ачим  (включая ШФЛУ) ДРОД</t>
        </is>
      </c>
      <c r="E143" s="15" t="n"/>
      <c r="F143" s="15" t="inlineStr">
        <is>
          <t>V</t>
        </is>
      </c>
      <c r="G143" s="16" t="n"/>
      <c r="H143" s="17" t="inlineStr">
        <is>
          <t>100335602-4_100335860</t>
        </is>
      </c>
      <c r="I143" s="636" t="n"/>
      <c r="J143" s="17" t="n"/>
      <c r="K143" s="305" t="inlineStr">
        <is>
          <t>тыс.т.</t>
        </is>
      </c>
    </row>
    <row r="144" ht="20.25" customHeight="1" s="904">
      <c r="C144" s="348" t="n"/>
      <c r="D144" s="1068" t="inlineStr">
        <is>
          <t>Уренгойское НГКМ ачим. 4 уч.</t>
        </is>
      </c>
      <c r="E144" s="15" t="n"/>
      <c r="F144" s="15" t="inlineStr">
        <is>
          <t>V</t>
        </is>
      </c>
      <c r="G144" s="16" t="n"/>
      <c r="H144" s="17" t="inlineStr">
        <is>
          <t>100330641-4_100331809</t>
        </is>
      </c>
      <c r="I144" s="636" t="n"/>
      <c r="J144" s="17" t="n"/>
      <c r="K144" s="305" t="inlineStr">
        <is>
          <t>тыс.т.</t>
        </is>
      </c>
    </row>
    <row r="145" ht="20.25" customHeight="1" s="904">
      <c r="C145" s="348" t="n"/>
      <c r="D145" s="1068" t="inlineStr">
        <is>
          <t>Уренгойское НГКМ ачим. 5 уч.</t>
        </is>
      </c>
      <c r="E145" s="15" t="n"/>
      <c r="F145" s="15" t="inlineStr">
        <is>
          <t>V</t>
        </is>
      </c>
      <c r="G145" s="16" t="n"/>
      <c r="H145" s="17" t="inlineStr">
        <is>
          <t>100330642-4_100331810</t>
        </is>
      </c>
      <c r="I145" s="636" t="n"/>
      <c r="J145" s="17" t="n"/>
      <c r="K145" s="305" t="inlineStr">
        <is>
          <t>тыс.т.</t>
        </is>
      </c>
    </row>
    <row r="146" ht="20.25" customHeight="1" s="904">
      <c r="C146" s="213" t="inlineStr">
        <is>
          <t>9.2</t>
        </is>
      </c>
      <c r="D146" s="494" t="inlineStr">
        <is>
          <t>Поставка нефти, собственность ПАО "Газпром"</t>
        </is>
      </c>
      <c r="E146" s="15" t="n"/>
      <c r="F146" s="15" t="n"/>
      <c r="G146" s="16" t="n"/>
      <c r="H146" s="17" t="n"/>
      <c r="I146" s="636" t="n"/>
      <c r="J146" s="17" t="n"/>
      <c r="K146" s="305" t="n"/>
    </row>
    <row r="147" ht="20.25" customHeight="1" s="904">
      <c r="C147" s="1043" t="n"/>
      <c r="D147" s="1068" t="inlineStr">
        <is>
          <t>Уренгойское НГКМ</t>
        </is>
      </c>
      <c r="E147" s="15" t="n"/>
      <c r="F147" s="15" t="inlineStr">
        <is>
          <t>V</t>
        </is>
      </c>
      <c r="G147" s="16" t="n"/>
      <c r="H147" s="17" t="inlineStr">
        <is>
          <t>8_100330649-4_100331814</t>
        </is>
      </c>
      <c r="I147" s="636" t="n"/>
      <c r="J147" s="17" t="n"/>
      <c r="K147" s="305" t="inlineStr">
        <is>
          <t>тыс.т.</t>
        </is>
      </c>
    </row>
    <row r="148" ht="20.25" customHeight="1" s="904">
      <c r="C148" s="213" t="inlineStr">
        <is>
          <t>9.3</t>
        </is>
      </c>
      <c r="D148" s="494" t="inlineStr">
        <is>
          <t>Поставка нефти и СК ДРОД по альтернативной схеме</t>
        </is>
      </c>
      <c r="E148" s="15" t="n"/>
      <c r="F148" s="15" t="n"/>
      <c r="G148" s="16" t="n"/>
      <c r="H148" s="17" t="n"/>
      <c r="I148" s="636" t="n"/>
      <c r="J148" s="17" t="n"/>
      <c r="K148" s="305" t="n"/>
    </row>
    <row r="149" ht="20.25" customHeight="1" s="904">
      <c r="C149" s="348" t="n"/>
      <c r="D149" s="1068" t="inlineStr">
        <is>
          <t>Уренгойское НГКМ, Фаза 2 (Нефть)</t>
        </is>
      </c>
      <c r="E149" s="15" t="n"/>
      <c r="F149" s="15" t="inlineStr">
        <is>
          <t>V</t>
        </is>
      </c>
      <c r="G149" s="16" t="n"/>
      <c r="H149" s="17" t="inlineStr">
        <is>
          <t>100335670-4_100335908</t>
        </is>
      </c>
      <c r="I149" s="636" t="n"/>
      <c r="J149" s="17" t="n"/>
      <c r="K149" s="305" t="inlineStr">
        <is>
          <t>тыс.т.</t>
        </is>
      </c>
    </row>
    <row r="150" ht="20.25" customHeight="1" s="904">
      <c r="C150" s="348" t="n"/>
      <c r="D150" s="1068" t="inlineStr">
        <is>
          <t>Уренгойское НГКМ ачим. 3 уч.  (СК)</t>
        </is>
      </c>
      <c r="E150" s="15" t="n"/>
      <c r="F150" s="15" t="inlineStr">
        <is>
          <t>V</t>
        </is>
      </c>
      <c r="G150" s="16" t="n"/>
      <c r="H150" s="17" t="inlineStr">
        <is>
          <t>100335051-4_100335777</t>
        </is>
      </c>
      <c r="I150" s="636" t="n"/>
      <c r="J150" s="17" t="n"/>
      <c r="K150" s="305" t="inlineStr">
        <is>
          <t>тыс.т.</t>
        </is>
      </c>
    </row>
    <row r="151" ht="20.25" customHeight="1" s="904">
      <c r="C151" s="348" t="n"/>
      <c r="D151" s="1068" t="inlineStr">
        <is>
          <t>Уренгойское НГКМ ачим. 5 уч.  (Нефть)</t>
        </is>
      </c>
      <c r="E151" s="15" t="n"/>
      <c r="F151" s="15" t="inlineStr">
        <is>
          <t>V</t>
        </is>
      </c>
      <c r="G151" s="16" t="n"/>
      <c r="H151" s="17" t="inlineStr">
        <is>
          <t>100337111-4_100337109</t>
        </is>
      </c>
      <c r="I151" s="636" t="n"/>
      <c r="J151" s="17" t="n"/>
      <c r="K151" s="305" t="inlineStr">
        <is>
          <t>тыс.т.</t>
        </is>
      </c>
    </row>
    <row r="152" ht="20.25" customHeight="1" s="904">
      <c r="C152" s="348" t="n"/>
      <c r="D152" s="1068" t="inlineStr">
        <is>
          <t>Уренгойское НГКМ ачим. 6 уч.  (Нефть)</t>
        </is>
      </c>
      <c r="E152" s="15" t="n"/>
      <c r="F152" s="15" t="inlineStr">
        <is>
          <t>V</t>
        </is>
      </c>
      <c r="G152" s="16" t="n"/>
      <c r="H152" s="17" t="inlineStr">
        <is>
          <t>100336114-4_100336119</t>
        </is>
      </c>
      <c r="I152" s="636" t="n"/>
      <c r="J152" s="17" t="n"/>
      <c r="K152" s="305" t="inlineStr">
        <is>
          <t>тыс.т.</t>
        </is>
      </c>
    </row>
    <row r="153" ht="20.25" customHeight="1" s="904">
      <c r="C153" s="495" t="n"/>
      <c r="D153" s="1068" t="inlineStr">
        <is>
          <t>Ен-Яхинское НГКМ БУ-12 (Нефть)</t>
        </is>
      </c>
      <c r="E153" s="15" t="n"/>
      <c r="F153" s="15" t="inlineStr">
        <is>
          <t>V</t>
        </is>
      </c>
      <c r="G153" s="16" t="n"/>
      <c r="H153" s="17" t="inlineStr">
        <is>
          <t>100330646-4_100335909</t>
        </is>
      </c>
      <c r="I153" s="636" t="n"/>
      <c r="J153" s="17" t="n"/>
      <c r="K153" s="305" t="inlineStr">
        <is>
          <t>тыс.т.</t>
        </is>
      </c>
    </row>
    <row r="154" ht="20.25" customHeight="1" s="904">
      <c r="C154" s="495" t="n"/>
      <c r="D154" s="1068" t="inlineStr">
        <is>
          <t>Ен-Яхинское НГКМ  БУ-12  (СК)</t>
        </is>
      </c>
      <c r="E154" s="15" t="n"/>
      <c r="F154" s="15" t="inlineStr">
        <is>
          <t>V</t>
        </is>
      </c>
      <c r="G154" s="16" t="n"/>
      <c r="H154" s="17" t="inlineStr">
        <is>
          <t>100335516-4_100335684</t>
        </is>
      </c>
      <c r="I154" s="636" t="n"/>
      <c r="J154" s="17" t="n"/>
      <c r="K154" s="305" t="inlineStr">
        <is>
          <t>тыс.т.</t>
        </is>
      </c>
    </row>
    <row r="155" ht="20.25" customHeight="1" s="904">
      <c r="C155" s="495" t="n"/>
      <c r="D155" s="1068" t="inlineStr">
        <is>
          <t>Песцовое НГКМ (Нефть)</t>
        </is>
      </c>
      <c r="E155" s="15" t="n"/>
      <c r="F155" s="15" t="inlineStr">
        <is>
          <t>V</t>
        </is>
      </c>
      <c r="G155" s="16" t="n"/>
      <c r="H155" s="17" t="inlineStr">
        <is>
          <t>100330647-4_100335910</t>
        </is>
      </c>
      <c r="I155" s="636" t="n"/>
      <c r="J155" s="17" t="n"/>
      <c r="K155" s="305" t="inlineStr">
        <is>
          <t>тыс.т.</t>
        </is>
      </c>
    </row>
    <row r="156" ht="20.25" customHeight="1" s="904">
      <c r="C156" s="495" t="n"/>
      <c r="D156" s="1068" t="inlineStr">
        <is>
          <t>Песцовое НГКМ (неоком)  (СК)</t>
        </is>
      </c>
      <c r="E156" s="15" t="n"/>
      <c r="F156" s="15" t="inlineStr">
        <is>
          <t>V</t>
        </is>
      </c>
      <c r="G156" s="16" t="n"/>
      <c r="H156" s="17" t="inlineStr">
        <is>
          <t>100330643-4_100335035</t>
        </is>
      </c>
      <c r="I156" s="636" t="n"/>
      <c r="J156" s="17" t="n"/>
      <c r="K156" s="305" t="inlineStr">
        <is>
          <t>тыс.т.</t>
        </is>
      </c>
    </row>
    <row r="157" ht="20.25" customHeight="1" s="904">
      <c r="C157" s="496" t="n"/>
      <c r="D157" s="1054" t="inlineStr">
        <is>
          <t>Песцовое НГКМ (ачим) (СК)</t>
        </is>
      </c>
      <c r="E157" s="15" t="n"/>
      <c r="F157" s="15" t="inlineStr">
        <is>
          <t>V</t>
        </is>
      </c>
      <c r="G157" s="16" t="n"/>
      <c r="H157" s="17" t="inlineStr">
        <is>
          <t>100333691-4_100335904</t>
        </is>
      </c>
      <c r="I157" s="636" t="n"/>
      <c r="J157" s="17" t="n"/>
      <c r="K157" s="165" t="inlineStr">
        <is>
          <t>тыс.т.</t>
        </is>
      </c>
    </row>
    <row r="159">
      <c r="D159" s="1009"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29">
    <mergeCell ref="C89:C90"/>
    <mergeCell ref="G7:G8"/>
    <mergeCell ref="D80:D81"/>
    <mergeCell ref="I7:I8"/>
    <mergeCell ref="E6:J6"/>
    <mergeCell ref="C84:C85"/>
    <mergeCell ref="D76:D77"/>
    <mergeCell ref="C80:C81"/>
    <mergeCell ref="K6:K8"/>
    <mergeCell ref="D72:D73"/>
    <mergeCell ref="D78:D79"/>
    <mergeCell ref="H7:H8"/>
    <mergeCell ref="D87:D88"/>
    <mergeCell ref="J7:J8"/>
    <mergeCell ref="C6:C8"/>
    <mergeCell ref="D6:D8"/>
    <mergeCell ref="C76:C77"/>
    <mergeCell ref="D84:D85"/>
    <mergeCell ref="D74:D75"/>
    <mergeCell ref="C82:C83"/>
    <mergeCell ref="C72:C73"/>
    <mergeCell ref="E7:E8"/>
    <mergeCell ref="C3:K3"/>
    <mergeCell ref="C78:C79"/>
    <mergeCell ref="D89:D90"/>
    <mergeCell ref="D82:D83"/>
    <mergeCell ref="C74:C75"/>
    <mergeCell ref="F7:F8"/>
    <mergeCell ref="B6:B8"/>
  </mergeCells>
  <conditionalFormatting sqref="P10:Q157 V10:W157 AB10:AC157 AH10:AI157 AN10:AO157 AT10:AU157 AZ10:BA157 BF10:BG157 BL10:BM157 BR10:BS157 BX10:BY157 CD10:CE157 CJ10:CK157 CP10:CQ157 CV10:CW157 DB10:DC157 DH10:DI157">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57 O10:O157 S10:S157 U10:U157 Y10:Y157 AA10:AA157 AE10:AE157 AG10:AG157 AK10:AK157 AM10:AM157 AQ10:AQ157 AS10:AS157 AW10:AW157 AY10:AY157 BC10:BC157 BE10:BE157 BI10:BI157 BK10:BK157 BO10:BO157 BQ10:BQ157 BU10:BU157 BW10:BW157 CA10:CA157 CC10:CC157 CG10:CG157 CI10:CI157 CM10:CM157 CO10:CO157 CS10:CS157 CU10:CU157 CY10:CY157 DA10:DA157 DE10:DE157 DG10:DG157">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57 O10:O157 Q10:Q157 S10:S157 U10:U157 W10:W157 Y10:Y157 AA10:AA157 AC10:AC157 AE10:AE157 AG10:AG157 AI10:AI157 AK10:AK157 AM10:AM157 AO10:AO157 AQ10:AQ157 AS10:AS157">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86" fitToHeight="0"/>
  <legacyDrawing xmlns:r="http://schemas.openxmlformats.org/officeDocument/2006/relationships" r:id="anysvml"/>
</worksheet>
</file>

<file path=xl/worksheets/sheet16.xml><?xml version="1.0" encoding="utf-8"?>
<worksheet xmlns="http://schemas.openxmlformats.org/spreadsheetml/2006/main">
  <sheetPr codeName="Лист13">
    <tabColor theme="4" tint="0.7999816888943144"/>
    <outlinePr summaryBelow="1" summaryRight="1"/>
    <pageSetUpPr autoPageBreaks="0" fitToPage="1"/>
  </sheetPr>
  <dimension ref="A3:K65"/>
  <sheetViews>
    <sheetView zoomScale="60" workbookViewId="0">
      <pane xSplit="11" ySplit="9" topLeftCell="L40" activePane="bottomRight" state="frozen"/>
      <selection activeCell="K10" sqref="K10"/>
      <selection pane="topRight" activeCell="A1" sqref="A1"/>
      <selection pane="bottomLeft" activeCell="A1" sqref="A1"/>
      <selection pane="bottomRight" activeCell="V40" sqref="V40"/>
    </sheetView>
  </sheetViews>
  <sheetFormatPr baseColWidth="8" defaultColWidth="15" defaultRowHeight="18.75" outlineLevelRow="1"/>
  <cols>
    <col hidden="1" outlineLevel="1" width="18" customWidth="1" style="975" min="1" max="1"/>
    <col hidden="1" outlineLevel="1" width="20.7109375" customWidth="1" style="975" min="2" max="2"/>
    <col collapsed="1" width="8.42578125" customWidth="1" style="975" min="3" max="3"/>
    <col width="73.42578125" customWidth="1" style="975" min="4" max="4"/>
    <col hidden="1" outlineLevel="1" width="32.7109375" customWidth="1" style="975" min="5" max="9"/>
    <col hidden="1" outlineLevel="1" width="13" customWidth="1" style="975" min="10" max="10"/>
    <col collapsed="1" width="12.85546875" bestFit="1" customWidth="1" style="976"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15" customHeight="1" s="904"/>
    <row r="2" ht="15" customHeight="1" s="904"/>
    <row r="3" ht="20.25" customHeight="1" s="904">
      <c r="C3" s="1034" t="inlineStr">
        <is>
          <t>Прогнозные показатели по поставке, переработке сырья и производству продукции ООО "Газпром добыча Краснодар"</t>
        </is>
      </c>
    </row>
    <row r="4" ht="19.5" customHeight="1" s="904"/>
    <row r="5" ht="19.5" customHeight="1" s="904">
      <c r="C5" s="222" t="inlineStr">
        <is>
          <t>9. ООО "Газпром добыча Краснодар"</t>
        </is>
      </c>
      <c r="K5" s="596" t="n"/>
    </row>
    <row r="6" ht="20.1" customHeight="1" s="904">
      <c r="B6" s="1047" t="n"/>
      <c r="C6" s="1045" t="inlineStr">
        <is>
          <t>№ 
п/п</t>
        </is>
      </c>
      <c r="D6" s="1046"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6" t="n"/>
      <c r="D8" s="916" t="n"/>
      <c r="E8" s="911" t="n"/>
      <c r="F8" s="911" t="n"/>
      <c r="G8" s="911" t="n"/>
      <c r="H8" s="911" t="n"/>
      <c r="I8" s="911" t="n"/>
      <c r="J8" s="911" t="n"/>
      <c r="K8" s="911" t="n"/>
    </row>
    <row r="9" hidden="1" ht="20.1" customHeight="1" s="904">
      <c r="B9" s="1047" t="n"/>
      <c r="C9" s="617" t="n"/>
      <c r="D9" s="136" t="n"/>
      <c r="E9" s="1057" t="n"/>
      <c r="F9" s="1057" t="n"/>
      <c r="G9" s="1057" t="n"/>
      <c r="H9" s="1057" t="n"/>
      <c r="I9" s="1057" t="n"/>
      <c r="J9" s="1057" t="n"/>
      <c r="K9" s="136" t="n"/>
    </row>
    <row r="10" ht="30" customHeight="1" s="904">
      <c r="A10" s="658" t="n"/>
      <c r="B10" s="658" t="n"/>
      <c r="C10" s="140" t="n">
        <v>1</v>
      </c>
      <c r="D10" s="139" t="inlineStr">
        <is>
          <t xml:space="preserve">Поставка сырья на переработку, всего </t>
        </is>
      </c>
      <c r="E10" s="15" t="inlineStr">
        <is>
          <t>100332291</t>
        </is>
      </c>
      <c r="F10" s="15" t="n"/>
      <c r="G10" s="16" t="n"/>
      <c r="H10" s="17" t="inlineStr">
        <is>
          <t>100330003+100330669</t>
        </is>
      </c>
      <c r="I10" s="636" t="n"/>
      <c r="J10" s="17" t="n"/>
      <c r="K10" s="1046" t="inlineStr">
        <is>
          <t>тыс.т.</t>
        </is>
      </c>
    </row>
    <row r="11" ht="20.1" customHeight="1" s="904">
      <c r="A11" s="658" t="n"/>
      <c r="B11" s="658" t="n"/>
      <c r="C11" s="1016" t="inlineStr">
        <is>
          <t>1.1</t>
        </is>
      </c>
      <c r="D11" s="967" t="inlineStr">
        <is>
          <t>Природный газ, всего:</t>
        </is>
      </c>
      <c r="E11" s="15" t="n">
        <v>100330003</v>
      </c>
      <c r="F11" s="15" t="n"/>
      <c r="G11" s="16" t="n"/>
      <c r="H11" s="17" t="inlineStr">
        <is>
          <t>100330661</t>
        </is>
      </c>
      <c r="I11" s="636" t="n"/>
      <c r="J11" s="17" t="n"/>
      <c r="K11" s="136" t="inlineStr">
        <is>
          <t>тыс. т</t>
        </is>
      </c>
    </row>
    <row r="12" ht="20.1" customHeight="1" s="904">
      <c r="A12" s="658" t="n"/>
      <c r="B12" s="658" t="n"/>
      <c r="C12" s="916" t="n"/>
      <c r="D12" s="916" t="n"/>
      <c r="E12" s="15" t="n">
        <v>100330004</v>
      </c>
      <c r="F12" s="15" t="n"/>
      <c r="G12" s="16" t="n"/>
      <c r="H12" s="17" t="inlineStr">
        <is>
          <t>100330662</t>
        </is>
      </c>
      <c r="I12" s="636" t="n"/>
      <c r="J12" s="17" t="n"/>
      <c r="K12" s="588" t="inlineStr">
        <is>
          <t>млн куб.м</t>
        </is>
      </c>
    </row>
    <row r="13" ht="20.1" customHeight="1" s="904">
      <c r="A13" s="658" t="n"/>
      <c r="B13" s="658" t="n"/>
      <c r="C13" s="973" t="inlineStr">
        <is>
          <t>1.1.1.</t>
        </is>
      </c>
      <c r="D13" s="968" t="inlineStr">
        <is>
          <t>Природный газ с Вуктылского ГПУ (Северо-Западный ФО) (добыча)</t>
        </is>
      </c>
      <c r="E13" s="15" t="n">
        <v>100330661</v>
      </c>
      <c r="F13" s="15" t="n"/>
      <c r="G13" s="16" t="n"/>
      <c r="H13" s="17" t="n"/>
      <c r="I13" s="636" t="n"/>
      <c r="J13" s="17" t="n"/>
      <c r="K13" s="136" t="inlineStr">
        <is>
          <t>тыс. т</t>
        </is>
      </c>
    </row>
    <row r="14" ht="40.5" customHeight="1" s="904">
      <c r="A14" s="658" t="n"/>
      <c r="B14" s="658" t="n"/>
      <c r="C14" s="916" t="n"/>
      <c r="D14" s="916" t="n"/>
      <c r="E14" s="15" t="n">
        <v>100330662</v>
      </c>
      <c r="F14" s="15" t="n"/>
      <c r="G14" s="16" t="n"/>
      <c r="H14" s="17" t="n"/>
      <c r="I14" s="636" t="n"/>
      <c r="J14" s="17" t="n"/>
      <c r="K14" s="588" t="inlineStr">
        <is>
          <t>млн куб.м</t>
        </is>
      </c>
    </row>
    <row r="15" ht="20.1" customHeight="1" s="904">
      <c r="A15" s="658" t="n"/>
      <c r="B15" s="658" t="n"/>
      <c r="C15" s="973" t="n"/>
      <c r="D15" s="145" t="inlineStr">
        <is>
          <t>Справочно:</t>
        </is>
      </c>
      <c r="E15" s="15" t="n"/>
      <c r="F15" s="15" t="n"/>
      <c r="G15" s="16" t="n"/>
      <c r="H15" s="17" t="n"/>
      <c r="I15" s="636" t="n"/>
      <c r="J15" s="17" t="n"/>
      <c r="K15" s="225" t="n"/>
    </row>
    <row r="16" ht="20.1" customHeight="1" s="904">
      <c r="A16" s="658" t="n"/>
      <c r="B16" s="658" t="n"/>
      <c r="C16" s="973" t="inlineStr">
        <is>
          <t>1.1.2.</t>
        </is>
      </c>
      <c r="D16" s="1044" t="inlineStr">
        <is>
          <t>Газ для газлифтной эксплуатации</t>
        </is>
      </c>
      <c r="E16" s="15" t="n">
        <v>100330665</v>
      </c>
      <c r="F16" s="15" t="n"/>
      <c r="G16" s="16" t="n"/>
      <c r="H16" s="17" t="n"/>
      <c r="I16" s="636" t="n"/>
      <c r="J16" s="17" t="n"/>
      <c r="K16" s="136" t="inlineStr">
        <is>
          <t>тыс. т</t>
        </is>
      </c>
    </row>
    <row r="17" ht="20.1" customHeight="1" s="904">
      <c r="A17" s="658" t="n"/>
      <c r="B17" s="658" t="n"/>
      <c r="C17" s="916" t="n"/>
      <c r="D17" s="916" t="n"/>
      <c r="E17" s="15" t="n">
        <v>100330666</v>
      </c>
      <c r="F17" s="15" t="n"/>
      <c r="G17" s="16" t="n"/>
      <c r="H17" s="17" t="n"/>
      <c r="I17" s="636" t="n"/>
      <c r="J17" s="17" t="n"/>
      <c r="K17" s="588" t="inlineStr">
        <is>
          <t>млн куб.м</t>
        </is>
      </c>
    </row>
    <row r="18" ht="20.1" customHeight="1" s="904">
      <c r="A18" s="658" t="n"/>
      <c r="B18" s="658" t="n"/>
      <c r="C18" s="973" t="inlineStr">
        <is>
          <t>1.1.3</t>
        </is>
      </c>
      <c r="D18" s="1044" t="inlineStr">
        <is>
          <t>Газ на собственные технологические нужды</t>
        </is>
      </c>
      <c r="E18" s="15" t="n">
        <v>100330663</v>
      </c>
      <c r="F18" s="15" t="n"/>
      <c r="G18" s="16" t="n"/>
      <c r="H18" s="17" t="n"/>
      <c r="I18" s="636" t="n"/>
      <c r="J18" s="17" t="n"/>
      <c r="K18" s="136" t="inlineStr">
        <is>
          <t>тыс. т</t>
        </is>
      </c>
    </row>
    <row r="19" ht="20.1" customHeight="1" s="904">
      <c r="A19" s="658" t="n"/>
      <c r="B19" s="658" t="n"/>
      <c r="C19" s="916" t="n"/>
      <c r="D19" s="916" t="n"/>
      <c r="E19" s="15" t="n">
        <v>100330664</v>
      </c>
      <c r="F19" s="15" t="n"/>
      <c r="G19" s="16" t="n"/>
      <c r="H19" s="17" t="n"/>
      <c r="I19" s="636" t="n"/>
      <c r="J19" s="17" t="n"/>
      <c r="K19" s="588" t="inlineStr">
        <is>
          <t>млн куб.м</t>
        </is>
      </c>
    </row>
    <row r="20" ht="20.1" customHeight="1" s="904">
      <c r="A20" s="658" t="n"/>
      <c r="B20" s="658" t="n"/>
      <c r="C20" s="973" t="inlineStr">
        <is>
          <t>1.1.4.</t>
        </is>
      </c>
      <c r="D20" s="1044" t="inlineStr">
        <is>
          <t>Поставка газа в МГ на период ремонтов</t>
        </is>
      </c>
      <c r="E20" s="15" t="n">
        <v>100330667</v>
      </c>
      <c r="F20" s="15" t="n"/>
      <c r="G20" s="16" t="n"/>
      <c r="H20" s="17" t="n"/>
      <c r="I20" s="636" t="n"/>
      <c r="J20" s="17" t="n"/>
      <c r="K20" s="136" t="inlineStr">
        <is>
          <t>тыс. т</t>
        </is>
      </c>
    </row>
    <row r="21" ht="20.1" customHeight="1" s="904">
      <c r="A21" s="658" t="n"/>
      <c r="B21" s="658" t="n"/>
      <c r="C21" s="916" t="n"/>
      <c r="D21" s="916" t="n"/>
      <c r="E21" s="15" t="n">
        <v>100330668</v>
      </c>
      <c r="F21" s="15" t="n"/>
      <c r="G21" s="16" t="n"/>
      <c r="H21" s="17" t="n"/>
      <c r="I21" s="636" t="n"/>
      <c r="J21" s="17" t="n"/>
      <c r="K21" s="588" t="inlineStr">
        <is>
          <t>млн куб.м</t>
        </is>
      </c>
    </row>
    <row r="22" ht="19.5" customHeight="1" s="904">
      <c r="A22" s="658" t="n"/>
      <c r="B22" s="658" t="n"/>
      <c r="C22" s="973" t="inlineStr">
        <is>
          <t>1.1.5.</t>
        </is>
      </c>
      <c r="D22" s="944" t="inlineStr">
        <is>
          <t>Поставка газа на Сосногорский ГПЗ, собственность ПАО "Газпром"</t>
        </is>
      </c>
      <c r="E22" s="15" t="n">
        <v>100330868</v>
      </c>
      <c r="F22" s="15" t="n"/>
      <c r="G22" s="16" t="n"/>
      <c r="H22" s="17" t="inlineStr">
        <is>
          <t>100330661+100330665-100330663-100330667</t>
        </is>
      </c>
      <c r="I22" s="636" t="n"/>
      <c r="J22" s="17" t="n"/>
      <c r="K22" s="225" t="inlineStr">
        <is>
          <t>тыс. т</t>
        </is>
      </c>
    </row>
    <row r="23" ht="20.1" customHeight="1" s="904">
      <c r="A23" s="658" t="n"/>
      <c r="B23" s="658" t="n"/>
      <c r="C23" s="916" t="n"/>
      <c r="E23" s="15" t="n">
        <v>100330869</v>
      </c>
      <c r="F23" s="15" t="n"/>
      <c r="G23" s="16" t="n"/>
      <c r="H23" s="17" t="inlineStr">
        <is>
          <t>100330662+100330666-100330664-100330668</t>
        </is>
      </c>
      <c r="I23" s="636" t="n"/>
      <c r="J23" s="17" t="n"/>
      <c r="K23" s="588" t="inlineStr">
        <is>
          <t>млн куб.м</t>
        </is>
      </c>
    </row>
    <row r="24" ht="20.1" customHeight="1" s="904">
      <c r="A24" s="658" t="n"/>
      <c r="B24" s="658" t="n"/>
      <c r="C24" s="1016" t="inlineStr">
        <is>
          <t>1.2</t>
        </is>
      </c>
      <c r="D24" s="967" t="inlineStr">
        <is>
          <t>Нефтегазоконденсатная смесь, всего:</t>
        </is>
      </c>
      <c r="E24" s="15" t="n">
        <v>100330669</v>
      </c>
      <c r="F24" s="15" t="n"/>
      <c r="G24" s="16" t="n"/>
      <c r="H24" s="17" t="inlineStr">
        <is>
          <t>100330670+100330673</t>
        </is>
      </c>
      <c r="I24" s="636" t="n"/>
      <c r="J24" s="17" t="n"/>
      <c r="K24" s="136" t="inlineStr">
        <is>
          <t>тыс.т.</t>
        </is>
      </c>
    </row>
    <row r="25" ht="37.5" customHeight="1" s="904">
      <c r="A25" s="658" t="n"/>
      <c r="B25" s="658" t="n"/>
      <c r="C25" s="973" t="inlineStr">
        <is>
          <t>1.2.1.</t>
        </is>
      </c>
      <c r="D25" s="1036" t="inlineStr">
        <is>
          <t>НГКС с Вуктыльского ГПУ , собственность ООО "Газпром добыча Краснодар", всего:</t>
        </is>
      </c>
      <c r="E25" s="15" t="n">
        <v>100330670</v>
      </c>
      <c r="F25" s="15" t="n"/>
      <c r="G25" s="16" t="n"/>
      <c r="H25" s="17" t="inlineStr">
        <is>
          <t>100330870+100330871</t>
        </is>
      </c>
      <c r="I25" s="636" t="n"/>
      <c r="J25" s="17" t="n"/>
      <c r="K25" s="136" t="inlineStr">
        <is>
          <t>тыс.т.</t>
        </is>
      </c>
    </row>
    <row r="26" ht="20.1" customHeight="1" s="904">
      <c r="A26" s="658" t="n"/>
      <c r="B26" s="658" t="n"/>
      <c r="C26" s="973" t="n"/>
      <c r="D26" s="1025" t="inlineStr">
        <is>
          <t xml:space="preserve">нестабильный конденсат (Северо-Западный ФО) </t>
        </is>
      </c>
      <c r="E26" s="15" t="n">
        <v>100330870</v>
      </c>
      <c r="F26" s="15" t="n"/>
      <c r="G26" s="16" t="n"/>
      <c r="H26" s="17" t="n"/>
      <c r="I26" s="636" t="n"/>
      <c r="J26" s="17" t="n"/>
      <c r="K26" s="136" t="inlineStr">
        <is>
          <t>тыс.т.</t>
        </is>
      </c>
    </row>
    <row r="27" ht="20.1" customHeight="1" s="904">
      <c r="A27" s="658" t="n"/>
      <c r="B27" s="658" t="n"/>
      <c r="C27" s="973" t="n"/>
      <c r="D27" s="968" t="inlineStr">
        <is>
          <t>нефть (Северо-Западный ФО)</t>
        </is>
      </c>
      <c r="E27" s="15" t="n">
        <v>100330871</v>
      </c>
      <c r="F27" s="15" t="n"/>
      <c r="G27" s="16" t="n"/>
      <c r="H27" s="17" t="n"/>
      <c r="I27" s="636" t="n"/>
      <c r="J27" s="17" t="n"/>
      <c r="K27" s="136" t="inlineStr">
        <is>
          <t>тыс.т.</t>
        </is>
      </c>
    </row>
    <row r="28" ht="20.1" customHeight="1" s="904">
      <c r="A28" s="658" t="n"/>
      <c r="B28" s="658" t="n"/>
      <c r="C28" s="973" t="inlineStr">
        <is>
          <t>1.2.2.</t>
        </is>
      </c>
      <c r="D28" s="1036" t="inlineStr">
        <is>
          <t>НГКС, собственность ООО "Газпром добыча Краснодар"</t>
        </is>
      </c>
      <c r="E28" s="15" t="n">
        <v>100330673</v>
      </c>
      <c r="F28" s="15" t="n"/>
      <c r="G28" s="16" t="n"/>
      <c r="H28" s="17" t="inlineStr">
        <is>
          <t>100330671+100330672</t>
        </is>
      </c>
      <c r="I28" s="636" t="n"/>
      <c r="J28" s="17" t="n"/>
      <c r="K28" s="136" t="inlineStr">
        <is>
          <t>тыс.т.</t>
        </is>
      </c>
    </row>
    <row r="29" ht="20.1" customHeight="1" s="904">
      <c r="A29" s="658" t="n"/>
      <c r="B29" s="658" t="n"/>
      <c r="C29" s="973" t="n"/>
      <c r="D29" s="1025" t="inlineStr">
        <is>
          <t>нестабильный конденсат (Южный ФО и Сев-Кавказский ФО)</t>
        </is>
      </c>
      <c r="E29" s="15" t="n">
        <v>100330671</v>
      </c>
      <c r="F29" s="15" t="n"/>
      <c r="G29" s="16" t="n"/>
      <c r="H29" s="17" t="n"/>
      <c r="I29" s="636" t="n"/>
      <c r="J29" s="17" t="n"/>
      <c r="K29" s="136" t="inlineStr">
        <is>
          <t>тыс.т.</t>
        </is>
      </c>
    </row>
    <row r="30" ht="20.1" customHeight="1" s="904">
      <c r="A30" s="658" t="n"/>
      <c r="B30" s="658" t="n"/>
      <c r="C30" s="973" t="n"/>
      <c r="D30" s="968" t="inlineStr">
        <is>
          <t>нефть (Южный ФО)</t>
        </is>
      </c>
      <c r="E30" s="15" t="n">
        <v>100330672</v>
      </c>
      <c r="F30" s="15" t="n"/>
      <c r="G30" s="16" t="n"/>
      <c r="H30" s="17" t="n"/>
      <c r="I30" s="636" t="n"/>
      <c r="J30" s="17" t="n"/>
      <c r="K30" s="136" t="inlineStr">
        <is>
          <t>тыс.т.</t>
        </is>
      </c>
    </row>
    <row r="31" ht="20.1" customHeight="1" s="904">
      <c r="A31" s="658" t="n"/>
      <c r="B31" s="658" t="n"/>
      <c r="C31" s="973" t="n"/>
      <c r="D31" s="145" t="inlineStr">
        <is>
          <t>Справочно:</t>
        </is>
      </c>
      <c r="E31" s="15" t="n"/>
      <c r="F31" s="15" t="n"/>
      <c r="G31" s="16" t="n"/>
      <c r="H31" s="17" t="n"/>
      <c r="I31" s="636" t="n"/>
      <c r="J31" s="17" t="n"/>
      <c r="K31" s="136" t="n"/>
    </row>
    <row r="32" outlineLevel="1" ht="29.25" customHeight="1" s="904">
      <c r="A32" s="658" t="n"/>
      <c r="B32" s="658" t="n"/>
      <c r="C32" s="1077" t="n">
        <v>2</v>
      </c>
      <c r="D32" s="145" t="inlineStr">
        <is>
          <t>Потери сырья, всего:</t>
        </is>
      </c>
      <c r="E32" s="15" t="n">
        <v>100330674</v>
      </c>
      <c r="F32" s="15" t="n"/>
      <c r="G32" s="16" t="n"/>
      <c r="H32" s="17" t="inlineStr">
        <is>
          <t>100330675+100330676</t>
        </is>
      </c>
      <c r="I32" s="636" t="n"/>
      <c r="J32" s="17" t="n"/>
      <c r="K32" s="136" t="inlineStr">
        <is>
          <t>тыс.т.</t>
        </is>
      </c>
    </row>
    <row r="33" outlineLevel="1" ht="37.5" customHeight="1" s="904">
      <c r="A33" s="658" t="n"/>
      <c r="B33" s="658" t="n"/>
      <c r="C33" s="136" t="n"/>
      <c r="D33" s="1038" t="inlineStr">
        <is>
          <t>Потери при поставке  НГКС с Вуктылского ГПУ, собственность Краснодар, всего:</t>
        </is>
      </c>
      <c r="E33" s="15" t="n">
        <v>100330675</v>
      </c>
      <c r="F33" s="15" t="n"/>
      <c r="G33" s="16" t="n"/>
      <c r="H33" s="17" t="inlineStr">
        <is>
          <t>100330872+100330873</t>
        </is>
      </c>
      <c r="I33" s="636" t="n"/>
      <c r="J33" s="17" t="n"/>
      <c r="K33" s="136" t="inlineStr">
        <is>
          <t>тыс.т.</t>
        </is>
      </c>
    </row>
    <row r="34" outlineLevel="1" ht="20.1" customHeight="1" s="904">
      <c r="A34" s="658" t="n"/>
      <c r="B34" s="658" t="n"/>
      <c r="C34" s="973" t="n"/>
      <c r="D34" s="1044" t="inlineStr">
        <is>
          <t xml:space="preserve"> - нестабильный конденсат </t>
        </is>
      </c>
      <c r="E34" s="15" t="n">
        <v>100330872</v>
      </c>
      <c r="F34" s="15" t="n"/>
      <c r="G34" s="16" t="n"/>
      <c r="H34" s="17" t="n"/>
      <c r="I34" s="636" t="n"/>
      <c r="J34" s="17" t="n"/>
      <c r="K34" s="136" t="inlineStr">
        <is>
          <t>тыс.т.</t>
        </is>
      </c>
    </row>
    <row r="35" outlineLevel="1" ht="20.1" customHeight="1" s="904">
      <c r="A35" s="658" t="n"/>
      <c r="B35" s="658" t="n"/>
      <c r="C35" s="973" t="n"/>
      <c r="D35" s="1011" t="inlineStr">
        <is>
          <t xml:space="preserve"> - нефть </t>
        </is>
      </c>
      <c r="E35" s="15" t="n">
        <v>100330873</v>
      </c>
      <c r="F35" s="15" t="n"/>
      <c r="G35" s="16" t="n"/>
      <c r="H35" s="17" t="n"/>
      <c r="I35" s="636" t="n"/>
      <c r="J35" s="17" t="n"/>
      <c r="K35" s="136" t="inlineStr">
        <is>
          <t>тыс.т.</t>
        </is>
      </c>
    </row>
    <row r="36" outlineLevel="1" ht="37.5" customHeight="1" s="904">
      <c r="A36" s="658" t="n"/>
      <c r="B36" s="658" t="n"/>
      <c r="C36" s="136" t="n"/>
      <c r="D36" s="1038" t="inlineStr">
        <is>
          <t>Потери при переработке НГКС, собственность ООО "Газпром добыча Краснодар"</t>
        </is>
      </c>
      <c r="E36" s="15" t="n">
        <v>100330676</v>
      </c>
      <c r="F36" s="15" t="n"/>
      <c r="G36" s="16" t="n"/>
      <c r="H36" s="17" t="n"/>
      <c r="I36" s="776">
        <f>ROUND(100-I45-I48-I49,6)</f>
        <v/>
      </c>
      <c r="J36" s="17" t="n"/>
      <c r="K36" s="136" t="inlineStr">
        <is>
          <t>тыс.т.</t>
        </is>
      </c>
    </row>
    <row r="37" ht="22.5" customHeight="1" s="904">
      <c r="A37" s="658" t="n"/>
      <c r="B37" s="658" t="n"/>
      <c r="C37" s="1077" t="n">
        <v>3</v>
      </c>
      <c r="D37" s="967" t="inlineStr">
        <is>
          <t xml:space="preserve">Производство продукции, всего </t>
        </is>
      </c>
      <c r="E37" s="15" t="n">
        <v>100330049</v>
      </c>
      <c r="F37" s="15" t="n"/>
      <c r="G37" s="16" t="n"/>
      <c r="H37" s="17" t="inlineStr">
        <is>
          <t>100330874+100330677</t>
        </is>
      </c>
      <c r="I37" s="776" t="n"/>
      <c r="J37" s="17" t="n"/>
      <c r="K37" s="136" t="inlineStr">
        <is>
          <t>тыс.т.</t>
        </is>
      </c>
    </row>
    <row r="38" ht="39" customHeight="1" s="904">
      <c r="A38" s="658" t="n"/>
      <c r="B38" s="658" t="n"/>
      <c r="C38" s="1016" t="inlineStr">
        <is>
          <t>3.1</t>
        </is>
      </c>
      <c r="D38" s="967" t="inlineStr">
        <is>
          <t>Поставка НГКС  на Сосногорский ГПЗ, собственность ПАО "Газпром", всего:</t>
        </is>
      </c>
      <c r="E38" s="15" t="n">
        <v>100330874</v>
      </c>
      <c r="F38" s="15" t="n"/>
      <c r="G38" s="16" t="n"/>
      <c r="H38" s="17" t="inlineStr">
        <is>
          <t>100330875+100330876</t>
        </is>
      </c>
      <c r="I38" s="636" t="n"/>
      <c r="J38" s="17" t="n"/>
      <c r="K38" s="136" t="inlineStr">
        <is>
          <t>тыс.т.</t>
        </is>
      </c>
    </row>
    <row r="39" ht="20.1" customHeight="1" s="904">
      <c r="A39" s="658" t="n"/>
      <c r="B39" s="658" t="n"/>
      <c r="C39" s="973" t="n"/>
      <c r="D39" s="1025" t="inlineStr">
        <is>
          <t xml:space="preserve">нестабильный конденсат (Северо-Западный ФО) </t>
        </is>
      </c>
      <c r="E39" s="15" t="n">
        <v>100330875</v>
      </c>
      <c r="F39" s="15" t="n"/>
      <c r="G39" s="16" t="n"/>
      <c r="H39" s="17" t="inlineStr">
        <is>
          <t>100330870-100330872</t>
        </is>
      </c>
      <c r="I39" s="636" t="n"/>
      <c r="J39" s="17" t="n"/>
      <c r="K39" s="136" t="inlineStr">
        <is>
          <t>тыс.т.</t>
        </is>
      </c>
    </row>
    <row r="40" ht="20.1" customHeight="1" s="904">
      <c r="A40" s="658" t="n"/>
      <c r="B40" s="658" t="n"/>
      <c r="C40" s="973" t="n"/>
      <c r="D40" s="968" t="inlineStr">
        <is>
          <t>нефть (Северо-Западный ФО)</t>
        </is>
      </c>
      <c r="E40" s="15" t="n">
        <v>100330876</v>
      </c>
      <c r="F40" s="15" t="n"/>
      <c r="G40" s="16" t="n"/>
      <c r="H40" s="17" t="inlineStr">
        <is>
          <t>100330871-100330873</t>
        </is>
      </c>
      <c r="I40" s="636" t="n"/>
      <c r="J40" s="17" t="n"/>
      <c r="K40" s="136" t="inlineStr">
        <is>
          <t>тыс.т.</t>
        </is>
      </c>
    </row>
    <row r="41" ht="39" customHeight="1" s="904">
      <c r="A41" s="658" t="n"/>
      <c r="B41" s="658" t="n"/>
      <c r="C41" s="1016" t="inlineStr">
        <is>
          <t>3.2</t>
        </is>
      </c>
      <c r="D41" s="1037" t="inlineStr">
        <is>
          <t>Производство продукции, собственность ООО "Газпром добыча Краснодар", всего:</t>
        </is>
      </c>
      <c r="E41" s="15" t="n">
        <v>100330677</v>
      </c>
      <c r="F41" s="15" t="n"/>
      <c r="G41" s="16" t="n"/>
      <c r="H41" s="17" t="inlineStr">
        <is>
          <t>100335068+100330683+100330679</t>
        </is>
      </c>
      <c r="I41" s="776" t="inlineStr">
        <is>
          <t>ОКРУГЛ({100330677:-1}/{100330673:-1}*$100;$6)</t>
        </is>
      </c>
      <c r="J41" s="17" t="n"/>
      <c r="K41" s="136" t="inlineStr">
        <is>
          <t>тыс.т.</t>
        </is>
      </c>
    </row>
    <row r="42" ht="19.5" customHeight="1" s="904">
      <c r="A42" s="658" t="n"/>
      <c r="B42" s="658" t="n"/>
      <c r="C42" s="1016" t="inlineStr">
        <is>
          <t>3.2.1</t>
        </is>
      </c>
      <c r="D42" s="967" t="inlineStr">
        <is>
          <t>Газовый конденсат, товарный в адрес ПАО "Газпром"</t>
        </is>
      </c>
      <c r="E42" s="15" t="n">
        <v>100335068</v>
      </c>
      <c r="F42" s="15" t="n"/>
      <c r="G42" s="16" t="n"/>
      <c r="H42" s="17" t="n"/>
      <c r="I42" s="776" t="inlineStr">
        <is>
          <t>ОКРУГЛ({100335068:-1}/{100330673:-1}*$100;$6)</t>
        </is>
      </c>
      <c r="J42" s="17" t="n"/>
      <c r="K42" s="136" t="inlineStr">
        <is>
          <t>тыс.т.</t>
        </is>
      </c>
    </row>
    <row r="43" ht="20.1" customHeight="1" s="904">
      <c r="A43" s="658" t="n"/>
      <c r="B43" s="658" t="n"/>
      <c r="C43" s="973" t="n"/>
      <c r="D43" s="1038" t="inlineStr">
        <is>
          <t>Справочно:</t>
        </is>
      </c>
      <c r="E43" s="15" t="n"/>
      <c r="F43" s="15" t="n"/>
      <c r="G43" s="16" t="n"/>
      <c r="H43" s="17" t="n"/>
      <c r="I43" s="636" t="n"/>
      <c r="J43" s="17" t="n"/>
      <c r="K43" s="136" t="n"/>
    </row>
    <row r="44" ht="19.5" customHeight="1" s="904">
      <c r="A44" s="658" t="n"/>
      <c r="B44" s="658" t="n"/>
      <c r="C44" s="973" t="n"/>
      <c r="D44" s="1044" t="inlineStr">
        <is>
          <t>Газовый конденсат,  собственная потребность</t>
        </is>
      </c>
      <c r="E44" s="15" t="n">
        <v>100330878</v>
      </c>
      <c r="F44" s="15" t="n"/>
      <c r="G44" s="16" t="n"/>
      <c r="H44" s="17" t="n"/>
      <c r="I44" s="776" t="inlineStr">
        <is>
          <t>ОКРУГЛ({100330878:-1}/{100330673:-1}*$100;$6)</t>
        </is>
      </c>
      <c r="J44" s="17" t="n"/>
      <c r="K44" s="136" t="inlineStr">
        <is>
          <t>тыс.т.</t>
        </is>
      </c>
    </row>
    <row r="45" ht="20.1" customHeight="1" s="904">
      <c r="A45" s="658" t="n"/>
      <c r="B45" s="658" t="n"/>
      <c r="C45" s="973" t="n"/>
      <c r="D45" s="1023" t="inlineStr">
        <is>
          <t>Газовый конденсат, валовый</t>
        </is>
      </c>
      <c r="E45" s="15" t="n">
        <v>100330879</v>
      </c>
      <c r="F45" s="15" t="n"/>
      <c r="G45" s="16" t="n"/>
      <c r="H45" s="17" t="n"/>
      <c r="I45" s="776" t="inlineStr">
        <is>
          <t>ОКРУГЛ({100330879:-1}/{100330673:-1}*$100;$6)</t>
        </is>
      </c>
      <c r="J45" s="17" t="n"/>
      <c r="K45" s="136" t="inlineStr">
        <is>
          <t>тыс.т.</t>
        </is>
      </c>
    </row>
    <row r="46" ht="19.5" customHeight="1" s="904">
      <c r="A46" s="658" t="n"/>
      <c r="B46" s="658" t="n"/>
      <c r="C46" s="1016" t="inlineStr">
        <is>
          <t>3.2.2</t>
        </is>
      </c>
      <c r="D46" s="948" t="inlineStr">
        <is>
          <t>НГКС, товарный в адрес ПАО "Газпром"</t>
        </is>
      </c>
      <c r="E46" s="15" t="n">
        <v>100330683</v>
      </c>
      <c r="F46" s="15" t="n"/>
      <c r="G46" s="16" t="n"/>
      <c r="H46" s="17" t="n"/>
      <c r="I46" s="776" t="inlineStr">
        <is>
          <t>ОКРУГЛ({100330683:-1}/{100330673:-1}*$100;$6)</t>
        </is>
      </c>
      <c r="J46" s="17" t="n"/>
      <c r="K46" s="136" t="inlineStr">
        <is>
          <t>тыс.т.</t>
        </is>
      </c>
    </row>
    <row r="47" ht="20.1" customHeight="1" s="904">
      <c r="A47" s="658" t="n"/>
      <c r="B47" s="658" t="n"/>
      <c r="C47" s="973" t="n"/>
      <c r="D47" s="283" t="inlineStr">
        <is>
          <t>Справочно:</t>
        </is>
      </c>
      <c r="E47" s="15" t="n"/>
      <c r="F47" s="15" t="n"/>
      <c r="G47" s="16" t="n"/>
      <c r="H47" s="17" t="n"/>
      <c r="I47" s="636" t="n"/>
      <c r="J47" s="17" t="n"/>
      <c r="K47" s="135" t="n"/>
    </row>
    <row r="48" ht="20.1" customHeight="1" s="904">
      <c r="A48" s="658" t="n"/>
      <c r="B48" s="658" t="n"/>
      <c r="C48" s="973" t="n"/>
      <c r="D48" s="1023" t="inlineStr">
        <is>
          <t>НГКС, валовый</t>
        </is>
      </c>
      <c r="E48" s="15" t="n">
        <v>100330684</v>
      </c>
      <c r="F48" s="15" t="n"/>
      <c r="G48" s="16" t="n"/>
      <c r="H48" s="17" t="n"/>
      <c r="I48" s="776" t="inlineStr">
        <is>
          <t>ОКРУГЛ({100330684:-1}/{100330673:-1}*$100;$6)</t>
        </is>
      </c>
      <c r="J48" s="17" t="n"/>
      <c r="K48" s="136" t="inlineStr">
        <is>
          <t>тыс.т.</t>
        </is>
      </c>
    </row>
    <row r="49" ht="20.1" customHeight="1" s="904">
      <c r="A49" s="658" t="n"/>
      <c r="B49" s="658" t="n"/>
      <c r="C49" s="1016" t="inlineStr">
        <is>
          <t>3.2.3</t>
        </is>
      </c>
      <c r="D49" s="1042" t="inlineStr">
        <is>
          <t>Газ стабилизации</t>
        </is>
      </c>
      <c r="E49" s="15" t="n">
        <v>100330679</v>
      </c>
      <c r="F49" s="15" t="n"/>
      <c r="G49" s="16" t="n"/>
      <c r="H49" s="17" t="n"/>
      <c r="I49" s="776" t="inlineStr">
        <is>
          <t>ОКРУГЛ({100330679:-1}/{100330673:-1}*$100;$6)</t>
        </is>
      </c>
      <c r="J49" s="17" t="n"/>
      <c r="K49" s="136" t="inlineStr">
        <is>
          <t>тыс. т</t>
        </is>
      </c>
    </row>
    <row r="50" ht="20.1" customHeight="1" s="904">
      <c r="A50" s="658" t="n"/>
      <c r="B50" s="658" t="n"/>
      <c r="C50" s="916" t="n"/>
      <c r="D50" s="916" t="n"/>
      <c r="E50" s="15" t="n">
        <v>100330680</v>
      </c>
      <c r="F50" s="15" t="n"/>
      <c r="G50" s="16" t="n"/>
      <c r="H50" s="17" t="n"/>
      <c r="I50" s="636" t="n"/>
      <c r="J50" s="17" t="n"/>
      <c r="K50" s="588" t="inlineStr">
        <is>
          <t>млн куб.м</t>
        </is>
      </c>
    </row>
    <row r="51" outlineLevel="1" ht="41.25" customHeight="1" s="904">
      <c r="A51" s="658" t="n"/>
      <c r="B51" s="658" t="n"/>
      <c r="C51" s="195" t="inlineStr">
        <is>
          <t>4</t>
        </is>
      </c>
      <c r="D51" s="285" t="inlineStr">
        <is>
          <t>Материальный баланс переработки УВС ("П.1"-"П.2"-"П.3" = 0,000)</t>
        </is>
      </c>
      <c r="E51" s="15" t="n">
        <v>100330143</v>
      </c>
      <c r="F51" s="15" t="n"/>
      <c r="G51" s="16" t="n"/>
      <c r="H51" s="17" t="inlineStr">
        <is>
          <t>100330669-100330674-100330049</t>
        </is>
      </c>
      <c r="I51" s="636" t="n"/>
      <c r="J51" s="17" t="n"/>
      <c r="K51" s="1046" t="inlineStr">
        <is>
          <t>тыс.т.</t>
        </is>
      </c>
    </row>
    <row r="52" outlineLevel="1" ht="39" customHeight="1" s="904">
      <c r="A52" s="658" t="n"/>
      <c r="C52" s="970" t="n">
        <v>5</v>
      </c>
      <c r="D52" s="212" t="inlineStr">
        <is>
          <t>Производство для реализации ПАО "Газпром"</t>
        </is>
      </c>
      <c r="E52" s="15" t="n"/>
      <c r="F52" s="15" t="inlineStr">
        <is>
          <t>T</t>
        </is>
      </c>
      <c r="G52" s="16" t="n"/>
      <c r="H52" s="17" t="inlineStr">
        <is>
          <t>100335068+100330683</t>
        </is>
      </c>
      <c r="I52" s="636" t="n"/>
      <c r="J52" s="17" t="n"/>
      <c r="K52" s="1077" t="inlineStr">
        <is>
          <t>тыс.т.</t>
        </is>
      </c>
    </row>
    <row r="53" outlineLevel="1" ht="39" customHeight="1" s="904">
      <c r="C53" s="213" t="n">
        <v>6</v>
      </c>
      <c r="D53" s="214" t="inlineStr">
        <is>
          <t>Проверка с разделом "Добыча"</t>
        </is>
      </c>
      <c r="E53" s="15" t="n"/>
      <c r="F53" s="15" t="n"/>
      <c r="G53" s="16" t="n"/>
      <c r="H53" s="17" t="n"/>
      <c r="I53" s="636" t="n"/>
      <c r="J53" s="17" t="n"/>
      <c r="K53" s="162" t="n"/>
    </row>
    <row r="54" outlineLevel="1" ht="37.5" customHeight="1" s="904">
      <c r="B54" s="623" t="n"/>
      <c r="C54" s="1043" t="inlineStr">
        <is>
          <t>6.1</t>
        </is>
      </c>
      <c r="D54" s="616" t="inlineStr">
        <is>
          <t>Поставка газа на Сосногорский ГПЗ, 
собственность ПАО "Газпром</t>
        </is>
      </c>
      <c r="E54" s="15" t="n"/>
      <c r="F54" s="15" t="n"/>
      <c r="G54" s="16" t="n"/>
      <c r="H54" s="17" t="n"/>
      <c r="I54" s="636" t="n"/>
      <c r="J54" s="17" t="n"/>
      <c r="K54" s="188" t="inlineStr">
        <is>
          <t>млн куб.м</t>
        </is>
      </c>
    </row>
    <row r="55" outlineLevel="1" ht="18.75" customHeight="1" s="904">
      <c r="C55" s="1043" t="inlineStr">
        <is>
          <t>6.2</t>
        </is>
      </c>
      <c r="D55" s="616" t="inlineStr">
        <is>
          <t xml:space="preserve">нестабильный конденсат (Северо-Западный ФО) </t>
        </is>
      </c>
      <c r="E55" s="15" t="n"/>
      <c r="F55" s="15" t="n"/>
      <c r="G55" s="16" t="n"/>
      <c r="H55" s="17" t="n"/>
      <c r="I55" s="636" t="n"/>
      <c r="J55" s="17" t="n"/>
      <c r="K55" s="188" t="inlineStr">
        <is>
          <t>тыс.т.</t>
        </is>
      </c>
    </row>
    <row r="56" outlineLevel="1" ht="18.75" customHeight="1" s="904">
      <c r="C56" s="1043" t="inlineStr">
        <is>
          <t>6.3</t>
        </is>
      </c>
      <c r="D56" s="616" t="inlineStr">
        <is>
          <t>нефть (Северо-Западный ФО)</t>
        </is>
      </c>
      <c r="E56" s="15" t="n"/>
      <c r="F56" s="15" t="n"/>
      <c r="G56" s="16" t="n"/>
      <c r="H56" s="17" t="n"/>
      <c r="I56" s="636" t="n"/>
      <c r="J56" s="17" t="n"/>
      <c r="K56" s="188" t="inlineStr">
        <is>
          <t>тыс.т.</t>
        </is>
      </c>
    </row>
    <row r="57" outlineLevel="1" ht="17.25" customHeight="1" s="904">
      <c r="C57" s="1043" t="inlineStr">
        <is>
          <t>6.4</t>
        </is>
      </c>
      <c r="D57" s="616" t="inlineStr">
        <is>
          <t>нефть (Южный ФО)</t>
        </is>
      </c>
      <c r="E57" s="15" t="n"/>
      <c r="F57" s="15" t="n"/>
      <c r="G57" s="16" t="n"/>
      <c r="H57" s="17" t="n"/>
      <c r="I57" s="636" t="n"/>
      <c r="J57" s="17" t="n"/>
      <c r="K57" s="188" t="inlineStr">
        <is>
          <t>тыс.т.</t>
        </is>
      </c>
    </row>
    <row r="58" outlineLevel="1" ht="39" customHeight="1" s="904">
      <c r="C58" s="213" t="n">
        <v>7</v>
      </c>
      <c r="D58" s="214" t="inlineStr">
        <is>
          <t>Проверка с Сосногорским ГПЗ "Переработка"</t>
        </is>
      </c>
      <c r="E58" s="15" t="n"/>
      <c r="F58" s="15" t="n"/>
      <c r="G58" s="16" t="n"/>
      <c r="H58" s="17" t="n"/>
      <c r="I58" s="636" t="n"/>
      <c r="J58" s="17" t="n"/>
      <c r="K58" s="1026" t="n"/>
    </row>
    <row r="59" outlineLevel="1" ht="19.5" customHeight="1" s="904">
      <c r="C59" s="1043" t="inlineStr">
        <is>
          <t>7.1</t>
        </is>
      </c>
      <c r="D59" s="1048" t="inlineStr">
        <is>
          <t>Поставка газа на Сосногорский ГПЗ, 
собственность ПАО "Газпром</t>
        </is>
      </c>
      <c r="E59" s="15" t="n"/>
      <c r="F59" s="15" t="inlineStr">
        <is>
          <t>V</t>
        </is>
      </c>
      <c r="G59" s="16" t="n"/>
      <c r="H59" s="17" t="inlineStr">
        <is>
          <t>100330868-3_100330007</t>
        </is>
      </c>
      <c r="I59" s="636" t="n"/>
      <c r="J59" s="17" t="n"/>
      <c r="K59" s="217" t="inlineStr">
        <is>
          <t>тыс.т.</t>
        </is>
      </c>
    </row>
    <row r="60" outlineLevel="1" ht="19.5" customHeight="1" s="904">
      <c r="C60" s="916" t="n"/>
      <c r="E60" s="15" t="n"/>
      <c r="F60" s="15" t="inlineStr">
        <is>
          <t>V</t>
        </is>
      </c>
      <c r="G60" s="16" t="n"/>
      <c r="H60" s="17" t="inlineStr">
        <is>
          <t>100330869-3_100330008</t>
        </is>
      </c>
      <c r="I60" s="636" t="n"/>
      <c r="J60" s="17" t="n"/>
      <c r="K60" s="217" t="inlineStr">
        <is>
          <t>млн куб.м</t>
        </is>
      </c>
    </row>
    <row r="61" outlineLevel="1" ht="37.5" customHeight="1" s="904">
      <c r="C61" s="1043" t="inlineStr">
        <is>
          <t>7.2</t>
        </is>
      </c>
      <c r="D61" s="616" t="inlineStr">
        <is>
          <t>НГКС с Вуктыльского ГПУ , собственность 
ООО "Газпром добыча Краснодар", всего:</t>
        </is>
      </c>
      <c r="E61" s="15" t="n"/>
      <c r="F61" s="15" t="inlineStr">
        <is>
          <t>V</t>
        </is>
      </c>
      <c r="G61" s="16" t="n"/>
      <c r="H61" s="17" t="inlineStr">
        <is>
          <t>100330670-3_100332283</t>
        </is>
      </c>
      <c r="I61" s="636" t="n"/>
      <c r="J61" s="17" t="n"/>
      <c r="K61" s="217" t="inlineStr">
        <is>
          <t>тыс.т.</t>
        </is>
      </c>
    </row>
    <row r="62" outlineLevel="1" ht="19.5" customHeight="1" s="904">
      <c r="C62" s="1043" t="n"/>
      <c r="D62" s="286" t="inlineStr">
        <is>
          <t xml:space="preserve">нестабильный конденсат (Северо-Западный ФО) </t>
        </is>
      </c>
      <c r="E62" s="15" t="n"/>
      <c r="F62" s="15" t="inlineStr">
        <is>
          <t>V</t>
        </is>
      </c>
      <c r="G62" s="16" t="n"/>
      <c r="H62" s="17" t="inlineStr">
        <is>
          <t>100330870-3_100330017</t>
        </is>
      </c>
      <c r="I62" s="636" t="n"/>
      <c r="J62" s="17" t="n"/>
      <c r="K62" s="217" t="inlineStr">
        <is>
          <t>тыс.т.</t>
        </is>
      </c>
    </row>
    <row r="63" outlineLevel="1" ht="19.5" customHeight="1" s="904">
      <c r="C63" s="218" t="n"/>
      <c r="D63" s="287" t="inlineStr">
        <is>
          <t>нефть (Северо-Западный ФО)</t>
        </is>
      </c>
      <c r="E63" s="15" t="n"/>
      <c r="F63" s="15" t="inlineStr">
        <is>
          <t>V</t>
        </is>
      </c>
      <c r="G63" s="16" t="n"/>
      <c r="H63" s="17" t="inlineStr">
        <is>
          <t>100330871-3_100330196</t>
        </is>
      </c>
      <c r="I63" s="636" t="n"/>
      <c r="J63" s="17" t="n"/>
      <c r="K63" s="220" t="inlineStr">
        <is>
          <t>тыс.т.</t>
        </is>
      </c>
    </row>
    <row r="65">
      <c r="D65" s="1009" t="inlineStr">
        <is>
          <t>* - Обеспечение своевременного внесения  изменений в перечень номенклатуры сырья и продукции входит в компетенцию дочернего общества.</t>
        </is>
      </c>
    </row>
  </sheetData>
  <mergeCells count="28">
    <mergeCell ref="D49:D50"/>
    <mergeCell ref="C20:C21"/>
    <mergeCell ref="G7:G8"/>
    <mergeCell ref="D11:D12"/>
    <mergeCell ref="I7:I8"/>
    <mergeCell ref="C16:C17"/>
    <mergeCell ref="E6:J6"/>
    <mergeCell ref="C59:C60"/>
    <mergeCell ref="C22:C23"/>
    <mergeCell ref="K6:K8"/>
    <mergeCell ref="D13:D14"/>
    <mergeCell ref="D16:D17"/>
    <mergeCell ref="C11:C12"/>
    <mergeCell ref="H7:H8"/>
    <mergeCell ref="J7:J8"/>
    <mergeCell ref="C6:C8"/>
    <mergeCell ref="D6:D8"/>
    <mergeCell ref="D18:D19"/>
    <mergeCell ref="E7:E8"/>
    <mergeCell ref="C3:K3"/>
    <mergeCell ref="C18:C19"/>
    <mergeCell ref="D20:D21"/>
    <mergeCell ref="C13:C14"/>
    <mergeCell ref="F7:F8"/>
    <mergeCell ref="C49:C50"/>
    <mergeCell ref="B6:B8"/>
    <mergeCell ref="D59:D60"/>
    <mergeCell ref="D22:D23"/>
  </mergeCells>
  <conditionalFormatting sqref="P10:P63 Q10:Q63 V10:V63 W10:W63 AB10:AB63 AC10:AC63 AH10:AH63 AI10:AI63 AN10:AN63 AO10:AO63 AT10:AT63 AU10:AU63 AZ10:AZ63 BA10:BA63 BF10:BF63 BG10:BG63 BL10:BL63 BM10:BM63 BR10:BR63 BS10:BS63 BX10:BX63 BY10:BY63 CD10:CD63 CE10:CE63 CJ10:CJ63 CK10:CK63 CP10:CP63 CQ10:CQ63 CV10:CV63 CW10:CW63 DB10:DB63 DC10:DC63 DH10:DH63 DI10:DI63">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35 M51:M63 O10:O63 S10:S63 U10:U63 Y10:Y63 AA10:AA63 AE10:AE63 AG10:AG63 AK10:AK63 AM10:AM63 AQ10:AQ63 AS10:AS63 AW10:AW63 AY10:AY63 BC10:BC63 BE10:BE63 BI10:BI63 BK10:BK63 BO10:BO63 BQ10:BQ63 BU10:BU63 BW10:BW63 CA10:CA63 CC10:CC63 CG10:CG63 CI10:CI63 CM10:CM63 CO10:CO63 CS10:CS63 CU10:CU63 CY10:CY63 DA10:DA63 DE10:DE63 DG10:DG63">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35 M51:M63 O10:O63 Q10:Q63 S10:S63 U10:U63 W10:W63 Y10:Y63 AA10:AA63 AC10:AC63 AE10:AE63 AG10:AG63 AI10:AI63 AK10:AK63 AM10:AM63 AO10:AO63 AQ10:AQ63 AS10:AS63">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69" fitToHeight="0"/>
  <legacyDrawing xmlns:r="http://schemas.openxmlformats.org/officeDocument/2006/relationships" r:id="anysvml"/>
</worksheet>
</file>

<file path=xl/worksheets/sheet17.xml><?xml version="1.0" encoding="utf-8"?>
<worksheet xmlns="http://schemas.openxmlformats.org/spreadsheetml/2006/main">
  <sheetPr codeName="Лист14">
    <tabColor theme="4" tint="0.7999816888943144"/>
    <outlinePr summaryBelow="1" summaryRight="1"/>
    <pageSetUpPr fitToPage="1"/>
  </sheetPr>
  <dimension ref="A3:K118"/>
  <sheetViews>
    <sheetView zoomScale="60" workbookViewId="0">
      <pane xSplit="11" ySplit="10" topLeftCell="L40" activePane="bottomRight" state="frozen"/>
      <selection activeCell="I11" sqref="I11"/>
      <selection pane="topRight" activeCell="C1" sqref="C1"/>
      <selection pane="bottomLeft" activeCell="C1" sqref="C1"/>
      <selection pane="bottomRight" activeCell="G57" sqref="G57"/>
    </sheetView>
  </sheetViews>
  <sheetFormatPr baseColWidth="8" defaultColWidth="8.42578125" defaultRowHeight="19.5" outlineLevelRow="1"/>
  <cols>
    <col hidden="1" outlineLevel="1" width="20.140625" customWidth="1" style="684" min="1" max="1"/>
    <col hidden="1" outlineLevel="1" width="20.28515625" customWidth="1" style="975" min="2" max="2"/>
    <col collapsed="1" width="12.140625" bestFit="1" customWidth="1" style="649" min="3" max="3"/>
    <col width="80.5703125" customWidth="1" style="975" min="4" max="4"/>
    <col hidden="1" outlineLevel="1" width="26.140625" customWidth="1" style="975" min="5" max="10"/>
    <col collapsed="1" width="12.85546875" bestFit="1" customWidth="1" style="976"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15" customHeight="1" s="904"/>
    <row r="2" ht="15" customHeight="1" s="904"/>
    <row r="3" ht="20.25" customHeight="1" s="904">
      <c r="C3" s="1051" t="inlineStr">
        <is>
          <t>Прогнозные показатели по поставке, переработке сырья и производству продукции ООО "Газпром добыча Ноябрьск"</t>
        </is>
      </c>
    </row>
    <row r="4" ht="15" customHeight="1" s="904"/>
    <row r="5" ht="15" customHeight="1" s="904"/>
    <row r="6" ht="15" customHeight="1" s="904">
      <c r="C6" s="222" t="inlineStr">
        <is>
          <t>10. Газпром добыча Ноябрьск</t>
        </is>
      </c>
    </row>
    <row r="7" ht="20.1" customHeight="1" s="904">
      <c r="B7" s="1031" t="n"/>
      <c r="C7" s="1045" t="inlineStr">
        <is>
          <t>№ 
п/п</t>
        </is>
      </c>
      <c r="D7" s="1046" t="inlineStr">
        <is>
          <t>Показатели</t>
        </is>
      </c>
      <c r="E7" s="924" t="inlineStr">
        <is>
          <t>Внутренние настройки листа</t>
        </is>
      </c>
      <c r="F7" s="925" t="n"/>
      <c r="G7" s="925" t="n"/>
      <c r="H7" s="925" t="n"/>
      <c r="I7" s="925" t="n"/>
      <c r="J7" s="926" t="n"/>
      <c r="K7" s="969" t="inlineStr">
        <is>
          <t>Ед. изм.</t>
        </is>
      </c>
    </row>
    <row r="8" ht="39.95" customHeight="1" s="904">
      <c r="C8" s="916" t="n"/>
      <c r="D8" s="916" t="n"/>
      <c r="E8" s="910" t="inlineStr">
        <is>
          <t>Ключ статьи</t>
        </is>
      </c>
      <c r="F8" s="910" t="inlineStr">
        <is>
          <t>Ключ спец</t>
        </is>
      </c>
      <c r="G8" s="910" t="inlineStr">
        <is>
          <t>Ключ ввод данных</t>
        </is>
      </c>
      <c r="H8" s="910" t="inlineStr">
        <is>
          <t>Формулы месяца</t>
        </is>
      </c>
      <c r="I8" s="910" t="inlineStr">
        <is>
          <t>Формулы % выхода</t>
        </is>
      </c>
      <c r="J8" s="910" t="inlineStr">
        <is>
          <t>Строка проверка</t>
        </is>
      </c>
      <c r="K8" s="916" t="n"/>
    </row>
    <row r="9" ht="20.1" customHeight="1" s="904">
      <c r="C9" s="916" t="n"/>
      <c r="D9" s="916" t="n"/>
      <c r="E9" s="911" t="n"/>
      <c r="F9" s="911" t="n"/>
      <c r="G9" s="911" t="n"/>
      <c r="H9" s="911" t="n"/>
      <c r="I9" s="911" t="n"/>
      <c r="J9" s="911" t="n"/>
      <c r="K9" s="911" t="n"/>
    </row>
    <row r="10" hidden="1" ht="20.1" customHeight="1" s="904">
      <c r="B10" s="1031" t="n"/>
      <c r="C10" s="1053" t="n"/>
      <c r="D10" s="136" t="n"/>
      <c r="E10" s="1057" t="n"/>
      <c r="F10" s="1057" t="n"/>
      <c r="G10" s="1057" t="n"/>
      <c r="H10" s="1057" t="n"/>
      <c r="I10" s="1057" t="n"/>
      <c r="J10" s="1057" t="n"/>
      <c r="K10" s="289" t="n"/>
    </row>
    <row r="11" ht="20.1" customHeight="1" s="904">
      <c r="A11" s="624" t="n"/>
      <c r="B11" s="624" t="n"/>
      <c r="C11" s="195" t="inlineStr">
        <is>
          <t>1</t>
        </is>
      </c>
      <c r="D11" s="139" t="inlineStr">
        <is>
          <t>Поставка сырья на переработку, всего:</t>
        </is>
      </c>
      <c r="E11" s="15" t="inlineStr">
        <is>
          <t>100330712</t>
        </is>
      </c>
      <c r="F11" s="15" t="n"/>
      <c r="G11" s="16" t="n"/>
      <c r="H11" s="17" t="inlineStr">
        <is>
          <t>100330713+100330714</t>
        </is>
      </c>
      <c r="I11" s="636" t="n"/>
      <c r="J11" s="17" t="n"/>
      <c r="K11" s="1046" t="inlineStr">
        <is>
          <t>тыс.т.</t>
        </is>
      </c>
    </row>
    <row r="12" ht="20.25" customHeight="1" s="904">
      <c r="A12" s="624" t="n"/>
      <c r="B12" s="624" t="n"/>
      <c r="C12" s="641" t="n"/>
      <c r="D12" s="1025" t="inlineStr">
        <is>
          <t>Сырье, собственность ПАО "Газпром"</t>
        </is>
      </c>
      <c r="E12" s="15" t="inlineStr">
        <is>
          <t>100330713</t>
        </is>
      </c>
      <c r="F12" s="15" t="n"/>
      <c r="G12" s="16" t="n"/>
      <c r="H12" s="17" t="inlineStr">
        <is>
          <t>100330715+100332333+100330858</t>
        </is>
      </c>
      <c r="I12" s="636" t="n"/>
      <c r="J12" s="17" t="n"/>
      <c r="K12" s="136" t="inlineStr">
        <is>
          <t>тыс.т.</t>
        </is>
      </c>
    </row>
    <row r="13" ht="20.25" customHeight="1" s="904">
      <c r="A13" s="624" t="n"/>
      <c r="B13" s="624" t="n"/>
      <c r="C13" s="641" t="n"/>
      <c r="D13" s="1025" t="inlineStr">
        <is>
          <t>Сырье, собственность ООО "Газпром добыча Ноябрьск"</t>
        </is>
      </c>
      <c r="E13" s="15" t="inlineStr">
        <is>
          <t>100330714</t>
        </is>
      </c>
      <c r="F13" s="15" t="n"/>
      <c r="G13" s="16" t="n"/>
      <c r="H13" s="17" t="inlineStr">
        <is>
          <t>100330717+100330721</t>
        </is>
      </c>
      <c r="I13" s="636" t="n"/>
      <c r="J13" s="17" t="n"/>
      <c r="K13" s="136" t="inlineStr">
        <is>
          <t>тыс.т.</t>
        </is>
      </c>
    </row>
    <row r="14" ht="20.25" customHeight="1" s="904">
      <c r="A14" s="624" t="n"/>
      <c r="B14" s="624" t="n"/>
      <c r="C14" s="641" t="inlineStr">
        <is>
          <t>1.1</t>
        </is>
      </c>
      <c r="D14" s="967" t="inlineStr">
        <is>
          <t xml:space="preserve">Нестабильный газовый конденсат, всего </t>
        </is>
      </c>
      <c r="E14" s="15" t="inlineStr">
        <is>
          <t>100330015</t>
        </is>
      </c>
      <c r="F14" s="15" t="n"/>
      <c r="G14" s="16" t="n"/>
      <c r="H14" s="17" t="inlineStr">
        <is>
          <t>100330715+100330717</t>
        </is>
      </c>
      <c r="I14" s="636" t="n"/>
      <c r="J14" s="17" t="n"/>
      <c r="K14" s="136" t="inlineStr">
        <is>
          <t>тыс.т.</t>
        </is>
      </c>
    </row>
    <row r="15" ht="20.25" customHeight="1" s="904">
      <c r="A15" s="624" t="n"/>
      <c r="B15" s="624" t="n"/>
      <c r="C15" s="641" t="n"/>
      <c r="D15" s="1025" t="inlineStr">
        <is>
          <t>НК, собственность ПАО "Газпром"</t>
        </is>
      </c>
      <c r="E15" s="15" t="inlineStr">
        <is>
          <t>100330715</t>
        </is>
      </c>
      <c r="F15" s="15" t="n"/>
      <c r="G15" s="16" t="n"/>
      <c r="H15" s="17" t="inlineStr">
        <is>
          <t>100330716</t>
        </is>
      </c>
      <c r="I15" s="636" t="n"/>
      <c r="J15" s="17" t="n"/>
      <c r="K15" s="136" t="inlineStr">
        <is>
          <t>тыс.т.</t>
        </is>
      </c>
    </row>
    <row r="16" ht="20.25" customHeight="1" s="904">
      <c r="A16" s="624" t="n"/>
      <c r="B16" s="624" t="n"/>
      <c r="C16" s="641" t="n"/>
      <c r="D16" s="966" t="inlineStr">
        <is>
          <t>в т.ч. Чаяндинское НГКМ</t>
        </is>
      </c>
      <c r="E16" s="15" t="n">
        <v>100330716</v>
      </c>
      <c r="F16" s="15" t="n"/>
      <c r="G16" s="16" t="n"/>
      <c r="H16" s="17" t="n"/>
      <c r="I16" s="636" t="n"/>
      <c r="J16" s="17" t="n"/>
      <c r="K16" s="136" t="inlineStr">
        <is>
          <t>тыс.т.</t>
        </is>
      </c>
    </row>
    <row r="17" ht="20.25" customHeight="1" s="904">
      <c r="A17" s="624" t="n"/>
      <c r="B17" s="624" t="n"/>
      <c r="C17" s="641" t="n"/>
      <c r="D17" s="1025" t="inlineStr">
        <is>
          <t>НК, собственность ООО "Газпром добыча Ноябрьск"</t>
        </is>
      </c>
      <c r="E17" s="15" t="inlineStr">
        <is>
          <t>100330717</t>
        </is>
      </c>
      <c r="F17" s="15" t="n"/>
      <c r="G17" s="16" t="n"/>
      <c r="H17" s="17" t="inlineStr">
        <is>
          <t>100330718+100330719+100336327+100337128+100337143</t>
        </is>
      </c>
      <c r="I17" s="636" t="n"/>
      <c r="J17" s="17" t="n"/>
      <c r="K17" s="136" t="inlineStr">
        <is>
          <t>тыс.т.</t>
        </is>
      </c>
    </row>
    <row r="18" ht="20.25" customHeight="1" s="904">
      <c r="A18" s="624" t="n"/>
      <c r="B18" s="624" t="n"/>
      <c r="C18" s="641" t="n"/>
      <c r="D18" s="966" t="inlineStr">
        <is>
          <t>в т.ч. Камчатское ГПУ</t>
        </is>
      </c>
      <c r="E18" s="15" t="n">
        <v>100330718</v>
      </c>
      <c r="F18" s="15" t="n"/>
      <c r="G18" s="16" t="n"/>
      <c r="H18" s="17" t="n"/>
      <c r="I18" s="636" t="n"/>
      <c r="J18" s="17" t="n"/>
      <c r="K18" s="136" t="inlineStr">
        <is>
          <t>тыс.т.</t>
        </is>
      </c>
    </row>
    <row r="19" ht="20.25" customHeight="1" s="904">
      <c r="A19" s="624" t="n"/>
      <c r="B19" s="624" t="n"/>
      <c r="C19" s="641" t="n"/>
      <c r="D19" s="323" t="inlineStr">
        <is>
          <t>Западно-Таркосалинское НГКМ</t>
        </is>
      </c>
      <c r="E19" s="15" t="n">
        <v>100330719</v>
      </c>
      <c r="F19" s="15" t="n"/>
      <c r="G19" s="16" t="n"/>
      <c r="H19" s="17" t="n"/>
      <c r="I19" s="636" t="n"/>
      <c r="J19" s="17" t="n"/>
      <c r="K19" s="136" t="inlineStr">
        <is>
          <t>тыс.т</t>
        </is>
      </c>
    </row>
    <row r="20" ht="20.25" customHeight="1" s="904">
      <c r="A20" s="624" t="n"/>
      <c r="B20" s="624" t="n"/>
      <c r="C20" s="641" t="n"/>
      <c r="D20" s="966" t="inlineStr">
        <is>
          <t xml:space="preserve">         Тас-Юряхское НГКМ (ДРОД)</t>
        </is>
      </c>
      <c r="E20" s="15" t="n">
        <v>100336327</v>
      </c>
      <c r="F20" s="15" t="n"/>
      <c r="G20" s="16" t="n"/>
      <c r="H20" s="17" t="n"/>
      <c r="I20" s="636" t="n"/>
      <c r="J20" s="17" t="n"/>
      <c r="K20" s="136" t="inlineStr">
        <is>
          <t>тыс.т</t>
        </is>
      </c>
    </row>
    <row r="21" ht="20.25" customHeight="1" s="904">
      <c r="A21" s="624" t="n"/>
      <c r="B21" s="624" t="n"/>
      <c r="C21" s="641" t="n"/>
      <c r="D21" s="966" t="inlineStr">
        <is>
          <t xml:space="preserve">         Верхневилючанское НГКМ (ДРОД)</t>
        </is>
      </c>
      <c r="E21" s="15" t="n">
        <v>100337128</v>
      </c>
      <c r="F21" s="15" t="n"/>
      <c r="G21" s="16" t="n"/>
      <c r="H21" s="17" t="n"/>
      <c r="I21" s="636" t="n"/>
      <c r="J21" s="17" t="n"/>
      <c r="K21" s="136" t="inlineStr">
        <is>
          <t>тыс.т</t>
        </is>
      </c>
    </row>
    <row r="22" ht="20.25" customHeight="1" s="904">
      <c r="A22" s="624" t="n"/>
      <c r="B22" s="624" t="n"/>
      <c r="C22" s="641" t="n"/>
      <c r="D22" s="685" t="inlineStr">
        <is>
          <t>Чаяндинское НГКМ</t>
        </is>
      </c>
      <c r="E22" s="634" t="n">
        <v>100337143</v>
      </c>
      <c r="F22" s="634" t="n"/>
      <c r="G22" s="635" t="n"/>
      <c r="H22" s="636" t="n"/>
      <c r="I22" s="636" t="n"/>
      <c r="J22" s="636" t="n"/>
      <c r="K22" s="136" t="inlineStr">
        <is>
          <t>тыс.т</t>
        </is>
      </c>
    </row>
    <row r="23" ht="20.25" customHeight="1" s="904">
      <c r="A23" s="624" t="n"/>
      <c r="B23" s="624" t="n"/>
      <c r="C23" s="696" t="inlineStr">
        <is>
          <t>1.2</t>
        </is>
      </c>
      <c r="D23" s="965" t="inlineStr">
        <is>
          <t>Нефть, всего:</t>
        </is>
      </c>
      <c r="E23" s="15" t="inlineStr">
        <is>
          <t>100332332</t>
        </is>
      </c>
      <c r="F23" s="15" t="n"/>
      <c r="G23" s="16" t="n"/>
      <c r="H23" s="17" t="inlineStr">
        <is>
          <t>100332333+100330721</t>
        </is>
      </c>
      <c r="I23" s="636" t="n"/>
      <c r="J23" s="17" t="n"/>
      <c r="K23" s="136" t="inlineStr">
        <is>
          <t>тыс.т</t>
        </is>
      </c>
    </row>
    <row r="24" ht="20.25" customHeight="1" s="904">
      <c r="A24" s="624" t="n"/>
      <c r="B24" s="624" t="n"/>
      <c r="C24" s="696" t="n"/>
      <c r="D24" s="1025" t="inlineStr">
        <is>
          <t>Нефть, собственность ПАО "Газпром"</t>
        </is>
      </c>
      <c r="E24" s="15" t="inlineStr">
        <is>
          <t>100332333</t>
        </is>
      </c>
      <c r="F24" s="15" t="n"/>
      <c r="G24" s="16" t="n"/>
      <c r="H24" s="17" t="inlineStr">
        <is>
          <t>100330720</t>
        </is>
      </c>
      <c r="I24" s="636" t="n"/>
      <c r="J24" s="17" t="n"/>
      <c r="K24" s="136" t="inlineStr">
        <is>
          <t>тыс.т.</t>
        </is>
      </c>
    </row>
    <row r="25" ht="20.25" customHeight="1" s="904">
      <c r="A25" s="624" t="n"/>
      <c r="B25" s="624" t="n"/>
      <c r="C25" s="641" t="n"/>
      <c r="D25" s="966" t="inlineStr">
        <is>
          <t>в т.ч. Чаяндинское НГКМ (ДРОД)</t>
        </is>
      </c>
      <c r="E25" s="15" t="n">
        <v>100330720</v>
      </c>
      <c r="F25" s="15" t="n"/>
      <c r="G25" s="16" t="n"/>
      <c r="H25" s="17" t="n"/>
      <c r="I25" s="636" t="n"/>
      <c r="J25" s="17" t="n"/>
      <c r="K25" s="136" t="inlineStr">
        <is>
          <t>тыс.т.</t>
        </is>
      </c>
    </row>
    <row r="26" ht="20.25" customHeight="1" s="904">
      <c r="A26" s="624" t="n"/>
      <c r="B26" s="624" t="n"/>
      <c r="C26" s="641" t="n"/>
      <c r="D26" s="323" t="inlineStr">
        <is>
          <t>в т.ч. конденсат по ДРОД</t>
        </is>
      </c>
      <c r="E26" s="15" t="inlineStr">
        <is>
          <t>100335709</t>
        </is>
      </c>
      <c r="F26" s="15" t="n"/>
      <c r="G26" s="16" t="n"/>
      <c r="H26" s="17" t="n"/>
      <c r="I26" s="636" t="n"/>
      <c r="J26" s="17" t="n"/>
      <c r="K26" s="136" t="inlineStr">
        <is>
          <t>тыс.т.</t>
        </is>
      </c>
    </row>
    <row r="27" ht="20.25" customHeight="1" s="904">
      <c r="A27" s="624" t="n"/>
      <c r="B27" s="624" t="n"/>
      <c r="C27" s="641" t="n"/>
      <c r="D27" s="1025" t="inlineStr">
        <is>
          <t>Нефть, собственность ООО "Газпром добыча Ноябрьск"</t>
        </is>
      </c>
      <c r="E27" s="15" t="inlineStr">
        <is>
          <t>100330721</t>
        </is>
      </c>
      <c r="F27" s="15" t="n"/>
      <c r="G27" s="16" t="n"/>
      <c r="H27" s="17" t="inlineStr">
        <is>
          <t>100330722+100336141+100337129+100337144</t>
        </is>
      </c>
      <c r="I27" s="636" t="n"/>
      <c r="J27" s="17" t="n"/>
      <c r="K27" s="136" t="inlineStr">
        <is>
          <t>тыс.т.</t>
        </is>
      </c>
    </row>
    <row r="28" ht="20.25" customHeight="1" s="904">
      <c r="A28" s="624" t="n"/>
      <c r="B28" s="624" t="n"/>
      <c r="C28" s="641" t="n"/>
      <c r="D28" s="966" t="inlineStr">
        <is>
          <t>в т.ч. Западно-Таркосалинское НГКМ (ДРОД)</t>
        </is>
      </c>
      <c r="E28" s="15" t="n">
        <v>100330722</v>
      </c>
      <c r="F28" s="15" t="n"/>
      <c r="G28" s="16" t="n"/>
      <c r="H28" s="17" t="n"/>
      <c r="I28" s="636" t="n"/>
      <c r="J28" s="17" t="n"/>
      <c r="K28" s="136" t="inlineStr">
        <is>
          <t>тыс.т.</t>
        </is>
      </c>
    </row>
    <row r="29" ht="20.25" customHeight="1" s="904">
      <c r="A29" s="624" t="n"/>
      <c r="B29" s="624" t="n"/>
      <c r="C29" s="641" t="n"/>
      <c r="D29" s="685" t="inlineStr">
        <is>
          <t>Тас-Юряхское НГКМ (ДРОД)</t>
        </is>
      </c>
      <c r="E29" s="15" t="n">
        <v>100336141</v>
      </c>
      <c r="F29" s="15" t="n"/>
      <c r="G29" s="16" t="n"/>
      <c r="H29" s="17" t="n"/>
      <c r="I29" s="636" t="n"/>
      <c r="J29" s="17" t="n"/>
      <c r="K29" s="136" t="inlineStr">
        <is>
          <t>тыс.т.</t>
        </is>
      </c>
    </row>
    <row r="30" ht="20.25" customHeight="1" s="904">
      <c r="A30" s="624" t="n"/>
      <c r="B30" s="624" t="n"/>
      <c r="C30" s="641" t="n"/>
      <c r="D30" s="685" t="inlineStr">
        <is>
          <t>Верхневилючанское НГКМ (ДРОД)</t>
        </is>
      </c>
      <c r="E30" s="15" t="n">
        <v>100337129</v>
      </c>
      <c r="F30" s="15" t="n"/>
      <c r="G30" s="16" t="n"/>
      <c r="H30" s="17" t="n"/>
      <c r="I30" s="636" t="n"/>
      <c r="J30" s="17" t="n"/>
      <c r="K30" s="136" t="inlineStr">
        <is>
          <t>тыс.т.</t>
        </is>
      </c>
    </row>
    <row r="31" ht="20.25" customHeight="1" s="904">
      <c r="A31" s="624" t="n"/>
      <c r="B31" s="624" t="n"/>
      <c r="C31" s="641" t="n"/>
      <c r="D31" s="685" t="inlineStr">
        <is>
          <t>Чаяндинское НГКМ (ДРОД)</t>
        </is>
      </c>
      <c r="E31" s="634" t="n">
        <v>100337144</v>
      </c>
      <c r="F31" s="634" t="n"/>
      <c r="G31" s="635" t="n"/>
      <c r="H31" s="636" t="n"/>
      <c r="I31" s="636" t="n"/>
      <c r="J31" s="636" t="n"/>
      <c r="K31" s="136" t="inlineStr">
        <is>
          <t>тыс.т.</t>
        </is>
      </c>
    </row>
    <row r="32" outlineLevel="1" ht="20.25" customHeight="1" s="904">
      <c r="A32" s="624" t="n"/>
      <c r="B32" s="624" t="n"/>
      <c r="C32" s="1053" t="inlineStr">
        <is>
          <t>1.3</t>
        </is>
      </c>
      <c r="D32" s="967" t="inlineStr">
        <is>
          <t>Поставка природного газа на Амурский  ГПЗ, 
собственность ПАО "Газпром"</t>
        </is>
      </c>
      <c r="E32" s="15" t="inlineStr">
        <is>
          <t>100330858</t>
        </is>
      </c>
      <c r="F32" s="15" t="n"/>
      <c r="G32" s="16" t="n"/>
      <c r="H32" s="17" t="n"/>
      <c r="I32" s="636" t="n"/>
      <c r="J32" s="17" t="n"/>
      <c r="K32" s="136" t="inlineStr">
        <is>
          <t>тыс.т.</t>
        </is>
      </c>
    </row>
    <row r="33" outlineLevel="1" ht="20.25" customHeight="1" s="904">
      <c r="A33" s="624" t="n"/>
      <c r="B33" s="624" t="n"/>
      <c r="C33" s="964" t="n"/>
      <c r="D33" s="916" t="n"/>
      <c r="E33" s="15" t="inlineStr">
        <is>
          <t>100330859</t>
        </is>
      </c>
      <c r="F33" s="15" t="n"/>
      <c r="G33" s="16" t="n"/>
      <c r="H33" s="17" t="n"/>
      <c r="I33" s="636" t="n"/>
      <c r="J33" s="17" t="n"/>
      <c r="K33" s="588" t="inlineStr">
        <is>
          <t>млн куб.м</t>
        </is>
      </c>
    </row>
    <row r="34" outlineLevel="1" ht="20.25" customHeight="1" s="904">
      <c r="A34" s="624" t="n"/>
      <c r="B34" s="624" t="n"/>
      <c r="C34" s="697" t="inlineStr">
        <is>
          <t>2</t>
        </is>
      </c>
      <c r="D34" s="145" t="inlineStr">
        <is>
          <t>Потери при переработке, всего:</t>
        </is>
      </c>
      <c r="E34" s="15" t="inlineStr">
        <is>
          <t>100332336</t>
        </is>
      </c>
      <c r="F34" s="15" t="n"/>
      <c r="G34" s="16" t="n"/>
      <c r="H34" s="17" t="inlineStr">
        <is>
          <t>100330730+100330731+100337145</t>
        </is>
      </c>
      <c r="I34" s="636" t="n"/>
      <c r="J34" s="17" t="n"/>
      <c r="K34" s="136" t="inlineStr">
        <is>
          <t>тыс. т</t>
        </is>
      </c>
    </row>
    <row r="35" ht="20.25" customHeight="1" s="904">
      <c r="A35" s="624" t="n"/>
      <c r="B35" s="624" t="n"/>
      <c r="C35" s="1010" t="inlineStr">
        <is>
          <t>2.1</t>
        </is>
      </c>
      <c r="D35" s="1044" t="inlineStr">
        <is>
          <t>НК, собственность ПАО "Газпром" (Чаяндинское НГКМ)</t>
        </is>
      </c>
      <c r="E35" s="15" t="inlineStr">
        <is>
          <t>100330730</t>
        </is>
      </c>
      <c r="F35" s="15" t="n"/>
      <c r="G35" s="16" t="n"/>
      <c r="H35" s="17" t="n"/>
      <c r="I35" s="776">
        <f>ROUND(100-I40-I57,6)</f>
        <v/>
      </c>
      <c r="J35" s="17" t="n"/>
      <c r="K35" s="136" t="inlineStr">
        <is>
          <t>тыс.т.</t>
        </is>
      </c>
    </row>
    <row r="36" ht="42.75" customHeight="1" s="904">
      <c r="A36" s="624" t="n"/>
      <c r="B36" s="624" t="n"/>
      <c r="C36" s="1010" t="inlineStr">
        <is>
          <t>2.2</t>
        </is>
      </c>
      <c r="D36" s="1044" t="inlineStr">
        <is>
          <t>НК, собственность ООО "Газпром добыча Ноябрьск" (Камчатское ГПУ)</t>
        </is>
      </c>
      <c r="E36" s="15" t="inlineStr">
        <is>
          <t>100330731</t>
        </is>
      </c>
      <c r="F36" s="15" t="n"/>
      <c r="G36" s="16" t="n"/>
      <c r="H36" s="17" t="n"/>
      <c r="I36" s="776">
        <f>ROUND(100-I52-I59,6)</f>
        <v/>
      </c>
      <c r="J36" s="17" t="n"/>
      <c r="K36" s="136" t="inlineStr">
        <is>
          <t>тыс.т.</t>
        </is>
      </c>
    </row>
    <row r="37" ht="20.25" customHeight="1" s="904">
      <c r="A37" s="624" t="n"/>
      <c r="B37" s="624" t="n"/>
      <c r="C37" s="1010" t="inlineStr">
        <is>
          <t>2.3</t>
        </is>
      </c>
      <c r="D37" s="686" t="inlineStr">
        <is>
          <t xml:space="preserve">НК, собственность ООО "Газпром добыча Ноябрьск" </t>
        </is>
      </c>
      <c r="E37" s="634" t="n">
        <v>100337145</v>
      </c>
      <c r="F37" s="634" t="n"/>
      <c r="G37" s="635" t="n"/>
      <c r="H37" s="636" t="n"/>
      <c r="I37" s="776">
        <f>ROUND(100-I46-I65,6)</f>
        <v/>
      </c>
      <c r="J37" s="636" t="n"/>
      <c r="K37" s="136" t="inlineStr">
        <is>
          <t>тыс.т.</t>
        </is>
      </c>
    </row>
    <row r="38" ht="20.25" customHeight="1" s="904">
      <c r="A38" s="624" t="n"/>
      <c r="B38" s="624" t="n"/>
      <c r="C38" s="1050" t="inlineStr">
        <is>
          <t>3</t>
        </is>
      </c>
      <c r="D38" s="965" t="inlineStr">
        <is>
          <t>Производство продукции, всего :</t>
        </is>
      </c>
      <c r="E38" s="15" t="inlineStr">
        <is>
          <t>100330049</t>
        </is>
      </c>
      <c r="F38" s="15" t="n"/>
      <c r="G38" s="16" t="n"/>
      <c r="H38" s="17" t="inlineStr">
        <is>
          <t>100335045+100337147+100330723+100332334</t>
        </is>
      </c>
      <c r="I38" s="636" t="n"/>
      <c r="J38" s="17" t="n"/>
      <c r="K38" s="136" t="inlineStr">
        <is>
          <t>тыс.т.</t>
        </is>
      </c>
    </row>
    <row r="39" ht="45" customHeight="1" s="904">
      <c r="A39" s="624" t="n"/>
      <c r="B39" s="624" t="n"/>
      <c r="C39" s="1050" t="inlineStr">
        <is>
          <t>3.1</t>
        </is>
      </c>
      <c r="D39" s="1064" t="inlineStr">
        <is>
          <t>Нефть (НГКС) (Чаяндинское НГКМ), 
собственность ПАО "Газпром"</t>
        </is>
      </c>
      <c r="E39" s="15" t="n">
        <v>100335045</v>
      </c>
      <c r="F39" s="15" t="n"/>
      <c r="G39" s="16" t="n"/>
      <c r="H39" s="17" t="inlineStr">
        <is>
          <t>100335046+100335047</t>
        </is>
      </c>
      <c r="I39" s="776" t="inlineStr">
        <is>
          <t>ОКРУГЛ({100335045:-1}/({100330716:-1}+{100330720:-1})*$100;$6)</t>
        </is>
      </c>
      <c r="J39" s="17" t="n"/>
      <c r="K39" s="136" t="inlineStr">
        <is>
          <t>тыс.т.</t>
        </is>
      </c>
    </row>
    <row r="40" ht="20.25" customHeight="1" s="904">
      <c r="A40" s="624" t="n"/>
      <c r="B40" s="624" t="n"/>
      <c r="C40" s="641" t="inlineStr">
        <is>
          <t>3.1.1</t>
        </is>
      </c>
      <c r="D40" s="325" t="inlineStr">
        <is>
          <t>в т.ч. стабильный конденсат</t>
        </is>
      </c>
      <c r="E40" s="15" t="n">
        <v>100335046</v>
      </c>
      <c r="F40" s="15" t="n"/>
      <c r="G40" s="16" t="n"/>
      <c r="H40" s="17" t="n"/>
      <c r="I40" s="776" t="inlineStr">
        <is>
          <t>ОКРУГЛ({100335046:-1}/{100330716:-1}*$100;$6)</t>
        </is>
      </c>
      <c r="J40" s="17" t="n"/>
      <c r="K40" s="136" t="inlineStr">
        <is>
          <t>тыс.т.</t>
        </is>
      </c>
    </row>
    <row r="41" ht="20.25" customHeight="1" s="904">
      <c r="A41" s="624" t="n"/>
      <c r="B41" s="624" t="n"/>
      <c r="C41" s="641" t="inlineStr">
        <is>
          <t>3.1.2</t>
        </is>
      </c>
      <c r="D41" s="326" t="inlineStr">
        <is>
          <t>нефть</t>
        </is>
      </c>
      <c r="E41" s="15" t="inlineStr">
        <is>
          <t>100335047</t>
        </is>
      </c>
      <c r="F41" s="15" t="n"/>
      <c r="G41" s="16" t="n"/>
      <c r="H41" s="17" t="n"/>
      <c r="I41" s="776" t="inlineStr">
        <is>
          <t>ОКРУГЛ({100335047:-1}/{100330720:-1}*$100;$6)</t>
        </is>
      </c>
      <c r="J41" s="17" t="n"/>
      <c r="K41" s="136" t="inlineStr">
        <is>
          <t>тыс.т.</t>
        </is>
      </c>
    </row>
    <row r="42" ht="20.25" customHeight="1" s="904">
      <c r="A42" s="624" t="n"/>
      <c r="B42" s="624" t="n"/>
      <c r="C42" s="1050" t="n"/>
      <c r="D42" s="1042" t="inlineStr">
        <is>
          <t>Справочно:</t>
        </is>
      </c>
      <c r="E42" s="15" t="n"/>
      <c r="F42" s="15" t="n"/>
      <c r="G42" s="16" t="n"/>
      <c r="H42" s="17" t="n"/>
      <c r="I42" s="636" t="n"/>
      <c r="J42" s="17" t="n"/>
      <c r="K42" s="136" t="n"/>
    </row>
    <row r="43" ht="20.25" customHeight="1" s="904">
      <c r="A43" s="624" t="n"/>
      <c r="B43" s="624" t="n"/>
      <c r="C43" s="1050" t="n"/>
      <c r="D43" s="327" t="inlineStr">
        <is>
          <t>Стабильный конденсат валовый</t>
        </is>
      </c>
      <c r="E43" s="15" t="inlineStr">
        <is>
          <t>100335094</t>
        </is>
      </c>
      <c r="F43" s="15" t="n"/>
      <c r="G43" s="16" t="n"/>
      <c r="H43" s="17" t="n"/>
      <c r="I43" s="636" t="n"/>
      <c r="J43" s="17" t="n"/>
      <c r="K43" s="136" t="inlineStr">
        <is>
          <t>тыс.т.</t>
        </is>
      </c>
    </row>
    <row r="44" ht="20.25" customHeight="1" s="904">
      <c r="A44" s="624" t="n"/>
      <c r="B44" s="624" t="n"/>
      <c r="C44" s="1050" t="n"/>
      <c r="D44" s="1055" t="inlineStr">
        <is>
          <t>НГКС на собственные технологические нужды</t>
        </is>
      </c>
      <c r="E44" s="15" t="inlineStr">
        <is>
          <t>100335048</t>
        </is>
      </c>
      <c r="F44" s="15" t="n"/>
      <c r="G44" s="16" t="n"/>
      <c r="H44" s="17" t="n"/>
      <c r="I44" s="636" t="n"/>
      <c r="J44" s="17" t="n"/>
      <c r="K44" s="136" t="inlineStr">
        <is>
          <t>тыс.т.</t>
        </is>
      </c>
    </row>
    <row r="45" ht="45" customHeight="1" s="904">
      <c r="A45" s="624" t="n"/>
      <c r="B45" s="624" t="n"/>
      <c r="C45" s="1050" t="inlineStr">
        <is>
          <t>3.2</t>
        </is>
      </c>
      <c r="D45" s="1064" t="inlineStr">
        <is>
          <t>Нефть (НГКС) (Чаяндинское НГКМ), 
собственность ООО "Газпром добыча Ноябрьск"</t>
        </is>
      </c>
      <c r="E45" s="634" t="n">
        <v>100337147</v>
      </c>
      <c r="F45" s="634" t="n"/>
      <c r="G45" s="635" t="n"/>
      <c r="H45" s="636" t="inlineStr">
        <is>
          <t>100337148+100337149</t>
        </is>
      </c>
      <c r="I45" s="776" t="inlineStr">
        <is>
          <t>ОКРУГЛ({100337147:-1}/({100337143:-1}+{100337144:-1})*$100;$6)</t>
        </is>
      </c>
      <c r="J45" s="636" t="n"/>
      <c r="K45" s="136" t="inlineStr">
        <is>
          <t>тыс.т.</t>
        </is>
      </c>
    </row>
    <row r="46" ht="20.25" customHeight="1" s="904">
      <c r="A46" s="624" t="n"/>
      <c r="B46" s="624" t="n"/>
      <c r="C46" s="641" t="inlineStr">
        <is>
          <t>3.2.1</t>
        </is>
      </c>
      <c r="D46" s="688" t="inlineStr">
        <is>
          <t>в т.ч. стабильный конденсат</t>
        </is>
      </c>
      <c r="E46" s="634" t="n">
        <v>100337148</v>
      </c>
      <c r="F46" s="634" t="n"/>
      <c r="G46" s="635" t="n"/>
      <c r="H46" s="636" t="n"/>
      <c r="I46" s="776" t="inlineStr">
        <is>
          <t>ОКРУГЛ({100337148:-1}/{100337143:-1}*$100;$6)</t>
        </is>
      </c>
      <c r="J46" s="636" t="n"/>
      <c r="K46" s="136" t="inlineStr">
        <is>
          <t>тыс.т.</t>
        </is>
      </c>
    </row>
    <row r="47" ht="20.25" customHeight="1" s="904">
      <c r="A47" s="624" t="n"/>
      <c r="B47" s="624" t="n"/>
      <c r="C47" s="641" t="inlineStr">
        <is>
          <t>3.2.2</t>
        </is>
      </c>
      <c r="D47" s="689" t="inlineStr">
        <is>
          <t xml:space="preserve">   нефть</t>
        </is>
      </c>
      <c r="E47" s="634" t="n">
        <v>100337149</v>
      </c>
      <c r="F47" s="634" t="n"/>
      <c r="G47" s="635" t="n"/>
      <c r="H47" s="636" t="n"/>
      <c r="I47" s="776" t="inlineStr">
        <is>
          <t>ОКРУГЛ({100337149:-1}/{100337144:-1}*$100;$6)</t>
        </is>
      </c>
      <c r="J47" s="636" t="n"/>
      <c r="K47" s="136" t="inlineStr">
        <is>
          <t>тыс.т.</t>
        </is>
      </c>
    </row>
    <row r="48" ht="20.25" customHeight="1" s="904">
      <c r="A48" s="624" t="n"/>
      <c r="B48" s="624" t="n"/>
      <c r="C48" s="1050" t="n"/>
      <c r="D48" s="690" t="inlineStr">
        <is>
          <t>Справочно</t>
        </is>
      </c>
      <c r="E48" s="634" t="inlineStr">
        <is>
          <t>S5</t>
        </is>
      </c>
      <c r="F48" s="634" t="n"/>
      <c r="G48" s="635" t="n"/>
      <c r="H48" s="636" t="n"/>
      <c r="I48" s="636" t="n"/>
      <c r="J48" s="636" t="n"/>
      <c r="K48" s="136" t="n"/>
    </row>
    <row r="49" ht="20.25" customHeight="1" s="904">
      <c r="A49" s="624" t="n"/>
      <c r="B49" s="624" t="n"/>
      <c r="C49" s="1050" t="n"/>
      <c r="D49" s="691" t="inlineStr">
        <is>
          <t>Стабильный конденсат валовый</t>
        </is>
      </c>
      <c r="E49" s="634" t="inlineStr">
        <is>
          <t>100337150</t>
        </is>
      </c>
      <c r="F49" s="634" t="n"/>
      <c r="G49" s="635" t="n"/>
      <c r="H49" s="636" t="n"/>
      <c r="I49" s="636" t="n"/>
      <c r="J49" s="636" t="n"/>
      <c r="K49" s="136" t="inlineStr">
        <is>
          <t>тыс.т.</t>
        </is>
      </c>
    </row>
    <row r="50" ht="20.25" customHeight="1" s="904">
      <c r="A50" s="624" t="n"/>
      <c r="B50" s="624" t="n"/>
      <c r="C50" s="1050" t="n"/>
      <c r="D50" s="1049" t="inlineStr">
        <is>
          <t>НГКС на собственные технологические нужды</t>
        </is>
      </c>
      <c r="E50" s="634" t="inlineStr">
        <is>
          <t>100337151</t>
        </is>
      </c>
      <c r="F50" s="634" t="n"/>
      <c r="G50" s="635" t="n"/>
      <c r="H50" s="636" t="n"/>
      <c r="I50" s="636" t="n"/>
      <c r="J50" s="636" t="n"/>
      <c r="K50" s="136" t="inlineStr">
        <is>
          <t>тыс.т.</t>
        </is>
      </c>
    </row>
    <row r="51" ht="20.25" customHeight="1" s="904">
      <c r="A51" s="624" t="n"/>
      <c r="B51" s="624" t="n"/>
      <c r="C51" s="697" t="inlineStr">
        <is>
          <t>3.3</t>
        </is>
      </c>
      <c r="D51" s="967" t="inlineStr">
        <is>
          <t>Стабильный конденсат, всего:</t>
        </is>
      </c>
      <c r="E51" s="15" t="inlineStr">
        <is>
          <t>100330723</t>
        </is>
      </c>
      <c r="F51" s="15" t="n"/>
      <c r="G51" s="16" t="n"/>
      <c r="H51" s="17" t="inlineStr">
        <is>
          <t>100330725+100337130+100337131</t>
        </is>
      </c>
      <c r="I51" s="636" t="n"/>
      <c r="J51" s="17" t="n"/>
      <c r="K51" s="136" t="inlineStr">
        <is>
          <t>тыс.т.</t>
        </is>
      </c>
    </row>
    <row r="52" ht="39.75" customHeight="1" s="904">
      <c r="A52" s="624" t="n"/>
      <c r="B52" s="624" t="n"/>
      <c r="C52" s="1010" t="inlineStr">
        <is>
          <t>3.3.1</t>
        </is>
      </c>
      <c r="D52" s="692" t="inlineStr">
        <is>
          <t xml:space="preserve">СК, собственность ООО "Газпром добыча Ноябрьск" 
(Камчатское ГПУ) </t>
        </is>
      </c>
      <c r="E52" s="15" t="n">
        <v>100330725</v>
      </c>
      <c r="F52" s="15" t="n"/>
      <c r="G52" s="16" t="n"/>
      <c r="H52" s="17" t="n"/>
      <c r="I52" s="776" t="inlineStr">
        <is>
          <t>ОКРУГЛ({100330725:-1}/{100337128:-1}*$100;$6)</t>
        </is>
      </c>
      <c r="J52" s="17" t="n"/>
      <c r="K52" s="136" t="inlineStr">
        <is>
          <t>тыс.т.</t>
        </is>
      </c>
    </row>
    <row r="53" ht="39.75" customHeight="1" s="904">
      <c r="A53" s="624" t="n"/>
      <c r="B53" s="624" t="n"/>
      <c r="C53" s="1010" t="inlineStr">
        <is>
          <t>3.3.2</t>
        </is>
      </c>
      <c r="D53" s="692" t="inlineStr">
        <is>
          <t>СК, собственность ООО "Газпром добыча Ноябрьск" 
(Тас-Юряхское НГКМ ДРОД)</t>
        </is>
      </c>
      <c r="E53" s="15" t="n">
        <v>100337130</v>
      </c>
      <c r="F53" s="15" t="n"/>
      <c r="G53" s="16" t="n"/>
      <c r="H53" s="17" t="n"/>
      <c r="I53" s="776" t="inlineStr">
        <is>
          <t>ОКРУГЛ({100337130:-1}/{100336327:-1}*$100;$6)</t>
        </is>
      </c>
      <c r="J53" s="17" t="n"/>
      <c r="K53" s="136" t="inlineStr">
        <is>
          <t>тыс.т.</t>
        </is>
      </c>
    </row>
    <row r="54" ht="39.75" customHeight="1" s="904">
      <c r="A54" s="624" t="n"/>
      <c r="B54" s="624" t="n"/>
      <c r="C54" s="1010" t="inlineStr">
        <is>
          <t>3.3.3</t>
        </is>
      </c>
      <c r="D54" s="692" t="inlineStr">
        <is>
          <t>СК, собственность ООО "Газпром добыча Ноябрьск" 
(Верхневилючанское НГКМ ДРОД)</t>
        </is>
      </c>
      <c r="E54" s="15" t="n">
        <v>100337131</v>
      </c>
      <c r="F54" s="15" t="n"/>
      <c r="G54" s="16" t="n"/>
      <c r="H54" s="17" t="n"/>
      <c r="I54" s="776" t="inlineStr">
        <is>
          <t>ОКРУГЛ({100337131:-1}/{100336327:-1}*$100;$6)</t>
        </is>
      </c>
      <c r="J54" s="17" t="n"/>
      <c r="K54" s="136" t="inlineStr">
        <is>
          <t>тыс.т.</t>
        </is>
      </c>
    </row>
    <row r="55" ht="20.25" customHeight="1" s="904">
      <c r="A55" s="624" t="n"/>
      <c r="B55" s="624" t="n"/>
      <c r="C55" s="1050" t="inlineStr">
        <is>
          <t>3.4</t>
        </is>
      </c>
      <c r="D55" s="1052" t="inlineStr">
        <is>
          <t>Газ стабилизации, всего:</t>
        </is>
      </c>
      <c r="E55" s="15" t="inlineStr">
        <is>
          <t>100332334</t>
        </is>
      </c>
      <c r="F55" s="15" t="n"/>
      <c r="G55" s="16" t="n"/>
      <c r="H55" s="17" t="inlineStr">
        <is>
          <t>100330727+100330729+100336328+100337132+100337152</t>
        </is>
      </c>
      <c r="I55" s="636" t="n"/>
      <c r="J55" s="17" t="n"/>
      <c r="K55" s="136" t="inlineStr">
        <is>
          <t>тыс. т</t>
        </is>
      </c>
    </row>
    <row r="56" ht="20.25" customHeight="1" s="904">
      <c r="A56" s="624" t="n"/>
      <c r="B56" s="624" t="n"/>
      <c r="C56" s="964" t="n"/>
      <c r="D56" s="916" t="n"/>
      <c r="E56" s="15" t="inlineStr">
        <is>
          <t>100332335</t>
        </is>
      </c>
      <c r="F56" s="15" t="n"/>
      <c r="G56" s="16" t="n"/>
      <c r="H56" s="17" t="inlineStr">
        <is>
          <t>100330726+100330728+100336329+100337133+100337153</t>
        </is>
      </c>
      <c r="I56" s="636" t="n"/>
      <c r="J56" s="17" t="n"/>
      <c r="K56" s="588" t="inlineStr">
        <is>
          <t>млн куб.м</t>
        </is>
      </c>
    </row>
    <row r="57" ht="20.25" customHeight="1" s="904">
      <c r="A57" s="624" t="n"/>
      <c r="B57" s="624" t="n"/>
      <c r="C57" s="1010" t="inlineStr">
        <is>
          <t>3.4.1</t>
        </is>
      </c>
      <c r="D57" s="1049" t="inlineStr">
        <is>
          <t>ГС, собственность ПАО "Газпром" (Чаяндинское НГКМ)</t>
        </is>
      </c>
      <c r="E57" s="15" t="n">
        <v>100330727</v>
      </c>
      <c r="F57" s="15" t="n"/>
      <c r="G57" s="16" t="n"/>
      <c r="H57" s="17" t="n"/>
      <c r="I57" s="776" t="inlineStr">
        <is>
          <t>ОКРУГЛ({100330727:-1}/{100330718:-1}*$100;$6)</t>
        </is>
      </c>
      <c r="J57" s="17" t="n"/>
      <c r="K57" s="136" t="inlineStr">
        <is>
          <t>тыс. т</t>
        </is>
      </c>
    </row>
    <row r="58" ht="20.25" customHeight="1" s="904">
      <c r="A58" s="624" t="n"/>
      <c r="B58" s="624" t="n"/>
      <c r="C58" s="964" t="n"/>
      <c r="D58" s="964" t="n"/>
      <c r="E58" s="15" t="inlineStr">
        <is>
          <t>100330726</t>
        </is>
      </c>
      <c r="F58" s="15" t="n"/>
      <c r="G58" s="16" t="n"/>
      <c r="H58" s="17" t="n"/>
      <c r="I58" s="776" t="n"/>
      <c r="J58" s="17" t="n"/>
      <c r="K58" s="588" t="inlineStr">
        <is>
          <t>млн куб.м</t>
        </is>
      </c>
    </row>
    <row r="59" ht="20.25" customHeight="1" s="904">
      <c r="A59" s="624" t="n"/>
      <c r="B59" s="624" t="n"/>
      <c r="C59" s="1010" t="inlineStr">
        <is>
          <t>3.4.2</t>
        </is>
      </c>
      <c r="D59" s="1049" t="inlineStr">
        <is>
          <t>ГС, собственность ООО "Газпром добыча Ноябрьск" (Камчатское ГПУ)</t>
        </is>
      </c>
      <c r="E59" s="15" t="n">
        <v>100330729</v>
      </c>
      <c r="F59" s="15" t="n"/>
      <c r="G59" s="16" t="n"/>
      <c r="H59" s="17" t="n"/>
      <c r="I59" s="776" t="inlineStr">
        <is>
          <t>ОКРУГЛ({100330729:-1}/{100330718:-1}*$100;$6)</t>
        </is>
      </c>
      <c r="J59" s="17" t="n"/>
      <c r="K59" s="136" t="inlineStr">
        <is>
          <t>тыс. т</t>
        </is>
      </c>
    </row>
    <row r="60" ht="20.25" customHeight="1" s="904">
      <c r="A60" s="624" t="n"/>
      <c r="B60" s="624" t="n"/>
      <c r="C60" s="964" t="n"/>
      <c r="D60" s="964" t="n"/>
      <c r="E60" s="15" t="inlineStr">
        <is>
          <t>100330728</t>
        </is>
      </c>
      <c r="F60" s="15" t="n"/>
      <c r="G60" s="16" t="n"/>
      <c r="H60" s="17" t="n"/>
      <c r="I60" s="636" t="n"/>
      <c r="J60" s="17" t="n"/>
      <c r="K60" s="588" t="inlineStr">
        <is>
          <t>млн куб.м</t>
        </is>
      </c>
    </row>
    <row r="61" ht="20.25" customHeight="1" s="904">
      <c r="A61" s="624" t="n"/>
      <c r="B61" s="624" t="n"/>
      <c r="C61" s="1010" t="inlineStr">
        <is>
          <t>3.4.3</t>
        </is>
      </c>
      <c r="D61" s="1049" t="inlineStr">
        <is>
          <t>ГВ , собственность ООО "Газпром добыча Ноябрьск" 
(Тас- Юряхское НГКМ ДРОД)</t>
        </is>
      </c>
      <c r="E61" s="15" t="n">
        <v>100336328</v>
      </c>
      <c r="F61" s="15" t="n"/>
      <c r="G61" s="16" t="n"/>
      <c r="H61" s="17" t="n"/>
      <c r="I61" s="776" t="inlineStr">
        <is>
          <t>ОКРУГЛ({100336328:-1}/{100336327:-1}*$100;$6)</t>
        </is>
      </c>
      <c r="J61" s="17" t="n"/>
      <c r="K61" s="136" t="inlineStr">
        <is>
          <t>тыс. т</t>
        </is>
      </c>
    </row>
    <row r="62" ht="20.25" customHeight="1" s="904">
      <c r="A62" s="624" t="n"/>
      <c r="B62" s="624" t="n"/>
      <c r="C62" s="964" t="n"/>
      <c r="D62" s="964" t="n"/>
      <c r="E62" s="15" t="inlineStr">
        <is>
          <t>100336329</t>
        </is>
      </c>
      <c r="F62" s="15" t="n"/>
      <c r="G62" s="16" t="n"/>
      <c r="H62" s="17" t="n"/>
      <c r="I62" s="636" t="n"/>
      <c r="J62" s="17" t="n"/>
      <c r="K62" s="588" t="inlineStr">
        <is>
          <t>млн куб.м</t>
        </is>
      </c>
    </row>
    <row r="63" ht="20.25" customHeight="1" s="904">
      <c r="A63" s="624" t="n"/>
      <c r="B63" s="624" t="n"/>
      <c r="C63" s="1010" t="inlineStr">
        <is>
          <t>3.4.4</t>
        </is>
      </c>
      <c r="D63" s="1049" t="inlineStr">
        <is>
          <t>ГВ, собственность ООО "Газпром добыча Ноябрьск" (Верхневилючанское НГКМ ДРОД)</t>
        </is>
      </c>
      <c r="E63" s="15" t="n">
        <v>100337132</v>
      </c>
      <c r="F63" s="15" t="n"/>
      <c r="G63" s="16" t="n"/>
      <c r="H63" s="17" t="n"/>
      <c r="I63" s="776" t="inlineStr">
        <is>
          <t>ОКРУГЛ({100337132:-1}/{100336327:-1}*$100;$6)</t>
        </is>
      </c>
      <c r="J63" s="17" t="n"/>
      <c r="K63" s="136" t="inlineStr">
        <is>
          <t>тыс. т</t>
        </is>
      </c>
    </row>
    <row r="64" ht="20.25" customHeight="1" s="904">
      <c r="A64" s="624" t="n"/>
      <c r="B64" s="624" t="n"/>
      <c r="C64" s="964" t="n"/>
      <c r="D64" s="964" t="n"/>
      <c r="E64" s="15" t="n">
        <v>100337133</v>
      </c>
      <c r="F64" s="15" t="n"/>
      <c r="G64" s="16" t="n"/>
      <c r="H64" s="17" t="n"/>
      <c r="I64" s="636" t="n"/>
      <c r="J64" s="17" t="n"/>
      <c r="K64" s="588" t="inlineStr">
        <is>
          <t>млн куб.м</t>
        </is>
      </c>
    </row>
    <row r="65" ht="20.25" customHeight="1" s="904">
      <c r="A65" s="624" t="n"/>
      <c r="B65" s="624" t="n"/>
      <c r="C65" s="1010" t="inlineStr">
        <is>
          <t>3.4.5</t>
        </is>
      </c>
      <c r="D65" s="1049" t="inlineStr">
        <is>
          <t>ГС, собственность ООО "Газпром добыча Ноябрьск" (Чаяндинское НГКМ)</t>
        </is>
      </c>
      <c r="E65" s="634" t="n">
        <v>100337152</v>
      </c>
      <c r="F65" s="634" t="n"/>
      <c r="G65" s="635" t="n"/>
      <c r="H65" s="636" t="n"/>
      <c r="I65" s="776" t="inlineStr">
        <is>
          <t>ОКРУГЛ({100337132:-1}/{100337143:-1}*$100;$6)</t>
        </is>
      </c>
      <c r="J65" s="636" t="n"/>
      <c r="K65" s="136" t="inlineStr">
        <is>
          <t>тыс. т</t>
        </is>
      </c>
    </row>
    <row r="66" ht="20.25" customHeight="1" s="904">
      <c r="A66" s="624" t="n"/>
      <c r="B66" s="624" t="n"/>
      <c r="C66" s="964" t="n"/>
      <c r="D66" s="964" t="n"/>
      <c r="E66" s="634" t="n">
        <v>100337153</v>
      </c>
      <c r="F66" s="634" t="n"/>
      <c r="G66" s="635" t="n"/>
      <c r="H66" s="636" t="n"/>
      <c r="I66" s="636" t="n"/>
      <c r="J66" s="636" t="n"/>
      <c r="K66" s="588" t="inlineStr">
        <is>
          <t>млн куб.м</t>
        </is>
      </c>
    </row>
    <row r="67" ht="20.25" customHeight="1" s="904">
      <c r="A67" s="624" t="n"/>
      <c r="B67" s="624" t="n"/>
      <c r="C67" s="697" t="inlineStr">
        <is>
          <t>4</t>
        </is>
      </c>
      <c r="D67" s="967" t="inlineStr">
        <is>
          <t>Нестабильный конденсат поставка, всего:</t>
        </is>
      </c>
      <c r="E67" s="15" t="inlineStr">
        <is>
          <t>100330732</t>
        </is>
      </c>
      <c r="F67" s="15" t="n"/>
      <c r="G67" s="16" t="n"/>
      <c r="H67" s="17" t="inlineStr">
        <is>
          <t>100330861</t>
        </is>
      </c>
      <c r="I67" s="636" t="n"/>
      <c r="J67" s="17" t="n"/>
      <c r="K67" s="136" t="inlineStr">
        <is>
          <t>тыс.т.</t>
        </is>
      </c>
    </row>
    <row r="68" ht="39.75" customHeight="1" s="904">
      <c r="A68" s="624" t="n"/>
      <c r="B68" s="624" t="n"/>
      <c r="C68" s="641" t="n"/>
      <c r="D68" s="328" t="inlineStr">
        <is>
          <t>Западно-Таркосалинское НГКМ на Сургутский ЗСК, собственность ПАО "Газпром"</t>
        </is>
      </c>
      <c r="E68" s="15" t="n">
        <v>100330861</v>
      </c>
      <c r="F68" s="15" t="n"/>
      <c r="G68" s="16" t="n"/>
      <c r="H68" s="17" t="n"/>
      <c r="I68" s="776" t="inlineStr">
        <is>
          <t>ОКРУГЛ({100330861:-1}/{100330719:-1}*$100;$6)</t>
        </is>
      </c>
      <c r="J68" s="17" t="n"/>
      <c r="K68" s="136" t="inlineStr">
        <is>
          <t>тыс.т.</t>
        </is>
      </c>
    </row>
    <row r="69" ht="20.25" customHeight="1" s="904">
      <c r="A69" s="624" t="n"/>
      <c r="B69" s="624" t="n"/>
      <c r="C69" s="697" t="inlineStr">
        <is>
          <t>5</t>
        </is>
      </c>
      <c r="D69" s="965" t="inlineStr">
        <is>
          <t>Нефть и НГКС поставка, всего:</t>
        </is>
      </c>
      <c r="E69" s="15" t="inlineStr">
        <is>
          <t>100330860</t>
        </is>
      </c>
      <c r="F69" s="15" t="n"/>
      <c r="G69" s="16" t="n"/>
      <c r="H69" s="17" t="inlineStr">
        <is>
          <t>100330862+100336142+100337134</t>
        </is>
      </c>
      <c r="I69" s="636" t="n"/>
      <c r="J69" s="17" t="n"/>
      <c r="K69" s="136" t="inlineStr">
        <is>
          <t>тыс.т.</t>
        </is>
      </c>
    </row>
    <row r="70" ht="39.75" customHeight="1" s="904">
      <c r="A70" s="624" t="n"/>
      <c r="B70" s="624" t="n"/>
      <c r="C70" s="697" t="n"/>
      <c r="D70" s="328" t="inlineStr">
        <is>
          <t>Нефть Западно-Таркосалинское НГКМ ДРОД, 
собственность ООО "Газпром добыча Ноябрьск"</t>
        </is>
      </c>
      <c r="E70" s="15" t="n">
        <v>100330862</v>
      </c>
      <c r="F70" s="15" t="n"/>
      <c r="G70" s="16" t="n"/>
      <c r="H70" s="17" t="n"/>
      <c r="I70" s="776" t="inlineStr">
        <is>
          <t>ОКРУГЛ({100330862:-1}/{100330722:-1}*$100;$6)</t>
        </is>
      </c>
      <c r="J70" s="17" t="n"/>
      <c r="K70" s="136" t="inlineStr">
        <is>
          <t>тыс. т</t>
        </is>
      </c>
    </row>
    <row r="71" ht="39.75" customHeight="1" s="904">
      <c r="A71" s="624" t="n"/>
      <c r="B71" s="624" t="n"/>
      <c r="C71" s="698" t="n"/>
      <c r="D71" s="325" t="inlineStr">
        <is>
          <t>НГКС Тас-Юряхское НГКМ ДРОД, 
собственность ООО "Газпром добыча Ноябрьск"</t>
        </is>
      </c>
      <c r="E71" s="15" t="n">
        <v>100336142</v>
      </c>
      <c r="F71" s="15" t="n"/>
      <c r="G71" s="16" t="n"/>
      <c r="H71" s="17" t="inlineStr">
        <is>
          <t>100336141+100336327-100336328</t>
        </is>
      </c>
      <c r="I71" s="776" t="inlineStr">
        <is>
          <t>ОКРУГЛ({100336142:-1}/({100337130:-1}+{100336141:-1})*$100;$6)</t>
        </is>
      </c>
      <c r="J71" s="17" t="n"/>
      <c r="K71" s="136" t="inlineStr">
        <is>
          <t>тыс. т</t>
        </is>
      </c>
    </row>
    <row r="72" ht="39.75" customHeight="1" s="904">
      <c r="A72" s="624" t="n"/>
      <c r="B72" s="624" t="n"/>
      <c r="C72" s="699" t="n"/>
      <c r="D72" s="694" t="inlineStr">
        <is>
          <t>НГКС Верхевелючанское НГКМ ДРОД, 
собственность ООО "Газпром добыча Ноябрьск"</t>
        </is>
      </c>
      <c r="E72" s="15" t="n">
        <v>100337134</v>
      </c>
      <c r="F72" s="15" t="n"/>
      <c r="G72" s="16" t="n"/>
      <c r="H72" s="17" t="n"/>
      <c r="I72" s="776" t="inlineStr">
        <is>
          <t>ОКРУГЛ({100337131:-1}/({100337143:-1}+{100337144:-1})*$100;$6)</t>
        </is>
      </c>
      <c r="J72" s="17" t="n"/>
      <c r="K72" s="329" t="inlineStr">
        <is>
          <t>тыс. т</t>
        </is>
      </c>
    </row>
    <row r="73" outlineLevel="1" ht="39.75" customHeight="1" s="904">
      <c r="B73" s="624" t="n"/>
      <c r="C73" s="687" t="inlineStr">
        <is>
          <t>6</t>
        </is>
      </c>
      <c r="D73" s="967" t="inlineStr">
        <is>
          <t>Оказание  услуг ГПНЗ по транспортировке нефти
 (Чонская гр. МС)</t>
        </is>
      </c>
      <c r="E73" s="15" t="inlineStr">
        <is>
          <t>100335836</t>
        </is>
      </c>
      <c r="F73" s="15" t="n"/>
      <c r="G73" s="16" t="n"/>
      <c r="H73" s="17" t="n"/>
      <c r="I73" s="636" t="n"/>
      <c r="J73" s="17" t="n"/>
      <c r="K73" s="136" t="inlineStr">
        <is>
          <t>тыс. т</t>
        </is>
      </c>
    </row>
    <row r="74" outlineLevel="1" ht="20.25" customHeight="1" s="904">
      <c r="B74" s="624" t="n"/>
      <c r="C74" s="687" t="inlineStr">
        <is>
          <t>7</t>
        </is>
      </c>
      <c r="D74" s="145" t="inlineStr">
        <is>
          <t>Материальный баланс переработки
 ("П.1"-"П.2"-"П.3" = 0,000)</t>
        </is>
      </c>
      <c r="E74" s="15" t="n"/>
      <c r="F74" s="15" t="n"/>
      <c r="G74" s="16" t="n"/>
      <c r="H74" s="17" t="n"/>
      <c r="I74" s="636" t="n"/>
      <c r="J74" s="17" t="n"/>
      <c r="K74" s="136" t="inlineStr">
        <is>
          <t>тыс.т.</t>
        </is>
      </c>
    </row>
    <row r="75" outlineLevel="1" ht="20.25" customHeight="1" s="904">
      <c r="B75" s="624" t="n"/>
      <c r="C75" s="678" t="n"/>
      <c r="D75" s="686" t="inlineStr">
        <is>
          <t>МБП НК (Чаяндинское НГКМ собственность ПАО "Газпром")</t>
        </is>
      </c>
      <c r="E75" s="15" t="inlineStr">
        <is>
          <t>100330733</t>
        </is>
      </c>
      <c r="F75" s="15" t="n"/>
      <c r="G75" s="16" t="n"/>
      <c r="H75" s="17" t="inlineStr">
        <is>
          <t>100330716-100335094-100330727-100330730</t>
        </is>
      </c>
      <c r="I75" s="636" t="n"/>
      <c r="J75" s="17" t="n"/>
      <c r="K75" s="136" t="inlineStr">
        <is>
          <t>тыс.т.</t>
        </is>
      </c>
    </row>
    <row r="76" outlineLevel="1" ht="20.25" customHeight="1" s="904">
      <c r="B76" s="624" t="n"/>
      <c r="C76" s="678" t="n"/>
      <c r="D76" s="686" t="inlineStr">
        <is>
          <t>МБП НК (Камчатское ГПУ)</t>
        </is>
      </c>
      <c r="E76" s="15" t="inlineStr">
        <is>
          <t>100330734</t>
        </is>
      </c>
      <c r="F76" s="15" t="n"/>
      <c r="G76" s="16" t="n"/>
      <c r="H76" s="17" t="inlineStr">
        <is>
          <t>100330718-100330725-100330729-100330731</t>
        </is>
      </c>
      <c r="I76" s="636" t="n"/>
      <c r="J76" s="17" t="n"/>
      <c r="K76" s="136" t="inlineStr">
        <is>
          <t>тыс.т.</t>
        </is>
      </c>
    </row>
    <row r="77" outlineLevel="1" ht="20.25" customHeight="1" s="904">
      <c r="B77" s="624" t="n"/>
      <c r="C77" s="678" t="n"/>
      <c r="D77" s="686" t="inlineStr">
        <is>
          <t>МБП НК и нефть (Тас- Юряхское НГКМ)</t>
        </is>
      </c>
      <c r="E77" s="15" t="inlineStr">
        <is>
          <t>100337135</t>
        </is>
      </c>
      <c r="F77" s="15" t="n"/>
      <c r="G77" s="16" t="n"/>
      <c r="H77" s="17" t="inlineStr">
        <is>
          <t>100336327+100336141-100336328-100336142</t>
        </is>
      </c>
      <c r="I77" s="636" t="n"/>
      <c r="J77" s="17" t="n"/>
      <c r="K77" s="136" t="inlineStr">
        <is>
          <t>тыс.т.</t>
        </is>
      </c>
    </row>
    <row r="78" outlineLevel="1" ht="20.25" customHeight="1" s="904">
      <c r="C78" s="678" t="n"/>
      <c r="D78" s="686" t="inlineStr">
        <is>
          <t>МБП НК и нефть, (Верхневилючанское НГКМ)</t>
        </is>
      </c>
      <c r="E78" s="15" t="inlineStr">
        <is>
          <t>100337136</t>
        </is>
      </c>
      <c r="F78" s="15" t="n"/>
      <c r="G78" s="16" t="n"/>
      <c r="H78" s="17" t="inlineStr">
        <is>
          <t>100337128+100337129-100337132-100337134</t>
        </is>
      </c>
      <c r="I78" s="636" t="n"/>
      <c r="J78" s="17" t="n"/>
      <c r="K78" s="136" t="inlineStr">
        <is>
          <t>тыс.т.</t>
        </is>
      </c>
    </row>
    <row r="79" outlineLevel="1" ht="39.75" customHeight="1" s="904">
      <c r="C79" s="695" t="n"/>
      <c r="D79" s="693" t="inlineStr">
        <is>
          <t>МБП НК (Чаяндинское НГКМ 
собственность ООО "Газпром добыча Ноябрьск")</t>
        </is>
      </c>
      <c r="E79" s="634" t="inlineStr">
        <is>
          <t>100337146</t>
        </is>
      </c>
      <c r="F79" s="634" t="n"/>
      <c r="G79" s="635" t="n"/>
      <c r="H79" s="636" t="inlineStr">
        <is>
          <t>100337143-100337145-100337152-100337148</t>
        </is>
      </c>
      <c r="I79" s="636" t="n"/>
      <c r="J79" s="636" t="n"/>
      <c r="K79" s="136" t="inlineStr">
        <is>
          <t>тыс.т.</t>
        </is>
      </c>
    </row>
    <row r="80" outlineLevel="1" ht="20.25" customHeight="1" s="904">
      <c r="C80" s="141" t="n">
        <v>8</v>
      </c>
      <c r="D80" s="161" t="inlineStr">
        <is>
          <t>Производство для реализации ПАО "Газпром"</t>
        </is>
      </c>
      <c r="E80" s="15" t="n"/>
      <c r="F80" s="15" t="inlineStr">
        <is>
          <t>V</t>
        </is>
      </c>
      <c r="G80" s="16" t="n"/>
      <c r="H80" s="17" t="inlineStr">
        <is>
          <t>100335045+100330725</t>
        </is>
      </c>
      <c r="I80" s="636" t="n"/>
      <c r="J80" s="17" t="n"/>
      <c r="K80" s="1077" t="inlineStr">
        <is>
          <t>тыс.т.</t>
        </is>
      </c>
    </row>
    <row r="81" outlineLevel="1" ht="20.25" customHeight="1" s="904">
      <c r="C81" s="1026" t="n">
        <v>9</v>
      </c>
      <c r="D81" s="330" t="inlineStr">
        <is>
          <t>Проверка с разделом "Добыча"</t>
        </is>
      </c>
      <c r="E81" s="15" t="n"/>
      <c r="F81" s="15" t="n"/>
      <c r="G81" s="16" t="n"/>
      <c r="H81" s="17" t="n"/>
      <c r="I81" s="636" t="n"/>
      <c r="J81" s="17" t="n"/>
      <c r="K81" s="188" t="inlineStr">
        <is>
          <t>тыс.т.</t>
        </is>
      </c>
    </row>
    <row r="82" outlineLevel="1" ht="20.25" customHeight="1" s="904">
      <c r="C82" s="304" t="n"/>
      <c r="D82" s="186" t="inlineStr">
        <is>
          <t>Нестабильный конденсат без ДРОД</t>
        </is>
      </c>
      <c r="E82" s="15" t="n"/>
      <c r="F82" s="15" t="n"/>
      <c r="G82" s="16" t="n"/>
      <c r="H82" s="17" t="n"/>
      <c r="I82" s="636" t="n"/>
      <c r="J82" s="17" t="n"/>
      <c r="K82" s="188" t="inlineStr">
        <is>
          <t>тыс.т.</t>
        </is>
      </c>
    </row>
    <row r="83" outlineLevel="1" ht="20.25" customHeight="1" s="904">
      <c r="C83" s="305" t="n"/>
      <c r="D83" s="187" t="inlineStr">
        <is>
          <t>Чаяндинское НГКМ</t>
        </is>
      </c>
      <c r="E83" s="15" t="n"/>
      <c r="F83" s="15" t="n"/>
      <c r="G83" s="16" t="n"/>
      <c r="H83" s="17" t="n"/>
      <c r="I83" s="636" t="n"/>
      <c r="J83" s="17" t="n"/>
      <c r="K83" s="188" t="inlineStr">
        <is>
          <t>тыс.т.</t>
        </is>
      </c>
    </row>
    <row r="84" outlineLevel="1" ht="20.25" customHeight="1" s="904">
      <c r="C84" s="305" t="n"/>
      <c r="D84" s="187" t="inlineStr">
        <is>
          <t>Камчатское ГПУ</t>
        </is>
      </c>
      <c r="E84" s="15" t="n"/>
      <c r="F84" s="15" t="n"/>
      <c r="G84" s="16" t="n"/>
      <c r="H84" s="17" t="n"/>
      <c r="I84" s="636" t="n"/>
      <c r="J84" s="17" t="n"/>
      <c r="K84" s="188" t="inlineStr">
        <is>
          <t>тыс.т.</t>
        </is>
      </c>
    </row>
    <row r="85" outlineLevel="1" ht="20.25" customHeight="1" s="904">
      <c r="C85" s="305" t="n"/>
      <c r="D85" s="187" t="inlineStr">
        <is>
          <t>Западно-Таркосалинское НГКМ</t>
        </is>
      </c>
      <c r="E85" s="15" t="n"/>
      <c r="F85" s="15" t="n"/>
      <c r="G85" s="16" t="n"/>
      <c r="H85" s="17" t="n"/>
      <c r="I85" s="636" t="n"/>
      <c r="J85" s="17" t="n"/>
      <c r="K85" s="188" t="inlineStr">
        <is>
          <t>тыс.т.</t>
        </is>
      </c>
    </row>
    <row r="86" outlineLevel="1" ht="20.25" customHeight="1" s="904">
      <c r="C86" s="304" t="n"/>
      <c r="D86" s="186" t="inlineStr">
        <is>
          <t>Нестабильный конденсат (ДРОД)</t>
        </is>
      </c>
      <c r="E86" s="15" t="n"/>
      <c r="F86" s="15" t="n"/>
      <c r="G86" s="16" t="n"/>
      <c r="H86" s="17" t="n"/>
      <c r="I86" s="636" t="n"/>
      <c r="J86" s="17" t="n"/>
      <c r="K86" s="188" t="inlineStr">
        <is>
          <t>тыс.т.</t>
        </is>
      </c>
    </row>
    <row r="87" outlineLevel="1" ht="20.25" customHeight="1" s="904">
      <c r="C87" s="305" t="n"/>
      <c r="D87" s="187" t="inlineStr">
        <is>
          <t>Чаяндинское НГКМ</t>
        </is>
      </c>
      <c r="E87" s="15" t="n"/>
      <c r="F87" s="15" t="n"/>
      <c r="G87" s="16" t="n"/>
      <c r="H87" s="17" t="n"/>
      <c r="I87" s="636" t="n"/>
      <c r="J87" s="17" t="n"/>
      <c r="K87" s="188" t="inlineStr">
        <is>
          <t>тыс.т.</t>
        </is>
      </c>
    </row>
    <row r="88" outlineLevel="1" ht="20.25" customHeight="1" s="904">
      <c r="C88" s="305" t="n"/>
      <c r="D88" s="187" t="inlineStr">
        <is>
          <t>Западно-Таркосалинское НГКМ</t>
        </is>
      </c>
      <c r="E88" s="15" t="n"/>
      <c r="F88" s="15" t="n"/>
      <c r="G88" s="16" t="n"/>
      <c r="H88" s="17" t="n"/>
      <c r="I88" s="636" t="n"/>
      <c r="J88" s="17" t="n"/>
      <c r="K88" s="188" t="inlineStr">
        <is>
          <t>тыс.т.</t>
        </is>
      </c>
    </row>
    <row r="89" outlineLevel="1" ht="20.25" customHeight="1" s="904">
      <c r="C89" s="305" t="n"/>
      <c r="D89" s="187" t="inlineStr">
        <is>
          <t>Тас-Юряхское НГКМ (ДРОД)</t>
        </is>
      </c>
      <c r="E89" s="15" t="n"/>
      <c r="F89" s="15" t="n"/>
      <c r="G89" s="16" t="n"/>
      <c r="H89" s="17" t="n"/>
      <c r="I89" s="636" t="n"/>
      <c r="J89" s="17" t="n"/>
      <c r="K89" s="188" t="inlineStr">
        <is>
          <t>тыс.т.</t>
        </is>
      </c>
    </row>
    <row r="90" outlineLevel="1" ht="20.25" customHeight="1" s="904">
      <c r="C90" s="305" t="n"/>
      <c r="D90" s="331" t="inlineStr">
        <is>
          <t>Верхневилючанское НГКМ (ДРОД)</t>
        </is>
      </c>
      <c r="E90" s="15" t="n"/>
      <c r="F90" s="15" t="n"/>
      <c r="G90" s="16" t="n"/>
      <c r="H90" s="17" t="n"/>
      <c r="I90" s="636" t="n"/>
      <c r="J90" s="17" t="n"/>
      <c r="K90" s="188" t="inlineStr">
        <is>
          <t>тыс.т.</t>
        </is>
      </c>
    </row>
    <row r="91" outlineLevel="1" ht="20.25" customHeight="1" s="904">
      <c r="C91" s="304" t="n"/>
      <c r="D91" s="275" t="inlineStr">
        <is>
          <t>Нефть (ДРОД)</t>
        </is>
      </c>
      <c r="E91" s="15" t="n"/>
      <c r="F91" s="15" t="n"/>
      <c r="G91" s="16" t="n"/>
      <c r="H91" s="17" t="n"/>
      <c r="I91" s="636" t="n"/>
      <c r="J91" s="17" t="n"/>
      <c r="K91" s="188" t="inlineStr">
        <is>
          <t>тыс.т.</t>
        </is>
      </c>
    </row>
    <row r="92" outlineLevel="1" ht="20.25" customHeight="1" s="904">
      <c r="C92" s="305" t="n"/>
      <c r="D92" s="187" t="inlineStr">
        <is>
          <t>Чаяндинское НГКМ (ДРОД)</t>
        </is>
      </c>
      <c r="E92" s="15" t="n"/>
      <c r="F92" s="15" t="n"/>
      <c r="G92" s="16" t="n"/>
      <c r="H92" s="17" t="n"/>
      <c r="I92" s="636" t="n"/>
      <c r="J92" s="17" t="n"/>
      <c r="K92" s="188" t="inlineStr">
        <is>
          <t>тыс.т.</t>
        </is>
      </c>
    </row>
    <row r="93" outlineLevel="1" ht="20.25" customHeight="1" s="904">
      <c r="C93" s="305" t="n"/>
      <c r="D93" s="187" t="inlineStr">
        <is>
          <t>Западно-Таркосалинское НГКМ (ДРОД)</t>
        </is>
      </c>
      <c r="E93" s="15" t="n"/>
      <c r="F93" s="15" t="n"/>
      <c r="G93" s="16" t="n"/>
      <c r="H93" s="17" t="n"/>
      <c r="I93" s="636" t="n"/>
      <c r="J93" s="17" t="n"/>
      <c r="K93" s="188" t="inlineStr">
        <is>
          <t>тыс.т.</t>
        </is>
      </c>
    </row>
    <row r="94" outlineLevel="1" ht="20.25" customHeight="1" s="904">
      <c r="C94" s="305" t="n"/>
      <c r="D94" s="187" t="inlineStr">
        <is>
          <t>Тас- Юряхское НГКМ (ДРОД)</t>
        </is>
      </c>
      <c r="E94" s="15" t="n"/>
      <c r="F94" s="15" t="n"/>
      <c r="G94" s="16" t="n"/>
      <c r="H94" s="17" t="n"/>
      <c r="I94" s="636" t="n"/>
      <c r="J94" s="17" t="n"/>
      <c r="K94" s="188" t="inlineStr">
        <is>
          <t>тыс.т.</t>
        </is>
      </c>
    </row>
    <row r="95" outlineLevel="1" ht="20.25" customHeight="1" s="904">
      <c r="C95" s="305" t="n"/>
      <c r="D95" s="187" t="inlineStr">
        <is>
          <t>Верхневилючанское НГКМ (ДРОД)</t>
        </is>
      </c>
      <c r="E95" s="15" t="n"/>
      <c r="F95" s="15" t="n"/>
      <c r="G95" s="16" t="n"/>
      <c r="H95" s="17" t="n"/>
      <c r="I95" s="636" t="n"/>
      <c r="J95" s="17" t="n"/>
      <c r="K95" s="188" t="inlineStr">
        <is>
          <t>тыс.т.</t>
        </is>
      </c>
    </row>
    <row r="96" outlineLevel="1" ht="20.25" customHeight="1" s="904">
      <c r="C96" s="1026" t="n">
        <v>10</v>
      </c>
      <c r="D96" s="163" t="inlineStr">
        <is>
          <t>Проверка с ООО "Газпром добыча Уренгой" "Переработка"</t>
        </is>
      </c>
      <c r="E96" s="15" t="n"/>
      <c r="F96" s="15" t="n"/>
      <c r="G96" s="16" t="n"/>
      <c r="H96" s="17" t="n"/>
      <c r="I96" s="636" t="n"/>
      <c r="J96" s="17" t="n"/>
      <c r="K96" s="136" t="n"/>
    </row>
    <row r="97" outlineLevel="1" ht="20.25" customHeight="1" s="904">
      <c r="C97" s="332" t="n"/>
      <c r="D97" s="187" t="inlineStr">
        <is>
          <t>Западно-Таркосалинское НГКМ</t>
        </is>
      </c>
      <c r="E97" s="15" t="n"/>
      <c r="F97" s="15" t="inlineStr">
        <is>
          <t>V</t>
        </is>
      </c>
      <c r="G97" s="16" t="n"/>
      <c r="H97" s="17" t="inlineStr">
        <is>
          <t>100330719-4_100335862</t>
        </is>
      </c>
      <c r="I97" s="636" t="n"/>
      <c r="J97" s="17" t="n"/>
      <c r="K97" s="188" t="inlineStr">
        <is>
          <t>тыс.т.</t>
        </is>
      </c>
    </row>
    <row r="98" outlineLevel="1" ht="20.25" customHeight="1" s="904">
      <c r="C98" s="1026" t="n">
        <v>11</v>
      </c>
      <c r="D98" s="333" t="inlineStr">
        <is>
          <t>Расчет продукции под Баланс Газа</t>
        </is>
      </c>
      <c r="E98" s="15" t="n"/>
      <c r="F98" s="15" t="n"/>
      <c r="G98" s="16" t="n"/>
      <c r="H98" s="17" t="n"/>
      <c r="I98" s="636" t="n"/>
      <c r="J98" s="17" t="n"/>
      <c r="K98" s="304" t="n"/>
    </row>
    <row r="99" outlineLevel="1" ht="20.25" customHeight="1" s="904">
      <c r="C99" s="271" t="n"/>
      <c r="D99" s="1068" t="inlineStr">
        <is>
          <t>Стабильный конденсат (Чаяндинское НГКМ)</t>
        </is>
      </c>
      <c r="E99" s="15" t="n"/>
      <c r="F99" s="15" t="inlineStr">
        <is>
          <t>V</t>
        </is>
      </c>
      <c r="G99" s="16" t="n"/>
      <c r="H99" s="17" t="inlineStr">
        <is>
          <t>ОКРУГЛ(100335046/100330716*100330716;$1)</t>
        </is>
      </c>
      <c r="I99" s="636" t="n"/>
      <c r="J99" s="17" t="n"/>
      <c r="K99" s="188" t="inlineStr">
        <is>
          <t>тыс.т.</t>
        </is>
      </c>
    </row>
    <row r="100" outlineLevel="1" ht="20.25" customHeight="1" s="904">
      <c r="C100" s="271" t="n"/>
      <c r="D100" s="1054" t="inlineStr">
        <is>
          <t>Газ стабилизации (Чаяндинское НГКМ)</t>
        </is>
      </c>
      <c r="E100" s="15" t="n"/>
      <c r="F100" s="15" t="inlineStr">
        <is>
          <t>V</t>
        </is>
      </c>
      <c r="G100" s="16" t="n"/>
      <c r="H100" s="17" t="inlineStr">
        <is>
          <t>ОКРУГЛ(100330727/100330716*100330716;$1)</t>
        </is>
      </c>
      <c r="I100" s="636" t="n"/>
      <c r="J100" s="17" t="n"/>
      <c r="K100" s="188" t="inlineStr">
        <is>
          <t>тыс.т.</t>
        </is>
      </c>
    </row>
    <row r="101" outlineLevel="1" ht="20.25" customHeight="1" s="904">
      <c r="C101" s="278" t="n"/>
      <c r="D101" s="911" t="n"/>
      <c r="E101" s="15" t="n"/>
      <c r="F101" s="15" t="inlineStr">
        <is>
          <t>V</t>
        </is>
      </c>
      <c r="G101" s="16" t="n"/>
      <c r="H101" s="17" t="inlineStr">
        <is>
          <t>ОКРУГЛ(100330726/100330727*100330727;$1)</t>
        </is>
      </c>
      <c r="I101" s="636" t="n"/>
      <c r="J101" s="17" t="n"/>
      <c r="K101" s="278" t="inlineStr">
        <is>
          <t>млн куб.м</t>
        </is>
      </c>
    </row>
    <row r="103">
      <c r="D103" s="1009" t="inlineStr">
        <is>
          <t>* - Обеспечение своевременного внесения изменений в перечень номенклатуры сырья и продукции входит в компетенцию дочернего общества.</t>
        </is>
      </c>
    </row>
    <row r="104">
      <c r="D104" s="1009" t="n"/>
    </row>
    <row r="105">
      <c r="D105" s="319" t="inlineStr">
        <is>
          <t>Примечание:</t>
        </is>
      </c>
    </row>
    <row r="106">
      <c r="D106" s="193" t="inlineStr">
        <is>
          <t>ст. конденсат на склад - налив в танкер и покупателю</t>
        </is>
      </c>
    </row>
    <row r="107">
      <c r="D107" s="975" t="inlineStr">
        <is>
          <t>зап.-таркос: деэтанизаруется - газ деэтанизации на факел</t>
        </is>
      </c>
    </row>
    <row r="108">
      <c r="D108" s="193" t="inlineStr">
        <is>
          <t xml:space="preserve">нестаб конденсат на СургЗСК </t>
        </is>
      </c>
    </row>
    <row r="109">
      <c r="D109" s="975" t="inlineStr">
        <is>
          <t>чаяндинский: стабилизируется - газ стабилизации в поток газа</t>
        </is>
      </c>
    </row>
    <row r="110" ht="37.5" customHeight="1" s="904">
      <c r="D110" s="193" t="inlineStr">
        <is>
          <t>ст. конденсат смешивается с нефтью и будет направляется в трубопровод ВСТО (вост сибирь-тихий океан)</t>
        </is>
      </c>
    </row>
    <row r="111" ht="57" customHeight="1" s="904">
      <c r="D111" s="334" t="inlineStr">
        <is>
          <t>Зап. - тарк: ГПН-Заполярье оказывает услуги по добыче, затем ГПН продает её ГПНЗаполярье она её транспортирует автотранспортом</t>
        </is>
      </c>
    </row>
    <row r="112" ht="131.25" customHeight="1" s="904">
      <c r="D112" s="335" t="inlineStr">
        <is>
          <t>Чаяндинская НГКМ: нефть добывает ГПНЗаполярье, подготавливает на УПН до ГОСТ и транспортирует автовозами до УКПГ-3, где передает ГдНоябрьск), ГдНоябрьск на УКПГ-3 смешивает нефтть со стабильным конденсатом и полученую НГКС транспортирует до ПСП "Чаяндинский", где часть продает ГПНЗаполярье и часть передаёт Газпромэкспорту (для реализации) и весь поток направляется в трубопровод ВСТО</t>
        </is>
      </c>
    </row>
    <row r="113" ht="93.75" customHeight="1" s="904">
      <c r="D113" s="335" t="inlineStr">
        <is>
          <t>нефть в НГКС равна 850кг/м3 (0.850 гр/см3) т.к. лаборитория ПСП аккредитована на анализ состава и выдачу паспортов качества на такой объёмный состав, в начале 2021 года лаборатория ПСП пройдет аккредитацию на 874 кг/м3. Объём нефти увеличится.</t>
        </is>
      </c>
    </row>
    <row r="114" ht="56.25" customHeight="1" s="904">
      <c r="D114" s="335" t="inlineStr">
        <is>
          <t>по дрод (п.3 а приложения 4): мы должны продать ГПНЗ 100% нефти добытой и подготовленной ГПНЗ,  этот объём НКГС мы им передать на СИКН ПСП (приложение 25).</t>
        </is>
      </c>
    </row>
    <row r="115" ht="56.25" customHeight="1" s="904">
      <c r="D115" s="335" t="inlineStr">
        <is>
          <t>С 2021 года пустят в работу  трубопровод от УПН до УКПГ-3, соединение будет после УКПГ-3, нефть и ст конденсат будут смешиваться непостредственно в трубе.</t>
        </is>
      </c>
    </row>
    <row r="116">
      <c r="D116" s="975" t="inlineStr">
        <is>
          <t>ПНГ используется на стн, остальной сжигается (нет трубопровода к потребителю)</t>
        </is>
      </c>
    </row>
    <row r="117">
      <c r="D117" s="975" t="inlineStr">
        <is>
          <t>СТН нефть + ст конденсат на путевые подогреватели</t>
        </is>
      </c>
    </row>
    <row r="118" ht="319.5" customHeight="1" s="904">
      <c r="D118" s="334" t="inlineStr">
        <is>
          <t xml:space="preserve">Нефть, добытая на Чаяндинском нефтегазоконденсатном месторождении, подготавливается до требований ГОСТ Р 51858-2002 (ГПНЗ), далее смешивается со стабильным газовым конденсатом на УКПГ-3. После смешения полученная нефтегазоконденсатная смесь транспортируется до приемо-сдаточного пункта  «Чаяндинский» и далее по нефтепроводу «ПСП – НПС-11» на вход нефтепровода «Восточная Сибирь – Тихий океан». Сдача нефти осуществляется в трубопроводную систему «Восточная Сибирь – Тихий океан» на НПС-11. Сдающей стороной является ООО «Газпром добыча Ноябрьск» от имени ПАО «Газпром», принимающей – ООО «Транснефть - Восток» от имени ПАО «Транснефть». 
Протяженность нефтепровода «УКПГ-3 – ПСП» составляет – 71,5 км.
Протяженность нефтепровода «ПСП – НПС-11» составляет – 910,5 м.
</t>
        </is>
      </c>
    </row>
  </sheetData>
  <mergeCells count="27">
    <mergeCell ref="D65:D66"/>
    <mergeCell ref="E8:E9"/>
    <mergeCell ref="G8:G9"/>
    <mergeCell ref="D61:D62"/>
    <mergeCell ref="C63:C64"/>
    <mergeCell ref="C59:C60"/>
    <mergeCell ref="D32:D33"/>
    <mergeCell ref="C7:C9"/>
    <mergeCell ref="C65:C66"/>
    <mergeCell ref="D57:D58"/>
    <mergeCell ref="K7:K9"/>
    <mergeCell ref="F8:F9"/>
    <mergeCell ref="C55:C56"/>
    <mergeCell ref="B7:B9"/>
    <mergeCell ref="E7:J7"/>
    <mergeCell ref="C61:C62"/>
    <mergeCell ref="C57:C58"/>
    <mergeCell ref="I8:I9"/>
    <mergeCell ref="C3:K3"/>
    <mergeCell ref="D55:D56"/>
    <mergeCell ref="C32:C33"/>
    <mergeCell ref="D63:D64"/>
    <mergeCell ref="H8:H9"/>
    <mergeCell ref="J8:J9"/>
    <mergeCell ref="D100:D101"/>
    <mergeCell ref="D7:D9"/>
    <mergeCell ref="D59:D60"/>
  </mergeCells>
  <conditionalFormatting sqref="P11:P101 Q11:Q101 V11:V101 W11:W101 AB11:AB101 AC11:AC101 AH11:AH101 AI11:AI101 AN11:AN101 AO11:AO101 AT11:AT101 AU11:AU101 AZ11:AZ101 BA11:BA101 BF11:BF101 BG11:BG101 BL11:BL101 BM11:BM101 BR11:BR101 BS11:BS101 BX11:BX101 BY11:BY101 CD11:CD101 CE11:CE101 CJ11:CJ101 CK11:CK101 CP11:CP101 CQ11:CQ101 CV11:CV101 CW11:CW101 DB11:DB101 DC11:DC101 DH11:DH101 DI11:DI10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1:M38 M42:M101 O11:O101 S11:S101 U11:U101 Y11:Y101 AA11:AA101 AE11:AE101 AG11:AG101 AK11:AK101 AM11:AM101 AQ11:AQ101 AS11:AS101 AW11:AW101 AY11:AY101 BC11:BC101 BE11:BE101 BI11:BI101 BK11:BK101 BO11:BO101 BQ11:BQ101 BU11:BU101 BW11:BW101 CA11:CA101 CC11:CC101 CG11:CG101 CI11:CI101 CM11:CM101 CO11:CO101 CS11:CS101 CU11:CU101 CY11:CY101 DA11:DA101 DE11:DE101 DG11:DG10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1:M38 M42:M101 O11:O101 Q11:Q101 S11:S101 U11:U101 W11:W101 Y11:Y101 AA11:AA101 AC11:AC101 AE11:AE101 AG11:AG101 AI11:AI101 AK11:AK101 AM11:AM101 AO11:AO101 AQ11:AQ101 AS11:AS10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17" top="0.29" bottom="0.18" header="0.3" footer="0.3"/>
  <pageSetup orientation="landscape" paperSize="9" scale="38"/>
  <legacyDrawing xmlns:r="http://schemas.openxmlformats.org/officeDocument/2006/relationships" r:id="anysvml"/>
</worksheet>
</file>

<file path=xl/worksheets/sheet18.xml><?xml version="1.0" encoding="utf-8"?>
<worksheet xmlns="http://schemas.openxmlformats.org/spreadsheetml/2006/main">
  <sheetPr codeName="Лист15">
    <tabColor theme="4" tint="0.7999816888943144"/>
    <outlinePr summaryBelow="1" summaryRight="1"/>
    <pageSetUpPr fitToPage="1"/>
  </sheetPr>
  <dimension ref="A3:K77"/>
  <sheetViews>
    <sheetView zoomScale="70" zoomScaleNormal="70" workbookViewId="0">
      <pane xSplit="11" ySplit="9" topLeftCell="L17" activePane="bottomRight" state="frozen"/>
      <selection activeCell="I10" sqref="I10"/>
      <selection pane="topRight" activeCell="C1" sqref="C1"/>
      <selection pane="bottomLeft" activeCell="C1" sqref="C1"/>
      <selection pane="bottomRight" activeCell="M17" sqref="M17:M57"/>
    </sheetView>
  </sheetViews>
  <sheetFormatPr baseColWidth="8" defaultColWidth="8.42578125" defaultRowHeight="18.75" outlineLevelRow="1"/>
  <cols>
    <col hidden="1" outlineLevel="1" width="20.140625" customWidth="1" style="623" min="1" max="2"/>
    <col collapsed="1" width="12.140625" bestFit="1" customWidth="1" style="294" min="3" max="3"/>
    <col width="70.85546875" customWidth="1" style="975" min="4" max="4"/>
    <col hidden="1" outlineLevel="1" width="26.140625" customWidth="1" style="975" min="5" max="9"/>
    <col hidden="1" outlineLevel="1" width="13.28515625" customWidth="1" style="975" min="10" max="10"/>
    <col collapsed="1" width="12.85546875" bestFit="1" customWidth="1" style="1057"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15" customHeight="1" s="904"/>
    <row r="2" ht="15" customHeight="1" s="904"/>
    <row r="3" ht="20.25" customHeight="1" s="904">
      <c r="C3" s="1039" t="inlineStr">
        <is>
          <t>Прогнозные показатели по поставке, переработке сырья и производству продукции ООО "Газпром добыча Надым"</t>
        </is>
      </c>
    </row>
    <row r="4" ht="15" customHeight="1" s="904"/>
    <row r="5" ht="19.5" customHeight="1" s="904">
      <c r="C5" s="133" t="inlineStr">
        <is>
          <t>11.  ООО "Газпром добыча Надым"</t>
        </is>
      </c>
      <c r="D5" s="654" t="n"/>
      <c r="E5" s="654" t="n"/>
      <c r="F5" s="654" t="n"/>
      <c r="G5" s="654" t="n"/>
      <c r="H5" s="654" t="n"/>
      <c r="I5" s="654" t="n"/>
      <c r="J5" s="654" t="n"/>
      <c r="K5" s="596" t="n"/>
    </row>
    <row r="6" ht="20.1" customHeight="1" s="904">
      <c r="C6" s="971" t="inlineStr">
        <is>
          <t>№ 
п/п</t>
        </is>
      </c>
      <c r="D6" s="1046"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6" t="n"/>
      <c r="E8" s="911" t="n"/>
      <c r="F8" s="911" t="n"/>
      <c r="G8" s="911" t="n"/>
      <c r="H8" s="911" t="n"/>
      <c r="I8" s="911" t="n"/>
      <c r="J8" s="911" t="n"/>
      <c r="K8" s="911" t="n"/>
    </row>
    <row r="9" hidden="1" ht="20.1" customHeight="1" s="904">
      <c r="C9" s="177" t="n"/>
      <c r="D9" s="136" t="n"/>
      <c r="E9" s="1057" t="n"/>
      <c r="F9" s="1057" t="n"/>
      <c r="G9" s="1057" t="n"/>
      <c r="H9" s="1057" t="n"/>
      <c r="I9" s="1057" t="n"/>
      <c r="J9" s="1057" t="n"/>
      <c r="K9" s="136" t="n"/>
    </row>
    <row r="10" ht="37.5" customHeight="1" s="904">
      <c r="C10" s="336" t="inlineStr">
        <is>
          <t>1</t>
        </is>
      </c>
      <c r="D10" s="139" t="inlineStr">
        <is>
          <t>Поставка сырья на переработку, 
собственность ООО "Газпром добыча Надым":</t>
        </is>
      </c>
      <c r="E10" s="15" t="n">
        <v>100330685</v>
      </c>
      <c r="F10" s="15" t="n"/>
      <c r="G10" s="16" t="n"/>
      <c r="H10" s="17" t="inlineStr">
        <is>
          <t>100330015</t>
        </is>
      </c>
      <c r="I10" s="636" t="n"/>
      <c r="J10" s="17" t="n"/>
      <c r="K10" s="140" t="inlineStr">
        <is>
          <t>тыс.т.</t>
        </is>
      </c>
    </row>
    <row r="11" ht="20.25" customHeight="1" s="904">
      <c r="C11" s="223" t="inlineStr">
        <is>
          <t>1.1.</t>
        </is>
      </c>
      <c r="D11" s="967" t="inlineStr">
        <is>
          <t>Конденсат газовый нестабильный, всего:</t>
        </is>
      </c>
      <c r="E11" s="15" t="n">
        <v>100330015</v>
      </c>
      <c r="F11" s="15" t="n"/>
      <c r="G11" s="16" t="n"/>
      <c r="H11" s="17" t="inlineStr">
        <is>
          <t>СУММ(100330686:100333683)</t>
        </is>
      </c>
      <c r="I11" s="636" t="n"/>
      <c r="J11" s="17" t="n"/>
      <c r="K11" s="1077" t="inlineStr">
        <is>
          <t>тыс.т.</t>
        </is>
      </c>
    </row>
    <row r="12" ht="20.25" customHeight="1" s="904">
      <c r="C12" s="337" t="n"/>
      <c r="D12" s="151" t="inlineStr">
        <is>
          <t>Медвежье НКГМ</t>
        </is>
      </c>
      <c r="E12" s="15" t="n">
        <v>100330686</v>
      </c>
      <c r="F12" s="15" t="n"/>
      <c r="G12" s="16" t="n"/>
      <c r="H12" s="17" t="n"/>
      <c r="I12" s="636" t="n"/>
      <c r="J12" s="17" t="n"/>
      <c r="K12" s="136" t="inlineStr">
        <is>
          <t>тыс.т.</t>
        </is>
      </c>
    </row>
    <row r="13" ht="20.25" customHeight="1" s="904">
      <c r="C13" s="337" t="n"/>
      <c r="D13" s="151" t="inlineStr">
        <is>
          <t>Юбилейное НГКМ</t>
        </is>
      </c>
      <c r="E13" s="15" t="n">
        <v>100330687</v>
      </c>
      <c r="F13" s="15" t="n"/>
      <c r="G13" s="16" t="n"/>
      <c r="H13" s="17" t="n"/>
      <c r="I13" s="636" t="n"/>
      <c r="J13" s="17" t="n"/>
      <c r="K13" s="136" t="inlineStr">
        <is>
          <t>тыс.т.</t>
        </is>
      </c>
    </row>
    <row r="14" ht="20.25" customHeight="1" s="904">
      <c r="C14" s="337" t="n"/>
      <c r="D14" s="338" t="inlineStr">
        <is>
          <t xml:space="preserve"> Бованенковское НГКМ (апт)</t>
        </is>
      </c>
      <c r="E14" s="15" t="n">
        <v>100330688</v>
      </c>
      <c r="F14" s="15" t="n"/>
      <c r="G14" s="16" t="n"/>
      <c r="H14" s="17" t="n"/>
      <c r="I14" s="636" t="n"/>
      <c r="J14" s="17" t="n"/>
      <c r="K14" s="136" t="inlineStr">
        <is>
          <t>тыс.т.</t>
        </is>
      </c>
    </row>
    <row r="15" ht="20.25" customHeight="1" s="904">
      <c r="C15" s="337" t="n"/>
      <c r="D15" s="151" t="inlineStr">
        <is>
          <t>Харасавэйское ГКМ</t>
        </is>
      </c>
      <c r="E15" s="15" t="n">
        <v>100333683</v>
      </c>
      <c r="F15" s="15" t="n"/>
      <c r="G15" s="16" t="n"/>
      <c r="H15" s="17" t="n"/>
      <c r="I15" s="636" t="n"/>
      <c r="J15" s="17" t="n"/>
      <c r="K15" s="136" t="inlineStr">
        <is>
          <t>тыс.т.</t>
        </is>
      </c>
    </row>
    <row r="16" ht="20.25" customHeight="1" s="904">
      <c r="C16" s="223" t="inlineStr">
        <is>
          <t>2.</t>
        </is>
      </c>
      <c r="D16" s="152" t="inlineStr">
        <is>
          <t>Поставка сырья в адрес ГПНЗ 
(собственность ООО "Газпром добыча Надым")</t>
        </is>
      </c>
      <c r="E16" s="15" t="n">
        <v>100335592</v>
      </c>
      <c r="F16" s="15" t="n"/>
      <c r="G16" s="16" t="n"/>
      <c r="H16" s="17" t="inlineStr">
        <is>
          <t>100335593+100335658</t>
        </is>
      </c>
      <c r="I16" s="636" t="n"/>
      <c r="J16" s="17" t="n"/>
      <c r="K16" s="1077" t="inlineStr">
        <is>
          <t>тыс.т.</t>
        </is>
      </c>
    </row>
    <row r="17" ht="20.25" customHeight="1" s="904">
      <c r="C17" s="337" t="n"/>
      <c r="D17" s="339" t="inlineStr">
        <is>
          <t xml:space="preserve"> Бованенковское НГКМ (неоком-юра) (ДРОД)</t>
        </is>
      </c>
      <c r="E17" s="15" t="n">
        <v>100335593</v>
      </c>
      <c r="F17" s="15" t="n"/>
      <c r="G17" s="16" t="n"/>
      <c r="H17" s="17" t="n"/>
      <c r="I17" s="636" t="n"/>
      <c r="J17" s="17" t="n"/>
      <c r="K17" s="136" t="inlineStr">
        <is>
          <t>тыс.т.</t>
        </is>
      </c>
    </row>
    <row r="18" ht="20.25" customHeight="1" s="904">
      <c r="C18" s="337" t="n"/>
      <c r="D18" s="340" t="inlineStr">
        <is>
          <t>Харасавэйское ГКМ (неоком-юра) (ДРОД)</t>
        </is>
      </c>
      <c r="E18" s="15" t="n">
        <v>100335658</v>
      </c>
      <c r="F18" s="15" t="n"/>
      <c r="G18" s="16" t="n"/>
      <c r="H18" s="17" t="n"/>
      <c r="I18" s="636" t="n"/>
      <c r="J18" s="17" t="n"/>
      <c r="K18" s="136" t="inlineStr">
        <is>
          <t>тыс.т.</t>
        </is>
      </c>
    </row>
    <row r="19" ht="20.25" customHeight="1" s="904">
      <c r="C19" s="337" t="n"/>
      <c r="D19" s="159" t="inlineStr">
        <is>
          <t>Справочно:</t>
        </is>
      </c>
      <c r="E19" s="15" t="n"/>
      <c r="F19" s="15" t="n"/>
      <c r="G19" s="16" t="n"/>
      <c r="H19" s="17" t="n"/>
      <c r="I19" s="636" t="n"/>
      <c r="J19" s="17" t="n"/>
      <c r="K19" s="136" t="n"/>
    </row>
    <row r="20" outlineLevel="1" ht="20.25" customHeight="1" s="904">
      <c r="C20" s="970" t="inlineStr">
        <is>
          <t>3.</t>
        </is>
      </c>
      <c r="D20" s="159" t="inlineStr">
        <is>
          <t>Потери сырья при переработке, всего:</t>
        </is>
      </c>
      <c r="E20" s="15" t="n">
        <v>100330037</v>
      </c>
      <c r="F20" s="15" t="n"/>
      <c r="G20" s="16" t="n"/>
      <c r="H20" s="17" t="inlineStr">
        <is>
          <t>СУММ(100330689:100333684)</t>
        </is>
      </c>
      <c r="I20" s="776">
        <f>ROUND(100-I32-I42,6)</f>
        <v/>
      </c>
      <c r="J20" s="17" t="n"/>
      <c r="K20" s="1077" t="inlineStr">
        <is>
          <t>тыс.т.</t>
        </is>
      </c>
    </row>
    <row r="21" outlineLevel="1" ht="20.25" customHeight="1" s="904">
      <c r="C21" s="972" t="n"/>
      <c r="D21" s="341" t="inlineStr">
        <is>
          <t>Медвежье НКГМ</t>
        </is>
      </c>
      <c r="E21" s="15" t="n">
        <v>100330689</v>
      </c>
      <c r="F21" s="15" t="n"/>
      <c r="G21" s="16" t="n"/>
      <c r="H21" s="17" t="n"/>
      <c r="I21" s="776">
        <f>ROUND(100-I34-I43,6)</f>
        <v/>
      </c>
      <c r="J21" s="17" t="n"/>
      <c r="K21" s="136" t="inlineStr">
        <is>
          <t>тыс.т.</t>
        </is>
      </c>
    </row>
    <row r="22" outlineLevel="1" ht="20.25" customHeight="1" s="904">
      <c r="C22" s="972" t="n"/>
      <c r="D22" s="341" t="inlineStr">
        <is>
          <t>Юбилейное НГКМ</t>
        </is>
      </c>
      <c r="E22" s="15" t="n">
        <v>100330690</v>
      </c>
      <c r="F22" s="15" t="n"/>
      <c r="G22" s="16" t="n"/>
      <c r="H22" s="17" t="n"/>
      <c r="I22" s="776">
        <f>ROUND(100-I36-I44,6)</f>
        <v/>
      </c>
      <c r="J22" s="17" t="n"/>
      <c r="K22" s="136" t="inlineStr">
        <is>
          <t>тыс.т.</t>
        </is>
      </c>
    </row>
    <row r="23" outlineLevel="1" ht="20.25" customHeight="1" s="904">
      <c r="C23" s="972" t="n"/>
      <c r="D23" s="341" t="inlineStr">
        <is>
          <t>Бованенковское НГКМ</t>
        </is>
      </c>
      <c r="E23" s="15" t="n">
        <v>100330691</v>
      </c>
      <c r="F23" s="15" t="n"/>
      <c r="G23" s="16" t="n"/>
      <c r="H23" s="17" t="n"/>
      <c r="I23" s="776">
        <f>ROUND(100-I38-I45,6)</f>
        <v/>
      </c>
      <c r="J23" s="17" t="n"/>
      <c r="K23" s="136" t="inlineStr">
        <is>
          <t>тыс.т.</t>
        </is>
      </c>
    </row>
    <row r="24" outlineLevel="1" ht="20.25" customHeight="1" s="904">
      <c r="C24" s="972" t="n"/>
      <c r="D24" s="341" t="inlineStr">
        <is>
          <t>Харасавэйское ГКМ</t>
        </is>
      </c>
      <c r="E24" s="15" t="n">
        <v>100333684</v>
      </c>
      <c r="F24" s="15" t="n"/>
      <c r="G24" s="16" t="n"/>
      <c r="H24" s="17" t="n"/>
      <c r="I24" s="776">
        <f>ROUND(100-I40-I46,6)</f>
        <v/>
      </c>
      <c r="J24" s="17" t="n"/>
      <c r="K24" s="136" t="inlineStr">
        <is>
          <t>тыс.т.</t>
        </is>
      </c>
    </row>
    <row r="25" ht="39.75" customHeight="1" s="904">
      <c r="C25" s="970" t="inlineStr">
        <is>
          <t>4.</t>
        </is>
      </c>
      <c r="D25" s="152" t="inlineStr">
        <is>
          <t>Производство продукции, 
собственность ООО "Газпром добыча Надым":</t>
        </is>
      </c>
      <c r="E25" s="15" t="n">
        <v>100330692</v>
      </c>
      <c r="F25" s="15" t="n"/>
      <c r="G25" s="16" t="n"/>
      <c r="H25" s="17" t="inlineStr">
        <is>
          <t>100332334+100330100</t>
        </is>
      </c>
      <c r="I25" s="776" t="inlineStr">
        <is>
          <t>ОКРУГЛ({100330692:-1}/{100330015:-1}*$100;$6)</t>
        </is>
      </c>
      <c r="J25" s="17" t="n"/>
      <c r="K25" s="1077" t="inlineStr">
        <is>
          <t>тыс.т.</t>
        </is>
      </c>
    </row>
    <row r="26" ht="20.25" customHeight="1" s="904">
      <c r="C26" s="970" t="inlineStr">
        <is>
          <t>4.1.</t>
        </is>
      </c>
      <c r="D26" s="152" t="inlineStr">
        <is>
          <t>Стабильный конденсат товарный, всего:</t>
        </is>
      </c>
      <c r="E26" s="15" t="n">
        <v>100330954</v>
      </c>
      <c r="F26" s="15" t="n"/>
      <c r="G26" s="16" t="n"/>
      <c r="H26" s="17" t="inlineStr">
        <is>
          <t>100330693+100330694+100330695+100333685</t>
        </is>
      </c>
      <c r="I26" s="776" t="inlineStr">
        <is>
          <t>ОКРУГЛ({100330954:-1}/{100330015:-1}*$100;$6)</t>
        </is>
      </c>
      <c r="J26" s="17" t="n"/>
      <c r="K26" s="1077" t="inlineStr">
        <is>
          <t>тыс.т.</t>
        </is>
      </c>
    </row>
    <row r="27" ht="20.25" customHeight="1" s="904">
      <c r="C27" s="972" t="inlineStr">
        <is>
          <t>4.1.1</t>
        </is>
      </c>
      <c r="D27" s="151" t="inlineStr">
        <is>
          <t>СК (товар) Медвежье НКГМ</t>
        </is>
      </c>
      <c r="E27" s="15" t="n">
        <v>100330693</v>
      </c>
      <c r="F27" s="15" t="n"/>
      <c r="G27" s="16" t="n"/>
      <c r="H27" s="17" t="inlineStr">
        <is>
          <t>100330702-100330706</t>
        </is>
      </c>
      <c r="I27" s="776" t="inlineStr">
        <is>
          <t>ОКРУГЛ({100330693:-1}/{100330686:-1}*$100;$6)</t>
        </is>
      </c>
      <c r="J27" s="17" t="n"/>
      <c r="K27" s="136" t="inlineStr">
        <is>
          <t>тыс.т.</t>
        </is>
      </c>
    </row>
    <row r="28" ht="20.25" customHeight="1" s="904">
      <c r="C28" s="972" t="inlineStr">
        <is>
          <t>4.1.2</t>
        </is>
      </c>
      <c r="D28" s="151" t="inlineStr">
        <is>
          <t>СК (товар) Юбилейное НГКМ</t>
        </is>
      </c>
      <c r="E28" s="15" t="n">
        <v>100330694</v>
      </c>
      <c r="F28" s="15" t="n"/>
      <c r="G28" s="16" t="n"/>
      <c r="H28" s="17" t="inlineStr">
        <is>
          <t>100330703-100330707</t>
        </is>
      </c>
      <c r="I28" s="776" t="inlineStr">
        <is>
          <t>ОКРУГЛ({100330694:-1}/{100330687:-1}*$100;$6)</t>
        </is>
      </c>
      <c r="J28" s="17" t="n"/>
      <c r="K28" s="136" t="inlineStr">
        <is>
          <t>тыс.т.</t>
        </is>
      </c>
    </row>
    <row r="29" ht="20.25" customHeight="1" s="904">
      <c r="C29" s="972" t="inlineStr">
        <is>
          <t>4.1.3</t>
        </is>
      </c>
      <c r="D29" s="151" t="inlineStr">
        <is>
          <t>СК (вал) Бованенковское НГКМ (апт)</t>
        </is>
      </c>
      <c r="E29" s="15" t="n">
        <v>100330695</v>
      </c>
      <c r="F29" s="15" t="n"/>
      <c r="G29" s="16" t="n"/>
      <c r="H29" s="17" t="inlineStr">
        <is>
          <t>100330704-100330708</t>
        </is>
      </c>
      <c r="I29" s="776" t="inlineStr">
        <is>
          <t>ОКРУГЛ({100330695:-1}/{100330688:-1}*$100;$6)</t>
        </is>
      </c>
      <c r="J29" s="17" t="n"/>
      <c r="K29" s="136" t="inlineStr">
        <is>
          <t>тыс.т.</t>
        </is>
      </c>
    </row>
    <row r="30" ht="20.25" customHeight="1" s="904">
      <c r="C30" s="972" t="inlineStr">
        <is>
          <t>4.1.4</t>
        </is>
      </c>
      <c r="D30" s="151" t="inlineStr">
        <is>
          <t>СК (товар) Харасавейского ГКМ</t>
        </is>
      </c>
      <c r="E30" s="15" t="n">
        <v>100333685</v>
      </c>
      <c r="F30" s="15" t="n"/>
      <c r="G30" s="16" t="n"/>
      <c r="H30" s="17" t="inlineStr">
        <is>
          <t>100333688-100333689</t>
        </is>
      </c>
      <c r="I30" s="776" t="inlineStr">
        <is>
          <t>ОКРУГЛ({100333685:-1}/{100333683:-1}*$100;$6)</t>
        </is>
      </c>
      <c r="J30" s="17" t="n"/>
      <c r="K30" s="136" t="inlineStr">
        <is>
          <t>тыс.т.</t>
        </is>
      </c>
    </row>
    <row r="31" ht="20.25" customHeight="1" s="904">
      <c r="C31" s="972" t="n"/>
      <c r="D31" s="159" t="inlineStr">
        <is>
          <t>Справочно:</t>
        </is>
      </c>
      <c r="E31" s="15" t="n"/>
      <c r="F31" s="15" t="n"/>
      <c r="G31" s="16" t="n"/>
      <c r="H31" s="17" t="n"/>
      <c r="I31" s="636" t="n"/>
      <c r="J31" s="17" t="n"/>
      <c r="K31" s="136" t="n"/>
    </row>
    <row r="32" ht="20.25" customHeight="1" s="904">
      <c r="C32" s="970" t="inlineStr">
        <is>
          <t>4.2</t>
        </is>
      </c>
      <c r="D32" s="1056" t="inlineStr">
        <is>
          <t>Газ стабилизации, всего:</t>
        </is>
      </c>
      <c r="E32" s="15" t="n">
        <v>100332334</v>
      </c>
      <c r="F32" s="15" t="n"/>
      <c r="G32" s="16" t="n"/>
      <c r="H32" s="17" t="inlineStr">
        <is>
          <t>100330696+100330698+100330700+100333686</t>
        </is>
      </c>
      <c r="I32" s="776" t="inlineStr">
        <is>
          <t>ОКРУГЛ({100332334:-1}/{100330015:-1}*$100;$6)</t>
        </is>
      </c>
      <c r="J32" s="17" t="n"/>
      <c r="K32" s="1077" t="inlineStr">
        <is>
          <t>тыс.т.</t>
        </is>
      </c>
    </row>
    <row r="33" ht="20.25" customHeight="1" s="904">
      <c r="C33" s="916" t="n"/>
      <c r="D33" s="916" t="n"/>
      <c r="E33" s="15" t="n">
        <v>100332335</v>
      </c>
      <c r="F33" s="15" t="n"/>
      <c r="G33" s="16" t="n"/>
      <c r="H33" s="17" t="inlineStr">
        <is>
          <t>100330697+100330699+100330701+100333687</t>
        </is>
      </c>
      <c r="I33" s="636" t="n"/>
      <c r="J33" s="17" t="n"/>
      <c r="K33" s="587" t="inlineStr">
        <is>
          <t>млн куб.м</t>
        </is>
      </c>
    </row>
    <row r="34" ht="20.25" customHeight="1" s="904">
      <c r="C34" s="972" t="inlineStr">
        <is>
          <t>4.2.1</t>
        </is>
      </c>
      <c r="D34" s="1055" t="inlineStr">
        <is>
          <t xml:space="preserve"> - Медвежье НКГМ</t>
        </is>
      </c>
      <c r="E34" s="15" t="n">
        <v>100330696</v>
      </c>
      <c r="F34" s="15" t="n"/>
      <c r="G34" s="16" t="n"/>
      <c r="H34" s="17" t="n"/>
      <c r="I34" s="776" t="inlineStr">
        <is>
          <t>ОКРУГЛ({100330696:-1}/{100330686:-1}*$100;$6)</t>
        </is>
      </c>
      <c r="J34" s="17" t="n"/>
      <c r="K34" s="136" t="inlineStr">
        <is>
          <t>тыс.т.</t>
        </is>
      </c>
    </row>
    <row r="35" ht="20.25" customHeight="1" s="904">
      <c r="C35" s="916" t="n"/>
      <c r="D35" s="916" t="n"/>
      <c r="E35" s="15" t="n">
        <v>100330697</v>
      </c>
      <c r="F35" s="15" t="n"/>
      <c r="G35" s="16" t="n"/>
      <c r="H35" s="17" t="n"/>
      <c r="I35" s="636" t="n"/>
      <c r="J35" s="17" t="n"/>
      <c r="K35" s="588" t="inlineStr">
        <is>
          <t>млн куб.м</t>
        </is>
      </c>
    </row>
    <row r="36" ht="20.25" customHeight="1" s="904">
      <c r="C36" s="972" t="inlineStr">
        <is>
          <t>4.2.2</t>
        </is>
      </c>
      <c r="D36" s="1055" t="inlineStr">
        <is>
          <t xml:space="preserve"> - Юбилейное НГКМ</t>
        </is>
      </c>
      <c r="E36" s="15" t="n">
        <v>100330698</v>
      </c>
      <c r="F36" s="15" t="n"/>
      <c r="G36" s="16" t="n"/>
      <c r="H36" s="17" t="n"/>
      <c r="I36" s="776" t="inlineStr">
        <is>
          <t>ОКРУГЛ({100330698:-1}/{100330687:-1}*$100;$6)</t>
        </is>
      </c>
      <c r="J36" s="17" t="n"/>
      <c r="K36" s="136" t="inlineStr">
        <is>
          <t>тыс.т.</t>
        </is>
      </c>
    </row>
    <row r="37" ht="20.25" customHeight="1" s="904">
      <c r="C37" s="916" t="n"/>
      <c r="D37" s="916" t="n"/>
      <c r="E37" s="15" t="n">
        <v>100330699</v>
      </c>
      <c r="F37" s="15" t="n"/>
      <c r="G37" s="16" t="n"/>
      <c r="H37" s="17" t="n"/>
      <c r="I37" s="636" t="n"/>
      <c r="J37" s="17" t="n"/>
      <c r="K37" s="588" t="inlineStr">
        <is>
          <t>млн куб.м</t>
        </is>
      </c>
    </row>
    <row r="38" ht="20.25" customHeight="1" s="904">
      <c r="C38" s="972" t="inlineStr">
        <is>
          <t>4.2.3</t>
        </is>
      </c>
      <c r="D38" s="1055" t="inlineStr">
        <is>
          <t xml:space="preserve"> - Бованенковское НГКМ (апт)</t>
        </is>
      </c>
      <c r="E38" s="15" t="n">
        <v>100330700</v>
      </c>
      <c r="F38" s="15" t="n"/>
      <c r="G38" s="16" t="n"/>
      <c r="H38" s="17" t="n"/>
      <c r="I38" s="776" t="inlineStr">
        <is>
          <t>ОКРУГЛ({100330700:-1}/{100330688:-1}*$100;$6)</t>
        </is>
      </c>
      <c r="J38" s="17" t="n"/>
      <c r="K38" s="136" t="inlineStr">
        <is>
          <t>тыс.т.</t>
        </is>
      </c>
    </row>
    <row r="39" ht="20.25" customHeight="1" s="904">
      <c r="C39" s="916" t="n"/>
      <c r="D39" s="916" t="n"/>
      <c r="E39" s="15" t="n">
        <v>100330701</v>
      </c>
      <c r="F39" s="15" t="n"/>
      <c r="G39" s="16" t="n"/>
      <c r="H39" s="17" t="n"/>
      <c r="I39" s="636" t="n"/>
      <c r="J39" s="17" t="n"/>
      <c r="K39" s="588" t="inlineStr">
        <is>
          <t>млн куб.м</t>
        </is>
      </c>
    </row>
    <row r="40" ht="20.25" customHeight="1" s="904">
      <c r="C40" s="972" t="inlineStr">
        <is>
          <t>4.2.5</t>
        </is>
      </c>
      <c r="D40" s="1055" t="inlineStr">
        <is>
          <t xml:space="preserve"> - Харасавэйское ГКМ (апт)</t>
        </is>
      </c>
      <c r="E40" s="15" t="n">
        <v>100333686</v>
      </c>
      <c r="F40" s="15" t="n"/>
      <c r="G40" s="16" t="n"/>
      <c r="H40" s="17" t="n"/>
      <c r="I40" s="776" t="inlineStr">
        <is>
          <t>ОКРУГЛ({100333686:-1}/{100333683:-1}*$100;$6)</t>
        </is>
      </c>
      <c r="J40" s="17" t="n"/>
      <c r="K40" s="136" t="inlineStr">
        <is>
          <t>тыс.т.</t>
        </is>
      </c>
    </row>
    <row r="41" ht="20.25" customHeight="1" s="904">
      <c r="C41" s="916" t="n"/>
      <c r="D41" s="916" t="n"/>
      <c r="E41" s="15" t="n">
        <v>100333687</v>
      </c>
      <c r="F41" s="15" t="n"/>
      <c r="G41" s="16" t="n"/>
      <c r="H41" s="17" t="n"/>
      <c r="I41" s="636" t="n"/>
      <c r="J41" s="17" t="n"/>
      <c r="K41" s="588" t="inlineStr">
        <is>
          <t>млн куб.м</t>
        </is>
      </c>
    </row>
    <row r="42" ht="20.25" customHeight="1" s="904">
      <c r="C42" s="972" t="n"/>
      <c r="D42" s="159" t="inlineStr">
        <is>
          <t>Стабильный конденсат валовый , всего:</t>
        </is>
      </c>
      <c r="E42" s="15" t="n">
        <v>100330100</v>
      </c>
      <c r="F42" s="15" t="n"/>
      <c r="G42" s="16" t="n"/>
      <c r="H42" s="17" t="inlineStr">
        <is>
          <t>100330702+100330703+100330704+100333688</t>
        </is>
      </c>
      <c r="I42" s="776" t="inlineStr">
        <is>
          <t>ОКРУГЛ({100330100:-1}/{100330015:-1}*$100;$6)</t>
        </is>
      </c>
      <c r="J42" s="17" t="n"/>
      <c r="K42" s="136" t="inlineStr">
        <is>
          <t>тыс.т.</t>
        </is>
      </c>
    </row>
    <row r="43" ht="20.25" customFormat="1" customHeight="1" s="1009">
      <c r="A43" s="623" t="n"/>
      <c r="B43" s="623" t="n"/>
      <c r="C43" s="972" t="n"/>
      <c r="D43" s="341" t="inlineStr">
        <is>
          <t>СК (вал) Медвежье НКГМ</t>
        </is>
      </c>
      <c r="E43" s="15" t="n">
        <v>100330702</v>
      </c>
      <c r="F43" s="15" t="n"/>
      <c r="G43" s="16" t="n"/>
      <c r="H43" s="17" t="n"/>
      <c r="I43" s="776" t="inlineStr">
        <is>
          <t>ОКРУГЛ({100330702:-1}/{100330686:-1}*$100;$6)</t>
        </is>
      </c>
      <c r="J43" s="17" t="n"/>
      <c r="K43" s="225" t="inlineStr">
        <is>
          <t>тыс.т.</t>
        </is>
      </c>
    </row>
    <row r="44" ht="20.25" customFormat="1" customHeight="1" s="1009">
      <c r="A44" s="623" t="n"/>
      <c r="B44" s="623" t="n"/>
      <c r="C44" s="972" t="n"/>
      <c r="D44" s="341" t="inlineStr">
        <is>
          <t>СК (вал) Юбилейное НГКМ</t>
        </is>
      </c>
      <c r="E44" s="15" t="n">
        <v>100330703</v>
      </c>
      <c r="F44" s="15" t="n"/>
      <c r="G44" s="16" t="n"/>
      <c r="H44" s="17" t="n"/>
      <c r="I44" s="776" t="inlineStr">
        <is>
          <t>ОКРУГЛ({100330703:-1}/{100330687:-1}*$100;$6)</t>
        </is>
      </c>
      <c r="J44" s="17" t="n"/>
      <c r="K44" s="225" t="inlineStr">
        <is>
          <t>тыс.т.</t>
        </is>
      </c>
    </row>
    <row r="45" ht="20.25" customFormat="1" customHeight="1" s="1009">
      <c r="A45" s="623" t="n"/>
      <c r="B45" s="623" t="n"/>
      <c r="C45" s="972" t="n"/>
      <c r="D45" s="341" t="inlineStr">
        <is>
          <t>СК (вал) Бованенковское НГКМ (апт)</t>
        </is>
      </c>
      <c r="E45" s="15" t="n">
        <v>100330704</v>
      </c>
      <c r="F45" s="15" t="n"/>
      <c r="G45" s="16" t="n"/>
      <c r="H45" s="17" t="n"/>
      <c r="I45" s="776" t="inlineStr">
        <is>
          <t>ОКРУГЛ({100330704:-1}/{100330688:-1}*$100;$6)</t>
        </is>
      </c>
      <c r="J45" s="17" t="n"/>
      <c r="K45" s="225" t="inlineStr">
        <is>
          <t>тыс.т.</t>
        </is>
      </c>
    </row>
    <row r="46" ht="20.25" customFormat="1" customHeight="1" s="1009">
      <c r="A46" s="623" t="n"/>
      <c r="B46" s="623" t="n"/>
      <c r="C46" s="972" t="n"/>
      <c r="D46" s="341" t="inlineStr">
        <is>
          <t>СК (вал) Харасавейского ГКМ</t>
        </is>
      </c>
      <c r="E46" s="15" t="n">
        <v>100333688</v>
      </c>
      <c r="F46" s="15" t="n"/>
      <c r="G46" s="16" t="n"/>
      <c r="H46" s="17" t="n"/>
      <c r="I46" s="776" t="inlineStr">
        <is>
          <t>ОКРУГЛ({100333688:-1}/{100333683:-1}*$100;$6)</t>
        </is>
      </c>
      <c r="J46" s="17" t="n"/>
      <c r="K46" s="225" t="inlineStr">
        <is>
          <t>тыс.т.</t>
        </is>
      </c>
    </row>
    <row r="47" ht="20.25" customHeight="1" s="904">
      <c r="C47" s="342" t="n"/>
      <c r="D47" s="343" t="inlineStr">
        <is>
          <t>Стабильный конденсат на собственные нужды, всего:</t>
        </is>
      </c>
      <c r="E47" s="15" t="n">
        <v>100330705</v>
      </c>
      <c r="F47" s="15" t="n"/>
      <c r="G47" s="16" t="n"/>
      <c r="H47" s="17" t="inlineStr">
        <is>
          <t>100330706+100330707+100330708+100333689</t>
        </is>
      </c>
      <c r="I47" s="776" t="inlineStr">
        <is>
          <t>ОКРУГЛ({100330705:-1}/{100330015:-1}*$100;$6)</t>
        </is>
      </c>
      <c r="J47" s="17" t="n"/>
      <c r="K47" s="329" t="inlineStr">
        <is>
          <t>тыс.т.</t>
        </is>
      </c>
    </row>
    <row r="48" ht="20.25" customFormat="1" customHeight="1" s="1041">
      <c r="A48" s="623" t="n"/>
      <c r="B48" s="623" t="n"/>
      <c r="C48" s="344" t="n"/>
      <c r="D48" s="345" t="inlineStr">
        <is>
          <t>СК (сн)Медвежье НКГМ</t>
        </is>
      </c>
      <c r="E48" s="15" t="n">
        <v>100330706</v>
      </c>
      <c r="F48" s="15" t="n"/>
      <c r="G48" s="16" t="n"/>
      <c r="H48" s="17" t="n"/>
      <c r="I48" s="776" t="inlineStr">
        <is>
          <t>ОКРУГЛ({100330706:-1}/{100330686:-1}*$100;$6)</t>
        </is>
      </c>
      <c r="J48" s="17" t="n"/>
      <c r="K48" s="1046" t="inlineStr">
        <is>
          <t>тыс.т.</t>
        </is>
      </c>
    </row>
    <row r="49" ht="20.25" customFormat="1" customHeight="1" s="1041">
      <c r="A49" s="623" t="n"/>
      <c r="B49" s="623" t="n"/>
      <c r="C49" s="346" t="n"/>
      <c r="D49" s="341" t="inlineStr">
        <is>
          <t>СК (сн) Юбилейное НГКМ</t>
        </is>
      </c>
      <c r="E49" s="15" t="n">
        <v>100330707</v>
      </c>
      <c r="F49" s="15" t="n"/>
      <c r="G49" s="16" t="n"/>
      <c r="H49" s="17" t="n"/>
      <c r="I49" s="776" t="inlineStr">
        <is>
          <t>ОКРУГЛ({100330707:-1}/{100330687:-1}*$100;$6)</t>
        </is>
      </c>
      <c r="J49" s="17" t="n"/>
      <c r="K49" s="136" t="inlineStr">
        <is>
          <t>тыс.т.</t>
        </is>
      </c>
    </row>
    <row r="50" ht="20.25" customFormat="1" customHeight="1" s="1041">
      <c r="A50" s="623" t="n"/>
      <c r="B50" s="623" t="n"/>
      <c r="C50" s="346" t="n"/>
      <c r="D50" s="341" t="inlineStr">
        <is>
          <t>СК (вал) Бованенковское НГКМ (апт)</t>
        </is>
      </c>
      <c r="E50" s="15" t="n">
        <v>100330708</v>
      </c>
      <c r="F50" s="15" t="n"/>
      <c r="G50" s="16" t="n"/>
      <c r="H50" s="17" t="n"/>
      <c r="I50" s="776" t="inlineStr">
        <is>
          <t>ОКРУГЛ({100330708:-1}/{100330688:-1}*$100;$6)</t>
        </is>
      </c>
      <c r="J50" s="17" t="n"/>
      <c r="K50" s="136" t="inlineStr">
        <is>
          <t>тыс.т.</t>
        </is>
      </c>
    </row>
    <row r="51" ht="20.25" customFormat="1" customHeight="1" s="1041">
      <c r="A51" s="623" t="n"/>
      <c r="B51" s="623" t="n"/>
      <c r="C51" s="346" t="n"/>
      <c r="D51" s="341" t="inlineStr">
        <is>
          <t>СК (сн) Харасавейского ГКМ</t>
        </is>
      </c>
      <c r="E51" s="15" t="n">
        <v>100333689</v>
      </c>
      <c r="F51" s="15" t="n"/>
      <c r="G51" s="16" t="n"/>
      <c r="H51" s="17" t="n"/>
      <c r="I51" s="776" t="inlineStr">
        <is>
          <t>ОКРУГЛ({100333689:-1}/{100333683:-1}*$100;$6)</t>
        </is>
      </c>
      <c r="J51" s="17" t="n"/>
      <c r="K51" s="136" t="inlineStr">
        <is>
          <t>тыс.т.</t>
        </is>
      </c>
    </row>
    <row r="52" outlineLevel="1" ht="39" customHeight="1" s="904">
      <c r="C52" s="295" t="inlineStr">
        <is>
          <t>5.</t>
        </is>
      </c>
      <c r="D52" s="159" t="inlineStr">
        <is>
          <t>Материальный баланс переработки УВС ("П.1"-"П.2"-"П.3" = 0,000)</t>
        </is>
      </c>
      <c r="E52" s="15" t="n"/>
      <c r="F52" s="15" t="n"/>
      <c r="G52" s="16" t="n"/>
      <c r="H52" s="17" t="n"/>
      <c r="I52" s="636" t="n"/>
      <c r="J52" s="17" t="n"/>
      <c r="K52" s="136" t="inlineStr">
        <is>
          <t>тыс.т.</t>
        </is>
      </c>
    </row>
    <row r="53" outlineLevel="1" ht="20.25" customHeight="1" s="904">
      <c r="C53" s="346" t="n"/>
      <c r="D53" s="341" t="inlineStr">
        <is>
          <t>МБ Медвежье НКГМ</t>
        </is>
      </c>
      <c r="E53" s="15" t="n">
        <v>100330709</v>
      </c>
      <c r="F53" s="15" t="n"/>
      <c r="G53" s="16" t="n"/>
      <c r="H53" s="17" t="inlineStr">
        <is>
          <t>100330686-100330689-100330693-100330696</t>
        </is>
      </c>
      <c r="I53" s="636" t="n"/>
      <c r="J53" s="17" t="n"/>
      <c r="K53" s="136" t="inlineStr">
        <is>
          <t>тыс.т.</t>
        </is>
      </c>
    </row>
    <row r="54" outlineLevel="1" ht="20.25" customHeight="1" s="904">
      <c r="C54" s="346" t="n"/>
      <c r="D54" s="341" t="inlineStr">
        <is>
          <t>МБ Юбилейное НГКМ</t>
        </is>
      </c>
      <c r="E54" s="15" t="n">
        <v>100330710</v>
      </c>
      <c r="F54" s="15" t="n"/>
      <c r="G54" s="16" t="n"/>
      <c r="H54" s="17" t="inlineStr">
        <is>
          <t>100330687-100330690-100330694-100330698</t>
        </is>
      </c>
      <c r="I54" s="636" t="n"/>
      <c r="J54" s="17" t="n"/>
      <c r="K54" s="136" t="inlineStr">
        <is>
          <t>тыс.т.</t>
        </is>
      </c>
    </row>
    <row r="55" outlineLevel="1" ht="20.25" customHeight="1" s="904">
      <c r="C55" s="346" t="n"/>
      <c r="D55" s="341" t="inlineStr">
        <is>
          <t>МБ Бованенковское НГКМ</t>
        </is>
      </c>
      <c r="E55" s="15" t="n">
        <v>100330711</v>
      </c>
      <c r="F55" s="15" t="n"/>
      <c r="G55" s="16" t="n"/>
      <c r="H55" s="17" t="inlineStr">
        <is>
          <t>100330688-100330691-100330695-100330700</t>
        </is>
      </c>
      <c r="I55" s="636" t="n"/>
      <c r="J55" s="17" t="n"/>
      <c r="K55" s="136" t="inlineStr">
        <is>
          <t>тыс.т.</t>
        </is>
      </c>
    </row>
    <row r="56" outlineLevel="1" ht="20.25" customHeight="1" s="904">
      <c r="C56" s="346" t="n"/>
      <c r="D56" s="341" t="inlineStr">
        <is>
          <t>МБ Харасавейского ГКМ</t>
        </is>
      </c>
      <c r="E56" s="15" t="n">
        <v>100333690</v>
      </c>
      <c r="F56" s="15" t="n"/>
      <c r="G56" s="16" t="n"/>
      <c r="H56" s="17" t="inlineStr">
        <is>
          <t>100333683-100333684-100333685-100333686</t>
        </is>
      </c>
      <c r="I56" s="636" t="n"/>
      <c r="J56" s="17" t="n"/>
      <c r="K56" s="136" t="inlineStr">
        <is>
          <t>тыс.т.</t>
        </is>
      </c>
    </row>
    <row r="57" ht="20.25" customHeight="1" s="904">
      <c r="C57" s="199" t="n">
        <v>6</v>
      </c>
      <c r="D57" s="161" t="inlineStr">
        <is>
          <t>Производство для реализации ПАО "Газпром"</t>
        </is>
      </c>
      <c r="E57" s="15" t="n"/>
      <c r="F57" s="15" t="inlineStr">
        <is>
          <t>T</t>
        </is>
      </c>
      <c r="G57" s="16" t="n"/>
      <c r="H57" s="17" t="inlineStr">
        <is>
          <t>100330693+100330694+100330695+100333685</t>
        </is>
      </c>
      <c r="I57" s="636" t="n"/>
      <c r="J57" s="17" t="n"/>
      <c r="K57" s="1077" t="inlineStr">
        <is>
          <t>тыс.т.</t>
        </is>
      </c>
    </row>
    <row r="58" ht="39.75" customHeight="1" s="904">
      <c r="C58" s="347" t="n">
        <v>7</v>
      </c>
      <c r="D58" s="185" t="inlineStr">
        <is>
          <t>Проверка с разделом "Добыча"</t>
        </is>
      </c>
      <c r="E58" s="15" t="n"/>
      <c r="F58" s="15" t="n"/>
      <c r="G58" s="16" t="n"/>
      <c r="H58" s="17" t="n"/>
      <c r="I58" s="636" t="n"/>
      <c r="J58" s="17" t="n"/>
      <c r="K58" s="162" t="n"/>
    </row>
    <row r="59" ht="20.25" customHeight="1" s="904">
      <c r="C59" s="348" t="n"/>
      <c r="D59" s="349" t="inlineStr">
        <is>
          <t>Медвежье НКГМ</t>
        </is>
      </c>
      <c r="E59" s="15" t="n"/>
      <c r="F59" s="15" t="n"/>
      <c r="G59" s="16" t="n"/>
      <c r="H59" s="17" t="n"/>
      <c r="I59" s="636" t="n"/>
      <c r="J59" s="17" t="n"/>
      <c r="K59" s="188" t="inlineStr">
        <is>
          <t>тыс.т.</t>
        </is>
      </c>
    </row>
    <row r="60" ht="20.25" customHeight="1" s="904">
      <c r="C60" s="348" t="n"/>
      <c r="D60" s="349" t="inlineStr">
        <is>
          <t>Юбилейное НГКМ</t>
        </is>
      </c>
      <c r="E60" s="15" t="n"/>
      <c r="F60" s="15" t="n"/>
      <c r="G60" s="16" t="n"/>
      <c r="H60" s="17" t="n"/>
      <c r="I60" s="636" t="n"/>
      <c r="J60" s="17" t="n"/>
      <c r="K60" s="188" t="inlineStr">
        <is>
          <t>тыс.т.</t>
        </is>
      </c>
    </row>
    <row r="61" ht="20.25" customHeight="1" s="904">
      <c r="C61" s="348" t="n"/>
      <c r="D61" s="350" t="inlineStr">
        <is>
          <t>Бованенковское НГКМ (апт)</t>
        </is>
      </c>
      <c r="E61" s="15" t="n"/>
      <c r="F61" s="15" t="n"/>
      <c r="G61" s="16" t="n"/>
      <c r="H61" s="17" t="n"/>
      <c r="I61" s="636" t="n"/>
      <c r="J61" s="17" t="n"/>
      <c r="K61" s="188" t="inlineStr">
        <is>
          <t>тыс.т.</t>
        </is>
      </c>
    </row>
    <row r="62" ht="20.25" customHeight="1" s="904">
      <c r="C62" s="351" t="n"/>
      <c r="D62" s="349" t="inlineStr">
        <is>
          <t>Харасавэйское ГКМ</t>
        </is>
      </c>
      <c r="E62" s="15" t="n"/>
      <c r="F62" s="15" t="n"/>
      <c r="G62" s="16" t="n"/>
      <c r="H62" s="17" t="n"/>
      <c r="I62" s="636" t="n"/>
      <c r="J62" s="17" t="n"/>
      <c r="K62" s="188" t="inlineStr">
        <is>
          <t>тыс.т.</t>
        </is>
      </c>
    </row>
    <row r="63" ht="20.25" customHeight="1" s="904">
      <c r="C63" s="351" t="n"/>
      <c r="D63" s="349" t="inlineStr">
        <is>
          <t>Бованенковское НГКМ (неоком-юра) (ДРОД)</t>
        </is>
      </c>
      <c r="E63" s="15" t="n"/>
      <c r="F63" s="15" t="n"/>
      <c r="G63" s="16" t="n"/>
      <c r="H63" s="17" t="n"/>
      <c r="I63" s="636" t="n"/>
      <c r="J63" s="17" t="n"/>
      <c r="K63" s="188" t="inlineStr">
        <is>
          <t>тыс.т.</t>
        </is>
      </c>
    </row>
    <row r="64" ht="20.25" customHeight="1" s="904">
      <c r="C64" s="352" t="n"/>
      <c r="D64" s="350" t="inlineStr">
        <is>
          <t>Харасавэйское ГКМ (неоком-юра) (ДРОД)</t>
        </is>
      </c>
      <c r="E64" s="15" t="n"/>
      <c r="F64" s="15" t="n"/>
      <c r="G64" s="16" t="n"/>
      <c r="H64" s="17" t="n"/>
      <c r="I64" s="636" t="n"/>
      <c r="J64" s="17" t="n"/>
      <c r="K64" s="188" t="inlineStr">
        <is>
          <t>тыс.т.</t>
        </is>
      </c>
    </row>
    <row r="65" ht="39.75" customHeight="1" s="904">
      <c r="C65" s="353" t="n">
        <v>8</v>
      </c>
      <c r="D65" s="354" t="inlineStr">
        <is>
          <t>Расчет продукции под Баланс Газа</t>
        </is>
      </c>
      <c r="E65" s="15" t="n"/>
      <c r="F65" s="15" t="n"/>
      <c r="G65" s="16" t="n"/>
      <c r="H65" s="17" t="n"/>
      <c r="I65" s="636" t="n"/>
      <c r="J65" s="17" t="n"/>
      <c r="K65" s="355" t="n"/>
    </row>
    <row r="66" ht="20.25" customHeight="1" s="904">
      <c r="C66" s="356" t="n"/>
      <c r="D66" s="349" t="inlineStr">
        <is>
          <t>СК (вал) Медвежье НКГМ</t>
        </is>
      </c>
      <c r="E66" s="15" t="inlineStr">
        <is>
          <t>S1</t>
        </is>
      </c>
      <c r="F66" s="15" t="inlineStr">
        <is>
          <t>S1</t>
        </is>
      </c>
      <c r="G66" s="16" t="n"/>
      <c r="H66" s="17" t="inlineStr">
        <is>
          <t>ОКРУГЛ({100330702:2}/{100330686:2}*{100330702:0};$1)</t>
        </is>
      </c>
      <c r="I66" s="636" t="n"/>
      <c r="J66" s="17" t="n"/>
      <c r="K66" s="188" t="inlineStr">
        <is>
          <t>тыс.т.</t>
        </is>
      </c>
    </row>
    <row r="67" ht="20.25" customHeight="1" s="904">
      <c r="C67" s="356" t="n"/>
      <c r="D67" s="349" t="inlineStr">
        <is>
          <t>СК (вал) Юбилейное НГКМ</t>
        </is>
      </c>
      <c r="E67" s="15" t="inlineStr">
        <is>
          <t>S2</t>
        </is>
      </c>
      <c r="F67" s="15" t="inlineStr">
        <is>
          <t>S1</t>
        </is>
      </c>
      <c r="G67" s="16" t="n"/>
      <c r="H67" s="17" t="inlineStr">
        <is>
          <t>ОКРУГЛ({100330703:2}/{100330687:2}*{100330703:0};$1)</t>
        </is>
      </c>
      <c r="I67" s="636" t="n"/>
      <c r="J67" s="17" t="n"/>
      <c r="K67" s="188" t="inlineStr">
        <is>
          <t>тыс.т.</t>
        </is>
      </c>
    </row>
    <row r="68" ht="20.25" customHeight="1" s="904">
      <c r="C68" s="356" t="n"/>
      <c r="D68" s="349" t="inlineStr">
        <is>
          <t>СК (вал) Бованенковское НГКМ (апт)</t>
        </is>
      </c>
      <c r="E68" s="15" t="inlineStr">
        <is>
          <t>S3</t>
        </is>
      </c>
      <c r="F68" s="15" t="inlineStr">
        <is>
          <t>S1</t>
        </is>
      </c>
      <c r="G68" s="16" t="n"/>
      <c r="H68" s="17" t="inlineStr">
        <is>
          <t>ОКРУГЛ({100330704:2}/{100330688:2}*{100330704:0};$1)</t>
        </is>
      </c>
      <c r="I68" s="636" t="n"/>
      <c r="J68" s="17" t="n"/>
      <c r="K68" s="188" t="inlineStr">
        <is>
          <t>тыс.т.</t>
        </is>
      </c>
    </row>
    <row r="69" ht="20.25" customHeight="1" s="904">
      <c r="C69" s="357" t="n"/>
      <c r="D69" s="358" t="inlineStr">
        <is>
          <t>СК (вал) Харасавейского ГКМ</t>
        </is>
      </c>
      <c r="E69" s="15" t="inlineStr">
        <is>
          <t>S4</t>
        </is>
      </c>
      <c r="F69" s="15" t="inlineStr">
        <is>
          <t>S1</t>
        </is>
      </c>
      <c r="G69" s="16" t="n"/>
      <c r="H69" s="17" t="inlineStr">
        <is>
          <t>ОКРУГЛ({100333688:2}/{100330683:2}*{100333688:0};$1)</t>
        </is>
      </c>
      <c r="I69" s="636" t="n"/>
      <c r="J69" s="17" t="n"/>
      <c r="K69" s="192" t="inlineStr">
        <is>
          <t>тыс.т.</t>
        </is>
      </c>
    </row>
    <row r="70" ht="20.25" customHeight="1" s="904"/>
    <row r="71" ht="20.25" customHeight="1" s="904">
      <c r="D71" s="1009" t="inlineStr">
        <is>
          <t>* - Обеспечение своевременного внесения изменений в перечень номенклатуры сырья и продукции входит в компетенцию дочернего общества.</t>
        </is>
      </c>
    </row>
    <row r="72" ht="20.25" customHeight="1" s="904">
      <c r="D72" s="1009" t="n"/>
    </row>
    <row r="73" ht="20.25" customHeight="1" s="904">
      <c r="D73" s="137" t="inlineStr">
        <is>
          <t>Примечания:</t>
        </is>
      </c>
    </row>
    <row r="74" ht="20.25" customHeight="1" s="904">
      <c r="D74" s="1009" t="inlineStr">
        <is>
          <t>1. Газ стабилизации на СТН:</t>
        </is>
      </c>
    </row>
    <row r="75" ht="20.25" customHeight="1" s="904">
      <c r="D75" s="108" t="inlineStr">
        <is>
          <t>Медвежье НКГМ на факел</t>
        </is>
      </c>
    </row>
    <row r="76" ht="20.25" customHeight="1" s="904">
      <c r="D76" s="108" t="inlineStr">
        <is>
          <t>Юбилейное НГКМ на факел</t>
        </is>
      </c>
    </row>
    <row r="77" ht="20.25" customHeight="1" s="904">
      <c r="D77" s="108" t="inlineStr">
        <is>
          <t>Бованенковское НГКМ на факел и на печи подогрева</t>
        </is>
      </c>
    </row>
    <row r="78" ht="20.25" customHeight="1" s="904"/>
    <row r="79" ht="20.25" customHeight="1" s="904"/>
    <row r="80" ht="20.25" customHeight="1" s="904"/>
    <row r="81" ht="20.25" customHeight="1" s="904"/>
    <row r="82" ht="20.25" customHeight="1" s="904"/>
    <row r="83" ht="20.25" customHeight="1" s="904"/>
    <row r="84" ht="20.25" customHeight="1" s="904"/>
    <row r="85" ht="20.25" customHeight="1" s="904"/>
    <row r="86" ht="20.25" customHeight="1" s="904"/>
    <row r="87" ht="20.25" customHeight="1" s="904"/>
    <row r="88" ht="20.25" customHeight="1" s="904"/>
    <row r="89" ht="20.25" customHeight="1" s="904"/>
    <row r="90" ht="20.25" customHeight="1" s="904"/>
    <row r="91" ht="20.25" customHeight="1" s="904"/>
    <row r="92" ht="20.25" customHeight="1" s="904"/>
    <row r="93" ht="20.25" customHeight="1" s="904"/>
  </sheetData>
  <mergeCells count="21">
    <mergeCell ref="G7:G8"/>
    <mergeCell ref="I7:I8"/>
    <mergeCell ref="E6:J6"/>
    <mergeCell ref="D36:D37"/>
    <mergeCell ref="K6:K8"/>
    <mergeCell ref="D32:D33"/>
    <mergeCell ref="H7:H8"/>
    <mergeCell ref="J7:J8"/>
    <mergeCell ref="C40:C41"/>
    <mergeCell ref="C36:C37"/>
    <mergeCell ref="C6:C8"/>
    <mergeCell ref="D6:D8"/>
    <mergeCell ref="E7:E8"/>
    <mergeCell ref="C3:K3"/>
    <mergeCell ref="C32:C33"/>
    <mergeCell ref="C38:C39"/>
    <mergeCell ref="D38:D39"/>
    <mergeCell ref="C34:C35"/>
    <mergeCell ref="D34:D35"/>
    <mergeCell ref="F7:F8"/>
    <mergeCell ref="D40:D41"/>
  </mergeCells>
  <conditionalFormatting sqref="P10:P69 Q10:Q69 V10:V69 W10:W69 AB10:AB69 AC10:AC69 AH10:AH69 AI10:AI69 AN10:AN69 AO10:AO69 AT10:AT69 AU10:AU69 AZ10:AZ69 BA10:BA69 BF10:BF69 BG10:BG69 BL10:BL69 BM10:BM69 BR10:BR69 BS10:BS69 BX10:BX69 BY10:BY69 CD10:CD69 CE10:CE69 CJ10:CJ69 CK10:CK69 CP10:CP69 CQ10:CQ69 CV10:CV69 CW10:CW69 DB10:DB69 DC10:DC69 DH10:DH69 DI10:DI69">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9 M52:M69 O10:O69 S10:S69 U10:U69 Y10:Y69 AA10:AA69 AE10:AE69 AG10:AG69 AK10:AK69 AM10:AM69 AQ10:AQ69 AS10:AS69 AW10:AW69 AY10:AY69 BC10:BC69 BE10:BE69 BI10:BI69 BK10:BK69 BO10:BO69 BQ10:BQ69 BU10:BU69 BW10:BW69 CA10:CA69 CC10:CC69 CG10:CG69 CI10:CI69 CM10:CM69 CO10:CO69 CS10:CS69 CU10:CU69 CY10:CY69 DA10:DA69 DE10:DE69 DG10:DG69">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9 M52:M69 O10:O69 Q10:Q69 S10:S69 U10:U69 W10:W69 Y10:Y69 AA10:AA69 AC10:AC69 AE10:AE69 AG10:AG69 AI10:AI69 AK10:AK69 AM10:AM69 AO10:AO69 AQ10:AQ69 AS10:AS69">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scale="58" fitToHeight="0"/>
  <legacyDrawing xmlns:r="http://schemas.openxmlformats.org/officeDocument/2006/relationships" r:id="anysvml"/>
</worksheet>
</file>

<file path=xl/worksheets/sheet19.xml><?xml version="1.0" encoding="utf-8"?>
<worksheet xmlns="http://schemas.openxmlformats.org/spreadsheetml/2006/main">
  <sheetPr codeName="Лист16">
    <tabColor theme="4" tint="0.7999816888943144"/>
    <outlinePr summaryBelow="1" summaryRight="1"/>
    <pageSetUpPr fitToPage="1"/>
  </sheetPr>
  <dimension ref="A5:K46"/>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M11" sqref="M11:M37"/>
    </sheetView>
  </sheetViews>
  <sheetFormatPr baseColWidth="8" defaultColWidth="8.42578125" defaultRowHeight="18.75" outlineLevelRow="1"/>
  <cols>
    <col hidden="1" outlineLevel="1" width="21.140625" customWidth="1" style="975" min="1" max="2"/>
    <col collapsed="1" width="12.140625" bestFit="1" customWidth="1" style="649" min="3" max="3"/>
    <col width="75.140625" customWidth="1" style="975" min="4" max="4"/>
    <col hidden="1" outlineLevel="1" width="24.42578125" customWidth="1" style="975" min="5" max="9"/>
    <col hidden="1" outlineLevel="1" width="12.7109375" customWidth="1" style="975" min="10" max="10"/>
    <col collapsed="1" width="12.85546875" bestFit="1" customWidth="1" style="1057" min="11" max="11"/>
    <col width="8.43" customWidth="1" style="975" min="12" max="12"/>
    <col width="8.43" customWidth="1" style="904" min="13"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15" customHeight="1" s="904"/>
    <row r="2" ht="15" customHeight="1" s="904"/>
    <row r="3" ht="21.75" customHeight="1" s="904"/>
    <row r="4" ht="17.25" customHeight="1" s="904"/>
    <row r="5" ht="21.75" customFormat="1" customHeight="1" s="658">
      <c r="C5" s="133" t="inlineStr">
        <is>
          <t>12. Газпром добыча Иркутск</t>
        </is>
      </c>
      <c r="K5" s="359" t="n"/>
    </row>
    <row r="6" ht="20.1" customHeight="1" s="904">
      <c r="B6" s="669" t="n"/>
      <c r="C6" s="1063" t="inlineStr">
        <is>
          <t>№ 
п/п</t>
        </is>
      </c>
      <c r="D6" s="1062" t="inlineStr">
        <is>
          <t>Показатели</t>
        </is>
      </c>
      <c r="E6" s="1059" t="inlineStr">
        <is>
          <t>Внутренние настройки листа</t>
        </is>
      </c>
      <c r="F6" s="1060" t="n"/>
      <c r="G6" s="1060" t="n"/>
      <c r="H6" s="1060" t="n"/>
      <c r="I6" s="1060" t="n"/>
      <c r="J6" s="1061" t="n"/>
      <c r="K6" s="1062" t="inlineStr">
        <is>
          <t>Ед. изм.</t>
        </is>
      </c>
    </row>
    <row r="7" ht="39.95" customHeight="1" s="904">
      <c r="C7" s="916" t="n"/>
      <c r="D7" s="916" t="n"/>
      <c r="E7" s="1058" t="inlineStr">
        <is>
          <t>Ключ статьи</t>
        </is>
      </c>
      <c r="F7" s="1058" t="inlineStr">
        <is>
          <t>Ключ спец</t>
        </is>
      </c>
      <c r="G7" s="1058" t="inlineStr">
        <is>
          <t>Ключ ввод данных</t>
        </is>
      </c>
      <c r="H7" s="1058" t="inlineStr">
        <is>
          <t>Формулы месяца</t>
        </is>
      </c>
      <c r="I7" s="1058" t="inlineStr">
        <is>
          <t>Формулы % выхода</t>
        </is>
      </c>
      <c r="J7" s="1058" t="inlineStr">
        <is>
          <t>Строка проверка</t>
        </is>
      </c>
      <c r="K7" s="916" t="n"/>
    </row>
    <row r="8" ht="20.1" customHeight="1" s="904">
      <c r="C8" s="957" t="n"/>
      <c r="D8" s="957" t="n"/>
      <c r="E8" s="957" t="n"/>
      <c r="F8" s="957" t="n"/>
      <c r="G8" s="957" t="n"/>
      <c r="H8" s="957" t="n"/>
      <c r="I8" s="957" t="n"/>
      <c r="J8" s="957" t="n"/>
      <c r="K8" s="957" t="n"/>
    </row>
    <row r="9" hidden="1" ht="20.1" customHeight="1" s="904">
      <c r="B9" s="1031" t="n"/>
      <c r="C9" s="1045" t="n"/>
      <c r="D9" s="1046" t="n"/>
      <c r="E9" s="1057" t="n"/>
      <c r="F9" s="1057" t="n"/>
      <c r="G9" s="1057" t="n"/>
      <c r="H9" s="1057" t="n"/>
      <c r="I9" s="1057" t="n"/>
      <c r="J9" s="256" t="n"/>
      <c r="K9" s="1062" t="n"/>
    </row>
    <row r="10" ht="17.25" customFormat="1" customHeight="1" s="658">
      <c r="B10" s="625" t="n"/>
      <c r="C10" s="140" t="n">
        <v>1</v>
      </c>
      <c r="D10" s="139" t="inlineStr">
        <is>
          <t>Переработано сырья, всего:</t>
        </is>
      </c>
      <c r="E10" s="634" t="n">
        <v>100330000</v>
      </c>
      <c r="F10" s="634" t="n"/>
      <c r="G10" s="635" t="n"/>
      <c r="H10" s="636" t="n">
        <v>100330735</v>
      </c>
      <c r="I10" s="636" t="n"/>
      <c r="J10" s="636" t="n"/>
      <c r="K10" s="1062" t="inlineStr">
        <is>
          <t>тыс.т.</t>
        </is>
      </c>
    </row>
    <row r="11" ht="39.75" customHeight="1" s="904">
      <c r="A11" s="658" t="n"/>
      <c r="B11" s="625" t="n"/>
      <c r="C11" s="1010" t="inlineStr">
        <is>
          <t>1.1</t>
        </is>
      </c>
      <c r="D11" s="692" t="inlineStr">
        <is>
          <t xml:space="preserve">Нестабильный газовый конденсат, собственность ПАО "Газпром" (Ковыктинское ГКМ) </t>
        </is>
      </c>
      <c r="E11" s="634" t="n">
        <v>100330735</v>
      </c>
      <c r="F11" s="634" t="n"/>
      <c r="G11" s="635" t="n"/>
      <c r="H11" s="636" t="n"/>
      <c r="I11" s="636" t="n"/>
      <c r="J11" s="636" t="n"/>
      <c r="K11" s="1062" t="inlineStr">
        <is>
          <t>тыс.т.</t>
        </is>
      </c>
    </row>
    <row r="12" outlineLevel="1" ht="20.25" customHeight="1" s="904">
      <c r="A12" s="658" t="n"/>
      <c r="B12" s="625" t="n"/>
      <c r="C12" s="697" t="inlineStr">
        <is>
          <t>2</t>
        </is>
      </c>
      <c r="D12" s="660" t="inlineStr">
        <is>
          <t>Потери НК при переработке, всего</t>
        </is>
      </c>
      <c r="E12" s="634" t="n">
        <v>100330736</v>
      </c>
      <c r="F12" s="634" t="n"/>
      <c r="G12" s="635" t="n"/>
      <c r="H12" s="636" t="n"/>
      <c r="I12" s="776">
        <f>ROUND(100-I14-I16-I17,6)</f>
        <v/>
      </c>
      <c r="J12" s="636" t="n"/>
      <c r="K12" s="1062" t="inlineStr">
        <is>
          <t>тыс.т.</t>
        </is>
      </c>
    </row>
    <row r="13" ht="20.25" customFormat="1" customHeight="1" s="658">
      <c r="B13" s="625" t="n"/>
      <c r="C13" s="618" t="n">
        <v>3</v>
      </c>
      <c r="D13" s="661" t="inlineStr">
        <is>
          <t>Производство продукции, всего:</t>
        </is>
      </c>
      <c r="E13" s="634" t="n">
        <v>100330049</v>
      </c>
      <c r="F13" s="634" t="n"/>
      <c r="G13" s="635" t="n"/>
      <c r="H13" s="636" t="inlineStr">
        <is>
          <t>100330866+100330867+100330679+100330737</t>
        </is>
      </c>
      <c r="I13" s="776" t="inlineStr">
        <is>
          <t>ОКРУГЛ({100330049:-1}/{100330000:-1}*$100;$6)</t>
        </is>
      </c>
      <c r="J13" s="636" t="n"/>
      <c r="K13" s="1062" t="inlineStr">
        <is>
          <t>тыс.т.</t>
        </is>
      </c>
    </row>
    <row r="14" ht="20.25" customHeight="1" s="904">
      <c r="A14" s="658" t="n"/>
      <c r="B14" s="625" t="n"/>
      <c r="C14" s="1010" t="inlineStr">
        <is>
          <t>3.1</t>
        </is>
      </c>
      <c r="D14" s="1064" t="inlineStr">
        <is>
          <t>Газ стабилизации</t>
        </is>
      </c>
      <c r="E14" s="634" t="n">
        <v>100330679</v>
      </c>
      <c r="F14" s="634" t="n"/>
      <c r="G14" s="635" t="n"/>
      <c r="H14" s="636" t="n"/>
      <c r="I14" s="776" t="inlineStr">
        <is>
          <t>ОКРУГЛ({100330679:-1}/{100330000:-1}*$100;$6)</t>
        </is>
      </c>
      <c r="J14" s="636" t="n"/>
      <c r="K14" s="1062" t="inlineStr">
        <is>
          <t>тыс.т.</t>
        </is>
      </c>
    </row>
    <row r="15" ht="20.25" customHeight="1" s="904">
      <c r="A15" s="658" t="n"/>
      <c r="B15" s="625" t="n"/>
      <c r="C15" s="964" t="n"/>
      <c r="D15" s="964" t="n"/>
      <c r="E15" s="634" t="n">
        <v>100330680</v>
      </c>
      <c r="F15" s="634" t="n"/>
      <c r="G15" s="635" t="n"/>
      <c r="H15" s="636" t="n"/>
      <c r="I15" s="636" t="n"/>
      <c r="J15" s="636" t="n"/>
      <c r="K15" s="647" t="inlineStr">
        <is>
          <t>млн куб.м</t>
        </is>
      </c>
    </row>
    <row r="16" ht="20.25" customHeight="1" s="904">
      <c r="A16" s="658" t="n"/>
      <c r="B16" s="625" t="n"/>
      <c r="C16" s="641" t="inlineStr">
        <is>
          <t>3.2</t>
        </is>
      </c>
      <c r="D16" s="662" t="inlineStr">
        <is>
          <t>Газы углеводородные сжиженные (ПБТ)</t>
        </is>
      </c>
      <c r="E16" s="634" t="n">
        <v>100330866</v>
      </c>
      <c r="F16" s="634" t="n"/>
      <c r="G16" s="635" t="n"/>
      <c r="H16" s="636" t="n"/>
      <c r="I16" s="776" t="inlineStr">
        <is>
          <t>ОКРУГЛ({100330866:-1}/{100330000:-1}*$100;$6)</t>
        </is>
      </c>
      <c r="J16" s="636" t="n"/>
      <c r="K16" s="1062" t="inlineStr">
        <is>
          <t>тыс.т.</t>
        </is>
      </c>
    </row>
    <row r="17" ht="20.25" customHeight="1" s="904">
      <c r="A17" s="658" t="n"/>
      <c r="B17" s="625" t="n"/>
      <c r="C17" s="641" t="inlineStr">
        <is>
          <t>3.3</t>
        </is>
      </c>
      <c r="D17" s="663" t="inlineStr">
        <is>
          <t>Стабильный конденсат вал</t>
        </is>
      </c>
      <c r="E17" s="634" t="n">
        <v>100335331</v>
      </c>
      <c r="F17" s="634" t="n"/>
      <c r="G17" s="635" t="n"/>
      <c r="H17" s="636" t="n"/>
      <c r="I17" s="776" t="inlineStr">
        <is>
          <t>ОКРУГЛ({100335331:-1}/{100330000:-1}*$100;$6)</t>
        </is>
      </c>
      <c r="J17" s="636" t="n"/>
      <c r="K17" s="1062" t="inlineStr">
        <is>
          <t>тыс.т.</t>
        </is>
      </c>
    </row>
    <row r="18" ht="39.75" customHeight="1" s="904">
      <c r="A18" s="658" t="n"/>
      <c r="B18" s="625" t="n"/>
      <c r="C18" s="664" t="n"/>
      <c r="D18" s="665" t="inlineStr">
        <is>
          <t>СК на собственные нужды ООО "Газпром добыча Иркутск"</t>
        </is>
      </c>
      <c r="E18" s="634" t="n">
        <v>100330737</v>
      </c>
      <c r="F18" s="634" t="n"/>
      <c r="G18" s="635" t="n"/>
      <c r="H18" s="636" t="n"/>
      <c r="I18" s="776" t="inlineStr">
        <is>
          <t>ОКРУГЛ({100330737:-1}/{100330000:-1}*$100;$6)</t>
        </is>
      </c>
      <c r="J18" s="636" t="n"/>
      <c r="K18" s="1062" t="inlineStr">
        <is>
          <t>тыс.т.</t>
        </is>
      </c>
    </row>
    <row r="19" ht="20.25" customHeight="1" s="904">
      <c r="A19" s="658" t="n"/>
      <c r="B19" s="625" t="n"/>
      <c r="C19" s="975" t="n"/>
      <c r="D19" s="663" t="inlineStr">
        <is>
          <t>Стабильный конденсат товар.</t>
        </is>
      </c>
      <c r="E19" s="634" t="n">
        <v>100330867</v>
      </c>
      <c r="F19" s="634" t="n"/>
      <c r="G19" s="635" t="n"/>
      <c r="H19" s="636" t="n"/>
      <c r="I19" s="776" t="inlineStr">
        <is>
          <t>ОКРУГЛ({100330867:-1}/{100330000:-1}*$100;$6)</t>
        </is>
      </c>
      <c r="J19" s="636" t="n"/>
      <c r="K19" s="1062" t="inlineStr">
        <is>
          <t>тыс.т.</t>
        </is>
      </c>
    </row>
    <row r="20" ht="20.25" customHeight="1" s="904">
      <c r="A20" s="658" t="n"/>
      <c r="B20" s="625" t="n"/>
      <c r="C20" s="641" t="n"/>
      <c r="D20" s="666" t="inlineStr">
        <is>
          <t>в т.ч. автовывоз</t>
        </is>
      </c>
      <c r="E20" s="634" t="n">
        <v>100336107</v>
      </c>
      <c r="F20" s="634" t="n"/>
      <c r="G20" s="635" t="n"/>
      <c r="H20" s="636" t="n"/>
      <c r="I20" s="636" t="n"/>
      <c r="J20" s="636" t="n"/>
      <c r="K20" s="1062" t="inlineStr">
        <is>
          <t>тыс.т.</t>
        </is>
      </c>
    </row>
    <row r="21" ht="20.25" customHeight="1" s="904">
      <c r="A21" s="658" t="n"/>
      <c r="B21" s="625" t="n"/>
      <c r="C21" s="641" t="n"/>
      <c r="D21" s="666" t="inlineStr">
        <is>
          <t>в т.ч. перекачка по конденсатопроводу до ст. Окунайская</t>
        </is>
      </c>
      <c r="E21" s="634" t="n">
        <v>100336108</v>
      </c>
      <c r="F21" s="634" t="n"/>
      <c r="G21" s="635" t="n"/>
      <c r="H21" s="636" t="n"/>
      <c r="I21" s="636" t="n"/>
      <c r="J21" s="636" t="n"/>
      <c r="K21" s="1062" t="inlineStr">
        <is>
          <t>тыс.т.</t>
        </is>
      </c>
    </row>
    <row r="22" ht="20.25" customHeight="1" s="904">
      <c r="A22" s="658" t="n"/>
      <c r="B22" s="625" t="n"/>
      <c r="C22" s="641" t="n"/>
      <c r="D22" s="667" t="inlineStr">
        <is>
          <t>Справочно:</t>
        </is>
      </c>
      <c r="E22" s="634" t="n"/>
      <c r="F22" s="634" t="n"/>
      <c r="G22" s="635" t="n"/>
      <c r="H22" s="636" t="n"/>
      <c r="I22" s="636" t="n"/>
      <c r="J22" s="636" t="n"/>
      <c r="K22" s="1062" t="n"/>
    </row>
    <row r="23" ht="20.25" customHeight="1" s="904">
      <c r="A23" s="658" t="n"/>
      <c r="B23" s="625" t="n"/>
      <c r="C23" s="664" t="n"/>
      <c r="D23" s="360" t="inlineStr">
        <is>
          <t>СК на ст Окунайская, всего</t>
        </is>
      </c>
      <c r="E23" s="634" t="n">
        <v>100336109</v>
      </c>
      <c r="F23" s="634" t="n"/>
      <c r="G23" s="635" t="n"/>
      <c r="H23" s="636" t="inlineStr">
        <is>
          <t>100336110+100336164+100336111</t>
        </is>
      </c>
      <c r="I23" s="636" t="n"/>
      <c r="J23" s="636" t="n"/>
      <c r="K23" s="1062" t="inlineStr">
        <is>
          <t>тыс.т.</t>
        </is>
      </c>
    </row>
    <row r="24" ht="20.25" customHeight="1" s="904">
      <c r="A24" s="658" t="n"/>
      <c r="B24" s="625" t="n"/>
      <c r="C24" s="664" t="n"/>
      <c r="D24" s="361" t="inlineStr">
        <is>
          <t>в т.ч. отгрузка жд транспортом</t>
        </is>
      </c>
      <c r="E24" s="634" t="n">
        <v>100336110</v>
      </c>
      <c r="F24" s="634" t="n"/>
      <c r="G24" s="635" t="n"/>
      <c r="H24" s="636" t="n"/>
      <c r="I24" s="636" t="n"/>
      <c r="J24" s="636" t="n"/>
      <c r="K24" s="1062" t="inlineStr">
        <is>
          <t>тыс.т.</t>
        </is>
      </c>
    </row>
    <row r="25" ht="20.25" customHeight="1" s="904">
      <c r="A25" s="658" t="n"/>
      <c r="B25" s="625" t="n"/>
      <c r="C25" s="664" t="n"/>
      <c r="D25" s="361" t="inlineStr">
        <is>
          <t>в т.ч. отгрузка автотранспортом</t>
        </is>
      </c>
      <c r="E25" s="634" t="n">
        <v>100336164</v>
      </c>
      <c r="F25" s="634" t="n"/>
      <c r="G25" s="635" t="n"/>
      <c r="H25" s="636" t="n"/>
      <c r="I25" s="636" t="n"/>
      <c r="J25" s="636" t="n"/>
      <c r="K25" s="1062" t="n"/>
    </row>
    <row r="26" ht="20.25" customHeight="1" s="904">
      <c r="A26" s="658" t="n"/>
      <c r="B26" s="625" t="n"/>
      <c r="C26" s="664" t="n"/>
      <c r="D26" s="361" t="inlineStr">
        <is>
          <t>в т.ч.на компаундирование с нефтью</t>
        </is>
      </c>
      <c r="E26" s="634" t="n">
        <v>100336111</v>
      </c>
      <c r="F26" s="634" t="n"/>
      <c r="G26" s="635" t="n"/>
      <c r="H26" s="636" t="n"/>
      <c r="I26" s="636" t="n"/>
      <c r="J26" s="636" t="n"/>
      <c r="K26" s="1062" t="inlineStr">
        <is>
          <t>тыс.т.</t>
        </is>
      </c>
    </row>
    <row r="27" outlineLevel="1" ht="20.25" customFormat="1" customHeight="1" s="362">
      <c r="A27" s="658" t="n"/>
      <c r="B27" s="625" t="n"/>
      <c r="C27" s="670" t="inlineStr">
        <is>
          <t>4</t>
        </is>
      </c>
      <c r="D27" s="671" t="inlineStr">
        <is>
          <t>Материальный баланс переработки ("П.1"-"П.2"-"П.3" = 0,000)</t>
        </is>
      </c>
      <c r="E27" s="634" t="n">
        <v>100330863</v>
      </c>
      <c r="F27" s="634" t="n"/>
      <c r="G27" s="635" t="n"/>
      <c r="H27" s="636" t="inlineStr">
        <is>
          <t>100330000-100330049-100330736-100335698+100335699</t>
        </is>
      </c>
      <c r="I27" s="636" t="n"/>
      <c r="J27" s="636" t="n"/>
      <c r="K27" s="1062" t="inlineStr">
        <is>
          <t>тыс.т.</t>
        </is>
      </c>
    </row>
    <row r="28" outlineLevel="1" ht="20.25" customHeight="1" s="904">
      <c r="A28" s="658" t="n"/>
      <c r="B28" s="625" t="n"/>
      <c r="C28" s="641" t="n"/>
      <c r="D28" s="667" t="inlineStr">
        <is>
          <t>Справочно:</t>
        </is>
      </c>
      <c r="E28" s="634" t="n"/>
      <c r="F28" s="634" t="n"/>
      <c r="G28" s="635" t="n"/>
      <c r="H28" s="636" t="n"/>
      <c r="I28" s="636" t="n"/>
      <c r="J28" s="636" t="n"/>
      <c r="K28" s="1062" t="n"/>
    </row>
    <row r="29" outlineLevel="1" ht="20.25" customHeight="1" s="904">
      <c r="A29" s="658" t="n"/>
      <c r="B29" s="625" t="n"/>
      <c r="C29" s="697" t="n"/>
      <c r="D29" s="662" t="inlineStr">
        <is>
          <t>Нефть товар</t>
        </is>
      </c>
      <c r="E29" s="634" t="n">
        <v>100336112</v>
      </c>
      <c r="F29" s="634" t="n"/>
      <c r="G29" s="635" t="n"/>
      <c r="H29" s="636" t="n"/>
      <c r="I29" s="636" t="n"/>
      <c r="J29" s="636" t="n"/>
      <c r="K29" s="1062" t="inlineStr">
        <is>
          <t>тыс.т.</t>
        </is>
      </c>
    </row>
    <row r="30" outlineLevel="1" ht="20.25" customHeight="1" s="904">
      <c r="A30" s="658" t="n"/>
      <c r="B30" s="625" t="n"/>
      <c r="C30" s="641" t="n"/>
      <c r="D30" s="668" t="inlineStr">
        <is>
          <t>в т.ч. нефть на компаундирование, покупка</t>
        </is>
      </c>
      <c r="E30" s="634" t="n">
        <v>100336113</v>
      </c>
      <c r="F30" s="634" t="n"/>
      <c r="G30" s="635" t="n"/>
      <c r="H30" s="636" t="n"/>
      <c r="I30" s="636" t="n"/>
      <c r="J30" s="636" t="n"/>
      <c r="K30" s="1062" t="inlineStr">
        <is>
          <t>тыс.т.</t>
        </is>
      </c>
    </row>
    <row r="31" outlineLevel="1" ht="20.25" customHeight="1" s="904">
      <c r="A31" s="658" t="n"/>
      <c r="B31" s="625" t="n"/>
      <c r="C31" s="641" t="n"/>
      <c r="D31" s="667" t="inlineStr">
        <is>
          <t>Справочно:</t>
        </is>
      </c>
      <c r="E31" s="634" t="n"/>
      <c r="F31" s="634" t="n"/>
      <c r="G31" s="635" t="n"/>
      <c r="H31" s="636" t="n"/>
      <c r="I31" s="636" t="n"/>
      <c r="J31" s="636" t="n"/>
      <c r="K31" s="1062" t="n"/>
    </row>
    <row r="32" ht="20.25" customHeight="1" s="904">
      <c r="A32" s="658" t="n"/>
      <c r="B32" s="625" t="n"/>
      <c r="C32" s="664" t="n"/>
      <c r="D32" s="665" t="inlineStr">
        <is>
          <t>СК на  заполнение конденсатопровода</t>
        </is>
      </c>
      <c r="E32" s="634" t="n">
        <v>100335698</v>
      </c>
      <c r="F32" s="634" t="n"/>
      <c r="G32" s="635" t="n"/>
      <c r="H32" s="636" t="n"/>
      <c r="I32" s="636" t="n"/>
      <c r="J32" s="636" t="n"/>
      <c r="K32" s="1062" t="inlineStr">
        <is>
          <t>тыс.т.</t>
        </is>
      </c>
    </row>
    <row r="33" ht="20.25" customHeight="1" s="904">
      <c r="A33" s="658" t="n"/>
      <c r="B33" s="625" t="n"/>
      <c r="C33" s="664" t="n"/>
      <c r="D33" s="665" t="inlineStr">
        <is>
          <t>СК на  вытеснение  из конденсатопровода</t>
        </is>
      </c>
      <c r="E33" s="634" t="n">
        <v>100335699</v>
      </c>
      <c r="F33" s="634" t="n"/>
      <c r="G33" s="635" t="n"/>
      <c r="H33" s="636" t="n"/>
      <c r="I33" s="636" t="n"/>
      <c r="J33" s="636" t="n"/>
      <c r="K33" s="1062" t="inlineStr">
        <is>
          <t>тыс.т.</t>
        </is>
      </c>
    </row>
    <row r="34" ht="20.25" customHeight="1" s="904">
      <c r="A34" s="658" t="n"/>
      <c r="B34" s="625" t="n"/>
      <c r="C34" s="679" t="n">
        <v>5</v>
      </c>
      <c r="D34" s="680" t="inlineStr">
        <is>
          <t>Производство для реализации ПАО "Газпром"</t>
        </is>
      </c>
      <c r="E34" s="634" t="n"/>
      <c r="F34" s="634" t="inlineStr">
        <is>
          <t>T</t>
        </is>
      </c>
      <c r="G34" s="635" t="n"/>
      <c r="H34" s="636" t="inlineStr">
        <is>
          <t>100330866+100336113+100335331</t>
        </is>
      </c>
      <c r="I34" s="636" t="n"/>
      <c r="J34" s="636" t="n"/>
      <c r="K34" s="140" t="inlineStr">
        <is>
          <t>тыс.т.</t>
        </is>
      </c>
    </row>
    <row r="35" ht="20.25" customHeight="1" s="904">
      <c r="A35" s="658" t="n"/>
      <c r="B35" s="625" t="n"/>
      <c r="C35" s="681" t="n"/>
      <c r="D35" s="682" t="inlineStr">
        <is>
          <t>СК товар</t>
        </is>
      </c>
      <c r="E35" s="634" t="n"/>
      <c r="F35" s="634" t="inlineStr">
        <is>
          <t>T</t>
        </is>
      </c>
      <c r="G35" s="635" t="n"/>
      <c r="H35" s="636" t="inlineStr">
        <is>
          <t>100335331+100336113-100336112</t>
        </is>
      </c>
      <c r="I35" s="636" t="n"/>
      <c r="J35" s="636" t="n"/>
      <c r="K35" s="683" t="inlineStr">
        <is>
          <t>тыс.т.</t>
        </is>
      </c>
    </row>
    <row r="36" ht="20.25" customHeight="1" s="904">
      <c r="A36" s="658" t="n"/>
      <c r="B36" s="625" t="n"/>
      <c r="C36" s="681" t="n"/>
      <c r="D36" s="682" t="inlineStr">
        <is>
          <t>нефть</t>
        </is>
      </c>
      <c r="E36" s="634" t="n"/>
      <c r="F36" s="634" t="inlineStr">
        <is>
          <t>T</t>
        </is>
      </c>
      <c r="G36" s="635" t="n"/>
      <c r="H36" s="636" t="n">
        <v>100336112</v>
      </c>
      <c r="I36" s="636" t="n"/>
      <c r="J36" s="636" t="n"/>
      <c r="K36" s="683" t="inlineStr">
        <is>
          <t>тыс.т.</t>
        </is>
      </c>
    </row>
    <row r="37" ht="39.75" customHeight="1" s="904">
      <c r="B37" s="625" t="n"/>
      <c r="C37" s="1065" t="n">
        <v>6</v>
      </c>
      <c r="D37" s="672" t="inlineStr">
        <is>
          <t>Проверка с разделом "Добыча"</t>
        </is>
      </c>
      <c r="E37" s="634" t="n"/>
      <c r="F37" s="634" t="n"/>
      <c r="G37" s="635" t="n"/>
      <c r="H37" s="636" t="n"/>
      <c r="I37" s="636" t="n"/>
      <c r="J37" s="636" t="n"/>
      <c r="K37" s="620" t="n"/>
    </row>
    <row r="38" ht="39.75" customHeight="1" s="904">
      <c r="B38" s="625" t="n"/>
      <c r="C38" s="981" t="n"/>
      <c r="D38" s="1017" t="inlineStr">
        <is>
          <t xml:space="preserve">Нестабильный газовый конденсат, собственность ПАО "Газпром" (Ковыктинское ГКМ) </t>
        </is>
      </c>
      <c r="E38" s="634" t="n"/>
      <c r="F38" s="639" t="n"/>
      <c r="G38" s="635" t="n"/>
      <c r="H38" s="636" t="n"/>
      <c r="I38" s="636" t="n"/>
      <c r="J38" s="636" t="n"/>
      <c r="K38" s="620" t="inlineStr">
        <is>
          <t>тыс.т.</t>
        </is>
      </c>
    </row>
    <row r="39" ht="17.25" customHeight="1" s="904">
      <c r="B39" s="625" t="n"/>
      <c r="C39" s="1065" t="n">
        <v>7</v>
      </c>
      <c r="D39" s="673" t="inlineStr">
        <is>
          <t>Проверка СК (валовый)</t>
        </is>
      </c>
      <c r="E39" s="634" t="n"/>
      <c r="F39" s="634" t="inlineStr">
        <is>
          <t>T</t>
        </is>
      </c>
      <c r="G39" s="635" t="n"/>
      <c r="H39" s="636" t="inlineStr">
        <is>
          <t>100335331-100330737-100336107-100336108</t>
        </is>
      </c>
      <c r="I39" s="636" t="n"/>
      <c r="J39" s="636" t="n"/>
      <c r="K39" s="621" t="inlineStr">
        <is>
          <t>тыс.т.</t>
        </is>
      </c>
    </row>
    <row r="40" ht="17.25" customHeight="1" s="904">
      <c r="B40" s="659" t="n"/>
      <c r="C40" s="1065" t="n">
        <v>8</v>
      </c>
      <c r="D40" s="673" t="inlineStr">
        <is>
          <t xml:space="preserve">Проверка СК товар. </t>
        </is>
      </c>
      <c r="E40" s="634" t="n"/>
      <c r="F40" s="634" t="inlineStr">
        <is>
          <t>T</t>
        </is>
      </c>
      <c r="G40" s="635" t="n"/>
      <c r="H40" s="636" t="inlineStr">
        <is>
          <t>100330867-100336107-100336108</t>
        </is>
      </c>
      <c r="I40" s="636" t="n"/>
      <c r="J40" s="636" t="n"/>
      <c r="K40" s="621" t="inlineStr">
        <is>
          <t>тыс.т.</t>
        </is>
      </c>
    </row>
    <row r="41" ht="17.25" customHeight="1" s="904">
      <c r="B41" s="659" t="n"/>
      <c r="C41" s="674" t="n">
        <v>9</v>
      </c>
      <c r="D41" s="675" t="inlineStr">
        <is>
          <t>Проверка нефти</t>
        </is>
      </c>
      <c r="E41" s="634" t="n"/>
      <c r="F41" s="634" t="inlineStr">
        <is>
          <t>T</t>
        </is>
      </c>
      <c r="G41" s="635" t="n"/>
      <c r="H41" s="636" t="inlineStr">
        <is>
          <t>100336111+100336113-100336112</t>
        </is>
      </c>
      <c r="I41" s="636" t="n"/>
      <c r="J41" s="636" t="n"/>
      <c r="K41" s="622" t="inlineStr">
        <is>
          <t>тыс.т.</t>
        </is>
      </c>
    </row>
    <row r="42" ht="17.25" customHeight="1" s="904">
      <c r="B42" s="659" t="n"/>
      <c r="C42" s="676" t="n"/>
      <c r="D42" s="677" t="n"/>
      <c r="E42" s="362" t="n"/>
      <c r="F42" s="362" t="n"/>
      <c r="G42" s="362" t="n"/>
      <c r="H42" s="362" t="n"/>
      <c r="I42" s="362" t="n"/>
      <c r="J42" s="362" t="n"/>
      <c r="K42" s="364" t="n"/>
    </row>
    <row r="43" ht="17.25" customHeight="1" s="904">
      <c r="B43" s="659" t="n"/>
      <c r="C43" s="363" t="n"/>
      <c r="D43" s="1009" t="inlineStr">
        <is>
          <t>* - Обеспечение своевременного внесения изменений в перечень номенклатуры сырья и продукции входит в компетенцию дочернего общества.</t>
        </is>
      </c>
      <c r="E43" s="1009" t="n"/>
      <c r="F43" s="1009" t="n"/>
      <c r="G43" s="1009" t="n"/>
      <c r="H43" s="1009" t="n"/>
      <c r="I43" s="1009" t="n"/>
      <c r="J43" s="1009" t="n"/>
      <c r="K43" s="211" t="n"/>
    </row>
    <row r="44">
      <c r="C44" s="365" t="n"/>
      <c r="K44" s="1" t="n"/>
    </row>
    <row r="45" hidden="1" s="904">
      <c r="D45" s="366" t="inlineStr">
        <is>
          <t>СУГ</t>
        </is>
      </c>
      <c r="E45" s="366" t="n"/>
      <c r="F45" s="366" t="n"/>
      <c r="G45" s="366" t="n"/>
      <c r="H45" s="366" t="n"/>
      <c r="I45" s="366" t="n"/>
      <c r="J45" s="366" t="n"/>
    </row>
    <row r="46" hidden="1" ht="18.75" customHeight="1" s="904">
      <c r="D46" s="366" t="inlineStr">
        <is>
          <t>СК товар</t>
        </is>
      </c>
      <c r="E46" s="366" t="n"/>
      <c r="F46" s="366" t="n"/>
      <c r="G46" s="366" t="n"/>
      <c r="H46" s="366" t="n"/>
      <c r="I46" s="366" t="n"/>
      <c r="J46" s="366" t="n"/>
      <c r="K46" s="193" t="n"/>
    </row>
  </sheetData>
  <mergeCells count="13">
    <mergeCell ref="K6:K8"/>
    <mergeCell ref="C37:C38"/>
    <mergeCell ref="G7:G8"/>
    <mergeCell ref="E7:E8"/>
    <mergeCell ref="D6:D8"/>
    <mergeCell ref="I7:I8"/>
    <mergeCell ref="F7:F8"/>
    <mergeCell ref="D14:D15"/>
    <mergeCell ref="J7:J8"/>
    <mergeCell ref="C6:C8"/>
    <mergeCell ref="E6:J6"/>
    <mergeCell ref="H7:H8"/>
    <mergeCell ref="C14:C15"/>
  </mergeCells>
  <conditionalFormatting sqref="P10:P41 Q10:Q41 V10:V41 W10:W41 AB10:AB41 AC10:AC41 AH10:AH41 AI10:AI41 AN10:AN41 AO10:AO41 AT10:AT41 AU10:AU41 AZ10:AZ41 BA10:BA41 BF10:BF41 BG10:BG41 BL10:BL41 BM10:BM41 BR10:BR41 BS10:BS41 BX10:BX41 BY10:BY41 CD10:CD41 CE10:CE41 CJ10:CJ41 CK10:CK41 CP10:CP41 CQ10:CQ41 CV10:CV41 CW10:CW41 DB10:DB41 DC10:DC41 DH10:DH41 DI10:DI4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1 M19:M41 O10:O41 S10:S41 U10:U41 Y10:Y41 AA10:AA41 AE10:AE41 AG10:AG41 AK10:AK41 AM10:AM41 AQ10:AQ41 AS10:AS41 AW10:AW41 AY10:AY41 BC10:BC41 BE10:BE41 BI10:BI41 BK10:BK41 BO10:BO41 BQ10:BQ41 BU10:BU41 BW10:BW41 CA10:CA41 CC10:CC41 CG10:CG41 CI10:CI41 CM10:CM41 CO10:CO41 CS10:CS41 CU10:CU41 CY10:CY41 DA10:DA41 DE10:DE41 DG10:DG4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1 M19:M41 O10:O41 Q10:Q41 S10:S41 U10:U41 W10:W41 Y10:Y41 AA10:AA41 AC10:AC41 AE10:AE41 AG10:AG41 AI10:AI41 AK10:AK41 AM10:AM41 AO10:AO41 AQ10:AQ41 AS10:AS4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fitToHeight="0"/>
  <legacyDrawing xmlns:r="http://schemas.openxmlformats.org/officeDocument/2006/relationships" r:id="anysvml"/>
</worksheet>
</file>

<file path=xl/worksheets/sheet20.xml><?xml version="1.0" encoding="utf-8"?>
<worksheet xmlns="http://schemas.openxmlformats.org/spreadsheetml/2006/main">
  <sheetPr codeName="Лист17">
    <tabColor theme="4" tint="0.7999816888943144"/>
    <outlinePr summaryBelow="1" summaryRight="1"/>
    <pageSetUpPr fitToPage="1"/>
  </sheetPr>
  <dimension ref="B3:K47"/>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M11" sqref="M11:M29"/>
    </sheetView>
  </sheetViews>
  <sheetFormatPr baseColWidth="8" defaultColWidth="8.42578125" defaultRowHeight="18.75" outlineLevelRow="1"/>
  <cols>
    <col hidden="1" outlineLevel="1" width="13" customWidth="1" style="975" min="1" max="1"/>
    <col hidden="1" outlineLevel="1" width="17.42578125" customWidth="1" style="975" min="2" max="2"/>
    <col collapsed="1" width="12.140625" bestFit="1" customWidth="1" style="649" min="3" max="3"/>
    <col width="72.7109375" customWidth="1" style="975" min="4" max="4"/>
    <col hidden="1" outlineLevel="1" width="30.5703125" customWidth="1" style="975" min="5" max="9"/>
    <col hidden="1" outlineLevel="1" width="16.28515625" customWidth="1" style="975" min="10" max="10"/>
    <col collapsed="1" width="13" bestFit="1" customWidth="1" style="976"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15" customHeight="1" s="904"/>
    <row r="2" ht="15" customHeight="1" s="904"/>
    <row r="3" ht="20.25" customHeight="1" s="904">
      <c r="C3" s="1067" t="inlineStr">
        <is>
          <t>Прогнозные показатели по поставке, переработке сырья и производству продукции ООО "Газпром добыча шельф Южно-Сахалинск"</t>
        </is>
      </c>
    </row>
    <row r="4" ht="19.5" customHeight="1" s="904"/>
    <row r="5" ht="18.75" customHeight="1" s="904">
      <c r="B5" s="658" t="n"/>
      <c r="C5" s="222" t="inlineStr">
        <is>
          <t>13. Газпром добыча шельф Южно-Сахалинск</t>
        </is>
      </c>
      <c r="K5" s="596" t="n"/>
    </row>
    <row r="6" ht="20.1" customHeight="1" s="904">
      <c r="C6" s="1063" t="inlineStr">
        <is>
          <t>№ 
п/п</t>
        </is>
      </c>
      <c r="D6" s="969"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57" t="n"/>
      <c r="D8" s="911" t="n"/>
      <c r="E8" s="911" t="n"/>
      <c r="F8" s="911" t="n"/>
      <c r="G8" s="911" t="n"/>
      <c r="H8" s="911" t="n"/>
      <c r="I8" s="911" t="n"/>
      <c r="J8" s="911" t="n"/>
      <c r="K8" s="911" t="n"/>
    </row>
    <row r="9" hidden="1" ht="20.1" customHeight="1" s="904">
      <c r="C9" s="1053" t="n"/>
      <c r="D9" s="1057" t="n"/>
      <c r="E9" s="1057" t="n"/>
      <c r="F9" s="1057" t="n"/>
      <c r="G9" s="1057" t="n"/>
      <c r="H9" s="1057" t="n"/>
      <c r="I9" s="1057" t="n"/>
      <c r="J9" s="1057" t="n"/>
      <c r="K9" s="136" t="n"/>
    </row>
    <row r="10" ht="20.1" customHeight="1" s="904">
      <c r="C10" s="140" t="n">
        <v>1</v>
      </c>
      <c r="D10" s="139" t="inlineStr">
        <is>
          <t>Переработано сырья, всего:</t>
        </is>
      </c>
      <c r="E10" s="15" t="n">
        <v>100332291</v>
      </c>
      <c r="F10" s="15" t="n"/>
      <c r="G10" s="16" t="n"/>
      <c r="H10" s="17" t="inlineStr">
        <is>
          <t>100330738+100335768</t>
        </is>
      </c>
      <c r="I10" s="636" t="n"/>
      <c r="J10" s="17" t="n"/>
      <c r="K10" s="1046" t="inlineStr">
        <is>
          <t>тыс.т.</t>
        </is>
      </c>
    </row>
    <row r="11" ht="39.75" customHeight="1" s="904">
      <c r="C11" s="1010" t="inlineStr">
        <is>
          <t>1.1</t>
        </is>
      </c>
      <c r="D11" s="968" t="inlineStr">
        <is>
          <t>Конденсат нестабильный, собственность ПАО "Газпром" (КиринскоеГКМ)</t>
        </is>
      </c>
      <c r="E11" s="15" t="n">
        <v>100330738</v>
      </c>
      <c r="F11" s="15" t="n"/>
      <c r="G11" s="16" t="n"/>
      <c r="H11" s="17" t="n"/>
      <c r="I11" s="636" t="n"/>
      <c r="J11" s="17" t="n"/>
      <c r="K11" s="136" t="inlineStr">
        <is>
          <t>тыс.т.</t>
        </is>
      </c>
    </row>
    <row r="12" ht="39.75" customHeight="1" s="904">
      <c r="C12" s="1010" t="inlineStr">
        <is>
          <t>1.2</t>
        </is>
      </c>
      <c r="D12" s="968" t="inlineStr">
        <is>
          <t>Конденсат нестабильный, собственность ПАО "Газпром" (Южно-Киринское ГКМ)</t>
        </is>
      </c>
      <c r="E12" s="15" t="n">
        <v>100335768</v>
      </c>
      <c r="F12" s="15" t="n"/>
      <c r="G12" s="16" t="n"/>
      <c r="H12" s="17" t="n"/>
      <c r="I12" s="636" t="n"/>
      <c r="J12" s="17" t="n"/>
      <c r="K12" s="136" t="inlineStr">
        <is>
          <t>тыс.т.</t>
        </is>
      </c>
    </row>
    <row r="13" outlineLevel="1" ht="20.25" customHeight="1" s="904">
      <c r="C13" s="697" t="inlineStr">
        <is>
          <t>2</t>
        </is>
      </c>
      <c r="D13" s="159" t="inlineStr">
        <is>
          <t>Потери НК при переработке, всего</t>
        </is>
      </c>
      <c r="E13" s="15" t="n">
        <v>100330736</v>
      </c>
      <c r="F13" s="15" t="n"/>
      <c r="G13" s="16" t="n"/>
      <c r="H13" s="17" t="n"/>
      <c r="I13" s="776">
        <f>ROUND(100-I15-I20,6)</f>
        <v/>
      </c>
      <c r="J13" s="17" t="n"/>
      <c r="K13" s="228" t="inlineStr">
        <is>
          <t>тыс.т.</t>
        </is>
      </c>
    </row>
    <row r="14" ht="20.25" customHeight="1" s="904">
      <c r="C14" s="618" t="n">
        <v>3</v>
      </c>
      <c r="D14" s="967" t="inlineStr">
        <is>
          <t>Производство продукции, всего:</t>
        </is>
      </c>
      <c r="E14" s="15" t="n">
        <v>100330049</v>
      </c>
      <c r="F14" s="15" t="n"/>
      <c r="G14" s="16" t="n"/>
      <c r="H14" s="17" t="inlineStr">
        <is>
          <t>100330880+100335781</t>
        </is>
      </c>
      <c r="I14" s="776" t="inlineStr">
        <is>
          <t>ОКРУГЛ({100330049:-1}/{100332291:-1}*$100;$6)</t>
        </is>
      </c>
      <c r="J14" s="17" t="n"/>
      <c r="K14" s="136" t="inlineStr">
        <is>
          <t>тыс.т.</t>
        </is>
      </c>
    </row>
    <row r="15" ht="20.25" customHeight="1" s="904">
      <c r="C15" s="641" t="inlineStr">
        <is>
          <t>3.1</t>
        </is>
      </c>
      <c r="D15" s="151" t="inlineStr">
        <is>
          <t>Стабильный конденсат, собственность ПАО "Газпром"</t>
        </is>
      </c>
      <c r="E15" s="15" t="n">
        <v>100330880</v>
      </c>
      <c r="F15" s="15" t="n"/>
      <c r="G15" s="16" t="n"/>
      <c r="H15" s="17" t="n"/>
      <c r="I15" s="776" t="inlineStr">
        <is>
          <t>ОКРУГЛ({100330880:-1}/{100332291:-1}*$100;$6)</t>
        </is>
      </c>
      <c r="J15" s="17" t="n"/>
      <c r="K15" s="228" t="inlineStr">
        <is>
          <t>тыс.т.</t>
        </is>
      </c>
    </row>
    <row r="16" ht="20.25" customHeight="1" s="904">
      <c r="C16" s="641" t="n"/>
      <c r="D16" s="144" t="inlineStr">
        <is>
          <t>Киринское ГКМ</t>
        </is>
      </c>
      <c r="E16" s="15" t="n">
        <v>100335769</v>
      </c>
      <c r="F16" s="15" t="n"/>
      <c r="G16" s="16" t="n"/>
      <c r="H16" s="17" t="n"/>
      <c r="I16" s="776" t="inlineStr">
        <is>
          <t>ОКРУГЛ({100335769:-1}/{100330738:-1}*$100;$6)</t>
        </is>
      </c>
      <c r="J16" s="17" t="n"/>
      <c r="K16" s="228" t="inlineStr">
        <is>
          <t>тыс.т.</t>
        </is>
      </c>
    </row>
    <row r="17" ht="20.25" customHeight="1" s="904">
      <c r="C17" s="641" t="n"/>
      <c r="D17" s="144" t="inlineStr">
        <is>
          <t>Южно-Киринское ГКМ</t>
        </is>
      </c>
      <c r="E17" s="15" t="n">
        <v>100335770</v>
      </c>
      <c r="F17" s="15" t="n"/>
      <c r="G17" s="16" t="n"/>
      <c r="H17" s="17" t="n"/>
      <c r="I17" s="776" t="inlineStr">
        <is>
          <t>ОКРУГЛ({100335770:-1}/{100335768:-1}*$100;$6)</t>
        </is>
      </c>
      <c r="J17" s="17" t="n"/>
      <c r="K17" s="228" t="inlineStr">
        <is>
          <t>тыс.т.</t>
        </is>
      </c>
    </row>
    <row r="18" ht="20.25" customHeight="1" s="904">
      <c r="C18" s="641" t="n"/>
      <c r="D18" s="159" t="inlineStr">
        <is>
          <t>Справочно:</t>
        </is>
      </c>
      <c r="E18" s="15" t="n"/>
      <c r="F18" s="15" t="n"/>
      <c r="G18" s="16" t="n"/>
      <c r="H18" s="17" t="n"/>
      <c r="I18" s="636" t="n"/>
      <c r="J18" s="17" t="n"/>
      <c r="K18" s="228" t="n"/>
    </row>
    <row r="19" ht="20.25" customHeight="1" s="904">
      <c r="C19" s="641" t="n"/>
      <c r="D19" s="341" t="inlineStr">
        <is>
          <t>СК собственные нужды</t>
        </is>
      </c>
      <c r="E19" s="15" t="n">
        <v>100330737</v>
      </c>
      <c r="F19" s="15" t="n"/>
      <c r="G19" s="16" t="n"/>
      <c r="H19" s="17" t="n"/>
      <c r="I19" s="636" t="n"/>
      <c r="J19" s="17" t="n"/>
      <c r="K19" s="228" t="inlineStr">
        <is>
          <t>тыс.т.</t>
        </is>
      </c>
    </row>
    <row r="20" ht="20.25" customHeight="1" s="904">
      <c r="C20" s="1010" t="inlineStr">
        <is>
          <t>3.2</t>
        </is>
      </c>
      <c r="D20" s="1025" t="inlineStr">
        <is>
          <t>Газы стабилизации</t>
        </is>
      </c>
      <c r="E20" s="15" t="n">
        <v>100335781</v>
      </c>
      <c r="F20" s="15" t="n"/>
      <c r="G20" s="16" t="n"/>
      <c r="H20" s="17" t="inlineStr">
        <is>
          <t>100335771+100335773</t>
        </is>
      </c>
      <c r="I20" s="776" t="inlineStr">
        <is>
          <t>ОКРУГЛ({100335781:-1}/{100332291:-1}*$100;$6)</t>
        </is>
      </c>
      <c r="J20" s="17" t="n"/>
      <c r="K20" s="228" t="inlineStr">
        <is>
          <t>тыс.т.</t>
        </is>
      </c>
    </row>
    <row r="21" ht="20.25" customHeight="1" s="904">
      <c r="C21" s="964" t="n"/>
      <c r="D21" s="916" t="n"/>
      <c r="E21" s="15" t="n">
        <v>100330680</v>
      </c>
      <c r="F21" s="15" t="n"/>
      <c r="G21" s="16" t="n"/>
      <c r="H21" s="17" t="inlineStr">
        <is>
          <t>100335772+100335774</t>
        </is>
      </c>
      <c r="I21" s="636" t="n"/>
      <c r="J21" s="17" t="n"/>
      <c r="K21" s="588" t="inlineStr">
        <is>
          <t>млн куб.м</t>
        </is>
      </c>
    </row>
    <row r="22" ht="20.25" customHeight="1" s="904">
      <c r="C22" s="1010" t="n"/>
      <c r="D22" s="1025" t="inlineStr">
        <is>
          <t>Киринское ГКМ</t>
        </is>
      </c>
      <c r="E22" s="15" t="n">
        <v>100335771</v>
      </c>
      <c r="F22" s="15" t="n"/>
      <c r="G22" s="16" t="n"/>
      <c r="H22" s="17" t="n"/>
      <c r="I22" s="776" t="inlineStr">
        <is>
          <t>ОКРУГЛ({100335771:-1}/{100330738:-1}*$100;$6)</t>
        </is>
      </c>
      <c r="J22" s="17" t="n"/>
      <c r="K22" s="228" t="inlineStr">
        <is>
          <t>тыс.т.</t>
        </is>
      </c>
    </row>
    <row r="23" ht="20.25" customHeight="1" s="904">
      <c r="C23" s="1010" t="n"/>
      <c r="D23" s="916" t="n"/>
      <c r="E23" s="15" t="n">
        <v>100335772</v>
      </c>
      <c r="F23" s="15" t="n"/>
      <c r="G23" s="16" t="n"/>
      <c r="H23" s="17" t="n"/>
      <c r="I23" s="636" t="n"/>
      <c r="J23" s="17" t="n"/>
      <c r="K23" s="588" t="inlineStr">
        <is>
          <t>млн куб.м</t>
        </is>
      </c>
    </row>
    <row r="24" ht="20.25" customHeight="1" s="904">
      <c r="C24" s="1010" t="n"/>
      <c r="D24" s="1066" t="inlineStr">
        <is>
          <t>Южно-Киринское ГКМ</t>
        </is>
      </c>
      <c r="E24" s="15" t="n">
        <v>100335773</v>
      </c>
      <c r="F24" s="15" t="n"/>
      <c r="G24" s="16" t="n"/>
      <c r="H24" s="17" t="n"/>
      <c r="I24" s="776" t="inlineStr">
        <is>
          <t>ОКРУГЛ({100335773:-1}/{100335768:-1}*$100;$6)</t>
        </is>
      </c>
      <c r="J24" s="17" t="n"/>
      <c r="K24" s="228" t="inlineStr">
        <is>
          <t>тыс.т.</t>
        </is>
      </c>
    </row>
    <row r="25" ht="20.25" customHeight="1" s="904">
      <c r="C25" s="642" t="n"/>
      <c r="D25" s="911" t="n"/>
      <c r="E25" s="15" t="n">
        <v>100335774</v>
      </c>
      <c r="F25" s="15" t="n"/>
      <c r="G25" s="16" t="n"/>
      <c r="H25" s="17" t="n"/>
      <c r="I25" s="636" t="n"/>
      <c r="J25" s="17" t="n"/>
      <c r="K25" s="588" t="inlineStr">
        <is>
          <t>млн куб.м</t>
        </is>
      </c>
    </row>
    <row r="26" outlineLevel="1" ht="20.25" customHeight="1" s="904">
      <c r="C26" s="1050" t="inlineStr">
        <is>
          <t>4</t>
        </is>
      </c>
      <c r="D26" s="640" t="inlineStr">
        <is>
          <t>Материальный баланс переработки ("П.1"-"П.2"-"П.3" = 0,000)</t>
        </is>
      </c>
      <c r="E26" s="367" t="n">
        <v>100330863</v>
      </c>
      <c r="F26" s="15" t="n"/>
      <c r="G26" s="16" t="n"/>
      <c r="H26" s="17" t="inlineStr">
        <is>
          <t>100332291-100330049-100330736</t>
        </is>
      </c>
      <c r="I26" s="636" t="n"/>
      <c r="J26" s="17" t="n"/>
      <c r="K26" s="220" t="inlineStr">
        <is>
          <t>тыс.т.</t>
        </is>
      </c>
    </row>
    <row r="27" outlineLevel="1" ht="39.75" customHeight="1" s="904">
      <c r="C27" s="619" t="inlineStr">
        <is>
          <t>5</t>
        </is>
      </c>
      <c r="D27" s="493" t="inlineStr">
        <is>
          <t>Производство для реализации ПАО "Газпром"</t>
        </is>
      </c>
      <c r="E27" s="367" t="n"/>
      <c r="F27" s="639" t="inlineStr">
        <is>
          <t>T</t>
        </is>
      </c>
      <c r="G27" s="16" t="n"/>
      <c r="H27" s="17" t="n">
        <v>100330880</v>
      </c>
      <c r="I27" s="636" t="n"/>
      <c r="J27" s="17" t="n"/>
      <c r="K27" s="368" t="inlineStr">
        <is>
          <t>тыс.т.</t>
        </is>
      </c>
    </row>
    <row r="28" outlineLevel="1" ht="39.75" customHeight="1" s="904">
      <c r="C28" s="643" t="n">
        <v>6</v>
      </c>
      <c r="D28" s="185" t="inlineStr">
        <is>
          <t>Проверка с разделом "Добыча"</t>
        </is>
      </c>
      <c r="E28" s="367" t="n"/>
      <c r="F28" s="15" t="n"/>
      <c r="G28" s="16" t="n"/>
      <c r="H28" s="17" t="n"/>
      <c r="I28" s="636" t="n"/>
      <c r="J28" s="17" t="n"/>
      <c r="K28" s="369" t="inlineStr">
        <is>
          <t>тыс.т.</t>
        </is>
      </c>
    </row>
    <row r="29" outlineLevel="1" ht="20.25" customHeight="1" s="904">
      <c r="C29" s="644" t="n"/>
      <c r="D29" s="1068" t="inlineStr">
        <is>
          <t>Конденсат нестабильный (КиринскоеГКМ)</t>
        </is>
      </c>
      <c r="E29" s="367" t="n"/>
      <c r="F29" s="15" t="n"/>
      <c r="G29" s="16" t="n"/>
      <c r="H29" s="17" t="n"/>
      <c r="I29" s="636" t="n"/>
      <c r="J29" s="17" t="n"/>
      <c r="K29" s="370" t="inlineStr">
        <is>
          <t>тыс.т.</t>
        </is>
      </c>
    </row>
    <row r="30" outlineLevel="1" ht="17.25" customHeight="1" s="904">
      <c r="C30" s="644" t="n"/>
      <c r="D30" s="1068" t="inlineStr">
        <is>
          <t>Конденсат нестабильный (Южно-Киринское ГКМ)</t>
        </is>
      </c>
      <c r="E30" s="367" t="n"/>
      <c r="F30" s="15" t="n"/>
      <c r="G30" s="16" t="n"/>
      <c r="H30" s="17" t="n"/>
      <c r="I30" s="636" t="n"/>
      <c r="J30" s="17" t="n"/>
      <c r="K30" s="370" t="inlineStr">
        <is>
          <t>тыс.т.</t>
        </is>
      </c>
    </row>
    <row r="31" outlineLevel="1" ht="39.75" customHeight="1" s="904">
      <c r="C31" s="643" t="n">
        <v>7</v>
      </c>
      <c r="D31" s="354" t="inlineStr">
        <is>
          <t>Расчет продукции под Баланс Газа</t>
        </is>
      </c>
      <c r="E31" s="367" t="n"/>
      <c r="F31" s="15" t="n"/>
      <c r="G31" s="16" t="n"/>
      <c r="H31" s="17" t="n"/>
      <c r="I31" s="636" t="n"/>
      <c r="J31" s="17" t="n"/>
      <c r="K31" s="371" t="inlineStr">
        <is>
          <t>тыс.т.</t>
        </is>
      </c>
    </row>
    <row r="32" outlineLevel="1" ht="20.25" customHeight="1" s="904">
      <c r="C32" s="645" t="n"/>
      <c r="D32" s="1068" t="inlineStr">
        <is>
          <t>Стабильный конденсат (КиринскоеГКМ)</t>
        </is>
      </c>
      <c r="E32" s="367" t="inlineStr">
        <is>
          <t>S32</t>
        </is>
      </c>
      <c r="F32" s="15" t="inlineStr">
        <is>
          <t>S1</t>
        </is>
      </c>
      <c r="G32" s="16" t="n"/>
      <c r="H32" s="17" t="inlineStr">
        <is>
          <t>ОКРУГЛ({100335769:2}/{100330738:2}*{100330738:0};$1)</t>
        </is>
      </c>
      <c r="I32" s="636" t="n"/>
      <c r="J32" s="17" t="n"/>
      <c r="K32" s="370" t="inlineStr">
        <is>
          <t>тыс.т.</t>
        </is>
      </c>
    </row>
    <row r="33" outlineLevel="1" ht="20.25" customHeight="1" s="904">
      <c r="C33" s="645" t="n"/>
      <c r="D33" s="1068" t="inlineStr">
        <is>
          <t>Стабильный конденсат (Южно-Киринское ГКМ)</t>
        </is>
      </c>
      <c r="E33" s="367" t="inlineStr">
        <is>
          <t>S33</t>
        </is>
      </c>
      <c r="F33" s="15" t="inlineStr">
        <is>
          <t>S1</t>
        </is>
      </c>
      <c r="G33" s="16" t="n"/>
      <c r="H33" s="17" t="inlineStr">
        <is>
          <t>ОКРУГЛ({100335770:2}/{100335768:2}*{100335768:0};$1)</t>
        </is>
      </c>
      <c r="I33" s="636" t="n"/>
      <c r="J33" s="17" t="n"/>
      <c r="K33" s="370" t="inlineStr">
        <is>
          <t>тыс.т.</t>
        </is>
      </c>
    </row>
    <row r="34" outlineLevel="1" ht="20.25" customHeight="1" s="904">
      <c r="C34" s="645" t="n"/>
      <c r="D34" s="1068" t="inlineStr">
        <is>
          <t>Газ стабилизации (КиринскоеГКМ)</t>
        </is>
      </c>
      <c r="E34" s="367" t="inlineStr">
        <is>
          <t>S34</t>
        </is>
      </c>
      <c r="F34" s="15" t="inlineStr">
        <is>
          <t>S1</t>
        </is>
      </c>
      <c r="G34" s="16" t="n"/>
      <c r="H34" s="17" t="inlineStr">
        <is>
          <t>ОКРУГЛ({100335781:2}/{100330738:2}*{100330738:0};$1)</t>
        </is>
      </c>
      <c r="I34" s="636" t="n"/>
      <c r="J34" s="17" t="n"/>
      <c r="K34" s="370" t="inlineStr">
        <is>
          <t>тыс.т.</t>
        </is>
      </c>
    </row>
    <row r="35" outlineLevel="1" ht="20.25" customHeight="1" s="904">
      <c r="C35" s="645" t="n"/>
      <c r="D35" s="916" t="n"/>
      <c r="E35" s="367" t="inlineStr">
        <is>
          <t>S35</t>
        </is>
      </c>
      <c r="F35" s="15" t="inlineStr">
        <is>
          <t>S1</t>
        </is>
      </c>
      <c r="G35" s="16" t="n"/>
      <c r="H35" s="17" t="inlineStr">
        <is>
          <t>ОКРУГЛ({100335772:2}/{100335771:2}*{S34:0};$1)</t>
        </is>
      </c>
      <c r="I35" s="636" t="n"/>
      <c r="J35" s="17" t="n"/>
      <c r="K35" s="372" t="inlineStr">
        <is>
          <t>млн куб.м</t>
        </is>
      </c>
    </row>
    <row r="36" outlineLevel="1" ht="20.25" customHeight="1" s="904">
      <c r="C36" s="645" t="n"/>
      <c r="D36" s="1054" t="inlineStr">
        <is>
          <t>Газ стабилизации (Южно-Киринское ГКМ)</t>
        </is>
      </c>
      <c r="E36" s="367" t="inlineStr">
        <is>
          <t>S36</t>
        </is>
      </c>
      <c r="F36" s="15" t="inlineStr">
        <is>
          <t>S1</t>
        </is>
      </c>
      <c r="G36" s="16" t="n"/>
      <c r="H36" s="17" t="inlineStr">
        <is>
          <t>ОКРУГЛ({100335773:2}/{100335768:2}*{100335768:0};$1)</t>
        </is>
      </c>
      <c r="I36" s="636" t="n"/>
      <c r="J36" s="17" t="n"/>
      <c r="K36" s="370" t="inlineStr">
        <is>
          <t>тыс.т.</t>
        </is>
      </c>
    </row>
    <row r="37" outlineLevel="1" ht="20.25" customHeight="1" s="904">
      <c r="C37" s="646" t="n"/>
      <c r="D37" s="911" t="n"/>
      <c r="E37" s="367" t="inlineStr">
        <is>
          <t>S37</t>
        </is>
      </c>
      <c r="F37" s="15" t="inlineStr">
        <is>
          <t>S1</t>
        </is>
      </c>
      <c r="G37" s="16" t="n"/>
      <c r="H37" s="17" t="inlineStr">
        <is>
          <t>ОКРУГЛ({100335774:2}/{100335773:2}*{S36:0};$1)</t>
        </is>
      </c>
      <c r="I37" s="636" t="n"/>
      <c r="J37" s="17" t="n"/>
      <c r="K37" s="372" t="inlineStr">
        <is>
          <t>млн куб.м</t>
        </is>
      </c>
    </row>
    <row r="39" ht="17.25" customHeight="1" s="904">
      <c r="D39" s="1009" t="inlineStr">
        <is>
          <t>* - Обеспечение своевременного внесения изменений в перечень номенклатуры сырья и продукции входит в компетенцию дочернего общества.</t>
        </is>
      </c>
    </row>
    <row r="40">
      <c r="D40" s="1009" t="n"/>
    </row>
    <row r="41" ht="17.25" customHeight="1" s="904">
      <c r="D41" s="137" t="inlineStr">
        <is>
          <t>Примечания:</t>
        </is>
      </c>
    </row>
    <row r="42" ht="17.25" customHeight="1" s="904">
      <c r="D42" s="975" t="inlineStr">
        <is>
          <t>СК на собств нужды отражают при ремонтах, сбросах, опорожнениях</t>
        </is>
      </c>
    </row>
    <row r="43" ht="17.25" customHeight="1" s="904">
      <c r="D43" s="975" t="inlineStr">
        <is>
          <t>Газ стаб дожимают компрессорами и в общий поток в магистраль</t>
        </is>
      </c>
    </row>
    <row r="44" ht="17.25" customHeight="1" s="904">
      <c r="D44" s="975" t="inlineStr">
        <is>
          <t>Газ и ст. конденсат направляются потребителям через магистральные трубопроводы</t>
        </is>
      </c>
    </row>
    <row r="45" ht="17.25" customHeight="1" s="904">
      <c r="D45" s="975" t="inlineStr">
        <is>
          <t>Газ проходит низкотемпературную сепарацию</t>
        </is>
      </c>
    </row>
    <row r="46" ht="17.25" customHeight="1" s="904">
      <c r="D46" s="975" t="inlineStr">
        <is>
          <t xml:space="preserve">Летом остановка добычи и производства, т.к. потребность в больших объёмах в тёплое время отсутствует </t>
        </is>
      </c>
    </row>
    <row r="47" ht="131.25" customHeight="1" s="904">
      <c r="D47" s="335" t="inlineStr">
        <is>
          <t>После колонны стабилизации стабильный конденсат уходит в ёмкость хранения и откачивается потребителю. Газ стабилизации направляется в компрессорный цех, (где отбивается СУГ(ШФЛУ)), газ компримируется до Р=6,25 мПа и направляется в магистраль, а СУГ направляется в ёмкость накопления 10Е3 и оттуда насосами обратно в поток НСК.</t>
        </is>
      </c>
    </row>
  </sheetData>
  <mergeCells count="17">
    <mergeCell ref="D6:D8"/>
    <mergeCell ref="K6:K8"/>
    <mergeCell ref="D20:D21"/>
    <mergeCell ref="C20:C21"/>
    <mergeCell ref="G7:G8"/>
    <mergeCell ref="E7:E8"/>
    <mergeCell ref="C3:K3"/>
    <mergeCell ref="D34:D35"/>
    <mergeCell ref="F7:F8"/>
    <mergeCell ref="H7:H8"/>
    <mergeCell ref="J7:J8"/>
    <mergeCell ref="C6:C8"/>
    <mergeCell ref="E6:J6"/>
    <mergeCell ref="I7:I8"/>
    <mergeCell ref="D36:D37"/>
    <mergeCell ref="D24:D25"/>
    <mergeCell ref="D22:D23"/>
  </mergeCells>
  <conditionalFormatting sqref="P10:P37 Q10:Q37 V10:V37 W10:W37 AB10:AB37 AC10:AC37 AH10:AH37 AI10:AI37 AN10:AN37 AO10:AO37 AT10:AT37 AU10:AU37 AZ10:AZ37 BA10:BA37 BF10:BF37 BG10:BG37 BL10:BL37 BM10:BM37 BR10:BR37 BS10:BS37 BX10:BX37 BY10:BY37 CD10:CD37 CE10:CE37 CJ10:CJ37 CK10:CK37 CP10:CP37 CQ10:CQ37 CV10:CV37 CW10:CW37 DB10:DB37 DC10:DC37 DH10:DH37 DI10:DI37">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2 M25:M37 O10:O37 S10:S37 U10:U37 Y10:Y37 AA10:AA37 AE10:AE37 AG10:AG37 AK10:AK37 AM10:AM37 AQ10:AQ37 AS10:AS37 AW10:AW37 AY10:AY37 BC10:BC37 BE10:BE37 BI10:BI37 BK10:BK37 BO10:BO37 BQ10:BQ37 BU10:BU37 BW10:BW37 CA10:CA37 CC10:CC37 CG10:CG37 CI10:CI37 CM10:CM37 CO10:CO37 CS10:CS37 CU10:CU37 CY10:CY37 DA10:DA37 DE10:DE37 DG10:DG37">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2 M25:M37 O10:O37 Q10:Q37 S10:S37 U10:U37 W10:W37 Y10:Y37 AA10:AA37 AC10:AC37 AE10:AE37 AG10:AG37 AI10:AI37 AK10:AK37 AM10:AM37 AO10:AO37 AQ10:AQ37 AS10:AS37">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landscape" paperSize="9" scale="52" fitToHeight="0"/>
</worksheet>
</file>

<file path=xl/worksheets/sheet21.xml><?xml version="1.0" encoding="utf-8"?>
<worksheet xmlns="http://schemas.openxmlformats.org/spreadsheetml/2006/main">
  <sheetPr codeName="Лист18">
    <tabColor theme="4" tint="0.7999816888943144"/>
    <outlinePr summaryBelow="1" summaryRight="1"/>
    <pageSetUpPr autoPageBreaks="0" fitToPage="1"/>
  </sheetPr>
  <dimension ref="B3:K88"/>
  <sheetViews>
    <sheetView zoomScale="60" workbookViewId="0">
      <pane xSplit="11" ySplit="9" topLeftCell="L34" activePane="bottomRight" state="frozen"/>
      <selection activeCell="C1" sqref="C1"/>
      <selection pane="topRight" activeCell="L1" sqref="L1"/>
      <selection pane="bottomLeft" activeCell="C10" sqref="C10"/>
      <selection pane="bottomRight" activeCell="K44" sqref="K44"/>
    </sheetView>
  </sheetViews>
  <sheetFormatPr baseColWidth="8" defaultColWidth="9.140625" defaultRowHeight="18.75" outlineLevelRow="1"/>
  <cols>
    <col hidden="1" outlineLevel="1" width="21.5703125" customWidth="1" style="975" min="1" max="1"/>
    <col hidden="1" outlineLevel="1" width="25.85546875" customWidth="1" style="975" min="2" max="2"/>
    <col collapsed="1" width="12.140625" customWidth="1" style="649" min="3" max="3"/>
    <col width="80" customWidth="1" style="975" min="4" max="4"/>
    <col hidden="1" outlineLevel="1" width="24.140625" customWidth="1" style="975" min="5" max="10"/>
    <col collapsed="1" width="15.140625" bestFit="1" customWidth="1" style="976" min="11" max="11"/>
    <col width="8.43" customWidth="1" style="904" min="12"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14.25" customHeight="1" s="904"/>
    <row r="2" ht="15" customHeight="1" s="904"/>
    <row r="3" ht="20.25" customHeight="1" s="904">
      <c r="C3" s="1039" t="inlineStr">
        <is>
          <t>Прогнозные показатели по переработке сырья, производству продукции, оказанию услуг по переработке углеводородного сырья на объектах ООО "Газпром переработка Благовещенск"</t>
        </is>
      </c>
    </row>
    <row r="4" ht="20.25" customHeight="1" s="904"/>
    <row r="5" ht="19.5" customHeight="1" s="904">
      <c r="C5" s="222" t="inlineStr">
        <is>
          <t>14. Газпром переработка Благовещенск</t>
        </is>
      </c>
    </row>
    <row r="6" ht="20.1" customHeight="1" s="904">
      <c r="B6" s="669" t="n"/>
      <c r="C6" s="1045" t="inlineStr">
        <is>
          <t>№ 
п/п</t>
        </is>
      </c>
      <c r="D6" s="1072"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9"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6" t="n"/>
      <c r="D8" s="920" t="n"/>
      <c r="E8" s="911" t="n"/>
      <c r="F8" s="911" t="n"/>
      <c r="G8" s="911" t="n"/>
      <c r="H8" s="911" t="n"/>
      <c r="I8" s="911" t="n"/>
      <c r="J8" s="911" t="n"/>
      <c r="K8" s="911" t="n"/>
    </row>
    <row r="9" hidden="1" ht="20.1" customHeight="1" s="904">
      <c r="B9" s="1031" t="n"/>
      <c r="C9" s="617" t="n"/>
      <c r="D9" s="198" t="n"/>
      <c r="E9" s="211" t="n"/>
      <c r="F9" s="211" t="n"/>
      <c r="G9" s="211" t="n"/>
      <c r="H9" s="211" t="n"/>
      <c r="I9" s="211" t="n"/>
      <c r="J9" s="211" t="n"/>
      <c r="K9" s="329" t="n"/>
    </row>
    <row r="10" ht="24.75" customHeight="1" s="904">
      <c r="B10" s="373" t="n"/>
      <c r="C10" s="1045" t="n">
        <v>1</v>
      </c>
      <c r="D10" s="1075" t="inlineStr">
        <is>
          <t>Поставка природного газа на АмГПЗ - собственность ПАО "Газпром", всего</t>
        </is>
      </c>
      <c r="E10" s="15" t="inlineStr">
        <is>
          <t>100332978</t>
        </is>
      </c>
      <c r="F10" s="15" t="n"/>
      <c r="G10" s="16" t="n"/>
      <c r="H10" s="17" t="n"/>
      <c r="I10" s="636" t="n"/>
      <c r="J10" s="17" t="n"/>
      <c r="K10" s="374" t="inlineStr">
        <is>
          <t>тыс.т.</t>
        </is>
      </c>
    </row>
    <row r="11" ht="24.75" customHeight="1" s="904">
      <c r="B11" s="373" t="n"/>
      <c r="C11" s="617" t="n"/>
      <c r="D11" s="916" t="n"/>
      <c r="E11" s="15" t="inlineStr">
        <is>
          <t>100332979</t>
        </is>
      </c>
      <c r="F11" s="15" t="n"/>
      <c r="G11" s="16" t="n"/>
      <c r="H11" s="17" t="inlineStr">
        <is>
          <t>100335056+100335308+100335059+100335060+100335427+100335062-100335462-100335463</t>
        </is>
      </c>
      <c r="I11" s="636" t="n"/>
      <c r="J11" s="17" t="n"/>
      <c r="K11" s="599" t="inlineStr">
        <is>
          <t>млн куб.м</t>
        </is>
      </c>
    </row>
    <row r="12" ht="20.1" customHeight="1" s="904">
      <c r="B12" s="373" t="n"/>
      <c r="C12" s="1077" t="n"/>
      <c r="D12" s="375" t="inlineStr">
        <is>
          <t>Справочно:</t>
        </is>
      </c>
      <c r="E12" s="15" t="n"/>
      <c r="F12" s="15" t="n"/>
      <c r="G12" s="16" t="n"/>
      <c r="H12" s="17" t="n"/>
      <c r="I12" s="636" t="n"/>
      <c r="J12" s="17" t="n"/>
      <c r="K12" s="599" t="n"/>
    </row>
    <row r="13" ht="20.1" customHeight="1" s="904">
      <c r="B13" s="373" t="n"/>
      <c r="C13" s="1077" t="n"/>
      <c r="D13" s="376" t="inlineStr">
        <is>
          <t>на Свободненскую ТЭС (собственность ПАО "Газпром"</t>
        </is>
      </c>
      <c r="E13" s="15" t="inlineStr">
        <is>
          <t>100335056</t>
        </is>
      </c>
      <c r="F13" s="15" t="n"/>
      <c r="G13" s="16" t="n"/>
      <c r="H13" s="17" t="n"/>
      <c r="I13" s="636" t="n"/>
      <c r="J13" s="17" t="n"/>
      <c r="K13" s="599" t="inlineStr">
        <is>
          <t>млн куб.м</t>
        </is>
      </c>
    </row>
    <row r="14" ht="37.5" customHeight="1" s="904">
      <c r="B14" s="373" t="n"/>
      <c r="C14" s="1077" t="n"/>
      <c r="D14" s="376" t="inlineStr">
        <is>
          <t>на пуско-наладочные работы (собственность ГПП Благовещенск), покупка у ПАО "Газпром", всего:</t>
        </is>
      </c>
      <c r="E14" s="15" t="inlineStr">
        <is>
          <t>100335057</t>
        </is>
      </c>
      <c r="F14" s="15" t="n"/>
      <c r="G14" s="16" t="n"/>
      <c r="H14" s="17" t="inlineStr">
        <is>
          <t>100335308+100335309+100335310-100335465</t>
        </is>
      </c>
      <c r="I14" s="636" t="n"/>
      <c r="J14" s="17" t="n"/>
      <c r="K14" s="599" t="inlineStr">
        <is>
          <t>млн куб.м</t>
        </is>
      </c>
    </row>
    <row r="15" ht="17.25" customHeight="1" s="904">
      <c r="B15" s="373" t="n"/>
      <c r="C15" s="1077" t="n"/>
      <c r="D15" s="377" t="inlineStr">
        <is>
          <t xml:space="preserve">в т.ч. 'на СТН на ПНР </t>
        </is>
      </c>
      <c r="E15" s="15" t="inlineStr">
        <is>
          <t>100335308</t>
        </is>
      </c>
      <c r="F15" s="15" t="n"/>
      <c r="G15" s="16" t="n"/>
      <c r="H15" s="17" t="n"/>
      <c r="I15" s="636" t="n"/>
      <c r="J15" s="17" t="n"/>
      <c r="K15" s="599" t="inlineStr">
        <is>
          <t>млн куб.м</t>
        </is>
      </c>
    </row>
    <row r="16" ht="17.25" customHeight="1" s="904">
      <c r="B16" s="373" t="n"/>
      <c r="C16" s="1077" t="n"/>
      <c r="D16" s="378" t="inlineStr">
        <is>
          <t>в т.ч. газ природный ВД из переработки</t>
        </is>
      </c>
      <c r="E16" s="15" t="inlineStr">
        <is>
          <t>100335462</t>
        </is>
      </c>
      <c r="F16" s="15" t="n"/>
      <c r="G16" s="16" t="n"/>
      <c r="H16" s="17" t="n"/>
      <c r="I16" s="636" t="n"/>
      <c r="J16" s="17" t="n"/>
      <c r="K16" s="599" t="inlineStr">
        <is>
          <t>млн куб.м</t>
        </is>
      </c>
    </row>
    <row r="17" ht="17.25" customHeight="1" s="904">
      <c r="B17" s="373" t="n"/>
      <c r="C17" s="1077" t="n"/>
      <c r="D17" s="379" t="inlineStr">
        <is>
          <t>в т.ч. 'АЗОТ (полученный из газа транзит)</t>
        </is>
      </c>
      <c r="E17" s="15" t="inlineStr">
        <is>
          <t>100335309</t>
        </is>
      </c>
      <c r="F17" s="15" t="n"/>
      <c r="G17" s="16" t="n"/>
      <c r="H17" s="17" t="n"/>
      <c r="I17" s="636" t="n"/>
      <c r="J17" s="17" t="n"/>
      <c r="K17" s="599" t="inlineStr">
        <is>
          <t>млн куб.м</t>
        </is>
      </c>
    </row>
    <row r="18" ht="17.25" customHeight="1" s="904">
      <c r="B18" s="373" t="n"/>
      <c r="C18" s="1077" t="n"/>
      <c r="D18" s="379" t="inlineStr">
        <is>
          <t>в т.ч. газ для производство гелия</t>
        </is>
      </c>
      <c r="E18" s="15" t="inlineStr">
        <is>
          <t>100335310</t>
        </is>
      </c>
      <c r="F18" s="15" t="n"/>
      <c r="G18" s="16" t="n"/>
      <c r="H18" s="17" t="inlineStr">
        <is>
          <t>100335076</t>
        </is>
      </c>
      <c r="I18" s="636" t="n"/>
      <c r="J18" s="17" t="n"/>
      <c r="K18" s="599" t="inlineStr">
        <is>
          <t>млн куб.м</t>
        </is>
      </c>
    </row>
    <row r="19" ht="37.5" customHeight="1" s="904">
      <c r="B19" s="373" t="n"/>
      <c r="C19" s="1077" t="n"/>
      <c r="D19" s="376" t="inlineStr">
        <is>
          <t>на СТН (собственность ГПП Благовещенск), покупка у ПАО "Газпром"</t>
        </is>
      </c>
      <c r="E19" s="15" t="inlineStr">
        <is>
          <t>100335059</t>
        </is>
      </c>
      <c r="F19" s="15" t="n"/>
      <c r="G19" s="16" t="n"/>
      <c r="H19" s="17" t="n"/>
      <c r="I19" s="636" t="n"/>
      <c r="J19" s="17" t="n"/>
      <c r="K19" s="599" t="inlineStr">
        <is>
          <t>млн куб.м</t>
        </is>
      </c>
    </row>
    <row r="20" ht="17.25" customHeight="1" s="904">
      <c r="B20" s="373" t="n"/>
      <c r="C20" s="1077" t="n"/>
      <c r="D20" s="378" t="inlineStr">
        <is>
          <t>в т.ч. газ природный ВД из переработки</t>
        </is>
      </c>
      <c r="E20" s="15" t="inlineStr">
        <is>
          <t>100335463</t>
        </is>
      </c>
      <c r="F20" s="15" t="n"/>
      <c r="G20" s="16" t="n"/>
      <c r="H20" s="17" t="n"/>
      <c r="I20" s="636" t="n"/>
      <c r="J20" s="17" t="n"/>
      <c r="K20" s="599" t="inlineStr">
        <is>
          <t>млн куб.м</t>
        </is>
      </c>
    </row>
    <row r="21" ht="19.5" customHeight="1" s="904">
      <c r="B21" s="373" t="n"/>
      <c r="C21" s="1077" t="n"/>
      <c r="D21" s="376" t="inlineStr">
        <is>
          <t>на СТН (собственность ПАО "Газпром")</t>
        </is>
      </c>
      <c r="E21" s="15" t="inlineStr">
        <is>
          <t>100335060</t>
        </is>
      </c>
      <c r="F21" s="15" t="n"/>
      <c r="G21" s="16" t="n"/>
      <c r="H21" s="17" t="n"/>
      <c r="I21" s="636" t="n"/>
      <c r="J21" s="17" t="n"/>
      <c r="K21" s="599" t="inlineStr">
        <is>
          <t>млн куб.м</t>
        </is>
      </c>
    </row>
    <row r="22" ht="19.5" customHeight="1" s="904">
      <c r="B22" s="373" t="n"/>
      <c r="C22" s="1077" t="n"/>
      <c r="D22" s="1078" t="inlineStr">
        <is>
          <t>транзит газа через АмГПЗ, всего</t>
        </is>
      </c>
      <c r="E22" s="15" t="inlineStr">
        <is>
          <t>100335426</t>
        </is>
      </c>
      <c r="F22" s="15" t="n"/>
      <c r="G22" s="16" t="n"/>
      <c r="H22" s="17" t="inlineStr">
        <is>
          <t>100335223+100335424</t>
        </is>
      </c>
      <c r="I22" s="776" t="n"/>
      <c r="J22" s="17" t="n"/>
      <c r="K22" s="374" t="inlineStr">
        <is>
          <t>тыс.т.</t>
        </is>
      </c>
    </row>
    <row r="23" ht="19.5" customHeight="1" s="904">
      <c r="B23" s="373" t="n"/>
      <c r="C23" s="1077" t="n"/>
      <c r="D23" s="916" t="n"/>
      <c r="E23" s="15" t="inlineStr">
        <is>
          <t>100335427</t>
        </is>
      </c>
      <c r="F23" s="15" t="n"/>
      <c r="G23" s="16" t="n"/>
      <c r="H23" s="17" t="inlineStr">
        <is>
          <t>100335159+100335425</t>
        </is>
      </c>
      <c r="I23" s="636" t="n"/>
      <c r="J23" s="17" t="n"/>
      <c r="K23" s="599" t="inlineStr">
        <is>
          <t>млн куб.м</t>
        </is>
      </c>
    </row>
    <row r="24" ht="20.1" customHeight="1" s="904">
      <c r="B24" s="373" t="n"/>
      <c r="C24" s="1077" t="n"/>
      <c r="D24" s="1070" t="inlineStr">
        <is>
          <t>в т.ч транзит газа через АмГПЗ (собственность ПАО "Газпром")</t>
        </is>
      </c>
      <c r="E24" s="15" t="inlineStr">
        <is>
          <t>100335223</t>
        </is>
      </c>
      <c r="F24" s="15" t="n"/>
      <c r="G24" s="16" t="n"/>
      <c r="H24" s="17" t="n"/>
      <c r="I24" s="636" t="n"/>
      <c r="J24" s="17" t="n"/>
      <c r="K24" s="374" t="inlineStr">
        <is>
          <t>тыс.т.</t>
        </is>
      </c>
    </row>
    <row r="25" ht="17.25" customHeight="1" s="904">
      <c r="B25" s="373" t="n"/>
      <c r="C25" s="380" t="n"/>
      <c r="D25" s="916" t="n"/>
      <c r="E25" s="15" t="inlineStr">
        <is>
          <t>100335159</t>
        </is>
      </c>
      <c r="F25" s="15" t="n"/>
      <c r="G25" s="16" t="n"/>
      <c r="H25" s="17" t="n"/>
      <c r="I25" s="636" t="n"/>
      <c r="J25" s="17" t="n"/>
      <c r="K25" s="599" t="inlineStr">
        <is>
          <t>млн куб.м</t>
        </is>
      </c>
    </row>
    <row r="26" ht="18.75" customHeight="1" s="904">
      <c r="B26" s="373" t="n"/>
      <c r="C26" s="380" t="n"/>
      <c r="D26" s="1070" t="inlineStr">
        <is>
          <t>в т.ч. транзит газа через АмГПЗ (собственность ГПП Благовещенск)</t>
        </is>
      </c>
      <c r="E26" s="15" t="inlineStr">
        <is>
          <t>100335424</t>
        </is>
      </c>
      <c r="F26" s="15" t="n"/>
      <c r="G26" s="16" t="n"/>
      <c r="H26" s="17" t="n"/>
      <c r="I26" s="636" t="n"/>
      <c r="J26" s="17" t="n"/>
      <c r="K26" s="374" t="inlineStr">
        <is>
          <t>тыс.т.</t>
        </is>
      </c>
    </row>
    <row r="27" ht="17.25" customHeight="1" s="904">
      <c r="B27" s="373" t="n"/>
      <c r="C27" s="380" t="n"/>
      <c r="D27" s="916" t="n"/>
      <c r="E27" s="15" t="inlineStr">
        <is>
          <t>100335425</t>
        </is>
      </c>
      <c r="F27" s="15" t="n"/>
      <c r="G27" s="16" t="n"/>
      <c r="H27" s="17" t="n"/>
      <c r="I27" s="636" t="n"/>
      <c r="J27" s="17" t="n"/>
      <c r="K27" s="599" t="inlineStr">
        <is>
          <t>млн куб.м</t>
        </is>
      </c>
    </row>
    <row r="28" ht="20.1" customHeight="1" s="904">
      <c r="B28" s="373" t="n"/>
      <c r="C28" s="1077" t="inlineStr">
        <is>
          <t>2.</t>
        </is>
      </c>
      <c r="D28" s="1073" t="inlineStr">
        <is>
          <t>Переработка природного газа:</t>
        </is>
      </c>
      <c r="E28" s="15" t="inlineStr">
        <is>
          <t>100335061</t>
        </is>
      </c>
      <c r="F28" s="15" t="n"/>
      <c r="G28" s="16" t="n"/>
      <c r="H28" s="17" t="inlineStr">
        <is>
          <t>100335073+100335075</t>
        </is>
      </c>
      <c r="I28" s="636" t="n"/>
      <c r="J28" s="17" t="n"/>
      <c r="K28" s="374" t="inlineStr">
        <is>
          <t>тыс.т.</t>
        </is>
      </c>
    </row>
    <row r="29" ht="19.5" customHeight="1" s="904">
      <c r="B29" s="373" t="n"/>
      <c r="C29" s="916" t="n"/>
      <c r="D29" s="916" t="n"/>
      <c r="E29" s="15" t="inlineStr">
        <is>
          <t>100335062</t>
        </is>
      </c>
      <c r="F29" s="15" t="n"/>
      <c r="G29" s="16" t="n"/>
      <c r="H29" s="17" t="inlineStr">
        <is>
          <t>100335074+100335076</t>
        </is>
      </c>
      <c r="I29" s="636" t="n"/>
      <c r="J29" s="17" t="n"/>
      <c r="K29" s="599" t="inlineStr">
        <is>
          <t>млн куб.м</t>
        </is>
      </c>
    </row>
    <row r="30" ht="20.1" customHeight="1" s="904">
      <c r="B30" s="373" t="n"/>
      <c r="C30" s="973" t="inlineStr">
        <is>
          <t>2.1</t>
        </is>
      </c>
      <c r="D30" s="1070" t="inlineStr">
        <is>
          <t>собственность ПАО "Газпром" - оказание услуг  ПАО "Газпром"</t>
        </is>
      </c>
      <c r="E30" s="15" t="n">
        <v>100335073</v>
      </c>
      <c r="F30" s="15" t="n"/>
      <c r="G30" s="16" t="n"/>
      <c r="H30" s="17" t="n"/>
      <c r="I30" s="636" t="n"/>
      <c r="J30" s="17" t="n"/>
      <c r="K30" s="374" t="inlineStr">
        <is>
          <t>тыс.т.</t>
        </is>
      </c>
    </row>
    <row r="31" ht="20.1" customHeight="1" s="904">
      <c r="B31" s="373" t="n"/>
      <c r="C31" s="916" t="n"/>
      <c r="D31" s="916" t="n"/>
      <c r="E31" s="15" t="inlineStr">
        <is>
          <t>100335074</t>
        </is>
      </c>
      <c r="F31" s="15" t="n"/>
      <c r="G31" s="16" t="n"/>
      <c r="H31" s="17" t="n"/>
      <c r="I31" s="636" t="n"/>
      <c r="J31" s="17" t="n"/>
      <c r="K31" s="599" t="inlineStr">
        <is>
          <t>млн куб.м</t>
        </is>
      </c>
    </row>
    <row r="32" ht="20.1" customHeight="1" s="904">
      <c r="B32" s="373" t="n"/>
      <c r="C32" s="973" t="inlineStr">
        <is>
          <t>2.2</t>
        </is>
      </c>
      <c r="D32" s="1070" t="inlineStr">
        <is>
          <t>собственность ГПП Благовещенск</t>
        </is>
      </c>
      <c r="E32" s="15" t="inlineStr">
        <is>
          <t>100335075</t>
        </is>
      </c>
      <c r="F32" s="15" t="n"/>
      <c r="G32" s="16" t="n"/>
      <c r="H32" s="17" t="n"/>
      <c r="I32" s="636" t="n"/>
      <c r="J32" s="17" t="n"/>
      <c r="K32" s="374" t="inlineStr">
        <is>
          <t>тыс.т.</t>
        </is>
      </c>
    </row>
    <row r="33" ht="20.1" customHeight="1" s="904">
      <c r="B33" s="373" t="n"/>
      <c r="C33" s="916" t="n"/>
      <c r="D33" s="916" t="n"/>
      <c r="E33" s="15" t="inlineStr">
        <is>
          <t>100335076</t>
        </is>
      </c>
      <c r="F33" s="15" t="n"/>
      <c r="G33" s="16" t="n"/>
      <c r="H33" s="17" t="n"/>
      <c r="I33" s="636" t="n"/>
      <c r="J33" s="17" t="n"/>
      <c r="K33" s="599" t="inlineStr">
        <is>
          <t>млн куб.м</t>
        </is>
      </c>
    </row>
    <row r="34" outlineLevel="1" ht="20.1" customHeight="1" s="904">
      <c r="B34" s="373" t="n"/>
      <c r="C34" s="1076" t="inlineStr">
        <is>
          <t>3.</t>
        </is>
      </c>
      <c r="D34" s="1042" t="inlineStr">
        <is>
          <t>Потери сырья, всего:</t>
        </is>
      </c>
      <c r="E34" s="15" t="inlineStr">
        <is>
          <t>100335077</t>
        </is>
      </c>
      <c r="F34" s="15" t="n"/>
      <c r="G34" s="16" t="n"/>
      <c r="H34" s="17" t="inlineStr">
        <is>
          <t>100332356+100335079</t>
        </is>
      </c>
      <c r="I34" s="636" t="n"/>
      <c r="J34" s="17" t="n"/>
      <c r="K34" s="381" t="inlineStr">
        <is>
          <t>тыс.т.</t>
        </is>
      </c>
    </row>
    <row r="35" outlineLevel="1" ht="20.1" customHeight="1" s="904">
      <c r="B35" s="373" t="n"/>
      <c r="C35" s="916" t="n"/>
      <c r="D35" s="916" t="n"/>
      <c r="E35" s="15" t="inlineStr">
        <is>
          <t>100335078</t>
        </is>
      </c>
      <c r="F35" s="15" t="n"/>
      <c r="G35" s="16" t="n"/>
      <c r="H35" s="17" t="inlineStr">
        <is>
          <t>100332357+100335080</t>
        </is>
      </c>
      <c r="I35" s="636" t="n"/>
      <c r="J35" s="17" t="n"/>
      <c r="K35" s="600" t="inlineStr">
        <is>
          <t>млн куб.м</t>
        </is>
      </c>
    </row>
    <row r="36" outlineLevel="1" ht="20.1" customHeight="1" s="904">
      <c r="B36" s="373" t="n"/>
      <c r="C36" s="973" t="n"/>
      <c r="D36" s="1011" t="inlineStr">
        <is>
          <t>Природный газ сырой, собственность ПАО "Газпром"</t>
        </is>
      </c>
      <c r="E36" s="15" t="inlineStr">
        <is>
          <t>100332356</t>
        </is>
      </c>
      <c r="F36" s="15" t="n"/>
      <c r="G36" s="16" t="n"/>
      <c r="H36" s="17" t="n"/>
      <c r="I36" s="776">
        <f>ROUND(100-I41-I43-I44-I48-I49-I51,6)</f>
        <v/>
      </c>
      <c r="J36" s="17" t="n"/>
      <c r="K36" s="374" t="inlineStr">
        <is>
          <t>тыс.т.</t>
        </is>
      </c>
    </row>
    <row r="37" outlineLevel="1" ht="20.1" customHeight="1" s="904">
      <c r="B37" s="373" t="n"/>
      <c r="C37" s="973" t="n"/>
      <c r="D37" s="916" t="n"/>
      <c r="E37" s="15" t="inlineStr">
        <is>
          <t>100332357</t>
        </is>
      </c>
      <c r="F37" s="15" t="n"/>
      <c r="G37" s="16" t="n"/>
      <c r="H37" s="17" t="n"/>
      <c r="I37" s="636" t="n"/>
      <c r="J37" s="17" t="n"/>
      <c r="K37" s="599" t="inlineStr">
        <is>
          <t>млн куб.м</t>
        </is>
      </c>
    </row>
    <row r="38" outlineLevel="1" ht="20.1" customHeight="1" s="904">
      <c r="B38" s="373" t="n"/>
      <c r="C38" s="973" t="n"/>
      <c r="D38" s="1011" t="inlineStr">
        <is>
          <t>Природный газ сырой, собственность ГПП Благовещенск</t>
        </is>
      </c>
      <c r="E38" s="15" t="inlineStr">
        <is>
          <t>100335079</t>
        </is>
      </c>
      <c r="F38" s="15" t="n"/>
      <c r="G38" s="16" t="n"/>
      <c r="H38" s="17" t="n"/>
      <c r="I38" s="776" t="n"/>
      <c r="J38" s="17" t="n"/>
      <c r="K38" s="374" t="inlineStr">
        <is>
          <t>тыс.т.</t>
        </is>
      </c>
    </row>
    <row r="39" outlineLevel="1" ht="20.1" customHeight="1" s="904">
      <c r="B39" s="373" t="n"/>
      <c r="C39" s="973" t="n"/>
      <c r="D39" s="916" t="n"/>
      <c r="E39" s="15" t="inlineStr">
        <is>
          <t>100335080</t>
        </is>
      </c>
      <c r="F39" s="15" t="n"/>
      <c r="G39" s="16" t="n"/>
      <c r="H39" s="17" t="n"/>
      <c r="I39" s="636" t="n"/>
      <c r="J39" s="17" t="n"/>
      <c r="K39" s="599" t="inlineStr">
        <is>
          <t>млн куб.м</t>
        </is>
      </c>
    </row>
    <row r="40" ht="34.9" customHeight="1" s="904">
      <c r="B40" s="373" t="n"/>
      <c r="C40" s="1077" t="inlineStr">
        <is>
          <t>4.</t>
        </is>
      </c>
      <c r="D40" s="382" t="inlineStr">
        <is>
          <t>Производство продукции  (собственность ПАО "Газпром")</t>
        </is>
      </c>
      <c r="E40" s="15" t="n">
        <v>100330237</v>
      </c>
      <c r="F40" s="15" t="n"/>
      <c r="G40" s="16" t="n"/>
      <c r="H40" s="17" t="inlineStr">
        <is>
          <t>100332358+100332360/$1000+100332362+100331898+100332367+100332366</t>
        </is>
      </c>
      <c r="I40" s="776" t="inlineStr">
        <is>
          <t>ОКРУГЛ({100330237:-1}/{100335073:-1}*$100;$6)</t>
        </is>
      </c>
      <c r="J40" s="17" t="n"/>
      <c r="K40" s="383" t="inlineStr">
        <is>
          <t>тыс.т.</t>
        </is>
      </c>
    </row>
    <row r="41" ht="19.5" customHeight="1" s="904">
      <c r="B41" s="373" t="n"/>
      <c r="C41" s="973" t="inlineStr">
        <is>
          <t>4.2</t>
        </is>
      </c>
      <c r="D41" s="1069" t="inlineStr">
        <is>
          <t>Гелий</t>
        </is>
      </c>
      <c r="E41" s="15" t="n">
        <v>100332360</v>
      </c>
      <c r="F41" s="15" t="n"/>
      <c r="G41" s="16" t="n"/>
      <c r="H41" s="17" t="n"/>
      <c r="I41" s="776" t="inlineStr">
        <is>
          <t>ОКРУГЛ({100332360:-1}/{100335073:-1}*$100;$6)</t>
        </is>
      </c>
      <c r="J41" s="17" t="n"/>
      <c r="K41" s="374" t="inlineStr">
        <is>
          <t>тонн</t>
        </is>
      </c>
    </row>
    <row r="42" ht="20.1" customHeight="1" s="904">
      <c r="B42" s="373" t="n"/>
      <c r="C42" s="916" t="n"/>
      <c r="D42" s="916" t="n"/>
      <c r="E42" s="15" t="inlineStr">
        <is>
          <t>100332361</t>
        </is>
      </c>
      <c r="F42" s="15" t="n"/>
      <c r="G42" s="16" t="n"/>
      <c r="H42" s="17" t="n"/>
      <c r="I42" s="636" t="n"/>
      <c r="J42" s="17" t="n"/>
      <c r="K42" s="599" t="inlineStr">
        <is>
          <t>тыс. куб.м</t>
        </is>
      </c>
    </row>
    <row r="43" ht="20.1" customHeight="1" s="904">
      <c r="B43" s="373" t="n"/>
      <c r="C43" s="197" t="inlineStr">
        <is>
          <t>4.3</t>
        </is>
      </c>
      <c r="D43" s="1069" t="inlineStr">
        <is>
          <t>Этан</t>
        </is>
      </c>
      <c r="E43" s="15" t="n">
        <v>100332362</v>
      </c>
      <c r="F43" s="15" t="n"/>
      <c r="G43" s="16" t="n"/>
      <c r="H43" s="17" t="n"/>
      <c r="I43" s="776" t="inlineStr">
        <is>
          <t>ОКРУГЛ({100332362:-1}/{100335073:-1}*$100;$6)</t>
        </is>
      </c>
      <c r="J43" s="17" t="n"/>
      <c r="K43" s="374" t="inlineStr">
        <is>
          <t>тыс.т.</t>
        </is>
      </c>
    </row>
    <row r="44" ht="20.1" customHeight="1" s="904">
      <c r="B44" s="373" t="n"/>
      <c r="C44" s="197" t="inlineStr">
        <is>
          <t>4.4</t>
        </is>
      </c>
      <c r="D44" s="1069" t="inlineStr">
        <is>
          <t>Газы углеводородные сжиженные - всего:</t>
        </is>
      </c>
      <c r="E44" s="15" t="n">
        <v>100331898</v>
      </c>
      <c r="F44" s="15" t="n"/>
      <c r="G44" s="16" t="n"/>
      <c r="H44" s="17" t="inlineStr">
        <is>
          <t>СУММ(100332363:100332365)</t>
        </is>
      </c>
      <c r="I44" s="776" t="inlineStr">
        <is>
          <t>ОКРУГЛ({100331898:-1}/{100335073:-1}*$100;$6)</t>
        </is>
      </c>
      <c r="J44" s="17" t="n"/>
      <c r="K44" s="374" t="inlineStr">
        <is>
          <t>тыс.т.</t>
        </is>
      </c>
    </row>
    <row r="45" ht="20.1" customHeight="1" s="904">
      <c r="B45" s="373" t="n"/>
      <c r="C45" s="324" t="n"/>
      <c r="D45" s="1069" t="inlineStr">
        <is>
          <t xml:space="preserve"> - пропан</t>
        </is>
      </c>
      <c r="E45" s="15" t="inlineStr">
        <is>
          <t>100332363</t>
        </is>
      </c>
      <c r="F45" s="15" t="n"/>
      <c r="G45" s="16" t="n"/>
      <c r="H45" s="17" t="n"/>
      <c r="I45" s="636" t="n"/>
      <c r="J45" s="17" t="n"/>
      <c r="K45" s="374" t="inlineStr">
        <is>
          <t>тыс.т.</t>
        </is>
      </c>
    </row>
    <row r="46" ht="18.75" customHeight="1" s="904">
      <c r="B46" s="373" t="n"/>
      <c r="C46" s="324" t="n"/>
      <c r="D46" s="1069" t="inlineStr">
        <is>
          <t xml:space="preserve"> - бутан</t>
        </is>
      </c>
      <c r="E46" s="15" t="inlineStr">
        <is>
          <t>100332364</t>
        </is>
      </c>
      <c r="F46" s="15" t="n"/>
      <c r="G46" s="16" t="n"/>
      <c r="H46" s="17" t="n"/>
      <c r="I46" s="636" t="n"/>
      <c r="J46" s="17" t="n"/>
      <c r="K46" s="374" t="inlineStr">
        <is>
          <t>тыс.т.</t>
        </is>
      </c>
    </row>
    <row r="47" ht="17.25" customHeight="1" s="904">
      <c r="B47" s="373" t="n"/>
      <c r="C47" s="380" t="n"/>
      <c r="D47" s="1069" t="inlineStr">
        <is>
          <t xml:space="preserve"> - СПБТ</t>
        </is>
      </c>
      <c r="E47" s="15" t="inlineStr">
        <is>
          <t>100332365</t>
        </is>
      </c>
      <c r="F47" s="15" t="n"/>
      <c r="G47" s="16" t="n"/>
      <c r="H47" s="17" t="n"/>
      <c r="I47" s="636" t="n"/>
      <c r="J47" s="17" t="n"/>
      <c r="K47" s="374" t="inlineStr">
        <is>
          <t>тыс.т.</t>
        </is>
      </c>
    </row>
    <row r="48" ht="17.25" customHeight="1" s="904">
      <c r="B48" s="373" t="n"/>
      <c r="C48" s="197" t="inlineStr">
        <is>
          <t>4.5</t>
        </is>
      </c>
      <c r="D48" s="1069" t="inlineStr">
        <is>
          <t>ПГФ / УФ</t>
        </is>
      </c>
      <c r="E48" s="15" t="n">
        <v>100332366</v>
      </c>
      <c r="F48" s="15" t="n"/>
      <c r="G48" s="16" t="n"/>
      <c r="H48" s="17" t="n"/>
      <c r="I48" s="776" t="inlineStr">
        <is>
          <t>ОКРУГЛ({100332366:-1}/{100335073:-1}*$100;$6)</t>
        </is>
      </c>
      <c r="J48" s="17" t="n"/>
      <c r="K48" s="374" t="inlineStr">
        <is>
          <t>тыс.т.</t>
        </is>
      </c>
    </row>
    <row r="49" ht="17.25" customHeight="1" s="904">
      <c r="B49" s="373" t="n"/>
      <c r="C49" s="197" t="inlineStr">
        <is>
          <t>4.6</t>
        </is>
      </c>
      <c r="D49" s="1069" t="inlineStr">
        <is>
          <t xml:space="preserve">Топливный газ </t>
        </is>
      </c>
      <c r="E49" s="15" t="n">
        <v>100332367</v>
      </c>
      <c r="F49" s="15" t="n"/>
      <c r="G49" s="16" t="n"/>
      <c r="H49" s="17" t="n"/>
      <c r="I49" s="776" t="inlineStr">
        <is>
          <t>ОКРУГЛ({100332367:-1}/{100335073:-1}*$100;$6)</t>
        </is>
      </c>
      <c r="J49" s="17" t="n"/>
      <c r="K49" s="384" t="inlineStr">
        <is>
          <t>тыс.т.</t>
        </is>
      </c>
    </row>
    <row r="50" ht="17.25" customHeight="1" s="904">
      <c r="B50" s="373" t="n"/>
      <c r="C50" s="380" t="n"/>
      <c r="D50" s="916" t="n"/>
      <c r="E50" s="15" t="inlineStr">
        <is>
          <t>100332368</t>
        </is>
      </c>
      <c r="F50" s="15" t="n"/>
      <c r="G50" s="16" t="n"/>
      <c r="H50" s="17" t="n"/>
      <c r="I50" s="636" t="n"/>
      <c r="J50" s="17" t="n"/>
      <c r="K50" s="599" t="inlineStr">
        <is>
          <t>млн куб.м</t>
        </is>
      </c>
    </row>
    <row r="51" ht="20.1" customHeight="1" s="904">
      <c r="B51" s="373" t="n"/>
      <c r="C51" s="973" t="inlineStr">
        <is>
          <t>4.1</t>
        </is>
      </c>
      <c r="D51" s="1069" t="inlineStr">
        <is>
          <t>Газ товарный</t>
        </is>
      </c>
      <c r="E51" s="15" t="n">
        <v>100332358</v>
      </c>
      <c r="F51" s="15" t="n"/>
      <c r="G51" s="16" t="n"/>
      <c r="H51" s="17" t="n"/>
      <c r="I51" s="776" t="inlineStr">
        <is>
          <t>ОКРУГЛ({100332358:-1}/{100335073:-1}*$100;$6)</t>
        </is>
      </c>
      <c r="J51" s="17" t="n"/>
      <c r="K51" s="374" t="inlineStr">
        <is>
          <t>тыс.т.</t>
        </is>
      </c>
    </row>
    <row r="52" ht="20.1" customHeight="1" s="904">
      <c r="B52" s="373" t="n"/>
      <c r="C52" s="916" t="n"/>
      <c r="D52" s="916" t="n"/>
      <c r="E52" s="15" t="inlineStr">
        <is>
          <t>100332359</t>
        </is>
      </c>
      <c r="F52" s="15" t="n"/>
      <c r="G52" s="16" t="n"/>
      <c r="H52" s="17" t="n"/>
      <c r="I52" s="636" t="n"/>
      <c r="J52" s="17" t="n"/>
      <c r="K52" s="599" t="inlineStr">
        <is>
          <t>млн куб.м</t>
        </is>
      </c>
    </row>
    <row r="53" ht="37.5" customHeight="1" s="904">
      <c r="B53" s="373" t="n"/>
      <c r="C53" s="1077" t="n">
        <v>5</v>
      </c>
      <c r="D53" s="382" t="inlineStr">
        <is>
          <t>Производство продукции  (собственность Газпром переработка Благовещенск  )</t>
        </is>
      </c>
      <c r="E53" s="15" t="inlineStr">
        <is>
          <t>100335081</t>
        </is>
      </c>
      <c r="F53" s="15" t="n"/>
      <c r="G53" s="16" t="n"/>
      <c r="H53" s="17" t="inlineStr">
        <is>
          <t>100335083/$1000+100335084+100335088+100335311+100335464</t>
        </is>
      </c>
      <c r="I53" s="636" t="n"/>
      <c r="J53" s="17" t="n"/>
      <c r="K53" s="601" t="inlineStr">
        <is>
          <t>тыс. т</t>
        </is>
      </c>
    </row>
    <row r="54" ht="17.25" customHeight="1" s="904">
      <c r="B54" s="373" t="n"/>
      <c r="C54" s="973" t="inlineStr">
        <is>
          <t>5.1</t>
        </is>
      </c>
      <c r="D54" s="1069" t="inlineStr">
        <is>
          <t xml:space="preserve">      Гелий</t>
        </is>
      </c>
      <c r="E54" s="15" t="inlineStr">
        <is>
          <t>100335083</t>
        </is>
      </c>
      <c r="F54" s="15" t="n"/>
      <c r="G54" s="16" t="n"/>
      <c r="H54" s="17" t="n"/>
      <c r="I54" s="636" t="n"/>
      <c r="J54" s="17" t="n"/>
      <c r="K54" s="599" t="inlineStr">
        <is>
          <t>тонн</t>
        </is>
      </c>
    </row>
    <row r="55" ht="17.25" customHeight="1" s="904">
      <c r="B55" s="373" t="n"/>
      <c r="C55" s="916" t="n"/>
      <c r="D55" s="1069" t="inlineStr">
        <is>
          <t xml:space="preserve">      Гелий</t>
        </is>
      </c>
      <c r="E55" s="15" t="inlineStr">
        <is>
          <t>100335082</t>
        </is>
      </c>
      <c r="F55" s="15" t="n"/>
      <c r="G55" s="16" t="n"/>
      <c r="H55" s="17" t="n"/>
      <c r="I55" s="636" t="n"/>
      <c r="J55" s="17" t="n"/>
      <c r="K55" s="599" t="inlineStr">
        <is>
          <t>тыс куб. м.</t>
        </is>
      </c>
    </row>
    <row r="56" ht="24" customHeight="1" s="904">
      <c r="B56" s="373" t="n"/>
      <c r="C56" s="197" t="inlineStr">
        <is>
          <t>5.2</t>
        </is>
      </c>
      <c r="D56" s="1069" t="inlineStr">
        <is>
          <t xml:space="preserve">      Газы углеводородные сжиженные - всего</t>
        </is>
      </c>
      <c r="E56" s="15" t="inlineStr">
        <is>
          <t>100335084</t>
        </is>
      </c>
      <c r="F56" s="15" t="n"/>
      <c r="G56" s="16" t="n"/>
      <c r="H56" s="17" t="inlineStr">
        <is>
          <t>СУММ(100335085:100335087)</t>
        </is>
      </c>
      <c r="I56" s="636" t="n"/>
      <c r="J56" s="17" t="n"/>
      <c r="K56" s="599" t="inlineStr">
        <is>
          <t>тыс. т</t>
        </is>
      </c>
    </row>
    <row r="57" ht="17.25" customHeight="1" s="904">
      <c r="B57" s="373" t="n"/>
      <c r="C57" s="197" t="n"/>
      <c r="D57" s="1069" t="inlineStr">
        <is>
          <t xml:space="preserve">         пропан</t>
        </is>
      </c>
      <c r="E57" s="15" t="inlineStr">
        <is>
          <t>100335085</t>
        </is>
      </c>
      <c r="F57" s="15" t="n"/>
      <c r="G57" s="16" t="n"/>
      <c r="H57" s="17" t="n"/>
      <c r="I57" s="636" t="n"/>
      <c r="J57" s="17" t="n"/>
      <c r="K57" s="599" t="inlineStr">
        <is>
          <t>тыс. т</t>
        </is>
      </c>
    </row>
    <row r="58" ht="17.25" customHeight="1" s="904">
      <c r="B58" s="373" t="n"/>
      <c r="C58" s="197" t="n"/>
      <c r="D58" s="1069" t="inlineStr">
        <is>
          <t xml:space="preserve">         бутан</t>
        </is>
      </c>
      <c r="E58" s="15" t="inlineStr">
        <is>
          <t>100335086</t>
        </is>
      </c>
      <c r="F58" s="15" t="n"/>
      <c r="G58" s="16" t="n"/>
      <c r="H58" s="17" t="n"/>
      <c r="I58" s="636" t="n"/>
      <c r="J58" s="17" t="n"/>
      <c r="K58" s="599" t="inlineStr">
        <is>
          <t>тыс. т</t>
        </is>
      </c>
    </row>
    <row r="59" ht="17.25" customHeight="1" s="904">
      <c r="B59" s="373" t="n"/>
      <c r="C59" s="197" t="n"/>
      <c r="D59" s="1069" t="inlineStr">
        <is>
          <t xml:space="preserve">         СПБТ</t>
        </is>
      </c>
      <c r="E59" s="15" t="inlineStr">
        <is>
          <t>100335087</t>
        </is>
      </c>
      <c r="F59" s="15" t="n"/>
      <c r="G59" s="16" t="n"/>
      <c r="H59" s="17" t="n"/>
      <c r="I59" s="636" t="n"/>
      <c r="J59" s="17" t="n"/>
      <c r="K59" s="599" t="inlineStr">
        <is>
          <t>тыс. т</t>
        </is>
      </c>
    </row>
    <row r="60" ht="17.25" customHeight="1" s="904">
      <c r="B60" s="373" t="n"/>
      <c r="C60" s="385" t="inlineStr">
        <is>
          <t>5.3</t>
        </is>
      </c>
      <c r="D60" s="386" t="inlineStr">
        <is>
          <t>ПГФ / УФ</t>
        </is>
      </c>
      <c r="E60" s="15" t="inlineStr">
        <is>
          <t>100335088</t>
        </is>
      </c>
      <c r="F60" s="15" t="n"/>
      <c r="G60" s="16" t="n"/>
      <c r="H60" s="17" t="n"/>
      <c r="I60" s="636" t="n"/>
      <c r="J60" s="17" t="n"/>
      <c r="K60" s="599" t="inlineStr">
        <is>
          <t>тыс. т</t>
        </is>
      </c>
    </row>
    <row r="61" ht="17.25" customHeight="1" s="904">
      <c r="B61" s="373" t="n"/>
      <c r="C61" s="972" t="inlineStr">
        <is>
          <t>5.4</t>
        </is>
      </c>
      <c r="D61" s="1069" t="inlineStr">
        <is>
          <t>Топливный газ (на СТН при ПНР)</t>
        </is>
      </c>
      <c r="E61" s="15" t="inlineStr">
        <is>
          <t>100335464</t>
        </is>
      </c>
      <c r="F61" s="15" t="n"/>
      <c r="G61" s="16" t="n"/>
      <c r="H61" s="17" t="n"/>
      <c r="I61" s="636" t="n"/>
      <c r="J61" s="17" t="n"/>
      <c r="K61" s="374" t="inlineStr">
        <is>
          <t>тыс.т.</t>
        </is>
      </c>
    </row>
    <row r="62" ht="51.6" customHeight="1" s="904">
      <c r="B62" s="373" t="n"/>
      <c r="C62" s="916" t="n"/>
      <c r="D62" s="916" t="n"/>
      <c r="E62" s="15" t="inlineStr">
        <is>
          <t>100335465</t>
        </is>
      </c>
      <c r="F62" s="15" t="n"/>
      <c r="G62" s="16" t="n"/>
      <c r="H62" s="17" t="n"/>
      <c r="I62" s="636" t="n"/>
      <c r="J62" s="17" t="n"/>
      <c r="K62" s="599" t="inlineStr">
        <is>
          <t>млн куб.м</t>
        </is>
      </c>
    </row>
    <row r="63" ht="17.25" customHeight="1" s="904">
      <c r="B63" s="373" t="n"/>
      <c r="C63" s="972" t="inlineStr">
        <is>
          <t>5.5</t>
        </is>
      </c>
      <c r="D63" s="1069" t="inlineStr">
        <is>
          <t>Газ товарный</t>
        </is>
      </c>
      <c r="E63" s="15" t="inlineStr">
        <is>
          <t>100335311</t>
        </is>
      </c>
      <c r="F63" s="15" t="n"/>
      <c r="G63" s="16" t="n"/>
      <c r="H63" s="17" t="n"/>
      <c r="I63" s="636" t="n"/>
      <c r="J63" s="17" t="n"/>
      <c r="K63" s="374" t="inlineStr">
        <is>
          <t>тыс.т.</t>
        </is>
      </c>
    </row>
    <row r="64" ht="17.25" customHeight="1" s="904">
      <c r="B64" s="373" t="n"/>
      <c r="C64" s="916" t="n"/>
      <c r="D64" s="916" t="n"/>
      <c r="E64" s="15" t="inlineStr">
        <is>
          <t>100335312</t>
        </is>
      </c>
      <c r="F64" s="15" t="n"/>
      <c r="G64" s="16" t="n"/>
      <c r="H64" s="17" t="n"/>
      <c r="I64" s="636" t="n"/>
      <c r="J64" s="17" t="n"/>
      <c r="K64" s="599" t="inlineStr">
        <is>
          <t>млн куб.м</t>
        </is>
      </c>
    </row>
    <row r="65" ht="19.5" customHeight="1" s="904">
      <c r="B65" s="373" t="n"/>
      <c r="C65" s="233" t="n"/>
      <c r="D65" s="375" t="inlineStr">
        <is>
          <t>Справочно:</t>
        </is>
      </c>
      <c r="E65" s="15" t="n"/>
      <c r="F65" s="15" t="n"/>
      <c r="G65" s="16" t="n"/>
      <c r="H65" s="17" t="n"/>
      <c r="I65" s="636" t="n"/>
      <c r="J65" s="17" t="n"/>
      <c r="K65" s="599" t="n"/>
    </row>
    <row r="66" ht="24" customHeight="1" s="904">
      <c r="B66" s="373" t="n"/>
      <c r="C66" s="233" t="n"/>
      <c r="D66" s="1071" t="inlineStr">
        <is>
          <t>Газ товарный, всего</t>
        </is>
      </c>
      <c r="E66" s="15" t="inlineStr">
        <is>
          <t>100335313</t>
        </is>
      </c>
      <c r="F66" s="15" t="n"/>
      <c r="G66" s="16" t="n"/>
      <c r="H66" s="17" t="inlineStr">
        <is>
          <t>100332358+100335311+100335223+100335424</t>
        </is>
      </c>
      <c r="I66" s="636" t="n"/>
      <c r="J66" s="17" t="n"/>
      <c r="K66" s="599" t="inlineStr">
        <is>
          <t>тыс.т.</t>
        </is>
      </c>
    </row>
    <row r="67" ht="24" customHeight="1" s="904">
      <c r="B67" s="373" t="n"/>
      <c r="C67" s="233" t="n"/>
      <c r="D67" s="916" t="n"/>
      <c r="E67" s="15" t="inlineStr">
        <is>
          <t>100335314</t>
        </is>
      </c>
      <c r="F67" s="15" t="n"/>
      <c r="G67" s="16" t="n"/>
      <c r="H67" s="17" t="inlineStr">
        <is>
          <t>100332359+100335312+100335159+100335425</t>
        </is>
      </c>
      <c r="I67" s="636" t="n"/>
      <c r="J67" s="17" t="n"/>
      <c r="K67" s="599" t="inlineStr">
        <is>
          <t>млн куб.м</t>
        </is>
      </c>
    </row>
    <row r="68" ht="20.25" customHeight="1" s="904">
      <c r="B68" s="373" t="n"/>
      <c r="C68" s="380" t="n"/>
      <c r="D68" s="387" t="inlineStr">
        <is>
          <t>в т.ч. поставка газа в КНР с АмГПЗ (собственность Газпром)</t>
        </is>
      </c>
      <c r="E68" s="15" t="inlineStr">
        <is>
          <t>100335160</t>
        </is>
      </c>
      <c r="F68" s="15" t="n"/>
      <c r="G68" s="16" t="n"/>
      <c r="H68" s="17" t="n"/>
      <c r="I68" s="636" t="n"/>
      <c r="J68" s="17" t="n"/>
      <c r="K68" s="599" t="inlineStr">
        <is>
          <t>млн куб.м</t>
        </is>
      </c>
    </row>
    <row r="69" ht="18.6" customHeight="1" s="904">
      <c r="B69" s="373" t="n"/>
      <c r="C69" s="380" t="n"/>
      <c r="D69" s="388" t="inlineStr">
        <is>
          <t>в т.ч.  транзит через АмГПЗ</t>
        </is>
      </c>
      <c r="E69" s="15" t="inlineStr">
        <is>
          <t>100335161</t>
        </is>
      </c>
      <c r="F69" s="15" t="n"/>
      <c r="G69" s="16" t="n"/>
      <c r="H69" s="17" t="n"/>
      <c r="I69" s="636" t="n"/>
      <c r="J69" s="17" t="n"/>
      <c r="K69" s="599" t="inlineStr">
        <is>
          <t>млн куб.м</t>
        </is>
      </c>
    </row>
    <row r="70">
      <c r="B70" s="373" t="n"/>
      <c r="C70" s="380" t="n"/>
      <c r="D70" s="387" t="inlineStr">
        <is>
          <t>в т.ч. потребители Ам. обл. после АмГПЗ (Благовещенск)</t>
        </is>
      </c>
      <c r="E70" s="15" t="inlineStr">
        <is>
          <t>100335162</t>
        </is>
      </c>
      <c r="F70" s="15" t="n"/>
      <c r="G70" s="16" t="n"/>
      <c r="H70" s="17" t="n"/>
      <c r="I70" s="636" t="n"/>
      <c r="J70" s="17" t="n"/>
      <c r="K70" s="599" t="inlineStr">
        <is>
          <t>млн куб.м</t>
        </is>
      </c>
    </row>
    <row r="71">
      <c r="B71" s="373" t="n"/>
      <c r="C71" s="380" t="n"/>
      <c r="D71" s="387" t="inlineStr">
        <is>
          <t>в т.ч. СТН ГТС ОАО "Томскгазпром" после АмГПЗ</t>
        </is>
      </c>
      <c r="E71" s="15" t="inlineStr">
        <is>
          <t>100335163</t>
        </is>
      </c>
      <c r="F71" s="15" t="n"/>
      <c r="G71" s="16" t="n"/>
      <c r="H71" s="17" t="n"/>
      <c r="I71" s="636" t="n"/>
      <c r="J71" s="17" t="n"/>
      <c r="K71" s="599" t="inlineStr">
        <is>
          <t>млн куб.м</t>
        </is>
      </c>
    </row>
    <row r="72" ht="36" customHeight="1" s="904">
      <c r="B72" s="373" t="n"/>
      <c r="C72" s="380" t="n"/>
      <c r="D72" s="387" t="inlineStr">
        <is>
          <t>Оседание в продукцию</t>
        </is>
      </c>
      <c r="E72" s="15" t="inlineStr">
        <is>
          <t>100335164</t>
        </is>
      </c>
      <c r="F72" s="15" t="n"/>
      <c r="G72" s="16" t="n"/>
      <c r="H72" s="17" t="inlineStr">
        <is>
          <t>100335062+100335159+100335425-100332359-100335312-100335161</t>
        </is>
      </c>
      <c r="I72" s="636" t="n"/>
      <c r="J72" s="17" t="n"/>
      <c r="K72" s="599" t="inlineStr">
        <is>
          <t>млн куб.м</t>
        </is>
      </c>
    </row>
    <row r="73">
      <c r="B73" s="373" t="n"/>
      <c r="C73" s="380" t="n"/>
      <c r="D73" s="387" t="inlineStr">
        <is>
          <t xml:space="preserve">Поставка газа в Китай , минуя АмГПЗ </t>
        </is>
      </c>
      <c r="E73" s="15" t="inlineStr">
        <is>
          <t>100335101</t>
        </is>
      </c>
      <c r="F73" s="15" t="n"/>
      <c r="G73" s="16" t="n"/>
      <c r="H73" s="17" t="n"/>
      <c r="I73" s="636" t="n"/>
      <c r="J73" s="17" t="n"/>
      <c r="K73" s="599" t="inlineStr">
        <is>
          <t>млн куб.м</t>
        </is>
      </c>
    </row>
    <row r="74" ht="18.75" customHeight="1" s="904">
      <c r="B74" s="373" t="n"/>
      <c r="C74" s="380" t="n"/>
      <c r="D74" s="387" t="inlineStr">
        <is>
          <t>Покупка газа у ПАО "Газпром" при ПНР (дог. ГППБпнр-2020)</t>
        </is>
      </c>
      <c r="E74" s="15" t="inlineStr">
        <is>
          <t>100335428</t>
        </is>
      </c>
      <c r="F74" s="15" t="n"/>
      <c r="G74" s="16" t="n"/>
      <c r="H74" s="17" t="inlineStr">
        <is>
          <t>100335057+100335429</t>
        </is>
      </c>
      <c r="I74" s="636" t="n"/>
      <c r="J74" s="17" t="n"/>
      <c r="K74" s="599" t="inlineStr">
        <is>
          <t>млн куб.м</t>
        </is>
      </c>
    </row>
    <row r="75" ht="37.5" customHeight="1" s="904">
      <c r="B75" s="373" t="n"/>
      <c r="C75" s="380" t="n"/>
      <c r="D75" s="389" t="inlineStr">
        <is>
          <t>в т.ч.  транзит через АмГПЗ  (собственность ГПП Благовещенск)</t>
        </is>
      </c>
      <c r="E75" s="15" t="inlineStr">
        <is>
          <t>100335429</t>
        </is>
      </c>
      <c r="F75" s="15" t="n"/>
      <c r="G75" s="16" t="n"/>
      <c r="H75" s="17" t="n"/>
      <c r="I75" s="636" t="n"/>
      <c r="J75" s="17" t="n"/>
      <c r="K75" s="599" t="inlineStr">
        <is>
          <t>млн куб.м</t>
        </is>
      </c>
    </row>
    <row r="76" ht="38.25" customHeight="1" s="904">
      <c r="B76" s="373" t="n"/>
      <c r="C76" s="380" t="n"/>
      <c r="D76" s="387" t="inlineStr">
        <is>
          <t>Продажа товарного газа ПАО "Газпром" при ПНР (по договору поставки продукции ГППБ 03/21-23)</t>
        </is>
      </c>
      <c r="E76" s="15" t="inlineStr">
        <is>
          <t>100335466</t>
        </is>
      </c>
      <c r="F76" s="15" t="n"/>
      <c r="G76" s="16" t="n"/>
      <c r="H76" s="17" t="n"/>
      <c r="I76" s="636" t="n"/>
      <c r="J76" s="17" t="n"/>
      <c r="K76" s="599" t="inlineStr">
        <is>
          <t>млн куб.м</t>
        </is>
      </c>
    </row>
    <row r="77" ht="36.75" customHeight="1" s="904">
      <c r="B77" s="373" t="n"/>
      <c r="C77" s="380" t="n"/>
      <c r="D77" s="388" t="inlineStr">
        <is>
          <t>в т.ч. 'транзит газа через Амурский ГПЗ (собственность ГПП Благовещенск")</t>
        </is>
      </c>
      <c r="E77" s="15" t="inlineStr">
        <is>
          <t>100335467</t>
        </is>
      </c>
      <c r="F77" s="15" t="n"/>
      <c r="G77" s="16" t="n"/>
      <c r="H77" s="17" t="n"/>
      <c r="I77" s="636" t="n"/>
      <c r="J77" s="17" t="n"/>
      <c r="K77" s="602" t="inlineStr">
        <is>
          <t>млн куб.м</t>
        </is>
      </c>
    </row>
    <row r="78" ht="19.5" customHeight="1" s="904">
      <c r="B78" s="373" t="n"/>
      <c r="C78" s="1074" t="inlineStr">
        <is>
          <t>6.</t>
        </is>
      </c>
      <c r="D78" s="390" t="inlineStr">
        <is>
          <t xml:space="preserve">Материальный баланс поставки УВС </t>
        </is>
      </c>
      <c r="E78" s="15" t="inlineStr">
        <is>
          <t>100335165</t>
        </is>
      </c>
      <c r="F78" s="15" t="n"/>
      <c r="G78" s="16" t="n"/>
      <c r="H78" s="17" t="inlineStr">
        <is>
          <t>100332979-100335056-100335308-100335059-100335060-100335159-100335062-100335425+100335462+100335463</t>
        </is>
      </c>
      <c r="I78" s="636" t="n"/>
      <c r="J78" s="17" t="n"/>
      <c r="K78" s="136" t="inlineStr">
        <is>
          <t>тыс.т.</t>
        </is>
      </c>
    </row>
    <row r="79" ht="19.5" customHeight="1" s="904">
      <c r="B79" s="373" t="n"/>
      <c r="C79" s="916" t="n"/>
      <c r="D79" s="390" t="inlineStr">
        <is>
          <t>Материальный баланс переработки УВС</t>
        </is>
      </c>
      <c r="E79" s="15" t="inlineStr">
        <is>
          <t>100335089</t>
        </is>
      </c>
      <c r="F79" s="15" t="n"/>
      <c r="G79" s="16" t="n"/>
      <c r="H79" s="17" t="inlineStr">
        <is>
          <t>100335061-100335077-100330237-100335081</t>
        </is>
      </c>
      <c r="I79" s="636" t="n"/>
      <c r="J79" s="17" t="n"/>
      <c r="K79" s="136" t="inlineStr">
        <is>
          <t>тыс.т.</t>
        </is>
      </c>
    </row>
    <row r="80" ht="36" customHeight="1" s="904">
      <c r="B80" s="373" t="n"/>
      <c r="C80" s="141" t="inlineStr">
        <is>
          <t>7.</t>
        </is>
      </c>
      <c r="D80" s="161" t="inlineStr">
        <is>
          <t>Производство для реализации ПАО "Газпром"</t>
        </is>
      </c>
      <c r="E80" s="15" t="n"/>
      <c r="F80" s="15" t="inlineStr">
        <is>
          <t>V</t>
        </is>
      </c>
      <c r="G80" s="16" t="n"/>
      <c r="H80" s="17" t="inlineStr">
        <is>
          <t>100332360/$1000+100332362+100331898+100332366</t>
        </is>
      </c>
      <c r="I80" s="636" t="n"/>
      <c r="J80" s="17" t="n"/>
      <c r="K80" s="136" t="inlineStr">
        <is>
          <t>тыс.т.</t>
        </is>
      </c>
    </row>
    <row r="81" ht="39.75" customHeight="1" s="904">
      <c r="C81" s="1026" t="inlineStr">
        <is>
          <t>8.</t>
        </is>
      </c>
      <c r="D81" s="330" t="inlineStr">
        <is>
          <t>Проверки:</t>
        </is>
      </c>
      <c r="E81" s="15" t="n"/>
      <c r="F81" s="15" t="n"/>
      <c r="G81" s="16" t="n"/>
      <c r="H81" s="17" t="n"/>
      <c r="I81" s="636" t="n"/>
      <c r="J81" s="17" t="n"/>
      <c r="K81" s="147" t="n"/>
    </row>
    <row r="82" ht="20.25" customHeight="1" s="904">
      <c r="C82" s="271" t="n"/>
      <c r="D82" s="271" t="inlineStr">
        <is>
          <t>Поставка газа на АмГПЗ</t>
        </is>
      </c>
      <c r="E82" s="15" t="n"/>
      <c r="F82" s="15" t="inlineStr">
        <is>
          <t>V</t>
        </is>
      </c>
      <c r="G82" s="16" t="n"/>
      <c r="H82" s="17" t="inlineStr">
        <is>
          <t>100332979-(100335056+100335057-100335462+100335059-100335463+100335060+100335427+100335062)</t>
        </is>
      </c>
      <c r="I82" s="636" t="n"/>
      <c r="J82" s="17" t="n"/>
      <c r="K82" s="149" t="n"/>
    </row>
    <row r="83" ht="20.25" customHeight="1" s="904">
      <c r="C83" s="271" t="n"/>
      <c r="D83" s="271" t="inlineStr">
        <is>
          <t xml:space="preserve">Переработка газа ПАО "Газпром" </t>
        </is>
      </c>
      <c r="E83" s="15" t="n"/>
      <c r="F83" s="15" t="inlineStr">
        <is>
          <t>V</t>
        </is>
      </c>
      <c r="G83" s="16" t="n"/>
      <c r="H83" s="17" t="inlineStr">
        <is>
          <t>100335061-100335077-100330237</t>
        </is>
      </c>
      <c r="I83" s="636" t="n"/>
      <c r="J83" s="17" t="n"/>
      <c r="K83" s="149" t="n"/>
    </row>
    <row r="84" ht="20.25" customHeight="1" s="904">
      <c r="C84" s="271" t="n"/>
      <c r="D84" s="271" t="inlineStr">
        <is>
          <t>Переработка газа ООО "ГПБлаговещенск"</t>
        </is>
      </c>
      <c r="E84" s="15" t="n"/>
      <c r="F84" s="15" t="inlineStr">
        <is>
          <t>V</t>
        </is>
      </c>
      <c r="G84" s="16" t="n"/>
      <c r="H84" s="17" t="inlineStr">
        <is>
          <t>100335075-100335079-100335081</t>
        </is>
      </c>
      <c r="I84" s="636" t="n"/>
      <c r="J84" s="17" t="n"/>
      <c r="K84" s="149" t="n"/>
    </row>
    <row r="85" ht="20.25" customHeight="1" s="904">
      <c r="C85" s="271" t="n"/>
      <c r="D85" s="271" t="inlineStr">
        <is>
          <t>Производство продукци ПАО "Газпром"</t>
        </is>
      </c>
      <c r="E85" s="15" t="n"/>
      <c r="F85" s="15" t="inlineStr">
        <is>
          <t>V</t>
        </is>
      </c>
      <c r="G85" s="16" t="n"/>
      <c r="H85" s="17" t="inlineStr">
        <is>
          <t>100330237-100332360/$1000-100332362-100331898-100332366-100332367-100332358</t>
        </is>
      </c>
      <c r="I85" s="636" t="n"/>
      <c r="J85" s="17" t="n"/>
      <c r="K85" s="149" t="n"/>
    </row>
    <row r="86" ht="20.25" customHeight="1" s="904">
      <c r="C86" s="271" t="n"/>
      <c r="D86" s="271" t="inlineStr">
        <is>
          <t>Производство продукци ООО "ГПБлаговещенск"</t>
        </is>
      </c>
      <c r="E86" s="15" t="n"/>
      <c r="F86" s="15" t="inlineStr">
        <is>
          <t>V</t>
        </is>
      </c>
      <c r="G86" s="16" t="n"/>
      <c r="H86" s="17" t="inlineStr">
        <is>
          <t>100335081-100335083/$1000-100335084-100335088-100335464-100335311</t>
        </is>
      </c>
      <c r="I86" s="636" t="n"/>
      <c r="J86" s="17" t="n"/>
      <c r="K86" s="149" t="n"/>
    </row>
    <row r="87" ht="20.25" customHeight="1" s="904">
      <c r="C87" s="271" t="n"/>
      <c r="D87" s="391" t="inlineStr">
        <is>
          <t>Транзит газа</t>
        </is>
      </c>
      <c r="E87" s="15" t="n"/>
      <c r="F87" s="15" t="inlineStr">
        <is>
          <t>V</t>
        </is>
      </c>
      <c r="G87" s="16" t="n"/>
      <c r="H87" s="17" t="inlineStr">
        <is>
          <t>100335427-100335161</t>
        </is>
      </c>
      <c r="I87" s="636" t="n"/>
      <c r="J87" s="17" t="n"/>
      <c r="K87" s="149" t="n"/>
    </row>
    <row r="88" ht="20.25" customHeight="1" s="904">
      <c r="C88" s="278" t="n"/>
      <c r="D88" s="392" t="inlineStr">
        <is>
          <t>Газ товарный, всего</t>
        </is>
      </c>
      <c r="E88" s="15" t="n"/>
      <c r="F88" s="15" t="inlineStr">
        <is>
          <t>V</t>
        </is>
      </c>
      <c r="G88" s="16" t="n"/>
      <c r="H88" s="17" t="inlineStr">
        <is>
          <t>100335427+100332359+100335312-100335314</t>
        </is>
      </c>
      <c r="I88" s="636" t="n"/>
      <c r="J88" s="17" t="n"/>
      <c r="K88" s="393" t="n"/>
    </row>
  </sheetData>
  <mergeCells count="37">
    <mergeCell ref="C30:C31"/>
    <mergeCell ref="D49:D50"/>
    <mergeCell ref="G7:G8"/>
    <mergeCell ref="D61:D62"/>
    <mergeCell ref="I7:I8"/>
    <mergeCell ref="C63:C64"/>
    <mergeCell ref="C54:C55"/>
    <mergeCell ref="D36:D37"/>
    <mergeCell ref="E6:J6"/>
    <mergeCell ref="K6:K8"/>
    <mergeCell ref="D32:D33"/>
    <mergeCell ref="D66:D67"/>
    <mergeCell ref="C41:C42"/>
    <mergeCell ref="D41:D42"/>
    <mergeCell ref="H7:H8"/>
    <mergeCell ref="J7:J8"/>
    <mergeCell ref="C6:C8"/>
    <mergeCell ref="D6:D8"/>
    <mergeCell ref="D28:D29"/>
    <mergeCell ref="D24:D25"/>
    <mergeCell ref="C61:C62"/>
    <mergeCell ref="C51:C52"/>
    <mergeCell ref="C78:C79"/>
    <mergeCell ref="E7:E8"/>
    <mergeCell ref="C3:K3"/>
    <mergeCell ref="C32:C33"/>
    <mergeCell ref="D30:D31"/>
    <mergeCell ref="D63:D64"/>
    <mergeCell ref="D10:D11"/>
    <mergeCell ref="D51:D52"/>
    <mergeCell ref="D26:D27"/>
    <mergeCell ref="D38:D39"/>
    <mergeCell ref="C34:C35"/>
    <mergeCell ref="C28:C29"/>
    <mergeCell ref="D34:D35"/>
    <mergeCell ref="F7:F8"/>
    <mergeCell ref="D22:D23"/>
  </mergeCells>
  <conditionalFormatting sqref="P10:P88 Q10:Q88 V10:V88 W10:W88 AB10:AB88 AC10:AC88 AH10:AH88 AI10:AI88 AN10:AN88 AO10:AO88 AT10:AT88 AU10:AU88 AZ10:AZ88 BA10:BA88 BF10:BF88 BG10:BG88 BL10:BL88 BM10:BM88 BR10:BR88 BS10:BS88 BX10:BX88 BY10:BY88 CD10:CD88 CE10:CE88 CJ10:CJ88 CK10:CK88 CP10:CP88 CQ10:CQ88 CV10:CV88 CW10:CW88 DB10:DB88 DC10:DC88 DH10:DH88 DI10:DI88">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21 M67:M88 O10:O88 S10:S88 U10:U88 Y10:Y88 AA10:AA88 AE10:AE88 AG10:AG88 AK10:AK88 AM10:AM88 AQ10:AQ88 AS10:AS88 AW10:AW88 AY10:AY88 BC10:BC88 BE10:BE88 BI10:BI88 BK10:BK88 BO10:BO88 BQ10:BQ88 BU10:BU88 BW10:BW88 CA10:CA88 CC10:CC88 CG10:CG88 CI10:CI88 CM10:CM88 CO10:CO88 CS10:CS88 CU10:CU88 CY10:CY88 DA10:DA88 DE10:DE88 DG10:DG88">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21 M67:M88 O10:O88 Q10:Q88 S10:S88 U10:U88 W10:W88 Y10:Y88 AA10:AA88 AC10:AC88 AE10:AE88 AG10:AG88 AI10:AI88 AK10:AK88 AM10:AM88 AO10:AO88 AQ10:AQ88 AS10:AS88">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362204724409449" right="0.2362204724409449" top="0.2362204724409449" bottom="0.2362204724409449" header="0" footer="0"/>
  <pageSetup orientation="portrait" paperSize="9" scale="86" fitToHeight="0"/>
</worksheet>
</file>

<file path=xl/worksheets/sheet22.xml><?xml version="1.0" encoding="utf-8"?>
<worksheet xmlns="http://schemas.openxmlformats.org/spreadsheetml/2006/main">
  <sheetPr codeName="Лист19">
    <tabColor theme="4" tint="0.7999816888943144"/>
    <outlinePr summaryBelow="1" summaryRight="1"/>
    <pageSetUpPr fitToPage="1"/>
  </sheetPr>
  <dimension ref="A3:K73"/>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T24" sqref="T24"/>
    </sheetView>
  </sheetViews>
  <sheetFormatPr baseColWidth="8" defaultColWidth="8.42578125" defaultRowHeight="18.75" outlineLevelRow="1"/>
  <cols>
    <col hidden="1" outlineLevel="1" width="23.85546875" customWidth="1" style="975" min="1" max="1"/>
    <col hidden="1" outlineLevel="1" width="22.28515625" customWidth="1" style="975" min="2" max="2"/>
    <col collapsed="1" width="8.85546875" customWidth="1" style="137" min="3" max="3"/>
    <col width="84" customWidth="1" style="1009" min="4" max="4"/>
    <col hidden="1" outlineLevel="1" width="28.7109375" customWidth="1" style="1009" min="5" max="9"/>
    <col hidden="1" outlineLevel="1" width="15.5703125" customWidth="1" style="1009" min="10" max="10"/>
    <col collapsed="1" width="12.85546875" bestFit="1" customWidth="1" style="1015"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 width="8.43" customWidth="1" style="975" min="114" max="136"/>
    <col width="8.43" customWidth="1" style="975" min="137" max="16384"/>
  </cols>
  <sheetData>
    <row r="1" ht="20.1" customHeight="1" s="904"/>
    <row r="2" ht="15" customHeight="1" s="904"/>
    <row r="3" ht="20.1" customHeight="1" s="904">
      <c r="C3" s="974" t="inlineStr">
        <is>
          <t>Прогнозные показатели по производству продукции на КСПГ Портовая ООО "Газпром СПГ Портовая"</t>
        </is>
      </c>
    </row>
    <row r="4" ht="19.5" customHeight="1" s="904"/>
    <row r="5" ht="20.1" customHeight="1" s="904">
      <c r="C5" s="1008" t="inlineStr">
        <is>
          <t xml:space="preserve">15. КСПГ Портовая ООО «Газпром СПГ Портовая»  </t>
        </is>
      </c>
      <c r="E5" s="1008" t="n"/>
      <c r="F5" s="1008" t="n"/>
      <c r="G5" s="1008" t="n"/>
      <c r="H5" s="1008" t="n"/>
      <c r="I5" s="1008" t="n"/>
      <c r="J5" s="1008" t="n"/>
      <c r="K5" s="596" t="n"/>
    </row>
    <row r="6" ht="20.1" customHeight="1" s="904">
      <c r="B6" s="1079" t="n"/>
      <c r="C6" s="1012" t="inlineStr">
        <is>
          <t>№ 
п/п</t>
        </is>
      </c>
      <c r="D6" s="969" t="inlineStr">
        <is>
          <t>Показатели</t>
        </is>
      </c>
      <c r="E6" s="924" t="inlineStr">
        <is>
          <t>Внутренние настройки листа</t>
        </is>
      </c>
      <c r="F6" s="925" t="n"/>
      <c r="G6" s="925" t="n"/>
      <c r="H6" s="925" t="n"/>
      <c r="I6" s="925" t="n"/>
      <c r="J6" s="926" t="n"/>
      <c r="K6" s="1062" t="inlineStr">
        <is>
          <t>Ед. изм.</t>
        </is>
      </c>
    </row>
    <row r="7" ht="39.95" customHeight="1" s="904">
      <c r="B7" s="906" t="n"/>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B8" s="906" t="n"/>
      <c r="C8" s="911" t="n"/>
      <c r="D8" s="911" t="n"/>
      <c r="E8" s="911" t="n"/>
      <c r="F8" s="911" t="n"/>
      <c r="G8" s="911" t="n"/>
      <c r="H8" s="911" t="n"/>
      <c r="I8" s="911" t="n"/>
      <c r="J8" s="911" t="n"/>
      <c r="K8" s="957" t="n"/>
    </row>
    <row r="9" hidden="1" ht="20.1" customHeight="1" s="904">
      <c r="B9" s="1031" t="n"/>
      <c r="C9" s="617" t="n"/>
      <c r="D9" s="289" t="n"/>
      <c r="E9" s="1057" t="n"/>
      <c r="F9" s="1057" t="n"/>
      <c r="G9" s="1057" t="n"/>
      <c r="H9" s="1057" t="n"/>
      <c r="I9" s="1057" t="n"/>
      <c r="J9" s="1057" t="n"/>
      <c r="K9" s="1081" t="n"/>
    </row>
    <row r="10" ht="17.25" customHeight="1" s="904">
      <c r="A10" s="624" t="n"/>
      <c r="B10" s="624" t="n"/>
      <c r="C10" s="394" t="inlineStr">
        <is>
          <t>1.</t>
        </is>
      </c>
      <c r="D10" s="139" t="inlineStr">
        <is>
          <t>Производство продукции, всего:</t>
        </is>
      </c>
      <c r="E10" s="15" t="inlineStr">
        <is>
          <t>100330237</t>
        </is>
      </c>
      <c r="F10" s="15" t="n"/>
      <c r="G10" s="16" t="n"/>
      <c r="H10" s="17" t="n">
        <v>100330867</v>
      </c>
      <c r="I10" s="636" t="n"/>
      <c r="J10" s="17" t="n"/>
      <c r="K10" s="395" t="inlineStr">
        <is>
          <t>тыс.т</t>
        </is>
      </c>
    </row>
    <row r="11" ht="17.25" customHeight="1" s="904">
      <c r="A11" s="624" t="n"/>
      <c r="B11" s="624" t="n"/>
      <c r="C11" s="396" t="inlineStr">
        <is>
          <t>1.1</t>
        </is>
      </c>
      <c r="D11" s="397" t="inlineStr">
        <is>
          <t>Стабильный конденсат</t>
        </is>
      </c>
      <c r="E11" s="15" t="inlineStr">
        <is>
          <t>100330867</t>
        </is>
      </c>
      <c r="F11" s="15" t="n"/>
      <c r="G11" s="16" t="n"/>
      <c r="H11" s="17" t="n"/>
      <c r="I11" s="636" t="n"/>
      <c r="J11" s="17" t="n"/>
      <c r="K11" s="647" t="inlineStr">
        <is>
          <t>млн куб.м</t>
        </is>
      </c>
    </row>
    <row r="12" ht="17.25" customHeight="1" s="904">
      <c r="A12" s="777" t="n"/>
      <c r="B12" s="624" t="n"/>
      <c r="C12" s="396" t="n"/>
      <c r="D12" s="398" t="inlineStr">
        <is>
          <t>в т.ч. собственность ПАО "Газпром"</t>
        </is>
      </c>
      <c r="E12" s="15" t="inlineStr">
        <is>
          <t>100335852</t>
        </is>
      </c>
      <c r="F12" s="15" t="n"/>
      <c r="G12" s="16" t="n"/>
      <c r="H12" s="17" t="n"/>
      <c r="I12" s="636" t="n"/>
      <c r="J12" s="17" t="n"/>
      <c r="K12" s="395" t="inlineStr">
        <is>
          <t>тыс.т</t>
        </is>
      </c>
    </row>
    <row r="13" outlineLevel="1" ht="17.25" customHeight="1" s="904">
      <c r="A13" s="777" t="n"/>
      <c r="B13" s="777" t="n"/>
      <c r="C13" s="399" t="inlineStr">
        <is>
          <t>2.</t>
        </is>
      </c>
      <c r="D13" s="400" t="inlineStr">
        <is>
          <t>Производство для реализации ПАО "Газпром"</t>
        </is>
      </c>
      <c r="E13" s="15" t="n"/>
      <c r="F13" s="639" t="inlineStr">
        <is>
          <t>T</t>
        </is>
      </c>
      <c r="G13" s="16" t="n"/>
      <c r="H13" s="17" t="n">
        <v>100335852</v>
      </c>
      <c r="I13" s="636" t="n"/>
      <c r="J13" s="17" t="n"/>
      <c r="K13" s="648" t="inlineStr">
        <is>
          <t>млн куб.м</t>
        </is>
      </c>
    </row>
    <row r="14" customFormat="1" s="649">
      <c r="A14" s="777" t="n"/>
      <c r="B14" s="777" t="n"/>
      <c r="C14" s="401" t="n"/>
      <c r="D14" s="1009" t="n"/>
      <c r="E14" s="1009" t="n"/>
      <c r="F14" s="1009" t="n"/>
      <c r="G14" s="1009" t="n"/>
      <c r="H14" s="1009" t="n"/>
      <c r="I14" s="1009" t="n"/>
      <c r="J14" s="1009" t="n"/>
      <c r="K14" s="1009" t="n"/>
    </row>
    <row r="15" ht="18" customFormat="1" customHeight="1" s="649">
      <c r="A15" s="777" t="n"/>
      <c r="B15" s="777" t="n"/>
      <c r="C15" s="1009" t="inlineStr">
        <is>
          <t>* Обеспечение своевременного внесения изменений в перечень номенклатуры сырья и продукции входит в компетенцию дочернего общества.</t>
        </is>
      </c>
      <c r="D15" s="1009" t="n"/>
      <c r="E15" s="1009" t="n"/>
      <c r="F15" s="1009" t="n"/>
      <c r="G15" s="1009" t="n"/>
      <c r="H15" s="1009" t="n"/>
      <c r="I15" s="1009" t="n"/>
      <c r="J15" s="1009" t="n"/>
      <c r="K15" s="1009" t="n"/>
    </row>
    <row r="16" customFormat="1" s="649">
      <c r="A16" s="777" t="n"/>
      <c r="B16" s="777" t="n"/>
      <c r="C16" s="401" t="n"/>
      <c r="D16" s="1009" t="n"/>
      <c r="E16" s="1009" t="n"/>
      <c r="F16" s="1009" t="n"/>
      <c r="G16" s="1009" t="n"/>
      <c r="H16" s="1009" t="n"/>
      <c r="I16" s="1009" t="n"/>
      <c r="J16" s="1009" t="n"/>
      <c r="K16" s="1009" t="n"/>
    </row>
    <row r="17" customFormat="1" s="649">
      <c r="A17" s="777" t="n"/>
      <c r="B17" s="777" t="n"/>
      <c r="C17" s="401" t="n"/>
      <c r="D17" s="1009" t="n"/>
      <c r="E17" s="1009" t="n"/>
      <c r="F17" s="1009" t="n"/>
      <c r="G17" s="1009" t="n"/>
      <c r="H17" s="1009" t="n"/>
      <c r="I17" s="1009" t="n"/>
      <c r="J17" s="1009" t="n"/>
      <c r="K17" s="1009" t="n"/>
    </row>
    <row r="18" customFormat="1" s="649">
      <c r="A18" s="777" t="n"/>
      <c r="B18" s="777" t="n"/>
      <c r="C18" s="401" t="n"/>
      <c r="D18" s="1009" t="n"/>
      <c r="E18" s="1009" t="n"/>
      <c r="F18" s="1009" t="n"/>
      <c r="G18" s="1009" t="n"/>
      <c r="H18" s="1009" t="n"/>
      <c r="I18" s="1009" t="n"/>
      <c r="J18" s="1009" t="n"/>
      <c r="K18" s="402" t="n"/>
    </row>
    <row r="19" customFormat="1" s="649">
      <c r="B19" s="659" t="n"/>
      <c r="C19" s="401" t="n"/>
      <c r="D19" s="1009" t="n"/>
      <c r="E19" s="1009" t="n"/>
      <c r="F19" s="1009" t="n"/>
      <c r="G19" s="1009" t="n"/>
      <c r="H19" s="1009" t="n"/>
      <c r="I19" s="1009" t="n"/>
      <c r="J19" s="1009" t="n"/>
      <c r="K19" s="402" t="n"/>
    </row>
    <row r="20" customFormat="1" s="649">
      <c r="B20" s="659" t="n"/>
      <c r="C20" s="401" t="n"/>
      <c r="D20" s="1009" t="n"/>
      <c r="E20" s="1009" t="n"/>
      <c r="F20" s="1009" t="n"/>
      <c r="G20" s="1009" t="n"/>
      <c r="H20" s="1009" t="n"/>
      <c r="I20" s="1009" t="n"/>
      <c r="J20" s="1009" t="n"/>
      <c r="K20" s="1009" t="n"/>
    </row>
    <row r="21" customFormat="1" s="649">
      <c r="B21" s="659" t="n"/>
      <c r="C21" s="401" t="n"/>
      <c r="D21" s="1009" t="n"/>
      <c r="E21" s="1009" t="n"/>
      <c r="F21" s="1009" t="n"/>
      <c r="G21" s="1009" t="n"/>
      <c r="H21" s="1009" t="n"/>
      <c r="I21" s="1009" t="n"/>
      <c r="J21" s="1009" t="n"/>
      <c r="K21" s="1009" t="n"/>
    </row>
    <row r="22" customFormat="1" s="649">
      <c r="B22" s="659" t="n"/>
      <c r="C22" s="401" t="n"/>
      <c r="D22" s="1009" t="n"/>
      <c r="E22" s="1009" t="n"/>
      <c r="F22" s="1009" t="n"/>
      <c r="G22" s="1009" t="n"/>
      <c r="H22" s="1009" t="n"/>
      <c r="I22" s="1009" t="n"/>
      <c r="J22" s="1009" t="n"/>
      <c r="K22" s="1009" t="n"/>
    </row>
    <row r="23" customFormat="1" s="649">
      <c r="B23" s="659" t="n"/>
      <c r="C23" s="401" t="n"/>
      <c r="D23" s="1009" t="n"/>
      <c r="E23" s="1009" t="n"/>
      <c r="F23" s="1009" t="n"/>
      <c r="G23" s="1009" t="n"/>
      <c r="H23" s="1009" t="n"/>
      <c r="I23" s="1009" t="n"/>
      <c r="J23" s="1009" t="n"/>
      <c r="K23" s="1009" t="n"/>
    </row>
    <row r="24" customFormat="1" s="649">
      <c r="B24" s="975" t="n"/>
      <c r="C24" s="137" t="n"/>
      <c r="D24" s="1009" t="n"/>
      <c r="E24" s="1009" t="n"/>
      <c r="F24" s="1009" t="n"/>
      <c r="G24" s="1009" t="n"/>
      <c r="H24" s="1009" t="n"/>
      <c r="I24" s="1009" t="n"/>
      <c r="J24" s="1009" t="n"/>
      <c r="K24" s="1015" t="n"/>
    </row>
    <row r="25" customFormat="1" s="649">
      <c r="B25" s="975" t="n"/>
      <c r="C25" s="137" t="n"/>
      <c r="D25" s="1009" t="n"/>
      <c r="E25" s="1009" t="n"/>
      <c r="F25" s="1009" t="n"/>
      <c r="G25" s="1009" t="n"/>
      <c r="H25" s="1009" t="n"/>
      <c r="I25" s="1009" t="n"/>
      <c r="J25" s="1009" t="n"/>
      <c r="K25" s="1015" t="n"/>
    </row>
    <row r="26" customFormat="1" s="649">
      <c r="B26" s="975" t="n"/>
      <c r="C26" s="137" t="n"/>
      <c r="D26" s="1009" t="n"/>
      <c r="E26" s="1009" t="n"/>
      <c r="F26" s="1009" t="n"/>
      <c r="G26" s="1009" t="n"/>
      <c r="H26" s="1009" t="n"/>
      <c r="I26" s="1009" t="n"/>
      <c r="J26" s="1009" t="n"/>
      <c r="K26" s="1015" t="n"/>
    </row>
    <row r="27" customFormat="1" s="649">
      <c r="B27" s="975" t="n"/>
      <c r="C27" s="137" t="n"/>
      <c r="D27" s="1009" t="n"/>
      <c r="E27" s="1009" t="n"/>
      <c r="F27" s="1009" t="n"/>
      <c r="G27" s="1009" t="n"/>
      <c r="H27" s="1009" t="n"/>
      <c r="I27" s="1009" t="n"/>
      <c r="J27" s="1009" t="n"/>
      <c r="K27" s="1015" t="n"/>
    </row>
    <row r="28" customFormat="1" s="649">
      <c r="B28" s="975" t="n"/>
      <c r="C28" s="137" t="n"/>
      <c r="D28" s="1009" t="n"/>
      <c r="E28" s="1009" t="n"/>
      <c r="F28" s="1009" t="n"/>
      <c r="G28" s="1009" t="n"/>
      <c r="H28" s="1009" t="n"/>
      <c r="I28" s="1009" t="n"/>
      <c r="J28" s="1009" t="n"/>
      <c r="K28" s="1015" t="n"/>
    </row>
    <row r="29" customFormat="1" s="649">
      <c r="B29" s="975" t="n"/>
      <c r="C29" s="137" t="n"/>
      <c r="D29" s="1009" t="n"/>
      <c r="E29" s="1009" t="n"/>
      <c r="F29" s="1009" t="n"/>
      <c r="G29" s="1009" t="n"/>
      <c r="H29" s="1009" t="n"/>
      <c r="I29" s="1009" t="n"/>
      <c r="J29" s="1009" t="n"/>
      <c r="K29" s="1015" t="n"/>
    </row>
    <row r="30" customFormat="1" s="649">
      <c r="B30" s="975" t="n"/>
      <c r="C30" s="137" t="n"/>
      <c r="D30" s="1009" t="n"/>
      <c r="E30" s="1009" t="n"/>
      <c r="F30" s="1009" t="n"/>
      <c r="G30" s="1009" t="n"/>
      <c r="H30" s="1009" t="n"/>
      <c r="I30" s="1009" t="n"/>
      <c r="J30" s="1009" t="n"/>
      <c r="K30" s="1015" t="n"/>
    </row>
    <row r="31" customFormat="1" s="649">
      <c r="B31" s="975" t="n"/>
      <c r="C31" s="137" t="n"/>
      <c r="D31" s="1009" t="n"/>
      <c r="E31" s="1009" t="n"/>
      <c r="F31" s="1009" t="n"/>
      <c r="G31" s="1009" t="n"/>
      <c r="H31" s="1009" t="n"/>
      <c r="I31" s="1009" t="n"/>
      <c r="J31" s="1009" t="n"/>
      <c r="K31" s="1015" t="n"/>
    </row>
    <row r="32" customFormat="1" s="649">
      <c r="B32" s="975" t="n"/>
      <c r="C32" s="137" t="n"/>
      <c r="D32" s="1009" t="n"/>
      <c r="E32" s="1009" t="n"/>
      <c r="F32" s="1009" t="n"/>
      <c r="G32" s="1009" t="n"/>
      <c r="H32" s="1009" t="n"/>
      <c r="I32" s="1009" t="n"/>
      <c r="J32" s="1009" t="n"/>
      <c r="K32" s="1015" t="n"/>
    </row>
    <row r="33" customFormat="1" s="649">
      <c r="B33" s="975" t="n"/>
      <c r="C33" s="137" t="n"/>
      <c r="D33" s="1009" t="n"/>
      <c r="E33" s="1009" t="n"/>
      <c r="F33" s="1009" t="n"/>
      <c r="G33" s="1009" t="n"/>
      <c r="H33" s="1009" t="n"/>
      <c r="I33" s="1009" t="n"/>
      <c r="J33" s="1009" t="n"/>
      <c r="K33" s="1015" t="n"/>
    </row>
    <row r="34" customFormat="1" s="649">
      <c r="B34" s="975" t="n"/>
      <c r="C34" s="137" t="n"/>
      <c r="D34" s="1009" t="n"/>
      <c r="E34" s="1009" t="n"/>
      <c r="F34" s="1009" t="n"/>
      <c r="G34" s="1009" t="n"/>
      <c r="H34" s="1009" t="n"/>
      <c r="I34" s="1009" t="n"/>
      <c r="J34" s="1009" t="n"/>
      <c r="K34" s="1015" t="n"/>
    </row>
    <row r="35" customFormat="1" s="649">
      <c r="B35" s="975" t="n"/>
      <c r="C35" s="137" t="n"/>
      <c r="D35" s="1009" t="n"/>
      <c r="E35" s="1009" t="n"/>
      <c r="F35" s="1009" t="n"/>
      <c r="G35" s="1009" t="n"/>
      <c r="H35" s="1009" t="n"/>
      <c r="I35" s="1009" t="n"/>
      <c r="J35" s="1009" t="n"/>
      <c r="K35" s="1015" t="n"/>
    </row>
    <row r="36" customFormat="1" s="649">
      <c r="B36" s="975" t="n"/>
      <c r="C36" s="137" t="n"/>
      <c r="D36" s="1009" t="n"/>
      <c r="E36" s="1009" t="n"/>
      <c r="F36" s="1009" t="n"/>
      <c r="G36" s="1009" t="n"/>
      <c r="H36" s="1009" t="n"/>
      <c r="I36" s="1009" t="n"/>
      <c r="J36" s="1009" t="n"/>
      <c r="K36" s="1015" t="n"/>
    </row>
    <row r="37" customFormat="1" s="649">
      <c r="B37" s="975" t="n"/>
      <c r="C37" s="137" t="n"/>
      <c r="D37" s="1009" t="n"/>
      <c r="E37" s="1009" t="n"/>
      <c r="F37" s="1009" t="n"/>
      <c r="G37" s="1009" t="n"/>
      <c r="H37" s="1009" t="n"/>
      <c r="I37" s="1009" t="n"/>
      <c r="J37" s="1009" t="n"/>
      <c r="K37" s="1015" t="n"/>
    </row>
    <row r="38" customFormat="1" s="649">
      <c r="B38" s="975" t="n"/>
      <c r="C38" s="137" t="n"/>
      <c r="D38" s="1009" t="n"/>
      <c r="E38" s="1009" t="n"/>
      <c r="F38" s="1009" t="n"/>
      <c r="G38" s="1009" t="n"/>
      <c r="H38" s="1009" t="n"/>
      <c r="I38" s="1009" t="n"/>
      <c r="J38" s="1009" t="n"/>
      <c r="K38" s="1015" t="n"/>
    </row>
    <row r="39" customFormat="1" s="649">
      <c r="B39" s="975" t="n"/>
      <c r="C39" s="137" t="n"/>
      <c r="D39" s="1009" t="n"/>
      <c r="E39" s="1009" t="n"/>
      <c r="F39" s="1009" t="n"/>
      <c r="G39" s="1009" t="n"/>
      <c r="H39" s="1009" t="n"/>
      <c r="I39" s="1009" t="n"/>
      <c r="J39" s="1009" t="n"/>
      <c r="K39" s="1015" t="n"/>
    </row>
    <row r="40" customFormat="1" s="649">
      <c r="B40" s="975" t="n"/>
      <c r="C40" s="137" t="n"/>
      <c r="D40" s="1009" t="n"/>
      <c r="E40" s="1009" t="n"/>
      <c r="F40" s="1009" t="n"/>
      <c r="G40" s="1009" t="n"/>
      <c r="H40" s="1009" t="n"/>
      <c r="I40" s="1009" t="n"/>
      <c r="J40" s="1009" t="n"/>
      <c r="K40" s="1015" t="n"/>
    </row>
    <row r="41" customFormat="1" s="649">
      <c r="B41" s="975" t="n"/>
      <c r="C41" s="137" t="n"/>
      <c r="D41" s="1009" t="n"/>
      <c r="E41" s="1009" t="n"/>
      <c r="F41" s="1009" t="n"/>
      <c r="G41" s="1009" t="n"/>
      <c r="H41" s="1009" t="n"/>
      <c r="I41" s="1009" t="n"/>
      <c r="J41" s="1009" t="n"/>
      <c r="K41" s="1015" t="n"/>
    </row>
    <row r="42" customFormat="1" s="649">
      <c r="B42" s="975" t="n"/>
      <c r="C42" s="137" t="n"/>
      <c r="D42" s="1009" t="n"/>
      <c r="E42" s="1009" t="n"/>
      <c r="F42" s="1009" t="n"/>
      <c r="G42" s="1009" t="n"/>
      <c r="H42" s="1009" t="n"/>
      <c r="I42" s="1009" t="n"/>
      <c r="J42" s="1009" t="n"/>
      <c r="K42" s="1015" t="n"/>
    </row>
    <row r="43" customFormat="1" s="649">
      <c r="B43" s="975" t="n"/>
      <c r="C43" s="137" t="n"/>
      <c r="D43" s="1009" t="n"/>
      <c r="E43" s="1009" t="n"/>
      <c r="F43" s="1009" t="n"/>
      <c r="G43" s="1009" t="n"/>
      <c r="H43" s="1009" t="n"/>
      <c r="I43" s="1009" t="n"/>
      <c r="J43" s="1009" t="n"/>
      <c r="K43" s="1015" t="n"/>
    </row>
    <row r="44" customFormat="1" s="649">
      <c r="B44" s="975" t="n"/>
      <c r="C44" s="137" t="n"/>
      <c r="D44" s="1009" t="n"/>
      <c r="E44" s="1009" t="n"/>
      <c r="F44" s="1009" t="n"/>
      <c r="G44" s="1009" t="n"/>
      <c r="H44" s="1009" t="n"/>
      <c r="I44" s="1009" t="n"/>
      <c r="J44" s="1009" t="n"/>
      <c r="K44" s="1015" t="n"/>
    </row>
    <row r="45" customFormat="1" s="649">
      <c r="B45" s="975" t="n"/>
      <c r="C45" s="137" t="n"/>
      <c r="D45" s="1009" t="n"/>
      <c r="E45" s="1009" t="n"/>
      <c r="F45" s="1009" t="n"/>
      <c r="G45" s="1009" t="n"/>
      <c r="H45" s="1009" t="n"/>
      <c r="I45" s="1009" t="n"/>
      <c r="J45" s="1009" t="n"/>
      <c r="K45" s="1015" t="n"/>
    </row>
    <row r="46" customFormat="1" s="649">
      <c r="B46" s="975" t="n"/>
      <c r="C46" s="137" t="n"/>
      <c r="D46" s="1009" t="n"/>
      <c r="E46" s="1009" t="n"/>
      <c r="F46" s="1009" t="n"/>
      <c r="G46" s="1009" t="n"/>
      <c r="H46" s="1009" t="n"/>
      <c r="I46" s="1009" t="n"/>
      <c r="J46" s="1009" t="n"/>
      <c r="K46" s="1015" t="n"/>
    </row>
    <row r="47" customFormat="1" s="649">
      <c r="B47" s="975" t="n"/>
      <c r="C47" s="137" t="n"/>
      <c r="D47" s="1009" t="n"/>
      <c r="E47" s="1009" t="n"/>
      <c r="F47" s="1009" t="n"/>
      <c r="G47" s="1009" t="n"/>
      <c r="H47" s="1009" t="n"/>
      <c r="I47" s="1009" t="n"/>
      <c r="J47" s="1009" t="n"/>
      <c r="K47" s="1015" t="n"/>
    </row>
    <row r="48" customFormat="1" s="649">
      <c r="B48" s="975" t="n"/>
      <c r="C48" s="137" t="n"/>
      <c r="D48" s="1009" t="n"/>
      <c r="E48" s="1009" t="n"/>
      <c r="F48" s="1009" t="n"/>
      <c r="G48" s="1009" t="n"/>
      <c r="H48" s="1009" t="n"/>
      <c r="I48" s="1009" t="n"/>
      <c r="J48" s="1009" t="n"/>
      <c r="K48" s="1015" t="n"/>
    </row>
    <row r="49" customFormat="1" s="649">
      <c r="B49" s="975" t="n"/>
      <c r="C49" s="137" t="n"/>
      <c r="D49" s="1009" t="n"/>
      <c r="E49" s="1009" t="n"/>
      <c r="F49" s="1009" t="n"/>
      <c r="G49" s="1009" t="n"/>
      <c r="H49" s="1009" t="n"/>
      <c r="I49" s="1009" t="n"/>
      <c r="J49" s="1009" t="n"/>
      <c r="K49" s="1015" t="n"/>
    </row>
    <row r="50" customFormat="1" s="649">
      <c r="B50" s="975" t="n"/>
      <c r="C50" s="137" t="n"/>
      <c r="D50" s="1009" t="n"/>
      <c r="E50" s="1009" t="n"/>
      <c r="F50" s="1009" t="n"/>
      <c r="G50" s="1009" t="n"/>
      <c r="H50" s="1009" t="n"/>
      <c r="I50" s="1009" t="n"/>
      <c r="J50" s="1009" t="n"/>
      <c r="K50" s="1015" t="n"/>
    </row>
    <row r="51" customFormat="1" s="649">
      <c r="B51" s="975" t="n"/>
      <c r="C51" s="137" t="n"/>
      <c r="D51" s="1009" t="n"/>
      <c r="E51" s="1009" t="n"/>
      <c r="F51" s="1009" t="n"/>
      <c r="G51" s="1009" t="n"/>
      <c r="H51" s="1009" t="n"/>
      <c r="I51" s="1009" t="n"/>
      <c r="J51" s="1009" t="n"/>
      <c r="K51" s="1015" t="n"/>
    </row>
    <row r="52" customFormat="1" s="649">
      <c r="B52" s="975" t="n"/>
      <c r="C52" s="137" t="n"/>
      <c r="D52" s="1009" t="n"/>
      <c r="E52" s="1009" t="n"/>
      <c r="F52" s="1009" t="n"/>
      <c r="G52" s="1009" t="n"/>
      <c r="H52" s="1009" t="n"/>
      <c r="I52" s="1009" t="n"/>
      <c r="J52" s="1009" t="n"/>
      <c r="K52" s="1015" t="n"/>
    </row>
    <row r="53" customFormat="1" s="649">
      <c r="B53" s="975" t="n"/>
      <c r="C53" s="137" t="n"/>
      <c r="D53" s="1009" t="n"/>
      <c r="E53" s="1009" t="n"/>
      <c r="F53" s="1009" t="n"/>
      <c r="G53" s="1009" t="n"/>
      <c r="H53" s="1009" t="n"/>
      <c r="I53" s="1009" t="n"/>
      <c r="J53" s="1009" t="n"/>
      <c r="K53" s="1015" t="n"/>
    </row>
    <row r="54" customFormat="1" s="649">
      <c r="B54" s="975" t="n"/>
      <c r="C54" s="137" t="n"/>
      <c r="D54" s="1009" t="n"/>
      <c r="E54" s="1009" t="n"/>
      <c r="F54" s="1009" t="n"/>
      <c r="G54" s="1009" t="n"/>
      <c r="H54" s="1009" t="n"/>
      <c r="I54" s="1009" t="n"/>
      <c r="J54" s="1009" t="n"/>
      <c r="K54" s="1015" t="n"/>
    </row>
    <row r="55" customFormat="1" s="649">
      <c r="B55" s="975" t="n"/>
      <c r="C55" s="137" t="n"/>
      <c r="D55" s="1009" t="n"/>
      <c r="E55" s="1009" t="n"/>
      <c r="F55" s="1009" t="n"/>
      <c r="G55" s="1009" t="n"/>
      <c r="H55" s="1009" t="n"/>
      <c r="I55" s="1009" t="n"/>
      <c r="J55" s="1009" t="n"/>
      <c r="K55" s="1015" t="n"/>
    </row>
    <row r="56" customFormat="1" s="649">
      <c r="B56" s="975" t="n"/>
      <c r="C56" s="137" t="n"/>
      <c r="D56" s="1009" t="n"/>
      <c r="E56" s="1009" t="n"/>
      <c r="F56" s="1009" t="n"/>
      <c r="G56" s="1009" t="n"/>
      <c r="H56" s="1009" t="n"/>
      <c r="I56" s="1009" t="n"/>
      <c r="J56" s="1009" t="n"/>
      <c r="K56" s="1015" t="n"/>
    </row>
    <row r="57" customFormat="1" s="649">
      <c r="B57" s="975" t="n"/>
      <c r="C57" s="137" t="n"/>
      <c r="D57" s="1009" t="n"/>
      <c r="E57" s="1009" t="n"/>
      <c r="F57" s="1009" t="n"/>
      <c r="G57" s="1009" t="n"/>
      <c r="H57" s="1009" t="n"/>
      <c r="I57" s="1009" t="n"/>
      <c r="J57" s="1009" t="n"/>
      <c r="K57" s="1015" t="n"/>
    </row>
    <row r="58" customFormat="1" s="649">
      <c r="B58" s="975" t="n"/>
      <c r="C58" s="137" t="n"/>
      <c r="D58" s="1009" t="n"/>
      <c r="E58" s="1009" t="n"/>
      <c r="F58" s="1009" t="n"/>
      <c r="G58" s="1009" t="n"/>
      <c r="H58" s="1009" t="n"/>
      <c r="I58" s="1009" t="n"/>
      <c r="J58" s="1009" t="n"/>
      <c r="K58" s="1015" t="n"/>
    </row>
    <row r="59" customFormat="1" s="649">
      <c r="B59" s="975" t="n"/>
      <c r="C59" s="137" t="n"/>
      <c r="D59" s="1009" t="n"/>
      <c r="E59" s="1009" t="n"/>
      <c r="F59" s="1009" t="n"/>
      <c r="G59" s="1009" t="n"/>
      <c r="H59" s="1009" t="n"/>
      <c r="I59" s="1009" t="n"/>
      <c r="J59" s="1009" t="n"/>
      <c r="K59" s="1015" t="n"/>
    </row>
    <row r="60" customFormat="1" s="649">
      <c r="B60" s="975" t="n"/>
      <c r="C60" s="137" t="n"/>
      <c r="D60" s="1009" t="n"/>
      <c r="E60" s="1009" t="n"/>
      <c r="F60" s="1009" t="n"/>
      <c r="G60" s="1009" t="n"/>
      <c r="H60" s="1009" t="n"/>
      <c r="I60" s="1009" t="n"/>
      <c r="J60" s="1009" t="n"/>
      <c r="K60" s="1015" t="n"/>
    </row>
    <row r="61" customFormat="1" s="649">
      <c r="B61" s="975" t="n"/>
      <c r="C61" s="137" t="n"/>
      <c r="D61" s="1009" t="n"/>
      <c r="E61" s="1009" t="n"/>
      <c r="F61" s="1009" t="n"/>
      <c r="G61" s="1009" t="n"/>
      <c r="H61" s="1009" t="n"/>
      <c r="I61" s="1009" t="n"/>
      <c r="J61" s="1009" t="n"/>
      <c r="K61" s="1015" t="n"/>
    </row>
    <row r="62" customFormat="1" s="649">
      <c r="B62" s="975" t="n"/>
      <c r="C62" s="137" t="n"/>
      <c r="D62" s="1009" t="n"/>
      <c r="E62" s="1009" t="n"/>
      <c r="F62" s="1009" t="n"/>
      <c r="G62" s="1009" t="n"/>
      <c r="H62" s="1009" t="n"/>
      <c r="I62" s="1009" t="n"/>
      <c r="J62" s="1009" t="n"/>
      <c r="K62" s="1015" t="n"/>
    </row>
    <row r="63" customFormat="1" s="649">
      <c r="B63" s="975" t="n"/>
      <c r="C63" s="137" t="n"/>
      <c r="D63" s="1009" t="n"/>
      <c r="E63" s="1009" t="n"/>
      <c r="F63" s="1009" t="n"/>
      <c r="G63" s="1009" t="n"/>
      <c r="H63" s="1009" t="n"/>
      <c r="I63" s="1009" t="n"/>
      <c r="J63" s="1009" t="n"/>
      <c r="K63" s="1015" t="n"/>
    </row>
    <row r="64" customFormat="1" s="649">
      <c r="B64" s="975" t="n"/>
      <c r="C64" s="137" t="n"/>
      <c r="D64" s="1009" t="n"/>
      <c r="E64" s="1009" t="n"/>
      <c r="F64" s="1009" t="n"/>
      <c r="G64" s="1009" t="n"/>
      <c r="H64" s="1009" t="n"/>
      <c r="I64" s="1009" t="n"/>
      <c r="J64" s="1009" t="n"/>
      <c r="K64" s="1015" t="n"/>
    </row>
    <row r="65" customFormat="1" s="649">
      <c r="B65" s="975" t="n"/>
      <c r="C65" s="137" t="n"/>
      <c r="D65" s="1009" t="n"/>
      <c r="E65" s="1009" t="n"/>
      <c r="F65" s="1009" t="n"/>
      <c r="G65" s="1009" t="n"/>
      <c r="H65" s="1009" t="n"/>
      <c r="I65" s="1009" t="n"/>
      <c r="J65" s="1009" t="n"/>
      <c r="K65" s="1015" t="n"/>
    </row>
    <row r="66" customFormat="1" s="649">
      <c r="B66" s="975" t="n"/>
      <c r="C66" s="137" t="n"/>
      <c r="D66" s="1009" t="n"/>
      <c r="E66" s="1009" t="n"/>
      <c r="F66" s="1009" t="n"/>
      <c r="G66" s="1009" t="n"/>
      <c r="H66" s="1009" t="n"/>
      <c r="I66" s="1009" t="n"/>
      <c r="J66" s="1009" t="n"/>
      <c r="K66" s="1015" t="n"/>
    </row>
    <row r="67" customFormat="1" s="649">
      <c r="B67" s="975" t="n"/>
      <c r="C67" s="137" t="n"/>
      <c r="D67" s="1009" t="n"/>
      <c r="E67" s="1009" t="n"/>
      <c r="F67" s="1009" t="n"/>
      <c r="G67" s="1009" t="n"/>
      <c r="H67" s="1009" t="n"/>
      <c r="I67" s="1009" t="n"/>
      <c r="J67" s="1009" t="n"/>
      <c r="K67" s="1015" t="n"/>
    </row>
    <row r="68" customFormat="1" s="649">
      <c r="B68" s="975" t="n"/>
      <c r="C68" s="137" t="n"/>
      <c r="D68" s="1009" t="n"/>
      <c r="E68" s="1009" t="n"/>
      <c r="F68" s="1009" t="n"/>
      <c r="G68" s="1009" t="n"/>
      <c r="H68" s="1009" t="n"/>
      <c r="I68" s="1009" t="n"/>
      <c r="J68" s="1009" t="n"/>
      <c r="K68" s="1015" t="n"/>
    </row>
    <row r="69" customFormat="1" s="649">
      <c r="B69" s="975" t="n"/>
      <c r="C69" s="137" t="n"/>
      <c r="D69" s="1009" t="n"/>
      <c r="E69" s="1009" t="n"/>
      <c r="F69" s="1009" t="n"/>
      <c r="G69" s="1009" t="n"/>
      <c r="H69" s="1009" t="n"/>
      <c r="I69" s="1009" t="n"/>
      <c r="J69" s="1009" t="n"/>
      <c r="K69" s="1015" t="n"/>
    </row>
    <row r="70" customFormat="1" s="649">
      <c r="B70" s="975" t="n"/>
      <c r="C70" s="137" t="n"/>
      <c r="D70" s="1009" t="n"/>
      <c r="E70" s="1009" t="n"/>
      <c r="F70" s="1009" t="n"/>
      <c r="G70" s="1009" t="n"/>
      <c r="H70" s="1009" t="n"/>
      <c r="I70" s="1009" t="n"/>
      <c r="J70" s="1009" t="n"/>
      <c r="K70" s="1015" t="n"/>
    </row>
    <row r="71" customFormat="1" s="649">
      <c r="B71" s="975" t="n"/>
      <c r="C71" s="137" t="n"/>
      <c r="D71" s="1009" t="n"/>
      <c r="E71" s="1009" t="n"/>
      <c r="F71" s="1009" t="n"/>
      <c r="G71" s="1009" t="n"/>
      <c r="H71" s="1009" t="n"/>
      <c r="I71" s="1009" t="n"/>
      <c r="J71" s="1009" t="n"/>
      <c r="K71" s="1015" t="n"/>
    </row>
    <row r="72" customFormat="1" s="649">
      <c r="B72" s="975" t="n"/>
      <c r="C72" s="137" t="n"/>
      <c r="D72" s="1009" t="n"/>
      <c r="E72" s="1009" t="n"/>
      <c r="F72" s="1009" t="n"/>
      <c r="G72" s="1009" t="n"/>
      <c r="H72" s="1009" t="n"/>
      <c r="I72" s="1009" t="n"/>
      <c r="J72" s="1009" t="n"/>
      <c r="K72" s="1015" t="n"/>
    </row>
    <row r="73" customFormat="1" s="649">
      <c r="B73" s="975" t="n"/>
      <c r="C73" s="137" t="n"/>
      <c r="D73" s="1009" t="n"/>
      <c r="E73" s="1009" t="n"/>
      <c r="F73" s="1009" t="n"/>
      <c r="G73" s="1009" t="n"/>
      <c r="H73" s="1009" t="n"/>
      <c r="I73" s="1009" t="n"/>
      <c r="J73" s="1009" t="n"/>
      <c r="K73" s="1015" t="n"/>
    </row>
  </sheetData>
  <mergeCells count="13">
    <mergeCell ref="K6:K8"/>
    <mergeCell ref="C5:D5"/>
    <mergeCell ref="G7:G8"/>
    <mergeCell ref="E7:E8"/>
    <mergeCell ref="C3:K3"/>
    <mergeCell ref="I7:I8"/>
    <mergeCell ref="F7:F8"/>
    <mergeCell ref="H7:H8"/>
    <mergeCell ref="J7:J8"/>
    <mergeCell ref="C6:C8"/>
    <mergeCell ref="E6:J6"/>
    <mergeCell ref="D6:D8"/>
    <mergeCell ref="B6:B8"/>
  </mergeCells>
  <conditionalFormatting sqref="P10:P13 Q10:Q13 V10:V13 W10:W13 AB10:AB13 AC10:AC13 AH10:AH13 AI10:AI13 AN10:AN13 AO10:AO13 AT10:AT13 AU10:AU13 AZ10:AZ13 BA10:BA13 BF10:BF13 BG10:BG13 BL10:BL13 BM10:BM13 BR10:BR13 BS10:BS13 BX10:BX13 BY10:BY13 CD10:CD13 CE10:CE13 CJ10:CJ13 CK10:CK13 CP10:CP13 CQ10:CQ13 CV10:CV13 CW10:CW13 DB10:DB13 DC10:DC13 DH10:DH13 DI10:DI13">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3 O10:O13 S10:S13 U10:U13 Y10:Y13 AA10:AA13 AE10:AE13 AG10:AG13 AK10:AK13 AM10:AM13 AQ10:AQ13 AS10:AS13 AW10:AW13 AY10:AY13 BC10:BC13 BE10:BE13 BI10:BI13 BK10:BK13 BO10:BO13 BQ10:BQ13 BU10:BU13 BW10:BW13 CA10:CA13 CC10:CC13 CG10:CG13 CI10:CI13 CM10:CM13 CO10:CO13 CS10:CS13 CU10:CU13 CY10:CY13 DA10:DA13 DE10:DE13 DG10:DG13">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3 O10:O13 Q10:Q13 S10:S13 U10:U13 W10:W13 Y10:Y13 AA10:AA13 AC10:AC13 AE10:AE13 AG10:AG13 AI10:AI13 AK10:AK13 AM10:AM13 AO10:AO13 AQ10:AQ13 AS10:AS13">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25" right="0.25" top="0.75" bottom="0.75" header="0.3" footer="0.3"/>
  <pageSetup orientation="portrait" paperSize="9" scale="93" fitToHeight="0"/>
</worksheet>
</file>

<file path=xl/worksheets/sheet23.xml><?xml version="1.0" encoding="utf-8"?>
<worksheet xmlns="http://schemas.openxmlformats.org/spreadsheetml/2006/main">
  <sheetPr codeName="Лист20">
    <tabColor rgb="FFFF0000"/>
    <outlinePr summaryBelow="1" summaryRight="1"/>
    <pageSetUpPr fitToPage="1"/>
  </sheetPr>
  <dimension ref="A3:K138"/>
  <sheetViews>
    <sheetView zoomScale="70" zoomScaleNormal="70" workbookViewId="0">
      <pane xSplit="11" ySplit="9" topLeftCell="L31" activePane="bottomRight" state="frozen"/>
      <selection activeCell="I10" sqref="I10"/>
      <selection pane="topRight" activeCell="C1" sqref="C1"/>
      <selection pane="bottomLeft" activeCell="C1" sqref="C1"/>
      <selection pane="bottomRight" activeCell="N48" sqref="N48"/>
    </sheetView>
  </sheetViews>
  <sheetFormatPr baseColWidth="8" defaultColWidth="8.42578125" defaultRowHeight="18.75"/>
  <cols>
    <col hidden="1" outlineLevel="1" width="19.7109375" customWidth="1" style="975" min="1" max="1"/>
    <col hidden="1" outlineLevel="1" width="21.28515625" customWidth="1" style="975" min="2" max="2"/>
    <col collapsed="1" width="18.140625" customWidth="1" style="403" min="3" max="3"/>
    <col width="95.5703125" customWidth="1" style="975" min="4" max="4"/>
    <col hidden="1" outlineLevel="1" width="26.42578125" customWidth="1" style="975" min="5" max="9"/>
    <col hidden="1" outlineLevel="1" width="15" customWidth="1" style="975" min="10" max="10"/>
    <col collapsed="1" width="14" bestFit="1" customWidth="1" style="1057" min="11" max="11"/>
    <col width="8.43" customWidth="1" style="975" min="12" max="12"/>
    <col width="8.43" customWidth="1" style="904" min="13"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3"/>
    <col collapsed="1" width="8.43" customWidth="1" style="904" min="44" max="44"/>
    <col width="8.43" customWidth="1" style="904" min="45" max="45"/>
    <col collapsed="1" width="8.43" customWidth="1" style="904" min="46" max="46"/>
    <col width="8.43" customWidth="1" style="904" min="47" max="49"/>
    <col collapsed="1" width="8.43" customWidth="1" style="904" min="50" max="50"/>
    <col width="8.43" customWidth="1" style="904" min="51" max="51"/>
    <col collapsed="1" width="8.43" customWidth="1" style="904" min="52" max="52"/>
    <col width="8.43" customWidth="1" style="904" min="53" max="113"/>
    <col width="8.43" customWidth="1" style="975" min="114" max="136"/>
    <col width="8.43" customWidth="1" style="975" min="137" max="16384"/>
  </cols>
  <sheetData>
    <row r="1" ht="15" customHeight="1" s="904"/>
    <row r="2" ht="15" customHeight="1" s="904"/>
    <row r="3" ht="20.25" customHeight="1" s="904">
      <c r="C3" s="603" t="inlineStr">
        <is>
          <t>Прогнозные показатели по переработке сырья и производству продукции ООО "Востокгазпром"</t>
        </is>
      </c>
    </row>
    <row r="4" ht="19.5" customHeight="1" s="904"/>
    <row r="5" ht="19.5" customHeight="1" s="904">
      <c r="B5" s="654" t="n"/>
      <c r="C5" s="222" t="inlineStr">
        <is>
          <t>16. ООО "Востокгазпром"</t>
        </is>
      </c>
      <c r="K5" s="596" t="n"/>
    </row>
    <row r="6" ht="20.1" customHeight="1" s="904">
      <c r="B6" s="1031" t="n"/>
      <c r="C6" s="1063" t="inlineStr">
        <is>
          <t>№ 
п/п</t>
        </is>
      </c>
      <c r="D6" s="969" t="inlineStr">
        <is>
          <t>Показатели</t>
        </is>
      </c>
      <c r="E6" s="924" t="inlineStr">
        <is>
          <t>Внутренние настройки листа</t>
        </is>
      </c>
      <c r="F6" s="925" t="n"/>
      <c r="G6" s="925" t="n"/>
      <c r="H6" s="925" t="n"/>
      <c r="I6" s="925" t="n"/>
      <c r="J6" s="926" t="n"/>
      <c r="K6" s="924" t="inlineStr">
        <is>
          <t>Ед. изм.</t>
        </is>
      </c>
    </row>
    <row r="7" ht="39.95" customHeight="1" s="904">
      <c r="B7" s="1031" t="n"/>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B8" s="1031" t="n"/>
      <c r="C8" s="957" t="n"/>
      <c r="D8" s="911" t="n"/>
      <c r="E8" s="911" t="n"/>
      <c r="F8" s="911" t="n"/>
      <c r="G8" s="911" t="n"/>
      <c r="H8" s="911" t="n"/>
      <c r="I8" s="911" t="n"/>
      <c r="J8" s="911" t="n"/>
      <c r="K8" s="911" t="n"/>
    </row>
    <row r="9" hidden="1" ht="20.1" customHeight="1" s="904">
      <c r="B9" s="1031" t="n"/>
      <c r="C9" s="1053" t="n"/>
      <c r="D9" s="136" t="n"/>
      <c r="E9" s="1057" t="n"/>
      <c r="F9" s="1057" t="n"/>
      <c r="G9" s="1057" t="n"/>
      <c r="H9" s="1057" t="n"/>
      <c r="I9" s="1057" t="n"/>
      <c r="J9" s="1057" t="n"/>
      <c r="K9" s="1077" t="n"/>
    </row>
    <row r="10" ht="18.75" customHeight="1" s="904">
      <c r="A10" s="655" t="n"/>
      <c r="B10" s="655" t="n"/>
      <c r="C10" s="732" t="inlineStr">
        <is>
          <t>1.</t>
        </is>
      </c>
      <c r="D10" s="404" t="inlineStr">
        <is>
          <t>Переработка УВС, всего:</t>
        </is>
      </c>
      <c r="E10" s="15" t="n">
        <v>100336330</v>
      </c>
      <c r="F10" s="15" t="n"/>
      <c r="G10" s="16" t="n"/>
      <c r="H10" s="776" t="inlineStr">
        <is>
          <t>100336331+100332993+100332341</t>
        </is>
      </c>
      <c r="I10" s="636" t="n"/>
      <c r="J10" s="17" t="n"/>
      <c r="K10" s="140" t="inlineStr">
        <is>
          <t>тыс.т.</t>
        </is>
      </c>
    </row>
    <row r="11" ht="18.75" customHeight="1" s="904">
      <c r="A11" s="655" t="n"/>
      <c r="B11" s="655" t="n"/>
      <c r="C11" s="1083" t="inlineStr">
        <is>
          <t>1.1</t>
        </is>
      </c>
      <c r="D11" s="405" t="inlineStr">
        <is>
          <t>Переработка УВС от добычи АО "Газпром добыча Томск" всего:</t>
        </is>
      </c>
      <c r="E11" s="15" t="inlineStr">
        <is>
          <t>100336331</t>
        </is>
      </c>
      <c r="F11" s="15" t="n"/>
      <c r="G11" s="16" t="n"/>
      <c r="H11" s="778" t="inlineStr">
        <is>
          <t>100332340+100330865+100336332</t>
        </is>
      </c>
      <c r="I11" s="636" t="n"/>
      <c r="J11" s="17" t="n"/>
      <c r="K11" s="136" t="inlineStr">
        <is>
          <t>тыс.т.</t>
        </is>
      </c>
    </row>
    <row r="12" ht="18.75" customHeight="1" s="904">
      <c r="A12" s="655" t="n"/>
      <c r="B12" s="655" t="n"/>
      <c r="C12" s="1080" t="inlineStr">
        <is>
          <t>1.1.1</t>
        </is>
      </c>
      <c r="D12" s="966" t="inlineStr">
        <is>
          <t>Попутный нефтяной газ</t>
        </is>
      </c>
      <c r="E12" s="15" t="n">
        <v>100332340</v>
      </c>
      <c r="F12" s="15" t="n"/>
      <c r="G12" s="16" t="n"/>
      <c r="H12" s="776" t="n"/>
      <c r="I12" s="636" t="n"/>
      <c r="J12" s="17" t="n"/>
      <c r="K12" s="136" t="inlineStr">
        <is>
          <t>тыс.т.</t>
        </is>
      </c>
    </row>
    <row r="13" ht="18.75" customHeight="1" s="904">
      <c r="A13" s="655" t="n"/>
      <c r="B13" s="655" t="n"/>
      <c r="C13" s="964" t="n"/>
      <c r="D13" s="916" t="n"/>
      <c r="E13" s="15" t="n">
        <v>100330742</v>
      </c>
      <c r="F13" s="15" t="n"/>
      <c r="G13" s="16" t="n"/>
      <c r="H13" s="776" t="n"/>
      <c r="I13" s="636" t="n"/>
      <c r="J13" s="17" t="n"/>
      <c r="K13" s="588" t="inlineStr">
        <is>
          <t>млн куб.м</t>
        </is>
      </c>
    </row>
    <row r="14" ht="18.75" customHeight="1" s="904">
      <c r="A14" s="655" t="n"/>
      <c r="B14" s="655" t="n"/>
      <c r="C14" s="1080" t="inlineStr">
        <is>
          <t>1.1.2</t>
        </is>
      </c>
      <c r="D14" s="966" t="inlineStr">
        <is>
          <t>Нестабильный газовый конденсат</t>
        </is>
      </c>
      <c r="E14" s="15" t="n">
        <v>100330865</v>
      </c>
      <c r="F14" s="15" t="n"/>
      <c r="G14" s="16" t="n"/>
      <c r="H14" s="776" t="n"/>
      <c r="I14" s="636" t="n"/>
      <c r="J14" s="17" t="n"/>
      <c r="K14" s="136" t="inlineStr">
        <is>
          <t>тыс.т.</t>
        </is>
      </c>
    </row>
    <row r="15" ht="18.75" customHeight="1" s="904">
      <c r="A15" s="655" t="n"/>
      <c r="B15" s="655" t="n"/>
      <c r="C15" s="1080" t="n"/>
      <c r="D15" s="406" t="inlineStr">
        <is>
          <t>в т.ч. нестабильный газовый конденсат из СОГ</t>
        </is>
      </c>
      <c r="E15" s="15" t="inlineStr">
        <is>
          <t>100337098</t>
        </is>
      </c>
      <c r="F15" s="15" t="n"/>
      <c r="G15" s="16" t="n"/>
      <c r="H15" s="776" t="n"/>
      <c r="I15" s="636" t="n"/>
      <c r="J15" s="17" t="n"/>
      <c r="K15" s="136" t="inlineStr">
        <is>
          <t>тыс.т.</t>
        </is>
      </c>
    </row>
    <row r="16" ht="18.75" customHeight="1" s="904">
      <c r="A16" s="655" t="n"/>
      <c r="B16" s="655" t="n"/>
      <c r="C16" s="1080" t="inlineStr">
        <is>
          <t>1.1.3</t>
        </is>
      </c>
      <c r="D16" s="966" t="inlineStr">
        <is>
          <t>Нефть</t>
        </is>
      </c>
      <c r="E16" s="15" t="n">
        <v>100336332</v>
      </c>
      <c r="F16" s="15" t="n"/>
      <c r="G16" s="16" t="n"/>
      <c r="H16" s="776" t="n"/>
      <c r="I16" s="636" t="n"/>
      <c r="J16" s="17" t="n"/>
      <c r="K16" s="136" t="inlineStr">
        <is>
          <t>тыс.т.</t>
        </is>
      </c>
    </row>
    <row r="17" ht="18.75" customHeight="1" s="904">
      <c r="A17" s="655" t="n"/>
      <c r="B17" s="655" t="n"/>
      <c r="C17" s="1080" t="n"/>
      <c r="D17" s="406" t="inlineStr">
        <is>
          <t>в т.ч. нефть из ПНГ</t>
        </is>
      </c>
      <c r="E17" s="15" t="inlineStr">
        <is>
          <t>100336333</t>
        </is>
      </c>
      <c r="F17" s="15" t="n"/>
      <c r="G17" s="16" t="n"/>
      <c r="H17" s="776" t="n"/>
      <c r="I17" s="636" t="n"/>
      <c r="J17" s="17" t="n"/>
      <c r="K17" s="136" t="inlineStr">
        <is>
          <t>тыс.т.</t>
        </is>
      </c>
    </row>
    <row r="18" ht="18.75" customHeight="1" s="904">
      <c r="A18" s="655" t="n"/>
      <c r="B18" s="655" t="n"/>
      <c r="C18" s="1080" t="n"/>
      <c r="D18" s="1086" t="inlineStr">
        <is>
          <t>Справочно: СОГ на доппереработку с Казанского НГКМ на Мыльджинское НГКМ</t>
        </is>
      </c>
      <c r="E18" s="15" t="inlineStr">
        <is>
          <t>100336369</t>
        </is>
      </c>
      <c r="F18" s="15" t="n"/>
      <c r="G18" s="16" t="n"/>
      <c r="H18" s="776" t="n"/>
      <c r="I18" s="636" t="n"/>
      <c r="J18" s="17" t="n"/>
      <c r="K18" s="149" t="inlineStr">
        <is>
          <t>тыс.т.</t>
        </is>
      </c>
    </row>
    <row r="19" ht="18.75" customHeight="1" s="904">
      <c r="A19" s="655" t="n"/>
      <c r="B19" s="655" t="n"/>
      <c r="C19" s="1080" t="n"/>
      <c r="D19" s="916" t="n"/>
      <c r="E19" s="15" t="inlineStr">
        <is>
          <t>100336370</t>
        </is>
      </c>
      <c r="F19" s="15" t="n"/>
      <c r="G19" s="16" t="n"/>
      <c r="H19" s="776" t="n"/>
      <c r="I19" s="636" t="n"/>
      <c r="J19" s="17" t="n"/>
      <c r="K19" s="604" t="inlineStr">
        <is>
          <t>млн куб.м</t>
        </is>
      </c>
    </row>
    <row r="20" ht="18.75" customHeight="1" s="904">
      <c r="A20" s="655" t="n"/>
      <c r="B20" s="655" t="n"/>
      <c r="C20" s="1083" t="inlineStr">
        <is>
          <t>1.2</t>
        </is>
      </c>
      <c r="D20" s="1052" t="inlineStr">
        <is>
          <t>Покупка сырья  ПАО "Газпром нефть"</t>
        </is>
      </c>
      <c r="E20" s="15" t="inlineStr">
        <is>
          <t>100332993</t>
        </is>
      </c>
      <c r="F20" s="15" t="n"/>
      <c r="G20" s="16" t="n"/>
      <c r="H20" s="776" t="inlineStr">
        <is>
          <t>100336365</t>
        </is>
      </c>
      <c r="I20" s="636" t="n"/>
      <c r="J20" s="17" t="n"/>
      <c r="K20" s="136" t="inlineStr">
        <is>
          <t>тыс.т.</t>
        </is>
      </c>
    </row>
    <row r="21" ht="18.75" customHeight="1" s="904">
      <c r="A21" s="655" t="n"/>
      <c r="B21" s="655" t="n"/>
      <c r="C21" s="964" t="n"/>
      <c r="D21" s="916" t="n"/>
      <c r="E21" s="15" t="n">
        <v>100332994</v>
      </c>
      <c r="F21" s="15" t="n"/>
      <c r="G21" s="16" t="n"/>
      <c r="H21" s="776" t="inlineStr">
        <is>
          <t>100336366</t>
        </is>
      </c>
      <c r="I21" s="636" t="n"/>
      <c r="J21" s="17" t="n"/>
      <c r="K21" s="588" t="inlineStr">
        <is>
          <t>млн куб.м</t>
        </is>
      </c>
    </row>
    <row r="22" ht="18.75" customHeight="1" s="904">
      <c r="A22" s="655" t="n"/>
      <c r="B22" s="655" t="n"/>
      <c r="C22" s="1080" t="inlineStr">
        <is>
          <t>1.2.1</t>
        </is>
      </c>
      <c r="D22" s="966" t="inlineStr">
        <is>
          <t>Попутный нефтяной газ</t>
        </is>
      </c>
      <c r="E22" s="15" t="n">
        <v>100336365</v>
      </c>
      <c r="F22" s="15" t="n"/>
      <c r="G22" s="16" t="n"/>
      <c r="H22" s="776" t="inlineStr">
        <is>
          <t>100332995+100332997+100333001+100333003</t>
        </is>
      </c>
      <c r="I22" s="636" t="n"/>
      <c r="J22" s="17" t="n"/>
      <c r="K22" s="136" t="inlineStr">
        <is>
          <t>тыс.т.</t>
        </is>
      </c>
    </row>
    <row r="23" ht="18.75" customHeight="1" s="904">
      <c r="A23" s="655" t="n"/>
      <c r="B23" s="655" t="n"/>
      <c r="C23" s="964" t="n"/>
      <c r="D23" s="916" t="n"/>
      <c r="E23" s="15" t="n">
        <v>100336366</v>
      </c>
      <c r="F23" s="15" t="n"/>
      <c r="G23" s="16" t="n"/>
      <c r="H23" s="776" t="n"/>
      <c r="I23" s="636" t="n"/>
      <c r="J23" s="17" t="n"/>
      <c r="K23" s="588" t="inlineStr">
        <is>
          <t>млн куб.м</t>
        </is>
      </c>
    </row>
    <row r="24" ht="18.75" customHeight="1" s="904">
      <c r="A24" s="655" t="n"/>
      <c r="B24" s="655" t="n"/>
      <c r="C24" s="1083" t="inlineStr">
        <is>
          <t>1.3</t>
        </is>
      </c>
      <c r="D24" s="1052" t="inlineStr">
        <is>
          <t>Прием сырья на процессинг от ПАО "Газпром нефть"</t>
        </is>
      </c>
      <c r="E24" s="15" t="inlineStr">
        <is>
          <t>100332341</t>
        </is>
      </c>
      <c r="F24" s="15" t="n"/>
      <c r="G24" s="16" t="n"/>
      <c r="H24" s="776" t="inlineStr">
        <is>
          <t>100336367</t>
        </is>
      </c>
      <c r="I24" s="636" t="n"/>
      <c r="J24" s="17" t="n"/>
      <c r="K24" s="136" t="inlineStr">
        <is>
          <t>тыс.т.</t>
        </is>
      </c>
    </row>
    <row r="25" ht="18.75" customHeight="1" s="904">
      <c r="A25" s="655" t="n"/>
      <c r="B25" s="655" t="n"/>
      <c r="C25" s="964" t="n"/>
      <c r="D25" s="916" t="n"/>
      <c r="E25" s="15" t="inlineStr">
        <is>
          <t>100330743</t>
        </is>
      </c>
      <c r="F25" s="15" t="n"/>
      <c r="G25" s="16" t="n"/>
      <c r="H25" s="776" t="inlineStr">
        <is>
          <t>100336368</t>
        </is>
      </c>
      <c r="I25" s="636" t="n"/>
      <c r="J25" s="17" t="n"/>
      <c r="K25" s="588" t="inlineStr">
        <is>
          <t>млн куб.м</t>
        </is>
      </c>
    </row>
    <row r="26" ht="18.75" customHeight="1" s="904">
      <c r="A26" s="655" t="n"/>
      <c r="B26" s="655" t="n"/>
      <c r="C26" s="1080" t="inlineStr">
        <is>
          <t>1.3.1</t>
        </is>
      </c>
      <c r="D26" s="966" t="inlineStr">
        <is>
          <t>Попутный нефтяной газ</t>
        </is>
      </c>
      <c r="E26" s="15" t="n">
        <v>100336367</v>
      </c>
      <c r="F26" s="15" t="n"/>
      <c r="G26" s="16" t="n"/>
      <c r="H26" s="776" t="inlineStr">
        <is>
          <t>100332899+100332902+100332936+100332418</t>
        </is>
      </c>
      <c r="I26" s="636" t="n"/>
      <c r="J26" s="17" t="n"/>
      <c r="K26" s="136" t="inlineStr">
        <is>
          <t>тыс.т.</t>
        </is>
      </c>
    </row>
    <row r="27" ht="18.75" customHeight="1" s="904">
      <c r="A27" s="655" t="n"/>
      <c r="B27" s="655" t="n"/>
      <c r="C27" s="964" t="n"/>
      <c r="D27" s="916" t="n"/>
      <c r="E27" s="15" t="n">
        <v>100336368</v>
      </c>
      <c r="F27" s="15" t="n"/>
      <c r="G27" s="16" t="n"/>
      <c r="H27" s="776" t="n"/>
      <c r="I27" s="636" t="n"/>
      <c r="J27" s="17" t="n"/>
      <c r="K27" s="588" t="inlineStr">
        <is>
          <t>млн куб.м</t>
        </is>
      </c>
    </row>
    <row r="28" ht="18.75" customHeight="1" s="904">
      <c r="A28" s="655" t="n"/>
      <c r="B28" s="655" t="n"/>
      <c r="C28" s="1083" t="inlineStr">
        <is>
          <t>2</t>
        </is>
      </c>
      <c r="D28" s="1037" t="inlineStr">
        <is>
          <t>Технологические нужды</t>
        </is>
      </c>
      <c r="E28" s="15" t="inlineStr">
        <is>
          <t>100336334</t>
        </is>
      </c>
      <c r="F28" s="15" t="n"/>
      <c r="G28" s="16" t="n"/>
      <c r="H28" s="776" t="inlineStr">
        <is>
          <t>100336335+100336336</t>
        </is>
      </c>
      <c r="I28" s="636" t="n"/>
      <c r="J28" s="17" t="n"/>
      <c r="K28" s="1077" t="inlineStr">
        <is>
          <t>тыс.т.</t>
        </is>
      </c>
    </row>
    <row r="29" ht="18.75" customHeight="1" s="904">
      <c r="A29" s="655" t="n"/>
      <c r="B29" s="655" t="n"/>
      <c r="C29" s="1080" t="inlineStr">
        <is>
          <t>2.1</t>
        </is>
      </c>
      <c r="D29" s="1084" t="inlineStr">
        <is>
          <t>Потери</t>
        </is>
      </c>
      <c r="E29" s="15" t="inlineStr">
        <is>
          <t>100336335</t>
        </is>
      </c>
      <c r="F29" s="15" t="n"/>
      <c r="G29" s="16" t="n"/>
      <c r="H29" s="776" t="n"/>
      <c r="I29" s="636" t="n"/>
      <c r="J29" s="17" t="n"/>
      <c r="K29" s="136" t="inlineStr">
        <is>
          <t>тыс.т.</t>
        </is>
      </c>
    </row>
    <row r="30" ht="18.75" customHeight="1" s="904">
      <c r="A30" s="655" t="n"/>
      <c r="B30" s="655" t="n"/>
      <c r="C30" s="1080" t="inlineStr">
        <is>
          <t>2.2</t>
        </is>
      </c>
      <c r="D30" s="1084" t="inlineStr">
        <is>
          <t>СТН газа</t>
        </is>
      </c>
      <c r="E30" s="15" t="inlineStr">
        <is>
          <t>100336336</t>
        </is>
      </c>
      <c r="F30" s="15" t="n"/>
      <c r="G30" s="16" t="n"/>
      <c r="H30" s="776" t="n"/>
      <c r="I30" s="636" t="n"/>
      <c r="J30" s="17" t="n"/>
      <c r="K30" s="136" t="inlineStr">
        <is>
          <t>тыс.т.</t>
        </is>
      </c>
    </row>
    <row r="31" ht="18.75" customHeight="1" s="904">
      <c r="A31" s="655" t="n"/>
      <c r="B31" s="655" t="n"/>
      <c r="C31" s="964" t="n"/>
      <c r="D31" s="916" t="n"/>
      <c r="E31" s="15" t="inlineStr">
        <is>
          <t>100336337</t>
        </is>
      </c>
      <c r="F31" s="15" t="n"/>
      <c r="G31" s="16" t="n"/>
      <c r="H31" s="776" t="n"/>
      <c r="I31" s="636" t="n"/>
      <c r="J31" s="17" t="n"/>
      <c r="K31" s="588" t="inlineStr">
        <is>
          <t>млн куб.м</t>
        </is>
      </c>
    </row>
    <row r="32" ht="18.75" customHeight="1" s="904">
      <c r="A32" s="655" t="n"/>
      <c r="B32" s="655" t="n"/>
      <c r="C32" s="1088" t="n">
        <v>3</v>
      </c>
      <c r="D32" s="1037" t="inlineStr">
        <is>
          <t>Производство продукции, всего:</t>
        </is>
      </c>
      <c r="E32" s="15" t="inlineStr">
        <is>
          <t>100330049</t>
        </is>
      </c>
      <c r="F32" s="15" t="n"/>
      <c r="G32" s="16" t="n"/>
      <c r="H32" s="776" t="inlineStr">
        <is>
          <t>100330745+100332901+100337158+100332342</t>
        </is>
      </c>
      <c r="I32" s="636" t="n"/>
      <c r="J32" s="17" t="n"/>
      <c r="K32" s="1077" t="inlineStr">
        <is>
          <t>тыс.т.</t>
        </is>
      </c>
    </row>
    <row r="33" ht="18.75" customHeight="1" s="904">
      <c r="A33" s="655" t="n"/>
      <c r="B33" s="655" t="n"/>
      <c r="C33" s="1083" t="inlineStr">
        <is>
          <t>3.1</t>
        </is>
      </c>
      <c r="D33" s="1052" t="inlineStr">
        <is>
          <t>Стабильный конденсат и нефть, всего:</t>
        </is>
      </c>
      <c r="E33" s="15" t="n">
        <v>100330745</v>
      </c>
      <c r="F33" s="15" t="n"/>
      <c r="G33" s="16" t="n"/>
      <c r="H33" s="776" t="inlineStr">
        <is>
          <t>100336338+100330746+100332899+100332995</t>
        </is>
      </c>
      <c r="I33" s="803" t="inlineStr">
        <is>
          <t>ОКРУГЛ({100330745:-1}/{100336330:-1}*$100;$6)</t>
        </is>
      </c>
      <c r="J33" s="17" t="n"/>
      <c r="K33" s="1077" t="inlineStr">
        <is>
          <t>тыс.т.</t>
        </is>
      </c>
    </row>
    <row r="34" ht="18.75" customHeight="1" s="904">
      <c r="A34" s="655" t="n"/>
      <c r="B34" s="655" t="n"/>
      <c r="C34" s="1080" t="inlineStr">
        <is>
          <t>3.1.1</t>
        </is>
      </c>
      <c r="D34" s="966" t="inlineStr">
        <is>
          <t>в т.ч. нефть  АО "Газпром добыча Томск"</t>
        </is>
      </c>
      <c r="E34" s="15" t="n">
        <v>100336338</v>
      </c>
      <c r="F34" s="15" t="n"/>
      <c r="G34" s="16" t="n"/>
      <c r="H34" s="776" t="inlineStr">
        <is>
          <t>100336339</t>
        </is>
      </c>
      <c r="I34" s="776" t="inlineStr">
        <is>
          <t>ОКРУГЛ({100336338:-1}/{100336332:-1}*$100;$6)</t>
        </is>
      </c>
      <c r="J34" s="17" t="n"/>
      <c r="K34" s="225" t="inlineStr">
        <is>
          <t>тыс.т.</t>
        </is>
      </c>
    </row>
    <row r="35" ht="18.75" customHeight="1" s="904">
      <c r="A35" s="655" t="n"/>
      <c r="B35" s="655" t="n"/>
      <c r="C35" s="1080" t="inlineStr">
        <is>
          <t>3.1.2</t>
        </is>
      </c>
      <c r="D35" s="966" t="inlineStr">
        <is>
          <t>в т.ч. стабильный конденсат из сырья Газпром добыча Томск</t>
        </is>
      </c>
      <c r="E35" s="15" t="n">
        <v>100330746</v>
      </c>
      <c r="F35" s="15" t="n"/>
      <c r="G35" s="16" t="n"/>
      <c r="H35" s="776" t="inlineStr">
        <is>
          <t>100336340</t>
        </is>
      </c>
      <c r="I35" s="776" t="inlineStr">
        <is>
          <t>ОКРУГЛ({100330746:-1}/{100330865:-1}*$100;$6)</t>
        </is>
      </c>
      <c r="J35" s="17" t="n"/>
      <c r="K35" s="225" t="inlineStr">
        <is>
          <t>тыс.т.</t>
        </is>
      </c>
    </row>
    <row r="36" ht="18.75" customHeight="1" s="904">
      <c r="A36" s="655" t="n"/>
      <c r="B36" s="655" t="n"/>
      <c r="C36" s="1080" t="inlineStr">
        <is>
          <t>3.1.3</t>
        </is>
      </c>
      <c r="D36" s="966" t="inlineStr">
        <is>
          <t>в т.ч. из сырья ПАО "Газпром нефть" (покупка газа)</t>
        </is>
      </c>
      <c r="E36" s="15" t="n">
        <v>100332995</v>
      </c>
      <c r="F36" s="15" t="n"/>
      <c r="G36" s="16" t="n"/>
      <c r="H36" s="776" t="inlineStr">
        <is>
          <t>100332996</t>
        </is>
      </c>
      <c r="I36" s="776" t="inlineStr">
        <is>
          <t>ОКРУГЛ({100332995:-1}/{100336365:-1}*$100;$6)</t>
        </is>
      </c>
      <c r="J36" s="17" t="n"/>
      <c r="K36" s="225" t="inlineStr">
        <is>
          <t>тыс.т.</t>
        </is>
      </c>
    </row>
    <row r="37" ht="18.75" customHeight="1" s="904">
      <c r="A37" s="655" t="n"/>
      <c r="B37" s="655" t="n"/>
      <c r="C37" s="1080" t="inlineStr">
        <is>
          <t>3.1.4</t>
        </is>
      </c>
      <c r="D37" s="966" t="inlineStr">
        <is>
          <t>в т.ч. из сырья ПАО "Газпром нефть" (переработка газа)</t>
        </is>
      </c>
      <c r="E37" s="15" t="n">
        <v>100332899</v>
      </c>
      <c r="F37" s="15" t="n"/>
      <c r="G37" s="16" t="n"/>
      <c r="H37" s="776" t="inlineStr">
        <is>
          <t>100332900</t>
        </is>
      </c>
      <c r="I37" s="776" t="inlineStr">
        <is>
          <t>ОКРУГЛ({100332899:-1}/{100336367:-1}*$100;$6)</t>
        </is>
      </c>
      <c r="J37" s="17" t="n"/>
      <c r="K37" s="225" t="inlineStr">
        <is>
          <t>тыс.т.</t>
        </is>
      </c>
    </row>
    <row r="38" ht="18.75" customHeight="1" s="904">
      <c r="A38" s="655" t="n"/>
      <c r="B38" s="655" t="n"/>
      <c r="C38" s="1083" t="inlineStr">
        <is>
          <t>3.2</t>
        </is>
      </c>
      <c r="D38" s="407" t="inlineStr">
        <is>
          <t>Стабильный конденсат и нефть, товарные 
(собст. АО "Газпром добыча Томск")</t>
        </is>
      </c>
      <c r="E38" s="15" t="n">
        <v>100330747</v>
      </c>
      <c r="F38" s="15" t="n"/>
      <c r="G38" s="16" t="n"/>
      <c r="H38" s="776" t="inlineStr">
        <is>
          <t>100336339+100336340+100332900+100332996</t>
        </is>
      </c>
      <c r="I38" s="803" t="inlineStr">
        <is>
          <t>ОКРУГЛ({100330747:-1}/{100336330:-1}*$100;$6)</t>
        </is>
      </c>
      <c r="J38" s="17" t="n"/>
      <c r="K38" s="225" t="inlineStr">
        <is>
          <t>тыс.т.</t>
        </is>
      </c>
    </row>
    <row r="39" ht="18.75" customHeight="1" s="904">
      <c r="A39" s="655" t="n"/>
      <c r="B39" s="655" t="n"/>
      <c r="C39" s="1080" t="inlineStr">
        <is>
          <t>3.2.1</t>
        </is>
      </c>
      <c r="D39" s="968" t="inlineStr">
        <is>
          <t xml:space="preserve">   в т.ч. нефть  АО "Газпром добыча Томск"</t>
        </is>
      </c>
      <c r="E39" s="15" t="inlineStr">
        <is>
          <t>100336339</t>
        </is>
      </c>
      <c r="F39" s="15" t="n"/>
      <c r="G39" s="16" t="n"/>
      <c r="H39" s="776" t="inlineStr">
        <is>
          <t>100336332</t>
        </is>
      </c>
      <c r="I39" s="776" t="inlineStr">
        <is>
          <t>ОКРУГЛ({100336339:-1}/{100336332:-1}*$100;$6)</t>
        </is>
      </c>
      <c r="J39" s="17" t="n"/>
      <c r="K39" s="225" t="inlineStr">
        <is>
          <t>тыс.т.</t>
        </is>
      </c>
    </row>
    <row r="40" ht="18.75" customHeight="1" s="904">
      <c r="A40" s="655" t="n"/>
      <c r="B40" s="655" t="n"/>
      <c r="C40" s="1080" t="inlineStr">
        <is>
          <t>3.2.2</t>
        </is>
      </c>
      <c r="D40" s="968" t="inlineStr">
        <is>
          <t xml:space="preserve">   в т.ч. стабильный конденсат из сырья АО "Газпром добыча Томск"</t>
        </is>
      </c>
      <c r="E40" s="15" t="n">
        <v>100336340</v>
      </c>
      <c r="F40" s="15" t="n"/>
      <c r="G40" s="16" t="n"/>
      <c r="H40" s="776" t="n"/>
      <c r="I40" s="776" t="inlineStr">
        <is>
          <t>ОКРУГЛ({100336340:-1}/{100330865:-1}*$100;$6)</t>
        </is>
      </c>
      <c r="J40" s="17" t="n"/>
      <c r="K40" s="225" t="inlineStr">
        <is>
          <t>тыс.т.</t>
        </is>
      </c>
    </row>
    <row r="41" ht="18.75" customHeight="1" s="904">
      <c r="A41" s="655" t="n"/>
      <c r="B41" s="655" t="n"/>
      <c r="C41" s="1080" t="inlineStr">
        <is>
          <t>3.2.3</t>
        </is>
      </c>
      <c r="D41" s="966" t="inlineStr">
        <is>
          <t>в т.ч. из сырья ПАО "Газпром нефть" (покупка газа)</t>
        </is>
      </c>
      <c r="E41" s="15" t="n">
        <v>100332996</v>
      </c>
      <c r="F41" s="15" t="n"/>
      <c r="G41" s="16" t="n"/>
      <c r="H41" s="776" t="n"/>
      <c r="I41" s="776" t="inlineStr">
        <is>
          <t>ОКРУГЛ({100332996:-1}/{100336365:-1}*$100;$6)</t>
        </is>
      </c>
      <c r="J41" s="17" t="n"/>
      <c r="K41" s="225" t="inlineStr">
        <is>
          <t>тыс.т.</t>
        </is>
      </c>
    </row>
    <row r="42" ht="18.75" customHeight="1" s="904">
      <c r="A42" s="655" t="n"/>
      <c r="B42" s="655" t="n"/>
      <c r="C42" s="1080" t="inlineStr">
        <is>
          <t>3.2.4</t>
        </is>
      </c>
      <c r="D42" s="966" t="inlineStr">
        <is>
          <t>в т.ч. из сырья ПАО "Газпром нефть" (переработка газа)</t>
        </is>
      </c>
      <c r="E42" s="15" t="inlineStr">
        <is>
          <t>100332900</t>
        </is>
      </c>
      <c r="F42" s="15" t="n"/>
      <c r="G42" s="16" t="n"/>
      <c r="H42" s="776" t="n"/>
      <c r="I42" s="776" t="inlineStr">
        <is>
          <t>ОКРУГЛ({100332900:-1}/{100336367:-1}*$100;$6)</t>
        </is>
      </c>
      <c r="J42" s="17" t="n"/>
      <c r="K42" s="225" t="inlineStr">
        <is>
          <t>тыс.т.</t>
        </is>
      </c>
    </row>
    <row r="43" ht="18.75" customHeight="1" s="904">
      <c r="A43" s="655" t="n"/>
      <c r="B43" s="655" t="n"/>
      <c r="C43" s="1083" t="inlineStr">
        <is>
          <t>3.3</t>
        </is>
      </c>
      <c r="D43" s="1052" t="inlineStr">
        <is>
          <t xml:space="preserve">ШФЛУ валовая </t>
        </is>
      </c>
      <c r="E43" s="15" t="n">
        <v>100332901</v>
      </c>
      <c r="F43" s="15" t="n"/>
      <c r="G43" s="16" t="n"/>
      <c r="H43" s="776" t="inlineStr">
        <is>
          <t>100332904+100336353+100330748+100336362-100336363</t>
        </is>
      </c>
      <c r="I43" s="803" t="inlineStr">
        <is>
          <t>ОКРУГЛ({100332901:-1}/{100336330:-1}*$100;$6)</t>
        </is>
      </c>
      <c r="J43" s="17" t="n"/>
      <c r="K43" s="141" t="inlineStr">
        <is>
          <t>тыс.т.</t>
        </is>
      </c>
    </row>
    <row r="44" ht="18.75" customHeight="1" s="904">
      <c r="A44" s="655" t="n"/>
      <c r="B44" s="655" t="n"/>
      <c r="C44" s="964" t="n"/>
      <c r="D44" s="916" t="n"/>
      <c r="E44" s="15" t="inlineStr">
        <is>
          <t>100336342</t>
        </is>
      </c>
      <c r="F44" s="15" t="n"/>
      <c r="G44" s="16" t="n"/>
      <c r="H44" s="776" t="inlineStr">
        <is>
          <t>100336344+100336346+100336347+100336348</t>
        </is>
      </c>
      <c r="I44" s="636" t="n"/>
      <c r="J44" s="17" t="n"/>
      <c r="K44" s="587" t="inlineStr">
        <is>
          <t>млн куб.м</t>
        </is>
      </c>
    </row>
    <row r="45" ht="18.75" customHeight="1" s="904">
      <c r="A45" s="655" t="n"/>
      <c r="B45" s="655" t="n"/>
      <c r="C45" s="1080" t="inlineStr">
        <is>
          <t>3.3.1</t>
        </is>
      </c>
      <c r="D45" s="1084" t="inlineStr">
        <is>
          <t xml:space="preserve">   в т.ч. из НГК</t>
        </is>
      </c>
      <c r="E45" s="15" t="n">
        <v>100336343</v>
      </c>
      <c r="F45" s="15" t="n"/>
      <c r="G45" s="16" t="n"/>
      <c r="H45" s="776" t="n"/>
      <c r="I45" s="776" t="inlineStr">
        <is>
          <t>ОКРУГЛ({100336343:-1}/{100330865:-1}*$100;$6)</t>
        </is>
      </c>
      <c r="J45" s="17" t="n"/>
      <c r="K45" s="177" t="inlineStr">
        <is>
          <t>тыс.т.</t>
        </is>
      </c>
    </row>
    <row r="46" ht="18.75" customHeight="1" s="904">
      <c r="A46" s="655" t="n"/>
      <c r="B46" s="655" t="n"/>
      <c r="C46" s="964" t="n"/>
      <c r="D46" s="916" t="n"/>
      <c r="E46" s="15" t="inlineStr">
        <is>
          <t>100336344</t>
        </is>
      </c>
      <c r="F46" s="15" t="n"/>
      <c r="G46" s="16" t="n"/>
      <c r="H46" s="776" t="n"/>
      <c r="I46" s="636" t="n"/>
      <c r="J46" s="17" t="n"/>
      <c r="K46" s="588" t="inlineStr">
        <is>
          <t>млн куб.м</t>
        </is>
      </c>
    </row>
    <row r="47" ht="18.75" customHeight="1" s="904">
      <c r="A47" s="655" t="n"/>
      <c r="B47" s="655" t="n"/>
      <c r="C47" s="1080" t="inlineStr">
        <is>
          <t>3.3.2</t>
        </is>
      </c>
      <c r="D47" s="1084" t="inlineStr">
        <is>
          <t xml:space="preserve">   в т.ч. из ПНГ</t>
        </is>
      </c>
      <c r="E47" s="15" t="n">
        <v>100336345</v>
      </c>
      <c r="F47" s="15" t="n"/>
      <c r="G47" s="16" t="n"/>
      <c r="H47" s="776" t="n"/>
      <c r="I47" s="776" t="inlineStr">
        <is>
          <t>ОКРУГЛ({100336345:-1}/{100332340:-1}*$100;$6)</t>
        </is>
      </c>
      <c r="J47" s="17" t="n"/>
      <c r="K47" s="177" t="inlineStr">
        <is>
          <t>тыс.т.</t>
        </is>
      </c>
    </row>
    <row r="48" ht="18.75" customHeight="1" s="904">
      <c r="A48" s="655" t="n"/>
      <c r="B48" s="655" t="n"/>
      <c r="C48" s="964" t="n"/>
      <c r="D48" s="916" t="n"/>
      <c r="E48" s="15" t="inlineStr">
        <is>
          <t>100336346</t>
        </is>
      </c>
      <c r="F48" s="15" t="n"/>
      <c r="G48" s="16" t="n"/>
      <c r="H48" s="776" t="n"/>
      <c r="I48" s="636" t="n"/>
      <c r="J48" s="17" t="n"/>
      <c r="K48" s="588" t="inlineStr">
        <is>
          <t>млн куб.м</t>
        </is>
      </c>
    </row>
    <row r="49" ht="18.75" customHeight="1" s="904">
      <c r="A49" s="655" t="n"/>
      <c r="B49" s="655" t="n"/>
      <c r="C49" s="1080" t="inlineStr">
        <is>
          <t>3.3.3</t>
        </is>
      </c>
      <c r="D49" s="966" t="inlineStr">
        <is>
          <t>в т.ч. из сырья ПАО "Газпром нефть" (покупка газа)</t>
        </is>
      </c>
      <c r="E49" s="15" t="n">
        <v>100332997</v>
      </c>
      <c r="F49" s="15" t="n"/>
      <c r="G49" s="16" t="n"/>
      <c r="H49" s="776" t="n"/>
      <c r="I49" s="776" t="inlineStr">
        <is>
          <t>ОКРУГЛ({100332997:-1}/{100336365:-1}*$100;$6)</t>
        </is>
      </c>
      <c r="J49" s="17" t="n"/>
      <c r="K49" s="177" t="inlineStr">
        <is>
          <t>тыс.т.</t>
        </is>
      </c>
    </row>
    <row r="50" ht="18.75" customHeight="1" s="904">
      <c r="A50" s="655" t="n"/>
      <c r="B50" s="655" t="n"/>
      <c r="C50" s="964" t="n"/>
      <c r="D50" s="916" t="n"/>
      <c r="E50" s="15" t="inlineStr">
        <is>
          <t>100336348</t>
        </is>
      </c>
      <c r="F50" s="15" t="n"/>
      <c r="G50" s="16" t="n"/>
      <c r="H50" s="776" t="n"/>
      <c r="I50" s="636" t="n"/>
      <c r="J50" s="17" t="n"/>
      <c r="K50" s="588" t="inlineStr">
        <is>
          <t>млн куб.м</t>
        </is>
      </c>
    </row>
    <row r="51" ht="18.75" customHeight="1" s="904">
      <c r="A51" s="655" t="n"/>
      <c r="B51" s="655" t="n"/>
      <c r="C51" s="1080" t="inlineStr">
        <is>
          <t>3.3.4</t>
        </is>
      </c>
      <c r="D51" s="966" t="inlineStr">
        <is>
          <t>в т.ч из сырья ПАО "Газпром нефть" (переработка газа)</t>
        </is>
      </c>
      <c r="E51" s="15" t="n">
        <v>100332902</v>
      </c>
      <c r="F51" s="15" t="n"/>
      <c r="G51" s="16" t="n"/>
      <c r="H51" s="776" t="n"/>
      <c r="I51" s="776" t="inlineStr">
        <is>
          <t>ОКРУГЛ({100332902:-1}/{100336367:-1}*$100;$6)</t>
        </is>
      </c>
      <c r="J51" s="17" t="n"/>
      <c r="K51" s="177" t="inlineStr">
        <is>
          <t>тыс.т.</t>
        </is>
      </c>
    </row>
    <row r="52" ht="18.75" customHeight="1" s="904">
      <c r="A52" s="655" t="n"/>
      <c r="B52" s="655" t="n"/>
      <c r="C52" s="964" t="n"/>
      <c r="D52" s="916" t="n"/>
      <c r="E52" s="15" t="inlineStr">
        <is>
          <t>100336347</t>
        </is>
      </c>
      <c r="F52" s="15" t="n"/>
      <c r="G52" s="16" t="n"/>
      <c r="H52" s="776" t="n"/>
      <c r="I52" s="636" t="n"/>
      <c r="J52" s="17" t="n"/>
      <c r="K52" s="588" t="inlineStr">
        <is>
          <t>млн куб.м</t>
        </is>
      </c>
    </row>
    <row r="53" ht="18.75" customHeight="1" s="904">
      <c r="A53" s="655" t="n"/>
      <c r="B53" s="655" t="n"/>
      <c r="C53" s="1083" t="inlineStr">
        <is>
          <t>3.4</t>
        </is>
      </c>
      <c r="D53" s="1052" t="inlineStr">
        <is>
          <t>ШФЛУ, товарная в газопровод (собст. АО "Газпром добыча Томск")</t>
        </is>
      </c>
      <c r="E53" s="15" t="inlineStr">
        <is>
          <t>100332904</t>
        </is>
      </c>
      <c r="F53" s="15" t="n"/>
      <c r="G53" s="16" t="n"/>
      <c r="H53" s="776" t="inlineStr">
        <is>
          <t>100336349+100336351+100332934+100332999</t>
        </is>
      </c>
      <c r="I53" s="804" t="n"/>
      <c r="J53" s="17" t="n"/>
      <c r="K53" s="141" t="inlineStr">
        <is>
          <t>тыс.т.</t>
        </is>
      </c>
    </row>
    <row r="54" ht="18.75" customHeight="1" s="904">
      <c r="A54" s="655" t="n"/>
      <c r="B54" s="655" t="n"/>
      <c r="C54" s="964" t="n"/>
      <c r="D54" s="916" t="n"/>
      <c r="E54" s="15" t="inlineStr">
        <is>
          <t>100332905</t>
        </is>
      </c>
      <c r="F54" s="15" t="n"/>
      <c r="G54" s="16" t="n"/>
      <c r="H54" s="776" t="inlineStr">
        <is>
          <t>100336350+100336352+100332935+100333000</t>
        </is>
      </c>
      <c r="I54" s="636" t="n"/>
      <c r="J54" s="17" t="n"/>
      <c r="K54" s="587" t="inlineStr">
        <is>
          <t>млн куб.м</t>
        </is>
      </c>
    </row>
    <row r="55" ht="18.75" customHeight="1" s="904">
      <c r="A55" s="655" t="n"/>
      <c r="B55" s="655" t="n"/>
      <c r="C55" s="1080" t="inlineStr">
        <is>
          <t>3.4.1</t>
        </is>
      </c>
      <c r="D55" s="1084" t="inlineStr">
        <is>
          <t xml:space="preserve">   в т.ч. из НГК</t>
        </is>
      </c>
      <c r="E55" s="15" t="n">
        <v>100336349</v>
      </c>
      <c r="F55" s="15" t="n"/>
      <c r="G55" s="16" t="n"/>
      <c r="H55" s="776" t="n"/>
      <c r="I55" s="776" t="inlineStr">
        <is>
          <t>ОКРУГЛ({100336349:-1}/{100336343:-1}*$100;$6)</t>
        </is>
      </c>
      <c r="J55" s="17" t="n"/>
      <c r="K55" s="177" t="inlineStr">
        <is>
          <t>тыс.т.</t>
        </is>
      </c>
    </row>
    <row r="56" ht="18.75" customHeight="1" s="904">
      <c r="A56" s="655" t="n"/>
      <c r="B56" s="655" t="n"/>
      <c r="C56" s="964" t="n"/>
      <c r="D56" s="916" t="n"/>
      <c r="E56" s="15" t="inlineStr">
        <is>
          <t>100336350</t>
        </is>
      </c>
      <c r="F56" s="15" t="n"/>
      <c r="G56" s="16" t="n"/>
      <c r="H56" s="776" t="n"/>
      <c r="I56" s="636" t="n"/>
      <c r="J56" s="17" t="n"/>
      <c r="K56" s="588" t="inlineStr">
        <is>
          <t>млн куб.м</t>
        </is>
      </c>
    </row>
    <row r="57" ht="18.75" customHeight="1" s="904">
      <c r="A57" s="655" t="n"/>
      <c r="B57" s="655" t="n"/>
      <c r="C57" s="1080" t="inlineStr">
        <is>
          <t>3.4.2</t>
        </is>
      </c>
      <c r="D57" s="1084" t="inlineStr">
        <is>
          <t xml:space="preserve">   в т.ч. из ПНГ</t>
        </is>
      </c>
      <c r="E57" s="15" t="n">
        <v>100336351</v>
      </c>
      <c r="F57" s="15" t="n"/>
      <c r="G57" s="16" t="n"/>
      <c r="H57" s="776" t="n"/>
      <c r="I57" s="776" t="inlineStr">
        <is>
          <t>ОКРУГЛ({100336351:-1}/{100336345:-1}*$100;$6)</t>
        </is>
      </c>
      <c r="J57" s="17" t="n"/>
      <c r="K57" s="177" t="inlineStr">
        <is>
          <t>тыс.т.</t>
        </is>
      </c>
    </row>
    <row r="58" ht="18.75" customHeight="1" s="904">
      <c r="A58" s="655" t="n"/>
      <c r="B58" s="655" t="n"/>
      <c r="C58" s="964" t="n"/>
      <c r="D58" s="916" t="n"/>
      <c r="E58" s="15" t="inlineStr">
        <is>
          <t>100336352</t>
        </is>
      </c>
      <c r="F58" s="15" t="n"/>
      <c r="G58" s="16" t="n"/>
      <c r="H58" s="776" t="n"/>
      <c r="I58" s="636" t="n"/>
      <c r="J58" s="17" t="n"/>
      <c r="K58" s="588" t="inlineStr">
        <is>
          <t>млн куб.м</t>
        </is>
      </c>
    </row>
    <row r="59" ht="18.75" customHeight="1" s="904">
      <c r="A59" s="655" t="n"/>
      <c r="B59" s="655" t="n"/>
      <c r="C59" s="1080" t="inlineStr">
        <is>
          <t>3.4.3</t>
        </is>
      </c>
      <c r="D59" s="966" t="inlineStr">
        <is>
          <t>в т.ч. из сырья ПАО "Газпром нефть" (покупка газа)</t>
        </is>
      </c>
      <c r="E59" s="15" t="n">
        <v>100332999</v>
      </c>
      <c r="F59" s="15" t="n"/>
      <c r="G59" s="16" t="n"/>
      <c r="H59" s="776" t="n"/>
      <c r="I59" s="776" t="inlineStr">
        <is>
          <t>ОКРУГЛ({100332999:-1}/{100332997:-1}*$100;$6)</t>
        </is>
      </c>
      <c r="J59" s="17" t="n"/>
      <c r="K59" s="177" t="inlineStr">
        <is>
          <t>тыс.т.</t>
        </is>
      </c>
    </row>
    <row r="60" ht="18.75" customHeight="1" s="904">
      <c r="A60" s="655" t="n"/>
      <c r="B60" s="655" t="n"/>
      <c r="C60" s="964" t="n"/>
      <c r="D60" s="916" t="n"/>
      <c r="E60" s="15" t="inlineStr">
        <is>
          <t>100333000</t>
        </is>
      </c>
      <c r="F60" s="15" t="n"/>
      <c r="G60" s="16" t="n"/>
      <c r="H60" s="776" t="n"/>
      <c r="I60" s="636" t="n"/>
      <c r="J60" s="17" t="n"/>
      <c r="K60" s="588" t="inlineStr">
        <is>
          <t>млн куб.м</t>
        </is>
      </c>
    </row>
    <row r="61" ht="18.75" customHeight="1" s="904">
      <c r="A61" s="655" t="n"/>
      <c r="B61" s="655" t="n"/>
      <c r="C61" s="1080" t="inlineStr">
        <is>
          <t>3.4.4</t>
        </is>
      </c>
      <c r="D61" s="966" t="inlineStr">
        <is>
          <t>в т.ч из сырья ПАО "Газпром нефть" (переработка газа)</t>
        </is>
      </c>
      <c r="E61" s="15" t="n">
        <v>100332934</v>
      </c>
      <c r="F61" s="15" t="n"/>
      <c r="G61" s="16" t="n"/>
      <c r="H61" s="776" t="n"/>
      <c r="I61" s="776" t="inlineStr">
        <is>
          <t>ОКРУГЛ({100332934:-1}/{100332902:-1}*$100;$6)</t>
        </is>
      </c>
      <c r="J61" s="17" t="n"/>
      <c r="K61" s="177" t="inlineStr">
        <is>
          <t>тыс.т.</t>
        </is>
      </c>
    </row>
    <row r="62" ht="18.75" customHeight="1" s="904">
      <c r="A62" s="655" t="n"/>
      <c r="B62" s="655" t="n"/>
      <c r="C62" s="964" t="n"/>
      <c r="D62" s="916" t="n"/>
      <c r="E62" s="15" t="inlineStr">
        <is>
          <t>100332935</t>
        </is>
      </c>
      <c r="F62" s="15" t="n"/>
      <c r="G62" s="16" t="n"/>
      <c r="H62" s="776" t="n"/>
      <c r="I62" s="636" t="n"/>
      <c r="J62" s="17" t="n"/>
      <c r="K62" s="588" t="inlineStr">
        <is>
          <t>млн куб.м</t>
        </is>
      </c>
    </row>
    <row r="63" ht="18.75" customHeight="1" s="904">
      <c r="A63" s="655" t="n"/>
      <c r="B63" s="655" t="n"/>
      <c r="C63" s="1083" t="inlineStr">
        <is>
          <t>3.5</t>
        </is>
      </c>
      <c r="D63" s="405" t="inlineStr">
        <is>
          <t>Расход ШФЛУ на СТН (собст. АО "Газпром добыча Томск")</t>
        </is>
      </c>
      <c r="E63" s="15" t="inlineStr">
        <is>
          <t>100336353</t>
        </is>
      </c>
      <c r="F63" s="15" t="n"/>
      <c r="G63" s="16" t="n"/>
      <c r="H63" s="776" t="n"/>
      <c r="I63" s="803">
        <f>ROUND(100-I53,6)</f>
        <v/>
      </c>
      <c r="J63" s="17" t="n"/>
      <c r="K63" s="225" t="inlineStr">
        <is>
          <t>тыс.т.</t>
        </is>
      </c>
    </row>
    <row r="64" ht="18.75" customHeight="1" s="904">
      <c r="A64" s="655" t="n"/>
      <c r="B64" s="655" t="n"/>
      <c r="C64" s="1083" t="inlineStr">
        <is>
          <t>3.6</t>
        </is>
      </c>
      <c r="D64" s="405" t="inlineStr">
        <is>
          <t>Газы углеводородные сжиженные (СПБТ) 
(собст. АО "Газпром добыча Томск")</t>
        </is>
      </c>
      <c r="E64" s="15" t="inlineStr">
        <is>
          <t>100330748</t>
        </is>
      </c>
      <c r="F64" s="15" t="n"/>
      <c r="G64" s="16" t="n"/>
      <c r="H64" s="776" t="inlineStr">
        <is>
          <t>100336354+100336355+100332903+100332998</t>
        </is>
      </c>
      <c r="I64" s="636" t="n"/>
      <c r="J64" s="17" t="n"/>
      <c r="K64" s="141" t="inlineStr">
        <is>
          <t>тыс.т.</t>
        </is>
      </c>
    </row>
    <row r="65" ht="18.75" customHeight="1" s="904">
      <c r="A65" s="655" t="n"/>
      <c r="B65" s="655" t="n"/>
      <c r="C65" s="1080" t="inlineStr">
        <is>
          <t>3.6.1</t>
        </is>
      </c>
      <c r="D65" s="397" t="inlineStr">
        <is>
          <t>в т.ч. из НГК</t>
        </is>
      </c>
      <c r="E65" s="15" t="inlineStr">
        <is>
          <t>100336354</t>
        </is>
      </c>
      <c r="F65" s="15" t="n"/>
      <c r="G65" s="16" t="n"/>
      <c r="H65" s="776" t="n"/>
      <c r="I65" s="636" t="n"/>
      <c r="J65" s="17" t="n"/>
      <c r="K65" s="225" t="inlineStr">
        <is>
          <t>тыс.т.</t>
        </is>
      </c>
    </row>
    <row r="66" ht="18.75" customHeight="1" s="904">
      <c r="A66" s="655" t="n"/>
      <c r="B66" s="655" t="n"/>
      <c r="C66" s="1080" t="inlineStr">
        <is>
          <t>3.6.2</t>
        </is>
      </c>
      <c r="D66" s="397" t="inlineStr">
        <is>
          <t>в т.ч. из ПНГ</t>
        </is>
      </c>
      <c r="E66" s="15" t="inlineStr">
        <is>
          <t>100336355</t>
        </is>
      </c>
      <c r="F66" s="15" t="n"/>
      <c r="G66" s="16" t="n"/>
      <c r="H66" s="776" t="n"/>
      <c r="I66" s="636" t="n"/>
      <c r="J66" s="17" t="n"/>
      <c r="K66" s="225" t="inlineStr">
        <is>
          <t>тыс.т.</t>
        </is>
      </c>
    </row>
    <row r="67" ht="18.75" customHeight="1" s="904">
      <c r="A67" s="655" t="n"/>
      <c r="B67" s="655" t="n"/>
      <c r="C67" s="1080" t="inlineStr">
        <is>
          <t>3.6.3</t>
        </is>
      </c>
      <c r="D67" s="397" t="inlineStr">
        <is>
          <t>в т.ч. из сырья ПАО "Газпром нефть" (покупка газа)</t>
        </is>
      </c>
      <c r="E67" s="15" t="inlineStr">
        <is>
          <t>100332998</t>
        </is>
      </c>
      <c r="F67" s="15" t="n"/>
      <c r="G67" s="16" t="n"/>
      <c r="H67" s="776" t="n"/>
      <c r="I67" s="636" t="n"/>
      <c r="J67" s="17" t="n"/>
      <c r="K67" s="225" t="inlineStr">
        <is>
          <t>тыс.т.</t>
        </is>
      </c>
    </row>
    <row r="68" ht="18.75" customHeight="1" s="904">
      <c r="A68" s="655" t="n"/>
      <c r="B68" s="655" t="n"/>
      <c r="C68" s="1080" t="inlineStr">
        <is>
          <t>3.6.4</t>
        </is>
      </c>
      <c r="D68" s="397" t="inlineStr">
        <is>
          <t>в т.ч. из сырья ПАО "Газпром нефть" (переработка газа)</t>
        </is>
      </c>
      <c r="E68" s="15" t="inlineStr">
        <is>
          <t>100332903</t>
        </is>
      </c>
      <c r="F68" s="15" t="n"/>
      <c r="G68" s="16" t="n"/>
      <c r="H68" s="776" t="n"/>
      <c r="I68" s="636" t="n"/>
      <c r="J68" s="17" t="n"/>
      <c r="K68" s="225" t="inlineStr">
        <is>
          <t>тыс.т.</t>
        </is>
      </c>
    </row>
    <row r="69" ht="18.75" customHeight="1" s="904">
      <c r="A69" s="655" t="n"/>
      <c r="B69" s="655" t="n"/>
      <c r="C69" s="1088" t="inlineStr">
        <is>
          <t>3.7</t>
        </is>
      </c>
      <c r="D69" s="1092" t="inlineStr">
        <is>
          <t>Газ деэтанизации (выработано)</t>
        </is>
      </c>
      <c r="E69" s="15" t="n">
        <v>100337158</v>
      </c>
      <c r="F69" s="15" t="n"/>
      <c r="G69" s="16" t="n"/>
      <c r="H69" s="776" t="inlineStr">
        <is>
          <t>100337162+100337164+100337166+100337170</t>
        </is>
      </c>
      <c r="I69" s="636" t="n"/>
      <c r="J69" s="17" t="n"/>
      <c r="K69" s="141" t="inlineStr">
        <is>
          <t>тыс.т.</t>
        </is>
      </c>
    </row>
    <row r="70" ht="18.75" customHeight="1" s="904">
      <c r="A70" s="655" t="n"/>
      <c r="B70" s="655" t="n"/>
      <c r="C70" s="964" t="n"/>
      <c r="D70" s="906" t="n"/>
      <c r="E70" s="15" t="n">
        <v>100337159</v>
      </c>
      <c r="F70" s="15" t="n"/>
      <c r="G70" s="16" t="n"/>
      <c r="H70" s="776" t="inlineStr">
        <is>
          <t>100337163+100337165+100337167+100337171</t>
        </is>
      </c>
      <c r="I70" s="636" t="n"/>
      <c r="J70" s="17" t="n"/>
      <c r="K70" s="587" t="inlineStr">
        <is>
          <t>млн куб.м</t>
        </is>
      </c>
    </row>
    <row r="71" ht="18.75" customHeight="1" s="904">
      <c r="A71" s="655" t="n"/>
      <c r="B71" s="655" t="n"/>
      <c r="C71" s="1081" t="inlineStr">
        <is>
          <t>3.7.1</t>
        </is>
      </c>
      <c r="D71" s="1082" t="inlineStr">
        <is>
          <t>собственность АО "Газпром добыча Томск"</t>
        </is>
      </c>
      <c r="E71" s="15" t="n">
        <v>100337160</v>
      </c>
      <c r="F71" s="15" t="n"/>
      <c r="G71" s="16" t="n"/>
      <c r="H71" s="776" t="inlineStr">
        <is>
          <t>100337162+100337164+100337166</t>
        </is>
      </c>
      <c r="I71" s="636" t="n"/>
      <c r="J71" s="17" t="n"/>
      <c r="K71" s="225" t="inlineStr">
        <is>
          <t>тыс.т.</t>
        </is>
      </c>
    </row>
    <row r="72" ht="18.75" customHeight="1" s="904">
      <c r="A72" s="655" t="n"/>
      <c r="B72" s="655" t="n"/>
      <c r="C72" s="964" t="n"/>
      <c r="D72" s="916" t="n"/>
      <c r="E72" s="15" t="n">
        <v>100337161</v>
      </c>
      <c r="F72" s="15" t="n"/>
      <c r="G72" s="16" t="n"/>
      <c r="H72" s="776" t="inlineStr">
        <is>
          <t>100337163+100337165+100337167</t>
        </is>
      </c>
      <c r="I72" s="636" t="n"/>
      <c r="J72" s="17" t="n"/>
      <c r="K72" s="588" t="inlineStr">
        <is>
          <t>млн куб.м</t>
        </is>
      </c>
    </row>
    <row r="73" ht="18.75" customHeight="1" s="904">
      <c r="A73" s="655" t="n"/>
      <c r="B73" s="655" t="n"/>
      <c r="C73" s="1081" t="inlineStr">
        <is>
          <t>3.7.1.1.</t>
        </is>
      </c>
      <c r="D73" s="1085" t="inlineStr">
        <is>
          <t xml:space="preserve">   в т.ч. из НГК</t>
        </is>
      </c>
      <c r="E73" s="15" t="n">
        <v>100337162</v>
      </c>
      <c r="F73" s="15" t="n"/>
      <c r="G73" s="16" t="n"/>
      <c r="H73" s="776" t="n"/>
      <c r="I73" s="636" t="n"/>
      <c r="J73" s="17" t="n"/>
      <c r="K73" s="225" t="inlineStr">
        <is>
          <t>тыс.т.</t>
        </is>
      </c>
    </row>
    <row r="74" ht="18.75" customHeight="1" s="904">
      <c r="A74" s="655" t="n"/>
      <c r="B74" s="655" t="n"/>
      <c r="C74" s="964" t="n"/>
      <c r="D74" s="916" t="n"/>
      <c r="E74" s="15" t="n">
        <v>100337163</v>
      </c>
      <c r="F74" s="15" t="n"/>
      <c r="G74" s="16" t="n"/>
      <c r="H74" s="776" t="n"/>
      <c r="I74" s="636" t="n"/>
      <c r="J74" s="17" t="n"/>
      <c r="K74" s="588" t="inlineStr">
        <is>
          <t>млн куб.м</t>
        </is>
      </c>
    </row>
    <row r="75" ht="18.75" customHeight="1" s="904">
      <c r="A75" s="655" t="n"/>
      <c r="B75" s="655" t="n"/>
      <c r="C75" s="1081" t="inlineStr">
        <is>
          <t>3.7.1.2.</t>
        </is>
      </c>
      <c r="D75" s="1085" t="inlineStr">
        <is>
          <t xml:space="preserve">   в т.ч. из ПНГ</t>
        </is>
      </c>
      <c r="E75" s="15" t="n">
        <v>100337164</v>
      </c>
      <c r="F75" s="15" t="n"/>
      <c r="G75" s="16" t="n"/>
      <c r="H75" s="776" t="n"/>
      <c r="I75" s="636" t="n"/>
      <c r="J75" s="17" t="n"/>
      <c r="K75" s="225" t="inlineStr">
        <is>
          <t>тыс.т.</t>
        </is>
      </c>
    </row>
    <row r="76" ht="18.75" customHeight="1" s="904">
      <c r="A76" s="655" t="n"/>
      <c r="B76" s="655" t="n"/>
      <c r="C76" s="964" t="n"/>
      <c r="D76" s="916" t="n"/>
      <c r="E76" s="15" t="n">
        <v>100337165</v>
      </c>
      <c r="F76" s="15" t="n"/>
      <c r="G76" s="16" t="n"/>
      <c r="H76" s="776" t="n"/>
      <c r="I76" s="636" t="n"/>
      <c r="J76" s="17" t="n"/>
      <c r="K76" s="588" t="inlineStr">
        <is>
          <t>млн куб.м</t>
        </is>
      </c>
    </row>
    <row r="77" ht="18.75" customHeight="1" s="904">
      <c r="A77" s="655" t="n"/>
      <c r="B77" s="655" t="n"/>
      <c r="C77" s="1081" t="inlineStr">
        <is>
          <t>3.7.1.3.</t>
        </is>
      </c>
      <c r="D77" s="1089" t="inlineStr">
        <is>
          <t>в т.ч из сырья ПАО "Газпром нефть" (покупка газа)</t>
        </is>
      </c>
      <c r="E77" s="15" t="n">
        <v>100337166</v>
      </c>
      <c r="F77" s="15" t="n"/>
      <c r="G77" s="16" t="n"/>
      <c r="H77" s="776" t="n"/>
      <c r="I77" s="636" t="n"/>
      <c r="J77" s="17" t="n"/>
      <c r="K77" s="225" t="inlineStr">
        <is>
          <t>тыс.т.</t>
        </is>
      </c>
    </row>
    <row r="78" ht="18.75" customHeight="1" s="904">
      <c r="A78" s="655" t="n"/>
      <c r="B78" s="655" t="n"/>
      <c r="C78" s="964" t="n"/>
      <c r="D78" s="916" t="n"/>
      <c r="E78" s="15" t="n">
        <v>100337167</v>
      </c>
      <c r="F78" s="15" t="n"/>
      <c r="G78" s="16" t="n"/>
      <c r="H78" s="776" t="n"/>
      <c r="I78" s="636" t="n"/>
      <c r="J78" s="17" t="n"/>
      <c r="K78" s="588" t="inlineStr">
        <is>
          <t>млн куб.м</t>
        </is>
      </c>
    </row>
    <row r="79" ht="18.75" customHeight="1" s="904">
      <c r="A79" s="655" t="n"/>
      <c r="B79" s="655" t="n"/>
      <c r="C79" s="1081" t="inlineStr">
        <is>
          <t>3.7.2.</t>
        </is>
      </c>
      <c r="D79" s="1082" t="inlineStr">
        <is>
          <t>собственность ПАО "Газпром нефть"</t>
        </is>
      </c>
      <c r="E79" s="15" t="n">
        <v>100337168</v>
      </c>
      <c r="F79" s="15" t="n"/>
      <c r="G79" s="16" t="n"/>
      <c r="H79" s="776" t="n">
        <v>100337170</v>
      </c>
      <c r="I79" s="636" t="n"/>
      <c r="J79" s="17" t="n"/>
      <c r="K79" s="225" t="inlineStr">
        <is>
          <t>тыс.т.</t>
        </is>
      </c>
    </row>
    <row r="80" ht="18.75" customHeight="1" s="904">
      <c r="A80" s="655" t="n"/>
      <c r="B80" s="655" t="n"/>
      <c r="C80" s="964" t="n"/>
      <c r="D80" s="916" t="n"/>
      <c r="E80" s="15" t="n">
        <v>100337169</v>
      </c>
      <c r="F80" s="15" t="n"/>
      <c r="G80" s="16" t="n"/>
      <c r="H80" s="776" t="n">
        <v>100337171</v>
      </c>
      <c r="I80" s="636" t="n"/>
      <c r="J80" s="17" t="n"/>
      <c r="K80" s="588" t="inlineStr">
        <is>
          <t>млн куб.м</t>
        </is>
      </c>
    </row>
    <row r="81" ht="18.75" customHeight="1" s="904">
      <c r="A81" s="655" t="n"/>
      <c r="B81" s="655" t="n"/>
      <c r="C81" s="1081" t="inlineStr">
        <is>
          <t>3.7.2.1.</t>
        </is>
      </c>
      <c r="D81" s="1090" t="inlineStr">
        <is>
          <t>в т.ч. из сырья ПАО "Газпром нефть" (переработка газа)</t>
        </is>
      </c>
      <c r="E81" s="15" t="n">
        <v>100337170</v>
      </c>
      <c r="F81" s="15" t="n"/>
      <c r="G81" s="16" t="n"/>
      <c r="H81" s="776" t="n"/>
      <c r="I81" s="636" t="n"/>
      <c r="J81" s="17" t="n"/>
      <c r="K81" s="225" t="inlineStr">
        <is>
          <t>тыс.т.</t>
        </is>
      </c>
    </row>
    <row r="82" ht="18.75" customHeight="1" s="904">
      <c r="A82" s="655" t="n"/>
      <c r="B82" s="655" t="n"/>
      <c r="C82" s="964" t="n"/>
      <c r="D82" s="916" t="n"/>
      <c r="E82" s="15" t="n">
        <v>100337171</v>
      </c>
      <c r="F82" s="15" t="n"/>
      <c r="G82" s="16" t="n"/>
      <c r="H82" s="776" t="n"/>
      <c r="I82" s="636" t="n"/>
      <c r="J82" s="17" t="n"/>
      <c r="K82" s="588" t="inlineStr">
        <is>
          <t>млн куб.м</t>
        </is>
      </c>
    </row>
    <row r="83" ht="18.75" customHeight="1" s="904">
      <c r="A83" s="655" t="n"/>
      <c r="B83" s="655" t="n"/>
      <c r="C83" s="1083" t="inlineStr">
        <is>
          <t>3.8</t>
        </is>
      </c>
      <c r="D83" s="1052" t="inlineStr">
        <is>
          <t>Газ деэтанизации (в газопровод)</t>
        </is>
      </c>
      <c r="E83" s="15" t="inlineStr">
        <is>
          <t>100330749</t>
        </is>
      </c>
      <c r="F83" s="15" t="n"/>
      <c r="G83" s="16" t="n"/>
      <c r="H83" s="776" t="inlineStr">
        <is>
          <t>100336356+100336358+100332936+100333001</t>
        </is>
      </c>
      <c r="I83" s="636" t="n"/>
      <c r="J83" s="17" t="n"/>
      <c r="K83" s="141" t="inlineStr">
        <is>
          <t>тыс.т.</t>
        </is>
      </c>
    </row>
    <row r="84" ht="18.75" customHeight="1" s="904">
      <c r="A84" s="655" t="n"/>
      <c r="B84" s="655" t="n"/>
      <c r="C84" s="964" t="n"/>
      <c r="D84" s="916" t="n"/>
      <c r="E84" s="15" t="inlineStr">
        <is>
          <t>100330750</t>
        </is>
      </c>
      <c r="F84" s="15" t="n"/>
      <c r="G84" s="16" t="n"/>
      <c r="H84" s="776" t="inlineStr">
        <is>
          <t>100336357+100336359+100332937+100333002</t>
        </is>
      </c>
      <c r="I84" s="636" t="n"/>
      <c r="J84" s="17" t="n"/>
      <c r="K84" s="587" t="inlineStr">
        <is>
          <t>млн куб.м</t>
        </is>
      </c>
    </row>
    <row r="85" ht="18.75" customHeight="1" s="904">
      <c r="A85" s="655" t="n"/>
      <c r="B85" s="655" t="n"/>
      <c r="C85" s="1010" t="inlineStr">
        <is>
          <t>3.8.1</t>
        </is>
      </c>
      <c r="D85" s="1082" t="inlineStr">
        <is>
          <t>собственность АО "Газпром добыча Томск"</t>
        </is>
      </c>
      <c r="E85" s="15" t="inlineStr">
        <is>
          <t>100336371</t>
        </is>
      </c>
      <c r="F85" s="15" t="n"/>
      <c r="G85" s="16" t="n"/>
      <c r="H85" s="776" t="inlineStr">
        <is>
          <t>100336356+100336358+100333001</t>
        </is>
      </c>
      <c r="I85" s="636" t="n"/>
      <c r="J85" s="17" t="n"/>
      <c r="K85" s="225" t="inlineStr">
        <is>
          <t>тыс.т.</t>
        </is>
      </c>
    </row>
    <row r="86" ht="18.75" customHeight="1" s="904">
      <c r="A86" s="655" t="n"/>
      <c r="B86" s="655" t="n"/>
      <c r="C86" s="964" t="n"/>
      <c r="D86" s="916" t="n"/>
      <c r="E86" s="15" t="inlineStr">
        <is>
          <t>100336372</t>
        </is>
      </c>
      <c r="F86" s="15" t="n"/>
      <c r="G86" s="16" t="n"/>
      <c r="H86" s="776" t="inlineStr">
        <is>
          <t>100336357+100336359+100333002</t>
        </is>
      </c>
      <c r="I86" s="636" t="n"/>
      <c r="J86" s="17" t="n"/>
      <c r="K86" s="588" t="inlineStr">
        <is>
          <t>млн куб.м</t>
        </is>
      </c>
    </row>
    <row r="87" ht="18.75" customHeight="1" s="904">
      <c r="A87" s="655" t="n"/>
      <c r="B87" s="655" t="n"/>
      <c r="C87" s="1010" t="inlineStr">
        <is>
          <t>3.8.1.1.</t>
        </is>
      </c>
      <c r="D87" s="1085" t="inlineStr">
        <is>
          <t xml:space="preserve">   в т.ч. из НГК</t>
        </is>
      </c>
      <c r="E87" s="15" t="inlineStr">
        <is>
          <t>100336356</t>
        </is>
      </c>
      <c r="F87" s="15" t="n"/>
      <c r="G87" s="16" t="n"/>
      <c r="H87" s="776" t="n"/>
      <c r="I87" s="636" t="n"/>
      <c r="J87" s="17" t="n"/>
      <c r="K87" s="225" t="inlineStr">
        <is>
          <t>тыс.т.</t>
        </is>
      </c>
    </row>
    <row r="88" ht="18.75" customHeight="1" s="904">
      <c r="A88" s="655" t="n"/>
      <c r="B88" s="655" t="n"/>
      <c r="C88" s="964" t="n"/>
      <c r="D88" s="916" t="n"/>
      <c r="E88" s="15" t="inlineStr">
        <is>
          <t>100336357</t>
        </is>
      </c>
      <c r="F88" s="15" t="n"/>
      <c r="G88" s="16" t="n"/>
      <c r="H88" s="776" t="n"/>
      <c r="I88" s="636" t="n"/>
      <c r="J88" s="17" t="n"/>
      <c r="K88" s="588" t="inlineStr">
        <is>
          <t>млн куб.м</t>
        </is>
      </c>
    </row>
    <row r="89" ht="18.75" customHeight="1" s="904">
      <c r="A89" s="655" t="n"/>
      <c r="B89" s="655" t="n"/>
      <c r="C89" s="1010" t="inlineStr">
        <is>
          <t>3.8.1.2.</t>
        </is>
      </c>
      <c r="D89" s="1085" t="inlineStr">
        <is>
          <t xml:space="preserve">   в т.ч. из ПНГ</t>
        </is>
      </c>
      <c r="E89" s="15" t="inlineStr">
        <is>
          <t>100336358</t>
        </is>
      </c>
      <c r="F89" s="15" t="n"/>
      <c r="G89" s="16" t="n"/>
      <c r="H89" s="776" t="n"/>
      <c r="I89" s="636" t="n"/>
      <c r="J89" s="17" t="n"/>
      <c r="K89" s="225" t="inlineStr">
        <is>
          <t>тыс.т.</t>
        </is>
      </c>
    </row>
    <row r="90" ht="18.75" customHeight="1" s="904">
      <c r="A90" s="655" t="n"/>
      <c r="B90" s="655" t="n"/>
      <c r="C90" s="964" t="n"/>
      <c r="D90" s="916" t="n"/>
      <c r="E90" s="15" t="inlineStr">
        <is>
          <t>100336359</t>
        </is>
      </c>
      <c r="F90" s="15" t="n"/>
      <c r="G90" s="16" t="n"/>
      <c r="H90" s="776" t="n"/>
      <c r="I90" s="636" t="n"/>
      <c r="J90" s="17" t="n"/>
      <c r="K90" s="588" t="inlineStr">
        <is>
          <t>млн куб.м</t>
        </is>
      </c>
    </row>
    <row r="91" ht="18.75" customHeight="1" s="904">
      <c r="A91" s="655" t="n"/>
      <c r="B91" s="655" t="n"/>
      <c r="C91" s="1010" t="inlineStr">
        <is>
          <t>3.8.1.3.</t>
        </is>
      </c>
      <c r="D91" s="1089" t="inlineStr">
        <is>
          <t>в т.ч из сырья ПАО "Газпром нефть" (покупка газа)</t>
        </is>
      </c>
      <c r="E91" s="15" t="inlineStr">
        <is>
          <t>100333001</t>
        </is>
      </c>
      <c r="F91" s="15" t="n"/>
      <c r="G91" s="16" t="n"/>
      <c r="H91" s="776" t="n"/>
      <c r="I91" s="636" t="n"/>
      <c r="J91" s="17" t="n"/>
      <c r="K91" s="225" t="inlineStr">
        <is>
          <t>тыс.т.</t>
        </is>
      </c>
    </row>
    <row r="92" ht="18.75" customHeight="1" s="904">
      <c r="A92" s="655" t="n"/>
      <c r="B92" s="655" t="n"/>
      <c r="C92" s="964" t="n"/>
      <c r="D92" s="916" t="n"/>
      <c r="E92" s="15" t="inlineStr">
        <is>
          <t>100333002</t>
        </is>
      </c>
      <c r="F92" s="15" t="n"/>
      <c r="G92" s="16" t="n"/>
      <c r="H92" s="776" t="n"/>
      <c r="I92" s="636" t="n"/>
      <c r="J92" s="17" t="n"/>
      <c r="K92" s="588" t="inlineStr">
        <is>
          <t>млн куб.м</t>
        </is>
      </c>
    </row>
    <row r="93" ht="18.75" customHeight="1" s="904">
      <c r="A93" s="655" t="n"/>
      <c r="B93" s="655" t="n"/>
      <c r="C93" s="1010" t="inlineStr">
        <is>
          <t>3.8.2.</t>
        </is>
      </c>
      <c r="D93" s="1082" t="inlineStr">
        <is>
          <t>собственность ПАО "Газпром нефть"</t>
        </is>
      </c>
      <c r="E93" s="15" t="inlineStr">
        <is>
          <t>100336373</t>
        </is>
      </c>
      <c r="F93" s="15" t="n"/>
      <c r="G93" s="16" t="n"/>
      <c r="H93" s="776" t="inlineStr">
        <is>
          <t>100332936</t>
        </is>
      </c>
      <c r="I93" s="636" t="n"/>
      <c r="J93" s="17" t="n"/>
      <c r="K93" s="225" t="inlineStr">
        <is>
          <t>тыс.т.</t>
        </is>
      </c>
    </row>
    <row r="94" ht="18.75" customHeight="1" s="904">
      <c r="A94" s="655" t="n"/>
      <c r="B94" s="655" t="n"/>
      <c r="C94" s="964" t="n"/>
      <c r="D94" s="916" t="n"/>
      <c r="E94" s="15" t="inlineStr">
        <is>
          <t>100336374</t>
        </is>
      </c>
      <c r="F94" s="15" t="n"/>
      <c r="G94" s="16" t="n"/>
      <c r="H94" s="776" t="inlineStr">
        <is>
          <t>100332937</t>
        </is>
      </c>
      <c r="I94" s="636" t="n"/>
      <c r="J94" s="17" t="n"/>
      <c r="K94" s="588" t="inlineStr">
        <is>
          <t>млн куб.м</t>
        </is>
      </c>
    </row>
    <row r="95" ht="18.75" customHeight="1" s="904">
      <c r="A95" s="655" t="n"/>
      <c r="B95" s="655" t="n"/>
      <c r="C95" s="1010" t="inlineStr">
        <is>
          <t>3.8.2.1.</t>
        </is>
      </c>
      <c r="D95" s="1090" t="inlineStr">
        <is>
          <t>в т.ч. из сырья ПАО "Газпром нефть" (переработка газа)</t>
        </is>
      </c>
      <c r="E95" s="15" t="inlineStr">
        <is>
          <t>100332936</t>
        </is>
      </c>
      <c r="F95" s="15" t="n"/>
      <c r="G95" s="16" t="n"/>
      <c r="H95" s="776" t="n"/>
      <c r="I95" s="636" t="n"/>
      <c r="J95" s="17" t="n"/>
      <c r="K95" s="225" t="inlineStr">
        <is>
          <t>тыс.т.</t>
        </is>
      </c>
    </row>
    <row r="96" ht="18.75" customHeight="1" s="904">
      <c r="A96" s="655" t="n"/>
      <c r="B96" s="655" t="n"/>
      <c r="C96" s="964" t="n"/>
      <c r="D96" s="916" t="n"/>
      <c r="E96" s="15" t="inlineStr">
        <is>
          <t>100332937</t>
        </is>
      </c>
      <c r="F96" s="15" t="n"/>
      <c r="G96" s="16" t="n"/>
      <c r="H96" s="776" t="n"/>
      <c r="I96" s="636" t="n"/>
      <c r="J96" s="17" t="n"/>
      <c r="K96" s="588" t="inlineStr">
        <is>
          <t>млн куб.м</t>
        </is>
      </c>
    </row>
    <row r="97" ht="18.75" customHeight="1" s="904">
      <c r="A97" s="655" t="n"/>
      <c r="B97" s="655" t="n"/>
      <c r="C97" s="1083" t="inlineStr">
        <is>
          <t>3.9.</t>
        </is>
      </c>
      <c r="D97" s="1091" t="inlineStr">
        <is>
          <t>Газ горючий природный сухой отбензиненный, всего:</t>
        </is>
      </c>
      <c r="E97" s="15" t="inlineStr">
        <is>
          <t>100332342</t>
        </is>
      </c>
      <c r="F97" s="15" t="n"/>
      <c r="G97" s="16" t="n"/>
      <c r="H97" s="776" t="inlineStr">
        <is>
          <t>100336360+100332418+100333003</t>
        </is>
      </c>
      <c r="I97" s="636" t="n"/>
      <c r="J97" s="17" t="n"/>
      <c r="K97" s="141" t="inlineStr">
        <is>
          <t>тыс.т.</t>
        </is>
      </c>
    </row>
    <row r="98" ht="18.75" customHeight="1" s="904">
      <c r="A98" s="655" t="n"/>
      <c r="B98" s="655" t="n"/>
      <c r="C98" s="964" t="n"/>
      <c r="D98" s="916" t="n"/>
      <c r="E98" s="15" t="inlineStr">
        <is>
          <t>100330751</t>
        </is>
      </c>
      <c r="F98" s="15" t="n"/>
      <c r="G98" s="16" t="n"/>
      <c r="H98" s="776" t="inlineStr">
        <is>
          <t>100336361+100330752+100333004</t>
        </is>
      </c>
      <c r="I98" s="636" t="n"/>
      <c r="J98" s="17" t="n"/>
      <c r="K98" s="587" t="inlineStr">
        <is>
          <t>млн куб.м</t>
        </is>
      </c>
    </row>
    <row r="99" ht="18.75" customHeight="1" s="904">
      <c r="A99" s="655" t="n"/>
      <c r="B99" s="655" t="n"/>
      <c r="C99" s="1010" t="inlineStr">
        <is>
          <t>3.9.1.</t>
        </is>
      </c>
      <c r="D99" s="1082" t="inlineStr">
        <is>
          <t>собственность АО "Газпром добыча Томск"</t>
        </is>
      </c>
      <c r="E99" s="15" t="inlineStr">
        <is>
          <t>100336375</t>
        </is>
      </c>
      <c r="F99" s="15" t="n"/>
      <c r="G99" s="16" t="n"/>
      <c r="H99" s="776" t="inlineStr">
        <is>
          <t>100336360+100333003</t>
        </is>
      </c>
      <c r="I99" s="636" t="n"/>
      <c r="J99" s="17" t="n"/>
      <c r="K99" s="136" t="inlineStr">
        <is>
          <t>тыс.т.</t>
        </is>
      </c>
    </row>
    <row r="100" ht="18.75" customHeight="1" s="904">
      <c r="A100" s="655" t="n"/>
      <c r="B100" s="655" t="n"/>
      <c r="C100" s="964" t="n"/>
      <c r="D100" s="916" t="n"/>
      <c r="E100" s="15" t="inlineStr">
        <is>
          <t>100336376</t>
        </is>
      </c>
      <c r="F100" s="15" t="n"/>
      <c r="G100" s="16" t="n"/>
      <c r="H100" s="776" t="inlineStr">
        <is>
          <t>100336361+100333004</t>
        </is>
      </c>
      <c r="I100" s="636" t="n"/>
      <c r="J100" s="17" t="n"/>
      <c r="K100" s="588" t="inlineStr">
        <is>
          <t>млн куб.м</t>
        </is>
      </c>
    </row>
    <row r="101" ht="18.75" customHeight="1" s="904">
      <c r="A101" s="655" t="n"/>
      <c r="B101" s="655" t="n"/>
      <c r="C101" s="1010" t="inlineStr">
        <is>
          <t>3.9.1.1.</t>
        </is>
      </c>
      <c r="D101" s="1084" t="inlineStr">
        <is>
          <t xml:space="preserve">   в т.ч. из ПНГ</t>
        </is>
      </c>
      <c r="E101" s="15" t="inlineStr">
        <is>
          <t>100336360</t>
        </is>
      </c>
      <c r="F101" s="15" t="n"/>
      <c r="G101" s="16" t="n"/>
      <c r="H101" s="776" t="n"/>
      <c r="I101" s="636" t="n"/>
      <c r="J101" s="17" t="n"/>
      <c r="K101" s="136" t="inlineStr">
        <is>
          <t>тыс.т.</t>
        </is>
      </c>
    </row>
    <row r="102" ht="18.75" customHeight="1" s="904">
      <c r="A102" s="655" t="n"/>
      <c r="B102" s="655" t="n"/>
      <c r="C102" s="964" t="n"/>
      <c r="D102" s="916" t="n"/>
      <c r="E102" s="15" t="inlineStr">
        <is>
          <t>100336361</t>
        </is>
      </c>
      <c r="F102" s="15" t="n"/>
      <c r="G102" s="16" t="n"/>
      <c r="H102" s="776" t="n"/>
      <c r="I102" s="636" t="n"/>
      <c r="J102" s="17" t="n"/>
      <c r="K102" s="588" t="inlineStr">
        <is>
          <t>млн куб.м</t>
        </is>
      </c>
    </row>
    <row r="103" ht="18.75" customHeight="1" s="904">
      <c r="A103" s="655" t="n"/>
      <c r="B103" s="655" t="n"/>
      <c r="C103" s="1010" t="inlineStr">
        <is>
          <t>3.9.1.2.</t>
        </is>
      </c>
      <c r="D103" s="1087" t="inlineStr">
        <is>
          <t>в т.ч из сырья ПАО "Газпром нефть" (покупка газа)</t>
        </is>
      </c>
      <c r="E103" s="15" t="inlineStr">
        <is>
          <t>100333003</t>
        </is>
      </c>
      <c r="F103" s="15" t="n"/>
      <c r="G103" s="16" t="n"/>
      <c r="H103" s="776" t="n"/>
      <c r="I103" s="636" t="n"/>
      <c r="J103" s="17" t="n"/>
      <c r="K103" s="136" t="inlineStr">
        <is>
          <t>тыс.т.</t>
        </is>
      </c>
    </row>
    <row r="104" ht="18.75" customHeight="1" s="904">
      <c r="A104" s="655" t="n"/>
      <c r="B104" s="655" t="n"/>
      <c r="C104" s="964" t="n"/>
      <c r="D104" s="916" t="n"/>
      <c r="E104" s="15" t="inlineStr">
        <is>
          <t>100333004</t>
        </is>
      </c>
      <c r="F104" s="15" t="n"/>
      <c r="G104" s="16" t="n"/>
      <c r="H104" s="776" t="n"/>
      <c r="I104" s="636" t="n"/>
      <c r="J104" s="17" t="n"/>
      <c r="K104" s="588" t="inlineStr">
        <is>
          <t>млн куб.м</t>
        </is>
      </c>
    </row>
    <row r="105" ht="18.75" customHeight="1" s="904">
      <c r="A105" s="655" t="n"/>
      <c r="B105" s="655" t="n"/>
      <c r="C105" s="1010" t="inlineStr">
        <is>
          <t>3.9.2.</t>
        </is>
      </c>
      <c r="D105" s="1082" t="inlineStr">
        <is>
          <t>собственность ПАО "Газпром нефть"</t>
        </is>
      </c>
      <c r="E105" s="15" t="inlineStr">
        <is>
          <t>100336377</t>
        </is>
      </c>
      <c r="F105" s="15" t="n"/>
      <c r="G105" s="16" t="n"/>
      <c r="H105" s="776" t="inlineStr">
        <is>
          <t>100332418</t>
        </is>
      </c>
      <c r="I105" s="636" t="n"/>
      <c r="J105" s="17" t="n"/>
      <c r="K105" s="136" t="inlineStr">
        <is>
          <t>тыс.т.</t>
        </is>
      </c>
    </row>
    <row r="106" ht="18.75" customHeight="1" s="904">
      <c r="A106" s="655" t="n"/>
      <c r="B106" s="655" t="n"/>
      <c r="C106" s="964" t="n"/>
      <c r="D106" s="916" t="n"/>
      <c r="E106" s="15" t="inlineStr">
        <is>
          <t>100336378</t>
        </is>
      </c>
      <c r="F106" s="15" t="n"/>
      <c r="G106" s="16" t="n"/>
      <c r="H106" s="776" t="inlineStr">
        <is>
          <t>100330752</t>
        </is>
      </c>
      <c r="I106" s="636" t="n"/>
      <c r="J106" s="17" t="n"/>
      <c r="K106" s="588" t="inlineStr">
        <is>
          <t>млн куб.м</t>
        </is>
      </c>
    </row>
    <row r="107" ht="18.75" customHeight="1" s="904">
      <c r="A107" s="655" t="n"/>
      <c r="B107" s="655" t="n"/>
      <c r="C107" s="1010" t="inlineStr">
        <is>
          <t>3.9.2.1.</t>
        </is>
      </c>
      <c r="D107" s="1087" t="inlineStr">
        <is>
          <t>в т.ч. из сырья ПАО "Газпром нефть" (переработка газа)</t>
        </is>
      </c>
      <c r="E107" s="15" t="inlineStr">
        <is>
          <t>100332418</t>
        </is>
      </c>
      <c r="F107" s="15" t="n"/>
      <c r="G107" s="16" t="n"/>
      <c r="H107" s="776" t="n"/>
      <c r="I107" s="636" t="n"/>
      <c r="J107" s="17" t="n"/>
      <c r="K107" s="136" t="inlineStr">
        <is>
          <t>тыс.т.</t>
        </is>
      </c>
    </row>
    <row r="108" ht="18.75" customHeight="1" s="904">
      <c r="A108" s="655" t="n"/>
      <c r="B108" s="655" t="n"/>
      <c r="C108" s="964" t="n"/>
      <c r="D108" s="916" t="n"/>
      <c r="E108" s="15" t="inlineStr">
        <is>
          <t>100330752</t>
        </is>
      </c>
      <c r="F108" s="15" t="n"/>
      <c r="G108" s="16" t="n"/>
      <c r="H108" s="776" t="n"/>
      <c r="I108" s="636" t="n"/>
      <c r="J108" s="17" t="n"/>
      <c r="K108" s="588" t="inlineStr">
        <is>
          <t>млн куб.м</t>
        </is>
      </c>
    </row>
    <row r="109" ht="18.75" customHeight="1" s="904">
      <c r="A109" s="655" t="n"/>
      <c r="B109" s="655" t="n"/>
      <c r="C109" s="1083" t="inlineStr">
        <is>
          <t>3.10.</t>
        </is>
      </c>
      <c r="D109" s="405" t="inlineStr">
        <is>
          <t>Поступило ШФЛУ на склад</t>
        </is>
      </c>
      <c r="E109" s="15" t="inlineStr">
        <is>
          <t>100336362</t>
        </is>
      </c>
      <c r="F109" s="15" t="n"/>
      <c r="G109" s="16" t="n"/>
      <c r="H109" s="776" t="inlineStr">
        <is>
          <t>100330748</t>
        </is>
      </c>
      <c r="I109" s="636" t="n"/>
      <c r="J109" s="17" t="n"/>
      <c r="K109" s="588" t="inlineStr">
        <is>
          <t>тыс.т.</t>
        </is>
      </c>
    </row>
    <row r="110" ht="18.75" customHeight="1" s="904">
      <c r="A110" s="655" t="n"/>
      <c r="B110" s="655" t="n"/>
      <c r="C110" s="1083" t="inlineStr">
        <is>
          <t>3.11.</t>
        </is>
      </c>
      <c r="D110" s="405" t="inlineStr">
        <is>
          <t>Поступило ШФЛУ со склада</t>
        </is>
      </c>
      <c r="E110" s="15" t="inlineStr">
        <is>
          <t>100336363</t>
        </is>
      </c>
      <c r="F110" s="15" t="n"/>
      <c r="G110" s="16" t="n"/>
      <c r="H110" s="776" t="inlineStr">
        <is>
          <t>100330748</t>
        </is>
      </c>
      <c r="I110" s="636" t="n"/>
      <c r="J110" s="17" t="n"/>
      <c r="K110" s="588" t="inlineStr">
        <is>
          <t>тыс.т.</t>
        </is>
      </c>
    </row>
    <row r="111" ht="18.75" customHeight="1" s="904">
      <c r="A111" s="655" t="n"/>
      <c r="B111" s="655" t="n"/>
      <c r="C111" s="653" t="inlineStr">
        <is>
          <t>4.</t>
        </is>
      </c>
      <c r="D111" s="164" t="inlineStr">
        <is>
          <t>Материальный баланс</t>
        </is>
      </c>
      <c r="E111" s="15" t="inlineStr">
        <is>
          <t>100336364</t>
        </is>
      </c>
      <c r="F111" s="15" t="n"/>
      <c r="G111" s="16" t="n"/>
      <c r="H111" s="776" t="inlineStr">
        <is>
          <t>100336330-100336334-100330049</t>
        </is>
      </c>
      <c r="I111" s="636" t="n"/>
      <c r="J111" s="17" t="n"/>
      <c r="K111" s="162" t="inlineStr">
        <is>
          <t>тыс.т.</t>
        </is>
      </c>
    </row>
    <row r="112" ht="18.75" customHeight="1" s="904">
      <c r="A112" s="655" t="n"/>
      <c r="B112" s="655" t="n"/>
      <c r="C112" s="1088" t="inlineStr">
        <is>
          <t>5.1.</t>
        </is>
      </c>
      <c r="D112" s="967" t="inlineStr">
        <is>
          <t>Газ, собственность Газпром Метанол</t>
        </is>
      </c>
      <c r="E112" s="15" t="inlineStr">
        <is>
          <t>100332338</t>
        </is>
      </c>
      <c r="F112" s="15" t="n"/>
      <c r="G112" s="16" t="n"/>
      <c r="H112" s="776" t="n"/>
      <c r="I112" s="636" t="n"/>
      <c r="J112" s="17" t="n"/>
      <c r="K112" s="1077" t="inlineStr">
        <is>
          <t>тыс.т.</t>
        </is>
      </c>
    </row>
    <row r="113" ht="18.75" customHeight="1" s="904">
      <c r="A113" s="655" t="n"/>
      <c r="B113" s="655" t="n"/>
      <c r="C113" s="964" t="n"/>
      <c r="D113" s="916" t="n"/>
      <c r="E113" s="15" t="n">
        <v>100330740</v>
      </c>
      <c r="F113" s="15" t="n"/>
      <c r="G113" s="16" t="n"/>
      <c r="H113" s="776" t="n"/>
      <c r="I113" s="636" t="n"/>
      <c r="J113" s="17" t="n"/>
      <c r="K113" s="587" t="inlineStr">
        <is>
          <t>млн куб.м</t>
        </is>
      </c>
    </row>
    <row r="114" ht="18.75" customHeight="1" s="904">
      <c r="A114" s="655" t="n"/>
      <c r="B114" s="655" t="n"/>
      <c r="C114" s="652" t="inlineStr">
        <is>
          <t>5.2.</t>
        </is>
      </c>
      <c r="D114" s="408" t="inlineStr">
        <is>
          <t>Метанол, собственность Газпром Метанол</t>
        </is>
      </c>
      <c r="E114" s="15" t="inlineStr">
        <is>
          <t>100330753</t>
        </is>
      </c>
      <c r="F114" s="15" t="n"/>
      <c r="G114" s="16" t="n"/>
      <c r="H114" s="776" t="n"/>
      <c r="I114" s="636" t="n"/>
      <c r="J114" s="17" t="n"/>
      <c r="K114" s="329" t="inlineStr">
        <is>
          <t>тыс.т.</t>
        </is>
      </c>
    </row>
    <row r="115" customFormat="1" s="1009">
      <c r="B115" s="1030" t="n"/>
      <c r="C115" s="1050" t="inlineStr">
        <is>
          <t>6</t>
        </is>
      </c>
      <c r="D115" s="409" t="inlineStr">
        <is>
          <t>Производство для реализации ПАО "Газпром":</t>
        </is>
      </c>
      <c r="E115" s="15" t="n"/>
      <c r="F115" s="15" t="n"/>
      <c r="G115" s="16" t="n"/>
      <c r="H115" s="776" t="n"/>
      <c r="I115" s="636" t="n"/>
      <c r="J115" s="17" t="n"/>
      <c r="K115" s="1077" t="inlineStr">
        <is>
          <t>тыс.т.</t>
        </is>
      </c>
    </row>
    <row r="116" ht="19.5" customHeight="1" s="904">
      <c r="C116" s="1050" t="n"/>
      <c r="D116" s="151" t="inlineStr">
        <is>
          <t>АО "Газпром добыча Томск"</t>
        </is>
      </c>
      <c r="E116" s="15" t="n"/>
      <c r="F116" s="15" t="inlineStr">
        <is>
          <t>V</t>
        </is>
      </c>
      <c r="G116" s="16" t="n"/>
      <c r="H116" s="776" t="inlineStr">
        <is>
          <t>100330747+100330748</t>
        </is>
      </c>
      <c r="I116" s="636" t="n"/>
      <c r="J116" s="17" t="n"/>
      <c r="K116" s="136" t="inlineStr">
        <is>
          <t>тыс.т.</t>
        </is>
      </c>
    </row>
    <row r="117" ht="19.5" customHeight="1" s="904">
      <c r="C117" s="1081" t="n"/>
      <c r="D117" s="410" t="inlineStr">
        <is>
          <t>ООО "Газпром Метанол"</t>
        </is>
      </c>
      <c r="E117" s="15" t="n"/>
      <c r="F117" s="15" t="inlineStr">
        <is>
          <t>V</t>
        </is>
      </c>
      <c r="G117" s="16" t="n"/>
      <c r="H117" s="776" t="inlineStr">
        <is>
          <t>100330753</t>
        </is>
      </c>
      <c r="I117" s="636" t="n"/>
      <c r="J117" s="17" t="n"/>
      <c r="K117" s="136" t="inlineStr">
        <is>
          <t>тыс.т.</t>
        </is>
      </c>
    </row>
    <row r="118" ht="39.75" customHeight="1" s="904">
      <c r="C118" s="1006" t="n">
        <v>7</v>
      </c>
      <c r="D118" s="185" t="inlineStr">
        <is>
          <t>Проверка с разделом "Добыча"</t>
        </is>
      </c>
      <c r="E118" s="15" t="n"/>
      <c r="F118" s="15" t="n"/>
      <c r="G118" s="16" t="n"/>
      <c r="H118" s="776" t="n"/>
      <c r="I118" s="636" t="n"/>
      <c r="J118" s="17" t="n"/>
      <c r="K118" s="1026" t="inlineStr">
        <is>
          <t>тыс.т.</t>
        </is>
      </c>
    </row>
    <row r="119" ht="20.25" customHeight="1" s="904">
      <c r="C119" s="656" t="n"/>
      <c r="D119" s="1068" t="inlineStr">
        <is>
          <t>Нестабильный газовый конденсат</t>
        </is>
      </c>
      <c r="E119" s="15" t="n"/>
      <c r="F119" s="15" t="n"/>
      <c r="G119" s="16" t="n"/>
      <c r="H119" s="776" t="n"/>
      <c r="I119" s="636" t="n"/>
      <c r="J119" s="17" t="n"/>
      <c r="K119" s="188" t="inlineStr">
        <is>
          <t>тыс.т.</t>
        </is>
      </c>
    </row>
    <row r="120" ht="39.75" customHeight="1" s="904">
      <c r="C120" s="1006" t="n">
        <v>8</v>
      </c>
      <c r="D120" s="185" t="inlineStr">
        <is>
          <t>Проверка материального баланса АО "Газпром добыча Томск"</t>
        </is>
      </c>
      <c r="E120" s="15" t="n"/>
      <c r="F120" s="15" t="n"/>
      <c r="G120" s="16" t="n"/>
      <c r="H120" s="776" t="n"/>
      <c r="I120" s="636" t="n"/>
      <c r="J120" s="17" t="n"/>
      <c r="K120" s="188" t="inlineStr">
        <is>
          <t>тыс.т.</t>
        </is>
      </c>
    </row>
    <row r="121" ht="20.25" customHeight="1" s="904">
      <c r="C121" s="656" t="n"/>
      <c r="D121" s="1068" t="inlineStr">
        <is>
          <t>Попутный нефтяной газ</t>
        </is>
      </c>
      <c r="E121" s="15" t="n"/>
      <c r="F121" s="15" t="inlineStr">
        <is>
          <t>V</t>
        </is>
      </c>
      <c r="G121" s="16" t="n"/>
      <c r="H121" s="776" t="inlineStr">
        <is>
          <t>100332340-100336345-100336358-100336360-100336336</t>
        </is>
      </c>
      <c r="I121" s="636" t="n"/>
      <c r="J121" s="17" t="n"/>
      <c r="K121" s="188" t="inlineStr">
        <is>
          <t>тыс.т.</t>
        </is>
      </c>
    </row>
    <row r="122" ht="20.25" customHeight="1" s="904">
      <c r="C122" s="656" t="n"/>
      <c r="D122" s="916" t="n"/>
      <c r="E122" s="15" t="n"/>
      <c r="F122" s="15" t="inlineStr">
        <is>
          <t>V</t>
        </is>
      </c>
      <c r="G122" s="16" t="n"/>
      <c r="H122" s="776" t="inlineStr">
        <is>
          <t>100330742-100336337-100336346-100336359-100336361</t>
        </is>
      </c>
      <c r="I122" s="636" t="n"/>
      <c r="J122" s="17" t="n"/>
      <c r="K122" s="188" t="inlineStr">
        <is>
          <t>млн куб.м</t>
        </is>
      </c>
    </row>
    <row r="123" ht="20.25" customHeight="1" s="904">
      <c r="C123" s="656" t="n"/>
      <c r="D123" s="1068" t="inlineStr">
        <is>
          <t>Нестабильный газовый конденсат</t>
        </is>
      </c>
      <c r="E123" s="15" t="n"/>
      <c r="F123" s="15" t="inlineStr">
        <is>
          <t>V</t>
        </is>
      </c>
      <c r="G123" s="16" t="n"/>
      <c r="H123" s="776" t="inlineStr">
        <is>
          <t>100330865-100330746-100336343-100336356</t>
        </is>
      </c>
      <c r="I123" s="636" t="n"/>
      <c r="J123" s="17" t="n"/>
      <c r="K123" s="188" t="inlineStr">
        <is>
          <t>тыс.т.</t>
        </is>
      </c>
    </row>
    <row r="124" ht="20.25" customHeight="1" s="904">
      <c r="C124" s="656" t="n"/>
      <c r="D124" s="1068" t="inlineStr">
        <is>
          <t>Нефть</t>
        </is>
      </c>
      <c r="E124" s="15" t="n"/>
      <c r="F124" s="15" t="inlineStr">
        <is>
          <t>V</t>
        </is>
      </c>
      <c r="G124" s="16" t="n"/>
      <c r="H124" s="776" t="inlineStr">
        <is>
          <t>100336332-100336338</t>
        </is>
      </c>
      <c r="I124" s="636" t="n"/>
      <c r="J124" s="17" t="n"/>
      <c r="K124" s="188" t="inlineStr">
        <is>
          <t>тыс.т.</t>
        </is>
      </c>
    </row>
    <row r="125" ht="20.25" customHeight="1" s="904">
      <c r="C125" s="656" t="n"/>
      <c r="D125" s="1068" t="inlineStr">
        <is>
          <t>Попутный нефтяной газ ПАО "Газпром нефть" (покупка газа)</t>
        </is>
      </c>
      <c r="E125" s="15" t="n"/>
      <c r="F125" s="15" t="inlineStr">
        <is>
          <t>V</t>
        </is>
      </c>
      <c r="G125" s="16" t="n"/>
      <c r="H125" s="776" t="inlineStr">
        <is>
          <t>100336365-100332995-100332997-100333001-100333003</t>
        </is>
      </c>
      <c r="I125" s="636" t="n"/>
      <c r="J125" s="17" t="n"/>
      <c r="K125" s="188" t="inlineStr">
        <is>
          <t>тыс.т.</t>
        </is>
      </c>
    </row>
    <row r="126" ht="20.25" customHeight="1" s="904">
      <c r="C126" s="656" t="n"/>
      <c r="D126" s="916" t="n"/>
      <c r="E126" s="15" t="n"/>
      <c r="F126" s="15" t="inlineStr">
        <is>
          <t>V</t>
        </is>
      </c>
      <c r="G126" s="16" t="n"/>
      <c r="H126" s="776" t="inlineStr">
        <is>
          <t>100336366-100333002-100336348-100333004</t>
        </is>
      </c>
      <c r="I126" s="636" t="n"/>
      <c r="J126" s="17" t="n"/>
      <c r="K126" s="188" t="inlineStr">
        <is>
          <t>млн куб.м</t>
        </is>
      </c>
    </row>
    <row r="127" ht="20.25" customHeight="1" s="904">
      <c r="C127" s="656" t="n"/>
      <c r="D127" s="1068" t="inlineStr">
        <is>
          <t>Попутный нефтяной газ ПАО "Газпром нефть" (переработка газа)</t>
        </is>
      </c>
      <c r="E127" s="15" t="n"/>
      <c r="F127" s="15" t="inlineStr">
        <is>
          <t>V</t>
        </is>
      </c>
      <c r="G127" s="16" t="n"/>
      <c r="H127" s="776" t="inlineStr">
        <is>
          <t>100336367-100332899-100332902-100332936-100332418</t>
        </is>
      </c>
      <c r="I127" s="636" t="n"/>
      <c r="J127" s="17" t="n"/>
      <c r="K127" s="188" t="inlineStr">
        <is>
          <t>тыс.т.</t>
        </is>
      </c>
    </row>
    <row r="128" ht="20.25" customHeight="1" s="904">
      <c r="C128" s="656" t="n"/>
      <c r="D128" s="916" t="n"/>
      <c r="E128" s="15" t="n"/>
      <c r="F128" s="15" t="inlineStr">
        <is>
          <t>V</t>
        </is>
      </c>
      <c r="G128" s="16" t="n"/>
      <c r="H128" s="776" t="inlineStr">
        <is>
          <t>100336368-100336347-100332937-100330752</t>
        </is>
      </c>
      <c r="I128" s="636" t="n"/>
      <c r="J128" s="17" t="n"/>
      <c r="K128" s="188" t="inlineStr">
        <is>
          <t>млн куб.м</t>
        </is>
      </c>
    </row>
    <row r="129" ht="39.75" customHeight="1" s="904">
      <c r="C129" s="1006" t="n">
        <v>9</v>
      </c>
      <c r="D129" s="354" t="inlineStr">
        <is>
          <t>Проверка с Балансом Газа</t>
        </is>
      </c>
      <c r="E129" s="15" t="n"/>
      <c r="F129" s="15" t="n"/>
      <c r="G129" s="16" t="n"/>
      <c r="H129" s="776" t="n"/>
      <c r="I129" s="636" t="n"/>
      <c r="J129" s="17" t="n"/>
      <c r="K129" s="1026" t="inlineStr">
        <is>
          <t>тыс.т.</t>
        </is>
      </c>
    </row>
    <row r="130" ht="20.25" customHeight="1" s="904">
      <c r="C130" s="656" t="n"/>
      <c r="D130" s="411" t="inlineStr">
        <is>
          <t>Закачано газа дегазации в газопровод</t>
        </is>
      </c>
      <c r="E130" s="15" t="n"/>
      <c r="F130" s="15" t="inlineStr">
        <is>
          <t>V</t>
        </is>
      </c>
      <c r="G130" s="16" t="n"/>
      <c r="H130" s="776" t="inlineStr">
        <is>
          <t>100336357+100336359</t>
        </is>
      </c>
      <c r="I130" s="636" t="n"/>
      <c r="J130" s="17" t="n"/>
      <c r="K130" s="188" t="inlineStr">
        <is>
          <t>млн куб.м</t>
        </is>
      </c>
    </row>
    <row r="131" ht="20.25" customHeight="1" s="904">
      <c r="C131" s="656" t="n"/>
      <c r="D131" s="412" t="inlineStr">
        <is>
          <t>Закачано газа ООО "Газпромнефть-Восток" (покупной газ)</t>
        </is>
      </c>
      <c r="E131" s="15" t="n"/>
      <c r="F131" s="15" t="inlineStr">
        <is>
          <t>V</t>
        </is>
      </c>
      <c r="G131" s="16" t="n"/>
      <c r="H131" s="776" t="inlineStr">
        <is>
          <t>100333004+100333002</t>
        </is>
      </c>
      <c r="I131" s="636" t="n"/>
      <c r="J131" s="17" t="n"/>
      <c r="K131" s="188" t="inlineStr">
        <is>
          <t>млн куб.м</t>
        </is>
      </c>
    </row>
    <row r="132" ht="20.25" customHeight="1" s="904">
      <c r="C132" s="657" t="n"/>
      <c r="D132" s="413" t="inlineStr">
        <is>
          <t>Закачано газа ООО "Газпромнефть-Восток" (давальческая схема)</t>
        </is>
      </c>
      <c r="E132" s="15" t="n"/>
      <c r="F132" s="15" t="inlineStr">
        <is>
          <t>V</t>
        </is>
      </c>
      <c r="G132" s="16" t="n"/>
      <c r="H132" s="776" t="inlineStr">
        <is>
          <t>100330752+100332937</t>
        </is>
      </c>
      <c r="I132" s="636" t="n"/>
      <c r="J132" s="17" t="n"/>
      <c r="K132" s="192" t="inlineStr">
        <is>
          <t>млн куб.м</t>
        </is>
      </c>
    </row>
    <row r="134">
      <c r="D134" s="975" t="inlineStr">
        <is>
          <t>* - Обеспечение своевременного внесения изменений в перечень номенклатуры сырья и продукции входит в компетенцию дочернего общества.</t>
        </is>
      </c>
    </row>
    <row r="136">
      <c r="D136" s="137" t="inlineStr">
        <is>
          <t>Примечание:</t>
        </is>
      </c>
    </row>
    <row r="137" ht="56.25" customHeight="1" s="904">
      <c r="D137" s="334" t="inlineStr">
        <is>
          <t>Разница в объёме между добычей нефти и её переработкой составляет унос с попутным нефтяным газом, т.к. оборудование не позволяет отбить 100% при сепарации ПНГ.</t>
        </is>
      </c>
    </row>
    <row r="138" ht="56.25" customHeight="1" s="904">
      <c r="D138" s="281" t="inlineStr">
        <is>
          <t xml:space="preserve">Разница по добыче и переработке газа составляют объём использования газ на СТН. После скважин стоит ДКС на которой используют в СТН добытый газ. </t>
        </is>
      </c>
    </row>
  </sheetData>
  <mergeCells count="88">
    <mergeCell ref="C30:C31"/>
    <mergeCell ref="C79:C80"/>
    <mergeCell ref="D99:D100"/>
    <mergeCell ref="D61:D62"/>
    <mergeCell ref="D45:D46"/>
    <mergeCell ref="D101:D102"/>
    <mergeCell ref="C71:C72"/>
    <mergeCell ref="D47:D48"/>
    <mergeCell ref="C93:C94"/>
    <mergeCell ref="D87:D88"/>
    <mergeCell ref="C105:C106"/>
    <mergeCell ref="D71:D72"/>
    <mergeCell ref="C43:C44"/>
    <mergeCell ref="C57:C58"/>
    <mergeCell ref="D18:D19"/>
    <mergeCell ref="D103:D104"/>
    <mergeCell ref="D112:D113"/>
    <mergeCell ref="D73:D74"/>
    <mergeCell ref="C69:C70"/>
    <mergeCell ref="F7:F8"/>
    <mergeCell ref="D49:D50"/>
    <mergeCell ref="G7:G8"/>
    <mergeCell ref="D77:D78"/>
    <mergeCell ref="I7:I8"/>
    <mergeCell ref="C45:C46"/>
    <mergeCell ref="C85:C86"/>
    <mergeCell ref="C112:C113"/>
    <mergeCell ref="C97:C98"/>
    <mergeCell ref="D75:D76"/>
    <mergeCell ref="C47:C48"/>
    <mergeCell ref="D125:D126"/>
    <mergeCell ref="D12:D13"/>
    <mergeCell ref="D6:D8"/>
    <mergeCell ref="D53:D54"/>
    <mergeCell ref="C51:C52"/>
    <mergeCell ref="C95:C96"/>
    <mergeCell ref="D127:D128"/>
    <mergeCell ref="D55:D56"/>
    <mergeCell ref="D30:D31"/>
    <mergeCell ref="D79:D80"/>
    <mergeCell ref="C87:C88"/>
    <mergeCell ref="D26:D27"/>
    <mergeCell ref="C83:C84"/>
    <mergeCell ref="C107:C108"/>
    <mergeCell ref="D81:D82"/>
    <mergeCell ref="C49:C50"/>
    <mergeCell ref="C101:C102"/>
    <mergeCell ref="C103:C104"/>
    <mergeCell ref="C73:C74"/>
    <mergeCell ref="C20:C21"/>
    <mergeCell ref="C59:C60"/>
    <mergeCell ref="C22:C23"/>
    <mergeCell ref="D105:D106"/>
    <mergeCell ref="K6:K8"/>
    <mergeCell ref="D57:D58"/>
    <mergeCell ref="C12:C13"/>
    <mergeCell ref="D107:D108"/>
    <mergeCell ref="D43:D44"/>
    <mergeCell ref="D83:D84"/>
    <mergeCell ref="C91:C92"/>
    <mergeCell ref="E7:E8"/>
    <mergeCell ref="D93:D94"/>
    <mergeCell ref="D20:D21"/>
    <mergeCell ref="D85:D86"/>
    <mergeCell ref="C77:C78"/>
    <mergeCell ref="C89:C90"/>
    <mergeCell ref="E6:J6"/>
    <mergeCell ref="C26:C27"/>
    <mergeCell ref="C75:C76"/>
    <mergeCell ref="D95:D96"/>
    <mergeCell ref="D91:D92"/>
    <mergeCell ref="C55:C56"/>
    <mergeCell ref="C99:C100"/>
    <mergeCell ref="H7:H8"/>
    <mergeCell ref="J7:J8"/>
    <mergeCell ref="C6:C8"/>
    <mergeCell ref="D97:D98"/>
    <mergeCell ref="D24:D25"/>
    <mergeCell ref="C61:C62"/>
    <mergeCell ref="D121:D122"/>
    <mergeCell ref="C81:C82"/>
    <mergeCell ref="D89:D90"/>
    <mergeCell ref="C53:C54"/>
    <mergeCell ref="D51:D52"/>
    <mergeCell ref="D69:D70"/>
    <mergeCell ref="C24:C25"/>
    <mergeCell ref="D59:D60"/>
    <mergeCell ref="D22:D23"/>
  </mergeCells>
  <conditionalFormatting sqref="P10:P132 Q10:Q132 V10:V132 W10:W132 AB10:AB132 AC10:AC132 AH10:AH132 AI10:AI132 AN10:AN132 AO10:AO132 AT10:AT132 AU10:AU132 AZ10:AZ132 BA10:BA132 BF10:BF132 BG10:BG132 BL10:BL132 BM10:BM132 BR10:BR132 BS10:BS132 BX10:BX132 BY10:BY132 CD10:CD132 CE10:CE132 CJ10:CJ132 CK10:CK132 CP10:CP132 CQ10:CQ132 CV10:CV132 CW10:CW132 DB10:DB132 DC10:DC132 DH10:DH132 DI10:DI132">
    <cfRule type="cellIs" priority="1" operator="equal" dxfId="0">
      <formula>0</formula>
    </cfRule>
    <cfRule type="cellIs" priority="2" operator="equal" dxfId="0">
      <formula>0</formula>
    </cfRule>
    <cfRule type="cellIs" priority="2" operator="equal" dxfId="0">
      <formula>0</formula>
    </cfRule>
    <cfRule type="cellIs" priority="2" operator="lessThan" dxfId="25">
      <formula>0</formula>
    </cfRule>
    <cfRule type="cellIs" priority="2" operator="equal" dxfId="0">
      <formula>0</formula>
    </cfRule>
    <cfRule type="cellIs" priority="3" operator="lessThan" dxfId="25">
      <formula>0</formula>
    </cfRule>
    <cfRule type="cellIs" priority="3" operator="lessThan" dxfId="25">
      <formula>0</formula>
    </cfRule>
    <cfRule type="cellIs" priority="3" operator="greaterThan" dxfId="21">
      <formula>0</formula>
    </cfRule>
    <cfRule type="cellIs" priority="3" operator="lessThan" dxfId="25">
      <formula>0</formula>
    </cfRule>
    <cfRule type="cellIs" priority="4" operator="greaterThan" dxfId="21">
      <formula>0</formula>
    </cfRule>
    <cfRule type="cellIs" priority="4" operator="greaterThan" dxfId="21">
      <formula>0</formula>
    </cfRule>
    <cfRule type="cellIs" priority="4" operator="greaterThan" dxfId="21">
      <formula>0</formula>
    </cfRule>
  </conditionalFormatting>
  <conditionalFormatting sqref="M101:M132 O10:O132 S10:S132 U10:U132 Y10:Y132 AA10:AA132 AE10:AE132 AG10:AG132 AK10:AK132 AM10:AM132 AQ10:AQ132 AS10:AS132 AW10:AW132 AY10:AY132 BC10:BC132 BE10:BE132 BI10:BI132 BK10:BK132 BO10:BO132 BQ10:BQ132 BU10:BU132 BW10:BW132 CA10:CA132 CC10:CC132 CG10:CG132 CI10:CI132 CM10:CM132 CO10:CO132 CS10:CS132 CU10:CU132 CY10:CY132 DA10:DA132 DE10:DE132 DG10:DG132">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conditionalFormatting sqref="M101:M132 O10:O132 Q10:Q132 S10:S132 U10:U132 W10:W132 Y10:Y132 AA10:AA132 AC10:AC132 AE10:AE132 AG10:AG132 AI10:AI132 AK10:AK132 AM10:AM132 AO10:AO132 AQ10:AQ132 AS10:AS132">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fRule type="cellIs" priority="6" operator="equal" dxfId="0">
      <formula>0</formula>
    </cfRule>
  </conditionalFormatting>
  <conditionalFormatting sqref="A10:B114">
    <cfRule type="cellIs" priority="7" operator="equal" dxfId="25">
      <formula>FALSE</formula>
    </cfRule>
  </conditionalFormatting>
  <pageMargins left="0.7" right="0.7" top="0.75" bottom="0.75" header="0.3" footer="0.3"/>
  <pageSetup orientation="portrait" paperSize="9" scale="35"/>
  <legacyDrawing xmlns:r="http://schemas.openxmlformats.org/officeDocument/2006/relationships" r:id="anysvml"/>
</worksheet>
</file>

<file path=xl/worksheets/sheet24.xml><?xml version="1.0" encoding="utf-8"?>
<worksheet xmlns="http://schemas.openxmlformats.org/spreadsheetml/2006/main">
  <sheetPr codeName="Лист28">
    <tabColor rgb="FF92D050"/>
    <outlinePr summaryBelow="1" summaryRight="1"/>
    <pageSetUpPr fitToPage="1"/>
  </sheetPr>
  <dimension ref="A3:K564"/>
  <sheetViews>
    <sheetView zoomScale="60" workbookViewId="0">
      <pane xSplit="11" ySplit="9" topLeftCell="L10" activePane="bottomRight" state="frozen"/>
      <selection activeCell="I10" sqref="I10"/>
      <selection pane="topRight" activeCell="C1" sqref="C1"/>
      <selection pane="bottomLeft" activeCell="C1" sqref="C1"/>
      <selection pane="bottomRight" activeCell="L10" sqref="L10"/>
    </sheetView>
  </sheetViews>
  <sheetFormatPr baseColWidth="8" defaultColWidth="9.140625" defaultRowHeight="15"/>
  <cols>
    <col hidden="1" outlineLevel="1" width="22.140625" customWidth="1" style="1094" min="1" max="1"/>
    <col hidden="1" outlineLevel="1" width="23.140625" customWidth="1" style="1094" min="2" max="2"/>
    <col collapsed="1" width="12.140625" customWidth="1" style="414" min="3" max="3"/>
    <col width="72" customWidth="1" style="1094" min="4" max="4"/>
    <col hidden="1" outlineLevel="1" width="16.140625" customWidth="1" style="1094" min="5" max="9"/>
    <col hidden="1" outlineLevel="1" width="13.28515625" customWidth="1" style="1094" min="10" max="10"/>
    <col collapsed="1" width="13" bestFit="1" customWidth="1" style="1095" min="11" max="11"/>
    <col width="8.43" customWidth="1" style="904" min="12"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5"/>
  </cols>
  <sheetData>
    <row r="1" ht="21.75" customHeight="1" s="904"/>
    <row r="2" ht="21.75" customHeight="1" s="904"/>
    <row r="3" ht="21.75" customHeight="1" s="904">
      <c r="C3" s="1039" t="inlineStr">
        <is>
          <t>Прогнозные показатели по переработке сырья и производству продукцииООО "Газпром нефтехим Салават"</t>
        </is>
      </c>
    </row>
    <row r="4" ht="21.75" customHeight="1" s="904"/>
    <row r="5" ht="21.75" customHeight="1" s="904">
      <c r="C5" s="222" t="inlineStr">
        <is>
          <t>17. ООО "Газпром переработка" -  Газпром нефтехим Салават</t>
        </is>
      </c>
    </row>
    <row r="6" ht="20.1" customHeight="1" s="904">
      <c r="A6" s="975" t="n"/>
      <c r="B6" s="1031" t="n"/>
      <c r="C6" s="1063" t="inlineStr">
        <is>
          <t>№ 
п/п</t>
        </is>
      </c>
      <c r="D6" s="1093" t="inlineStr">
        <is>
          <t>Показатели</t>
        </is>
      </c>
      <c r="E6" s="924" t="inlineStr">
        <is>
          <t>Внутренние настройки листа</t>
        </is>
      </c>
      <c r="F6" s="925" t="n"/>
      <c r="G6" s="925" t="n"/>
      <c r="H6" s="925" t="n"/>
      <c r="I6" s="925" t="n"/>
      <c r="J6" s="926" t="n"/>
      <c r="K6" s="969" t="inlineStr">
        <is>
          <t>Ед.изм.</t>
        </is>
      </c>
    </row>
    <row r="7" ht="39.95" customHeight="1" s="904">
      <c r="A7" s="975" t="n"/>
      <c r="C7" s="916" t="n"/>
      <c r="D7" s="90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A8" s="975" t="n"/>
      <c r="C8" s="957" t="n"/>
      <c r="D8" s="921" t="n"/>
      <c r="E8" s="911" t="n"/>
      <c r="F8" s="911" t="n"/>
      <c r="G8" s="911" t="n"/>
      <c r="H8" s="911" t="n"/>
      <c r="I8" s="911" t="n"/>
      <c r="J8" s="911" t="n"/>
      <c r="K8" s="911" t="n"/>
    </row>
    <row r="9" hidden="1" ht="20.1" customHeight="1" s="904">
      <c r="A9" s="975" t="n"/>
      <c r="B9" s="1031" t="n"/>
      <c r="C9" s="617" t="n"/>
      <c r="D9" s="256" t="n"/>
      <c r="E9" s="1057" t="n"/>
      <c r="F9" s="1057" t="n"/>
      <c r="G9" s="1057" t="n"/>
      <c r="H9" s="1057" t="n"/>
      <c r="I9" s="1057" t="n"/>
      <c r="J9" s="1057" t="n"/>
      <c r="K9" s="136" t="n"/>
    </row>
    <row r="10" ht="21.75" customHeight="1" s="904">
      <c r="A10" s="415" t="n"/>
      <c r="B10" s="650" t="n"/>
      <c r="C10" s="416" t="inlineStr">
        <is>
          <t>НЕФТЕПЕРЕРАБАТЫВАЮЩИЙ ЗАВОД (НПЗ)</t>
        </is>
      </c>
      <c r="D10" s="417" t="n"/>
      <c r="E10" s="15" t="n"/>
      <c r="F10" s="15" t="n"/>
      <c r="G10" s="16" t="n"/>
      <c r="H10" s="17" t="n"/>
      <c r="I10" s="636" t="n"/>
      <c r="J10" s="17" t="n"/>
      <c r="K10" s="418" t="n"/>
    </row>
    <row r="11" ht="42" customHeight="1" s="904">
      <c r="B11" s="651" t="n"/>
      <c r="C11" s="420" t="inlineStr">
        <is>
          <t>1.</t>
        </is>
      </c>
      <c r="D11" s="419" t="inlineStr">
        <is>
          <t>ПОСТАВКА (ПОКУПКА) СЫРЬЯ  
ООО "ГАЗПРОМ НЕФТЕХИМ САЛАВАТ":</t>
        </is>
      </c>
      <c r="E11" s="15" t="inlineStr">
        <is>
          <t>100335977</t>
        </is>
      </c>
      <c r="F11" s="15" t="n"/>
      <c r="G11" s="16" t="n"/>
      <c r="H11" s="17" t="inlineStr">
        <is>
          <t>100335978+100335986+100335994+100335997</t>
        </is>
      </c>
      <c r="I11" s="636" t="n"/>
      <c r="J11" s="17" t="n"/>
      <c r="K11" s="421" t="inlineStr">
        <is>
          <t>тыс.т.</t>
        </is>
      </c>
    </row>
    <row r="12" ht="21.75" customHeight="1" s="904">
      <c r="B12" s="651" t="n"/>
      <c r="C12" s="224" t="inlineStr">
        <is>
          <t>1.1</t>
        </is>
      </c>
      <c r="D12" s="422" t="inlineStr">
        <is>
          <t>Конденсат газовый стабильный</t>
        </is>
      </c>
      <c r="E12" s="15" t="inlineStr">
        <is>
          <t>100335978</t>
        </is>
      </c>
      <c r="F12" s="15" t="n"/>
      <c r="G12" s="16" t="n"/>
      <c r="H12" s="17" t="inlineStr">
        <is>
          <t>100335979+100335984+100335985</t>
        </is>
      </c>
      <c r="I12" s="636" t="n"/>
      <c r="J12" s="17" t="n"/>
      <c r="K12" s="198" t="inlineStr">
        <is>
          <t>тыс.т.</t>
        </is>
      </c>
    </row>
    <row r="13" ht="21.75" customHeight="1" s="904">
      <c r="B13" s="651" t="n"/>
      <c r="C13" s="1021" t="inlineStr">
        <is>
          <t>1.1.1</t>
        </is>
      </c>
      <c r="D13" s="700" t="inlineStr">
        <is>
          <t xml:space="preserve">        ПАО "Газпром":</t>
        </is>
      </c>
      <c r="E13" s="15" t="inlineStr">
        <is>
          <t>100335979</t>
        </is>
      </c>
      <c r="F13" s="15" t="n"/>
      <c r="G13" s="16" t="n"/>
      <c r="H13" s="17" t="inlineStr">
        <is>
          <t>100335980+100335981+100335982+100335983</t>
        </is>
      </c>
      <c r="I13" s="636" t="n"/>
      <c r="J13" s="17" t="n"/>
      <c r="K13" s="198" t="inlineStr">
        <is>
          <t>тыс.т.</t>
        </is>
      </c>
    </row>
    <row r="14" ht="21.75" customHeight="1" s="904">
      <c r="B14" s="651" t="n"/>
      <c r="C14" s="1021" t="n"/>
      <c r="D14" s="423" t="inlineStr">
        <is>
          <t>Астраханский ГПЗ</t>
        </is>
      </c>
      <c r="E14" s="15" t="inlineStr">
        <is>
          <t>100335980</t>
        </is>
      </c>
      <c r="F14" s="15" t="n"/>
      <c r="G14" s="16" t="n"/>
      <c r="H14" s="17" t="n"/>
      <c r="I14" s="636" t="n"/>
      <c r="J14" s="17" t="n"/>
      <c r="K14" s="198" t="inlineStr">
        <is>
          <t>тыс.т.</t>
        </is>
      </c>
    </row>
    <row r="15" ht="21.75" customHeight="1" s="904">
      <c r="B15" s="651" t="n"/>
      <c r="C15" s="1021" t="n"/>
      <c r="D15" s="423" t="inlineStr">
        <is>
          <t>Сургутский ЗСК</t>
        </is>
      </c>
      <c r="E15" s="15" t="inlineStr">
        <is>
          <t>100335981</t>
        </is>
      </c>
      <c r="F15" s="15" t="n"/>
      <c r="G15" s="16" t="n"/>
      <c r="H15" s="17" t="n"/>
      <c r="I15" s="636" t="n"/>
      <c r="J15" s="17" t="n"/>
      <c r="K15" s="198" t="inlineStr">
        <is>
          <t>тыс.т.</t>
        </is>
      </c>
    </row>
    <row r="16" ht="21.75" customHeight="1" s="904">
      <c r="B16" s="651" t="n"/>
      <c r="C16" s="1021" t="n"/>
      <c r="D16" s="423" t="inlineStr">
        <is>
          <t>Сосногорский ГПЗ</t>
        </is>
      </c>
      <c r="E16" s="15" t="inlineStr">
        <is>
          <t>100335982</t>
        </is>
      </c>
      <c r="F16" s="15" t="n"/>
      <c r="G16" s="16" t="n"/>
      <c r="H16" s="17" t="n"/>
      <c r="I16" s="636" t="n"/>
      <c r="J16" s="17" t="n"/>
      <c r="K16" s="198" t="inlineStr">
        <is>
          <t>тыс.т.</t>
        </is>
      </c>
    </row>
    <row r="17" ht="21.75" customHeight="1" s="904">
      <c r="B17" s="651" t="n"/>
      <c r="C17" s="1021" t="n"/>
      <c r="D17" s="423" t="inlineStr">
        <is>
          <t>ООО "Газпром добыча Иркутск"</t>
        </is>
      </c>
      <c r="E17" s="15" t="inlineStr">
        <is>
          <t>100335983</t>
        </is>
      </c>
      <c r="F17" s="15" t="n"/>
      <c r="G17" s="16" t="n"/>
      <c r="H17" s="17" t="n"/>
      <c r="I17" s="636" t="n"/>
      <c r="J17" s="17" t="n"/>
      <c r="K17" s="198" t="inlineStr">
        <is>
          <t>тыс.т.</t>
        </is>
      </c>
    </row>
    <row r="18" ht="21.75" customHeight="1" s="904">
      <c r="B18" s="651" t="n"/>
      <c r="C18" s="1021" t="inlineStr">
        <is>
          <t>1.1.2</t>
        </is>
      </c>
      <c r="D18" s="700" t="inlineStr">
        <is>
          <t xml:space="preserve">        ПАО "НОВАТЭК" </t>
        </is>
      </c>
      <c r="E18" s="15" t="inlineStr">
        <is>
          <t>100335984</t>
        </is>
      </c>
      <c r="F18" s="15" t="n"/>
      <c r="G18" s="16" t="n"/>
      <c r="H18" s="17" t="n"/>
      <c r="I18" s="636" t="n"/>
      <c r="J18" s="17" t="n"/>
      <c r="K18" s="198" t="inlineStr">
        <is>
          <t>тыс.т.</t>
        </is>
      </c>
    </row>
    <row r="19" ht="21.75" customHeight="1" s="904">
      <c r="B19" s="651" t="n"/>
      <c r="C19" s="1021" t="inlineStr">
        <is>
          <t>1.1.3</t>
        </is>
      </c>
      <c r="D19" s="700" t="inlineStr">
        <is>
          <t xml:space="preserve">        Прочие поставщики</t>
        </is>
      </c>
      <c r="E19" s="15" t="inlineStr">
        <is>
          <t>100335985</t>
        </is>
      </c>
      <c r="F19" s="15" t="n"/>
      <c r="G19" s="16" t="n"/>
      <c r="H19" s="17" t="n"/>
      <c r="I19" s="636" t="n"/>
      <c r="J19" s="17" t="n"/>
      <c r="K19" s="198" t="inlineStr">
        <is>
          <t>тыс.т.</t>
        </is>
      </c>
    </row>
    <row r="20" ht="21.75" customHeight="1" s="904">
      <c r="B20" s="651" t="n"/>
      <c r="C20" s="224" t="inlineStr">
        <is>
          <t>1.2</t>
        </is>
      </c>
      <c r="D20" s="422" t="inlineStr">
        <is>
          <t>Нефть</t>
        </is>
      </c>
      <c r="E20" s="15" t="inlineStr">
        <is>
          <t>100335986</t>
        </is>
      </c>
      <c r="F20" s="15" t="n"/>
      <c r="G20" s="16" t="n"/>
      <c r="H20" s="17" t="inlineStr">
        <is>
          <t>100335987+100335989+100335990+100335991+100335993+100335992+100336105</t>
        </is>
      </c>
      <c r="I20" s="636" t="n"/>
      <c r="J20" s="17" t="n"/>
      <c r="K20" s="198" t="inlineStr">
        <is>
          <t>тыс.т.</t>
        </is>
      </c>
    </row>
    <row r="21" ht="21.75" customHeight="1" s="904">
      <c r="B21" s="651" t="n"/>
      <c r="C21" s="1021" t="inlineStr">
        <is>
          <t>1.2.1</t>
        </is>
      </c>
      <c r="D21" s="700" t="inlineStr">
        <is>
          <t xml:space="preserve">        ПАО "Газпром":</t>
        </is>
      </c>
      <c r="E21" s="15" t="inlineStr">
        <is>
          <t>100335987</t>
        </is>
      </c>
      <c r="F21" s="15" t="n"/>
      <c r="G21" s="16" t="n"/>
      <c r="H21" s="17" t="inlineStr">
        <is>
          <t>100335988</t>
        </is>
      </c>
      <c r="I21" s="636" t="n"/>
      <c r="J21" s="17" t="n"/>
      <c r="K21" s="198" t="inlineStr">
        <is>
          <t>тыс.т.</t>
        </is>
      </c>
    </row>
    <row r="22" ht="21.75" customHeight="1" s="904">
      <c r="B22" s="651" t="n"/>
      <c r="C22" s="1021" t="n"/>
      <c r="D22" s="423" t="inlineStr">
        <is>
          <t xml:space="preserve"> Оренбургский ГПЗ</t>
        </is>
      </c>
      <c r="E22" s="15" t="inlineStr">
        <is>
          <t>100335988</t>
        </is>
      </c>
      <c r="F22" s="15" t="n"/>
      <c r="G22" s="16" t="n"/>
      <c r="H22" s="17" t="n"/>
      <c r="I22" s="636" t="n"/>
      <c r="J22" s="17" t="n"/>
      <c r="K22" s="198" t="inlineStr">
        <is>
          <t>тыс.т.</t>
        </is>
      </c>
    </row>
    <row r="23" ht="21.75" customHeight="1" s="904">
      <c r="B23" s="651" t="n"/>
      <c r="C23" s="1021" t="inlineStr">
        <is>
          <t>1.2.2</t>
        </is>
      </c>
      <c r="D23" s="700" t="inlineStr">
        <is>
          <t xml:space="preserve">        ООО "Сервиснефтегаз" (Оренбургский ГПЗ)</t>
        </is>
      </c>
      <c r="E23" s="15" t="inlineStr">
        <is>
          <t>100335989</t>
        </is>
      </c>
      <c r="F23" s="15" t="n"/>
      <c r="G23" s="16" t="n"/>
      <c r="H23" s="17" t="n"/>
      <c r="I23" s="636" t="n"/>
      <c r="J23" s="17" t="n"/>
      <c r="K23" s="198" t="inlineStr">
        <is>
          <t>тыс.т.</t>
        </is>
      </c>
    </row>
    <row r="24" ht="21.75" customHeight="1" s="904">
      <c r="B24" s="651" t="n"/>
      <c r="C24" s="1021" t="inlineStr">
        <is>
          <t>1.2.3</t>
        </is>
      </c>
      <c r="D24" s="700" t="inlineStr">
        <is>
          <t xml:space="preserve">        ТОО "КазРосГаз" (Оренбургский ГПЗ)</t>
        </is>
      </c>
      <c r="E24" s="15" t="inlineStr">
        <is>
          <t>100335990</t>
        </is>
      </c>
      <c r="F24" s="15" t="n"/>
      <c r="G24" s="16" t="n"/>
      <c r="H24" s="17" t="n"/>
      <c r="I24" s="636" t="n"/>
      <c r="J24" s="17" t="n"/>
      <c r="K24" s="198" t="inlineStr">
        <is>
          <t>тыс.т.</t>
        </is>
      </c>
    </row>
    <row r="25" ht="21.75" customHeight="1" s="904">
      <c r="B25" s="651" t="n"/>
      <c r="C25" s="1021" t="inlineStr">
        <is>
          <t>1.2.4</t>
        </is>
      </c>
      <c r="D25" s="700" t="inlineStr">
        <is>
          <t xml:space="preserve">        ООО "ГПН-Трейд Оренбург" (Оренбургский ГПЗ)</t>
        </is>
      </c>
      <c r="E25" s="15" t="inlineStr">
        <is>
          <t>100336105</t>
        </is>
      </c>
      <c r="F25" s="15" t="n"/>
      <c r="G25" s="16" t="n"/>
      <c r="H25" s="17" t="n"/>
      <c r="I25" s="636" t="n"/>
      <c r="J25" s="17" t="n"/>
      <c r="K25" s="198" t="inlineStr">
        <is>
          <t>тыс.т.</t>
        </is>
      </c>
    </row>
    <row r="26" ht="21.75" customHeight="1" s="904">
      <c r="B26" s="651" t="n"/>
      <c r="C26" s="1021" t="inlineStr">
        <is>
          <t>1.2.5</t>
        </is>
      </c>
      <c r="D26" s="700" t="inlineStr">
        <is>
          <t xml:space="preserve">        ООО "Газпром нефть Оренбург" Царичанская нефть</t>
        </is>
      </c>
      <c r="E26" s="15" t="inlineStr">
        <is>
          <t>100335991</t>
        </is>
      </c>
      <c r="F26" s="15" t="n"/>
      <c r="G26" s="16" t="n"/>
      <c r="H26" s="17" t="n"/>
      <c r="I26" s="636" t="n"/>
      <c r="J26" s="17" t="n"/>
      <c r="K26" s="198" t="inlineStr">
        <is>
          <t>тыс.т.</t>
        </is>
      </c>
    </row>
    <row r="27" ht="21.75" customHeight="1" s="904">
      <c r="B27" s="651" t="n"/>
      <c r="C27" s="1021" t="inlineStr">
        <is>
          <t>1.2.6</t>
        </is>
      </c>
      <c r="D27" s="700" t="inlineStr">
        <is>
          <t xml:space="preserve">        ПАО "Газпром нефть и пр. Западно-Сибирская нефть</t>
        </is>
      </c>
      <c r="E27" s="15" t="inlineStr">
        <is>
          <t>100335992</t>
        </is>
      </c>
      <c r="F27" s="15" t="n"/>
      <c r="G27" s="16" t="n"/>
      <c r="H27" s="17" t="n"/>
      <c r="I27" s="636" t="n"/>
      <c r="J27" s="17" t="n"/>
      <c r="K27" s="198" t="inlineStr">
        <is>
          <t>тыс.т.</t>
        </is>
      </c>
    </row>
    <row r="28" ht="21.75" customHeight="1" s="904">
      <c r="B28" s="651" t="n"/>
      <c r="C28" s="1021" t="inlineStr">
        <is>
          <t>1.2.7</t>
        </is>
      </c>
      <c r="D28" s="700" t="inlineStr">
        <is>
          <t xml:space="preserve">        Прочие поставщики</t>
        </is>
      </c>
      <c r="E28" s="15" t="inlineStr">
        <is>
          <t>100335993</t>
        </is>
      </c>
      <c r="F28" s="15" t="n"/>
      <c r="G28" s="16" t="n"/>
      <c r="H28" s="17" t="n"/>
      <c r="I28" s="636" t="n"/>
      <c r="J28" s="17" t="n"/>
      <c r="K28" s="198" t="inlineStr">
        <is>
          <t>тыс.т.</t>
        </is>
      </c>
    </row>
    <row r="29" ht="21.75" customHeight="1" s="904">
      <c r="B29" s="651" t="n"/>
      <c r="C29" s="224" t="inlineStr">
        <is>
          <t>1.3</t>
        </is>
      </c>
      <c r="D29" s="422" t="inlineStr">
        <is>
          <t>Мазут</t>
        </is>
      </c>
      <c r="E29" s="15" t="inlineStr">
        <is>
          <t>100335994</t>
        </is>
      </c>
      <c r="F29" s="15" t="n"/>
      <c r="G29" s="16" t="n"/>
      <c r="H29" s="17" t="inlineStr">
        <is>
          <t>100335995</t>
        </is>
      </c>
      <c r="I29" s="636" t="n"/>
      <c r="J29" s="17" t="n"/>
      <c r="K29" s="198" t="inlineStr">
        <is>
          <t>тыс.т.</t>
        </is>
      </c>
    </row>
    <row r="30" ht="21.75" customHeight="1" s="904">
      <c r="B30" s="651" t="n"/>
      <c r="C30" s="1021" t="n"/>
      <c r="D30" s="700" t="inlineStr">
        <is>
          <t xml:space="preserve">        ПАО "Газпром":</t>
        </is>
      </c>
      <c r="E30" s="15" t="inlineStr">
        <is>
          <t>100335995</t>
        </is>
      </c>
      <c r="F30" s="15" t="n"/>
      <c r="G30" s="16" t="n"/>
      <c r="H30" s="17" t="inlineStr">
        <is>
          <t>100335996</t>
        </is>
      </c>
      <c r="I30" s="636" t="n"/>
      <c r="J30" s="17" t="n"/>
      <c r="K30" s="198" t="inlineStr">
        <is>
          <t>тыс.т.</t>
        </is>
      </c>
    </row>
    <row r="31" ht="21.75" customHeight="1" s="904">
      <c r="B31" s="651" t="n"/>
      <c r="C31" s="1021" t="n"/>
      <c r="D31" s="423" t="inlineStr">
        <is>
          <t>Астраханский ГПЗ</t>
        </is>
      </c>
      <c r="E31" s="15" t="inlineStr">
        <is>
          <t>100335996</t>
        </is>
      </c>
      <c r="F31" s="15" t="n"/>
      <c r="G31" s="16" t="n"/>
      <c r="H31" s="17" t="n"/>
      <c r="I31" s="636" t="n"/>
      <c r="J31" s="17" t="n"/>
      <c r="K31" s="198" t="inlineStr">
        <is>
          <t>тыс.т.</t>
        </is>
      </c>
    </row>
    <row r="32" ht="21.75" customHeight="1" s="904">
      <c r="B32" s="651" t="n"/>
      <c r="C32" s="224" t="inlineStr">
        <is>
          <t xml:space="preserve">1.4 </t>
        </is>
      </c>
      <c r="D32" s="425" t="inlineStr">
        <is>
          <t>Прочее углеводородное сырье</t>
        </is>
      </c>
      <c r="E32" s="15" t="inlineStr">
        <is>
          <t>100335997</t>
        </is>
      </c>
      <c r="F32" s="15" t="n"/>
      <c r="G32" s="16" t="n"/>
      <c r="H32" s="17" t="n"/>
      <c r="I32" s="636" t="n"/>
      <c r="J32" s="17" t="n"/>
      <c r="K32" s="198" t="inlineStr">
        <is>
          <t>тыс.т.</t>
        </is>
      </c>
    </row>
    <row r="33" ht="42.75" customHeight="1" s="904">
      <c r="B33" s="651" t="n"/>
      <c r="C33" s="420" t="inlineStr">
        <is>
          <t>2.</t>
        </is>
      </c>
      <c r="D33" s="419" t="inlineStr">
        <is>
          <t>ПЕРЕРАБОТКА СЫРЬЯ/ПРОДУКЦИИ  
ООО "ГАЗПРОМ НЕФТЕХИМ САЛАВАТ":</t>
        </is>
      </c>
      <c r="E33" s="15" t="inlineStr">
        <is>
          <t>100330802</t>
        </is>
      </c>
      <c r="F33" s="15" t="n"/>
      <c r="G33" s="16" t="n"/>
      <c r="H33" s="17" t="inlineStr">
        <is>
          <t>100330804+100330803+100330807+100336015+100336014+100336018+100336016+100336017</t>
        </is>
      </c>
      <c r="I33" s="636" t="n"/>
      <c r="J33" s="17" t="n"/>
      <c r="K33" s="421" t="inlineStr">
        <is>
          <t>тыс.т.</t>
        </is>
      </c>
    </row>
    <row r="34" ht="21.75" customHeight="1" s="904">
      <c r="B34" s="651" t="n"/>
      <c r="C34" s="224" t="inlineStr">
        <is>
          <t>2.1</t>
        </is>
      </c>
      <c r="D34" s="422" t="inlineStr">
        <is>
          <t>Конденсат газовый стабильный</t>
        </is>
      </c>
      <c r="E34" s="15" t="inlineStr">
        <is>
          <t>100330804</t>
        </is>
      </c>
      <c r="F34" s="15" t="n"/>
      <c r="G34" s="16" t="n"/>
      <c r="H34" s="17" t="inlineStr">
        <is>
          <t>100335998+100336003+100336004</t>
        </is>
      </c>
      <c r="I34" s="636" t="n"/>
      <c r="J34" s="17" t="n"/>
      <c r="K34" s="198" t="inlineStr">
        <is>
          <t>тыс.т.</t>
        </is>
      </c>
    </row>
    <row r="35" ht="21.75" customHeight="1" s="904">
      <c r="B35" s="651" t="n"/>
      <c r="C35" s="1021" t="inlineStr">
        <is>
          <t>2.1.1</t>
        </is>
      </c>
      <c r="D35" s="700" t="inlineStr">
        <is>
          <t xml:space="preserve">        ПАО "Газпром":</t>
        </is>
      </c>
      <c r="E35" s="15" t="inlineStr">
        <is>
          <t>100335998</t>
        </is>
      </c>
      <c r="F35" s="15" t="n"/>
      <c r="G35" s="16" t="n"/>
      <c r="H35" s="17" t="inlineStr">
        <is>
          <t>100335999+100336000+100336001+100336002</t>
        </is>
      </c>
      <c r="I35" s="636" t="n"/>
      <c r="J35" s="17" t="n"/>
      <c r="K35" s="198" t="inlineStr">
        <is>
          <t>тыс.т.</t>
        </is>
      </c>
    </row>
    <row r="36" ht="21.75" customHeight="1" s="904">
      <c r="B36" s="651" t="n"/>
      <c r="C36" s="1021" t="n"/>
      <c r="D36" s="423" t="inlineStr">
        <is>
          <t xml:space="preserve"> Астраханский ГПЗ</t>
        </is>
      </c>
      <c r="E36" s="15" t="inlineStr">
        <is>
          <t>100335999</t>
        </is>
      </c>
      <c r="F36" s="15" t="n"/>
      <c r="G36" s="16" t="n"/>
      <c r="H36" s="17" t="n"/>
      <c r="I36" s="636" t="n"/>
      <c r="J36" s="17" t="n"/>
      <c r="K36" s="198" t="inlineStr">
        <is>
          <t>тыс.т.</t>
        </is>
      </c>
    </row>
    <row r="37" ht="21.75" customHeight="1" s="904">
      <c r="B37" s="651" t="n"/>
      <c r="C37" s="1021" t="n"/>
      <c r="D37" s="423" t="inlineStr">
        <is>
          <t xml:space="preserve"> Сургутский ЗСК</t>
        </is>
      </c>
      <c r="E37" s="15" t="inlineStr">
        <is>
          <t>100336000</t>
        </is>
      </c>
      <c r="F37" s="15" t="n"/>
      <c r="G37" s="16" t="n"/>
      <c r="H37" s="17" t="n"/>
      <c r="I37" s="636" t="n"/>
      <c r="J37" s="17" t="n"/>
      <c r="K37" s="198" t="inlineStr">
        <is>
          <t>тыс.т.</t>
        </is>
      </c>
    </row>
    <row r="38" ht="21.75" customHeight="1" s="904">
      <c r="B38" s="651" t="n"/>
      <c r="C38" s="1021" t="n"/>
      <c r="D38" s="423" t="inlineStr">
        <is>
          <t xml:space="preserve"> Сосногорский ГПЗ</t>
        </is>
      </c>
      <c r="E38" s="15" t="inlineStr">
        <is>
          <t>100336001</t>
        </is>
      </c>
      <c r="F38" s="15" t="n"/>
      <c r="G38" s="16" t="n"/>
      <c r="H38" s="17" t="n"/>
      <c r="I38" s="636" t="n"/>
      <c r="J38" s="17" t="n"/>
      <c r="K38" s="198" t="inlineStr">
        <is>
          <t>тыс.т.</t>
        </is>
      </c>
    </row>
    <row r="39" ht="21.75" customHeight="1" s="904">
      <c r="B39" s="651" t="n"/>
      <c r="C39" s="1021" t="n"/>
      <c r="D39" s="423" t="inlineStr">
        <is>
          <t xml:space="preserve"> ООО "Газпром добыча Иркутск"</t>
        </is>
      </c>
      <c r="E39" s="15" t="inlineStr">
        <is>
          <t>100336002</t>
        </is>
      </c>
      <c r="F39" s="15" t="n"/>
      <c r="G39" s="16" t="n"/>
      <c r="H39" s="17" t="n"/>
      <c r="I39" s="636" t="n"/>
      <c r="J39" s="17" t="n"/>
      <c r="K39" s="198" t="inlineStr">
        <is>
          <t>тыс.т.</t>
        </is>
      </c>
    </row>
    <row r="40" ht="21.75" customHeight="1" s="904">
      <c r="B40" s="651" t="n"/>
      <c r="C40" s="1021" t="inlineStr">
        <is>
          <t>2.1.2</t>
        </is>
      </c>
      <c r="D40" s="700" t="inlineStr">
        <is>
          <t xml:space="preserve">        ПАО "НОВАТЭК" </t>
        </is>
      </c>
      <c r="E40" s="15" t="inlineStr">
        <is>
          <t>100336003</t>
        </is>
      </c>
      <c r="F40" s="15" t="n"/>
      <c r="G40" s="16" t="n"/>
      <c r="H40" s="17" t="n"/>
      <c r="I40" s="636" t="n"/>
      <c r="J40" s="17" t="n"/>
      <c r="K40" s="198" t="inlineStr">
        <is>
          <t>тыс.т.</t>
        </is>
      </c>
    </row>
    <row r="41" ht="21.75" customHeight="1" s="904">
      <c r="B41" s="651" t="n"/>
      <c r="C41" s="1021" t="inlineStr">
        <is>
          <t>2.1.3</t>
        </is>
      </c>
      <c r="D41" s="700" t="inlineStr">
        <is>
          <t xml:space="preserve">        Прочие поставщики</t>
        </is>
      </c>
      <c r="E41" s="15" t="inlineStr">
        <is>
          <t>100336004</t>
        </is>
      </c>
      <c r="F41" s="15" t="n"/>
      <c r="G41" s="16" t="n"/>
      <c r="H41" s="17" t="n"/>
      <c r="I41" s="636" t="n"/>
      <c r="J41" s="17" t="n"/>
      <c r="K41" s="198" t="inlineStr">
        <is>
          <t>тыс.т.</t>
        </is>
      </c>
    </row>
    <row r="42" ht="21.75" customHeight="1" s="904">
      <c r="B42" s="651" t="n"/>
      <c r="C42" s="224" t="inlineStr">
        <is>
          <t>2.2</t>
        </is>
      </c>
      <c r="D42" s="422" t="inlineStr">
        <is>
          <t>Нефть</t>
        </is>
      </c>
      <c r="E42" s="15" t="inlineStr">
        <is>
          <t>100330803</t>
        </is>
      </c>
      <c r="F42" s="15" t="n"/>
      <c r="G42" s="16" t="n"/>
      <c r="H42" s="17" t="inlineStr">
        <is>
          <t>100336005+100336007+100336008+100336009+100336011+100336010+100336106</t>
        </is>
      </c>
      <c r="I42" s="636" t="n"/>
      <c r="J42" s="17" t="n"/>
      <c r="K42" s="198" t="inlineStr">
        <is>
          <t>тыс.т.</t>
        </is>
      </c>
    </row>
    <row r="43" ht="21.75" customHeight="1" s="904">
      <c r="B43" s="651" t="n"/>
      <c r="C43" s="1021" t="inlineStr">
        <is>
          <t>2.2.1</t>
        </is>
      </c>
      <c r="D43" s="700" t="inlineStr">
        <is>
          <t xml:space="preserve">        ПАО "Газпром":</t>
        </is>
      </c>
      <c r="E43" s="15" t="inlineStr">
        <is>
          <t>100336005</t>
        </is>
      </c>
      <c r="F43" s="15" t="n"/>
      <c r="G43" s="16" t="n"/>
      <c r="H43" s="17" t="inlineStr">
        <is>
          <t>100336006</t>
        </is>
      </c>
      <c r="I43" s="636" t="n"/>
      <c r="J43" s="17" t="n"/>
      <c r="K43" s="198" t="inlineStr">
        <is>
          <t>тыс.т.</t>
        </is>
      </c>
    </row>
    <row r="44" ht="21.75" customHeight="1" s="904">
      <c r="B44" s="651" t="n"/>
      <c r="C44" s="1021" t="n"/>
      <c r="D44" s="423" t="inlineStr">
        <is>
          <t xml:space="preserve"> Оренбургский ГПЗ</t>
        </is>
      </c>
      <c r="E44" s="15" t="inlineStr">
        <is>
          <t>100336006</t>
        </is>
      </c>
      <c r="F44" s="15" t="n"/>
      <c r="G44" s="16" t="n"/>
      <c r="H44" s="17" t="n"/>
      <c r="I44" s="636" t="n"/>
      <c r="J44" s="17" t="n"/>
      <c r="K44" s="198" t="inlineStr">
        <is>
          <t>тыс.т.</t>
        </is>
      </c>
    </row>
    <row r="45" ht="21.75" customHeight="1" s="904">
      <c r="B45" s="651" t="n"/>
      <c r="C45" s="1021" t="inlineStr">
        <is>
          <t>2.2.2</t>
        </is>
      </c>
      <c r="D45" s="700" t="inlineStr">
        <is>
          <t xml:space="preserve">        ООО "Сервиснефтегаз" (Оренбургский ГПЗ)</t>
        </is>
      </c>
      <c r="E45" s="15" t="inlineStr">
        <is>
          <t>100336007</t>
        </is>
      </c>
      <c r="F45" s="15" t="n"/>
      <c r="G45" s="16" t="n"/>
      <c r="H45" s="17" t="n"/>
      <c r="I45" s="636" t="n"/>
      <c r="J45" s="17" t="n"/>
      <c r="K45" s="198" t="inlineStr">
        <is>
          <t>тыс.т.</t>
        </is>
      </c>
    </row>
    <row r="46" ht="21.75" customHeight="1" s="904">
      <c r="B46" s="651" t="n"/>
      <c r="C46" s="1021" t="inlineStr">
        <is>
          <t>2.2.3</t>
        </is>
      </c>
      <c r="D46" s="700" t="inlineStr">
        <is>
          <t xml:space="preserve">        ТОО "КазРосГаз" (Оренбургский ГПЗ)</t>
        </is>
      </c>
      <c r="E46" s="15" t="inlineStr">
        <is>
          <t>100336008</t>
        </is>
      </c>
      <c r="F46" s="15" t="n"/>
      <c r="G46" s="16" t="n"/>
      <c r="H46" s="17" t="n"/>
      <c r="I46" s="636" t="n"/>
      <c r="J46" s="17" t="n"/>
      <c r="K46" s="198" t="inlineStr">
        <is>
          <t>тыс.т.</t>
        </is>
      </c>
    </row>
    <row r="47" ht="21.75" customHeight="1" s="904">
      <c r="B47" s="651" t="n"/>
      <c r="C47" s="1021" t="inlineStr">
        <is>
          <t>2.2.4</t>
        </is>
      </c>
      <c r="D47" s="424" t="inlineStr">
        <is>
          <t>ООО "ГПН-Трейд Оренбург" (Оренбургский ГПЗ)</t>
        </is>
      </c>
      <c r="E47" s="15" t="inlineStr">
        <is>
          <t>100336106</t>
        </is>
      </c>
      <c r="F47" s="15" t="n"/>
      <c r="G47" s="16" t="n"/>
      <c r="H47" s="17" t="n"/>
      <c r="I47" s="636" t="n"/>
      <c r="J47" s="17" t="n"/>
      <c r="K47" s="198" t="inlineStr">
        <is>
          <t>тыс.т.</t>
        </is>
      </c>
    </row>
    <row r="48" ht="21.75" customHeight="1" s="904">
      <c r="B48" s="651" t="n"/>
      <c r="C48" s="1021" t="inlineStr">
        <is>
          <t>2.2.5</t>
        </is>
      </c>
      <c r="D48" s="700" t="inlineStr">
        <is>
          <t xml:space="preserve">        ООО "Газпром нефть Оренбург" Царичанская нефть</t>
        </is>
      </c>
      <c r="E48" s="15" t="inlineStr">
        <is>
          <t>100336009</t>
        </is>
      </c>
      <c r="F48" s="15" t="n"/>
      <c r="G48" s="16" t="n"/>
      <c r="H48" s="17" t="n"/>
      <c r="I48" s="636" t="n"/>
      <c r="J48" s="17" t="n"/>
      <c r="K48" s="198" t="inlineStr">
        <is>
          <t>тыс.т.</t>
        </is>
      </c>
    </row>
    <row r="49" ht="21.75" customHeight="1" s="904">
      <c r="B49" s="651" t="n"/>
      <c r="C49" s="1021" t="inlineStr">
        <is>
          <t>2.2.6</t>
        </is>
      </c>
      <c r="D49" s="700" t="inlineStr">
        <is>
          <t xml:space="preserve">        ПАО "Газпром нефть и пр. Западно-Сибирская нефть</t>
        </is>
      </c>
      <c r="E49" s="15" t="inlineStr">
        <is>
          <t>100336010</t>
        </is>
      </c>
      <c r="F49" s="15" t="n"/>
      <c r="G49" s="16" t="n"/>
      <c r="H49" s="17" t="n"/>
      <c r="I49" s="636" t="n"/>
      <c r="J49" s="17" t="n"/>
      <c r="K49" s="198" t="inlineStr">
        <is>
          <t>тыс.т.</t>
        </is>
      </c>
    </row>
    <row r="50" ht="21.75" customHeight="1" s="904">
      <c r="B50" s="651" t="n"/>
      <c r="C50" s="1021" t="inlineStr">
        <is>
          <t>2.2.7</t>
        </is>
      </c>
      <c r="D50" s="700" t="inlineStr">
        <is>
          <t xml:space="preserve">        Прочие поставщики</t>
        </is>
      </c>
      <c r="E50" s="15" t="inlineStr">
        <is>
          <t>100336011</t>
        </is>
      </c>
      <c r="F50" s="15" t="n"/>
      <c r="G50" s="16" t="n"/>
      <c r="H50" s="17" t="n"/>
      <c r="I50" s="636" t="n"/>
      <c r="J50" s="17" t="n"/>
      <c r="K50" s="198" t="inlineStr">
        <is>
          <t>тыс.т.</t>
        </is>
      </c>
    </row>
    <row r="51" ht="21.75" customHeight="1" s="904">
      <c r="B51" s="651" t="n"/>
      <c r="C51" s="224" t="inlineStr">
        <is>
          <t>2.3</t>
        </is>
      </c>
      <c r="D51" s="422" t="inlineStr">
        <is>
          <t>Мазут</t>
        </is>
      </c>
      <c r="E51" s="15" t="inlineStr">
        <is>
          <t>100330807</t>
        </is>
      </c>
      <c r="F51" s="15" t="n"/>
      <c r="G51" s="16" t="n"/>
      <c r="H51" s="17" t="inlineStr">
        <is>
          <t>100336012</t>
        </is>
      </c>
      <c r="I51" s="636" t="n"/>
      <c r="J51" s="17" t="n"/>
      <c r="K51" s="198" t="inlineStr">
        <is>
          <t>тыс.т.</t>
        </is>
      </c>
    </row>
    <row r="52" ht="21.75" customHeight="1" s="904">
      <c r="B52" s="651" t="n"/>
      <c r="C52" s="1021" t="n"/>
      <c r="D52" s="700" t="inlineStr">
        <is>
          <t xml:space="preserve">        ПАО "Газпром":</t>
        </is>
      </c>
      <c r="E52" s="15" t="inlineStr">
        <is>
          <t>100336012</t>
        </is>
      </c>
      <c r="F52" s="15" t="n"/>
      <c r="G52" s="16" t="n"/>
      <c r="H52" s="17" t="inlineStr">
        <is>
          <t>100336013</t>
        </is>
      </c>
      <c r="I52" s="636" t="n"/>
      <c r="J52" s="17" t="n"/>
      <c r="K52" s="198" t="inlineStr">
        <is>
          <t>тыс.т.</t>
        </is>
      </c>
    </row>
    <row r="53" ht="21.75" customHeight="1" s="904">
      <c r="B53" s="651" t="n"/>
      <c r="C53" s="1021" t="n"/>
      <c r="D53" s="423" t="inlineStr">
        <is>
          <t>Астраханский ГПЗ</t>
        </is>
      </c>
      <c r="E53" s="15" t="inlineStr">
        <is>
          <t>100336013</t>
        </is>
      </c>
      <c r="F53" s="15" t="n"/>
      <c r="G53" s="16" t="n"/>
      <c r="H53" s="17" t="n"/>
      <c r="I53" s="636" t="n"/>
      <c r="J53" s="17" t="n"/>
      <c r="K53" s="198" t="inlineStr">
        <is>
          <t>тыс.т.</t>
        </is>
      </c>
    </row>
    <row r="54" ht="21.75" customHeight="1" s="904">
      <c r="B54" s="651" t="n"/>
      <c r="C54" s="224" t="inlineStr">
        <is>
          <t xml:space="preserve">2.4 </t>
        </is>
      </c>
      <c r="D54" s="425" t="inlineStr">
        <is>
          <t>Прочее углеводородное сырье</t>
        </is>
      </c>
      <c r="E54" s="15" t="inlineStr">
        <is>
          <t>100336014</t>
        </is>
      </c>
      <c r="F54" s="15" t="n"/>
      <c r="G54" s="16" t="n"/>
      <c r="H54" s="17" t="n"/>
      <c r="I54" s="636" t="n"/>
      <c r="J54" s="17" t="n"/>
      <c r="K54" s="198" t="inlineStr">
        <is>
          <t>тыс.т.</t>
        </is>
      </c>
    </row>
    <row r="55" ht="21.75" customHeight="1" s="904">
      <c r="B55" s="651" t="n"/>
      <c r="C55" s="224" t="inlineStr">
        <is>
          <t>2.5</t>
        </is>
      </c>
      <c r="D55" s="426" t="inlineStr">
        <is>
          <t xml:space="preserve">Продукция (сырье) с завода "Мономер" </t>
        </is>
      </c>
      <c r="E55" s="15" t="inlineStr">
        <is>
          <t>100336015</t>
        </is>
      </c>
      <c r="F55" s="15" t="n"/>
      <c r="G55" s="16" t="n"/>
      <c r="H55" s="17" t="n"/>
      <c r="I55" s="636" t="n"/>
      <c r="J55" s="17" t="n"/>
      <c r="K55" s="198" t="inlineStr">
        <is>
          <t>тыс.т.</t>
        </is>
      </c>
    </row>
    <row r="56" ht="21.75" customHeight="1" s="904">
      <c r="B56" s="651" t="n"/>
      <c r="C56" s="224" t="inlineStr">
        <is>
          <t>2.6</t>
        </is>
      </c>
      <c r="D56" s="425" t="inlineStr">
        <is>
          <t>Присадки (добавки)</t>
        </is>
      </c>
      <c r="E56" s="15" t="inlineStr">
        <is>
          <t>100336016</t>
        </is>
      </c>
      <c r="F56" s="15" t="n"/>
      <c r="G56" s="16" t="n"/>
      <c r="H56" s="17" t="n"/>
      <c r="I56" s="636" t="n"/>
      <c r="J56" s="17" t="n"/>
      <c r="K56" s="198" t="inlineStr">
        <is>
          <t>тыс.т.</t>
        </is>
      </c>
    </row>
    <row r="57" ht="21.75" customHeight="1" s="904">
      <c r="B57" s="651" t="n"/>
      <c r="C57" s="224" t="n"/>
      <c r="D57" s="427" t="inlineStr">
        <is>
          <t xml:space="preserve"> в т.ч. МТБЭ</t>
        </is>
      </c>
      <c r="E57" s="15" t="inlineStr">
        <is>
          <t>100330805</t>
        </is>
      </c>
      <c r="F57" s="15" t="n"/>
      <c r="G57" s="16" t="n"/>
      <c r="H57" s="17" t="n"/>
      <c r="I57" s="636" t="n"/>
      <c r="J57" s="17" t="n"/>
      <c r="K57" s="198" t="inlineStr">
        <is>
          <t>тыс.т.</t>
        </is>
      </c>
    </row>
    <row r="58" ht="21.75" customHeight="1" s="904">
      <c r="B58" s="651" t="n"/>
      <c r="C58" s="224" t="inlineStr">
        <is>
          <t>2.7</t>
        </is>
      </c>
      <c r="D58" s="425" t="inlineStr">
        <is>
          <t>Прочее сырье (ХОВ, природный газ, и т.д.)</t>
        </is>
      </c>
      <c r="E58" s="15" t="inlineStr">
        <is>
          <t>100336017</t>
        </is>
      </c>
      <c r="F58" s="15" t="n"/>
      <c r="G58" s="16" t="n"/>
      <c r="H58" s="17" t="n"/>
      <c r="I58" s="636" t="n"/>
      <c r="J58" s="17" t="n"/>
      <c r="K58" s="198" t="inlineStr">
        <is>
          <t>тыс.т.</t>
        </is>
      </c>
    </row>
    <row r="59" ht="21.75" customHeight="1" s="904">
      <c r="B59" s="651" t="n"/>
      <c r="C59" s="224" t="inlineStr">
        <is>
          <t>2.8</t>
        </is>
      </c>
      <c r="D59" s="654" t="inlineStr">
        <is>
          <t>Продукция (сырье) принятая со склада</t>
        </is>
      </c>
      <c r="E59" s="15" t="inlineStr">
        <is>
          <t>100336018</t>
        </is>
      </c>
      <c r="F59" s="15" t="n"/>
      <c r="G59" s="16" t="n"/>
      <c r="H59" s="17" t="n"/>
      <c r="I59" s="636" t="n"/>
      <c r="J59" s="17" t="n"/>
      <c r="K59" s="198" t="inlineStr">
        <is>
          <t>тыс.т.</t>
        </is>
      </c>
    </row>
    <row r="60" ht="42.75" customHeight="1" s="904">
      <c r="A60" s="975" t="n"/>
      <c r="B60" s="651" t="n"/>
      <c r="C60" s="420" t="inlineStr">
        <is>
          <t>3.</t>
        </is>
      </c>
      <c r="D60" s="419" t="inlineStr">
        <is>
          <t>ПРОДУКЦИЯ 
ООО "ГАЗПРОМ НЕФТЕХИМ САЛАВАТ":</t>
        </is>
      </c>
      <c r="E60" s="15" t="inlineStr">
        <is>
          <t>100330808</t>
        </is>
      </c>
      <c r="F60" s="15" t="n"/>
      <c r="G60" s="16" t="n"/>
      <c r="H60" s="17" t="n"/>
      <c r="I60" s="636" t="n"/>
      <c r="J60" s="17" t="n"/>
      <c r="K60" s="421" t="n"/>
    </row>
    <row r="61" ht="21.75" customHeight="1" s="904">
      <c r="B61" s="651" t="n"/>
      <c r="C61" s="224" t="inlineStr">
        <is>
          <t>3.1</t>
        </is>
      </c>
      <c r="D61" s="651" t="inlineStr">
        <is>
          <t>Бензин автомобильный (товар)</t>
        </is>
      </c>
      <c r="E61" s="15" t="inlineStr">
        <is>
          <t>100330107</t>
        </is>
      </c>
      <c r="F61" s="15" t="n"/>
      <c r="G61" s="16" t="n"/>
      <c r="H61" s="17" t="inlineStr">
        <is>
          <t>100331906+100331907</t>
        </is>
      </c>
      <c r="I61" s="636" t="n"/>
      <c r="J61" s="17" t="n"/>
      <c r="K61" s="198" t="inlineStr">
        <is>
          <t>тыс.т.</t>
        </is>
      </c>
    </row>
    <row r="62" ht="21.75" customHeight="1" s="904">
      <c r="B62" s="651" t="n"/>
      <c r="C62" s="224" t="n"/>
      <c r="D62" s="428" t="inlineStr">
        <is>
          <t>Бензин с ОЧ 92 (К5)</t>
        </is>
      </c>
      <c r="E62" s="15" t="inlineStr">
        <is>
          <t>100331906</t>
        </is>
      </c>
      <c r="F62" s="15" t="n"/>
      <c r="G62" s="16" t="n"/>
      <c r="H62" s="17" t="n"/>
      <c r="I62" s="636" t="n"/>
      <c r="J62" s="17" t="n"/>
      <c r="K62" s="198" t="inlineStr">
        <is>
          <t>тыс.т.</t>
        </is>
      </c>
    </row>
    <row r="63" ht="21.75" customHeight="1" s="904">
      <c r="B63" s="651" t="n"/>
      <c r="C63" s="224" t="n"/>
      <c r="D63" s="428" t="inlineStr">
        <is>
          <t>Бензин с ОЧ 95 (К5)</t>
        </is>
      </c>
      <c r="E63" s="15" t="inlineStr">
        <is>
          <t>100331907</t>
        </is>
      </c>
      <c r="F63" s="15" t="n"/>
      <c r="G63" s="16" t="n"/>
      <c r="H63" s="17" t="n"/>
      <c r="I63" s="636" t="n"/>
      <c r="J63" s="17" t="n"/>
      <c r="K63" s="198" t="inlineStr">
        <is>
          <t>тыс.т.</t>
        </is>
      </c>
    </row>
    <row r="64" ht="21.75" customHeight="1" s="904">
      <c r="B64" s="651" t="n"/>
      <c r="C64" s="224" t="inlineStr">
        <is>
          <t>3.2</t>
        </is>
      </c>
      <c r="D64" s="651" t="inlineStr">
        <is>
          <t>Бензин на завод "Мономер"</t>
        </is>
      </c>
      <c r="E64" s="15" t="inlineStr">
        <is>
          <t>100336019</t>
        </is>
      </c>
      <c r="F64" s="15" t="n"/>
      <c r="G64" s="16" t="n"/>
      <c r="H64" s="17" t="n"/>
      <c r="I64" s="636" t="n"/>
      <c r="J64" s="17" t="n"/>
      <c r="K64" s="198" t="inlineStr">
        <is>
          <t>тыс.т.</t>
        </is>
      </c>
    </row>
    <row r="65" ht="21.75" customHeight="1" s="904">
      <c r="B65" s="651" t="n"/>
      <c r="C65" s="224" t="inlineStr">
        <is>
          <t>3.3</t>
        </is>
      </c>
      <c r="D65" s="651" t="inlineStr">
        <is>
          <t>Дистиллят газового конденсата легкий (товар)</t>
        </is>
      </c>
      <c r="E65" s="15" t="inlineStr">
        <is>
          <t>100330815</t>
        </is>
      </c>
      <c r="F65" s="15" t="n"/>
      <c r="G65" s="16" t="n"/>
      <c r="H65" s="17" t="inlineStr">
        <is>
          <t>100336020+100336021</t>
        </is>
      </c>
      <c r="I65" s="636" t="n"/>
      <c r="J65" s="17" t="n"/>
      <c r="K65" s="198" t="inlineStr">
        <is>
          <t>тыс.т.</t>
        </is>
      </c>
    </row>
    <row r="66" ht="21.75" customHeight="1" s="904">
      <c r="B66" s="651" t="n"/>
      <c r="C66" s="224" t="n"/>
      <c r="D66" s="428" t="inlineStr">
        <is>
          <t>ДГКл марки А</t>
        </is>
      </c>
      <c r="E66" s="15" t="inlineStr">
        <is>
          <t>100336020</t>
        </is>
      </c>
      <c r="F66" s="15" t="n"/>
      <c r="G66" s="16" t="n"/>
      <c r="H66" s="17" t="n"/>
      <c r="I66" s="636" t="n"/>
      <c r="J66" s="17" t="n"/>
      <c r="K66" s="198" t="inlineStr">
        <is>
          <t>тыс.т.</t>
        </is>
      </c>
    </row>
    <row r="67" ht="21.75" customHeight="1" s="904">
      <c r="B67" s="651" t="n"/>
      <c r="C67" s="224" t="n"/>
      <c r="D67" s="428" t="inlineStr">
        <is>
          <t>ДГКл марки Б</t>
        </is>
      </c>
      <c r="E67" s="15" t="inlineStr">
        <is>
          <t>100336021</t>
        </is>
      </c>
      <c r="F67" s="15" t="n"/>
      <c r="G67" s="16" t="n"/>
      <c r="H67" s="17" t="n"/>
      <c r="I67" s="636" t="n"/>
      <c r="J67" s="17" t="n"/>
      <c r="K67" s="198" t="inlineStr">
        <is>
          <t>тыс.т.</t>
        </is>
      </c>
    </row>
    <row r="68" ht="21.75" customHeight="1" s="904">
      <c r="B68" s="651" t="n"/>
      <c r="C68" s="224" t="inlineStr">
        <is>
          <t>3.4</t>
        </is>
      </c>
      <c r="D68" s="651" t="inlineStr">
        <is>
          <t xml:space="preserve">Бензин технический (товар) </t>
        </is>
      </c>
      <c r="E68" s="15" t="inlineStr">
        <is>
          <t>100335765</t>
        </is>
      </c>
      <c r="F68" s="15" t="n"/>
      <c r="G68" s="16" t="n"/>
      <c r="H68" s="17" t="n"/>
      <c r="I68" s="636" t="n"/>
      <c r="J68" s="17" t="n"/>
      <c r="K68" s="198" t="inlineStr">
        <is>
          <t>тыс.т.</t>
        </is>
      </c>
    </row>
    <row r="69" ht="21.75" customHeight="1" s="904">
      <c r="B69" s="651" t="n"/>
      <c r="C69" s="224" t="inlineStr">
        <is>
          <t>3.5</t>
        </is>
      </c>
      <c r="D69" s="651" t="inlineStr">
        <is>
          <t>ШФЛУ</t>
        </is>
      </c>
      <c r="E69" s="15" t="inlineStr">
        <is>
          <t>100330817</t>
        </is>
      </c>
      <c r="F69" s="15" t="n"/>
      <c r="G69" s="16" t="n"/>
      <c r="H69" s="17" t="inlineStr">
        <is>
          <t>100336022+100336023</t>
        </is>
      </c>
      <c r="I69" s="636" t="n"/>
      <c r="J69" s="17" t="n"/>
      <c r="K69" s="198" t="inlineStr">
        <is>
          <t>тыс.т.</t>
        </is>
      </c>
    </row>
    <row r="70" ht="21.75" customHeight="1" s="904">
      <c r="B70" s="651" t="n"/>
      <c r="C70" s="224" t="n"/>
      <c r="D70" s="428" t="inlineStr">
        <is>
          <t>Товар</t>
        </is>
      </c>
      <c r="E70" s="15" t="inlineStr">
        <is>
          <t>100336022</t>
        </is>
      </c>
      <c r="F70" s="15" t="n"/>
      <c r="G70" s="16" t="n"/>
      <c r="H70" s="17" t="n"/>
      <c r="I70" s="636" t="n"/>
      <c r="J70" s="17" t="n"/>
      <c r="K70" s="198" t="inlineStr">
        <is>
          <t>тыс.т.</t>
        </is>
      </c>
    </row>
    <row r="71" ht="21.75" customHeight="1" s="904">
      <c r="B71" s="651" t="n"/>
      <c r="C71" s="224" t="n"/>
      <c r="D71" s="428" t="inlineStr">
        <is>
          <t>На завод "Мономер"</t>
        </is>
      </c>
      <c r="E71" s="15" t="inlineStr">
        <is>
          <t>100336023</t>
        </is>
      </c>
      <c r="F71" s="15" t="n"/>
      <c r="G71" s="16" t="n"/>
      <c r="H71" s="17" t="n"/>
      <c r="I71" s="636" t="n"/>
      <c r="J71" s="17" t="n"/>
      <c r="K71" s="198" t="inlineStr">
        <is>
          <t>тыс.т.</t>
        </is>
      </c>
    </row>
    <row r="72" ht="21.75" customHeight="1" s="904">
      <c r="B72" s="651" t="n"/>
      <c r="C72" s="224" t="inlineStr">
        <is>
          <t>3.6</t>
        </is>
      </c>
      <c r="D72" s="651" t="inlineStr">
        <is>
          <t>Фракция изопентановая (товар)</t>
        </is>
      </c>
      <c r="E72" s="15" t="inlineStr">
        <is>
          <t>100330944</t>
        </is>
      </c>
      <c r="F72" s="15" t="n"/>
      <c r="G72" s="16" t="n"/>
      <c r="H72" s="17" t="n"/>
      <c r="I72" s="636" t="n"/>
      <c r="J72" s="17" t="n"/>
      <c r="K72" s="198" t="inlineStr">
        <is>
          <t>тыс.т.</t>
        </is>
      </c>
    </row>
    <row r="73" ht="21.75" customHeight="1" s="904">
      <c r="B73" s="651" t="n"/>
      <c r="C73" s="224" t="inlineStr">
        <is>
          <t>3.7</t>
        </is>
      </c>
      <c r="D73" s="651" t="inlineStr">
        <is>
          <t>Дизельное топливо (товар)</t>
        </is>
      </c>
      <c r="E73" s="15" t="inlineStr">
        <is>
          <t>100330123</t>
        </is>
      </c>
      <c r="F73" s="15" t="n"/>
      <c r="G73" s="16" t="n"/>
      <c r="H73" s="17" t="inlineStr">
        <is>
          <t>100330812+100330813+100330814</t>
        </is>
      </c>
      <c r="I73" s="636" t="n"/>
      <c r="J73" s="17" t="n"/>
      <c r="K73" s="198" t="inlineStr">
        <is>
          <t>тыс.т.</t>
        </is>
      </c>
    </row>
    <row r="74" ht="21.75" customHeight="1" s="904">
      <c r="B74" s="651" t="n"/>
      <c r="C74" s="224" t="n"/>
      <c r="D74" s="428" t="inlineStr">
        <is>
          <t>ДТ летнее</t>
        </is>
      </c>
      <c r="E74" s="15" t="inlineStr">
        <is>
          <t>100330812</t>
        </is>
      </c>
      <c r="F74" s="15" t="n"/>
      <c r="G74" s="16" t="n"/>
      <c r="H74" s="17" t="n"/>
      <c r="I74" s="636" t="n"/>
      <c r="J74" s="17" t="n"/>
      <c r="K74" s="198" t="inlineStr">
        <is>
          <t>тыс.т.</t>
        </is>
      </c>
    </row>
    <row r="75" ht="21.75" customHeight="1" s="904">
      <c r="B75" s="651" t="n"/>
      <c r="C75" s="224" t="n"/>
      <c r="D75" s="428" t="inlineStr">
        <is>
          <t>ДТ зимнее</t>
        </is>
      </c>
      <c r="E75" s="15" t="inlineStr">
        <is>
          <t>100330813</t>
        </is>
      </c>
      <c r="F75" s="15" t="n"/>
      <c r="G75" s="16" t="n"/>
      <c r="H75" s="17" t="n"/>
      <c r="I75" s="636" t="n"/>
      <c r="J75" s="17" t="n"/>
      <c r="K75" s="198" t="inlineStr">
        <is>
          <t>тыс.т.</t>
        </is>
      </c>
    </row>
    <row r="76" ht="21.75" customHeight="1" s="904">
      <c r="B76" s="651" t="n"/>
      <c r="C76" s="224" t="n"/>
      <c r="D76" s="428" t="inlineStr">
        <is>
          <t>ДТ арктическое</t>
        </is>
      </c>
      <c r="E76" s="15" t="inlineStr">
        <is>
          <t>100330814</t>
        </is>
      </c>
      <c r="F76" s="15" t="n"/>
      <c r="G76" s="16" t="n"/>
      <c r="H76" s="17" t="n"/>
      <c r="I76" s="636" t="n"/>
      <c r="J76" s="17" t="n"/>
      <c r="K76" s="198" t="inlineStr">
        <is>
          <t>тыс.т.</t>
        </is>
      </c>
    </row>
    <row r="77" ht="21.75" customHeight="1" s="904">
      <c r="B77" s="651" t="n"/>
      <c r="C77" s="224" t="inlineStr">
        <is>
          <t>3.8</t>
        </is>
      </c>
      <c r="D77" s="651" t="inlineStr">
        <is>
          <t>Газойль (товар)</t>
        </is>
      </c>
      <c r="E77" s="15" t="inlineStr">
        <is>
          <t>100335767</t>
        </is>
      </c>
      <c r="F77" s="15" t="n"/>
      <c r="G77" s="16" t="n"/>
      <c r="H77" s="17" t="inlineStr">
        <is>
          <t>100337107+100337108</t>
        </is>
      </c>
      <c r="I77" s="636" t="n"/>
      <c r="J77" s="17" t="n"/>
      <c r="K77" s="198" t="inlineStr">
        <is>
          <t>тыс.т.</t>
        </is>
      </c>
    </row>
    <row r="78" ht="21.75" customHeight="1" s="904">
      <c r="B78" s="651" t="n"/>
      <c r="C78" s="224" t="n"/>
      <c r="D78" s="428" t="inlineStr">
        <is>
          <t>Товар</t>
        </is>
      </c>
      <c r="E78" s="15" t="inlineStr">
        <is>
          <t>100337107</t>
        </is>
      </c>
      <c r="F78" s="15" t="n"/>
      <c r="G78" s="16" t="n"/>
      <c r="H78" s="17" t="n"/>
      <c r="I78" s="636" t="n"/>
      <c r="J78" s="17" t="n"/>
      <c r="K78" s="198" t="inlineStr">
        <is>
          <t>тыс.т.</t>
        </is>
      </c>
    </row>
    <row r="79" ht="21.75" customHeight="1" s="904">
      <c r="B79" s="651" t="n"/>
      <c r="C79" s="224" t="n"/>
      <c r="D79" s="428" t="inlineStr">
        <is>
          <t>На завод "Мономер"</t>
        </is>
      </c>
      <c r="E79" s="15" t="inlineStr">
        <is>
          <t>100337108</t>
        </is>
      </c>
      <c r="F79" s="15" t="n"/>
      <c r="G79" s="16" t="n"/>
      <c r="H79" s="17" t="n"/>
      <c r="I79" s="636" t="n"/>
      <c r="J79" s="17" t="n"/>
      <c r="K79" s="198" t="inlineStr">
        <is>
          <t>тыс.т.</t>
        </is>
      </c>
    </row>
    <row r="80" ht="21.75" customHeight="1" s="904">
      <c r="B80" s="651" t="n"/>
      <c r="C80" s="224" t="inlineStr">
        <is>
          <t>3.9</t>
        </is>
      </c>
      <c r="D80" s="651" t="inlineStr">
        <is>
          <t>Топливо нефтяное АВТ</t>
        </is>
      </c>
      <c r="E80" s="15" t="inlineStr">
        <is>
          <t>100330819</t>
        </is>
      </c>
      <c r="F80" s="15" t="n"/>
      <c r="G80" s="16" t="n"/>
      <c r="H80" s="17" t="inlineStr">
        <is>
          <t>100336024+100336025</t>
        </is>
      </c>
      <c r="I80" s="636" t="n"/>
      <c r="J80" s="17" t="n"/>
      <c r="K80" s="198" t="inlineStr">
        <is>
          <t>тыс.т.</t>
        </is>
      </c>
    </row>
    <row r="81" ht="21.75" customHeight="1" s="904">
      <c r="B81" s="651" t="n"/>
      <c r="C81" s="224" t="n"/>
      <c r="D81" s="428" t="inlineStr">
        <is>
          <t>Товар</t>
        </is>
      </c>
      <c r="E81" s="15" t="inlineStr">
        <is>
          <t>100336024</t>
        </is>
      </c>
      <c r="F81" s="15" t="n"/>
      <c r="G81" s="16" t="n"/>
      <c r="H81" s="17" t="n"/>
      <c r="I81" s="636" t="n"/>
      <c r="J81" s="17" t="n"/>
      <c r="K81" s="198" t="inlineStr">
        <is>
          <t>тыс.т.</t>
        </is>
      </c>
    </row>
    <row r="82" ht="21.75" customHeight="1" s="904">
      <c r="B82" s="651" t="n"/>
      <c r="C82" s="224" t="n"/>
      <c r="D82" s="428" t="inlineStr">
        <is>
          <t>На завод "Мономер"</t>
        </is>
      </c>
      <c r="E82" s="15" t="inlineStr">
        <is>
          <t>100336025</t>
        </is>
      </c>
      <c r="F82" s="15" t="n"/>
      <c r="G82" s="16" t="n"/>
      <c r="H82" s="17" t="n"/>
      <c r="I82" s="636" t="n"/>
      <c r="J82" s="17" t="n"/>
      <c r="K82" s="198" t="inlineStr">
        <is>
          <t>тыс.т.</t>
        </is>
      </c>
    </row>
    <row r="83" ht="21.75" customHeight="1" s="904">
      <c r="B83" s="651" t="n"/>
      <c r="C83" s="224" t="inlineStr">
        <is>
          <t>3.10</t>
        </is>
      </c>
      <c r="D83" s="651" t="inlineStr">
        <is>
          <t>Мазут топочный (товар)</t>
        </is>
      </c>
      <c r="E83" s="15" t="inlineStr">
        <is>
          <t>100330822</t>
        </is>
      </c>
      <c r="F83" s="15" t="n"/>
      <c r="G83" s="16" t="n"/>
      <c r="H83" s="17" t="n"/>
      <c r="I83" s="636" t="n"/>
      <c r="J83" s="17" t="n"/>
      <c r="K83" s="198" t="inlineStr">
        <is>
          <t>тыс.т.</t>
        </is>
      </c>
    </row>
    <row r="84" ht="21.75" customHeight="1" s="904">
      <c r="B84" s="651" t="n"/>
      <c r="C84" s="224" t="inlineStr">
        <is>
          <t>3.11</t>
        </is>
      </c>
      <c r="D84" s="651" t="inlineStr">
        <is>
          <t>Сырье для битума/гудрон (товар)</t>
        </is>
      </c>
      <c r="E84" s="15" t="inlineStr">
        <is>
          <t>100330820</t>
        </is>
      </c>
      <c r="F84" s="15" t="n"/>
      <c r="G84" s="16" t="n"/>
      <c r="H84" s="17" t="n"/>
      <c r="I84" s="636" t="n"/>
      <c r="J84" s="17" t="n"/>
      <c r="K84" s="198" t="inlineStr">
        <is>
          <t>тыс.т.</t>
        </is>
      </c>
    </row>
    <row r="85" ht="21.75" customHeight="1" s="904">
      <c r="B85" s="651" t="n"/>
      <c r="C85" s="224" t="inlineStr">
        <is>
          <t>3.12</t>
        </is>
      </c>
      <c r="D85" s="651" t="inlineStr">
        <is>
          <t>Нефтебитум дорожный (товар)</t>
        </is>
      </c>
      <c r="E85" s="15" t="inlineStr">
        <is>
          <t>100330821</t>
        </is>
      </c>
      <c r="F85" s="15" t="n"/>
      <c r="G85" s="16" t="n"/>
      <c r="H85" s="17" t="n"/>
      <c r="I85" s="636" t="n"/>
      <c r="J85" s="17" t="n"/>
      <c r="K85" s="198" t="inlineStr">
        <is>
          <t>тыс.т.</t>
        </is>
      </c>
    </row>
    <row r="86" ht="21.75" customHeight="1" s="904">
      <c r="B86" s="651" t="n"/>
      <c r="C86" s="224" t="inlineStr">
        <is>
          <t>3.13</t>
        </is>
      </c>
      <c r="D86" s="651" t="inlineStr">
        <is>
          <t>Толуол</t>
        </is>
      </c>
      <c r="E86" s="15" t="inlineStr">
        <is>
          <t>100335766</t>
        </is>
      </c>
      <c r="F86" s="15" t="n"/>
      <c r="G86" s="16" t="n"/>
      <c r="H86" s="17" t="n"/>
      <c r="I86" s="636" t="n"/>
      <c r="J86" s="17" t="n"/>
      <c r="K86" s="198" t="inlineStr">
        <is>
          <t>тыс.т.</t>
        </is>
      </c>
    </row>
    <row r="87" ht="21.75" customHeight="1" s="904">
      <c r="B87" s="651" t="n"/>
      <c r="C87" s="224" t="n"/>
      <c r="D87" s="428" t="inlineStr">
        <is>
          <t>Товар</t>
        </is>
      </c>
      <c r="E87" s="15" t="inlineStr">
        <is>
          <t>100336026</t>
        </is>
      </c>
      <c r="F87" s="15" t="n"/>
      <c r="G87" s="16" t="n"/>
      <c r="H87" s="17" t="n"/>
      <c r="I87" s="636" t="n"/>
      <c r="J87" s="17" t="n"/>
      <c r="K87" s="198" t="inlineStr">
        <is>
          <t>тыс.т.</t>
        </is>
      </c>
    </row>
    <row r="88" ht="21.75" customHeight="1" s="904">
      <c r="B88" s="651" t="n"/>
      <c r="C88" s="224" t="n"/>
      <c r="D88" s="428" t="inlineStr">
        <is>
          <t>На завод "Мономер"</t>
        </is>
      </c>
      <c r="E88" s="15" t="inlineStr">
        <is>
          <t>100336027</t>
        </is>
      </c>
      <c r="F88" s="15" t="n"/>
      <c r="G88" s="16" t="n"/>
      <c r="H88" s="17" t="n"/>
      <c r="I88" s="636" t="n"/>
      <c r="J88" s="17" t="n"/>
      <c r="K88" s="198" t="inlineStr">
        <is>
          <t>тыс.т.</t>
        </is>
      </c>
    </row>
    <row r="89" ht="21.75" customHeight="1" s="904">
      <c r="B89" s="651" t="n"/>
      <c r="C89" s="224" t="n"/>
      <c r="D89" s="428" t="inlineStr">
        <is>
          <t>На ООО "Акрил-Салават"</t>
        </is>
      </c>
      <c r="E89" s="15" t="inlineStr">
        <is>
          <t>100336028</t>
        </is>
      </c>
      <c r="F89" s="15" t="n"/>
      <c r="G89" s="16" t="n"/>
      <c r="H89" s="17" t="n"/>
      <c r="I89" s="636" t="n"/>
      <c r="J89" s="17" t="n"/>
      <c r="K89" s="198" t="inlineStr">
        <is>
          <t>тыс.т.</t>
        </is>
      </c>
    </row>
    <row r="90" ht="21.75" customHeight="1" s="904">
      <c r="B90" s="651" t="n"/>
      <c r="C90" s="224" t="inlineStr">
        <is>
          <t>3.14</t>
        </is>
      </c>
      <c r="D90" s="651" t="inlineStr">
        <is>
          <t>Бензол</t>
        </is>
      </c>
      <c r="E90" s="15" t="inlineStr">
        <is>
          <t>100336029</t>
        </is>
      </c>
      <c r="F90" s="15" t="n"/>
      <c r="G90" s="16" t="n"/>
      <c r="H90" s="17" t="inlineStr">
        <is>
          <t>100336030</t>
        </is>
      </c>
      <c r="I90" s="636" t="n"/>
      <c r="J90" s="17" t="n"/>
      <c r="K90" s="198" t="inlineStr">
        <is>
          <t>тыс.т.</t>
        </is>
      </c>
    </row>
    <row r="91" ht="21.75" customHeight="1" s="904">
      <c r="B91" s="651" t="n"/>
      <c r="C91" s="224" t="n"/>
      <c r="D91" s="428" t="inlineStr">
        <is>
          <t>На завод "Мономер"</t>
        </is>
      </c>
      <c r="E91" s="15" t="inlineStr">
        <is>
          <t>100336030</t>
        </is>
      </c>
      <c r="F91" s="15" t="n"/>
      <c r="G91" s="16" t="n"/>
      <c r="H91" s="17" t="n"/>
      <c r="I91" s="636" t="n"/>
      <c r="J91" s="17" t="n"/>
      <c r="K91" s="198" t="inlineStr">
        <is>
          <t>тыс.т.</t>
        </is>
      </c>
    </row>
    <row r="92" ht="21.75" customHeight="1" s="904">
      <c r="B92" s="651" t="n"/>
      <c r="C92" s="224" t="inlineStr">
        <is>
          <t>3.15</t>
        </is>
      </c>
      <c r="D92" s="651" t="inlineStr">
        <is>
          <t>Сольвент</t>
        </is>
      </c>
      <c r="E92" s="15" t="inlineStr">
        <is>
          <t>100336031</t>
        </is>
      </c>
      <c r="F92" s="15" t="n"/>
      <c r="G92" s="16" t="n"/>
      <c r="H92" s="17" t="n"/>
      <c r="I92" s="636" t="n"/>
      <c r="J92" s="17" t="n"/>
      <c r="K92" s="198" t="inlineStr">
        <is>
          <t>тыс.т.</t>
        </is>
      </c>
    </row>
    <row r="93" ht="21.75" customHeight="1" s="904">
      <c r="B93" s="651" t="n"/>
      <c r="C93" s="224" t="n"/>
      <c r="D93" s="428" t="inlineStr">
        <is>
          <t>На завод "Мономер"</t>
        </is>
      </c>
      <c r="E93" s="15" t="inlineStr">
        <is>
          <t>100336032</t>
        </is>
      </c>
      <c r="F93" s="15" t="n"/>
      <c r="G93" s="16" t="n"/>
      <c r="H93" s="17" t="n"/>
      <c r="I93" s="636" t="n"/>
      <c r="J93" s="17" t="n"/>
      <c r="K93" s="198" t="inlineStr">
        <is>
          <t>тыс.т.</t>
        </is>
      </c>
    </row>
    <row r="94" ht="21.75" customHeight="1" s="904">
      <c r="B94" s="651" t="n"/>
      <c r="C94" s="224" t="inlineStr">
        <is>
          <t>3.16</t>
        </is>
      </c>
      <c r="D94" s="651" t="inlineStr">
        <is>
          <t>Фракция пропан-пропиленовая ККФ</t>
        </is>
      </c>
      <c r="E94" s="15" t="inlineStr">
        <is>
          <t>100335102</t>
        </is>
      </c>
      <c r="F94" s="15" t="n"/>
      <c r="G94" s="16" t="n"/>
      <c r="H94" s="17" t="n"/>
      <c r="I94" s="636" t="n"/>
      <c r="J94" s="17" t="n"/>
      <c r="K94" s="198" t="inlineStr">
        <is>
          <t>тыс.т.</t>
        </is>
      </c>
    </row>
    <row r="95" ht="21.75" customHeight="1" s="904">
      <c r="B95" s="651" t="n"/>
      <c r="C95" s="224" t="n"/>
      <c r="D95" s="428" t="inlineStr">
        <is>
          <t>Товар</t>
        </is>
      </c>
      <c r="E95" s="15" t="inlineStr">
        <is>
          <t>100336033</t>
        </is>
      </c>
      <c r="F95" s="15" t="n"/>
      <c r="G95" s="16" t="n"/>
      <c r="H95" s="17" t="n"/>
      <c r="I95" s="636" t="n"/>
      <c r="J95" s="17" t="n"/>
      <c r="K95" s="198" t="inlineStr">
        <is>
          <t>тыс.т.</t>
        </is>
      </c>
    </row>
    <row r="96" ht="21.75" customHeight="1" s="904">
      <c r="B96" s="651" t="n"/>
      <c r="C96" s="224" t="n"/>
      <c r="D96" s="428" t="inlineStr">
        <is>
          <t>На завод "Мономер" (производство бутиловых спиртов)</t>
        </is>
      </c>
      <c r="E96" s="15" t="inlineStr">
        <is>
          <t>100336034</t>
        </is>
      </c>
      <c r="F96" s="15" t="n"/>
      <c r="G96" s="16" t="n"/>
      <c r="H96" s="17" t="n"/>
      <c r="I96" s="636" t="n"/>
      <c r="J96" s="17" t="n"/>
      <c r="K96" s="198" t="inlineStr">
        <is>
          <t>тыс.т.</t>
        </is>
      </c>
    </row>
    <row r="97" ht="21.75" customHeight="1" s="904">
      <c r="B97" s="651" t="n"/>
      <c r="C97" s="224" t="n"/>
      <c r="D97" s="428" t="inlineStr">
        <is>
          <t>На завод "Мономер" (производство ЭП-355)</t>
        </is>
      </c>
      <c r="E97" s="15" t="inlineStr">
        <is>
          <t>100336035</t>
        </is>
      </c>
      <c r="F97" s="15" t="n"/>
      <c r="G97" s="16" t="n"/>
      <c r="H97" s="17" t="n"/>
      <c r="I97" s="636" t="n"/>
      <c r="J97" s="17" t="n"/>
      <c r="K97" s="198" t="inlineStr">
        <is>
          <t>тыс.т.</t>
        </is>
      </c>
    </row>
    <row r="98" ht="21.75" customHeight="1" s="904">
      <c r="B98" s="651" t="n"/>
      <c r="C98" s="224" t="inlineStr">
        <is>
          <t>3.17</t>
        </is>
      </c>
      <c r="D98" s="651" t="inlineStr">
        <is>
          <t>Фракция бутан-бутиленовая ККФ</t>
        </is>
      </c>
      <c r="E98" s="15" t="inlineStr">
        <is>
          <t>100335103</t>
        </is>
      </c>
      <c r="F98" s="15" t="n"/>
      <c r="G98" s="16" t="n"/>
      <c r="H98" s="17" t="n"/>
      <c r="I98" s="636" t="n"/>
      <c r="J98" s="17" t="n"/>
      <c r="K98" s="198" t="inlineStr">
        <is>
          <t>тыс.т.</t>
        </is>
      </c>
    </row>
    <row r="99" ht="21.75" customHeight="1" s="904">
      <c r="B99" s="651" t="n"/>
      <c r="C99" s="224" t="n"/>
      <c r="D99" s="428" t="inlineStr">
        <is>
          <t>Товар</t>
        </is>
      </c>
      <c r="E99" s="15" t="inlineStr">
        <is>
          <t>100336036</t>
        </is>
      </c>
      <c r="F99" s="15" t="n"/>
      <c r="G99" s="16" t="n"/>
      <c r="H99" s="17" t="n"/>
      <c r="I99" s="636" t="n"/>
      <c r="J99" s="17" t="n"/>
      <c r="K99" s="198" t="inlineStr">
        <is>
          <t>тыс.т.</t>
        </is>
      </c>
    </row>
    <row r="100" ht="21.75" customHeight="1" s="904">
      <c r="B100" s="651" t="n"/>
      <c r="C100" s="224" t="n"/>
      <c r="D100" s="428" t="inlineStr">
        <is>
          <t xml:space="preserve">На завод "Мономер" </t>
        </is>
      </c>
      <c r="E100" s="15" t="inlineStr">
        <is>
          <t>100336037</t>
        </is>
      </c>
      <c r="F100" s="15" t="n"/>
      <c r="G100" s="16" t="n"/>
      <c r="H100" s="17" t="n"/>
      <c r="I100" s="636" t="n"/>
      <c r="J100" s="17" t="n"/>
      <c r="K100" s="198" t="inlineStr">
        <is>
          <t>тыс.т.</t>
        </is>
      </c>
    </row>
    <row r="101" ht="21.75" customHeight="1" s="904">
      <c r="B101" s="651" t="n"/>
      <c r="C101" s="224" t="inlineStr">
        <is>
          <t>3.18</t>
        </is>
      </c>
      <c r="D101" s="429" t="inlineStr">
        <is>
          <t>Сероводород технический (валовый)</t>
        </is>
      </c>
      <c r="E101" s="15" t="inlineStr">
        <is>
          <t>100336038</t>
        </is>
      </c>
      <c r="F101" s="15" t="n"/>
      <c r="G101" s="16" t="n"/>
      <c r="H101" s="17" t="n"/>
      <c r="I101" s="636" t="n"/>
      <c r="J101" s="17" t="n"/>
      <c r="K101" s="198" t="inlineStr">
        <is>
          <t>тыс.т.</t>
        </is>
      </c>
    </row>
    <row r="102" ht="21.75" customHeight="1" s="904">
      <c r="B102" s="651" t="n"/>
      <c r="C102" s="224" t="n"/>
      <c r="D102" s="430" t="inlineStr">
        <is>
          <t>Сера (товар)</t>
        </is>
      </c>
      <c r="E102" s="15" t="inlineStr">
        <is>
          <t>100330809</t>
        </is>
      </c>
      <c r="F102" s="15" t="n"/>
      <c r="G102" s="16" t="n"/>
      <c r="H102" s="17" t="n"/>
      <c r="I102" s="636" t="n"/>
      <c r="J102" s="17" t="n"/>
      <c r="K102" s="198" t="inlineStr">
        <is>
          <t>тыс.т.</t>
        </is>
      </c>
    </row>
    <row r="103" ht="21.75" customHeight="1" s="904">
      <c r="B103" s="651" t="n"/>
      <c r="C103" s="224" t="inlineStr">
        <is>
          <t>3.19</t>
        </is>
      </c>
      <c r="D103" s="651" t="inlineStr">
        <is>
          <t>Керосин гидроочищенный</t>
        </is>
      </c>
      <c r="E103" s="15" t="inlineStr">
        <is>
          <t>100336039</t>
        </is>
      </c>
      <c r="F103" s="15" t="n"/>
      <c r="G103" s="16" t="n"/>
      <c r="H103" s="17" t="n"/>
      <c r="I103" s="636" t="n"/>
      <c r="J103" s="17" t="n"/>
      <c r="K103" s="198" t="inlineStr">
        <is>
          <t>тыс.т.</t>
        </is>
      </c>
    </row>
    <row r="104" ht="21.75" customHeight="1" s="904">
      <c r="B104" s="651" t="n"/>
      <c r="C104" s="224" t="n"/>
      <c r="D104" s="428" t="inlineStr">
        <is>
          <t>Товар</t>
        </is>
      </c>
      <c r="E104" s="15" t="inlineStr">
        <is>
          <t>100336040</t>
        </is>
      </c>
      <c r="F104" s="15" t="n"/>
      <c r="G104" s="16" t="n"/>
      <c r="H104" s="17" t="n"/>
      <c r="I104" s="636" t="n"/>
      <c r="J104" s="17" t="n"/>
      <c r="K104" s="198" t="inlineStr">
        <is>
          <t>тыс.т.</t>
        </is>
      </c>
    </row>
    <row r="105" ht="21.75" customHeight="1" s="904">
      <c r="B105" s="651" t="n"/>
      <c r="C105" s="224" t="inlineStr">
        <is>
          <t>3.20</t>
        </is>
      </c>
      <c r="D105" s="651" t="inlineStr">
        <is>
          <t>Топливо на собственные нужды</t>
        </is>
      </c>
      <c r="E105" s="15" t="inlineStr">
        <is>
          <t>100336041</t>
        </is>
      </c>
      <c r="F105" s="15" t="n"/>
      <c r="G105" s="16" t="n"/>
      <c r="H105" s="17" t="n"/>
      <c r="I105" s="636" t="n"/>
      <c r="J105" s="17" t="n"/>
      <c r="K105" s="198" t="inlineStr">
        <is>
          <t>тыс.т.</t>
        </is>
      </c>
    </row>
    <row r="106" ht="21.75" customHeight="1" s="904">
      <c r="B106" s="651" t="n"/>
      <c r="C106" s="224" t="inlineStr">
        <is>
          <t>4</t>
        </is>
      </c>
      <c r="D106" s="654" t="inlineStr">
        <is>
          <t>Продукция (сырье) переданная на склад</t>
        </is>
      </c>
      <c r="E106" s="15" t="inlineStr">
        <is>
          <t>100336042</t>
        </is>
      </c>
      <c r="F106" s="15" t="n"/>
      <c r="G106" s="16" t="n"/>
      <c r="H106" s="17" t="n"/>
      <c r="I106" s="636" t="n"/>
      <c r="J106" s="17" t="n"/>
      <c r="K106" s="198" t="inlineStr">
        <is>
          <t>тыс.т.</t>
        </is>
      </c>
    </row>
    <row r="107" ht="21.75" customHeight="1" s="904">
      <c r="B107" s="651" t="n"/>
      <c r="C107" s="224" t="inlineStr">
        <is>
          <t>5</t>
        </is>
      </c>
      <c r="D107" s="429" t="inlineStr">
        <is>
          <t>Потери</t>
        </is>
      </c>
      <c r="E107" s="15" t="inlineStr">
        <is>
          <t>100336043</t>
        </is>
      </c>
      <c r="F107" s="15" t="n"/>
      <c r="G107" s="16" t="n"/>
      <c r="H107" s="17" t="inlineStr">
        <is>
          <t>100330802-100330107-100336019-100330815-100335765-100330817-100330944-100330123-100335767-100330819-100330822-100330820-100330821-100336026-100336027-100336028-100336029-100336032-100336033-100336034-100336035-100336036-100336037-100336038-100336039-100336041-100336042</t>
        </is>
      </c>
      <c r="I107" s="636" t="n"/>
      <c r="J107" s="17" t="n"/>
      <c r="K107" s="198" t="inlineStr">
        <is>
          <t>тыс.т.</t>
        </is>
      </c>
    </row>
    <row r="108" ht="21.75" customHeight="1" s="904">
      <c r="B108" s="651" t="n"/>
      <c r="C108" s="224" t="n"/>
      <c r="D108" s="431" t="inlineStr">
        <is>
          <t>Материальный баланс  ПАО "Газпром"</t>
        </is>
      </c>
      <c r="E108" s="15" t="inlineStr">
        <is>
          <t>100336044</t>
        </is>
      </c>
      <c r="F108" s="15" t="n"/>
      <c r="G108" s="16" t="n"/>
      <c r="H108" s="17" t="inlineStr">
        <is>
          <t>100330802-100330107-100336019-100330815-100335765-100330817-100330944-100330123-100335767-100330819-100330822-100330820-100330821-100336026-100336027-100336028-100336030-100336032-100336033-100336034-100336035-100336036-100336037-100336038-100336039-100336041-100336042-100336043</t>
        </is>
      </c>
      <c r="I108" s="636" t="n"/>
      <c r="J108" s="17" t="n"/>
      <c r="K108" s="432" t="inlineStr">
        <is>
          <t>тыс.т.</t>
        </is>
      </c>
    </row>
    <row r="109" ht="21.75" customHeight="1" s="904">
      <c r="B109" s="651" t="n"/>
      <c r="C109" s="416" t="inlineStr">
        <is>
          <t>ЗАВОД "МОНОМЕР"</t>
        </is>
      </c>
      <c r="D109" s="417" t="n"/>
      <c r="E109" s="15" t="n"/>
      <c r="F109" s="15" t="n"/>
      <c r="G109" s="16" t="n"/>
      <c r="H109" s="17" t="n"/>
      <c r="I109" s="636" t="n"/>
      <c r="J109" s="17" t="n"/>
      <c r="K109" s="433" t="n"/>
    </row>
    <row r="110" ht="42.75" customHeight="1" s="904">
      <c r="B110" s="651" t="n"/>
      <c r="C110" s="420" t="inlineStr">
        <is>
          <t>1.</t>
        </is>
      </c>
      <c r="D110" s="419" t="inlineStr">
        <is>
          <t>ПОСТАВКА (ПОКУПКА) СЫРЬЯ  
ООО "ГАЗПРОМ НЕФТЕХИМ САЛАВАТ":</t>
        </is>
      </c>
      <c r="E110" s="15" t="inlineStr">
        <is>
          <t>100336045</t>
        </is>
      </c>
      <c r="F110" s="15" t="n"/>
      <c r="G110" s="16" t="n"/>
      <c r="H110" s="17" t="inlineStr">
        <is>
          <t>100336046+100330826+100336052+100330827+100336056+100336057+100336061</t>
        </is>
      </c>
      <c r="I110" s="636" t="n"/>
      <c r="J110" s="17" t="n"/>
      <c r="K110" s="421" t="inlineStr">
        <is>
          <t>тыс.т.</t>
        </is>
      </c>
    </row>
    <row r="111" ht="21.75" customHeight="1" s="904">
      <c r="B111" s="651" t="n"/>
      <c r="C111" s="224" t="inlineStr">
        <is>
          <t>1.1</t>
        </is>
      </c>
      <c r="D111" s="422" t="inlineStr">
        <is>
          <t>Бензин</t>
        </is>
      </c>
      <c r="E111" s="15" t="inlineStr">
        <is>
          <t>100336046</t>
        </is>
      </c>
      <c r="F111" s="15" t="n"/>
      <c r="G111" s="16" t="n"/>
      <c r="H111" s="17" t="inlineStr">
        <is>
          <t>100336047</t>
        </is>
      </c>
      <c r="I111" s="636" t="n"/>
      <c r="J111" s="17" t="n"/>
      <c r="K111" s="198" t="inlineStr">
        <is>
          <t>тыс.т.</t>
        </is>
      </c>
    </row>
    <row r="112" ht="21.75" customHeight="1" s="904">
      <c r="B112" s="651" t="n"/>
      <c r="C112" s="224" t="n"/>
      <c r="D112" s="423" t="inlineStr">
        <is>
          <t>НПЗ ООО "Газпром нефтехим Салават"</t>
        </is>
      </c>
      <c r="E112" s="15" t="inlineStr">
        <is>
          <t>100336047</t>
        </is>
      </c>
      <c r="F112" s="15" t="n"/>
      <c r="G112" s="16" t="n"/>
      <c r="H112" s="17" t="inlineStr">
        <is>
          <t>100336019</t>
        </is>
      </c>
      <c r="I112" s="636" t="n"/>
      <c r="J112" s="17" t="n"/>
      <c r="K112" s="198" t="inlineStr">
        <is>
          <t>тыс.т.</t>
        </is>
      </c>
    </row>
    <row r="113" ht="21.75" customHeight="1" s="904">
      <c r="B113" s="651" t="n"/>
      <c r="C113" s="224" t="inlineStr">
        <is>
          <t>1.2</t>
        </is>
      </c>
      <c r="D113" s="422" t="inlineStr">
        <is>
          <t>ШФЛУ</t>
        </is>
      </c>
      <c r="E113" s="15" t="inlineStr">
        <is>
          <t>100330826</t>
        </is>
      </c>
      <c r="F113" s="15" t="n"/>
      <c r="G113" s="16" t="n"/>
      <c r="H113" s="17" t="inlineStr">
        <is>
          <t>100336048+100336051</t>
        </is>
      </c>
      <c r="I113" s="636" t="n"/>
      <c r="J113" s="17" t="n"/>
      <c r="K113" s="198" t="inlineStr">
        <is>
          <t>тыс.т.</t>
        </is>
      </c>
    </row>
    <row r="114" ht="21.75" customHeight="1" s="904">
      <c r="B114" s="651" t="n"/>
      <c r="C114" s="224" t="n"/>
      <c r="D114" s="700" t="inlineStr">
        <is>
          <t xml:space="preserve">        ПАО "Газпром":</t>
        </is>
      </c>
      <c r="E114" s="15" t="inlineStr">
        <is>
          <t>100336048</t>
        </is>
      </c>
      <c r="F114" s="15" t="n"/>
      <c r="G114" s="16" t="n"/>
      <c r="H114" s="17" t="inlineStr">
        <is>
          <t>100336049+100336050</t>
        </is>
      </c>
      <c r="I114" s="636" t="n"/>
      <c r="J114" s="17" t="n"/>
      <c r="K114" s="198" t="inlineStr">
        <is>
          <t>тыс.т.</t>
        </is>
      </c>
    </row>
    <row r="115" ht="21.75" customHeight="1" s="904">
      <c r="B115" s="651" t="n"/>
      <c r="C115" s="224" t="n"/>
      <c r="D115" s="423" t="inlineStr">
        <is>
          <t>Астраханский ГПЗ</t>
        </is>
      </c>
      <c r="E115" s="15" t="inlineStr">
        <is>
          <t>100336049</t>
        </is>
      </c>
      <c r="F115" s="15" t="n"/>
      <c r="G115" s="16" t="n"/>
      <c r="H115" s="17" t="n"/>
      <c r="I115" s="636" t="n"/>
      <c r="J115" s="17" t="n"/>
      <c r="K115" s="198" t="inlineStr">
        <is>
          <t>тыс.т.</t>
        </is>
      </c>
    </row>
    <row r="116" ht="21.75" customHeight="1" s="904">
      <c r="B116" s="651" t="n"/>
      <c r="C116" s="224" t="n"/>
      <c r="D116" s="423" t="inlineStr">
        <is>
          <t>Оренбургский ГПЗ</t>
        </is>
      </c>
      <c r="E116" s="15" t="inlineStr">
        <is>
          <t>100336050</t>
        </is>
      </c>
      <c r="F116" s="15" t="n"/>
      <c r="G116" s="16" t="n"/>
      <c r="H116" s="17" t="n"/>
      <c r="I116" s="636" t="n"/>
      <c r="J116" s="17" t="n"/>
      <c r="K116" s="198" t="inlineStr">
        <is>
          <t>тыс.т.</t>
        </is>
      </c>
    </row>
    <row r="117" ht="21.75" customHeight="1" s="904">
      <c r="B117" s="651" t="n"/>
      <c r="C117" s="224" t="n"/>
      <c r="D117" s="423" t="inlineStr">
        <is>
          <t>НПЗ ООО "Газпром нефтехим Салават"</t>
        </is>
      </c>
      <c r="E117" s="15" t="inlineStr">
        <is>
          <t>100336051</t>
        </is>
      </c>
      <c r="F117" s="15" t="n"/>
      <c r="G117" s="16" t="n"/>
      <c r="H117" s="17" t="inlineStr">
        <is>
          <t>100336023+100336037+100336035</t>
        </is>
      </c>
      <c r="I117" s="636" t="n"/>
      <c r="J117" s="17" t="n"/>
      <c r="K117" s="198" t="inlineStr">
        <is>
          <t>тыс.т.</t>
        </is>
      </c>
    </row>
    <row r="118" ht="21.75" customHeight="1" s="904">
      <c r="B118" s="651" t="n"/>
      <c r="C118" s="224" t="inlineStr">
        <is>
          <t>1.3</t>
        </is>
      </c>
      <c r="D118" s="654" t="inlineStr">
        <is>
          <t>Газы углеводородные сжиженные</t>
        </is>
      </c>
      <c r="E118" s="15" t="inlineStr">
        <is>
          <t>100336052</t>
        </is>
      </c>
      <c r="F118" s="15" t="n"/>
      <c r="G118" s="16" t="n"/>
      <c r="H118" s="17" t="inlineStr">
        <is>
          <t>100336053</t>
        </is>
      </c>
      <c r="I118" s="636" t="n"/>
      <c r="J118" s="17" t="n"/>
      <c r="K118" s="198" t="inlineStr">
        <is>
          <t>тыс.т.</t>
        </is>
      </c>
    </row>
    <row r="119" ht="21.75" customHeight="1" s="904">
      <c r="B119" s="651" t="n"/>
      <c r="C119" s="224" t="n"/>
      <c r="D119" s="423" t="inlineStr">
        <is>
          <t>Сургутский ЗСК</t>
        </is>
      </c>
      <c r="E119" s="15" t="inlineStr">
        <is>
          <t>100336053</t>
        </is>
      </c>
      <c r="F119" s="15" t="n"/>
      <c r="G119" s="16" t="n"/>
      <c r="H119" s="17" t="n"/>
      <c r="I119" s="636" t="n"/>
      <c r="J119" s="17" t="n"/>
      <c r="K119" s="198" t="inlineStr">
        <is>
          <t>тыс.т.</t>
        </is>
      </c>
    </row>
    <row r="120" ht="21.75" customHeight="1" s="904">
      <c r="B120" s="651" t="n"/>
      <c r="C120" s="224" t="inlineStr">
        <is>
          <t>1.4</t>
        </is>
      </c>
      <c r="D120" s="422" t="inlineStr">
        <is>
          <t>Фракция этановая</t>
        </is>
      </c>
      <c r="E120" s="15" t="inlineStr">
        <is>
          <t>100330827</t>
        </is>
      </c>
      <c r="F120" s="15" t="n"/>
      <c r="G120" s="16" t="n"/>
      <c r="H120" s="17" t="inlineStr">
        <is>
          <t>100336054</t>
        </is>
      </c>
      <c r="I120" s="636" t="n"/>
      <c r="J120" s="17" t="n"/>
      <c r="K120" s="198" t="inlineStr">
        <is>
          <t>тыс.т.</t>
        </is>
      </c>
    </row>
    <row r="121" ht="21.75" customHeight="1" s="904">
      <c r="B121" s="651" t="n"/>
      <c r="C121" s="224" t="n"/>
      <c r="D121" s="434" t="inlineStr">
        <is>
          <t xml:space="preserve">        ПАО "Газпром":</t>
        </is>
      </c>
      <c r="E121" s="15" t="inlineStr">
        <is>
          <t>100336054</t>
        </is>
      </c>
      <c r="F121" s="15" t="n"/>
      <c r="G121" s="16" t="n"/>
      <c r="H121" s="17" t="inlineStr">
        <is>
          <t>100336055</t>
        </is>
      </c>
      <c r="I121" s="636" t="n"/>
      <c r="J121" s="17" t="n"/>
      <c r="K121" s="198" t="inlineStr">
        <is>
          <t>тыс.т.</t>
        </is>
      </c>
    </row>
    <row r="122" ht="21.75" customHeight="1" s="904">
      <c r="B122" s="651" t="n"/>
      <c r="C122" s="224" t="n"/>
      <c r="D122" s="423" t="inlineStr">
        <is>
          <t>Оренбургский ГЗ</t>
        </is>
      </c>
      <c r="E122" s="15" t="inlineStr">
        <is>
          <t>100336055</t>
        </is>
      </c>
      <c r="F122" s="15" t="n"/>
      <c r="G122" s="16" t="n"/>
      <c r="H122" s="17" t="n"/>
      <c r="I122" s="636" t="n"/>
      <c r="J122" s="17" t="n"/>
      <c r="K122" s="198" t="inlineStr">
        <is>
          <t>тыс.т.</t>
        </is>
      </c>
    </row>
    <row r="123" ht="42.75" customHeight="1" s="904">
      <c r="B123" s="651" t="n"/>
      <c r="C123" s="224" t="inlineStr">
        <is>
          <t>1.5</t>
        </is>
      </c>
      <c r="D123" s="435" t="inlineStr">
        <is>
          <t xml:space="preserve">Продукция (сырье) с НПЗ ООО "Газпром нефтехим Салават" </t>
        </is>
      </c>
      <c r="E123" s="15" t="inlineStr">
        <is>
          <t>100336056</t>
        </is>
      </c>
      <c r="F123" s="15" t="n"/>
      <c r="G123" s="16" t="n"/>
      <c r="H123" s="17" t="inlineStr">
        <is>
          <t>100336027+100336030+100336032</t>
        </is>
      </c>
      <c r="I123" s="636" t="n"/>
      <c r="J123" s="17" t="n"/>
      <c r="K123" s="198" t="inlineStr">
        <is>
          <t>тыс.т.</t>
        </is>
      </c>
    </row>
    <row r="124" ht="21.75" customHeight="1" s="904">
      <c r="B124" s="651" t="n"/>
      <c r="C124" s="224" t="inlineStr">
        <is>
          <t>1.6</t>
        </is>
      </c>
      <c r="D124" s="422" t="inlineStr">
        <is>
          <t>Пропилен</t>
        </is>
      </c>
      <c r="E124" s="15" t="inlineStr">
        <is>
          <t>100336057</t>
        </is>
      </c>
      <c r="F124" s="15" t="n"/>
      <c r="G124" s="16" t="n"/>
      <c r="H124" s="17" t="inlineStr">
        <is>
          <t>100336058+100336059+100336060</t>
        </is>
      </c>
      <c r="I124" s="636" t="n"/>
      <c r="J124" s="17" t="n"/>
      <c r="K124" s="198" t="inlineStr">
        <is>
          <t>тыс.т.</t>
        </is>
      </c>
    </row>
    <row r="125" ht="21.75" customHeight="1" s="904">
      <c r="B125" s="651" t="n"/>
      <c r="C125" s="224" t="n"/>
      <c r="D125" s="423" t="inlineStr">
        <is>
          <t>Пропилен покупной</t>
        </is>
      </c>
      <c r="E125" s="15" t="inlineStr">
        <is>
          <t>100336058</t>
        </is>
      </c>
      <c r="F125" s="15" t="n"/>
      <c r="G125" s="16" t="n"/>
      <c r="H125" s="17" t="n"/>
      <c r="I125" s="636" t="n"/>
      <c r="J125" s="17" t="n"/>
      <c r="K125" s="198" t="inlineStr">
        <is>
          <t>тыс.т.</t>
        </is>
      </c>
    </row>
    <row r="126" ht="21.75" customHeight="1" s="904">
      <c r="B126" s="651" t="n"/>
      <c r="C126" s="224" t="n"/>
      <c r="D126" s="700" t="inlineStr">
        <is>
          <t xml:space="preserve">        Завод "Мономер" ООО "Газпром нефтехим Салават"</t>
        </is>
      </c>
      <c r="E126" s="15" t="inlineStr">
        <is>
          <t>100336059</t>
        </is>
      </c>
      <c r="F126" s="15" t="n"/>
      <c r="G126" s="16" t="n"/>
      <c r="H126" s="17" t="n"/>
      <c r="I126" s="636" t="n"/>
      <c r="J126" s="17" t="n"/>
      <c r="K126" s="198" t="inlineStr">
        <is>
          <t>тыс.т.</t>
        </is>
      </c>
    </row>
    <row r="127" ht="21.75" customHeight="1" s="904">
      <c r="B127" s="651" t="n"/>
      <c r="C127" s="224" t="n"/>
      <c r="D127" s="658" t="inlineStr">
        <is>
          <t xml:space="preserve">        НПЗ ООО "Газпром нефтехим Салават" (ККФ)</t>
        </is>
      </c>
      <c r="E127" s="15" t="inlineStr">
        <is>
          <t>100336060</t>
        </is>
      </c>
      <c r="F127" s="15" t="n"/>
      <c r="G127" s="16" t="n"/>
      <c r="H127" s="17" t="inlineStr">
        <is>
          <t>100336034</t>
        </is>
      </c>
      <c r="I127" s="636" t="n"/>
      <c r="J127" s="17" t="n"/>
      <c r="K127" s="198" t="inlineStr">
        <is>
          <t>тыс.т.</t>
        </is>
      </c>
    </row>
    <row r="128" ht="21.75" customHeight="1" s="904">
      <c r="B128" s="651" t="n"/>
      <c r="C128" s="224" t="inlineStr">
        <is>
          <t>1.7</t>
        </is>
      </c>
      <c r="D128" s="654" t="inlineStr">
        <is>
          <t>Ортоксилол</t>
        </is>
      </c>
      <c r="E128" s="15" t="inlineStr">
        <is>
          <t>100336061</t>
        </is>
      </c>
      <c r="F128" s="15" t="n"/>
      <c r="G128" s="16" t="n"/>
      <c r="H128" s="17" t="n"/>
      <c r="I128" s="636" t="n"/>
      <c r="J128" s="17" t="n"/>
      <c r="K128" s="198" t="inlineStr">
        <is>
          <t>тыс.т.</t>
        </is>
      </c>
    </row>
    <row r="129" ht="42.75" customHeight="1" s="904">
      <c r="B129" s="651" t="n"/>
      <c r="C129" s="420" t="inlineStr">
        <is>
          <t>2.</t>
        </is>
      </c>
      <c r="D129" s="419" t="inlineStr">
        <is>
          <t>ПЕРЕРАБОТКА СЫРЬЯ 
ООО "ГАЗПРОМ НЕФТЕХИМ САЛАВАТ":</t>
        </is>
      </c>
      <c r="E129" s="15" t="inlineStr">
        <is>
          <t>100330823</t>
        </is>
      </c>
      <c r="F129" s="15" t="n"/>
      <c r="G129" s="16" t="n"/>
      <c r="H129" s="17" t="inlineStr">
        <is>
          <t>100330824+100330825+100336067+100336069+100336072+100336073+100336077+100336078</t>
        </is>
      </c>
      <c r="I129" s="636" t="n"/>
      <c r="J129" s="17" t="n"/>
      <c r="K129" s="421" t="n"/>
    </row>
    <row r="130" ht="21.75" customHeight="1" s="904">
      <c r="B130" s="651" t="n"/>
      <c r="C130" s="224" t="inlineStr">
        <is>
          <t>2.1</t>
        </is>
      </c>
      <c r="D130" s="422" t="inlineStr">
        <is>
          <t>Бензин</t>
        </is>
      </c>
      <c r="E130" s="15" t="inlineStr">
        <is>
          <t>100330824</t>
        </is>
      </c>
      <c r="F130" s="15" t="n"/>
      <c r="G130" s="16" t="n"/>
      <c r="H130" s="17" t="n"/>
      <c r="I130" s="636" t="n"/>
      <c r="J130" s="17" t="n"/>
      <c r="K130" s="198" t="inlineStr">
        <is>
          <t>тыс.т.</t>
        </is>
      </c>
    </row>
    <row r="131" ht="21.75" customHeight="1" s="904">
      <c r="B131" s="651" t="n"/>
      <c r="C131" s="224" t="n"/>
      <c r="D131" s="423" t="inlineStr">
        <is>
          <t>НПЗ ООО "Газпром нефтехим Салават"</t>
        </is>
      </c>
      <c r="E131" s="15" t="inlineStr">
        <is>
          <t>100336062</t>
        </is>
      </c>
      <c r="F131" s="15" t="n"/>
      <c r="G131" s="16" t="n"/>
      <c r="H131" s="17" t="n"/>
      <c r="I131" s="636" t="n"/>
      <c r="J131" s="17" t="n"/>
      <c r="K131" s="198" t="inlineStr">
        <is>
          <t>тыс.т.</t>
        </is>
      </c>
    </row>
    <row r="132" ht="21.75" customHeight="1" s="904">
      <c r="B132" s="651" t="n"/>
      <c r="C132" s="224" t="inlineStr">
        <is>
          <t>2.2</t>
        </is>
      </c>
      <c r="D132" s="422" t="inlineStr">
        <is>
          <t>ШФЛУ</t>
        </is>
      </c>
      <c r="E132" s="15" t="inlineStr">
        <is>
          <t>100330825</t>
        </is>
      </c>
      <c r="F132" s="15" t="n"/>
      <c r="G132" s="16" t="n"/>
      <c r="H132" s="17" t="inlineStr">
        <is>
          <t>100336063+100336066</t>
        </is>
      </c>
      <c r="I132" s="636" t="n"/>
      <c r="J132" s="17" t="n"/>
      <c r="K132" s="198" t="inlineStr">
        <is>
          <t>тыс.т.</t>
        </is>
      </c>
    </row>
    <row r="133" ht="21.75" customHeight="1" s="904">
      <c r="B133" s="651" t="n"/>
      <c r="C133" s="224" t="n"/>
      <c r="D133" s="700" t="inlineStr">
        <is>
          <t xml:space="preserve">        ПАО "Газпром":</t>
        </is>
      </c>
      <c r="E133" s="15" t="inlineStr">
        <is>
          <t>100336063</t>
        </is>
      </c>
      <c r="F133" s="15" t="n"/>
      <c r="G133" s="16" t="n"/>
      <c r="H133" s="17" t="inlineStr">
        <is>
          <t>100336064+100336065</t>
        </is>
      </c>
      <c r="I133" s="636" t="n"/>
      <c r="J133" s="17" t="n"/>
      <c r="K133" s="198" t="inlineStr">
        <is>
          <t>тыс.т.</t>
        </is>
      </c>
    </row>
    <row r="134" ht="21.75" customHeight="1" s="904">
      <c r="B134" s="651" t="n"/>
      <c r="C134" s="224" t="n"/>
      <c r="D134" s="423" t="inlineStr">
        <is>
          <t>Астраханский ГПЗ</t>
        </is>
      </c>
      <c r="E134" s="15" t="inlineStr">
        <is>
          <t>100336064</t>
        </is>
      </c>
      <c r="F134" s="15" t="n"/>
      <c r="G134" s="16" t="n"/>
      <c r="H134" s="17" t="n"/>
      <c r="I134" s="636" t="n"/>
      <c r="J134" s="17" t="n"/>
      <c r="K134" s="198" t="inlineStr">
        <is>
          <t>тыс.т.</t>
        </is>
      </c>
    </row>
    <row r="135" ht="21.75" customHeight="1" s="904">
      <c r="B135" s="651" t="n"/>
      <c r="C135" s="224" t="n"/>
      <c r="D135" s="423" t="inlineStr">
        <is>
          <t>Оренбургский ГПЗ</t>
        </is>
      </c>
      <c r="E135" s="15" t="inlineStr">
        <is>
          <t>100336065</t>
        </is>
      </c>
      <c r="F135" s="15" t="n"/>
      <c r="G135" s="16" t="n"/>
      <c r="H135" s="17" t="n"/>
      <c r="I135" s="636" t="n"/>
      <c r="J135" s="17" t="n"/>
      <c r="K135" s="198" t="inlineStr">
        <is>
          <t>тыс.т.</t>
        </is>
      </c>
    </row>
    <row r="136" ht="21.75" customHeight="1" s="904">
      <c r="B136" s="651" t="n"/>
      <c r="C136" s="224" t="n"/>
      <c r="D136" s="658" t="inlineStr">
        <is>
          <t xml:space="preserve">        НПЗ ООО "Газпром нефтехим Салават"</t>
        </is>
      </c>
      <c r="E136" s="15" t="inlineStr">
        <is>
          <t>100336066</t>
        </is>
      </c>
      <c r="F136" s="15" t="n"/>
      <c r="G136" s="16" t="n"/>
      <c r="H136" s="17" t="n"/>
      <c r="I136" s="636" t="n"/>
      <c r="J136" s="17" t="n"/>
      <c r="K136" s="198" t="inlineStr">
        <is>
          <t>тыс.т.</t>
        </is>
      </c>
    </row>
    <row r="137" ht="21.75" customHeight="1" s="904">
      <c r="B137" s="651" t="n"/>
      <c r="C137" s="224" t="inlineStr">
        <is>
          <t>2.3</t>
        </is>
      </c>
      <c r="D137" s="654" t="inlineStr">
        <is>
          <t>Газы углеводородные сжиженные</t>
        </is>
      </c>
      <c r="E137" s="15" t="inlineStr">
        <is>
          <t>100336067</t>
        </is>
      </c>
      <c r="F137" s="15" t="n"/>
      <c r="G137" s="16" t="n"/>
      <c r="H137" s="17" t="inlineStr">
        <is>
          <t>100336068</t>
        </is>
      </c>
      <c r="I137" s="636" t="n"/>
      <c r="J137" s="17" t="n"/>
      <c r="K137" s="198" t="inlineStr">
        <is>
          <t>тыс.т.</t>
        </is>
      </c>
    </row>
    <row r="138" ht="21.75" customHeight="1" s="904">
      <c r="B138" s="651" t="n"/>
      <c r="C138" s="224" t="n"/>
      <c r="D138" s="423" t="inlineStr">
        <is>
          <t>Сургутский ЗСК</t>
        </is>
      </c>
      <c r="E138" s="15" t="inlineStr">
        <is>
          <t>100336068</t>
        </is>
      </c>
      <c r="F138" s="15" t="n"/>
      <c r="G138" s="16" t="n"/>
      <c r="H138" s="17" t="n"/>
      <c r="I138" s="636" t="n"/>
      <c r="J138" s="17" t="n"/>
      <c r="K138" s="198" t="inlineStr">
        <is>
          <t>тыс.т.</t>
        </is>
      </c>
    </row>
    <row r="139" ht="21.75" customHeight="1" s="904">
      <c r="B139" s="651" t="n"/>
      <c r="C139" s="224" t="inlineStr">
        <is>
          <t>2.4</t>
        </is>
      </c>
      <c r="D139" s="422" t="inlineStr">
        <is>
          <t>Фракция этановая</t>
        </is>
      </c>
      <c r="E139" s="15" t="inlineStr">
        <is>
          <t>100336069</t>
        </is>
      </c>
      <c r="F139" s="15" t="n"/>
      <c r="G139" s="16" t="n"/>
      <c r="H139" s="17" t="inlineStr">
        <is>
          <t>100336070</t>
        </is>
      </c>
      <c r="I139" s="636" t="n"/>
      <c r="J139" s="17" t="n"/>
      <c r="K139" s="198" t="inlineStr">
        <is>
          <t>тыс.т.</t>
        </is>
      </c>
    </row>
    <row r="140" ht="21.75" customHeight="1" s="904">
      <c r="B140" s="651" t="n"/>
      <c r="C140" s="224" t="n"/>
      <c r="D140" s="700" t="inlineStr">
        <is>
          <t xml:space="preserve">        ПАО "Газпром":</t>
        </is>
      </c>
      <c r="E140" s="15" t="inlineStr">
        <is>
          <t>100336070</t>
        </is>
      </c>
      <c r="F140" s="15" t="n"/>
      <c r="G140" s="16" t="n"/>
      <c r="H140" s="17" t="inlineStr">
        <is>
          <t>100336071</t>
        </is>
      </c>
      <c r="I140" s="636" t="n"/>
      <c r="J140" s="17" t="n"/>
      <c r="K140" s="198" t="inlineStr">
        <is>
          <t>тыс.т.</t>
        </is>
      </c>
    </row>
    <row r="141" ht="21.75" customHeight="1" s="904">
      <c r="B141" s="651" t="n"/>
      <c r="C141" s="224" t="n"/>
      <c r="D141" s="423" t="inlineStr">
        <is>
          <t>Оренбургский ГЗ</t>
        </is>
      </c>
      <c r="E141" s="15" t="inlineStr">
        <is>
          <t>100336071</t>
        </is>
      </c>
      <c r="F141" s="15" t="n"/>
      <c r="G141" s="16" t="n"/>
      <c r="H141" s="17" t="n"/>
      <c r="I141" s="636" t="n"/>
      <c r="J141" s="17" t="n"/>
      <c r="K141" s="198" t="inlineStr">
        <is>
          <t>тыс.т.</t>
        </is>
      </c>
    </row>
    <row r="142" ht="42.75" customHeight="1" s="904">
      <c r="B142" s="651" t="n"/>
      <c r="C142" s="224" t="inlineStr">
        <is>
          <t>2.5</t>
        </is>
      </c>
      <c r="D142" s="435" t="inlineStr">
        <is>
          <t>Продукция (сырье) с НПЗ 
ООО "Газпром нефтехим Салават"</t>
        </is>
      </c>
      <c r="E142" s="15" t="inlineStr">
        <is>
          <t>100336072</t>
        </is>
      </c>
      <c r="F142" s="15" t="n"/>
      <c r="G142" s="16" t="n"/>
      <c r="H142" s="17" t="n"/>
      <c r="I142" s="636" t="n"/>
      <c r="J142" s="17" t="n"/>
      <c r="K142" s="198" t="inlineStr">
        <is>
          <t>тыс.т.</t>
        </is>
      </c>
    </row>
    <row r="143" ht="21.75" customHeight="1" s="904">
      <c r="B143" s="651" t="n"/>
      <c r="C143" s="224" t="inlineStr">
        <is>
          <t>2.6</t>
        </is>
      </c>
      <c r="D143" s="422" t="inlineStr">
        <is>
          <t>Пропилен</t>
        </is>
      </c>
      <c r="E143" s="15" t="inlineStr">
        <is>
          <t>100336073</t>
        </is>
      </c>
      <c r="F143" s="15" t="n"/>
      <c r="G143" s="16" t="n"/>
      <c r="H143" s="17" t="inlineStr">
        <is>
          <t>100336074+100336075+100336076</t>
        </is>
      </c>
      <c r="I143" s="636" t="n"/>
      <c r="J143" s="17" t="n"/>
      <c r="K143" s="198" t="inlineStr">
        <is>
          <t>тыс.т.</t>
        </is>
      </c>
    </row>
    <row r="144" ht="21.75" customHeight="1" s="904">
      <c r="B144" s="651" t="n"/>
      <c r="C144" s="224" t="n"/>
      <c r="D144" s="423" t="inlineStr">
        <is>
          <t>Пропилен покупной</t>
        </is>
      </c>
      <c r="E144" s="15" t="inlineStr">
        <is>
          <t>100336074</t>
        </is>
      </c>
      <c r="F144" s="15" t="n"/>
      <c r="G144" s="16" t="n"/>
      <c r="H144" s="17" t="n"/>
      <c r="I144" s="636" t="n"/>
      <c r="J144" s="17" t="n"/>
      <c r="K144" s="198" t="inlineStr">
        <is>
          <t>тыс.т.</t>
        </is>
      </c>
    </row>
    <row r="145" ht="21.75" customHeight="1" s="904">
      <c r="B145" s="651" t="n"/>
      <c r="C145" s="224" t="n"/>
      <c r="D145" s="700" t="inlineStr">
        <is>
          <t xml:space="preserve">        Завод "Мономер" ООО "Газпром нефтехим Салават"</t>
        </is>
      </c>
      <c r="E145" s="15" t="inlineStr">
        <is>
          <t>100336075</t>
        </is>
      </c>
      <c r="F145" s="15" t="n"/>
      <c r="G145" s="16" t="n"/>
      <c r="H145" s="17" t="n"/>
      <c r="I145" s="636" t="n"/>
      <c r="J145" s="17" t="n"/>
      <c r="K145" s="198" t="inlineStr">
        <is>
          <t>тыс.т.</t>
        </is>
      </c>
    </row>
    <row r="146" ht="21.75" customHeight="1" s="904">
      <c r="B146" s="651" t="n"/>
      <c r="C146" s="224" t="n"/>
      <c r="D146" s="658" t="inlineStr">
        <is>
          <t xml:space="preserve">        НПЗ ООО "Газпром нефтехим Салават" (ККФ)</t>
        </is>
      </c>
      <c r="E146" s="15" t="inlineStr">
        <is>
          <t>100336076</t>
        </is>
      </c>
      <c r="F146" s="15" t="n"/>
      <c r="G146" s="16" t="n"/>
      <c r="H146" s="17" t="n"/>
      <c r="I146" s="636" t="n"/>
      <c r="J146" s="17" t="n"/>
      <c r="K146" s="198" t="inlineStr">
        <is>
          <t>тыс.т.</t>
        </is>
      </c>
    </row>
    <row r="147" ht="21.75" customHeight="1" s="904">
      <c r="B147" s="651" t="n"/>
      <c r="C147" s="224" t="inlineStr">
        <is>
          <t>2.7</t>
        </is>
      </c>
      <c r="D147" s="654" t="inlineStr">
        <is>
          <t>Ортоксилол</t>
        </is>
      </c>
      <c r="E147" s="15" t="inlineStr">
        <is>
          <t>100336077</t>
        </is>
      </c>
      <c r="F147" s="15" t="n"/>
      <c r="G147" s="16" t="n"/>
      <c r="H147" s="17" t="n"/>
      <c r="I147" s="636" t="n"/>
      <c r="J147" s="17" t="n"/>
      <c r="K147" s="198" t="inlineStr">
        <is>
          <t>тыс.т.</t>
        </is>
      </c>
    </row>
    <row r="148" ht="21.75" customHeight="1" s="904">
      <c r="B148" s="651" t="n"/>
      <c r="C148" s="224" t="inlineStr">
        <is>
          <t>2.8</t>
        </is>
      </c>
      <c r="D148" s="654" t="inlineStr">
        <is>
          <t xml:space="preserve">Природный газ </t>
        </is>
      </c>
      <c r="E148" s="15" t="inlineStr">
        <is>
          <t>100335597</t>
        </is>
      </c>
      <c r="F148" s="15" t="n"/>
      <c r="G148" s="16" t="n"/>
      <c r="H148" s="17" t="n"/>
      <c r="I148" s="636" t="n"/>
      <c r="J148" s="17" t="n"/>
      <c r="K148" s="198" t="inlineStr">
        <is>
          <t>млн.м3</t>
        </is>
      </c>
    </row>
    <row r="149" ht="21.75" customHeight="1" s="904">
      <c r="B149" s="651" t="n"/>
      <c r="C149" s="224" t="inlineStr">
        <is>
          <t>2.9</t>
        </is>
      </c>
      <c r="D149" s="654" t="inlineStr">
        <is>
          <t>Продукция (сырье) принятая со склада</t>
        </is>
      </c>
      <c r="E149" s="15" t="inlineStr">
        <is>
          <t>100336078</t>
        </is>
      </c>
      <c r="F149" s="15" t="n"/>
      <c r="G149" s="16" t="n"/>
      <c r="H149" s="17" t="n"/>
      <c r="I149" s="636" t="n"/>
      <c r="J149" s="17" t="n"/>
      <c r="K149" s="198" t="inlineStr">
        <is>
          <t>тыс.т.</t>
        </is>
      </c>
    </row>
    <row r="150" ht="42.75" customHeight="1" s="904">
      <c r="B150" s="651" t="n"/>
      <c r="C150" s="224" t="inlineStr">
        <is>
          <t>3.</t>
        </is>
      </c>
      <c r="D150" s="651" t="inlineStr">
        <is>
          <t>ПРОДУКЦИЯ 
ООО "ГАЗПРОМ НЕФТЕХИМ САЛАВАТ":</t>
        </is>
      </c>
      <c r="E150" s="15" t="inlineStr">
        <is>
          <t>100330830</t>
        </is>
      </c>
      <c r="F150" s="15" t="n"/>
      <c r="G150" s="16" t="n"/>
      <c r="H150" s="17" t="n"/>
      <c r="I150" s="636" t="n"/>
      <c r="J150" s="17" t="n"/>
      <c r="K150" s="198" t="inlineStr">
        <is>
          <t>тыс.т.</t>
        </is>
      </c>
    </row>
    <row r="151" ht="21.75" customHeight="1" s="904">
      <c r="B151" s="651" t="n"/>
      <c r="C151" s="224" t="inlineStr">
        <is>
          <t>3.1</t>
        </is>
      </c>
      <c r="D151" s="422" t="inlineStr">
        <is>
          <t>Этилен (валовый)</t>
        </is>
      </c>
      <c r="E151" s="15" t="inlineStr">
        <is>
          <t>100330831</t>
        </is>
      </c>
      <c r="F151" s="15" t="n"/>
      <c r="G151" s="16" t="n"/>
      <c r="H151" s="17" t="n"/>
      <c r="I151" s="636" t="n"/>
      <c r="J151" s="17" t="n"/>
      <c r="K151" s="198" t="inlineStr">
        <is>
          <t>тыс.т.</t>
        </is>
      </c>
    </row>
    <row r="152" ht="21.75" customHeight="1" s="904">
      <c r="B152" s="651" t="n"/>
      <c r="C152" s="224" t="n"/>
      <c r="D152" s="428" t="inlineStr">
        <is>
          <t>Товар</t>
        </is>
      </c>
      <c r="E152" s="15" t="inlineStr">
        <is>
          <t>100330832</t>
        </is>
      </c>
      <c r="F152" s="15" t="n"/>
      <c r="G152" s="16" t="n"/>
      <c r="H152" s="17" t="n"/>
      <c r="I152" s="636" t="n"/>
      <c r="J152" s="17" t="n"/>
      <c r="K152" s="198" t="inlineStr">
        <is>
          <t>тыс.т.</t>
        </is>
      </c>
    </row>
    <row r="153" ht="21.75" customHeight="1" s="904">
      <c r="B153" s="651" t="n"/>
      <c r="C153" s="224" t="inlineStr">
        <is>
          <t>3.2</t>
        </is>
      </c>
      <c r="D153" s="422" t="inlineStr">
        <is>
          <t>Пропилен (валовый)</t>
        </is>
      </c>
      <c r="E153" s="15" t="inlineStr">
        <is>
          <t>100330833</t>
        </is>
      </c>
      <c r="F153" s="15" t="n"/>
      <c r="G153" s="16" t="n"/>
      <c r="H153" s="17" t="n"/>
      <c r="I153" s="636" t="n"/>
      <c r="J153" s="17" t="n"/>
      <c r="K153" s="198" t="inlineStr">
        <is>
          <t>тыс.т.</t>
        </is>
      </c>
    </row>
    <row r="154" ht="21.75" customHeight="1" s="904">
      <c r="B154" s="651" t="n"/>
      <c r="C154" s="224" t="n"/>
      <c r="D154" s="428" t="inlineStr">
        <is>
          <t>Товар</t>
        </is>
      </c>
      <c r="E154" s="15" t="inlineStr">
        <is>
          <t>100332346</t>
        </is>
      </c>
      <c r="F154" s="15" t="n"/>
      <c r="G154" s="16" t="n"/>
      <c r="H154" s="17" t="n"/>
      <c r="I154" s="636" t="n"/>
      <c r="J154" s="17" t="n"/>
      <c r="K154" s="198" t="inlineStr">
        <is>
          <t>тыс.т.</t>
        </is>
      </c>
    </row>
    <row r="155" ht="21.75" customHeight="1" s="904">
      <c r="B155" s="651" t="n"/>
      <c r="C155" s="224" t="n"/>
      <c r="D155" s="428" t="inlineStr">
        <is>
          <t>На ООО "Акрил-Салават"</t>
        </is>
      </c>
      <c r="E155" s="15" t="inlineStr">
        <is>
          <t>100336079</t>
        </is>
      </c>
      <c r="F155" s="15" t="n"/>
      <c r="G155" s="16" t="n"/>
      <c r="H155" s="17" t="n"/>
      <c r="I155" s="636" t="n"/>
      <c r="J155" s="17" t="n"/>
      <c r="K155" s="198" t="inlineStr">
        <is>
          <t>тыс.т.</t>
        </is>
      </c>
    </row>
    <row r="156" ht="21.75" customHeight="1" s="904">
      <c r="B156" s="651" t="n"/>
      <c r="C156" s="224" t="inlineStr">
        <is>
          <t>3.3</t>
        </is>
      </c>
      <c r="D156" s="422" t="inlineStr">
        <is>
          <t>Бутилен-бутадиеновая фракция (валовый)</t>
        </is>
      </c>
      <c r="E156" s="15" t="inlineStr">
        <is>
          <t>100330835</t>
        </is>
      </c>
      <c r="F156" s="15" t="n"/>
      <c r="G156" s="16" t="n"/>
      <c r="H156" s="17" t="n"/>
      <c r="I156" s="636" t="n"/>
      <c r="J156" s="17" t="n"/>
      <c r="K156" s="198" t="inlineStr">
        <is>
          <t>тыс.т.</t>
        </is>
      </c>
    </row>
    <row r="157" ht="21.75" customHeight="1" s="904">
      <c r="B157" s="651" t="n"/>
      <c r="C157" s="224" t="n"/>
      <c r="D157" s="428" t="inlineStr">
        <is>
          <t>Товар</t>
        </is>
      </c>
      <c r="E157" s="15" t="inlineStr">
        <is>
          <t>100335105</t>
        </is>
      </c>
      <c r="F157" s="15" t="n"/>
      <c r="G157" s="16" t="n"/>
      <c r="H157" s="17" t="n"/>
      <c r="I157" s="636" t="n"/>
      <c r="J157" s="17" t="n"/>
      <c r="K157" s="198" t="inlineStr">
        <is>
          <t>тыс.т.</t>
        </is>
      </c>
    </row>
    <row r="158" ht="21.75" customHeight="1" s="904">
      <c r="B158" s="651" t="n"/>
      <c r="C158" s="224" t="inlineStr">
        <is>
          <t>3.4</t>
        </is>
      </c>
      <c r="D158" s="422" t="inlineStr">
        <is>
          <t>Тяжелая смола (валовый)</t>
        </is>
      </c>
      <c r="E158" s="15" t="inlineStr">
        <is>
          <t>100330836</t>
        </is>
      </c>
      <c r="F158" s="15" t="n"/>
      <c r="G158" s="16" t="n"/>
      <c r="H158" s="17" t="n"/>
      <c r="I158" s="636" t="n"/>
      <c r="J158" s="17" t="n"/>
      <c r="K158" s="198" t="inlineStr">
        <is>
          <t>тыс.т.</t>
        </is>
      </c>
    </row>
    <row r="159" ht="21.75" customHeight="1" s="904">
      <c r="B159" s="651" t="n"/>
      <c r="C159" s="224" t="n"/>
      <c r="D159" s="428" t="inlineStr">
        <is>
          <t>Товар</t>
        </is>
      </c>
      <c r="E159" s="15" t="inlineStr">
        <is>
          <t>100335106</t>
        </is>
      </c>
      <c r="F159" s="15" t="n"/>
      <c r="G159" s="16" t="n"/>
      <c r="H159" s="17" t="n"/>
      <c r="I159" s="636" t="n"/>
      <c r="J159" s="17" t="n"/>
      <c r="K159" s="198" t="inlineStr">
        <is>
          <t>тыс.т.</t>
        </is>
      </c>
    </row>
    <row r="160" ht="21.75" customHeight="1" s="904">
      <c r="B160" s="651" t="n"/>
      <c r="C160" s="224" t="inlineStr">
        <is>
          <t>3.5</t>
        </is>
      </c>
      <c r="D160" s="422" t="inlineStr">
        <is>
          <t>Пироконденсат  (валовый)</t>
        </is>
      </c>
      <c r="E160" s="15" t="inlineStr">
        <is>
          <t>100332907</t>
        </is>
      </c>
      <c r="F160" s="15" t="n"/>
      <c r="G160" s="16" t="n"/>
      <c r="H160" s="17" t="n"/>
      <c r="I160" s="636" t="n"/>
      <c r="J160" s="17" t="n"/>
      <c r="K160" s="198" t="inlineStr">
        <is>
          <t>тыс.т.</t>
        </is>
      </c>
    </row>
    <row r="161" ht="21.75" customHeight="1" s="904">
      <c r="B161" s="651" t="n"/>
      <c r="C161" s="224" t="n"/>
      <c r="D161" s="428" t="inlineStr">
        <is>
          <t>Товар</t>
        </is>
      </c>
      <c r="E161" s="15" t="inlineStr">
        <is>
          <t>100335107</t>
        </is>
      </c>
      <c r="F161" s="15" t="n"/>
      <c r="G161" s="16" t="n"/>
      <c r="H161" s="17" t="n"/>
      <c r="I161" s="636" t="n"/>
      <c r="J161" s="17" t="n"/>
      <c r="K161" s="198" t="inlineStr">
        <is>
          <t>тыс.т.</t>
        </is>
      </c>
    </row>
    <row r="162" ht="21.75" customHeight="1" s="904">
      <c r="B162" s="651" t="n"/>
      <c r="C162" s="224" t="inlineStr">
        <is>
          <t>3.6</t>
        </is>
      </c>
      <c r="D162" s="422" t="inlineStr">
        <is>
          <t>Бензол (валовый)</t>
        </is>
      </c>
      <c r="E162" s="15" t="inlineStr">
        <is>
          <t>100335108</t>
        </is>
      </c>
      <c r="F162" s="15" t="n"/>
      <c r="G162" s="16" t="n"/>
      <c r="H162" s="17" t="n"/>
      <c r="I162" s="636" t="n"/>
      <c r="J162" s="17" t="n"/>
      <c r="K162" s="198" t="inlineStr">
        <is>
          <t>тыс.т.</t>
        </is>
      </c>
    </row>
    <row r="163" ht="21.75" customHeight="1" s="904">
      <c r="B163" s="651" t="n"/>
      <c r="C163" s="224" t="n"/>
      <c r="D163" s="428" t="inlineStr">
        <is>
          <t>Товар</t>
        </is>
      </c>
      <c r="E163" s="15" t="inlineStr">
        <is>
          <t>100335109</t>
        </is>
      </c>
      <c r="F163" s="15" t="n"/>
      <c r="G163" s="16" t="n"/>
      <c r="H163" s="17" t="n"/>
      <c r="I163" s="636" t="n"/>
      <c r="J163" s="17" t="n"/>
      <c r="K163" s="198" t="inlineStr">
        <is>
          <t>тыс.т.</t>
        </is>
      </c>
    </row>
    <row r="164" ht="21.75" customHeight="1" s="904">
      <c r="B164" s="651" t="n"/>
      <c r="C164" s="224" t="inlineStr">
        <is>
          <t>3.7</t>
        </is>
      </c>
      <c r="D164" s="654" t="inlineStr">
        <is>
          <t>Кубовый Остаток Ректификации Бензола (валовый)</t>
        </is>
      </c>
      <c r="E164" s="15" t="inlineStr">
        <is>
          <t>100336080</t>
        </is>
      </c>
      <c r="F164" s="15" t="n"/>
      <c r="G164" s="16" t="n"/>
      <c r="H164" s="17" t="n"/>
      <c r="I164" s="636" t="n"/>
      <c r="J164" s="17" t="n"/>
      <c r="K164" s="198" t="inlineStr">
        <is>
          <t>тыс.т.</t>
        </is>
      </c>
    </row>
    <row r="165" ht="21.75" customHeight="1" s="904">
      <c r="B165" s="651" t="n"/>
      <c r="C165" s="224" t="n"/>
      <c r="D165" s="428" t="inlineStr">
        <is>
          <t>Товар</t>
        </is>
      </c>
      <c r="E165" s="15" t="inlineStr">
        <is>
          <t>100336081</t>
        </is>
      </c>
      <c r="F165" s="15" t="n"/>
      <c r="G165" s="16" t="n"/>
      <c r="H165" s="17" t="n"/>
      <c r="I165" s="636" t="n"/>
      <c r="J165" s="17" t="n"/>
      <c r="K165" s="198" t="inlineStr">
        <is>
          <t>тыс.т.</t>
        </is>
      </c>
    </row>
    <row r="166" ht="21.75" customHeight="1" s="904">
      <c r="B166" s="651" t="n"/>
      <c r="C166" s="224" t="inlineStr">
        <is>
          <t>3.8</t>
        </is>
      </c>
      <c r="D166" s="422" t="inlineStr">
        <is>
          <t>Стирол (валовый)</t>
        </is>
      </c>
      <c r="E166" s="15" t="inlineStr">
        <is>
          <t>100330837</t>
        </is>
      </c>
      <c r="F166" s="15" t="n"/>
      <c r="G166" s="16" t="n"/>
      <c r="H166" s="17" t="n"/>
      <c r="I166" s="636" t="n"/>
      <c r="J166" s="17" t="n"/>
      <c r="K166" s="198" t="inlineStr">
        <is>
          <t>тыс.т.</t>
        </is>
      </c>
    </row>
    <row r="167" ht="21.75" customHeight="1" s="904">
      <c r="B167" s="651" t="n"/>
      <c r="C167" s="224" t="n"/>
      <c r="D167" s="428" t="inlineStr">
        <is>
          <t>Товар</t>
        </is>
      </c>
      <c r="E167" s="15" t="inlineStr">
        <is>
          <t>100330838</t>
        </is>
      </c>
      <c r="F167" s="15" t="n"/>
      <c r="G167" s="16" t="n"/>
      <c r="H167" s="17" t="n"/>
      <c r="I167" s="636" t="n"/>
      <c r="J167" s="17" t="n"/>
      <c r="K167" s="198" t="inlineStr">
        <is>
          <t>тыс.т.</t>
        </is>
      </c>
    </row>
    <row r="168" ht="21.75" customHeight="1" s="904">
      <c r="B168" s="651" t="n"/>
      <c r="C168" s="224" t="inlineStr">
        <is>
          <t>3.9</t>
        </is>
      </c>
      <c r="D168" s="654" t="inlineStr">
        <is>
          <t>Кубовый Остаток Ректификации Стирола (валовый)</t>
        </is>
      </c>
      <c r="E168" s="15" t="inlineStr">
        <is>
          <t>100336082</t>
        </is>
      </c>
      <c r="F168" s="15" t="n"/>
      <c r="G168" s="16" t="n"/>
      <c r="H168" s="17" t="n"/>
      <c r="I168" s="636" t="n"/>
      <c r="J168" s="17" t="n"/>
      <c r="K168" s="198" t="inlineStr">
        <is>
          <t>тыс.т.</t>
        </is>
      </c>
    </row>
    <row r="169" ht="21.75" customHeight="1" s="904">
      <c r="B169" s="651" t="n"/>
      <c r="C169" s="224" t="n"/>
      <c r="D169" s="428" t="inlineStr">
        <is>
          <t>Товар</t>
        </is>
      </c>
      <c r="E169" s="15" t="inlineStr">
        <is>
          <t>100336083</t>
        </is>
      </c>
      <c r="F169" s="15" t="n"/>
      <c r="G169" s="16" t="n"/>
      <c r="H169" s="17" t="n"/>
      <c r="I169" s="636" t="n"/>
      <c r="J169" s="17" t="n"/>
      <c r="K169" s="198" t="inlineStr">
        <is>
          <t>тыс.т.</t>
        </is>
      </c>
    </row>
    <row r="170" ht="21.75" customHeight="1" s="904">
      <c r="B170" s="651" t="n"/>
      <c r="C170" s="224" t="inlineStr">
        <is>
          <t>3.10</t>
        </is>
      </c>
      <c r="D170" s="422" t="inlineStr">
        <is>
          <t>Этилбензол (валовый)</t>
        </is>
      </c>
      <c r="E170" s="15" t="inlineStr">
        <is>
          <t>100336084</t>
        </is>
      </c>
      <c r="F170" s="15" t="n"/>
      <c r="G170" s="16" t="n"/>
      <c r="H170" s="17" t="n"/>
      <c r="I170" s="636" t="n"/>
      <c r="J170" s="17" t="n"/>
      <c r="K170" s="198" t="inlineStr">
        <is>
          <t>тыс.т.</t>
        </is>
      </c>
    </row>
    <row r="171" ht="21.75" customHeight="1" s="904">
      <c r="B171" s="651" t="n"/>
      <c r="C171" s="224" t="n"/>
      <c r="D171" s="428" t="inlineStr">
        <is>
          <t>Товар</t>
        </is>
      </c>
      <c r="E171" s="15" t="inlineStr">
        <is>
          <t>100336085</t>
        </is>
      </c>
      <c r="F171" s="15" t="n"/>
      <c r="G171" s="16" t="n"/>
      <c r="H171" s="17" t="n"/>
      <c r="I171" s="636" t="n"/>
      <c r="J171" s="17" t="n"/>
      <c r="K171" s="198" t="inlineStr">
        <is>
          <t>тыс.т.</t>
        </is>
      </c>
    </row>
    <row r="172" ht="21.75" customHeight="1" s="904">
      <c r="B172" s="651" t="n"/>
      <c r="C172" s="224" t="inlineStr">
        <is>
          <t>3.11</t>
        </is>
      </c>
      <c r="D172" s="422" t="inlineStr">
        <is>
          <t>Полиэтилен высокого давления (валовый)</t>
        </is>
      </c>
      <c r="E172" s="15" t="inlineStr">
        <is>
          <t>100330840</t>
        </is>
      </c>
      <c r="F172" s="15" t="n"/>
      <c r="G172" s="16" t="n"/>
      <c r="H172" s="17" t="n"/>
      <c r="I172" s="636" t="n"/>
      <c r="J172" s="17" t="n"/>
      <c r="K172" s="198" t="inlineStr">
        <is>
          <t>тыс.т.</t>
        </is>
      </c>
    </row>
    <row r="173" ht="21.75" customHeight="1" s="904">
      <c r="B173" s="651" t="n"/>
      <c r="C173" s="224" t="n"/>
      <c r="D173" s="428" t="inlineStr">
        <is>
          <t>Товар</t>
        </is>
      </c>
      <c r="E173" s="15" t="inlineStr">
        <is>
          <t>100335112</t>
        </is>
      </c>
      <c r="F173" s="15" t="n"/>
      <c r="G173" s="16" t="n"/>
      <c r="H173" s="17" t="n"/>
      <c r="I173" s="636" t="n"/>
      <c r="J173" s="17" t="n"/>
      <c r="K173" s="198" t="inlineStr">
        <is>
          <t>тыс.т.</t>
        </is>
      </c>
    </row>
    <row r="174" ht="21.75" customHeight="1" s="904">
      <c r="B174" s="651" t="n"/>
      <c r="C174" s="224" t="inlineStr">
        <is>
          <t>3.12</t>
        </is>
      </c>
      <c r="D174" s="422" t="inlineStr">
        <is>
          <t>Полиэтилен низкого давления (валовый)</t>
        </is>
      </c>
      <c r="E174" s="15" t="inlineStr">
        <is>
          <t>100330841</t>
        </is>
      </c>
      <c r="F174" s="15" t="n"/>
      <c r="G174" s="16" t="n"/>
      <c r="H174" s="17" t="n"/>
      <c r="I174" s="636" t="n"/>
      <c r="J174" s="17" t="n"/>
      <c r="K174" s="198" t="inlineStr">
        <is>
          <t>тыс.т.</t>
        </is>
      </c>
    </row>
    <row r="175" ht="21.75" customHeight="1" s="904">
      <c r="B175" s="651" t="n"/>
      <c r="C175" s="224" t="n"/>
      <c r="D175" s="428" t="inlineStr">
        <is>
          <t>Товар</t>
        </is>
      </c>
      <c r="E175" s="15" t="inlineStr">
        <is>
          <t>100335113</t>
        </is>
      </c>
      <c r="F175" s="15" t="n"/>
      <c r="G175" s="16" t="n"/>
      <c r="H175" s="17" t="n"/>
      <c r="I175" s="636" t="n"/>
      <c r="J175" s="17" t="n"/>
      <c r="K175" s="198" t="inlineStr">
        <is>
          <t>тыс.т.</t>
        </is>
      </c>
    </row>
    <row r="176" ht="21.75" customHeight="1" s="904">
      <c r="B176" s="651" t="n"/>
      <c r="C176" s="224" t="inlineStr">
        <is>
          <t>3.13</t>
        </is>
      </c>
      <c r="D176" s="422" t="inlineStr">
        <is>
          <t>Полистирол (ПСМ) (валовый)</t>
        </is>
      </c>
      <c r="E176" s="15" t="inlineStr">
        <is>
          <t>100330839</t>
        </is>
      </c>
      <c r="F176" s="15" t="n"/>
      <c r="G176" s="16" t="n"/>
      <c r="H176" s="17" t="n"/>
      <c r="I176" s="636" t="n"/>
      <c r="J176" s="17" t="n"/>
      <c r="K176" s="198" t="inlineStr">
        <is>
          <t>тыс.т.</t>
        </is>
      </c>
    </row>
    <row r="177" ht="21.75" customHeight="1" s="904">
      <c r="B177" s="651" t="n"/>
      <c r="C177" s="224" t="n"/>
      <c r="D177" s="428" t="inlineStr">
        <is>
          <t>Товар</t>
        </is>
      </c>
      <c r="E177" s="15" t="inlineStr">
        <is>
          <t>100335111</t>
        </is>
      </c>
      <c r="F177" s="15" t="n"/>
      <c r="G177" s="16" t="n"/>
      <c r="H177" s="17" t="n"/>
      <c r="I177" s="636" t="n"/>
      <c r="J177" s="17" t="n"/>
      <c r="K177" s="198" t="inlineStr">
        <is>
          <t>тыс.т.</t>
        </is>
      </c>
    </row>
    <row r="178" ht="21.75" customHeight="1" s="904">
      <c r="B178" s="651" t="n"/>
      <c r="C178" s="224" t="inlineStr">
        <is>
          <t>3.14</t>
        </is>
      </c>
      <c r="D178" s="422" t="inlineStr">
        <is>
          <t>Нормальный  бутанол (валовый)</t>
        </is>
      </c>
      <c r="E178" s="15" t="inlineStr">
        <is>
          <t>100330842</t>
        </is>
      </c>
      <c r="F178" s="15" t="n"/>
      <c r="G178" s="16" t="n"/>
      <c r="H178" s="17" t="n"/>
      <c r="I178" s="636" t="n"/>
      <c r="J178" s="17" t="n"/>
      <c r="K178" s="198" t="inlineStr">
        <is>
          <t>тыс.т.</t>
        </is>
      </c>
    </row>
    <row r="179" ht="21.75" customHeight="1" s="904">
      <c r="B179" s="651" t="n"/>
      <c r="C179" s="224" t="n"/>
      <c r="D179" s="428" t="inlineStr">
        <is>
          <t>Товар</t>
        </is>
      </c>
      <c r="E179" s="15" t="inlineStr">
        <is>
          <t>100330843</t>
        </is>
      </c>
      <c r="F179" s="15" t="n"/>
      <c r="G179" s="16" t="n"/>
      <c r="H179" s="17" t="n"/>
      <c r="I179" s="636" t="n"/>
      <c r="J179" s="17" t="n"/>
      <c r="K179" s="198" t="inlineStr">
        <is>
          <t>тыс.т.</t>
        </is>
      </c>
    </row>
    <row r="180" ht="21.75" customHeight="1" s="904">
      <c r="B180" s="651" t="n"/>
      <c r="C180" s="224" t="n"/>
      <c r="D180" s="428" t="inlineStr">
        <is>
          <t>На ООО "Акрил-Салават"</t>
        </is>
      </c>
      <c r="E180" s="15" t="inlineStr">
        <is>
          <t>100336086</t>
        </is>
      </c>
      <c r="F180" s="15" t="n"/>
      <c r="G180" s="16" t="n"/>
      <c r="H180" s="17" t="n"/>
      <c r="I180" s="636" t="n"/>
      <c r="J180" s="17" t="n"/>
      <c r="K180" s="198" t="inlineStr">
        <is>
          <t>тыс.т.</t>
        </is>
      </c>
    </row>
    <row r="181" ht="42.75" customHeight="1" s="904">
      <c r="B181" s="651" t="n"/>
      <c r="C181" s="224" t="n"/>
      <c r="D181" s="428" t="inlineStr">
        <is>
          <t>На Дмитриевский хим.завод (производство бутилацетата)</t>
        </is>
      </c>
      <c r="E181" s="15" t="inlineStr">
        <is>
          <t>100336087</t>
        </is>
      </c>
      <c r="F181" s="15" t="n"/>
      <c r="G181" s="16" t="n"/>
      <c r="H181" s="17" t="n"/>
      <c r="I181" s="636" t="n"/>
      <c r="J181" s="17" t="n"/>
      <c r="K181" s="198" t="inlineStr">
        <is>
          <t>тыс.т.</t>
        </is>
      </c>
    </row>
    <row r="182" ht="21.75" customHeight="1" s="904">
      <c r="B182" s="651" t="n"/>
      <c r="C182" s="224" t="inlineStr">
        <is>
          <t>3.15</t>
        </is>
      </c>
      <c r="D182" s="422" t="inlineStr">
        <is>
          <t>Изобутанол (валовый)</t>
        </is>
      </c>
      <c r="E182" s="15" t="inlineStr">
        <is>
          <t>100330844</t>
        </is>
      </c>
      <c r="F182" s="15" t="n"/>
      <c r="G182" s="16" t="n"/>
      <c r="H182" s="17" t="n"/>
      <c r="I182" s="636" t="n"/>
      <c r="J182" s="17" t="n"/>
      <c r="K182" s="198" t="inlineStr">
        <is>
          <t>тыс.т.</t>
        </is>
      </c>
    </row>
    <row r="183" ht="21.75" customHeight="1" s="904">
      <c r="B183" s="651" t="n"/>
      <c r="C183" s="224" t="n"/>
      <c r="D183" s="428" t="inlineStr">
        <is>
          <t>Товар</t>
        </is>
      </c>
      <c r="E183" s="15" t="inlineStr">
        <is>
          <t>100330845</t>
        </is>
      </c>
      <c r="F183" s="15" t="n"/>
      <c r="G183" s="16" t="n"/>
      <c r="H183" s="17" t="n"/>
      <c r="I183" s="636" t="n"/>
      <c r="J183" s="17" t="n"/>
      <c r="K183" s="198" t="inlineStr">
        <is>
          <t>тыс.т.</t>
        </is>
      </c>
    </row>
    <row r="184" ht="21.75" customHeight="1" s="904">
      <c r="B184" s="651" t="n"/>
      <c r="C184" s="224" t="n"/>
      <c r="D184" s="428" t="inlineStr">
        <is>
          <t>На НПЗ</t>
        </is>
      </c>
      <c r="E184" s="15" t="inlineStr">
        <is>
          <t>100336088</t>
        </is>
      </c>
      <c r="F184" s="15" t="n"/>
      <c r="G184" s="16" t="n"/>
      <c r="H184" s="17" t="n"/>
      <c r="I184" s="636" t="n"/>
      <c r="J184" s="17" t="n"/>
      <c r="K184" s="198" t="inlineStr">
        <is>
          <t>тыс.т.</t>
        </is>
      </c>
    </row>
    <row r="185" ht="43.5" customHeight="1" s="904">
      <c r="B185" s="651" t="n"/>
      <c r="C185" s="224" t="n"/>
      <c r="D185" s="436" t="inlineStr">
        <is>
          <t>На Дмитриевский хим.завод (производство изобутилацетата)</t>
        </is>
      </c>
      <c r="E185" s="15" t="inlineStr">
        <is>
          <t>100336163</t>
        </is>
      </c>
      <c r="F185" s="15" t="n"/>
      <c r="G185" s="16" t="n"/>
      <c r="H185" s="17" t="n"/>
      <c r="I185" s="636" t="n"/>
      <c r="J185" s="17" t="n"/>
      <c r="K185" s="198" t="n"/>
    </row>
    <row r="186" ht="42.75" customHeight="1" s="904">
      <c r="B186" s="651" t="n"/>
      <c r="C186" s="224" t="inlineStr">
        <is>
          <t>3.16</t>
        </is>
      </c>
      <c r="D186" s="651" t="inlineStr">
        <is>
          <t>Кубовый остаток бутиловых спиртов (КОБС) 
(валовый)</t>
        </is>
      </c>
      <c r="E186" s="15" t="inlineStr">
        <is>
          <t>100336089</t>
        </is>
      </c>
      <c r="F186" s="15" t="n"/>
      <c r="G186" s="16" t="n"/>
      <c r="H186" s="17" t="n"/>
      <c r="I186" s="636" t="n"/>
      <c r="J186" s="17" t="n"/>
      <c r="K186" s="198" t="inlineStr">
        <is>
          <t>тыс.т.</t>
        </is>
      </c>
    </row>
    <row r="187" ht="21.75" customHeight="1" s="904">
      <c r="B187" s="651" t="n"/>
      <c r="C187" s="224" t="n"/>
      <c r="D187" s="428" t="inlineStr">
        <is>
          <t>Товар</t>
        </is>
      </c>
      <c r="E187" s="15" t="inlineStr">
        <is>
          <t>100336090</t>
        </is>
      </c>
      <c r="F187" s="15" t="n"/>
      <c r="G187" s="16" t="n"/>
      <c r="H187" s="17" t="n"/>
      <c r="I187" s="636" t="n"/>
      <c r="J187" s="17" t="n"/>
      <c r="K187" s="198" t="inlineStr">
        <is>
          <t>тыс.т.</t>
        </is>
      </c>
    </row>
    <row r="188" ht="21.75" customHeight="1" s="904">
      <c r="B188" s="651" t="n"/>
      <c r="C188" s="224" t="n"/>
      <c r="D188" s="428" t="inlineStr">
        <is>
          <t>На НПЗ</t>
        </is>
      </c>
      <c r="E188" s="15" t="inlineStr">
        <is>
          <t>100336091</t>
        </is>
      </c>
      <c r="F188" s="15" t="n"/>
      <c r="G188" s="16" t="n"/>
      <c r="H188" s="17" t="n"/>
      <c r="I188" s="636" t="n"/>
      <c r="J188" s="17" t="n"/>
      <c r="K188" s="198" t="inlineStr">
        <is>
          <t>тыс.т.</t>
        </is>
      </c>
    </row>
    <row r="189" ht="21.75" customHeight="1" s="904">
      <c r="B189" s="651" t="n"/>
      <c r="C189" s="224" t="inlineStr">
        <is>
          <t>3.17</t>
        </is>
      </c>
      <c r="D189" s="422" t="inlineStr">
        <is>
          <t xml:space="preserve">Фталевый ангидрид </t>
        </is>
      </c>
      <c r="E189" s="15" t="inlineStr">
        <is>
          <t>100336092</t>
        </is>
      </c>
      <c r="F189" s="15" t="n"/>
      <c r="G189" s="16" t="n"/>
      <c r="H189" s="17" t="n"/>
      <c r="I189" s="636" t="n"/>
      <c r="J189" s="17" t="n"/>
      <c r="K189" s="198" t="inlineStr">
        <is>
          <t>тыс.т.</t>
        </is>
      </c>
    </row>
    <row r="190" ht="21.75" customHeight="1" s="904">
      <c r="B190" s="651" t="n"/>
      <c r="C190" s="224" t="n"/>
      <c r="D190" s="428" t="inlineStr">
        <is>
          <t>Товар</t>
        </is>
      </c>
      <c r="E190" s="15" t="inlineStr">
        <is>
          <t>100336093</t>
        </is>
      </c>
      <c r="F190" s="15" t="n"/>
      <c r="G190" s="16" t="n"/>
      <c r="H190" s="17" t="n"/>
      <c r="I190" s="636" t="n"/>
      <c r="J190" s="17" t="n"/>
      <c r="K190" s="198" t="inlineStr">
        <is>
          <t>тыс.т.</t>
        </is>
      </c>
    </row>
    <row r="191" ht="21.75" customHeight="1" s="904">
      <c r="B191" s="651" t="n"/>
      <c r="C191" s="224" t="inlineStr">
        <is>
          <t>3.18</t>
        </is>
      </c>
      <c r="D191" s="422" t="inlineStr">
        <is>
          <t>Эфирная головка</t>
        </is>
      </c>
      <c r="E191" s="15" t="inlineStr">
        <is>
          <t>100336094</t>
        </is>
      </c>
      <c r="F191" s="15" t="n"/>
      <c r="G191" s="16" t="n"/>
      <c r="H191" s="17" t="n"/>
      <c r="I191" s="636" t="n"/>
      <c r="J191" s="17" t="n"/>
      <c r="K191" s="198" t="inlineStr">
        <is>
          <t>тыс.т.</t>
        </is>
      </c>
    </row>
    <row r="192" ht="21.75" customHeight="1" s="904">
      <c r="B192" s="651" t="n"/>
      <c r="C192" s="224" t="n"/>
      <c r="D192" s="428" t="inlineStr">
        <is>
          <t>Товар</t>
        </is>
      </c>
      <c r="E192" s="15" t="inlineStr">
        <is>
          <t>100336095</t>
        </is>
      </c>
      <c r="F192" s="15" t="n"/>
      <c r="G192" s="16" t="n"/>
      <c r="H192" s="17" t="n"/>
      <c r="I192" s="636" t="n"/>
      <c r="J192" s="17" t="n"/>
      <c r="K192" s="198" t="inlineStr">
        <is>
          <t>тыс.т.</t>
        </is>
      </c>
    </row>
    <row r="193" ht="21.75" customHeight="1" s="904">
      <c r="B193" s="651" t="n"/>
      <c r="C193" s="224" t="n"/>
      <c r="D193" s="428" t="inlineStr">
        <is>
          <t>На НПЗ</t>
        </is>
      </c>
      <c r="E193" s="15" t="inlineStr">
        <is>
          <t>100336096</t>
        </is>
      </c>
      <c r="F193" s="15" t="n"/>
      <c r="G193" s="16" t="n"/>
      <c r="H193" s="17" t="n"/>
      <c r="I193" s="636" t="n"/>
      <c r="J193" s="17" t="n"/>
      <c r="K193" s="198" t="inlineStr">
        <is>
          <t>тыс.т.</t>
        </is>
      </c>
    </row>
    <row r="194" ht="21.75" customHeight="1" s="904">
      <c r="B194" s="651" t="n"/>
      <c r="C194" s="224" t="inlineStr">
        <is>
          <t>3.19</t>
        </is>
      </c>
      <c r="D194" s="422" t="inlineStr">
        <is>
          <t>Пластификаторы (валовый)</t>
        </is>
      </c>
      <c r="E194" s="15" t="inlineStr">
        <is>
          <t>100330846</t>
        </is>
      </c>
      <c r="F194" s="15" t="n"/>
      <c r="G194" s="16" t="n"/>
      <c r="H194" s="17" t="n"/>
      <c r="I194" s="636" t="n"/>
      <c r="J194" s="17" t="n"/>
      <c r="K194" s="198" t="inlineStr">
        <is>
          <t>тыс.т.</t>
        </is>
      </c>
    </row>
    <row r="195" ht="21.75" customHeight="1" s="904">
      <c r="B195" s="651" t="n"/>
      <c r="C195" s="224" t="n"/>
      <c r="D195" s="428" t="inlineStr">
        <is>
          <t>Товар</t>
        </is>
      </c>
      <c r="E195" s="15" t="inlineStr">
        <is>
          <t>100336097</t>
        </is>
      </c>
      <c r="F195" s="15" t="n"/>
      <c r="G195" s="16" t="n"/>
      <c r="H195" s="17" t="n"/>
      <c r="I195" s="636" t="n"/>
      <c r="J195" s="17" t="n"/>
      <c r="K195" s="198" t="inlineStr">
        <is>
          <t>тыс.т.</t>
        </is>
      </c>
    </row>
    <row r="196" ht="21.75" customHeight="1" s="904">
      <c r="B196" s="651" t="n"/>
      <c r="C196" s="224" t="inlineStr">
        <is>
          <t>3.20</t>
        </is>
      </c>
      <c r="D196" s="422" t="inlineStr">
        <is>
          <t>Дваэтилгексанол (валовый)</t>
        </is>
      </c>
      <c r="E196" s="15" t="inlineStr">
        <is>
          <t>100336098</t>
        </is>
      </c>
      <c r="F196" s="15" t="n"/>
      <c r="G196" s="16" t="n"/>
      <c r="H196" s="17" t="n"/>
      <c r="I196" s="636" t="n"/>
      <c r="J196" s="17" t="n"/>
      <c r="K196" s="198" t="inlineStr">
        <is>
          <t>тыс.т.</t>
        </is>
      </c>
    </row>
    <row r="197" ht="21.75" customHeight="1" s="904">
      <c r="B197" s="651" t="n"/>
      <c r="C197" s="224" t="n"/>
      <c r="D197" s="428" t="inlineStr">
        <is>
          <t>Товар</t>
        </is>
      </c>
      <c r="E197" s="15" t="inlineStr">
        <is>
          <t>100336099</t>
        </is>
      </c>
      <c r="F197" s="15" t="n"/>
      <c r="G197" s="16" t="n"/>
      <c r="H197" s="17" t="n"/>
      <c r="I197" s="636" t="n"/>
      <c r="J197" s="17" t="n"/>
      <c r="K197" s="198" t="inlineStr">
        <is>
          <t>тыс.т.</t>
        </is>
      </c>
    </row>
    <row r="198" ht="42.75" customHeight="1" s="904">
      <c r="B198" s="651" t="n"/>
      <c r="C198" s="224" t="inlineStr">
        <is>
          <t>3.21</t>
        </is>
      </c>
      <c r="D198" s="651" t="inlineStr">
        <is>
          <t>Кубовый остаток от дваэтилгексанола (КОРДЭГ) 
(валовый)</t>
        </is>
      </c>
      <c r="E198" s="15" t="inlineStr">
        <is>
          <t>100336100</t>
        </is>
      </c>
      <c r="F198" s="15" t="n"/>
      <c r="G198" s="16" t="n"/>
      <c r="H198" s="17" t="n"/>
      <c r="I198" s="636" t="n"/>
      <c r="J198" s="17" t="n"/>
      <c r="K198" s="198" t="inlineStr">
        <is>
          <t>тыс.т.</t>
        </is>
      </c>
    </row>
    <row r="199" ht="21.75" customHeight="1" s="904">
      <c r="B199" s="651" t="n"/>
      <c r="C199" s="224" t="n"/>
      <c r="D199" s="428" t="inlineStr">
        <is>
          <t>Товар</t>
        </is>
      </c>
      <c r="E199" s="15" t="inlineStr">
        <is>
          <t>100336101</t>
        </is>
      </c>
      <c r="F199" s="15" t="n"/>
      <c r="G199" s="16" t="n"/>
      <c r="H199" s="17" t="n"/>
      <c r="I199" s="636" t="n"/>
      <c r="J199" s="17" t="n"/>
      <c r="K199" s="198" t="inlineStr">
        <is>
          <t>тыс.т.</t>
        </is>
      </c>
    </row>
    <row r="200" ht="21.75" customHeight="1" s="904">
      <c r="B200" s="651" t="n"/>
      <c r="C200" s="416" t="inlineStr">
        <is>
          <t>ГАЗОХИМИЧЕСКИЙ ЗАВОД (ГХЗ)</t>
        </is>
      </c>
      <c r="D200" s="654" t="n"/>
      <c r="E200" s="15" t="n"/>
      <c r="F200" s="15" t="n"/>
      <c r="G200" s="16" t="n"/>
      <c r="H200" s="17" t="n"/>
      <c r="I200" s="636" t="n"/>
      <c r="J200" s="17" t="n"/>
      <c r="K200" s="198" t="n"/>
    </row>
    <row r="201" ht="42.75" customHeight="1" s="904">
      <c r="B201" s="651" t="n"/>
      <c r="C201" s="420" t="inlineStr">
        <is>
          <t>1.</t>
        </is>
      </c>
      <c r="D201" s="419" t="inlineStr">
        <is>
          <t>ПЕРЕРАБОТКА СЫРЬЯ 
ООО "ГАЗПРОМ НЕФТЕХИМ САЛАВАТ":</t>
        </is>
      </c>
      <c r="E201" s="15" t="inlineStr">
        <is>
          <t>100330792</t>
        </is>
      </c>
      <c r="F201" s="15" t="n"/>
      <c r="G201" s="16" t="n"/>
      <c r="H201" s="17" t="n"/>
      <c r="I201" s="636" t="n"/>
      <c r="J201" s="17" t="n"/>
      <c r="K201" s="421" t="n"/>
    </row>
    <row r="202" ht="21.75" customHeight="1" s="904">
      <c r="B202" s="651" t="n"/>
      <c r="C202" s="224" t="inlineStr">
        <is>
          <t>1.1</t>
        </is>
      </c>
      <c r="D202" s="422" t="inlineStr">
        <is>
          <t>Природный газ</t>
        </is>
      </c>
      <c r="E202" s="15" t="inlineStr">
        <is>
          <t>100330794</t>
        </is>
      </c>
      <c r="F202" s="15" t="n"/>
      <c r="G202" s="16" t="n"/>
      <c r="H202" s="17" t="n"/>
      <c r="I202" s="636" t="n"/>
      <c r="J202" s="17" t="n"/>
      <c r="K202" s="198" t="inlineStr">
        <is>
          <t>млн.м3</t>
        </is>
      </c>
    </row>
    <row r="203" ht="42.75" customHeight="1" s="904">
      <c r="B203" s="651" t="n"/>
      <c r="C203" s="420" t="inlineStr">
        <is>
          <t>2.</t>
        </is>
      </c>
      <c r="D203" s="419" t="inlineStr">
        <is>
          <t>ПРОДУКЦИЯ 
ООО "ГАЗПРОМ НЕФТЕХИМ САЛАВАТ":</t>
        </is>
      </c>
      <c r="E203" s="15" t="inlineStr">
        <is>
          <t>100330795</t>
        </is>
      </c>
      <c r="F203" s="15" t="n"/>
      <c r="G203" s="16" t="n"/>
      <c r="H203" s="17" t="n"/>
      <c r="I203" s="636" t="n"/>
      <c r="J203" s="17" t="n"/>
      <c r="K203" s="421" t="inlineStr">
        <is>
          <t>тыс.т.</t>
        </is>
      </c>
    </row>
    <row r="204" ht="21.75" customHeight="1" s="904">
      <c r="B204" s="651" t="n"/>
      <c r="C204" s="224" t="inlineStr">
        <is>
          <t>2.1</t>
        </is>
      </c>
      <c r="D204" s="422" t="inlineStr">
        <is>
          <t>Аммиак (валовый)</t>
        </is>
      </c>
      <c r="E204" s="15" t="inlineStr">
        <is>
          <t>100330798</t>
        </is>
      </c>
      <c r="F204" s="15" t="n"/>
      <c r="G204" s="16" t="n"/>
      <c r="H204" s="17" t="n"/>
      <c r="I204" s="636" t="n"/>
      <c r="J204" s="17" t="n"/>
      <c r="K204" s="198" t="inlineStr">
        <is>
          <t>тыс.т.</t>
        </is>
      </c>
    </row>
    <row r="205" ht="21.75" customHeight="1" s="904">
      <c r="B205" s="651" t="n"/>
      <c r="C205" s="224" t="n"/>
      <c r="D205" s="428" t="inlineStr">
        <is>
          <t>Товар</t>
        </is>
      </c>
      <c r="E205" s="15" t="inlineStr">
        <is>
          <t>100330799</t>
        </is>
      </c>
      <c r="F205" s="15" t="n"/>
      <c r="G205" s="16" t="n"/>
      <c r="H205" s="17" t="n"/>
      <c r="I205" s="636" t="n"/>
      <c r="J205" s="17" t="n"/>
      <c r="K205" s="198" t="inlineStr">
        <is>
          <t>тыс.т.</t>
        </is>
      </c>
    </row>
    <row r="206" ht="21.75" customHeight="1" s="904">
      <c r="B206" s="651" t="n"/>
      <c r="C206" s="224" t="inlineStr">
        <is>
          <t>2.2</t>
        </is>
      </c>
      <c r="D206" s="422" t="inlineStr">
        <is>
          <t>Карбамид (валовый)</t>
        </is>
      </c>
      <c r="E206" s="15" t="inlineStr">
        <is>
          <t>100330796</t>
        </is>
      </c>
      <c r="F206" s="15" t="n"/>
      <c r="G206" s="16" t="n"/>
      <c r="H206" s="17" t="n"/>
      <c r="I206" s="636" t="n"/>
      <c r="J206" s="17" t="n"/>
      <c r="K206" s="198" t="inlineStr">
        <is>
          <t>тыс.т.</t>
        </is>
      </c>
    </row>
    <row r="207" ht="21.75" customHeight="1" s="904">
      <c r="B207" s="651" t="n"/>
      <c r="C207" s="224" t="n"/>
      <c r="D207" s="428" t="inlineStr">
        <is>
          <t>Товар</t>
        </is>
      </c>
      <c r="E207" s="15" t="inlineStr">
        <is>
          <t>100336102</t>
        </is>
      </c>
      <c r="F207" s="15" t="n"/>
      <c r="G207" s="16" t="n"/>
      <c r="H207" s="17" t="n"/>
      <c r="I207" s="636" t="n"/>
      <c r="J207" s="17" t="n"/>
      <c r="K207" s="198" t="inlineStr">
        <is>
          <t>тыс.т.</t>
        </is>
      </c>
    </row>
    <row r="208" ht="21.75" customHeight="1" s="904">
      <c r="B208" s="651" t="n"/>
      <c r="C208" s="224" t="inlineStr">
        <is>
          <t>2.3</t>
        </is>
      </c>
      <c r="D208" s="422" t="inlineStr">
        <is>
          <t>Аммиачная вода (валовый)</t>
        </is>
      </c>
      <c r="E208" s="15" t="inlineStr">
        <is>
          <t>100330800</t>
        </is>
      </c>
      <c r="F208" s="15" t="n"/>
      <c r="G208" s="16" t="n"/>
      <c r="H208" s="17" t="n"/>
      <c r="I208" s="636" t="n"/>
      <c r="J208" s="17" t="n"/>
      <c r="K208" s="198" t="inlineStr">
        <is>
          <t>тыс.т.</t>
        </is>
      </c>
    </row>
    <row r="209" ht="21.75" customHeight="1" s="904">
      <c r="B209" s="651" t="n"/>
      <c r="C209" s="224" t="n"/>
      <c r="D209" s="428" t="inlineStr">
        <is>
          <t>Товар</t>
        </is>
      </c>
      <c r="E209" s="15" t="inlineStr">
        <is>
          <t>100336103</t>
        </is>
      </c>
      <c r="F209" s="15" t="n"/>
      <c r="G209" s="16" t="n"/>
      <c r="H209" s="17" t="n"/>
      <c r="I209" s="636" t="n"/>
      <c r="J209" s="17" t="n"/>
      <c r="K209" s="198" t="inlineStr">
        <is>
          <t>тыс.т.</t>
        </is>
      </c>
    </row>
    <row r="210" ht="21.75" customHeight="1" s="904">
      <c r="B210" s="651" t="n"/>
      <c r="C210" s="416" t="inlineStr">
        <is>
          <t>ООО "АКРИЛ-САЛАВАТ"</t>
        </is>
      </c>
      <c r="D210" s="422" t="n"/>
      <c r="E210" s="15" t="n"/>
      <c r="F210" s="15" t="n"/>
      <c r="G210" s="16" t="n"/>
      <c r="H210" s="17" t="n"/>
      <c r="I210" s="636" t="n"/>
      <c r="J210" s="17" t="n"/>
      <c r="K210" s="198" t="n"/>
    </row>
    <row r="211" ht="42.75" customHeight="1" s="904">
      <c r="B211" s="651" t="n"/>
      <c r="C211" s="420" t="inlineStr">
        <is>
          <t>1.</t>
        </is>
      </c>
      <c r="D211" s="419" t="inlineStr">
        <is>
          <t>ПЕРЕРАБОТКА СЫРЬЯ 
ООО "ГАЗПРОМ НЕФТЕХИМ САЛАВАТ":</t>
        </is>
      </c>
      <c r="E211" s="15" t="inlineStr">
        <is>
          <t>100332347</t>
        </is>
      </c>
      <c r="F211" s="15" t="n"/>
      <c r="G211" s="16" t="n"/>
      <c r="H211" s="17" t="inlineStr">
        <is>
          <t>100332348+100332349</t>
        </is>
      </c>
      <c r="I211" s="636" t="n"/>
      <c r="J211" s="17" t="n"/>
      <c r="K211" s="421" t="inlineStr">
        <is>
          <t>тыс.т.</t>
        </is>
      </c>
    </row>
    <row r="212" ht="42.75" customHeight="1" s="904">
      <c r="B212" s="651" t="n"/>
      <c r="C212" s="224" t="inlineStr">
        <is>
          <t>1.1</t>
        </is>
      </c>
      <c r="D212" s="426" t="inlineStr">
        <is>
          <t>Пропилен с завода "Мономер" 
ООО "Газпром нефтехим Салават"</t>
        </is>
      </c>
      <c r="E212" s="15" t="inlineStr">
        <is>
          <t>100332348</t>
        </is>
      </c>
      <c r="F212" s="15" t="n"/>
      <c r="G212" s="16" t="n"/>
      <c r="H212" s="17" t="n"/>
      <c r="I212" s="636" t="n"/>
      <c r="J212" s="17" t="n"/>
      <c r="K212" s="198" t="inlineStr">
        <is>
          <t>тыс.т.</t>
        </is>
      </c>
    </row>
    <row r="213" ht="42.75" customHeight="1" s="904">
      <c r="B213" s="651" t="n"/>
      <c r="C213" s="224" t="inlineStr">
        <is>
          <t>1.2</t>
        </is>
      </c>
      <c r="D213" s="426" t="inlineStr">
        <is>
          <t>Бутанол с завода "Мономер" 
ООО "Газпром нефтехим Салават"</t>
        </is>
      </c>
      <c r="E213" s="15" t="inlineStr">
        <is>
          <t>100332349</t>
        </is>
      </c>
      <c r="F213" s="15" t="n"/>
      <c r="G213" s="16" t="n"/>
      <c r="H213" s="17" t="n"/>
      <c r="I213" s="636" t="n"/>
      <c r="J213" s="17" t="n"/>
      <c r="K213" s="198" t="inlineStr">
        <is>
          <t>тыс.т.</t>
        </is>
      </c>
    </row>
    <row r="214" ht="42.75" customHeight="1" s="904">
      <c r="B214" s="651" t="n"/>
      <c r="C214" s="420" t="inlineStr">
        <is>
          <t>2.</t>
        </is>
      </c>
      <c r="D214" s="419" t="inlineStr">
        <is>
          <t>ПРОДУКЦИЯ 
ООО "ГАЗПРОМ НЕФТЕХИМ САЛАВАТ":</t>
        </is>
      </c>
      <c r="E214" s="15" t="inlineStr">
        <is>
          <t>100332350</t>
        </is>
      </c>
      <c r="F214" s="15" t="n"/>
      <c r="G214" s="16" t="n"/>
      <c r="H214" s="17" t="inlineStr">
        <is>
          <t>100332352+100332353</t>
        </is>
      </c>
      <c r="I214" s="636" t="n"/>
      <c r="J214" s="17" t="n"/>
      <c r="K214" s="421" t="inlineStr">
        <is>
          <t>тыс.т.</t>
        </is>
      </c>
    </row>
    <row r="215" ht="21.75" customHeight="1" s="904">
      <c r="B215" s="651" t="n"/>
      <c r="C215" s="224" t="inlineStr">
        <is>
          <t>2.1</t>
        </is>
      </c>
      <c r="D215" s="422" t="inlineStr">
        <is>
          <t>Бутилакрилат (товар)</t>
        </is>
      </c>
      <c r="E215" s="15" t="inlineStr">
        <is>
          <t>100332352</t>
        </is>
      </c>
      <c r="F215" s="15" t="n"/>
      <c r="G215" s="16" t="n"/>
      <c r="H215" s="17" t="n"/>
      <c r="I215" s="636" t="n"/>
      <c r="J215" s="17" t="n"/>
      <c r="K215" s="198" t="inlineStr">
        <is>
          <t>тыс.т.</t>
        </is>
      </c>
    </row>
    <row r="216" ht="21.75" customHeight="1" s="904">
      <c r="B216" s="651" t="n"/>
      <c r="C216" s="224" t="inlineStr">
        <is>
          <t>2.2</t>
        </is>
      </c>
      <c r="D216" s="422" t="inlineStr">
        <is>
          <t>Ледяная акриловая кислота (товар)</t>
        </is>
      </c>
      <c r="E216" s="15" t="inlineStr">
        <is>
          <t>100332353</t>
        </is>
      </c>
      <c r="F216" s="15" t="n"/>
      <c r="G216" s="16" t="n"/>
      <c r="H216" s="17" t="n"/>
      <c r="I216" s="636" t="n"/>
      <c r="J216" s="17" t="n"/>
      <c r="K216" s="198" t="inlineStr">
        <is>
          <t>тыс.т.</t>
        </is>
      </c>
    </row>
    <row r="217" ht="24" customHeight="1" s="904">
      <c r="C217" s="369" t="n">
        <v>6</v>
      </c>
      <c r="D217" s="437" t="inlineStr">
        <is>
          <t>Проверка с ООО "Газпром добыча Оренбург"</t>
        </is>
      </c>
      <c r="E217" s="15" t="n"/>
      <c r="F217" s="15" t="inlineStr">
        <is>
          <t>V</t>
        </is>
      </c>
      <c r="G217" s="16" t="n"/>
      <c r="H217" s="17" t="inlineStr">
        <is>
          <t>100335991-6_100332312</t>
        </is>
      </c>
      <c r="I217" s="636" t="n"/>
      <c r="J217" s="17" t="n"/>
      <c r="K217" s="438" t="inlineStr">
        <is>
          <t>тыс.т.</t>
        </is>
      </c>
    </row>
    <row r="221" ht="21" customHeight="1" s="904">
      <c r="D221" s="439" t="inlineStr">
        <is>
          <t>Проверка с ИУС ПРУВ</t>
        </is>
      </c>
    </row>
    <row r="222" ht="23.25" customHeight="1" s="904">
      <c r="C222" s="319" t="n"/>
      <c r="D222" s="440" t="inlineStr">
        <is>
          <t>НЕФТЕПЕРЕРАБАТЫВАЮЩИЙ ЗАВОД (НПЗ)</t>
        </is>
      </c>
      <c r="E222" s="15" t="n"/>
      <c r="F222" s="15" t="n"/>
      <c r="G222" s="16" t="n"/>
      <c r="H222" s="17" t="n"/>
      <c r="I222" s="636" t="n"/>
      <c r="J222" s="17" t="n"/>
      <c r="K222" s="441" t="n"/>
    </row>
    <row r="223" ht="19.5" customHeight="1" s="904">
      <c r="C223" s="319" t="n"/>
      <c r="D223" s="442" t="inlineStr">
        <is>
          <t>СЫРЬЁ</t>
        </is>
      </c>
      <c r="E223" s="15" t="n"/>
      <c r="F223" s="15" t="n"/>
      <c r="G223" s="16" t="n"/>
      <c r="H223" s="17" t="n"/>
      <c r="I223" s="636" t="n"/>
      <c r="J223" s="17" t="n"/>
      <c r="K223" s="443" t="n"/>
    </row>
    <row r="224" ht="19.5" customHeight="1" s="904">
      <c r="C224" s="319" t="n"/>
      <c r="D224" s="444" t="inlineStr">
        <is>
          <t>ПОСТУПЛЕНИЕ СЫРЬЯ</t>
        </is>
      </c>
      <c r="E224" s="15" t="n"/>
      <c r="F224" s="15" t="inlineStr">
        <is>
          <t>S2</t>
        </is>
      </c>
      <c r="G224" s="16" t="n"/>
      <c r="H224" s="17" t="inlineStr">
        <is>
          <t>{E11:2}-{E224:2}</t>
        </is>
      </c>
      <c r="I224" s="636" t="n"/>
      <c r="J224" s="17" t="n"/>
      <c r="K224" s="445" t="inlineStr">
        <is>
          <t>тыс.т</t>
        </is>
      </c>
    </row>
    <row r="225" ht="18.75" customHeight="1" s="904">
      <c r="C225" s="319" t="n"/>
      <c r="D225" s="446" t="inlineStr">
        <is>
          <t>ООО "ГАЗПРОМ НЕФТЕХИМ САЛАВАТ"</t>
        </is>
      </c>
      <c r="E225" s="15" t="n"/>
      <c r="F225" s="15" t="inlineStr">
        <is>
          <t>S2</t>
        </is>
      </c>
      <c r="G225" s="16" t="n"/>
      <c r="H225" s="17" t="inlineStr">
        <is>
          <t>{E11:2}-{E225:2}</t>
        </is>
      </c>
      <c r="I225" s="636" t="n"/>
      <c r="J225" s="17" t="n"/>
      <c r="K225" s="447" t="inlineStr">
        <is>
          <t>тыс.т</t>
        </is>
      </c>
    </row>
    <row r="226" ht="18.75" customHeight="1" s="904">
      <c r="C226" s="319" t="n"/>
      <c r="D226" s="448" t="inlineStr">
        <is>
          <t>Конденсат газовый стабильный</t>
        </is>
      </c>
      <c r="E226" s="15" t="n"/>
      <c r="F226" s="15" t="inlineStr">
        <is>
          <t>S2</t>
        </is>
      </c>
      <c r="G226" s="16" t="n"/>
      <c r="H226" s="17" t="inlineStr">
        <is>
          <t>{E12:2}-{E226:2}</t>
        </is>
      </c>
      <c r="I226" s="636" t="n"/>
      <c r="J226" s="17" t="n"/>
      <c r="K226" s="449" t="inlineStr">
        <is>
          <t>тыс.т</t>
        </is>
      </c>
    </row>
    <row r="227" ht="18.75" customHeight="1" s="904">
      <c r="C227" s="319" t="n"/>
      <c r="D227" s="450" t="inlineStr">
        <is>
          <t>Оренбургский ГПЗ</t>
        </is>
      </c>
      <c r="E227" s="15" t="n"/>
      <c r="F227" s="15" t="n"/>
      <c r="G227" s="16" t="n"/>
      <c r="H227" s="17" t="n"/>
      <c r="I227" s="636" t="n"/>
      <c r="J227" s="17" t="n"/>
      <c r="K227" s="449" t="inlineStr">
        <is>
          <t>тыс.т</t>
        </is>
      </c>
    </row>
    <row r="228" ht="18.75" customHeight="1" s="904">
      <c r="C228" s="319" t="n"/>
      <c r="D228" s="450" t="inlineStr">
        <is>
          <t>Астраханский ГПЗ</t>
        </is>
      </c>
      <c r="E228" s="15" t="n"/>
      <c r="F228" s="15" t="inlineStr">
        <is>
          <t>S2</t>
        </is>
      </c>
      <c r="G228" s="16" t="n"/>
      <c r="H228" s="17" t="inlineStr">
        <is>
          <t>{E14:2}-{E228:2}</t>
        </is>
      </c>
      <c r="I228" s="636" t="n"/>
      <c r="J228" s="17" t="n"/>
      <c r="K228" s="449" t="inlineStr">
        <is>
          <t>тыс.т</t>
        </is>
      </c>
    </row>
    <row r="229" ht="18.75" customHeight="1" s="904">
      <c r="C229" s="319" t="n"/>
      <c r="D229" s="450" t="inlineStr">
        <is>
          <t>Сургутский ЗСК</t>
        </is>
      </c>
      <c r="E229" s="15" t="n"/>
      <c r="F229" s="15" t="inlineStr">
        <is>
          <t>S2</t>
        </is>
      </c>
      <c r="G229" s="16" t="n"/>
      <c r="H229" s="17" t="inlineStr">
        <is>
          <t>{E15:2}-{E229:2}</t>
        </is>
      </c>
      <c r="I229" s="636" t="n"/>
      <c r="J229" s="17" t="n"/>
      <c r="K229" s="449" t="inlineStr">
        <is>
          <t>тыс.т</t>
        </is>
      </c>
    </row>
    <row r="230" ht="18.75" customHeight="1" s="904">
      <c r="C230" s="319" t="n"/>
      <c r="D230" s="450" t="inlineStr">
        <is>
          <t>ПАО "НОВАТЭК" (ст. Лимбей)</t>
        </is>
      </c>
      <c r="E230" s="15" t="n"/>
      <c r="F230" s="15" t="inlineStr">
        <is>
          <t>S2</t>
        </is>
      </c>
      <c r="G230" s="16" t="n"/>
      <c r="H230" s="17" t="inlineStr">
        <is>
          <t>{E18:2}-{E230:2}</t>
        </is>
      </c>
      <c r="I230" s="636" t="n"/>
      <c r="J230" s="17" t="n"/>
      <c r="K230" s="449" t="inlineStr">
        <is>
          <t>тыс.т</t>
        </is>
      </c>
    </row>
    <row r="231" ht="18.75" customHeight="1" s="904">
      <c r="C231" s="319" t="n"/>
      <c r="D231" s="450" t="inlineStr">
        <is>
          <t>Прочее</t>
        </is>
      </c>
      <c r="E231" s="15" t="n"/>
      <c r="F231" s="15" t="inlineStr">
        <is>
          <t>S2</t>
        </is>
      </c>
      <c r="G231" s="16" t="n"/>
      <c r="H231" s="17" t="inlineStr">
        <is>
          <t>{E19:2}+{E17:2}+{E16:2}-{E231:2}</t>
        </is>
      </c>
      <c r="I231" s="636" t="n"/>
      <c r="J231" s="17" t="n"/>
      <c r="K231" s="449" t="inlineStr">
        <is>
          <t>тыс.т</t>
        </is>
      </c>
    </row>
    <row r="232" ht="18.75" customHeight="1" s="904">
      <c r="C232" s="319" t="n"/>
      <c r="D232" s="448" t="inlineStr">
        <is>
          <t>Нефть</t>
        </is>
      </c>
      <c r="E232" s="15" t="n"/>
      <c r="F232" s="15" t="inlineStr">
        <is>
          <t>S2</t>
        </is>
      </c>
      <c r="G232" s="16" t="n"/>
      <c r="H232" s="17" t="inlineStr">
        <is>
          <t>{E20:2}-{E232:2}</t>
        </is>
      </c>
      <c r="I232" s="636" t="n"/>
      <c r="J232" s="17" t="n"/>
      <c r="K232" s="449" t="inlineStr">
        <is>
          <t>тыс.т</t>
        </is>
      </c>
    </row>
    <row r="233" ht="18.75" customHeight="1" s="904">
      <c r="C233" s="319" t="n"/>
      <c r="D233" s="450" t="inlineStr">
        <is>
          <t>Царичанская нефть</t>
        </is>
      </c>
      <c r="E233" s="15" t="n"/>
      <c r="F233" s="15" t="inlineStr">
        <is>
          <t>S2</t>
        </is>
      </c>
      <c r="G233" s="16" t="n"/>
      <c r="H233" s="17" t="inlineStr">
        <is>
          <t>{E26:2}-{E233:2}</t>
        </is>
      </c>
      <c r="I233" s="636" t="n"/>
      <c r="J233" s="17" t="n"/>
      <c r="K233" s="449" t="inlineStr">
        <is>
          <t>тыс.т</t>
        </is>
      </c>
    </row>
    <row r="234" ht="18.75" customHeight="1" s="904">
      <c r="C234" s="319" t="n"/>
      <c r="D234" s="450" t="inlineStr">
        <is>
          <t>Западно-Сибирская нефть</t>
        </is>
      </c>
      <c r="E234" s="15" t="n"/>
      <c r="F234" s="15" t="inlineStr">
        <is>
          <t>S2</t>
        </is>
      </c>
      <c r="G234" s="16" t="n"/>
      <c r="H234" s="17" t="inlineStr">
        <is>
          <t>{E27:2}-{E234:2}</t>
        </is>
      </c>
      <c r="I234" s="636" t="n"/>
      <c r="J234" s="17" t="n"/>
      <c r="K234" s="449" t="inlineStr">
        <is>
          <t>тыс.т</t>
        </is>
      </c>
    </row>
    <row r="235" ht="18.75" customHeight="1" s="904">
      <c r="C235" s="319" t="n"/>
      <c r="D235" s="451" t="inlineStr">
        <is>
          <t>Оренбургский ГПЗ, в том числе</t>
        </is>
      </c>
      <c r="E235" s="15" t="n"/>
      <c r="F235" s="15" t="inlineStr">
        <is>
          <t>S2</t>
        </is>
      </c>
      <c r="G235" s="16" t="n"/>
      <c r="H235" s="17" t="inlineStr">
        <is>
          <t>{E22:2}+{E25:2}+{E23:2}+{E24:2}-{E235:2}</t>
        </is>
      </c>
      <c r="I235" s="636" t="n"/>
      <c r="J235" s="17" t="n"/>
      <c r="K235" s="452" t="inlineStr">
        <is>
          <t>тыс.т</t>
        </is>
      </c>
    </row>
    <row r="236" ht="18.75" customHeight="1" s="904">
      <c r="C236" s="319" t="n"/>
      <c r="D236" s="453" t="inlineStr">
        <is>
          <t>НГКС Оренбург ПАО "Газпром"</t>
        </is>
      </c>
      <c r="E236" s="15" t="n"/>
      <c r="F236" s="15" t="inlineStr">
        <is>
          <t>S2</t>
        </is>
      </c>
      <c r="G236" s="16" t="n"/>
      <c r="H236" s="17" t="inlineStr">
        <is>
          <t>{E21:2}-{E236:2}</t>
        </is>
      </c>
      <c r="I236" s="636" t="n"/>
      <c r="J236" s="17" t="n"/>
      <c r="K236" s="454" t="inlineStr">
        <is>
          <t>тыс.т</t>
        </is>
      </c>
    </row>
    <row r="237" ht="18.75" customHeight="1" s="904">
      <c r="C237" s="319" t="n"/>
      <c r="D237" s="453" t="inlineStr">
        <is>
          <t xml:space="preserve">                  НГКС Оренбург.доп ООО "Сервис Нефтегаз"</t>
        </is>
      </c>
      <c r="E237" s="15" t="n"/>
      <c r="F237" s="15" t="inlineStr">
        <is>
          <t>S2</t>
        </is>
      </c>
      <c r="G237" s="16" t="n"/>
      <c r="H237" s="17" t="inlineStr">
        <is>
          <t>{E23:2}-{E237:2}</t>
        </is>
      </c>
      <c r="I237" s="636" t="n"/>
      <c r="J237" s="17" t="n"/>
      <c r="K237" s="454" t="inlineStr">
        <is>
          <t>тыс.т</t>
        </is>
      </c>
    </row>
    <row r="238" ht="18.75" customHeight="1" s="904">
      <c r="C238" s="319" t="n"/>
      <c r="D238" s="453" t="inlineStr">
        <is>
          <t xml:space="preserve">                  НГКС ТОО "КазРосГаз"</t>
        </is>
      </c>
      <c r="E238" s="15" t="n"/>
      <c r="F238" s="15" t="inlineStr">
        <is>
          <t>S2</t>
        </is>
      </c>
      <c r="G238" s="16" t="n"/>
      <c r="H238" s="17" t="inlineStr">
        <is>
          <t>{E24:2}-{E238:2}</t>
        </is>
      </c>
      <c r="I238" s="636" t="n"/>
      <c r="J238" s="17" t="n"/>
      <c r="K238" s="454" t="inlineStr">
        <is>
          <t>тыс.т</t>
        </is>
      </c>
    </row>
    <row r="239" ht="18.75" customHeight="1" s="904">
      <c r="C239" s="319" t="n"/>
      <c r="D239" s="453" t="inlineStr">
        <is>
          <t xml:space="preserve">НГКС ООО "ГПН-Трейд Оренбург", ООО "Газпромнефть-Заполярье" </t>
        </is>
      </c>
      <c r="E239" s="15" t="n"/>
      <c r="F239" s="15" t="n"/>
      <c r="G239" s="16" t="n"/>
      <c r="H239" s="17" t="n"/>
      <c r="I239" s="636" t="n"/>
      <c r="J239" s="17" t="n"/>
      <c r="K239" s="454" t="inlineStr">
        <is>
          <t>тыс.т</t>
        </is>
      </c>
    </row>
    <row r="240" ht="18.75" customHeight="1" s="904">
      <c r="C240" s="319" t="n"/>
      <c r="D240" s="450" t="inlineStr">
        <is>
          <t>Прочее</t>
        </is>
      </c>
      <c r="E240" s="15" t="n"/>
      <c r="F240" s="15" t="inlineStr">
        <is>
          <t>S2</t>
        </is>
      </c>
      <c r="G240" s="16" t="n"/>
      <c r="H240" s="17" t="inlineStr">
        <is>
          <t>{E28:2}-{E240:2}</t>
        </is>
      </c>
      <c r="I240" s="636" t="n"/>
      <c r="J240" s="17" t="n"/>
      <c r="K240" s="449" t="inlineStr">
        <is>
          <t>тыс.т</t>
        </is>
      </c>
    </row>
    <row r="241" ht="18.75" customHeight="1" s="904">
      <c r="C241" s="319" t="n"/>
      <c r="D241" s="448" t="inlineStr">
        <is>
          <t>Мазут</t>
        </is>
      </c>
      <c r="E241" s="15" t="n"/>
      <c r="F241" s="15" t="inlineStr">
        <is>
          <t>S2</t>
        </is>
      </c>
      <c r="G241" s="16" t="n"/>
      <c r="H241" s="17" t="inlineStr">
        <is>
          <t>{E29:2}-{E241:2}</t>
        </is>
      </c>
      <c r="I241" s="636" t="n"/>
      <c r="J241" s="17" t="n"/>
      <c r="K241" s="449" t="inlineStr">
        <is>
          <t>тыс.т</t>
        </is>
      </c>
    </row>
    <row r="242" ht="18.75" customHeight="1" s="904">
      <c r="C242" s="319" t="n"/>
      <c r="D242" s="450" t="inlineStr">
        <is>
          <t>Астраханский ГПЗ</t>
        </is>
      </c>
      <c r="E242" s="15" t="n"/>
      <c r="F242" s="15" t="inlineStr">
        <is>
          <t>S2</t>
        </is>
      </c>
      <c r="G242" s="16" t="n"/>
      <c r="H242" s="17" t="inlineStr">
        <is>
          <t>{E31:2}-{E242:2}</t>
        </is>
      </c>
      <c r="I242" s="636" t="n"/>
      <c r="J242" s="17" t="n"/>
      <c r="K242" s="449" t="inlineStr">
        <is>
          <t>тыс.т</t>
        </is>
      </c>
    </row>
    <row r="243" ht="18.75" customHeight="1" s="904">
      <c r="C243" s="319" t="n"/>
      <c r="D243" s="455" t="inlineStr">
        <is>
          <t>Вакуумный газойль покупной</t>
        </is>
      </c>
      <c r="E243" s="15" t="n"/>
      <c r="F243" s="15" t="inlineStr">
        <is>
          <t>S2</t>
        </is>
      </c>
      <c r="G243" s="16" t="n"/>
      <c r="H243" s="17" t="inlineStr">
        <is>
          <t>{E32:2}-{E243:2}</t>
        </is>
      </c>
      <c r="I243" s="636" t="n"/>
      <c r="J243" s="17" t="n"/>
      <c r="K243" s="449" t="inlineStr">
        <is>
          <t>тыс.т</t>
        </is>
      </c>
    </row>
    <row r="244" ht="18.75" customHeight="1" s="904">
      <c r="C244" s="319" t="n"/>
      <c r="D244" s="456" t="inlineStr">
        <is>
          <t>АО "ТАНЕКО"</t>
        </is>
      </c>
      <c r="E244" s="15" t="n"/>
      <c r="F244" s="15" t="inlineStr">
        <is>
          <t>S2</t>
        </is>
      </c>
      <c r="G244" s="16" t="n"/>
      <c r="H244" s="17" t="inlineStr">
        <is>
          <t>{E32:2}-{E244:2}</t>
        </is>
      </c>
      <c r="I244" s="636" t="n"/>
      <c r="J244" s="17" t="n"/>
      <c r="K244" s="449" t="inlineStr">
        <is>
          <t>тыс.т</t>
        </is>
      </c>
    </row>
    <row r="245" ht="19.5" customHeight="1" s="904">
      <c r="C245" s="319" t="n"/>
      <c r="D245" s="444" t="inlineStr">
        <is>
          <t>ПЕРЕРАБОТКА УГЛЕВОДОРОДНОГО СЫРЬЯ</t>
        </is>
      </c>
      <c r="E245" s="15" t="n"/>
      <c r="F245" s="15" t="inlineStr">
        <is>
          <t>S2</t>
        </is>
      </c>
      <c r="G245" s="16" t="n"/>
      <c r="H245" s="17" t="inlineStr">
        <is>
          <t>{E33:2}-{E55:2}-{E56:2}-{E58:2}-{E59:2}-{E245:2}</t>
        </is>
      </c>
      <c r="I245" s="636" t="n"/>
      <c r="J245" s="17" t="n"/>
      <c r="K245" s="445" t="inlineStr">
        <is>
          <t>тыс.т</t>
        </is>
      </c>
    </row>
    <row r="246" ht="18.75" customHeight="1" s="904">
      <c r="C246" s="319" t="n"/>
      <c r="D246" s="446" t="inlineStr">
        <is>
          <t>ООО "ГАЗПРОМ НЕФТЕХИМ САЛАВАТ"</t>
        </is>
      </c>
      <c r="E246" s="15" t="n"/>
      <c r="F246" s="15" t="inlineStr">
        <is>
          <t>S2</t>
        </is>
      </c>
      <c r="G246" s="16" t="n"/>
      <c r="H246" s="17" t="inlineStr">
        <is>
          <t>{E33:2}-{E55:2}-{E56:2}-{E58:2}-{E59:2}-{E246:2}</t>
        </is>
      </c>
      <c r="I246" s="636" t="n"/>
      <c r="J246" s="17" t="n"/>
      <c r="K246" s="447" t="inlineStr">
        <is>
          <t>тыс.т</t>
        </is>
      </c>
    </row>
    <row r="247" ht="18.75" customHeight="1" s="904">
      <c r="C247" s="319" t="n"/>
      <c r="D247" s="448" t="inlineStr">
        <is>
          <t>Конденсат газовый стабильный</t>
        </is>
      </c>
      <c r="E247" s="15" t="n"/>
      <c r="F247" s="15" t="inlineStr">
        <is>
          <t>S2</t>
        </is>
      </c>
      <c r="G247" s="16" t="n"/>
      <c r="H247" s="17" t="inlineStr">
        <is>
          <t>{E34:2}-{E247:2}</t>
        </is>
      </c>
      <c r="I247" s="636" t="n"/>
      <c r="J247" s="17" t="n"/>
      <c r="K247" s="449" t="inlineStr">
        <is>
          <t>тыс.т</t>
        </is>
      </c>
    </row>
    <row r="248" ht="18.75" customHeight="1" s="904">
      <c r="C248" s="319" t="n"/>
      <c r="D248" s="450" t="inlineStr">
        <is>
          <t>Оренбургский ГПЗ</t>
        </is>
      </c>
      <c r="E248" s="15" t="n"/>
      <c r="F248" s="15" t="n"/>
      <c r="G248" s="16" t="n"/>
      <c r="H248" s="17" t="n"/>
      <c r="I248" s="636" t="n"/>
      <c r="J248" s="17" t="n"/>
      <c r="K248" s="449" t="inlineStr">
        <is>
          <t>тыс.т</t>
        </is>
      </c>
    </row>
    <row r="249" ht="18.75" customHeight="1" s="904">
      <c r="C249" s="319" t="n"/>
      <c r="D249" s="450" t="inlineStr">
        <is>
          <t>Астраханский ГПЗ</t>
        </is>
      </c>
      <c r="E249" s="15" t="n"/>
      <c r="F249" s="15" t="inlineStr">
        <is>
          <t>S2</t>
        </is>
      </c>
      <c r="G249" s="16" t="n"/>
      <c r="H249" s="17" t="inlineStr">
        <is>
          <t>{E36:2}-{E249:2}</t>
        </is>
      </c>
      <c r="I249" s="636" t="n"/>
      <c r="J249" s="17" t="n"/>
      <c r="K249" s="449" t="inlineStr">
        <is>
          <t>тыс.т</t>
        </is>
      </c>
    </row>
    <row r="250" ht="18.75" customHeight="1" s="904">
      <c r="C250" s="319" t="n"/>
      <c r="D250" s="450" t="inlineStr">
        <is>
          <t>Сургутский ЗСК</t>
        </is>
      </c>
      <c r="E250" s="15" t="n"/>
      <c r="F250" s="15" t="inlineStr">
        <is>
          <t>S2</t>
        </is>
      </c>
      <c r="G250" s="16" t="n"/>
      <c r="H250" s="17" t="inlineStr">
        <is>
          <t>{E37:2}-{E250:2}</t>
        </is>
      </c>
      <c r="I250" s="636" t="n"/>
      <c r="J250" s="17" t="n"/>
      <c r="K250" s="449" t="inlineStr">
        <is>
          <t>тыс.т</t>
        </is>
      </c>
    </row>
    <row r="251" ht="18.75" customHeight="1" s="904">
      <c r="C251" s="319" t="n"/>
      <c r="D251" s="457" t="inlineStr">
        <is>
          <t>ПАО "НОВАТЭК" (ст. Лимбей)</t>
        </is>
      </c>
      <c r="E251" s="15" t="n"/>
      <c r="F251" s="15" t="inlineStr">
        <is>
          <t>S2</t>
        </is>
      </c>
      <c r="G251" s="16" t="n"/>
      <c r="H251" s="17" t="inlineStr">
        <is>
          <t>{E40:2}-{E251:2}</t>
        </is>
      </c>
      <c r="I251" s="636" t="n"/>
      <c r="J251" s="17" t="n"/>
      <c r="K251" s="449" t="inlineStr">
        <is>
          <t>тыс.т</t>
        </is>
      </c>
    </row>
    <row r="252" ht="18.75" customHeight="1" s="904">
      <c r="C252" s="319" t="n"/>
      <c r="D252" s="457" t="inlineStr">
        <is>
          <t>Прочее</t>
        </is>
      </c>
      <c r="E252" s="15" t="n"/>
      <c r="F252" s="15" t="inlineStr">
        <is>
          <t>S2</t>
        </is>
      </c>
      <c r="G252" s="16" t="n"/>
      <c r="H252" s="17" t="inlineStr">
        <is>
          <t>{E39:2}+{E41:2}+{E38:2}-{E252:2}</t>
        </is>
      </c>
      <c r="I252" s="636" t="n"/>
      <c r="J252" s="17" t="n"/>
      <c r="K252" s="449" t="inlineStr">
        <is>
          <t>тыс.т</t>
        </is>
      </c>
    </row>
    <row r="253" ht="18.75" customHeight="1" s="904">
      <c r="C253" s="319" t="n"/>
      <c r="D253" s="458" t="inlineStr">
        <is>
          <t>Нефть</t>
        </is>
      </c>
      <c r="E253" s="15" t="n"/>
      <c r="F253" s="15" t="inlineStr">
        <is>
          <t>S2</t>
        </is>
      </c>
      <c r="G253" s="16" t="n"/>
      <c r="H253" s="17" t="inlineStr">
        <is>
          <t>{E42:2}-{E253:2}</t>
        </is>
      </c>
      <c r="I253" s="636" t="n"/>
      <c r="J253" s="17" t="n"/>
      <c r="K253" s="449" t="inlineStr">
        <is>
          <t>тыс.т</t>
        </is>
      </c>
    </row>
    <row r="254" ht="18.75" customHeight="1" s="904">
      <c r="C254" s="319" t="n"/>
      <c r="D254" s="457" t="inlineStr">
        <is>
          <t>Западно-Сибирская нефть</t>
        </is>
      </c>
      <c r="E254" s="15" t="n"/>
      <c r="F254" s="15" t="inlineStr">
        <is>
          <t>S2</t>
        </is>
      </c>
      <c r="G254" s="16" t="n"/>
      <c r="H254" s="17" t="inlineStr">
        <is>
          <t>{E49:2}-{E254:2}</t>
        </is>
      </c>
      <c r="I254" s="636" t="n"/>
      <c r="J254" s="17" t="n"/>
      <c r="K254" s="449" t="inlineStr">
        <is>
          <t>тыс.т</t>
        </is>
      </c>
    </row>
    <row r="255" ht="18.75" customHeight="1" s="904">
      <c r="C255" s="319" t="n"/>
      <c r="D255" s="457" t="inlineStr">
        <is>
          <t>Царичанская нефть</t>
        </is>
      </c>
      <c r="E255" s="15" t="n"/>
      <c r="F255" s="15" t="inlineStr">
        <is>
          <t>S2</t>
        </is>
      </c>
      <c r="G255" s="16" t="n"/>
      <c r="H255" s="17" t="inlineStr">
        <is>
          <t>{E48:2}-{E255:2}</t>
        </is>
      </c>
      <c r="I255" s="636" t="n"/>
      <c r="J255" s="17" t="n"/>
      <c r="K255" s="449" t="inlineStr">
        <is>
          <t>тыс.т</t>
        </is>
      </c>
    </row>
    <row r="256" ht="18.75" customHeight="1" s="904">
      <c r="C256" s="319" t="n"/>
      <c r="D256" s="451" t="inlineStr">
        <is>
          <t>Оренбургский ГПЗ, в том числе</t>
        </is>
      </c>
      <c r="E256" s="15" t="n"/>
      <c r="F256" s="15" t="inlineStr">
        <is>
          <t>S2</t>
        </is>
      </c>
      <c r="G256" s="16" t="n"/>
      <c r="H256" s="17" t="inlineStr">
        <is>
          <t>{E44:2}+{E45:2}+{E46:2}+{E47:2}-{E256:2}</t>
        </is>
      </c>
      <c r="I256" s="636" t="n"/>
      <c r="J256" s="17" t="n"/>
      <c r="K256" s="452" t="inlineStr">
        <is>
          <t>тыс.т</t>
        </is>
      </c>
    </row>
    <row r="257" ht="18.75" customHeight="1" s="904">
      <c r="C257" s="319" t="n"/>
      <c r="D257" s="453" t="inlineStr">
        <is>
          <t>НГКС Оренбург ПАО "Газпром"</t>
        </is>
      </c>
      <c r="E257" s="15" t="n"/>
      <c r="F257" s="15" t="inlineStr">
        <is>
          <t>S2</t>
        </is>
      </c>
      <c r="G257" s="16" t="n"/>
      <c r="H257" s="17" t="inlineStr">
        <is>
          <t>{E44:2}-{E257:2}</t>
        </is>
      </c>
      <c r="I257" s="636" t="n"/>
      <c r="J257" s="17" t="n"/>
      <c r="K257" s="454" t="inlineStr">
        <is>
          <t>тыс.т</t>
        </is>
      </c>
    </row>
    <row r="258" ht="18.75" customHeight="1" s="904">
      <c r="C258" s="319" t="n"/>
      <c r="D258" s="453" t="inlineStr">
        <is>
          <t xml:space="preserve">                  НГКС Оренбург.доп ООО "Сервис Нефтегаз"</t>
        </is>
      </c>
      <c r="E258" s="15" t="n"/>
      <c r="F258" s="15" t="inlineStr">
        <is>
          <t>S2</t>
        </is>
      </c>
      <c r="G258" s="16" t="n"/>
      <c r="H258" s="17" t="inlineStr">
        <is>
          <t>{E45:2}-{E258:2}</t>
        </is>
      </c>
      <c r="I258" s="636" t="n"/>
      <c r="J258" s="17" t="n"/>
      <c r="K258" s="454" t="inlineStr">
        <is>
          <t>тыс.т</t>
        </is>
      </c>
    </row>
    <row r="259" ht="18.75" customHeight="1" s="904">
      <c r="C259" s="319" t="n"/>
      <c r="D259" s="453" t="inlineStr">
        <is>
          <t xml:space="preserve">                  НГКС ТОО "КазРосГаз"</t>
        </is>
      </c>
      <c r="E259" s="15" t="n"/>
      <c r="F259" s="15" t="inlineStr">
        <is>
          <t>S2</t>
        </is>
      </c>
      <c r="G259" s="16" t="n"/>
      <c r="H259" s="17" t="inlineStr">
        <is>
          <t>{E46:2}-{E259:2}</t>
        </is>
      </c>
      <c r="I259" s="636" t="n"/>
      <c r="J259" s="17" t="n"/>
      <c r="K259" s="454" t="inlineStr">
        <is>
          <t>тыс.т</t>
        </is>
      </c>
    </row>
    <row r="260" ht="18.75" customHeight="1" s="904">
      <c r="C260" s="319" t="n"/>
      <c r="D260" s="453" t="inlineStr">
        <is>
          <t xml:space="preserve">НГКС ООО "ГПН-Трейд Оренбург", ООО "Газпромнефть-Заполярье" </t>
        </is>
      </c>
      <c r="E260" s="15" t="n"/>
      <c r="F260" s="15" t="n"/>
      <c r="G260" s="16" t="n"/>
      <c r="H260" s="17" t="n"/>
      <c r="I260" s="636" t="n"/>
      <c r="J260" s="17" t="n"/>
      <c r="K260" s="454" t="inlineStr">
        <is>
          <t>тыс.т</t>
        </is>
      </c>
    </row>
    <row r="261" ht="18.75" customHeight="1" s="904">
      <c r="C261" s="319" t="n"/>
      <c r="D261" s="450" t="inlineStr">
        <is>
          <t>Прочее</t>
        </is>
      </c>
      <c r="E261" s="15" t="n"/>
      <c r="F261" s="15" t="inlineStr">
        <is>
          <t>S2</t>
        </is>
      </c>
      <c r="G261" s="16" t="n"/>
      <c r="H261" s="17" t="inlineStr">
        <is>
          <t>{E50:2}-{E261:2}</t>
        </is>
      </c>
      <c r="I261" s="636" t="n"/>
      <c r="J261" s="17" t="n"/>
      <c r="K261" s="449" t="inlineStr">
        <is>
          <t>тыс.т</t>
        </is>
      </c>
    </row>
    <row r="262" ht="18.75" customHeight="1" s="904">
      <c r="C262" s="319" t="n"/>
      <c r="D262" s="448" t="inlineStr">
        <is>
          <t>Мазут</t>
        </is>
      </c>
      <c r="E262" s="15" t="n"/>
      <c r="F262" s="15" t="inlineStr">
        <is>
          <t>S2</t>
        </is>
      </c>
      <c r="G262" s="16" t="n"/>
      <c r="H262" s="17" t="inlineStr">
        <is>
          <t>{E51:2}-{E262:2}</t>
        </is>
      </c>
      <c r="I262" s="636" t="n"/>
      <c r="J262" s="17" t="n"/>
      <c r="K262" s="449" t="inlineStr">
        <is>
          <t>тыс.т</t>
        </is>
      </c>
    </row>
    <row r="263" ht="18.75" customHeight="1" s="904">
      <c r="C263" s="319" t="n"/>
      <c r="D263" s="450" t="inlineStr">
        <is>
          <t>Астраханский ГПЗ</t>
        </is>
      </c>
      <c r="E263" s="15" t="n"/>
      <c r="F263" s="15" t="inlineStr">
        <is>
          <t>S2</t>
        </is>
      </c>
      <c r="G263" s="16" t="n"/>
      <c r="H263" s="17" t="inlineStr">
        <is>
          <t>{E53:2}-{E263:2}</t>
        </is>
      </c>
      <c r="I263" s="636" t="n"/>
      <c r="J263" s="17" t="n"/>
      <c r="K263" s="449" t="inlineStr">
        <is>
          <t>тыс.т</t>
        </is>
      </c>
    </row>
    <row r="264" ht="18.75" customHeight="1" s="904">
      <c r="C264" s="319" t="n"/>
      <c r="D264" s="455" t="inlineStr">
        <is>
          <t>Вакуумный газойль покупной</t>
        </is>
      </c>
      <c r="E264" s="15" t="n"/>
      <c r="F264" s="15" t="inlineStr">
        <is>
          <t>S2</t>
        </is>
      </c>
      <c r="G264" s="16" t="n"/>
      <c r="H264" s="17" t="inlineStr">
        <is>
          <t>{E54:2}-{E264:2}</t>
        </is>
      </c>
      <c r="I264" s="636" t="n"/>
      <c r="J264" s="17" t="n"/>
      <c r="K264" s="449" t="inlineStr">
        <is>
          <t>тыс.т</t>
        </is>
      </c>
    </row>
    <row r="265" ht="18.75" customHeight="1" s="904">
      <c r="C265" s="319" t="n"/>
      <c r="D265" s="456" t="inlineStr">
        <is>
          <t>АО "ТАНЕКО"</t>
        </is>
      </c>
      <c r="E265" s="15" t="n"/>
      <c r="F265" s="15" t="inlineStr">
        <is>
          <t>S2</t>
        </is>
      </c>
      <c r="G265" s="16" t="n"/>
      <c r="H265" s="17" t="inlineStr">
        <is>
          <t>{E54:2}-{E265:2}</t>
        </is>
      </c>
      <c r="I265" s="636" t="n"/>
      <c r="J265" s="17" t="n"/>
      <c r="K265" s="449" t="inlineStr">
        <is>
          <t>тыс.т</t>
        </is>
      </c>
    </row>
    <row r="266" ht="19.5" customHeight="1" s="904">
      <c r="C266" s="319" t="n"/>
      <c r="D266" s="444" t="inlineStr">
        <is>
          <t>МТБЭ</t>
        </is>
      </c>
      <c r="E266" s="15" t="n"/>
      <c r="F266" s="15" t="inlineStr">
        <is>
          <t>S2</t>
        </is>
      </c>
      <c r="G266" s="16" t="n"/>
      <c r="H266" s="17" t="inlineStr">
        <is>
          <t>{E57:2}-{E266:2}</t>
        </is>
      </c>
      <c r="I266" s="636" t="n"/>
      <c r="J266" s="17" t="n"/>
      <c r="K266" s="445" t="inlineStr">
        <is>
          <t>тыс.т</t>
        </is>
      </c>
    </row>
    <row r="267" ht="18.75" customHeight="1" s="904">
      <c r="C267" s="319" t="n"/>
      <c r="D267" s="446" t="inlineStr">
        <is>
          <t>ООО "ГАЗПРОМ НЕФТЕХИМ САЛАВАТ"</t>
        </is>
      </c>
      <c r="E267" s="15" t="n"/>
      <c r="F267" s="15" t="inlineStr">
        <is>
          <t>S2</t>
        </is>
      </c>
      <c r="G267" s="16" t="n"/>
      <c r="H267" s="17" t="inlineStr">
        <is>
          <t>{E57:2}-{E267:2}</t>
        </is>
      </c>
      <c r="I267" s="636" t="n"/>
      <c r="J267" s="17" t="n"/>
      <c r="K267" s="447" t="inlineStr">
        <is>
          <t>тыс.т</t>
        </is>
      </c>
    </row>
    <row r="268" ht="19.5" customHeight="1" s="904">
      <c r="C268" s="319" t="n"/>
      <c r="D268" s="444" t="inlineStr">
        <is>
          <t>ПРИСАДКИ К ДИЗЕЛЬНОМУ ТОПЛИВУ</t>
        </is>
      </c>
      <c r="E268" s="15" t="n"/>
      <c r="F268" s="15" t="inlineStr">
        <is>
          <t>S2</t>
        </is>
      </c>
      <c r="G268" s="16" t="n"/>
      <c r="H268" s="17" t="inlineStr">
        <is>
          <t>{E56:2}-{E57:2}-{E272:2}-{E268:2}</t>
        </is>
      </c>
      <c r="I268" s="636" t="n"/>
      <c r="J268" s="17" t="n"/>
      <c r="K268" s="445" t="inlineStr">
        <is>
          <t>тонн</t>
        </is>
      </c>
    </row>
    <row r="269" ht="18.75" customHeight="1" s="904">
      <c r="C269" s="319" t="n"/>
      <c r="D269" s="446" t="inlineStr">
        <is>
          <t>ООО "ГАЗПРОМ НЕФТЕХИМ САЛАВАТ"</t>
        </is>
      </c>
      <c r="E269" s="15" t="n"/>
      <c r="F269" s="15" t="inlineStr">
        <is>
          <t>S2</t>
        </is>
      </c>
      <c r="G269" s="16" t="n"/>
      <c r="H269" s="17" t="inlineStr">
        <is>
          <t>{E56:2}-{E57:2}-{E272:2}-{E269:2}</t>
        </is>
      </c>
      <c r="I269" s="636" t="n"/>
      <c r="J269" s="17" t="n"/>
      <c r="K269" s="447" t="inlineStr">
        <is>
          <t>тонн</t>
        </is>
      </c>
    </row>
    <row r="270" ht="18.75" customHeight="1" s="904">
      <c r="C270" s="319" t="n"/>
      <c r="D270" s="448" t="inlineStr">
        <is>
          <t>Присадка противоизносная</t>
        </is>
      </c>
      <c r="E270" s="15" t="n"/>
      <c r="F270" s="15" t="n"/>
      <c r="G270" s="16" t="n"/>
      <c r="H270" s="17" t="n"/>
      <c r="I270" s="636" t="n"/>
      <c r="J270" s="17" t="n"/>
      <c r="K270" s="449" t="inlineStr">
        <is>
          <t>тонн</t>
        </is>
      </c>
    </row>
    <row r="271" ht="18.75" customHeight="1" s="904">
      <c r="C271" s="319" t="n"/>
      <c r="D271" s="448" t="inlineStr">
        <is>
          <t>Присадка депрессорно-диспергирующая</t>
        </is>
      </c>
      <c r="E271" s="15" t="n"/>
      <c r="F271" s="15" t="n"/>
      <c r="G271" s="16" t="n"/>
      <c r="H271" s="17" t="n"/>
      <c r="I271" s="636" t="n"/>
      <c r="J271" s="17" t="n"/>
      <c r="K271" s="449" t="inlineStr">
        <is>
          <t>тонн</t>
        </is>
      </c>
    </row>
    <row r="272" ht="19.5" customHeight="1" s="904">
      <c r="C272" s="319" t="n"/>
      <c r="D272" s="444" t="inlineStr">
        <is>
          <t>ПРИСАДКИ К МАЗУТУ</t>
        </is>
      </c>
      <c r="E272" s="15" t="n"/>
      <c r="F272" s="15" t="inlineStr">
        <is>
          <t>S2</t>
        </is>
      </c>
      <c r="G272" s="16" t="n"/>
      <c r="H272" s="17" t="inlineStr">
        <is>
          <t>{E56:2}-{E57:2}-{E268:2}-{E272:2}</t>
        </is>
      </c>
      <c r="I272" s="636" t="n"/>
      <c r="J272" s="17" t="n"/>
      <c r="K272" s="445" t="inlineStr">
        <is>
          <t>тонн</t>
        </is>
      </c>
    </row>
    <row r="273" ht="18.75" customHeight="1" s="904">
      <c r="C273" s="319" t="n"/>
      <c r="D273" s="446" t="inlineStr">
        <is>
          <t>ООО "ГАЗПРОМ НЕФТЕХИМ САЛАВАТ"</t>
        </is>
      </c>
      <c r="E273" s="15" t="n"/>
      <c r="F273" s="15" t="inlineStr">
        <is>
          <t>S2</t>
        </is>
      </c>
      <c r="G273" s="16" t="n"/>
      <c r="H273" s="17" t="inlineStr">
        <is>
          <t>{E56:2}-{E57:2}-{E269:2}-{E273:2}</t>
        </is>
      </c>
      <c r="I273" s="636" t="n"/>
      <c r="J273" s="17" t="n"/>
      <c r="K273" s="447" t="inlineStr">
        <is>
          <t>тонн</t>
        </is>
      </c>
    </row>
    <row r="274" ht="39" customHeight="1" s="904">
      <c r="C274" s="319" t="n"/>
      <c r="D274" s="459" t="inlineStr">
        <is>
          <t>КОНДЕНСАТ ГАЗОВЫЙ 
(ЯР-БИШКАДАКСКОЕ ПХН)</t>
        </is>
      </c>
      <c r="E274" s="15" t="n"/>
      <c r="F274" s="15" t="n"/>
      <c r="G274" s="16" t="n"/>
      <c r="H274" s="17" t="n"/>
      <c r="I274" s="636" t="n"/>
      <c r="J274" s="17" t="n"/>
      <c r="K274" s="445" t="inlineStr">
        <is>
          <t>тыс.т</t>
        </is>
      </c>
    </row>
    <row r="275" ht="18.75" customHeight="1" s="904">
      <c r="C275" s="319" t="n"/>
      <c r="D275" s="460" t="inlineStr">
        <is>
          <t>ООО "ГАЗПРОМ НЕФТЕХИМ САЛАВАТ"</t>
        </is>
      </c>
      <c r="E275" s="15" t="n"/>
      <c r="F275" s="15" t="n"/>
      <c r="G275" s="16" t="n"/>
      <c r="H275" s="17" t="n"/>
      <c r="I275" s="636" t="n"/>
      <c r="J275" s="17" t="n"/>
      <c r="K275" s="447" t="inlineStr">
        <is>
          <t>тыс.т</t>
        </is>
      </c>
    </row>
    <row r="276" ht="18.75" customHeight="1" s="904">
      <c r="C276" s="319" t="n"/>
      <c r="D276" s="458" t="inlineStr">
        <is>
          <t>На остаток</t>
        </is>
      </c>
      <c r="E276" s="15" t="n"/>
      <c r="F276" s="15" t="n"/>
      <c r="G276" s="16" t="n"/>
      <c r="H276" s="17" t="n"/>
      <c r="I276" s="636" t="n"/>
      <c r="J276" s="17" t="n"/>
      <c r="K276" s="449" t="inlineStr">
        <is>
          <t>тыс.т</t>
        </is>
      </c>
    </row>
    <row r="277" ht="18.75" customHeight="1" s="904">
      <c r="C277" s="319" t="n"/>
      <c r="D277" s="458" t="inlineStr">
        <is>
          <t>С остатка</t>
        </is>
      </c>
      <c r="E277" s="15" t="n"/>
      <c r="F277" s="15" t="n"/>
      <c r="G277" s="16" t="n"/>
      <c r="H277" s="17" t="n"/>
      <c r="I277" s="636" t="n"/>
      <c r="J277" s="17" t="n"/>
      <c r="K277" s="449" t="inlineStr">
        <is>
          <t>тыс.т</t>
        </is>
      </c>
    </row>
    <row r="278" ht="39" customHeight="1" s="904">
      <c r="C278" s="319" t="n"/>
      <c r="D278" s="459" t="inlineStr">
        <is>
          <t>БЕНЗИН ПРЯМОГОННЫЙ
(ЯР-БИШКАДАКСКОЕ ПХН)</t>
        </is>
      </c>
      <c r="E278" s="15" t="n"/>
      <c r="F278" s="15" t="n"/>
      <c r="G278" s="16" t="n"/>
      <c r="H278" s="17" t="n"/>
      <c r="I278" s="636" t="n"/>
      <c r="J278" s="17" t="n"/>
      <c r="K278" s="445" t="inlineStr">
        <is>
          <t>тыс.т</t>
        </is>
      </c>
    </row>
    <row r="279" ht="18.75" customHeight="1" s="904">
      <c r="C279" s="319" t="n"/>
      <c r="D279" s="460" t="inlineStr">
        <is>
          <t>ООО "ГАЗПРОМ НЕФТЕХИМ САЛАВАТ"</t>
        </is>
      </c>
      <c r="E279" s="15" t="n"/>
      <c r="F279" s="15" t="n"/>
      <c r="G279" s="16" t="n"/>
      <c r="H279" s="17" t="n"/>
      <c r="I279" s="636" t="n"/>
      <c r="J279" s="17" t="n"/>
      <c r="K279" s="447" t="inlineStr">
        <is>
          <t>тыс.т</t>
        </is>
      </c>
    </row>
    <row r="280" ht="18.75" customHeight="1" s="904">
      <c r="C280" s="319" t="n"/>
      <c r="D280" s="458" t="inlineStr">
        <is>
          <t>На остаток</t>
        </is>
      </c>
      <c r="E280" s="15" t="n"/>
      <c r="F280" s="15" t="n"/>
      <c r="G280" s="16" t="n"/>
      <c r="H280" s="17" t="n"/>
      <c r="I280" s="636" t="n"/>
      <c r="J280" s="17" t="n"/>
      <c r="K280" s="449" t="inlineStr">
        <is>
          <t>тыс.т</t>
        </is>
      </c>
    </row>
    <row r="281" ht="18.75" customHeight="1" s="904">
      <c r="C281" s="319" t="n"/>
      <c r="D281" s="458" t="inlineStr">
        <is>
          <t>С остатка</t>
        </is>
      </c>
      <c r="E281" s="15" t="n"/>
      <c r="F281" s="15" t="n"/>
      <c r="G281" s="16" t="n"/>
      <c r="H281" s="17" t="n"/>
      <c r="I281" s="636" t="n"/>
      <c r="J281" s="17" t="n"/>
      <c r="K281" s="449" t="inlineStr">
        <is>
          <t>тыс.т</t>
        </is>
      </c>
    </row>
    <row r="282" ht="39" customHeight="1" s="904">
      <c r="C282" s="319" t="n"/>
      <c r="D282" s="459" t="inlineStr">
        <is>
          <t>ДИЗЕЛЬНАЯ ФРАКЦИЯ
(ЯР-БИШКАДАКСКОЕ ПХН)</t>
        </is>
      </c>
      <c r="E282" s="15" t="n"/>
      <c r="F282" s="15" t="n"/>
      <c r="G282" s="16" t="n"/>
      <c r="H282" s="17" t="n"/>
      <c r="I282" s="636" t="n"/>
      <c r="J282" s="17" t="n"/>
      <c r="K282" s="445" t="inlineStr">
        <is>
          <t>тыс.т</t>
        </is>
      </c>
    </row>
    <row r="283" ht="18.75" customHeight="1" s="904">
      <c r="C283" s="319" t="n"/>
      <c r="D283" s="460" t="inlineStr">
        <is>
          <t>ООО "ГАЗПРОМ НЕФТЕХИМ САЛАВАТ"</t>
        </is>
      </c>
      <c r="E283" s="15" t="n"/>
      <c r="F283" s="15" t="n"/>
      <c r="G283" s="16" t="n"/>
      <c r="H283" s="17" t="n"/>
      <c r="I283" s="636" t="n"/>
      <c r="J283" s="17" t="n"/>
      <c r="K283" s="447" t="inlineStr">
        <is>
          <t>тыс.т</t>
        </is>
      </c>
    </row>
    <row r="284" ht="18.75" customHeight="1" s="904">
      <c r="C284" s="319" t="n"/>
      <c r="D284" s="458" t="inlineStr">
        <is>
          <t>На остаток</t>
        </is>
      </c>
      <c r="E284" s="15" t="n"/>
      <c r="F284" s="15" t="n"/>
      <c r="G284" s="16" t="n"/>
      <c r="H284" s="17" t="n"/>
      <c r="I284" s="636" t="n"/>
      <c r="J284" s="17" t="n"/>
      <c r="K284" s="449" t="inlineStr">
        <is>
          <t>тыс.т</t>
        </is>
      </c>
    </row>
    <row r="285" ht="19.5" customHeight="1" s="904">
      <c r="C285" s="319" t="n"/>
      <c r="D285" s="458" t="inlineStr">
        <is>
          <t>С остатка</t>
        </is>
      </c>
      <c r="E285" s="15" t="n"/>
      <c r="F285" s="15" t="n"/>
      <c r="G285" s="16" t="n"/>
      <c r="H285" s="17" t="n"/>
      <c r="I285" s="636" t="n"/>
      <c r="J285" s="17" t="n"/>
      <c r="K285" s="449" t="inlineStr">
        <is>
          <t>тыс.т</t>
        </is>
      </c>
    </row>
    <row r="286" ht="19.5" customHeight="1" s="904">
      <c r="C286" s="319" t="n"/>
      <c r="D286" s="442" t="inlineStr">
        <is>
          <t>СПРАВОЧНО</t>
        </is>
      </c>
      <c r="E286" s="15" t="n"/>
      <c r="F286" s="15" t="n"/>
      <c r="G286" s="16" t="n"/>
      <c r="H286" s="17" t="n"/>
      <c r="I286" s="636" t="n"/>
      <c r="J286" s="17" t="n"/>
      <c r="K286" s="443" t="n"/>
    </row>
    <row r="287" ht="19.5" customHeight="1" s="904">
      <c r="C287" s="319" t="n"/>
      <c r="D287" s="444" t="inlineStr">
        <is>
          <t>ГЛУБИНА ПЕРЕРАБОТКИ НЕФТЯНОГО СЫРЬЯ</t>
        </is>
      </c>
      <c r="E287" s="15" t="n"/>
      <c r="F287" s="15" t="n"/>
      <c r="G287" s="16" t="n"/>
      <c r="H287" s="17" t="n"/>
      <c r="I287" s="636" t="n"/>
      <c r="J287" s="17" t="n"/>
      <c r="K287" s="445" t="inlineStr">
        <is>
          <t>%</t>
        </is>
      </c>
    </row>
    <row r="288" ht="19.5" customHeight="1" s="904">
      <c r="C288" s="319" t="n"/>
      <c r="D288" s="444" t="inlineStr">
        <is>
          <t>ВЫХОД СВЕТЛЫХ НЕФТЕПРОДУКТОВ</t>
        </is>
      </c>
      <c r="E288" s="15" t="n"/>
      <c r="F288" s="15" t="n"/>
      <c r="G288" s="16" t="n"/>
      <c r="H288" s="17" t="n"/>
      <c r="I288" s="636" t="n"/>
      <c r="J288" s="17" t="n"/>
      <c r="K288" s="445" t="inlineStr">
        <is>
          <t>%</t>
        </is>
      </c>
    </row>
    <row r="289" ht="19.5" customHeight="1" s="904">
      <c r="C289" s="319" t="n"/>
      <c r="D289" s="444" t="inlineStr">
        <is>
          <t>ТОПЛИВО НА СОБСТВЕННЫЕ НУЖДЫ</t>
        </is>
      </c>
      <c r="E289" s="15" t="n"/>
      <c r="F289" s="15" t="inlineStr">
        <is>
          <t>S2</t>
        </is>
      </c>
      <c r="G289" s="16" t="n"/>
      <c r="H289" s="17" t="inlineStr">
        <is>
          <t>{E105:2}-{E289:2}</t>
        </is>
      </c>
      <c r="I289" s="636" t="n"/>
      <c r="J289" s="17" t="n"/>
      <c r="K289" s="445" t="inlineStr">
        <is>
          <t>тыс.т</t>
        </is>
      </c>
    </row>
    <row r="290" ht="18.75" customHeight="1" s="904">
      <c r="C290" s="319" t="n"/>
      <c r="D290" s="446" t="inlineStr">
        <is>
          <t>ООО "ГАЗПРОМ НЕФТЕХИМ САЛАВАТ"</t>
        </is>
      </c>
      <c r="E290" s="15" t="n"/>
      <c r="F290" s="15" t="inlineStr">
        <is>
          <t>S2</t>
        </is>
      </c>
      <c r="G290" s="16" t="n"/>
      <c r="H290" s="17" t="inlineStr">
        <is>
          <t>{E105:2}-{E290:2}</t>
        </is>
      </c>
      <c r="I290" s="636" t="n"/>
      <c r="J290" s="17" t="n"/>
      <c r="K290" s="447" t="inlineStr">
        <is>
          <t>тыс.т</t>
        </is>
      </c>
    </row>
    <row r="291" ht="18.75" customHeight="1" s="904">
      <c r="C291" s="319" t="n"/>
      <c r="D291" s="448" t="inlineStr">
        <is>
          <t>Топливо газообразное и жидкое</t>
        </is>
      </c>
      <c r="E291" s="15" t="n"/>
      <c r="F291" s="15" t="n"/>
      <c r="G291" s="16" t="n"/>
      <c r="H291" s="17" t="n"/>
      <c r="I291" s="636" t="n"/>
      <c r="J291" s="17" t="n"/>
      <c r="K291" s="449" t="inlineStr">
        <is>
          <t>тыс.т</t>
        </is>
      </c>
    </row>
    <row r="292" ht="18.75" customHeight="1" s="904">
      <c r="C292" s="319" t="n"/>
      <c r="D292" s="448" t="inlineStr">
        <is>
          <t>Кокс</t>
        </is>
      </c>
      <c r="E292" s="15" t="n"/>
      <c r="F292" s="15" t="n"/>
      <c r="G292" s="16" t="n"/>
      <c r="H292" s="17" t="n"/>
      <c r="I292" s="636" t="n"/>
      <c r="J292" s="17" t="n"/>
      <c r="K292" s="449" t="inlineStr">
        <is>
          <t>тыс.т</t>
        </is>
      </c>
    </row>
    <row r="293" ht="19.5" customHeight="1" s="904">
      <c r="C293" s="319" t="n"/>
      <c r="D293" s="444" t="inlineStr">
        <is>
          <t>ПОТЕРИ</t>
        </is>
      </c>
      <c r="E293" s="15" t="n"/>
      <c r="F293" s="15" t="inlineStr">
        <is>
          <t>S2</t>
        </is>
      </c>
      <c r="G293" s="16" t="n"/>
      <c r="H293" s="17" t="inlineStr">
        <is>
          <t>{E107:2}-{E293:2}</t>
        </is>
      </c>
      <c r="I293" s="636" t="n"/>
      <c r="J293" s="17" t="n"/>
      <c r="K293" s="445" t="inlineStr">
        <is>
          <t>тыс.т</t>
        </is>
      </c>
    </row>
    <row r="294" ht="19.5" customHeight="1" s="904">
      <c r="C294" s="319" t="n"/>
      <c r="D294" s="446" t="inlineStr">
        <is>
          <t>ООО "ГАЗПРОМ НЕФТЕХИМ САЛАВАТ"</t>
        </is>
      </c>
      <c r="E294" s="15" t="n"/>
      <c r="F294" s="15" t="inlineStr">
        <is>
          <t>S2</t>
        </is>
      </c>
      <c r="G294" s="16" t="n"/>
      <c r="H294" s="17" t="inlineStr">
        <is>
          <t>{E107:2}-{E294:2}</t>
        </is>
      </c>
      <c r="I294" s="636" t="n"/>
      <c r="J294" s="17" t="n"/>
      <c r="K294" s="447" t="inlineStr">
        <is>
          <t>тыс.т</t>
        </is>
      </c>
    </row>
    <row r="295" ht="19.5" customHeight="1" s="904">
      <c r="C295" s="319" t="n"/>
      <c r="D295" s="442" t="inlineStr">
        <is>
          <t>ПРОДУКЦИЯ</t>
        </is>
      </c>
      <c r="E295" s="15" t="n"/>
      <c r="F295" s="15" t="n"/>
      <c r="G295" s="16" t="n"/>
      <c r="H295" s="17" t="n"/>
      <c r="I295" s="636" t="n"/>
      <c r="J295" s="17" t="n"/>
      <c r="K295" s="443" t="n"/>
    </row>
    <row r="296" ht="19.5" customHeight="1" s="904">
      <c r="C296" s="319" t="n"/>
      <c r="D296" s="444" t="inlineStr">
        <is>
          <t>СЕРА</t>
        </is>
      </c>
      <c r="E296" s="15" t="n"/>
      <c r="F296" s="15" t="inlineStr">
        <is>
          <t>S2</t>
        </is>
      </c>
      <c r="G296" s="16" t="n"/>
      <c r="H296" s="17" t="inlineStr">
        <is>
          <t>{E102:2}-{E296:2}</t>
        </is>
      </c>
      <c r="I296" s="636" t="n"/>
      <c r="J296" s="17" t="n"/>
      <c r="K296" s="445" t="inlineStr">
        <is>
          <t>тыс.т</t>
        </is>
      </c>
    </row>
    <row r="297" ht="18.75" customHeight="1" s="904">
      <c r="C297" s="319" t="n"/>
      <c r="D297" s="446" t="inlineStr">
        <is>
          <t>ООО "ГАЗПРОМ НЕФТЕХИМ САЛАВАТ"</t>
        </is>
      </c>
      <c r="E297" s="15" t="n"/>
      <c r="F297" s="15" t="inlineStr">
        <is>
          <t>S2</t>
        </is>
      </c>
      <c r="G297" s="16" t="n"/>
      <c r="H297" s="17" t="inlineStr">
        <is>
          <t>{E102:2}-{E297:2}</t>
        </is>
      </c>
      <c r="I297" s="636" t="n"/>
      <c r="J297" s="17" t="n"/>
      <c r="K297" s="447" t="inlineStr">
        <is>
          <t>тыс.т</t>
        </is>
      </c>
    </row>
    <row r="298" ht="19.5" customHeight="1" s="904">
      <c r="C298" s="319" t="n"/>
      <c r="D298" s="459" t="inlineStr">
        <is>
          <t>ФРАКЦИЯ ПРОПАН-ПРОПИЛЕНОВАЯ</t>
        </is>
      </c>
      <c r="E298" s="15" t="n"/>
      <c r="F298" s="15" t="inlineStr">
        <is>
          <t>S2</t>
        </is>
      </c>
      <c r="G298" s="16" t="n"/>
      <c r="H298" s="17" t="inlineStr">
        <is>
          <t>{E298:2}-{E94:2}</t>
        </is>
      </c>
      <c r="I298" s="636" t="n"/>
      <c r="J298" s="17" t="n"/>
      <c r="K298" s="445" t="inlineStr">
        <is>
          <t>тыс.т</t>
        </is>
      </c>
    </row>
    <row r="299" ht="18.75" customHeight="1" s="904">
      <c r="C299" s="319" t="n"/>
      <c r="D299" s="460" t="inlineStr">
        <is>
          <t>ООО "ГАЗПРОМ НЕФТЕХИМ САЛАВАТ"</t>
        </is>
      </c>
      <c r="E299" s="15" t="n"/>
      <c r="F299" s="15" t="inlineStr">
        <is>
          <t>S2</t>
        </is>
      </c>
      <c r="G299" s="16" t="n"/>
      <c r="H299" s="17" t="inlineStr">
        <is>
          <t>{E94:2}-{E299:2}</t>
        </is>
      </c>
      <c r="I299" s="636" t="n"/>
      <c r="J299" s="17" t="n"/>
      <c r="K299" s="447" t="inlineStr">
        <is>
          <t>тыс.т</t>
        </is>
      </c>
    </row>
    <row r="300" ht="18.75" customHeight="1" s="904">
      <c r="C300" s="319" t="n"/>
      <c r="D300" s="461" t="inlineStr">
        <is>
          <t>Товар</t>
        </is>
      </c>
      <c r="E300" s="15" t="n"/>
      <c r="F300" s="15" t="inlineStr">
        <is>
          <t>S2</t>
        </is>
      </c>
      <c r="G300" s="16" t="n"/>
      <c r="H300" s="17" t="inlineStr">
        <is>
          <t>{E95:2}-{E300:2}</t>
        </is>
      </c>
      <c r="I300" s="636" t="n"/>
      <c r="J300" s="17" t="n"/>
      <c r="K300" s="449" t="inlineStr">
        <is>
          <t>тыс.т</t>
        </is>
      </c>
    </row>
    <row r="301" ht="18.75" customHeight="1" s="904">
      <c r="C301" s="319" t="n"/>
      <c r="D301" s="462" t="inlineStr">
        <is>
          <t xml:space="preserve">На ЭП-355 </t>
        </is>
      </c>
      <c r="E301" s="15" t="n"/>
      <c r="F301" s="15" t="inlineStr">
        <is>
          <t>S2</t>
        </is>
      </c>
      <c r="G301" s="16" t="n"/>
      <c r="H301" s="17" t="inlineStr">
        <is>
          <t>{E97:2}-{E301:2}</t>
        </is>
      </c>
      <c r="I301" s="636" t="n"/>
      <c r="J301" s="17" t="n"/>
      <c r="K301" s="449" t="inlineStr">
        <is>
          <t>тыс.т</t>
        </is>
      </c>
    </row>
    <row r="302" ht="18.75" customHeight="1" s="904">
      <c r="C302" s="319" t="n"/>
      <c r="D302" s="462" t="inlineStr">
        <is>
          <t>На производство спиртов (цех №52)</t>
        </is>
      </c>
      <c r="E302" s="15" t="n"/>
      <c r="F302" s="15" t="inlineStr">
        <is>
          <t>S2</t>
        </is>
      </c>
      <c r="G302" s="16" t="n"/>
      <c r="H302" s="17" t="inlineStr">
        <is>
          <t>{E96:2}-{E302:2}</t>
        </is>
      </c>
      <c r="I302" s="636" t="n"/>
      <c r="J302" s="17" t="n"/>
      <c r="K302" s="449" t="inlineStr">
        <is>
          <t>тыс.т</t>
        </is>
      </c>
    </row>
    <row r="303" ht="19.5" customHeight="1" s="904">
      <c r="C303" s="319" t="n"/>
      <c r="D303" s="459" t="inlineStr">
        <is>
          <t>ФРАКЦИЯ БУТАН-БУТИЛЕНОВАЯ</t>
        </is>
      </c>
      <c r="E303" s="15" t="n"/>
      <c r="F303" s="15" t="inlineStr">
        <is>
          <t>S2</t>
        </is>
      </c>
      <c r="G303" s="16" t="n"/>
      <c r="H303" s="17" t="inlineStr">
        <is>
          <t>{E98:2}-{E303:2}</t>
        </is>
      </c>
      <c r="I303" s="636" t="n"/>
      <c r="J303" s="17" t="n"/>
      <c r="K303" s="445" t="inlineStr">
        <is>
          <t>тыс.т</t>
        </is>
      </c>
    </row>
    <row r="304" ht="18.75" customHeight="1" s="904">
      <c r="C304" s="319" t="n"/>
      <c r="D304" s="460" t="inlineStr">
        <is>
          <t>ООО "ГАЗПРОМ НЕФТЕХИМ САЛАВАТ"</t>
        </is>
      </c>
      <c r="E304" s="15" t="n"/>
      <c r="F304" s="15" t="inlineStr">
        <is>
          <t>S2</t>
        </is>
      </c>
      <c r="G304" s="16" t="n"/>
      <c r="H304" s="17" t="inlineStr">
        <is>
          <t>{E98:2}-{E304:2}</t>
        </is>
      </c>
      <c r="I304" s="636" t="n"/>
      <c r="J304" s="17" t="n"/>
      <c r="K304" s="447" t="inlineStr">
        <is>
          <t>тыс.т</t>
        </is>
      </c>
    </row>
    <row r="305" ht="18.75" customHeight="1" s="904">
      <c r="C305" s="319" t="n"/>
      <c r="D305" s="461" t="inlineStr">
        <is>
          <t>Товар</t>
        </is>
      </c>
      <c r="E305" s="15" t="n"/>
      <c r="F305" s="15" t="inlineStr">
        <is>
          <t>S2</t>
        </is>
      </c>
      <c r="G305" s="16" t="n"/>
      <c r="H305" s="17" t="inlineStr">
        <is>
          <t>{E99:2}-{E305:2}</t>
        </is>
      </c>
      <c r="I305" s="636" t="n"/>
      <c r="J305" s="17" t="n"/>
      <c r="K305" s="449" t="inlineStr">
        <is>
          <t>тыс.т</t>
        </is>
      </c>
    </row>
    <row r="306" ht="18.75" customHeight="1" s="904">
      <c r="C306" s="319" t="n"/>
      <c r="D306" s="462" t="inlineStr">
        <is>
          <t xml:space="preserve">На ЭП-355 </t>
        </is>
      </c>
      <c r="E306" s="15" t="n"/>
      <c r="F306" s="15" t="inlineStr">
        <is>
          <t>S2</t>
        </is>
      </c>
      <c r="G306" s="16" t="n"/>
      <c r="H306" s="17" t="inlineStr">
        <is>
          <t>{E100:2}-{E306:2}</t>
        </is>
      </c>
      <c r="I306" s="636" t="n"/>
      <c r="J306" s="17" t="n"/>
      <c r="K306" s="449" t="inlineStr">
        <is>
          <t>тыс.т</t>
        </is>
      </c>
    </row>
    <row r="307" ht="19.5" customHeight="1" s="904">
      <c r="C307" s="319" t="n"/>
      <c r="D307" s="444" t="inlineStr">
        <is>
          <t>ФРАКЦИЯ ИЗОПЕНТАНОВАЯ</t>
        </is>
      </c>
      <c r="E307" s="15" t="n"/>
      <c r="F307" s="15" t="inlineStr">
        <is>
          <t>S2</t>
        </is>
      </c>
      <c r="G307" s="16" t="n"/>
      <c r="H307" s="17" t="inlineStr">
        <is>
          <t>{E72:2}-{E307:2}</t>
        </is>
      </c>
      <c r="I307" s="636" t="n"/>
      <c r="J307" s="17" t="n"/>
      <c r="K307" s="445" t="inlineStr">
        <is>
          <t>тыс.т</t>
        </is>
      </c>
    </row>
    <row r="308" ht="18.75" customHeight="1" s="904">
      <c r="C308" s="319" t="n"/>
      <c r="D308" s="446" t="inlineStr">
        <is>
          <t>ООО "ГАЗПРОМ НЕФТЕХИМ САЛАВАТ"</t>
        </is>
      </c>
      <c r="E308" s="15" t="n"/>
      <c r="F308" s="15" t="inlineStr">
        <is>
          <t>S2</t>
        </is>
      </c>
      <c r="G308" s="16" t="n"/>
      <c r="H308" s="17" t="inlineStr">
        <is>
          <t>{E72:2}-{E308:2}</t>
        </is>
      </c>
      <c r="I308" s="636" t="n"/>
      <c r="J308" s="17" t="n"/>
      <c r="K308" s="447" t="inlineStr">
        <is>
          <t>тыс.т</t>
        </is>
      </c>
    </row>
    <row r="309" ht="19.5" customHeight="1" s="904">
      <c r="C309" s="319" t="n"/>
      <c r="D309" s="444" t="inlineStr">
        <is>
          <t>ИЗОМЕРИЗАТ</t>
        </is>
      </c>
      <c r="E309" s="15" t="n"/>
      <c r="F309" s="15" t="n"/>
      <c r="G309" s="16" t="n"/>
      <c r="H309" s="17" t="n"/>
      <c r="I309" s="636" t="n"/>
      <c r="J309" s="17" t="n"/>
      <c r="K309" s="445" t="inlineStr">
        <is>
          <t>тыс.т</t>
        </is>
      </c>
    </row>
    <row r="310" ht="18.75" customHeight="1" s="904">
      <c r="C310" s="319" t="n"/>
      <c r="D310" s="446" t="inlineStr">
        <is>
          <t>ООО "ГАЗПРОМ НЕФТЕХИМ САЛАВАТ"</t>
        </is>
      </c>
      <c r="E310" s="15" t="n"/>
      <c r="F310" s="15" t="n"/>
      <c r="G310" s="16" t="n"/>
      <c r="H310" s="17" t="n"/>
      <c r="I310" s="636" t="n"/>
      <c r="J310" s="17" t="n"/>
      <c r="K310" s="447" t="inlineStr">
        <is>
          <t>тыс.т</t>
        </is>
      </c>
    </row>
    <row r="311" ht="19.5" customHeight="1" s="904">
      <c r="C311" s="319" t="n"/>
      <c r="D311" s="444" t="inlineStr">
        <is>
          <t>ФРАКЦИЯ ПЕНТАН-ИЗОПЕНТАНОВАЯ</t>
        </is>
      </c>
      <c r="E311" s="15" t="n"/>
      <c r="F311" s="15" t="n"/>
      <c r="G311" s="16" t="n"/>
      <c r="H311" s="17" t="n"/>
      <c r="I311" s="636" t="n"/>
      <c r="J311" s="17" t="n"/>
      <c r="K311" s="445" t="inlineStr">
        <is>
          <t>тыс.т</t>
        </is>
      </c>
    </row>
    <row r="312" ht="18.75" customHeight="1" s="904">
      <c r="C312" s="319" t="n"/>
      <c r="D312" s="446" t="inlineStr">
        <is>
          <t>ООО "ГАЗПРОМ НЕФТЕХИМ САЛАВАТ"</t>
        </is>
      </c>
      <c r="E312" s="15" t="n"/>
      <c r="F312" s="15" t="n"/>
      <c r="G312" s="16" t="n"/>
      <c r="H312" s="17" t="n"/>
      <c r="I312" s="636" t="n"/>
      <c r="J312" s="17" t="n"/>
      <c r="K312" s="447" t="inlineStr">
        <is>
          <t>тыс.т</t>
        </is>
      </c>
    </row>
    <row r="313" ht="19.5" customHeight="1" s="904">
      <c r="C313" s="319" t="n"/>
      <c r="D313" s="444" t="inlineStr">
        <is>
          <t>ШФЛУ</t>
        </is>
      </c>
      <c r="E313" s="15" t="n"/>
      <c r="F313" s="15" t="inlineStr">
        <is>
          <t>S2</t>
        </is>
      </c>
      <c r="G313" s="16" t="n"/>
      <c r="H313" s="17" t="inlineStr">
        <is>
          <t>{E69:2}-{E313:2}</t>
        </is>
      </c>
      <c r="I313" s="636" t="n"/>
      <c r="J313" s="17" t="n"/>
      <c r="K313" s="445" t="inlineStr">
        <is>
          <t>тыс.т</t>
        </is>
      </c>
    </row>
    <row r="314" ht="18.75" customHeight="1" s="904">
      <c r="C314" s="319" t="n"/>
      <c r="D314" s="446" t="inlineStr">
        <is>
          <t>ООО "ГАЗПРОМ НЕФТЕХИМ САЛАВАТ"</t>
        </is>
      </c>
      <c r="E314" s="15" t="n"/>
      <c r="F314" s="15" t="inlineStr">
        <is>
          <t>S2</t>
        </is>
      </c>
      <c r="G314" s="16" t="n"/>
      <c r="H314" s="17" t="inlineStr">
        <is>
          <t>{E69:2}-{E314:2}</t>
        </is>
      </c>
      <c r="I314" s="636" t="n"/>
      <c r="J314" s="17" t="n"/>
      <c r="K314" s="447" t="inlineStr">
        <is>
          <t>тыс.т</t>
        </is>
      </c>
    </row>
    <row r="315" ht="18.75" customHeight="1" s="904">
      <c r="C315" s="319" t="n"/>
      <c r="D315" s="461" t="inlineStr">
        <is>
          <t>Товар</t>
        </is>
      </c>
      <c r="E315" s="15" t="n"/>
      <c r="F315" s="15" t="inlineStr">
        <is>
          <t>S2</t>
        </is>
      </c>
      <c r="G315" s="16" t="n"/>
      <c r="H315" s="17" t="inlineStr">
        <is>
          <t>{E70:2}-{E315:2}</t>
        </is>
      </c>
      <c r="I315" s="636" t="n"/>
      <c r="J315" s="17" t="n"/>
      <c r="K315" s="449" t="inlineStr">
        <is>
          <t>тыс.т</t>
        </is>
      </c>
    </row>
    <row r="316" ht="18.75" customHeight="1" s="904">
      <c r="C316" s="319" t="n"/>
      <c r="D316" s="461" t="inlineStr">
        <is>
          <t>На завод "Мономер"</t>
        </is>
      </c>
      <c r="E316" s="15" t="n"/>
      <c r="F316" s="15" t="inlineStr">
        <is>
          <t>S2</t>
        </is>
      </c>
      <c r="G316" s="16" t="n"/>
      <c r="H316" s="17" t="inlineStr">
        <is>
          <t>{E71:2}-{E316:2}</t>
        </is>
      </c>
      <c r="I316" s="636" t="n"/>
      <c r="J316" s="17" t="n"/>
      <c r="K316" s="449" t="inlineStr">
        <is>
          <t>тыс.т</t>
        </is>
      </c>
    </row>
    <row r="317" ht="19.5" customHeight="1" s="904">
      <c r="C317" s="319" t="n"/>
      <c r="D317" s="444" t="inlineStr">
        <is>
          <t>БЕНЗИН АВТОМОБИЛЬНЫЙ</t>
        </is>
      </c>
      <c r="E317" s="15" t="n"/>
      <c r="F317" s="15" t="inlineStr">
        <is>
          <t>S2</t>
        </is>
      </c>
      <c r="G317" s="16" t="n"/>
      <c r="H317" s="17" t="inlineStr">
        <is>
          <t>{E61:2}-{E317:2}</t>
        </is>
      </c>
      <c r="I317" s="636" t="n"/>
      <c r="J317" s="17" t="n"/>
      <c r="K317" s="445" t="inlineStr">
        <is>
          <t>тыс.т</t>
        </is>
      </c>
    </row>
    <row r="318" ht="18.75" customHeight="1" s="904">
      <c r="C318" s="319" t="n"/>
      <c r="D318" s="446" t="inlineStr">
        <is>
          <t>ООО "ГАЗПРОМ НЕФТЕХИМ САЛАВАТ"</t>
        </is>
      </c>
      <c r="E318" s="15" t="n"/>
      <c r="F318" s="15" t="inlineStr">
        <is>
          <t>S2</t>
        </is>
      </c>
      <c r="G318" s="16" t="n"/>
      <c r="H318" s="17" t="inlineStr">
        <is>
          <t>{E61:2}-{E318:2}</t>
        </is>
      </c>
      <c r="I318" s="636" t="n"/>
      <c r="J318" s="17" t="n"/>
      <c r="K318" s="447" t="inlineStr">
        <is>
          <t>тыс.т</t>
        </is>
      </c>
    </row>
    <row r="319" ht="18.75" customHeight="1" s="904">
      <c r="C319" s="319" t="n"/>
      <c r="D319" s="448" t="inlineStr">
        <is>
          <t>Бензин с ОЧ 92 (К5)</t>
        </is>
      </c>
      <c r="E319" s="15" t="n"/>
      <c r="F319" s="15" t="inlineStr">
        <is>
          <t>S2</t>
        </is>
      </c>
      <c r="G319" s="16" t="n"/>
      <c r="H319" s="17" t="inlineStr">
        <is>
          <t>{E62:2}-{E319:2}</t>
        </is>
      </c>
      <c r="I319" s="636" t="n"/>
      <c r="J319" s="17" t="n"/>
      <c r="K319" s="449" t="inlineStr">
        <is>
          <t>тыс.т</t>
        </is>
      </c>
    </row>
    <row r="320" ht="18.75" customHeight="1" s="904">
      <c r="C320" s="319" t="n"/>
      <c r="D320" s="448" t="inlineStr">
        <is>
          <t>Бензин с ОЧ 95 (К5)</t>
        </is>
      </c>
      <c r="E320" s="15" t="n"/>
      <c r="F320" s="15" t="inlineStr">
        <is>
          <t>S2</t>
        </is>
      </c>
      <c r="G320" s="16" t="n"/>
      <c r="H320" s="17" t="inlineStr">
        <is>
          <t>{E63:2}-{E320:2}</t>
        </is>
      </c>
      <c r="I320" s="636" t="n"/>
      <c r="J320" s="17" t="n"/>
      <c r="K320" s="449" t="inlineStr">
        <is>
          <t>тыс.т</t>
        </is>
      </c>
    </row>
    <row r="321" ht="19.5" customHeight="1" s="904">
      <c r="C321" s="319" t="n"/>
      <c r="D321" s="444" t="inlineStr">
        <is>
          <t>БЕНЗИН НА ЗАВОД "МОНОМЕР"</t>
        </is>
      </c>
      <c r="E321" s="15" t="n"/>
      <c r="F321" s="15" t="inlineStr">
        <is>
          <t>S2</t>
        </is>
      </c>
      <c r="G321" s="16" t="n"/>
      <c r="H321" s="17" t="inlineStr">
        <is>
          <t>{E64:2}-{E321:2}</t>
        </is>
      </c>
      <c r="I321" s="636" t="n"/>
      <c r="J321" s="17" t="n"/>
      <c r="K321" s="445" t="inlineStr">
        <is>
          <t>тыс.т</t>
        </is>
      </c>
    </row>
    <row r="322" ht="18.75" customHeight="1" s="904">
      <c r="C322" s="319" t="n"/>
      <c r="D322" s="446" t="inlineStr">
        <is>
          <t>ООО "ГАЗПРОМ НЕФТЕХИМ САЛАВАТ"</t>
        </is>
      </c>
      <c r="E322" s="15" t="n"/>
      <c r="F322" s="15" t="inlineStr">
        <is>
          <t>S2</t>
        </is>
      </c>
      <c r="G322" s="16" t="n"/>
      <c r="H322" s="17" t="inlineStr">
        <is>
          <t>{E64:2}-{E322:2}</t>
        </is>
      </c>
      <c r="I322" s="636" t="n"/>
      <c r="J322" s="17" t="n"/>
      <c r="K322" s="447" t="inlineStr">
        <is>
          <t>тыс.т</t>
        </is>
      </c>
    </row>
    <row r="323" ht="18.75" customHeight="1" s="904">
      <c r="C323" s="319" t="n"/>
      <c r="D323" s="458" t="inlineStr">
        <is>
          <t>Фракция НК-120 (ЭЛОУ-АВТ-6)</t>
        </is>
      </c>
      <c r="E323" s="15" t="n"/>
      <c r="F323" s="15" t="n"/>
      <c r="G323" s="16" t="n"/>
      <c r="H323" s="17" t="n"/>
      <c r="I323" s="636" t="n"/>
      <c r="J323" s="17" t="n"/>
      <c r="K323" s="449" t="inlineStr">
        <is>
          <t>тыс.т</t>
        </is>
      </c>
    </row>
    <row r="324" ht="18.75" customHeight="1" s="904">
      <c r="C324" s="319" t="n"/>
      <c r="D324" s="458" t="inlineStr">
        <is>
          <t>Фракция 120-180 (ЭЛОУ-АВТ-6)</t>
        </is>
      </c>
      <c r="E324" s="15" t="n"/>
      <c r="F324" s="15" t="n"/>
      <c r="G324" s="16" t="n"/>
      <c r="H324" s="17" t="n"/>
      <c r="I324" s="636" t="n"/>
      <c r="J324" s="17" t="n"/>
      <c r="K324" s="449" t="inlineStr">
        <is>
          <t>тыс.т</t>
        </is>
      </c>
    </row>
    <row r="325" ht="18.75" customHeight="1" s="904">
      <c r="C325" s="319" t="n"/>
      <c r="D325" s="458" t="inlineStr">
        <is>
          <t>Бензин прямогонный (с Яр-Бишкадакского ПХН)</t>
        </is>
      </c>
      <c r="E325" s="15" t="n"/>
      <c r="F325" s="15" t="n"/>
      <c r="G325" s="16" t="n"/>
      <c r="H325" s="17" t="n"/>
      <c r="I325" s="636" t="n"/>
      <c r="J325" s="17" t="n"/>
      <c r="K325" s="449" t="inlineStr">
        <is>
          <t>тыс.т</t>
        </is>
      </c>
    </row>
    <row r="326" ht="18.75" customHeight="1" s="904">
      <c r="C326" s="319" t="n"/>
      <c r="D326" s="458" t="inlineStr">
        <is>
          <t>Бензин стабильный (ЭЛОУ-АВТ-4)</t>
        </is>
      </c>
      <c r="E326" s="15" t="n"/>
      <c r="F326" s="15" t="n"/>
      <c r="G326" s="16" t="n"/>
      <c r="H326" s="17" t="n"/>
      <c r="I326" s="636" t="n"/>
      <c r="J326" s="17" t="n"/>
      <c r="K326" s="449" t="inlineStr">
        <is>
          <t>тыс.т</t>
        </is>
      </c>
    </row>
    <row r="327" ht="18.75" customHeight="1" s="904">
      <c r="C327" s="319" t="n"/>
      <c r="D327" s="458" t="inlineStr">
        <is>
          <t>Бензин (ГО, БПГО)</t>
        </is>
      </c>
      <c r="E327" s="15" t="n"/>
      <c r="F327" s="15" t="n"/>
      <c r="G327" s="16" t="n"/>
      <c r="H327" s="17" t="n"/>
      <c r="I327" s="636" t="n"/>
      <c r="J327" s="17" t="n"/>
      <c r="K327" s="449" t="inlineStr">
        <is>
          <t>тыс.т</t>
        </is>
      </c>
    </row>
    <row r="328" ht="18.75" customHeight="1" s="904">
      <c r="C328" s="319" t="n"/>
      <c r="D328" s="458" t="inlineStr">
        <is>
          <t>Рафинат (Л-35/6)</t>
        </is>
      </c>
      <c r="E328" s="15" t="n"/>
      <c r="F328" s="15" t="n"/>
      <c r="G328" s="16" t="n"/>
      <c r="H328" s="17" t="n"/>
      <c r="I328" s="636" t="n"/>
      <c r="J328" s="17" t="n"/>
      <c r="K328" s="449" t="inlineStr">
        <is>
          <t>тыс.т</t>
        </is>
      </c>
    </row>
    <row r="329" ht="18.75" customHeight="1" s="904">
      <c r="C329" s="319" t="n"/>
      <c r="D329" s="458" t="inlineStr">
        <is>
          <t>Фракция НК-62 (ГО-4, Л-35-11)</t>
        </is>
      </c>
      <c r="E329" s="15" t="n"/>
      <c r="F329" s="15" t="n"/>
      <c r="G329" s="16" t="n"/>
      <c r="H329" s="17" t="n"/>
      <c r="I329" s="636" t="n"/>
      <c r="J329" s="17" t="n"/>
      <c r="K329" s="449" t="inlineStr">
        <is>
          <t>тыс.т</t>
        </is>
      </c>
    </row>
    <row r="330" ht="18.75" customHeight="1" s="904">
      <c r="C330" s="319" t="n"/>
      <c r="D330" s="458" t="inlineStr">
        <is>
          <t>Фракция 62-85 (ГО-4)</t>
        </is>
      </c>
      <c r="E330" s="15" t="n"/>
      <c r="F330" s="15" t="n"/>
      <c r="G330" s="16" t="n"/>
      <c r="H330" s="17" t="n"/>
      <c r="I330" s="636" t="n"/>
      <c r="J330" s="17" t="n"/>
      <c r="K330" s="449" t="inlineStr">
        <is>
          <t>тыс.т</t>
        </is>
      </c>
    </row>
    <row r="331" ht="18.75" customHeight="1" s="904">
      <c r="C331" s="319" t="n"/>
      <c r="D331" s="458" t="inlineStr">
        <is>
          <t>Бензин некондиционный (ГО-4)</t>
        </is>
      </c>
      <c r="E331" s="15" t="n"/>
      <c r="F331" s="15" t="n"/>
      <c r="G331" s="16" t="n"/>
      <c r="H331" s="17" t="n"/>
      <c r="I331" s="636" t="n"/>
      <c r="J331" s="17" t="n"/>
      <c r="K331" s="449" t="inlineStr">
        <is>
          <t>тыс.т</t>
        </is>
      </c>
    </row>
    <row r="332" ht="18.75" customHeight="1" s="904">
      <c r="C332" s="319" t="n"/>
      <c r="D332" s="458" t="inlineStr">
        <is>
          <t>Фракция 85-180 (ГО-4)</t>
        </is>
      </c>
      <c r="E332" s="15" t="n"/>
      <c r="F332" s="15" t="n"/>
      <c r="G332" s="16" t="n"/>
      <c r="H332" s="17" t="n"/>
      <c r="I332" s="636" t="n"/>
      <c r="J332" s="17" t="n"/>
      <c r="K332" s="449" t="inlineStr">
        <is>
          <t>тыс.т</t>
        </is>
      </c>
    </row>
    <row r="333" ht="19.5" customHeight="1" s="904">
      <c r="C333" s="319" t="n"/>
      <c r="D333" s="444" t="inlineStr">
        <is>
          <t>ДИСТИЛЛЯТ ГАЗОВОГО КОНДЕНСАТА ЛЕГКИЙ</t>
        </is>
      </c>
      <c r="E333" s="15" t="n"/>
      <c r="F333" s="15" t="inlineStr">
        <is>
          <t>S2</t>
        </is>
      </c>
      <c r="G333" s="16" t="n"/>
      <c r="H333" s="17" t="inlineStr">
        <is>
          <t>{E65:2}-{E333:2}</t>
        </is>
      </c>
      <c r="I333" s="636" t="n"/>
      <c r="J333" s="17" t="n"/>
      <c r="K333" s="445" t="inlineStr">
        <is>
          <t>тыс.т</t>
        </is>
      </c>
    </row>
    <row r="334" ht="18.75" customHeight="1" s="904">
      <c r="C334" s="319" t="n"/>
      <c r="D334" s="446" t="inlineStr">
        <is>
          <t>ООО "ГАЗПРОМ НЕФТЕХИМ САЛАВАТ"</t>
        </is>
      </c>
      <c r="E334" s="15" t="n"/>
      <c r="F334" s="15" t="inlineStr">
        <is>
          <t>S2</t>
        </is>
      </c>
      <c r="G334" s="16" t="n"/>
      <c r="H334" s="17" t="inlineStr">
        <is>
          <t>{E65:2}-{E334:2}</t>
        </is>
      </c>
      <c r="I334" s="636" t="n"/>
      <c r="J334" s="17" t="n"/>
      <c r="K334" s="447" t="inlineStr">
        <is>
          <t>тыс.т</t>
        </is>
      </c>
    </row>
    <row r="335" ht="18.75" customHeight="1" s="904">
      <c r="C335" s="319" t="n"/>
      <c r="D335" s="448" t="inlineStr">
        <is>
          <t>ДГКл марки А</t>
        </is>
      </c>
      <c r="E335" s="15" t="n"/>
      <c r="F335" s="15" t="inlineStr">
        <is>
          <t>S2</t>
        </is>
      </c>
      <c r="G335" s="16" t="n"/>
      <c r="H335" s="17" t="inlineStr">
        <is>
          <t>{E66:2}-{E335:2}</t>
        </is>
      </c>
      <c r="I335" s="636" t="n"/>
      <c r="J335" s="17" t="n"/>
      <c r="K335" s="449" t="inlineStr">
        <is>
          <t>тыс.т</t>
        </is>
      </c>
    </row>
    <row r="336" ht="18.75" customHeight="1" s="904">
      <c r="C336" s="319" t="n"/>
      <c r="D336" s="448" t="inlineStr">
        <is>
          <t>ДГКл марки Б</t>
        </is>
      </c>
      <c r="E336" s="15" t="n"/>
      <c r="F336" s="15" t="inlineStr">
        <is>
          <t>S2</t>
        </is>
      </c>
      <c r="G336" s="16" t="n"/>
      <c r="H336" s="17" t="inlineStr">
        <is>
          <t>{E67:2}-{E336:2}</t>
        </is>
      </c>
      <c r="I336" s="636" t="n"/>
      <c r="J336" s="17" t="n"/>
      <c r="K336" s="449" t="inlineStr">
        <is>
          <t>тыс.т</t>
        </is>
      </c>
    </row>
    <row r="337" ht="18.75" customHeight="1" s="904">
      <c r="C337" s="319" t="n"/>
      <c r="D337" s="455" t="inlineStr">
        <is>
          <t>Фракция гексановая</t>
        </is>
      </c>
      <c r="E337" s="15" t="n"/>
      <c r="F337" s="15" t="inlineStr">
        <is>
          <t>S2</t>
        </is>
      </c>
      <c r="G337" s="16" t="n"/>
      <c r="H337" s="17" t="inlineStr">
        <is>
          <t>{E68:2}-{E337:2}</t>
        </is>
      </c>
      <c r="I337" s="636" t="n"/>
      <c r="J337" s="17" t="n"/>
      <c r="K337" s="449" t="inlineStr">
        <is>
          <t>тыс.т</t>
        </is>
      </c>
    </row>
    <row r="338" ht="19.5" customHeight="1" s="904">
      <c r="C338" s="319" t="n"/>
      <c r="D338" s="444" t="inlineStr">
        <is>
          <t>ДИЗЕЛЬНОЕ ТОПЛИВО</t>
        </is>
      </c>
      <c r="E338" s="15" t="n"/>
      <c r="F338" s="15" t="inlineStr">
        <is>
          <t>S2</t>
        </is>
      </c>
      <c r="G338" s="16" t="n"/>
      <c r="H338" s="17" t="inlineStr">
        <is>
          <t>{E73:2}-{E338:2}</t>
        </is>
      </c>
      <c r="I338" s="636" t="n"/>
      <c r="J338" s="17" t="n"/>
      <c r="K338" s="445" t="inlineStr">
        <is>
          <t>тыс.т</t>
        </is>
      </c>
    </row>
    <row r="339" ht="18.75" customHeight="1" s="904">
      <c r="C339" s="319" t="n"/>
      <c r="D339" s="446" t="inlineStr">
        <is>
          <t>ООО "ГАЗПРОМ НЕФТЕХИМ САЛАВАТ"</t>
        </is>
      </c>
      <c r="E339" s="15" t="n"/>
      <c r="F339" s="15" t="inlineStr">
        <is>
          <t>S2</t>
        </is>
      </c>
      <c r="G339" s="16" t="n"/>
      <c r="H339" s="17" t="inlineStr">
        <is>
          <t>{E73:2}-{E339:2}</t>
        </is>
      </c>
      <c r="I339" s="636" t="n"/>
      <c r="J339" s="17" t="n"/>
      <c r="K339" s="447" t="inlineStr">
        <is>
          <t>тыс.т</t>
        </is>
      </c>
    </row>
    <row r="340" ht="18.75" customHeight="1" s="904">
      <c r="C340" s="319" t="n"/>
      <c r="D340" s="448" t="inlineStr">
        <is>
          <t>ДТ летнее</t>
        </is>
      </c>
      <c r="E340" s="15" t="n"/>
      <c r="F340" s="15" t="inlineStr">
        <is>
          <t>S2</t>
        </is>
      </c>
      <c r="G340" s="16" t="n"/>
      <c r="H340" s="17" t="inlineStr">
        <is>
          <t>{E74:2}-{E340:2}</t>
        </is>
      </c>
      <c r="I340" s="636" t="n"/>
      <c r="J340" s="17" t="n"/>
      <c r="K340" s="449" t="inlineStr">
        <is>
          <t>тыс.т</t>
        </is>
      </c>
    </row>
    <row r="341" ht="18.75" customHeight="1" s="904">
      <c r="C341" s="319" t="n"/>
      <c r="D341" s="448" t="inlineStr">
        <is>
          <t>ДТ зимнее</t>
        </is>
      </c>
      <c r="E341" s="15" t="n"/>
      <c r="F341" s="15" t="inlineStr">
        <is>
          <t>S2</t>
        </is>
      </c>
      <c r="G341" s="16" t="n"/>
      <c r="H341" s="17" t="inlineStr">
        <is>
          <t>{E75:2}-{E341:2}</t>
        </is>
      </c>
      <c r="I341" s="636" t="n"/>
      <c r="J341" s="17" t="n"/>
      <c r="K341" s="449" t="inlineStr">
        <is>
          <t>тыс.т</t>
        </is>
      </c>
    </row>
    <row r="342" ht="18.75" customHeight="1" s="904">
      <c r="C342" s="319" t="n"/>
      <c r="D342" s="448" t="inlineStr">
        <is>
          <t>ДТ арктическое</t>
        </is>
      </c>
      <c r="E342" s="15" t="n"/>
      <c r="F342" s="15" t="inlineStr">
        <is>
          <t>S2</t>
        </is>
      </c>
      <c r="G342" s="16" t="n"/>
      <c r="H342" s="17" t="inlineStr">
        <is>
          <t>{E76:2}-{E342:2}</t>
        </is>
      </c>
      <c r="I342" s="636" t="n"/>
      <c r="J342" s="17" t="n"/>
      <c r="K342" s="449" t="inlineStr">
        <is>
          <t>тыс.т</t>
        </is>
      </c>
    </row>
    <row r="343" ht="19.5" customHeight="1" s="904">
      <c r="C343" s="319" t="n"/>
      <c r="D343" s="459" t="inlineStr">
        <is>
          <t>ДСГКС</t>
        </is>
      </c>
      <c r="E343" s="15" t="n"/>
      <c r="F343" s="15" t="n"/>
      <c r="G343" s="16" t="n"/>
      <c r="H343" s="17" t="n"/>
      <c r="I343" s="636" t="n"/>
      <c r="J343" s="17" t="n"/>
      <c r="K343" s="445" t="inlineStr">
        <is>
          <t>тыс.т</t>
        </is>
      </c>
    </row>
    <row r="344" ht="18.75" customHeight="1" s="904">
      <c r="C344" s="319" t="n"/>
      <c r="D344" s="460" t="inlineStr">
        <is>
          <t>ООО "ГАЗПРОМ НЕФТЕХИМ САЛАВАТ"</t>
        </is>
      </c>
      <c r="E344" s="15" t="n"/>
      <c r="F344" s="15" t="n"/>
      <c r="G344" s="16" t="n"/>
      <c r="H344" s="17" t="n"/>
      <c r="I344" s="636" t="n"/>
      <c r="J344" s="17" t="n"/>
      <c r="K344" s="447" t="inlineStr">
        <is>
          <t>тыс.т</t>
        </is>
      </c>
    </row>
    <row r="345" ht="39" customHeight="1" s="904">
      <c r="C345" s="319" t="n"/>
      <c r="D345" s="459" t="inlineStr">
        <is>
          <t>ТОПЛИВО ДЛЯ ГЕНЕРАТОРОВ И СУШИЛЬНЫХ УСТАНОВОК</t>
        </is>
      </c>
      <c r="E345" s="15" t="n"/>
      <c r="F345" s="15" t="n"/>
      <c r="G345" s="16" t="n"/>
      <c r="H345" s="17" t="n"/>
      <c r="I345" s="636" t="n"/>
      <c r="J345" s="17" t="n"/>
      <c r="K345" s="445" t="inlineStr">
        <is>
          <t>тыс.т</t>
        </is>
      </c>
    </row>
    <row r="346" ht="18.75" customHeight="1" s="904">
      <c r="C346" s="319" t="n"/>
      <c r="D346" s="460" t="inlineStr">
        <is>
          <t>ООО "ГАЗПРОМ НЕФТЕХИМ САЛАВАТ"</t>
        </is>
      </c>
      <c r="E346" s="15" t="n"/>
      <c r="F346" s="15" t="n"/>
      <c r="G346" s="16" t="n"/>
      <c r="H346" s="17" t="n"/>
      <c r="I346" s="636" t="n"/>
      <c r="J346" s="17" t="n"/>
      <c r="K346" s="447" t="inlineStr">
        <is>
          <t>тыс.т</t>
        </is>
      </c>
    </row>
    <row r="347" ht="19.5" customHeight="1" s="904">
      <c r="C347" s="319" t="n"/>
      <c r="D347" s="459" t="inlineStr">
        <is>
          <t>МАЗУТ</t>
        </is>
      </c>
      <c r="E347" s="15" t="n"/>
      <c r="F347" s="15" t="inlineStr">
        <is>
          <t>S2</t>
        </is>
      </c>
      <c r="G347" s="16" t="n"/>
      <c r="H347" s="17" t="inlineStr">
        <is>
          <t>{E83:2}-{E347:2}</t>
        </is>
      </c>
      <c r="I347" s="636" t="n"/>
      <c r="J347" s="17" t="n"/>
      <c r="K347" s="445" t="inlineStr">
        <is>
          <t>тыс.т</t>
        </is>
      </c>
    </row>
    <row r="348" ht="18.75" customHeight="1" s="904">
      <c r="C348" s="319" t="n"/>
      <c r="D348" s="460" t="inlineStr">
        <is>
          <t>ООО "ГАЗПРОМ НЕФТЕХИМ САЛАВАТ"</t>
        </is>
      </c>
      <c r="E348" s="15" t="n"/>
      <c r="F348" s="15" t="inlineStr">
        <is>
          <t>S2</t>
        </is>
      </c>
      <c r="G348" s="16" t="n"/>
      <c r="H348" s="17" t="inlineStr">
        <is>
          <t>{E83:2}-{E348:2}</t>
        </is>
      </c>
      <c r="I348" s="636" t="n"/>
      <c r="J348" s="17" t="n"/>
      <c r="K348" s="447" t="inlineStr">
        <is>
          <t>тыс.т</t>
        </is>
      </c>
    </row>
    <row r="349" ht="19.5" customHeight="1" s="904">
      <c r="C349" s="319" t="n"/>
      <c r="D349" s="459" t="inlineStr">
        <is>
          <t>ТОПЛИВО НЕФТЯНОЕ АВТ</t>
        </is>
      </c>
      <c r="E349" s="15" t="n"/>
      <c r="F349" s="15" t="inlineStr">
        <is>
          <t>S2</t>
        </is>
      </c>
      <c r="G349" s="16" t="n"/>
      <c r="H349" s="17" t="inlineStr">
        <is>
          <t>{E81:2}-{E349:2}</t>
        </is>
      </c>
      <c r="I349" s="636" t="n"/>
      <c r="J349" s="17" t="n"/>
      <c r="K349" s="445" t="inlineStr">
        <is>
          <t>тыс.т</t>
        </is>
      </c>
    </row>
    <row r="350" ht="18.75" customHeight="1" s="904">
      <c r="C350" s="319" t="n"/>
      <c r="D350" s="460" t="inlineStr">
        <is>
          <t>ООО "ГАЗПРОМ НЕФТЕХИМ САЛАВАТ"</t>
        </is>
      </c>
      <c r="E350" s="15" t="n"/>
      <c r="F350" s="15" t="inlineStr">
        <is>
          <t>S2</t>
        </is>
      </c>
      <c r="G350" s="16" t="n"/>
      <c r="H350" s="17" t="inlineStr">
        <is>
          <t>{E81:2}-{E350:2}</t>
        </is>
      </c>
      <c r="I350" s="636" t="n"/>
      <c r="J350" s="17" t="n"/>
      <c r="K350" s="447" t="inlineStr">
        <is>
          <t>тыс.т</t>
        </is>
      </c>
    </row>
    <row r="351" ht="19.5" customHeight="1" s="904">
      <c r="C351" s="319" t="n"/>
      <c r="D351" s="459" t="inlineStr">
        <is>
          <t>СЫРЬЁ ДЛЯ БИТУМА / ГУДРОН</t>
        </is>
      </c>
      <c r="E351" s="15" t="n"/>
      <c r="F351" s="15" t="inlineStr">
        <is>
          <t>S2</t>
        </is>
      </c>
      <c r="G351" s="16" t="n"/>
      <c r="H351" s="17" t="inlineStr">
        <is>
          <t>{E84:2}-{E351:2}</t>
        </is>
      </c>
      <c r="I351" s="636" t="n"/>
      <c r="J351" s="17" t="n"/>
      <c r="K351" s="445" t="inlineStr">
        <is>
          <t>тыс.т</t>
        </is>
      </c>
    </row>
    <row r="352" ht="18.75" customHeight="1" s="904">
      <c r="C352" s="319" t="n"/>
      <c r="D352" s="460" t="inlineStr">
        <is>
          <t>ООО "ГАЗПРОМ НЕФТЕХИМ САЛАВАТ"</t>
        </is>
      </c>
      <c r="E352" s="15" t="n"/>
      <c r="F352" s="15" t="inlineStr">
        <is>
          <t>S2</t>
        </is>
      </c>
      <c r="G352" s="16" t="n"/>
      <c r="H352" s="17" t="inlineStr">
        <is>
          <t>{E84:2}-{E352:2}</t>
        </is>
      </c>
      <c r="I352" s="636" t="n"/>
      <c r="J352" s="17" t="n"/>
      <c r="K352" s="447" t="inlineStr">
        <is>
          <t>тыс.т</t>
        </is>
      </c>
    </row>
    <row r="353" ht="19.5" customHeight="1" s="904">
      <c r="C353" s="319" t="n"/>
      <c r="D353" s="459" t="inlineStr">
        <is>
          <t>НЕФТЕБИТУМ ДОРОЖНЫЙ</t>
        </is>
      </c>
      <c r="E353" s="15" t="n"/>
      <c r="F353" s="15" t="inlineStr">
        <is>
          <t>S2</t>
        </is>
      </c>
      <c r="G353" s="16" t="n"/>
      <c r="H353" s="17" t="inlineStr">
        <is>
          <t>{E85:2}-{E353:2}</t>
        </is>
      </c>
      <c r="I353" s="636" t="n"/>
      <c r="J353" s="17" t="n"/>
      <c r="K353" s="445" t="inlineStr">
        <is>
          <t>тыс.т</t>
        </is>
      </c>
    </row>
    <row r="354" ht="18.75" customHeight="1" s="904">
      <c r="C354" s="319" t="n"/>
      <c r="D354" s="460" t="inlineStr">
        <is>
          <t>ООО "ГАЗПРОМ НЕФТЕХИМ САЛАВАТ"</t>
        </is>
      </c>
      <c r="E354" s="15" t="n"/>
      <c r="F354" s="15" t="inlineStr">
        <is>
          <t>S2</t>
        </is>
      </c>
      <c r="G354" s="16" t="n"/>
      <c r="H354" s="17" t="inlineStr">
        <is>
          <t>{E85:2}-{E354:2}</t>
        </is>
      </c>
      <c r="I354" s="636" t="n"/>
      <c r="J354" s="17" t="n"/>
      <c r="K354" s="447" t="inlineStr">
        <is>
          <t>тыс.т</t>
        </is>
      </c>
    </row>
    <row r="355" ht="19.5" customHeight="1" s="904">
      <c r="C355" s="319" t="n"/>
      <c r="D355" s="459" t="inlineStr">
        <is>
          <t>ГАЗОЙЛЬ ТЯЖЕЛЫЙ</t>
        </is>
      </c>
      <c r="E355" s="15" t="n"/>
      <c r="F355" s="15" t="inlineStr">
        <is>
          <t>S2</t>
        </is>
      </c>
      <c r="G355" s="16" t="n"/>
      <c r="H355" s="17" t="inlineStr">
        <is>
          <t>{E77:2}-{E355:2}</t>
        </is>
      </c>
      <c r="I355" s="636" t="n"/>
      <c r="J355" s="17" t="n"/>
      <c r="K355" s="445" t="inlineStr">
        <is>
          <t>тыс.т</t>
        </is>
      </c>
    </row>
    <row r="356" ht="18.75" customHeight="1" s="904">
      <c r="C356" s="319" t="n"/>
      <c r="D356" s="460" t="inlineStr">
        <is>
          <t>ООО "ГАЗПРОМ НЕФТЕХИМ САЛАВАТ"</t>
        </is>
      </c>
      <c r="E356" s="15" t="n"/>
      <c r="F356" s="15" t="inlineStr">
        <is>
          <t>S2</t>
        </is>
      </c>
      <c r="G356" s="16" t="n"/>
      <c r="H356" s="17" t="inlineStr">
        <is>
          <t>{E77:2}-{E356:2}</t>
        </is>
      </c>
      <c r="I356" s="636" t="n"/>
      <c r="J356" s="17" t="n"/>
      <c r="K356" s="447" t="inlineStr">
        <is>
          <t>тыс.т</t>
        </is>
      </c>
    </row>
    <row r="357" ht="18.75" customHeight="1" s="904">
      <c r="C357" s="319" t="n"/>
      <c r="D357" s="461" t="inlineStr">
        <is>
          <t>Товар</t>
        </is>
      </c>
      <c r="E357" s="15" t="n"/>
      <c r="F357" s="15" t="n"/>
      <c r="G357" s="16" t="n"/>
      <c r="H357" s="17" t="n"/>
      <c r="I357" s="636" t="n"/>
      <c r="J357" s="17" t="n"/>
      <c r="K357" s="447" t="n"/>
    </row>
    <row r="358" ht="18.75" customHeight="1" s="904">
      <c r="C358" s="319" t="n"/>
      <c r="D358" s="461" t="inlineStr">
        <is>
          <t>На завод "Мономер"</t>
        </is>
      </c>
      <c r="E358" s="15" t="n"/>
      <c r="F358" s="15" t="n"/>
      <c r="G358" s="16" t="n"/>
      <c r="H358" s="17" t="n"/>
      <c r="I358" s="636" t="n"/>
      <c r="J358" s="17" t="n"/>
      <c r="K358" s="447" t="n"/>
    </row>
    <row r="359" ht="19.5" customHeight="1" s="904">
      <c r="C359" s="319" t="n"/>
      <c r="D359" s="459" t="inlineStr">
        <is>
          <t>БЕНЗОЛ</t>
        </is>
      </c>
      <c r="E359" s="15" t="n"/>
      <c r="F359" s="15" t="inlineStr">
        <is>
          <t>S2</t>
        </is>
      </c>
      <c r="G359" s="16" t="n"/>
      <c r="H359" s="17" t="inlineStr">
        <is>
          <t>{E90:2}-{E359:2}</t>
        </is>
      </c>
      <c r="I359" s="636" t="n"/>
      <c r="J359" s="17" t="n"/>
      <c r="K359" s="445" t="inlineStr">
        <is>
          <t>тыс.т</t>
        </is>
      </c>
    </row>
    <row r="360" ht="18.75" customHeight="1" s="904">
      <c r="C360" s="319" t="n"/>
      <c r="D360" s="460" t="inlineStr">
        <is>
          <t>ООО "ГАЗПРОМ НЕФТЕХИМ САЛАВАТ"</t>
        </is>
      </c>
      <c r="E360" s="15" t="n"/>
      <c r="F360" s="15" t="n"/>
      <c r="G360" s="16" t="n"/>
      <c r="H360" s="17" t="n"/>
      <c r="I360" s="636" t="n"/>
      <c r="J360" s="17" t="n"/>
      <c r="K360" s="447" t="inlineStr">
        <is>
          <t>тыс.т</t>
        </is>
      </c>
    </row>
    <row r="361" ht="18.75" customHeight="1" s="904">
      <c r="C361" s="319" t="n"/>
      <c r="D361" s="461" t="inlineStr">
        <is>
          <t>Товар</t>
        </is>
      </c>
      <c r="E361" s="15" t="n"/>
      <c r="F361" s="15" t="n"/>
      <c r="G361" s="16" t="n"/>
      <c r="H361" s="17" t="n"/>
      <c r="I361" s="636" t="n"/>
      <c r="J361" s="17" t="n"/>
      <c r="K361" s="449" t="inlineStr">
        <is>
          <t>тыс.т</t>
        </is>
      </c>
    </row>
    <row r="362" ht="18.75" customHeight="1" s="904">
      <c r="C362" s="319" t="n"/>
      <c r="D362" s="461" t="inlineStr">
        <is>
          <t>На завод "Мономер"</t>
        </is>
      </c>
      <c r="E362" s="15" t="n"/>
      <c r="F362" s="15" t="inlineStr">
        <is>
          <t>S2</t>
        </is>
      </c>
      <c r="G362" s="16" t="n"/>
      <c r="H362" s="17" t="inlineStr">
        <is>
          <t>{E362:2}-{E91:2}</t>
        </is>
      </c>
      <c r="I362" s="636" t="n"/>
      <c r="J362" s="17" t="n"/>
      <c r="K362" s="445" t="inlineStr">
        <is>
          <t>тыс.т</t>
        </is>
      </c>
    </row>
    <row r="363" ht="19.5" customHeight="1" s="904">
      <c r="C363" s="319" t="n"/>
      <c r="D363" s="459" t="inlineStr">
        <is>
          <t>ТОЛУОЛ</t>
        </is>
      </c>
      <c r="E363" s="15" t="n"/>
      <c r="F363" s="15" t="inlineStr">
        <is>
          <t>S2</t>
        </is>
      </c>
      <c r="G363" s="16" t="n"/>
      <c r="H363" s="17" t="inlineStr">
        <is>
          <t>{E86:2}-{E363:2}</t>
        </is>
      </c>
      <c r="I363" s="636" t="n"/>
      <c r="J363" s="17" t="n"/>
      <c r="K363" s="447" t="inlineStr">
        <is>
          <t>тыс.т</t>
        </is>
      </c>
    </row>
    <row r="364" ht="18.75" customHeight="1" s="904">
      <c r="C364" s="319" t="n"/>
      <c r="D364" s="460" t="inlineStr">
        <is>
          <t>ООО "ГАЗПРОМ НЕФТЕХИМ САЛАВАТ"</t>
        </is>
      </c>
      <c r="E364" s="15" t="n"/>
      <c r="F364" s="15" t="n"/>
      <c r="G364" s="16" t="n"/>
      <c r="H364" s="17" t="n"/>
      <c r="I364" s="636" t="n"/>
      <c r="J364" s="17" t="n"/>
      <c r="K364" s="449" t="inlineStr">
        <is>
          <t>тыс.т</t>
        </is>
      </c>
    </row>
    <row r="365" ht="18.75" customHeight="1" s="904">
      <c r="C365" s="319" t="n"/>
      <c r="D365" s="461" t="inlineStr">
        <is>
          <t>Товар</t>
        </is>
      </c>
      <c r="E365" s="15" t="n"/>
      <c r="F365" s="15" t="inlineStr">
        <is>
          <t>S2</t>
        </is>
      </c>
      <c r="G365" s="16" t="n"/>
      <c r="H365" s="17" t="inlineStr">
        <is>
          <t>{E87:2}-{E365:2}</t>
        </is>
      </c>
      <c r="I365" s="636" t="n"/>
      <c r="J365" s="17" t="n"/>
      <c r="K365" s="449" t="inlineStr">
        <is>
          <t>тыс.т</t>
        </is>
      </c>
    </row>
    <row r="366" ht="18.75" customHeight="1" s="904">
      <c r="C366" s="319" t="n"/>
      <c r="D366" s="461" t="inlineStr">
        <is>
          <t>На завод "Мономер"</t>
        </is>
      </c>
      <c r="E366" s="15" t="n"/>
      <c r="F366" s="15" t="inlineStr">
        <is>
          <t>S2</t>
        </is>
      </c>
      <c r="G366" s="16" t="n"/>
      <c r="H366" s="17" t="inlineStr">
        <is>
          <t>{E88:2}-{E366:2}</t>
        </is>
      </c>
      <c r="I366" s="636" t="n"/>
      <c r="J366" s="17" t="n"/>
      <c r="K366" s="449" t="inlineStr">
        <is>
          <t>тыс.т</t>
        </is>
      </c>
    </row>
    <row r="367" ht="18.75" customHeight="1" s="904">
      <c r="C367" s="319" t="n"/>
      <c r="D367" s="461" t="inlineStr">
        <is>
          <t>На ООО "Акрил-Салават"</t>
        </is>
      </c>
      <c r="E367" s="15" t="n"/>
      <c r="F367" s="15" t="n"/>
      <c r="G367" s="16" t="n"/>
      <c r="H367" s="17" t="n"/>
      <c r="I367" s="636" t="n"/>
      <c r="J367" s="17" t="n"/>
      <c r="K367" s="449" t="inlineStr">
        <is>
          <t>тыс.т</t>
        </is>
      </c>
    </row>
    <row r="368" ht="18.75" customHeight="1" s="904">
      <c r="C368" s="319" t="n"/>
      <c r="D368" s="461" t="inlineStr">
        <is>
          <t>Собственное потребление</t>
        </is>
      </c>
      <c r="E368" s="15" t="n"/>
      <c r="F368" s="15" t="n"/>
      <c r="G368" s="16" t="n"/>
      <c r="H368" s="17" t="n"/>
      <c r="I368" s="636" t="n"/>
      <c r="J368" s="17" t="n"/>
      <c r="K368" s="449" t="n"/>
    </row>
    <row r="369" ht="19.5" customHeight="1" s="904">
      <c r="C369" s="319" t="n"/>
      <c r="D369" s="459" t="inlineStr">
        <is>
          <t>СОЛЬВЕНТ</t>
        </is>
      </c>
      <c r="E369" s="15" t="n"/>
      <c r="F369" s="15" t="inlineStr">
        <is>
          <t>S2</t>
        </is>
      </c>
      <c r="G369" s="16" t="n"/>
      <c r="H369" s="17" t="inlineStr">
        <is>
          <t>{E92:2}-{E369:2}</t>
        </is>
      </c>
      <c r="I369" s="636" t="n"/>
      <c r="J369" s="17" t="n"/>
      <c r="K369" s="445" t="inlineStr">
        <is>
          <t>тыс.т</t>
        </is>
      </c>
    </row>
    <row r="370" ht="18.75" customHeight="1" s="904">
      <c r="C370" s="319" t="n"/>
      <c r="D370" s="460" t="inlineStr">
        <is>
          <t>ООО "ГАЗПРОМ НЕФТЕХИМ САЛАВАТ"</t>
        </is>
      </c>
      <c r="E370" s="15" t="n"/>
      <c r="F370" s="15" t="inlineStr">
        <is>
          <t>S2</t>
        </is>
      </c>
      <c r="G370" s="16" t="n"/>
      <c r="H370" s="17" t="inlineStr">
        <is>
          <t>{E92:2}-{E370:2}</t>
        </is>
      </c>
      <c r="I370" s="636" t="n"/>
      <c r="J370" s="17" t="n"/>
      <c r="K370" s="447" t="inlineStr">
        <is>
          <t>тыс.т</t>
        </is>
      </c>
    </row>
    <row r="371" ht="18.75" customHeight="1" s="904">
      <c r="C371" s="319" t="n"/>
      <c r="D371" s="461" t="inlineStr">
        <is>
          <t>На завод "Мономер"</t>
        </is>
      </c>
      <c r="E371" s="15" t="n"/>
      <c r="F371" s="15" t="inlineStr">
        <is>
          <t>S2</t>
        </is>
      </c>
      <c r="G371" s="16" t="n"/>
      <c r="H371" s="17" t="inlineStr">
        <is>
          <t>{E93:2}-{E371:2}</t>
        </is>
      </c>
      <c r="I371" s="636" t="n"/>
      <c r="J371" s="17" t="n"/>
      <c r="K371" s="449" t="inlineStr">
        <is>
          <t>тыс.т</t>
        </is>
      </c>
    </row>
    <row r="372" ht="18.75" customHeight="1" s="904">
      <c r="C372" s="319" t="n"/>
      <c r="D372" s="461" t="inlineStr">
        <is>
          <t>Собственное потребление</t>
        </is>
      </c>
      <c r="E372" s="15" t="n"/>
      <c r="F372" s="15" t="n"/>
      <c r="G372" s="16" t="n"/>
      <c r="H372" s="17" t="n"/>
      <c r="I372" s="636" t="n"/>
      <c r="J372" s="17" t="n"/>
      <c r="K372" s="449" t="inlineStr">
        <is>
          <t>тыс.т</t>
        </is>
      </c>
    </row>
    <row r="373" ht="19.5" customHeight="1" s="904">
      <c r="C373" s="319" t="n"/>
      <c r="D373" s="463" t="n"/>
      <c r="E373" s="15" t="n"/>
      <c r="F373" s="15" t="n"/>
      <c r="G373" s="16" t="n"/>
      <c r="H373" s="17" t="n"/>
      <c r="I373" s="636" t="n"/>
      <c r="J373" s="17" t="n"/>
      <c r="K373" s="464" t="n"/>
    </row>
    <row r="374" ht="23.25" customHeight="1" s="904">
      <c r="C374" s="319" t="n"/>
      <c r="D374" s="465" t="inlineStr">
        <is>
          <t>ЗАВОД "МОНОМЕР"</t>
        </is>
      </c>
      <c r="E374" s="15" t="n"/>
      <c r="F374" s="15" t="n"/>
      <c r="G374" s="16" t="n"/>
      <c r="H374" s="17" t="n"/>
      <c r="I374" s="636" t="n"/>
      <c r="J374" s="17" t="n"/>
      <c r="K374" s="441" t="n"/>
    </row>
    <row r="375" ht="19.5" customHeight="1" s="904">
      <c r="C375" s="319" t="n"/>
      <c r="D375" s="442" t="inlineStr">
        <is>
          <t>СЫРЬЁ</t>
        </is>
      </c>
      <c r="E375" s="15" t="n"/>
      <c r="F375" s="15" t="n"/>
      <c r="G375" s="16" t="n"/>
      <c r="H375" s="17" t="n"/>
      <c r="I375" s="636" t="n"/>
      <c r="J375" s="17" t="n"/>
      <c r="K375" s="443" t="n"/>
    </row>
    <row r="376" ht="19.5" customHeight="1" s="904">
      <c r="C376" s="319" t="n"/>
      <c r="D376" s="459" t="inlineStr">
        <is>
          <t>ПОСТУПЛЕНИЕ СЫРЬЯ</t>
        </is>
      </c>
      <c r="E376" s="15" t="n"/>
      <c r="F376" s="15" t="inlineStr">
        <is>
          <t>S2</t>
        </is>
      </c>
      <c r="G376" s="16" t="n"/>
      <c r="H376" s="17" t="inlineStr">
        <is>
          <t>{E114:2}+{E118:2}+{E120:2}+{E125:2}-{E376:2}</t>
        </is>
      </c>
      <c r="I376" s="636" t="n"/>
      <c r="J376" s="17" t="n"/>
      <c r="K376" s="445" t="inlineStr">
        <is>
          <t>тыс.т</t>
        </is>
      </c>
    </row>
    <row r="377" ht="18.75" customHeight="1" s="904">
      <c r="C377" s="319" t="n"/>
      <c r="D377" s="460" t="inlineStr">
        <is>
          <t>ООО "ГАЗПРОМ НЕФТЕХИМ САЛАВАТ"</t>
        </is>
      </c>
      <c r="E377" s="15" t="n"/>
      <c r="F377" s="15" t="inlineStr">
        <is>
          <t>S2</t>
        </is>
      </c>
      <c r="G377" s="16" t="n"/>
      <c r="H377" s="17" t="inlineStr">
        <is>
          <t>{E114:2}+{E118:2}+{E120:2}+{E125:2}-{E377:2}</t>
        </is>
      </c>
      <c r="I377" s="636" t="n"/>
      <c r="J377" s="17" t="n"/>
      <c r="K377" s="447" t="inlineStr">
        <is>
          <t>тыс.т</t>
        </is>
      </c>
    </row>
    <row r="378" ht="18.75" customHeight="1" s="904">
      <c r="C378" s="319" t="n"/>
      <c r="D378" s="458" t="inlineStr">
        <is>
          <t>ШФЛУ</t>
        </is>
      </c>
      <c r="E378" s="15" t="n"/>
      <c r="F378" s="15" t="inlineStr">
        <is>
          <t>S2</t>
        </is>
      </c>
      <c r="G378" s="16" t="n"/>
      <c r="H378" s="17" t="inlineStr">
        <is>
          <t>{E114:2}-{E378:2}</t>
        </is>
      </c>
      <c r="I378" s="636" t="n"/>
      <c r="J378" s="17" t="n"/>
      <c r="K378" s="449" t="inlineStr">
        <is>
          <t>тыс.т</t>
        </is>
      </c>
    </row>
    <row r="379" ht="18.75" customHeight="1" s="904">
      <c r="C379" s="319" t="n"/>
      <c r="D379" s="450" t="inlineStr">
        <is>
          <t>Астраханский ГПЗ / Сургутский ЗСК</t>
        </is>
      </c>
      <c r="E379" s="15" t="n"/>
      <c r="F379" s="15" t="inlineStr">
        <is>
          <t>S2</t>
        </is>
      </c>
      <c r="G379" s="16" t="n"/>
      <c r="H379" s="17" t="inlineStr">
        <is>
          <t>{E115:2}-{E379:2}</t>
        </is>
      </c>
      <c r="I379" s="636" t="n"/>
      <c r="J379" s="17" t="n"/>
      <c r="K379" s="449" t="inlineStr">
        <is>
          <t>тыс.т</t>
        </is>
      </c>
    </row>
    <row r="380" ht="18.75" customHeight="1" s="904">
      <c r="C380" s="319" t="n"/>
      <c r="D380" s="458" t="inlineStr">
        <is>
          <t>Фракция этановая</t>
        </is>
      </c>
      <c r="E380" s="15" t="n"/>
      <c r="F380" s="15" t="inlineStr">
        <is>
          <t>S2</t>
        </is>
      </c>
      <c r="G380" s="16" t="n"/>
      <c r="H380" s="17" t="inlineStr">
        <is>
          <t>{E120:2}-{E380:2}</t>
        </is>
      </c>
      <c r="I380" s="636" t="n"/>
      <c r="J380" s="17" t="n"/>
      <c r="K380" s="449" t="inlineStr">
        <is>
          <t>тыс.т</t>
        </is>
      </c>
    </row>
    <row r="381" ht="18.75" customHeight="1" s="904">
      <c r="C381" s="319" t="n"/>
      <c r="D381" s="457" t="inlineStr">
        <is>
          <t>Оренбургский ГЗ</t>
        </is>
      </c>
      <c r="E381" s="15" t="n"/>
      <c r="F381" s="15" t="inlineStr">
        <is>
          <t>S2</t>
        </is>
      </c>
      <c r="G381" s="16" t="n"/>
      <c r="H381" s="17" t="inlineStr">
        <is>
          <t>{E122:2}-{E381:2}</t>
        </is>
      </c>
      <c r="I381" s="636" t="n"/>
      <c r="J381" s="17" t="n"/>
      <c r="K381" s="449" t="inlineStr">
        <is>
          <t>тыс.т</t>
        </is>
      </c>
    </row>
    <row r="382" ht="18.75" customHeight="1" s="904">
      <c r="C382" s="319" t="n"/>
      <c r="D382" s="458" t="inlineStr">
        <is>
          <t>Газы углеводородные сжиженные</t>
        </is>
      </c>
      <c r="E382" s="15" t="n"/>
      <c r="F382" s="15" t="inlineStr">
        <is>
          <t>S2</t>
        </is>
      </c>
      <c r="G382" s="16" t="n"/>
      <c r="H382" s="17" t="inlineStr">
        <is>
          <t>{E137:2}-{E382:2}</t>
        </is>
      </c>
      <c r="I382" s="636" t="n"/>
      <c r="J382" s="17" t="n"/>
      <c r="K382" s="449" t="inlineStr">
        <is>
          <t>тыс.т</t>
        </is>
      </c>
    </row>
    <row r="383" ht="18.75" customHeight="1" s="904">
      <c r="C383" s="319" t="n"/>
      <c r="D383" s="457" t="inlineStr">
        <is>
          <t>Сургутский ЗСК</t>
        </is>
      </c>
      <c r="E383" s="15" t="n"/>
      <c r="F383" s="15" t="inlineStr">
        <is>
          <t>S2</t>
        </is>
      </c>
      <c r="G383" s="16" t="n"/>
      <c r="H383" s="17" t="inlineStr">
        <is>
          <t>{E119:2}-{E383:2}</t>
        </is>
      </c>
      <c r="I383" s="636" t="n"/>
      <c r="J383" s="17" t="n"/>
      <c r="K383" s="449" t="inlineStr">
        <is>
          <t>тыс.т</t>
        </is>
      </c>
    </row>
    <row r="384" ht="18.75" customHeight="1" s="904">
      <c r="C384" s="319" t="n"/>
      <c r="D384" s="458" t="inlineStr">
        <is>
          <t>Пропилен (покупной)</t>
        </is>
      </c>
      <c r="E384" s="15" t="n"/>
      <c r="F384" s="15" t="inlineStr">
        <is>
          <t>S2</t>
        </is>
      </c>
      <c r="G384" s="16" t="n"/>
      <c r="H384" s="17" t="inlineStr">
        <is>
          <t>{E125:2}-{E384:2}</t>
        </is>
      </c>
      <c r="I384" s="636" t="n"/>
      <c r="J384" s="17" t="n"/>
      <c r="K384" s="449" t="n"/>
    </row>
    <row r="385" ht="18.75" customHeight="1" s="904">
      <c r="C385" s="319" t="n"/>
      <c r="D385" s="458" t="n"/>
      <c r="E385" s="15" t="n"/>
      <c r="F385" s="15" t="n"/>
      <c r="G385" s="16" t="n"/>
      <c r="H385" s="17" t="n"/>
      <c r="I385" s="636" t="n"/>
      <c r="J385" s="17" t="n"/>
      <c r="K385" s="449" t="n"/>
    </row>
    <row r="386" ht="18.75" customHeight="1" s="904">
      <c r="C386" s="319" t="n"/>
      <c r="D386" s="458" t="n"/>
      <c r="E386" s="15" t="n"/>
      <c r="F386" s="15" t="n"/>
      <c r="G386" s="16" t="n"/>
      <c r="H386" s="17" t="n"/>
      <c r="I386" s="636" t="n"/>
      <c r="J386" s="17" t="n"/>
      <c r="K386" s="449" t="n"/>
    </row>
    <row r="387" ht="19.5" customHeight="1" s="904">
      <c r="C387" s="319" t="n"/>
      <c r="D387" s="459" t="inlineStr">
        <is>
          <t>НАПРАВЛЕНО НА ХРАНЕНИЕ В КАШКАРСКОЕ ПХГ</t>
        </is>
      </c>
      <c r="E387" s="15" t="n"/>
      <c r="F387" s="15" t="n"/>
      <c r="G387" s="16" t="n"/>
      <c r="H387" s="17" t="n"/>
      <c r="I387" s="636" t="n"/>
      <c r="J387" s="17" t="n"/>
      <c r="K387" s="445" t="inlineStr">
        <is>
          <t>тыс.т</t>
        </is>
      </c>
    </row>
    <row r="388" ht="18.75" customHeight="1" s="904">
      <c r="C388" s="319" t="n"/>
      <c r="D388" s="460" t="inlineStr">
        <is>
          <t>ООО "ГАЗПРОМ НЕФТЕХИМ САЛАВАТ"</t>
        </is>
      </c>
      <c r="E388" s="15" t="n"/>
      <c r="F388" s="15" t="n"/>
      <c r="G388" s="16" t="n"/>
      <c r="H388" s="17" t="n"/>
      <c r="I388" s="636" t="n"/>
      <c r="J388" s="17" t="n"/>
      <c r="K388" s="447" t="inlineStr">
        <is>
          <t>тыс.т</t>
        </is>
      </c>
    </row>
    <row r="389" ht="18.75" customHeight="1" s="904">
      <c r="C389" s="319" t="n"/>
      <c r="D389" s="458" t="inlineStr">
        <is>
          <t>ШФЛУ</t>
        </is>
      </c>
      <c r="E389" s="15" t="n"/>
      <c r="F389" s="15" t="n"/>
      <c r="G389" s="16" t="n"/>
      <c r="H389" s="17" t="n"/>
      <c r="I389" s="636" t="n"/>
      <c r="J389" s="17" t="n"/>
      <c r="K389" s="449" t="inlineStr">
        <is>
          <t>тыс.т</t>
        </is>
      </c>
    </row>
    <row r="390" ht="18.75" customHeight="1" s="904">
      <c r="C390" s="319" t="n"/>
      <c r="D390" s="458" t="inlineStr">
        <is>
          <t>Пропилен (покупной)</t>
        </is>
      </c>
      <c r="E390" s="15" t="n"/>
      <c r="F390" s="15" t="n"/>
      <c r="G390" s="16" t="n"/>
      <c r="H390" s="17" t="n"/>
      <c r="I390" s="636" t="n"/>
      <c r="J390" s="17" t="n"/>
      <c r="K390" s="449" t="inlineStr">
        <is>
          <t>тыс.т</t>
        </is>
      </c>
    </row>
    <row r="391" ht="19.5" customHeight="1" s="904">
      <c r="C391" s="319" t="n"/>
      <c r="D391" s="444" t="inlineStr">
        <is>
          <t>ПЕРЕРАБОТКА СЫРЬЯ НА ЭП-355</t>
        </is>
      </c>
      <c r="E391" s="15" t="n"/>
      <c r="F391" s="15" t="inlineStr">
        <is>
          <t>S2</t>
        </is>
      </c>
      <c r="G391" s="16" t="n"/>
      <c r="H391" s="17" t="inlineStr">
        <is>
          <t>{E130:2}+{E132:2}+{E137:2}+{E139:2}+{E398:2}-{E391:2}</t>
        </is>
      </c>
      <c r="I391" s="636" t="n"/>
      <c r="J391" s="17" t="n"/>
      <c r="K391" s="445" t="inlineStr">
        <is>
          <t>тыс.т</t>
        </is>
      </c>
    </row>
    <row r="392" ht="18.75" customHeight="1" s="904">
      <c r="C392" s="319" t="n"/>
      <c r="D392" s="446" t="inlineStr">
        <is>
          <t>ООО "ГАЗПРОМ НЕФТЕХИМ САЛАВАТ"</t>
        </is>
      </c>
      <c r="E392" s="15" t="n"/>
      <c r="F392" s="15" t="inlineStr">
        <is>
          <t>S2</t>
        </is>
      </c>
      <c r="G392" s="16" t="n"/>
      <c r="H392" s="17" t="inlineStr">
        <is>
          <t>{E130:2}+{E132:2}+{E137:2}+{E139:2}+{E398:2}-{E392:2}</t>
        </is>
      </c>
      <c r="I392" s="636" t="n"/>
      <c r="J392" s="17" t="n"/>
      <c r="K392" s="447" t="inlineStr">
        <is>
          <t>тыс.т</t>
        </is>
      </c>
    </row>
    <row r="393" ht="18.75" customHeight="1" s="904">
      <c r="C393" s="319" t="n"/>
      <c r="D393" s="466" t="inlineStr">
        <is>
          <t>Переработка газового сырья</t>
        </is>
      </c>
      <c r="E393" s="15" t="n"/>
      <c r="F393" s="15" t="inlineStr">
        <is>
          <t>S2</t>
        </is>
      </c>
      <c r="G393" s="16" t="n"/>
      <c r="H393" s="17" t="inlineStr">
        <is>
          <t>{E130:2}+{E132:2}+{E137:2}+{E139:2}+{E398:2}-{E393:2}</t>
        </is>
      </c>
      <c r="I393" s="636" t="n"/>
      <c r="J393" s="17" t="n"/>
      <c r="K393" s="449" t="inlineStr">
        <is>
          <t>тыс.т</t>
        </is>
      </c>
    </row>
    <row r="394" ht="18.75" customHeight="1" s="904">
      <c r="C394" s="319" t="n"/>
      <c r="D394" s="448" t="inlineStr">
        <is>
          <t>ШФЛУ</t>
        </is>
      </c>
      <c r="E394" s="15" t="n"/>
      <c r="F394" s="15" t="inlineStr">
        <is>
          <t>S2</t>
        </is>
      </c>
      <c r="G394" s="16" t="n"/>
      <c r="H394" s="17" t="inlineStr">
        <is>
          <t>{E132:2}-{E394:2}</t>
        </is>
      </c>
      <c r="I394" s="636" t="n"/>
      <c r="J394" s="17" t="n"/>
      <c r="K394" s="449" t="inlineStr">
        <is>
          <t>тыс.т</t>
        </is>
      </c>
    </row>
    <row r="395" ht="18.75" customHeight="1" s="904">
      <c r="C395" s="319" t="n"/>
      <c r="D395" s="450" t="inlineStr">
        <is>
          <t>НПЗ</t>
        </is>
      </c>
      <c r="E395" s="15" t="n"/>
      <c r="F395" s="15" t="inlineStr">
        <is>
          <t>S2</t>
        </is>
      </c>
      <c r="G395" s="16" t="n"/>
      <c r="H395" s="17" t="inlineStr">
        <is>
          <t>{E136:2}-{E395:2}</t>
        </is>
      </c>
      <c r="I395" s="636" t="n"/>
      <c r="J395" s="17" t="n"/>
      <c r="K395" s="449" t="inlineStr">
        <is>
          <t>тыс.т</t>
        </is>
      </c>
    </row>
    <row r="396" ht="18.75" customHeight="1" s="904">
      <c r="C396" s="319" t="n"/>
      <c r="D396" s="450" t="inlineStr">
        <is>
          <t>Астраханский ГПЗ / Сургутский ЗСК</t>
        </is>
      </c>
      <c r="E396" s="15" t="n"/>
      <c r="F396" s="15" t="inlineStr">
        <is>
          <t>S2</t>
        </is>
      </c>
      <c r="G396" s="16" t="n"/>
      <c r="H396" s="17" t="inlineStr">
        <is>
          <t>{E134:2}-{E396:2}</t>
        </is>
      </c>
      <c r="I396" s="636" t="n"/>
      <c r="J396" s="17" t="n"/>
      <c r="K396" s="449" t="inlineStr">
        <is>
          <t>тыс.т</t>
        </is>
      </c>
    </row>
    <row r="397" ht="18.75" customHeight="1" s="904">
      <c r="C397" s="319" t="n"/>
      <c r="D397" s="467" t="inlineStr">
        <is>
          <t xml:space="preserve">в т.ч. на пуск/остановку </t>
        </is>
      </c>
      <c r="E397" s="15" t="n"/>
      <c r="F397" s="15" t="n"/>
      <c r="G397" s="16" t="n"/>
      <c r="H397" s="17" t="n"/>
      <c r="I397" s="636" t="n"/>
      <c r="J397" s="17" t="n"/>
      <c r="K397" s="468" t="inlineStr">
        <is>
          <t>тыс.т</t>
        </is>
      </c>
    </row>
    <row r="398" ht="18.75" customHeight="1" s="904">
      <c r="C398" s="319" t="n"/>
      <c r="D398" s="448" t="inlineStr">
        <is>
          <t>Фракция этановая</t>
        </is>
      </c>
      <c r="E398" s="15" t="n"/>
      <c r="F398" s="15" t="n"/>
      <c r="G398" s="16" t="n"/>
      <c r="H398" s="17" t="n"/>
      <c r="I398" s="636" t="n"/>
      <c r="J398" s="17" t="n"/>
      <c r="K398" s="449" t="inlineStr">
        <is>
          <t>тыс.т</t>
        </is>
      </c>
    </row>
    <row r="399" ht="18.75" customHeight="1" s="904">
      <c r="C399" s="319" t="n"/>
      <c r="D399" s="450" t="inlineStr">
        <is>
          <t>Оренбургский ГЗ</t>
        </is>
      </c>
      <c r="E399" s="15" t="n"/>
      <c r="F399" s="15" t="inlineStr">
        <is>
          <t>S2</t>
        </is>
      </c>
      <c r="G399" s="16" t="n"/>
      <c r="H399" s="17" t="inlineStr">
        <is>
          <t>{E141:2}-{E399:2}</t>
        </is>
      </c>
      <c r="I399" s="636" t="n"/>
      <c r="J399" s="17" t="n"/>
      <c r="K399" s="449" t="inlineStr">
        <is>
          <t>тыс.т</t>
        </is>
      </c>
    </row>
    <row r="400" ht="18.75" customHeight="1" s="904">
      <c r="C400" s="319" t="n"/>
      <c r="D400" s="450" t="inlineStr">
        <is>
          <t>Цех №58</t>
        </is>
      </c>
      <c r="E400" s="15" t="n"/>
      <c r="F400" s="15" t="n"/>
      <c r="G400" s="16" t="n"/>
      <c r="H400" s="17" t="n"/>
      <c r="I400" s="636" t="n"/>
      <c r="J400" s="17" t="n"/>
      <c r="K400" s="449" t="n"/>
    </row>
    <row r="401" ht="18.75" customHeight="1" s="904">
      <c r="C401" s="319" t="n"/>
      <c r="D401" s="448" t="inlineStr">
        <is>
          <t>Газы углеводородные сжиженные</t>
        </is>
      </c>
      <c r="E401" s="15" t="n"/>
      <c r="F401" s="15" t="inlineStr">
        <is>
          <t>S2</t>
        </is>
      </c>
      <c r="G401" s="16" t="n"/>
      <c r="H401" s="17" t="inlineStr">
        <is>
          <t>{E137:2}-{E401:2}</t>
        </is>
      </c>
      <c r="I401" s="636" t="n"/>
      <c r="J401" s="17" t="n"/>
      <c r="K401" s="449" t="inlineStr">
        <is>
          <t>тыс.т</t>
        </is>
      </c>
    </row>
    <row r="402" ht="18.75" customHeight="1" s="904">
      <c r="C402" s="319" t="n"/>
      <c r="D402" s="450" t="inlineStr">
        <is>
          <t>Сургутский ЗСК</t>
        </is>
      </c>
      <c r="E402" s="15" t="n"/>
      <c r="F402" s="15" t="inlineStr">
        <is>
          <t>S2</t>
        </is>
      </c>
      <c r="G402" s="16" t="n"/>
      <c r="H402" s="17" t="inlineStr">
        <is>
          <t>{E138:2}-{E402:2}</t>
        </is>
      </c>
      <c r="I402" s="636" t="n"/>
      <c r="J402" s="17" t="n"/>
      <c r="K402" s="449" t="inlineStr">
        <is>
          <t>тыс.т</t>
        </is>
      </c>
    </row>
    <row r="403" ht="18.75" customHeight="1" s="904">
      <c r="C403" s="319" t="n"/>
      <c r="D403" s="466" t="inlineStr">
        <is>
          <t xml:space="preserve">   'Переработка бензинового сырья</t>
        </is>
      </c>
      <c r="E403" s="15" t="n"/>
      <c r="F403" s="15" t="inlineStr">
        <is>
          <t>S2</t>
        </is>
      </c>
      <c r="G403" s="16" t="n"/>
      <c r="H403" s="17" t="inlineStr">
        <is>
          <t>{E130:2}-{E403:2}</t>
        </is>
      </c>
      <c r="I403" s="636" t="n"/>
      <c r="J403" s="17" t="n"/>
      <c r="K403" s="449" t="inlineStr">
        <is>
          <t>тыс.т</t>
        </is>
      </c>
    </row>
    <row r="404" ht="18.75" customHeight="1" s="904">
      <c r="C404" s="319" t="n"/>
      <c r="D404" s="450" t="inlineStr">
        <is>
          <t>НПЗ</t>
        </is>
      </c>
      <c r="E404" s="15" t="n"/>
      <c r="F404" s="15" t="inlineStr">
        <is>
          <t>S2</t>
        </is>
      </c>
      <c r="G404" s="16" t="n"/>
      <c r="H404" s="17" t="inlineStr">
        <is>
          <t>{E131:2}-{E404:2}</t>
        </is>
      </c>
      <c r="I404" s="636" t="n"/>
      <c r="J404" s="17" t="n"/>
      <c r="K404" s="449" t="inlineStr">
        <is>
          <t>тыс.т</t>
        </is>
      </c>
    </row>
    <row r="405" ht="18.75" customHeight="1" s="904">
      <c r="C405" s="319" t="n"/>
      <c r="D405" s="450" t="n"/>
      <c r="E405" s="15" t="n"/>
      <c r="F405" s="15" t="n"/>
      <c r="G405" s="16" t="n"/>
      <c r="H405" s="17" t="n"/>
      <c r="I405" s="636" t="n"/>
      <c r="J405" s="17" t="n"/>
      <c r="K405" s="449" t="n"/>
    </row>
    <row r="406" ht="18.75" customHeight="1" s="904">
      <c r="C406" s="319" t="n"/>
      <c r="D406" s="467" t="inlineStr">
        <is>
          <t xml:space="preserve">в т.ч. на пуск/остановку </t>
        </is>
      </c>
      <c r="E406" s="15" t="n"/>
      <c r="F406" s="15" t="n"/>
      <c r="G406" s="16" t="n"/>
      <c r="H406" s="17" t="n"/>
      <c r="I406" s="636" t="n"/>
      <c r="J406" s="17" t="n"/>
      <c r="K406" s="468" t="inlineStr">
        <is>
          <t>тыс.т</t>
        </is>
      </c>
    </row>
    <row r="407" ht="39" customHeight="1" s="904">
      <c r="C407" s="319" t="n"/>
      <c r="D407" s="444" t="inlineStr">
        <is>
          <t>ПЕРЕРАБОТКА ПРОПИЛЕНА В ЦЕХЕ №52 (СУММАРНО)</t>
        </is>
      </c>
      <c r="E407" s="15" t="n"/>
      <c r="F407" s="15" t="inlineStr">
        <is>
          <t>S2</t>
        </is>
      </c>
      <c r="G407" s="16" t="n"/>
      <c r="H407" s="17" t="inlineStr">
        <is>
          <t>{E143:2}-{E407:2}</t>
        </is>
      </c>
      <c r="I407" s="636" t="n"/>
      <c r="J407" s="17" t="n"/>
      <c r="K407" s="445" t="inlineStr">
        <is>
          <t>тыс.т</t>
        </is>
      </c>
    </row>
    <row r="408" ht="18.75" customHeight="1" s="904">
      <c r="C408" s="319" t="n"/>
      <c r="D408" s="446" t="inlineStr">
        <is>
          <t>ООО "ГАЗПРОМ НЕФТЕХИМ САЛАВАТ"</t>
        </is>
      </c>
      <c r="E408" s="15" t="n"/>
      <c r="F408" s="15" t="inlineStr">
        <is>
          <t>S2</t>
        </is>
      </c>
      <c r="G408" s="16" t="n"/>
      <c r="H408" s="17" t="inlineStr">
        <is>
          <t>{E143:2}-{E408:2}</t>
        </is>
      </c>
      <c r="I408" s="636" t="n"/>
      <c r="J408" s="17" t="n"/>
      <c r="K408" s="447" t="inlineStr">
        <is>
          <t>тыс.т</t>
        </is>
      </c>
    </row>
    <row r="409" ht="39" customHeight="1" s="904">
      <c r="C409" s="319" t="n"/>
      <c r="D409" s="444" t="inlineStr">
        <is>
          <t>СОМОНОМЕР ДЛЯ РЕГУЛИРОВАНИЯ ПЛОТНОСТИ ПНД (БУТЕН-1)</t>
        </is>
      </c>
      <c r="E409" s="15" t="n"/>
      <c r="F409" s="15" t="n"/>
      <c r="G409" s="16" t="n"/>
      <c r="H409" s="17" t="n"/>
      <c r="I409" s="636" t="n"/>
      <c r="J409" s="17" t="n"/>
      <c r="K409" s="445" t="inlineStr">
        <is>
          <t>тыс.т</t>
        </is>
      </c>
    </row>
    <row r="410" ht="18.75" customHeight="1" s="904">
      <c r="C410" s="319" t="n"/>
      <c r="D410" s="446" t="inlineStr">
        <is>
          <t>ООО "ГАЗПРОМ НЕФТЕХИМ САЛАВАТ"</t>
        </is>
      </c>
      <c r="E410" s="15" t="n"/>
      <c r="F410" s="15" t="n"/>
      <c r="G410" s="16" t="n"/>
      <c r="H410" s="17" t="n"/>
      <c r="I410" s="636" t="n"/>
      <c r="J410" s="17" t="n"/>
      <c r="K410" s="447" t="inlineStr">
        <is>
          <t>тыс.т</t>
        </is>
      </c>
    </row>
    <row r="411" ht="19.5" customHeight="1" s="904">
      <c r="C411" s="319" t="n"/>
      <c r="D411" s="444" t="inlineStr">
        <is>
          <t>ОРТОКСИЛОЛ</t>
        </is>
      </c>
      <c r="E411" s="15" t="n"/>
      <c r="F411" s="15" t="inlineStr">
        <is>
          <t>S2</t>
        </is>
      </c>
      <c r="G411" s="16" t="n"/>
      <c r="H411" s="17" t="inlineStr">
        <is>
          <t>{E147:2}-{E411:2}</t>
        </is>
      </c>
      <c r="I411" s="636" t="n"/>
      <c r="J411" s="17" t="n"/>
      <c r="K411" s="445" t="inlineStr">
        <is>
          <t>тыс.т</t>
        </is>
      </c>
    </row>
    <row r="412" ht="18.75" customHeight="1" s="904">
      <c r="C412" s="319" t="n"/>
      <c r="D412" s="446" t="inlineStr">
        <is>
          <t>ООО "ГАЗПРОМ НЕФТЕХИМ САЛАВАТ"</t>
        </is>
      </c>
      <c r="E412" s="15" t="n"/>
      <c r="F412" s="15" t="inlineStr">
        <is>
          <t>S2</t>
        </is>
      </c>
      <c r="G412" s="16" t="n"/>
      <c r="H412" s="17" t="inlineStr">
        <is>
          <t>{E147:2}-{E412:2}</t>
        </is>
      </c>
      <c r="I412" s="636" t="n"/>
      <c r="J412" s="17" t="n"/>
      <c r="K412" s="447" t="inlineStr">
        <is>
          <t>тыс.т</t>
        </is>
      </c>
    </row>
    <row r="413" ht="19.5" customHeight="1" s="904">
      <c r="C413" s="319" t="n"/>
      <c r="D413" s="444" t="inlineStr">
        <is>
          <t>ПРИРОДНЫЙ ГАЗ (ЦЕХ №51)</t>
        </is>
      </c>
      <c r="E413" s="15" t="n"/>
      <c r="F413" s="15" t="n"/>
      <c r="G413" s="16" t="n"/>
      <c r="H413" s="17" t="n"/>
      <c r="I413" s="636" t="n"/>
      <c r="J413" s="17" t="n"/>
      <c r="K413" s="445" t="inlineStr">
        <is>
          <t>млн.м3</t>
        </is>
      </c>
    </row>
    <row r="414" ht="18.75" customHeight="1" s="904">
      <c r="C414" s="319" t="n"/>
      <c r="D414" s="446" t="inlineStr">
        <is>
          <t>ООО "ГАЗПРОМ НЕФТЕХИМ САЛАВАТ"</t>
        </is>
      </c>
      <c r="E414" s="15" t="n"/>
      <c r="F414" s="15" t="n"/>
      <c r="G414" s="16" t="n"/>
      <c r="H414" s="17" t="n"/>
      <c r="I414" s="636" t="n"/>
      <c r="J414" s="17" t="n"/>
      <c r="K414" s="447" t="inlineStr">
        <is>
          <t>млн.м3</t>
        </is>
      </c>
    </row>
    <row r="415" ht="18.75" customHeight="1" s="904">
      <c r="C415" s="319" t="n"/>
      <c r="D415" s="466" t="inlineStr">
        <is>
          <t>На технологию</t>
        </is>
      </c>
      <c r="E415" s="15" t="n"/>
      <c r="F415" s="15" t="inlineStr">
        <is>
          <t>S2</t>
        </is>
      </c>
      <c r="G415" s="16" t="n"/>
      <c r="H415" s="17" t="inlineStr">
        <is>
          <t>{E148:2}-{E415:2}</t>
        </is>
      </c>
      <c r="I415" s="636" t="n"/>
      <c r="J415" s="17" t="n"/>
      <c r="K415" s="449" t="inlineStr">
        <is>
          <t>млн.м3</t>
        </is>
      </c>
    </row>
    <row r="416" ht="19.5" customHeight="1" s="904">
      <c r="C416" s="319" t="n"/>
      <c r="D416" s="466" t="inlineStr">
        <is>
          <t>На топливо</t>
        </is>
      </c>
      <c r="E416" s="15" t="n"/>
      <c r="F416" s="15" t="n"/>
      <c r="G416" s="16" t="n"/>
      <c r="H416" s="17" t="n"/>
      <c r="I416" s="636" t="n"/>
      <c r="J416" s="17" t="n"/>
      <c r="K416" s="449" t="inlineStr">
        <is>
          <t>млн.м3</t>
        </is>
      </c>
    </row>
    <row r="417" ht="19.5" customHeight="1" s="904">
      <c r="C417" s="319" t="n"/>
      <c r="D417" s="442" t="inlineStr">
        <is>
          <t>ПРОДУКЦИЯ</t>
        </is>
      </c>
      <c r="E417" s="15" t="n"/>
      <c r="F417" s="15" t="n"/>
      <c r="G417" s="16" t="n"/>
      <c r="H417" s="17" t="n"/>
      <c r="I417" s="636" t="n"/>
      <c r="J417" s="17" t="n"/>
      <c r="K417" s="443" t="n"/>
    </row>
    <row r="418" ht="19.5" customHeight="1" s="904">
      <c r="C418" s="319" t="n"/>
      <c r="D418" s="444" t="inlineStr">
        <is>
          <t>ЭТИЛЕН</t>
        </is>
      </c>
      <c r="E418" s="15" t="n"/>
      <c r="F418" s="15" t="inlineStr">
        <is>
          <t>S2</t>
        </is>
      </c>
      <c r="G418" s="16" t="n"/>
      <c r="H418" s="17" t="inlineStr">
        <is>
          <t>{E151:2}-{E418:2}</t>
        </is>
      </c>
      <c r="I418" s="636" t="n"/>
      <c r="J418" s="17" t="n"/>
      <c r="K418" s="445" t="inlineStr">
        <is>
          <t>тыс.т</t>
        </is>
      </c>
    </row>
    <row r="419" ht="18.75" customHeight="1" s="904">
      <c r="C419" s="319" t="n"/>
      <c r="D419" s="446" t="inlineStr">
        <is>
          <t>ООО "ГАЗПРОМ НЕФТЕХИМ САЛАВАТ"</t>
        </is>
      </c>
      <c r="E419" s="15" t="n"/>
      <c r="F419" s="15" t="inlineStr">
        <is>
          <t>S2</t>
        </is>
      </c>
      <c r="G419" s="16" t="n"/>
      <c r="H419" s="17" t="inlineStr">
        <is>
          <t>{E151:2}-{E419:2}</t>
        </is>
      </c>
      <c r="I419" s="636" t="n"/>
      <c r="J419" s="17" t="n"/>
      <c r="K419" s="447" t="inlineStr">
        <is>
          <t>тыс.т</t>
        </is>
      </c>
    </row>
    <row r="420" ht="18.75" customHeight="1" s="904">
      <c r="C420" s="319" t="n"/>
      <c r="D420" s="466" t="inlineStr">
        <is>
          <t>Товар</t>
        </is>
      </c>
      <c r="E420" s="15" t="n"/>
      <c r="F420" s="15" t="inlineStr">
        <is>
          <t>S2</t>
        </is>
      </c>
      <c r="G420" s="16" t="n"/>
      <c r="H420" s="17" t="inlineStr">
        <is>
          <t>{E152:2}-{E420:2}</t>
        </is>
      </c>
      <c r="I420" s="636" t="n"/>
      <c r="J420" s="17" t="n"/>
      <c r="K420" s="449" t="inlineStr">
        <is>
          <t>тыс.т</t>
        </is>
      </c>
    </row>
    <row r="421" ht="18.75" customHeight="1" s="904">
      <c r="C421" s="319" t="n"/>
      <c r="D421" s="466" t="inlineStr">
        <is>
          <t>На производство ПНД (цех №20)</t>
        </is>
      </c>
      <c r="E421" s="15" t="n"/>
      <c r="F421" s="15" t="n"/>
      <c r="G421" s="16" t="n"/>
      <c r="H421" s="17" t="n"/>
      <c r="I421" s="636" t="n"/>
      <c r="J421" s="17" t="n"/>
      <c r="K421" s="449" t="inlineStr">
        <is>
          <t>тыс.т</t>
        </is>
      </c>
    </row>
    <row r="422" ht="18.75" customHeight="1" s="904">
      <c r="C422" s="319" t="n"/>
      <c r="D422" s="466" t="inlineStr">
        <is>
          <t>На производство ПВД (цех №23)</t>
        </is>
      </c>
      <c r="E422" s="15" t="n"/>
      <c r="F422" s="15" t="n"/>
      <c r="G422" s="16" t="n"/>
      <c r="H422" s="17" t="n"/>
      <c r="I422" s="636" t="n"/>
      <c r="J422" s="17" t="n"/>
      <c r="K422" s="449" t="inlineStr">
        <is>
          <t>тыс.т</t>
        </is>
      </c>
    </row>
    <row r="423" ht="18.75" customHeight="1" s="904">
      <c r="C423" s="319" t="n"/>
      <c r="D423" s="466" t="inlineStr">
        <is>
          <t>На производство этилбензола (цех №46)</t>
        </is>
      </c>
      <c r="E423" s="15" t="n"/>
      <c r="F423" s="15" t="n"/>
      <c r="G423" s="16" t="n"/>
      <c r="H423" s="17" t="n"/>
      <c r="I423" s="636" t="n"/>
      <c r="J423" s="17" t="n"/>
      <c r="K423" s="449" t="inlineStr">
        <is>
          <t>тыс.т</t>
        </is>
      </c>
    </row>
    <row r="424" ht="18.75" customHeight="1" s="904">
      <c r="C424" s="319" t="n"/>
      <c r="D424" s="466" t="inlineStr">
        <is>
          <t xml:space="preserve">На ЭП-355 </t>
        </is>
      </c>
      <c r="E424" s="15" t="n"/>
      <c r="F424" s="15" t="n"/>
      <c r="G424" s="16" t="n"/>
      <c r="H424" s="17" t="n"/>
      <c r="I424" s="636" t="n"/>
      <c r="J424" s="17" t="n"/>
      <c r="K424" s="449" t="inlineStr">
        <is>
          <t>тыс.т</t>
        </is>
      </c>
    </row>
    <row r="425" ht="19.5" customHeight="1" s="904">
      <c r="C425" s="319" t="n"/>
      <c r="D425" s="444" t="inlineStr">
        <is>
          <t>ПРОПИЛЕН</t>
        </is>
      </c>
      <c r="E425" s="15" t="n"/>
      <c r="F425" s="15" t="inlineStr">
        <is>
          <t>S2</t>
        </is>
      </c>
      <c r="G425" s="16" t="n"/>
      <c r="H425" s="17" t="inlineStr">
        <is>
          <t>{E153:2}-{E425:2}</t>
        </is>
      </c>
      <c r="I425" s="636" t="n"/>
      <c r="J425" s="17" t="n"/>
      <c r="K425" s="445" t="inlineStr">
        <is>
          <t>тыс.т</t>
        </is>
      </c>
    </row>
    <row r="426" ht="18.75" customHeight="1" s="904">
      <c r="C426" s="319" t="n"/>
      <c r="D426" s="446" t="inlineStr">
        <is>
          <t>ООО "ГАЗПРОМ НЕФТЕХИМ САЛАВАТ"</t>
        </is>
      </c>
      <c r="E426" s="15" t="n"/>
      <c r="F426" s="15" t="inlineStr">
        <is>
          <t>S2</t>
        </is>
      </c>
      <c r="G426" s="16" t="n"/>
      <c r="H426" s="17" t="inlineStr">
        <is>
          <t>{E153:2}-{E426:2}</t>
        </is>
      </c>
      <c r="I426" s="636" t="n"/>
      <c r="J426" s="17" t="n"/>
      <c r="K426" s="447" t="inlineStr">
        <is>
          <t>тыс.т</t>
        </is>
      </c>
    </row>
    <row r="427" ht="18.75" customHeight="1" s="904">
      <c r="C427" s="319" t="n"/>
      <c r="D427" s="466" t="inlineStr">
        <is>
          <t>Товар</t>
        </is>
      </c>
      <c r="E427" s="15" t="n"/>
      <c r="F427" s="15" t="inlineStr">
        <is>
          <t>S2</t>
        </is>
      </c>
      <c r="G427" s="16" t="n"/>
      <c r="H427" s="17" t="inlineStr">
        <is>
          <t>{E154:2}-{E427:2}</t>
        </is>
      </c>
      <c r="I427" s="636" t="n"/>
      <c r="J427" s="17" t="n"/>
      <c r="K427" s="449" t="inlineStr">
        <is>
          <t>тыс.т</t>
        </is>
      </c>
    </row>
    <row r="428" ht="18.75" customHeight="1" s="904">
      <c r="C428" s="319" t="n"/>
      <c r="D428" s="466" t="inlineStr">
        <is>
          <t>На ООО "Акрил-Салават"</t>
        </is>
      </c>
      <c r="E428" s="15" t="n"/>
      <c r="F428" s="15" t="inlineStr">
        <is>
          <t>S2</t>
        </is>
      </c>
      <c r="G428" s="16" t="n"/>
      <c r="H428" s="17" t="inlineStr">
        <is>
          <t>{E155:2}-{E428:2}</t>
        </is>
      </c>
      <c r="I428" s="636" t="n"/>
      <c r="J428" s="17" t="n"/>
      <c r="K428" s="449" t="inlineStr">
        <is>
          <t>тыс.т</t>
        </is>
      </c>
    </row>
    <row r="429" ht="18.75" customHeight="1" s="904">
      <c r="C429" s="319" t="n"/>
      <c r="D429" s="466" t="inlineStr">
        <is>
          <t>На производство спиртов (цех №52)</t>
        </is>
      </c>
      <c r="E429" s="15" t="n"/>
      <c r="F429" s="15" t="n"/>
      <c r="G429" s="16" t="n"/>
      <c r="H429" s="17" t="n"/>
      <c r="I429" s="636" t="n"/>
      <c r="J429" s="17" t="n"/>
      <c r="K429" s="449" t="inlineStr">
        <is>
          <t>тыс.т</t>
        </is>
      </c>
    </row>
    <row r="430" ht="18.75" customHeight="1" s="904">
      <c r="C430" s="319" t="n"/>
      <c r="D430" s="466" t="inlineStr">
        <is>
          <t xml:space="preserve">На ЭП-355 </t>
        </is>
      </c>
      <c r="E430" s="15" t="n"/>
      <c r="F430" s="15" t="n"/>
      <c r="G430" s="16" t="n"/>
      <c r="H430" s="17" t="n"/>
      <c r="I430" s="636" t="n"/>
      <c r="J430" s="17" t="n"/>
      <c r="K430" s="449" t="inlineStr">
        <is>
          <t>тыс.т</t>
        </is>
      </c>
    </row>
    <row r="431" ht="19.5" customHeight="1" s="904">
      <c r="C431" s="319" t="n"/>
      <c r="D431" s="444" t="inlineStr">
        <is>
          <t>БУТИЛЕН-БУТАДИЕНОВАЯ ФРАКЦИЯ</t>
        </is>
      </c>
      <c r="E431" s="15" t="n"/>
      <c r="F431" s="15" t="inlineStr">
        <is>
          <t>S2</t>
        </is>
      </c>
      <c r="G431" s="16" t="n"/>
      <c r="H431" s="17" t="inlineStr">
        <is>
          <t>{E157:2}-{E431:2}</t>
        </is>
      </c>
      <c r="I431" s="636" t="n"/>
      <c r="J431" s="17" t="n"/>
      <c r="K431" s="445" t="inlineStr">
        <is>
          <t>тыс.т</t>
        </is>
      </c>
    </row>
    <row r="432" ht="18.75" customHeight="1" s="904">
      <c r="C432" s="319" t="n"/>
      <c r="D432" s="446" t="inlineStr">
        <is>
          <t>ООО "ГАЗПРОМ НЕФТЕХИМ САЛАВАТ"</t>
        </is>
      </c>
      <c r="E432" s="15" t="n"/>
      <c r="F432" s="15" t="inlineStr">
        <is>
          <t>S2</t>
        </is>
      </c>
      <c r="G432" s="16" t="n"/>
      <c r="H432" s="17" t="inlineStr">
        <is>
          <t>{E157:2}-{E432:2}</t>
        </is>
      </c>
      <c r="I432" s="636" t="n"/>
      <c r="J432" s="17" t="n"/>
      <c r="K432" s="447" t="inlineStr">
        <is>
          <t>тыс.т</t>
        </is>
      </c>
    </row>
    <row r="433" ht="19.5" customHeight="1" s="904">
      <c r="C433" s="319" t="n"/>
      <c r="D433" s="444" t="inlineStr">
        <is>
          <t>ПЕНТАН-АМИЛЕНОВАЯ ФРАКЦИЯ</t>
        </is>
      </c>
      <c r="E433" s="15" t="n"/>
      <c r="F433" s="15" t="n"/>
      <c r="G433" s="16" t="n"/>
      <c r="H433" s="17" t="n"/>
      <c r="I433" s="636" t="n"/>
      <c r="J433" s="17" t="n"/>
      <c r="K433" s="445" t="inlineStr">
        <is>
          <t>тыс.т</t>
        </is>
      </c>
    </row>
    <row r="434" ht="18.75" customHeight="1" s="904">
      <c r="C434" s="319" t="n"/>
      <c r="D434" s="446" t="inlineStr">
        <is>
          <t>ООО "ГАЗПРОМ НЕФТЕХИМ САЛАВАТ"</t>
        </is>
      </c>
      <c r="E434" s="15" t="n"/>
      <c r="F434" s="15" t="n"/>
      <c r="G434" s="16" t="n"/>
      <c r="H434" s="17" t="n"/>
      <c r="I434" s="636" t="n"/>
      <c r="J434" s="17" t="n"/>
      <c r="K434" s="447" t="inlineStr">
        <is>
          <t>тыс.т</t>
        </is>
      </c>
    </row>
    <row r="435" ht="18.75" customHeight="1" s="904">
      <c r="C435" s="319" t="n"/>
      <c r="D435" s="466" t="inlineStr">
        <is>
          <t>Товар</t>
        </is>
      </c>
      <c r="E435" s="15" t="n"/>
      <c r="F435" s="15" t="n"/>
      <c r="G435" s="16" t="n"/>
      <c r="H435" s="17" t="n"/>
      <c r="I435" s="636" t="n"/>
      <c r="J435" s="17" t="n"/>
      <c r="K435" s="449" t="inlineStr">
        <is>
          <t>тыс.т</t>
        </is>
      </c>
    </row>
    <row r="436" ht="18.75" customHeight="1" s="904">
      <c r="C436" s="319" t="n"/>
      <c r="D436" s="466" t="inlineStr">
        <is>
          <t xml:space="preserve">На ЭП-355 </t>
        </is>
      </c>
      <c r="E436" s="15" t="n"/>
      <c r="F436" s="15" t="n"/>
      <c r="G436" s="16" t="n"/>
      <c r="H436" s="17" t="n"/>
      <c r="I436" s="636" t="n"/>
      <c r="J436" s="17" t="n"/>
      <c r="K436" s="449" t="inlineStr">
        <is>
          <t>тыс.т</t>
        </is>
      </c>
    </row>
    <row r="437" ht="19.5" customHeight="1" s="904">
      <c r="C437" s="319" t="n"/>
      <c r="D437" s="444" t="inlineStr">
        <is>
          <t>ПИРОКОНДЕНСАТ</t>
        </is>
      </c>
      <c r="E437" s="15" t="n"/>
      <c r="F437" s="15" t="inlineStr">
        <is>
          <t>S2</t>
        </is>
      </c>
      <c r="G437" s="16" t="n"/>
      <c r="H437" s="17" t="inlineStr">
        <is>
          <t>{E160:2}-{E437:2}</t>
        </is>
      </c>
      <c r="I437" s="636" t="n"/>
      <c r="J437" s="17" t="n"/>
      <c r="K437" s="445" t="inlineStr">
        <is>
          <t>тыс.т</t>
        </is>
      </c>
    </row>
    <row r="438" ht="18.75" customHeight="1" s="904">
      <c r="C438" s="319" t="n"/>
      <c r="D438" s="446" t="inlineStr">
        <is>
          <t>ООО "ГАЗПРОМ НЕФТЕХИМ САЛАВАТ"</t>
        </is>
      </c>
      <c r="E438" s="15" t="n"/>
      <c r="F438" s="15" t="inlineStr">
        <is>
          <t>S2</t>
        </is>
      </c>
      <c r="G438" s="16" t="n"/>
      <c r="H438" s="17" t="inlineStr">
        <is>
          <t>{E160:2}-{E438:2}</t>
        </is>
      </c>
      <c r="I438" s="636" t="n"/>
      <c r="J438" s="17" t="n"/>
      <c r="K438" s="447" t="inlineStr">
        <is>
          <t>тыс.т</t>
        </is>
      </c>
    </row>
    <row r="439" ht="18.75" customHeight="1" s="904">
      <c r="C439" s="319" t="n"/>
      <c r="D439" s="466" t="inlineStr">
        <is>
          <t>Товар</t>
        </is>
      </c>
      <c r="E439" s="15" t="n"/>
      <c r="F439" s="15" t="inlineStr">
        <is>
          <t>S2</t>
        </is>
      </c>
      <c r="G439" s="16" t="n"/>
      <c r="H439" s="17" t="inlineStr">
        <is>
          <t>{E161:2}-{E439:2}</t>
        </is>
      </c>
      <c r="I439" s="636" t="n"/>
      <c r="J439" s="17" t="n"/>
      <c r="K439" s="449" t="inlineStr">
        <is>
          <t>тыс.т</t>
        </is>
      </c>
    </row>
    <row r="440" ht="18.75" customHeight="1" s="904">
      <c r="C440" s="319" t="n"/>
      <c r="D440" s="466" t="inlineStr">
        <is>
          <t>На производство бензола (цех №58)</t>
        </is>
      </c>
      <c r="E440" s="15" t="n"/>
      <c r="F440" s="15" t="n"/>
      <c r="G440" s="16" t="n"/>
      <c r="H440" s="17" t="n"/>
      <c r="I440" s="636" t="n"/>
      <c r="J440" s="17" t="n"/>
      <c r="K440" s="449" t="inlineStr">
        <is>
          <t>тыс.т</t>
        </is>
      </c>
    </row>
    <row r="441" ht="19.5" customHeight="1" s="904">
      <c r="C441" s="319" t="n"/>
      <c r="D441" s="444" t="inlineStr">
        <is>
          <t>ТЯЖЕЛАЯ СМОЛА</t>
        </is>
      </c>
      <c r="E441" s="15" t="n"/>
      <c r="F441" s="15" t="inlineStr">
        <is>
          <t>S2</t>
        </is>
      </c>
      <c r="G441" s="16" t="n"/>
      <c r="H441" s="17" t="inlineStr">
        <is>
          <t>{E158:2}-{E441:2}</t>
        </is>
      </c>
      <c r="I441" s="636" t="n"/>
      <c r="J441" s="17" t="n"/>
      <c r="K441" s="445" t="inlineStr">
        <is>
          <t>тыс.т</t>
        </is>
      </c>
    </row>
    <row r="442" ht="18.75" customHeight="1" s="904">
      <c r="C442" s="319" t="n"/>
      <c r="D442" s="446" t="inlineStr">
        <is>
          <t>ООО "ГАЗПРОМ НЕФТЕХИМ САЛАВАТ"</t>
        </is>
      </c>
      <c r="E442" s="15" t="n"/>
      <c r="F442" s="15" t="inlineStr">
        <is>
          <t>S2</t>
        </is>
      </c>
      <c r="G442" s="16" t="n"/>
      <c r="H442" s="17" t="inlineStr">
        <is>
          <t>{E158:2}-{E442:2}</t>
        </is>
      </c>
      <c r="I442" s="636" t="n"/>
      <c r="J442" s="17" t="n"/>
      <c r="K442" s="447" t="inlineStr">
        <is>
          <t>тыс.т</t>
        </is>
      </c>
    </row>
    <row r="443" ht="18.75" customHeight="1" s="904">
      <c r="C443" s="319" t="n"/>
      <c r="D443" s="466" t="inlineStr">
        <is>
          <t>Товар</t>
        </is>
      </c>
      <c r="E443" s="15" t="n"/>
      <c r="F443" s="15" t="inlineStr">
        <is>
          <t>S2</t>
        </is>
      </c>
      <c r="G443" s="16" t="n"/>
      <c r="H443" s="17" t="inlineStr">
        <is>
          <t>{E159:2}-{E443:2}</t>
        </is>
      </c>
      <c r="I443" s="636" t="n"/>
      <c r="J443" s="17" t="n"/>
      <c r="K443" s="449" t="inlineStr">
        <is>
          <t>тыс.т</t>
        </is>
      </c>
    </row>
    <row r="444" ht="18.75" customHeight="1" s="904">
      <c r="C444" s="319" t="n"/>
      <c r="D444" s="466" t="inlineStr">
        <is>
          <t>На НПЗ</t>
        </is>
      </c>
      <c r="E444" s="15" t="n"/>
      <c r="F444" s="15" t="n"/>
      <c r="G444" s="16" t="n"/>
      <c r="H444" s="17" t="n"/>
      <c r="I444" s="636" t="n"/>
      <c r="J444" s="17" t="n"/>
      <c r="K444" s="449" t="inlineStr">
        <is>
          <t>тыс.т</t>
        </is>
      </c>
    </row>
    <row r="445" ht="19.5" customHeight="1" s="904">
      <c r="C445" s="319" t="n"/>
      <c r="D445" s="444" t="inlineStr">
        <is>
          <t>БЕНЗОЛ</t>
        </is>
      </c>
      <c r="E445" s="15" t="n"/>
      <c r="F445" s="15" t="inlineStr">
        <is>
          <t>S2</t>
        </is>
      </c>
      <c r="G445" s="16" t="n"/>
      <c r="H445" s="17" t="inlineStr">
        <is>
          <t>{E162:2}-{E445:2}</t>
        </is>
      </c>
      <c r="I445" s="636" t="n"/>
      <c r="J445" s="17" t="n"/>
      <c r="K445" s="445" t="inlineStr">
        <is>
          <t>тыс.т</t>
        </is>
      </c>
    </row>
    <row r="446" ht="18.75" customHeight="1" s="904">
      <c r="C446" s="319" t="n"/>
      <c r="D446" s="446" t="inlineStr">
        <is>
          <t>ООО "ГАЗПРОМ НЕФТЕХИМ САЛАВАТ"</t>
        </is>
      </c>
      <c r="E446" s="15" t="n"/>
      <c r="F446" s="15" t="inlineStr">
        <is>
          <t>S2</t>
        </is>
      </c>
      <c r="G446" s="16" t="n"/>
      <c r="H446" s="17" t="inlineStr">
        <is>
          <t>{E162:2}-{E446:2}</t>
        </is>
      </c>
      <c r="I446" s="636" t="n"/>
      <c r="J446" s="17" t="n"/>
      <c r="K446" s="447" t="inlineStr">
        <is>
          <t>тыс.т</t>
        </is>
      </c>
    </row>
    <row r="447" ht="18.75" customHeight="1" s="904">
      <c r="C447" s="319" t="n"/>
      <c r="D447" s="466" t="inlineStr">
        <is>
          <t>Товар</t>
        </is>
      </c>
      <c r="E447" s="15" t="n"/>
      <c r="F447" s="15" t="inlineStr">
        <is>
          <t>S2</t>
        </is>
      </c>
      <c r="G447" s="16" t="n"/>
      <c r="H447" s="17" t="inlineStr">
        <is>
          <t>{E163:2}-{E447:2}</t>
        </is>
      </c>
      <c r="I447" s="636" t="n"/>
      <c r="J447" s="17" t="n"/>
      <c r="K447" s="449" t="inlineStr">
        <is>
          <t>тыс.т</t>
        </is>
      </c>
    </row>
    <row r="448" ht="18.75" customHeight="1" s="904">
      <c r="C448" s="319" t="n"/>
      <c r="D448" s="466" t="inlineStr">
        <is>
          <t>На производство этилбензола (цех №46)</t>
        </is>
      </c>
      <c r="E448" s="15" t="n"/>
      <c r="F448" s="15" t="n"/>
      <c r="G448" s="16" t="n"/>
      <c r="H448" s="17" t="n"/>
      <c r="I448" s="636" t="n"/>
      <c r="J448" s="17" t="n"/>
      <c r="K448" s="449" t="inlineStr">
        <is>
          <t>тыс.т</t>
        </is>
      </c>
    </row>
    <row r="449" ht="39" customHeight="1" s="904">
      <c r="C449" s="319" t="n"/>
      <c r="D449" s="444" t="inlineStr">
        <is>
          <t>КУБОВЫЙ ОСТАТОК РЕКТИФИКАЦИИ БЕНЗОЛА (КОРБ)</t>
        </is>
      </c>
      <c r="E449" s="15" t="n"/>
      <c r="F449" s="15" t="inlineStr">
        <is>
          <t>S2</t>
        </is>
      </c>
      <c r="G449" s="16" t="n"/>
      <c r="H449" s="17" t="inlineStr">
        <is>
          <t>{E165:2}-{E449:2}</t>
        </is>
      </c>
      <c r="I449" s="636" t="n"/>
      <c r="J449" s="17" t="n"/>
      <c r="K449" s="445" t="inlineStr">
        <is>
          <t>тыс.т</t>
        </is>
      </c>
    </row>
    <row r="450" ht="18.75" customHeight="1" s="904">
      <c r="C450" s="319" t="n"/>
      <c r="D450" s="446" t="inlineStr">
        <is>
          <t>ООО "ГАЗПРОМ НЕФТЕХИМ САЛАВАТ"</t>
        </is>
      </c>
      <c r="E450" s="15" t="n"/>
      <c r="F450" s="15" t="inlineStr">
        <is>
          <t>S2</t>
        </is>
      </c>
      <c r="G450" s="16" t="n"/>
      <c r="H450" s="17" t="inlineStr">
        <is>
          <t>{E165:2}-{E450:2}</t>
        </is>
      </c>
      <c r="I450" s="636" t="n"/>
      <c r="J450" s="17" t="n"/>
      <c r="K450" s="447" t="inlineStr">
        <is>
          <t>тыс.т</t>
        </is>
      </c>
    </row>
    <row r="451" ht="19.5" customHeight="1" s="904">
      <c r="C451" s="319" t="n"/>
      <c r="D451" s="444" t="inlineStr">
        <is>
          <t>ЭТИЛБЕНЗОЛ</t>
        </is>
      </c>
      <c r="E451" s="15" t="n"/>
      <c r="F451" s="15" t="inlineStr">
        <is>
          <t>S2</t>
        </is>
      </c>
      <c r="G451" s="16" t="n"/>
      <c r="H451" s="17" t="inlineStr">
        <is>
          <t>{E170:2}-{E451:2}</t>
        </is>
      </c>
      <c r="I451" s="636" t="n"/>
      <c r="J451" s="17" t="n"/>
      <c r="K451" s="445" t="inlineStr">
        <is>
          <t>тыс.т</t>
        </is>
      </c>
    </row>
    <row r="452" ht="18.75" customHeight="1" s="904">
      <c r="C452" s="319" t="n"/>
      <c r="D452" s="446" t="inlineStr">
        <is>
          <t>ООО "ГАЗПРОМ НЕФТЕХИМ САЛАВАТ"</t>
        </is>
      </c>
      <c r="E452" s="15" t="n"/>
      <c r="F452" s="15" t="inlineStr">
        <is>
          <t>S2</t>
        </is>
      </c>
      <c r="G452" s="16" t="n"/>
      <c r="H452" s="17" t="inlineStr">
        <is>
          <t>{E170:2}-{E452:2}</t>
        </is>
      </c>
      <c r="I452" s="636" t="n"/>
      <c r="J452" s="17" t="n"/>
      <c r="K452" s="447" t="inlineStr">
        <is>
          <t>тыс.т</t>
        </is>
      </c>
    </row>
    <row r="453" ht="18.75" customHeight="1" s="904">
      <c r="C453" s="319" t="n"/>
      <c r="D453" s="466" t="inlineStr">
        <is>
          <t>Товар</t>
        </is>
      </c>
      <c r="E453" s="15" t="n"/>
      <c r="F453" s="15" t="inlineStr">
        <is>
          <t>S2</t>
        </is>
      </c>
      <c r="G453" s="16" t="n"/>
      <c r="H453" s="17" t="inlineStr">
        <is>
          <t>{E171:2}-{E453:2}</t>
        </is>
      </c>
      <c r="I453" s="636" t="n"/>
      <c r="J453" s="17" t="n"/>
      <c r="K453" s="449" t="inlineStr">
        <is>
          <t>тыс.т</t>
        </is>
      </c>
    </row>
    <row r="454" ht="18.75" customHeight="1" s="904">
      <c r="C454" s="319" t="n"/>
      <c r="D454" s="466" t="inlineStr">
        <is>
          <t>На производство стирола (цех №46)</t>
        </is>
      </c>
      <c r="E454" s="15" t="n"/>
      <c r="F454" s="15" t="n"/>
      <c r="G454" s="16" t="n"/>
      <c r="H454" s="17" t="n"/>
      <c r="I454" s="636" t="n"/>
      <c r="J454" s="17" t="n"/>
      <c r="K454" s="449" t="inlineStr">
        <is>
          <t>тыс.т</t>
        </is>
      </c>
    </row>
    <row r="455" ht="19.5" customHeight="1" s="904">
      <c r="C455" s="319" t="n"/>
      <c r="D455" s="444" t="inlineStr">
        <is>
          <t>ДИЭТИЛБЕНЗОЛ</t>
        </is>
      </c>
      <c r="E455" s="15" t="n"/>
      <c r="F455" s="15" t="n"/>
      <c r="G455" s="16" t="n"/>
      <c r="H455" s="17" t="n"/>
      <c r="I455" s="636" t="n"/>
      <c r="J455" s="17" t="n"/>
      <c r="K455" s="445" t="inlineStr">
        <is>
          <t>тыс.т</t>
        </is>
      </c>
    </row>
    <row r="456" ht="18.75" customHeight="1" s="904">
      <c r="C456" s="319" t="n"/>
      <c r="D456" s="446" t="inlineStr">
        <is>
          <t>ООО "ГАЗПРОМ НЕФТЕХИМ САЛАВАТ"</t>
        </is>
      </c>
      <c r="E456" s="15" t="n"/>
      <c r="F456" s="15" t="n"/>
      <c r="G456" s="16" t="n"/>
      <c r="H456" s="17" t="n"/>
      <c r="I456" s="636" t="n"/>
      <c r="J456" s="17" t="n"/>
      <c r="K456" s="447" t="inlineStr">
        <is>
          <t>тыс.т</t>
        </is>
      </c>
    </row>
    <row r="457" ht="18.75" customHeight="1" s="904">
      <c r="C457" s="319" t="n"/>
      <c r="D457" s="466" t="inlineStr">
        <is>
          <t>Товар</t>
        </is>
      </c>
      <c r="E457" s="15" t="n"/>
      <c r="F457" s="15" t="n"/>
      <c r="G457" s="16" t="n"/>
      <c r="H457" s="17" t="n"/>
      <c r="I457" s="636" t="n"/>
      <c r="J457" s="17" t="n"/>
      <c r="K457" s="449" t="n"/>
    </row>
    <row r="458" ht="18.75" customHeight="1" s="904">
      <c r="C458" s="319" t="n"/>
      <c r="D458" s="466" t="inlineStr">
        <is>
          <t>На производство бензола (цех №58)</t>
        </is>
      </c>
      <c r="E458" s="15" t="n"/>
      <c r="F458" s="15" t="n"/>
      <c r="G458" s="16" t="n"/>
      <c r="H458" s="17" t="n"/>
      <c r="I458" s="636" t="n"/>
      <c r="J458" s="17" t="n"/>
      <c r="K458" s="449" t="inlineStr">
        <is>
          <t>тыс.т</t>
        </is>
      </c>
    </row>
    <row r="459" ht="19.5" customHeight="1" s="904">
      <c r="C459" s="319" t="n"/>
      <c r="D459" s="444" t="inlineStr">
        <is>
          <t>СТИРОЛ</t>
        </is>
      </c>
      <c r="E459" s="15" t="n"/>
      <c r="F459" s="15" t="inlineStr">
        <is>
          <t>S2</t>
        </is>
      </c>
      <c r="G459" s="16" t="n"/>
      <c r="H459" s="17" t="inlineStr">
        <is>
          <t>{E166:2}-{E459:2}</t>
        </is>
      </c>
      <c r="I459" s="636" t="n"/>
      <c r="J459" s="17" t="n"/>
      <c r="K459" s="445" t="inlineStr">
        <is>
          <t>тыс.т</t>
        </is>
      </c>
    </row>
    <row r="460" ht="18.75" customHeight="1" s="904">
      <c r="C460" s="319" t="n"/>
      <c r="D460" s="446" t="inlineStr">
        <is>
          <t>ООО "ГАЗПРОМ НЕФТЕХИМ САЛАВАТ"</t>
        </is>
      </c>
      <c r="E460" s="15" t="n"/>
      <c r="F460" s="15" t="inlineStr">
        <is>
          <t>S2</t>
        </is>
      </c>
      <c r="G460" s="16" t="n"/>
      <c r="H460" s="17" t="inlineStr">
        <is>
          <t>{E166:2}-{E460:2}</t>
        </is>
      </c>
      <c r="I460" s="636" t="n"/>
      <c r="J460" s="17" t="n"/>
      <c r="K460" s="447" t="inlineStr">
        <is>
          <t>тыс.т</t>
        </is>
      </c>
    </row>
    <row r="461" ht="18.75" customHeight="1" s="904">
      <c r="C461" s="319" t="n"/>
      <c r="D461" s="466" t="inlineStr">
        <is>
          <t>Товар</t>
        </is>
      </c>
      <c r="E461" s="15" t="n"/>
      <c r="F461" s="15" t="inlineStr">
        <is>
          <t>S2</t>
        </is>
      </c>
      <c r="G461" s="16" t="n"/>
      <c r="H461" s="17" t="inlineStr">
        <is>
          <t>{E167:2}-{E461:2}</t>
        </is>
      </c>
      <c r="I461" s="636" t="n"/>
      <c r="J461" s="17" t="n"/>
      <c r="K461" s="449" t="inlineStr">
        <is>
          <t>тыс.т</t>
        </is>
      </c>
    </row>
    <row r="462" ht="18.75" customHeight="1" s="904">
      <c r="C462" s="319" t="n"/>
      <c r="D462" s="466" t="inlineStr">
        <is>
          <t>На производство полистирола (цех №47)</t>
        </is>
      </c>
      <c r="E462" s="15" t="n"/>
      <c r="F462" s="15" t="n"/>
      <c r="G462" s="16" t="n"/>
      <c r="H462" s="17" t="n"/>
      <c r="I462" s="636" t="n"/>
      <c r="J462" s="17" t="n"/>
      <c r="K462" s="449" t="inlineStr">
        <is>
          <t>тыс.т</t>
        </is>
      </c>
    </row>
    <row r="463" ht="39" customHeight="1" s="904">
      <c r="C463" s="319" t="n"/>
      <c r="D463" s="444" t="inlineStr">
        <is>
          <t>КУБОВЫЙ ОСТАТОК РЕКТИФИКАЦИИ СТИРОЛА (КОРС)</t>
        </is>
      </c>
      <c r="E463" s="15" t="n"/>
      <c r="F463" s="15" t="inlineStr">
        <is>
          <t>S2</t>
        </is>
      </c>
      <c r="G463" s="16" t="n"/>
      <c r="H463" s="17" t="inlineStr">
        <is>
          <t>{E169:2}-{E463:2}</t>
        </is>
      </c>
      <c r="I463" s="636" t="n"/>
      <c r="J463" s="17" t="n"/>
      <c r="K463" s="445" t="inlineStr">
        <is>
          <t>тыс.т</t>
        </is>
      </c>
    </row>
    <row r="464" ht="18.75" customHeight="1" s="904">
      <c r="C464" s="319" t="n"/>
      <c r="D464" s="446" t="inlineStr">
        <is>
          <t>ООО "ГАЗПРОМ НЕФТЕХИМ САЛАВАТ"</t>
        </is>
      </c>
      <c r="E464" s="15" t="n"/>
      <c r="F464" s="15" t="inlineStr">
        <is>
          <t>S2</t>
        </is>
      </c>
      <c r="G464" s="16" t="n"/>
      <c r="H464" s="17" t="inlineStr">
        <is>
          <t>{E169:2}-{E464:2}</t>
        </is>
      </c>
      <c r="I464" s="636" t="n"/>
      <c r="J464" s="17" t="n"/>
      <c r="K464" s="447" t="inlineStr">
        <is>
          <t>тыс.т</t>
        </is>
      </c>
    </row>
    <row r="465" ht="19.5" customHeight="1" s="904">
      <c r="C465" s="319" t="n"/>
      <c r="D465" s="444" t="inlineStr">
        <is>
          <t>ПОЛИСТИРОЛ</t>
        </is>
      </c>
      <c r="E465" s="15" t="n"/>
      <c r="F465" s="15" t="inlineStr">
        <is>
          <t>S2</t>
        </is>
      </c>
      <c r="G465" s="16" t="n"/>
      <c r="H465" s="17" t="inlineStr">
        <is>
          <t>{E176:2}-{E465:2}</t>
        </is>
      </c>
      <c r="I465" s="636" t="n"/>
      <c r="J465" s="17" t="n"/>
      <c r="K465" s="445" t="inlineStr">
        <is>
          <t>тыс.т</t>
        </is>
      </c>
    </row>
    <row r="466" ht="18.75" customHeight="1" s="904">
      <c r="C466" s="319" t="n"/>
      <c r="D466" s="446" t="inlineStr">
        <is>
          <t>ООО "ГАЗПРОМ НЕФТЕХИМ САЛАВАТ"</t>
        </is>
      </c>
      <c r="E466" s="15" t="n"/>
      <c r="F466" s="15" t="inlineStr">
        <is>
          <t>S2</t>
        </is>
      </c>
      <c r="G466" s="16" t="n"/>
      <c r="H466" s="17" t="inlineStr">
        <is>
          <t>{E176:2}-{E466:2}</t>
        </is>
      </c>
      <c r="I466" s="636" t="n"/>
      <c r="J466" s="17" t="n"/>
      <c r="K466" s="447" t="inlineStr">
        <is>
          <t>тыс.т</t>
        </is>
      </c>
    </row>
    <row r="467" ht="18.75" customHeight="1" s="904">
      <c r="C467" s="319" t="n"/>
      <c r="D467" s="466" t="inlineStr">
        <is>
          <t>Товар</t>
        </is>
      </c>
      <c r="E467" s="15" t="n"/>
      <c r="F467" s="15" t="inlineStr">
        <is>
          <t>S2</t>
        </is>
      </c>
      <c r="G467" s="16" t="n"/>
      <c r="H467" s="17" t="inlineStr">
        <is>
          <t>{E177:2}-{E467:2}</t>
        </is>
      </c>
      <c r="I467" s="636" t="n"/>
      <c r="J467" s="17" t="n"/>
      <c r="K467" s="449" t="inlineStr">
        <is>
          <t>тыс.т</t>
        </is>
      </c>
    </row>
    <row r="468" ht="18.75" customHeight="1" s="904">
      <c r="C468" s="319" t="n"/>
      <c r="D468" s="466" t="inlineStr">
        <is>
          <t>Собственное потребление</t>
        </is>
      </c>
      <c r="E468" s="15" t="n"/>
      <c r="F468" s="15" t="n"/>
      <c r="G468" s="16" t="n"/>
      <c r="H468" s="17" t="n"/>
      <c r="I468" s="636" t="n"/>
      <c r="J468" s="17" t="n"/>
      <c r="K468" s="449" t="inlineStr">
        <is>
          <t>тыс.т</t>
        </is>
      </c>
    </row>
    <row r="469" ht="19.5" customHeight="1" s="904">
      <c r="C469" s="319" t="n"/>
      <c r="D469" s="444" t="inlineStr">
        <is>
          <t>ПОЛИЭТИЛЕН НИЗКОГО ДАВЛЕНИЯ (ПНД)</t>
        </is>
      </c>
      <c r="E469" s="15" t="n"/>
      <c r="F469" s="15" t="inlineStr">
        <is>
          <t>S2</t>
        </is>
      </c>
      <c r="G469" s="16" t="n"/>
      <c r="H469" s="17" t="inlineStr">
        <is>
          <t>{E174:2}-{E469:2}</t>
        </is>
      </c>
      <c r="I469" s="636" t="n"/>
      <c r="J469" s="17" t="n"/>
      <c r="K469" s="445" t="inlineStr">
        <is>
          <t>тыс.т</t>
        </is>
      </c>
    </row>
    <row r="470" ht="18.75" customHeight="1" s="904">
      <c r="C470" s="319" t="n"/>
      <c r="D470" s="446" t="inlineStr">
        <is>
          <t>ООО "ГАЗПРОМ НЕФТЕХИМ САЛАВАТ"</t>
        </is>
      </c>
      <c r="E470" s="15" t="n"/>
      <c r="F470" s="15" t="inlineStr">
        <is>
          <t>S2</t>
        </is>
      </c>
      <c r="G470" s="16" t="n"/>
      <c r="H470" s="17" t="inlineStr">
        <is>
          <t>{E174:2}-{E470:2}</t>
        </is>
      </c>
      <c r="I470" s="636" t="n"/>
      <c r="J470" s="17" t="n"/>
      <c r="K470" s="447" t="inlineStr">
        <is>
          <t>тыс.т</t>
        </is>
      </c>
    </row>
    <row r="471" ht="18.75" customHeight="1" s="904">
      <c r="C471" s="319" t="n"/>
      <c r="D471" s="466" t="inlineStr">
        <is>
          <t>Товар</t>
        </is>
      </c>
      <c r="E471" s="15" t="n"/>
      <c r="F471" s="15" t="inlineStr">
        <is>
          <t>S2</t>
        </is>
      </c>
      <c r="G471" s="16" t="n"/>
      <c r="H471" s="17" t="inlineStr">
        <is>
          <t>{E175:2}-{E471:2}</t>
        </is>
      </c>
      <c r="I471" s="636" t="n"/>
      <c r="J471" s="17" t="n"/>
      <c r="K471" s="449" t="inlineStr">
        <is>
          <t>тыс.т</t>
        </is>
      </c>
    </row>
    <row r="472" ht="18.75" customHeight="1" s="904">
      <c r="C472" s="319" t="n"/>
      <c r="D472" s="466" t="inlineStr">
        <is>
          <t>Собственное потребление</t>
        </is>
      </c>
      <c r="E472" s="15" t="n"/>
      <c r="F472" s="15" t="n"/>
      <c r="G472" s="16" t="n"/>
      <c r="H472" s="17" t="n"/>
      <c r="I472" s="636" t="n"/>
      <c r="J472" s="17" t="n"/>
      <c r="K472" s="449" t="inlineStr">
        <is>
          <t>тыс.т</t>
        </is>
      </c>
    </row>
    <row r="473" ht="19.5" customHeight="1" s="904">
      <c r="C473" s="319" t="n"/>
      <c r="D473" s="444" t="inlineStr">
        <is>
          <t>ВОСК ПОЛИЭТИЛЕНОВЫЙ</t>
        </is>
      </c>
      <c r="E473" s="15" t="n"/>
      <c r="F473" s="15" t="n"/>
      <c r="G473" s="16" t="n"/>
      <c r="H473" s="17" t="n"/>
      <c r="I473" s="636" t="n"/>
      <c r="J473" s="17" t="n"/>
      <c r="K473" s="445" t="inlineStr">
        <is>
          <t>тыс.т</t>
        </is>
      </c>
    </row>
    <row r="474" ht="18.75" customHeight="1" s="904">
      <c r="C474" s="319" t="n"/>
      <c r="D474" s="469" t="inlineStr">
        <is>
          <t>ООО "ГАЗПРОМ НЕФТЕХИМ САЛАВАТ"</t>
        </is>
      </c>
      <c r="E474" s="15" t="n"/>
      <c r="F474" s="15" t="n"/>
      <c r="G474" s="16" t="n"/>
      <c r="H474" s="17" t="n"/>
      <c r="I474" s="636" t="n"/>
      <c r="J474" s="17" t="n"/>
      <c r="K474" s="447" t="inlineStr">
        <is>
          <t>тыс.т</t>
        </is>
      </c>
    </row>
    <row r="475" ht="19.5" customHeight="1" s="904">
      <c r="C475" s="319" t="n"/>
      <c r="D475" s="444" t="inlineStr">
        <is>
          <t>ПОБОЧНЫЙ ПРОДУКТ ПНД</t>
        </is>
      </c>
      <c r="E475" s="15" t="n"/>
      <c r="F475" s="15" t="n"/>
      <c r="G475" s="16" t="n"/>
      <c r="H475" s="17" t="n"/>
      <c r="I475" s="636" t="n"/>
      <c r="J475" s="17" t="n"/>
      <c r="K475" s="445" t="inlineStr">
        <is>
          <t>тыс.т</t>
        </is>
      </c>
    </row>
    <row r="476" ht="18.75" customHeight="1" s="904">
      <c r="C476" s="319" t="n"/>
      <c r="D476" s="446" t="inlineStr">
        <is>
          <t>ООО "ГАЗПРОМ НЕФТЕХИМ САЛАВАТ"</t>
        </is>
      </c>
      <c r="E476" s="15" t="n"/>
      <c r="F476" s="15" t="n"/>
      <c r="G476" s="16" t="n"/>
      <c r="H476" s="17" t="n"/>
      <c r="I476" s="636" t="n"/>
      <c r="J476" s="17" t="n"/>
      <c r="K476" s="447" t="inlineStr">
        <is>
          <t>тыс.т</t>
        </is>
      </c>
    </row>
    <row r="477" ht="19.5" customHeight="1" s="904">
      <c r="C477" s="319" t="n"/>
      <c r="D477" s="444" t="inlineStr">
        <is>
          <t>ПОЛИЭТИЛЕН ВЫСОКОГО ДАВЛЕНИЯ (ПВД)</t>
        </is>
      </c>
      <c r="E477" s="15" t="n"/>
      <c r="F477" s="15" t="inlineStr">
        <is>
          <t>S2</t>
        </is>
      </c>
      <c r="G477" s="16" t="n"/>
      <c r="H477" s="17" t="inlineStr">
        <is>
          <t>{E172:2}-{E477:2}</t>
        </is>
      </c>
      <c r="I477" s="636" t="n"/>
      <c r="J477" s="17" t="n"/>
      <c r="K477" s="445" t="inlineStr">
        <is>
          <t>тыс.т</t>
        </is>
      </c>
    </row>
    <row r="478" ht="18.75" customHeight="1" s="904">
      <c r="C478" s="319" t="n"/>
      <c r="D478" s="446" t="inlineStr">
        <is>
          <t>ООО "ГАЗПРОМ НЕФТЕХИМ САЛАВАТ"</t>
        </is>
      </c>
      <c r="E478" s="15" t="n"/>
      <c r="F478" s="15" t="inlineStr">
        <is>
          <t>S2</t>
        </is>
      </c>
      <c r="G478" s="16" t="n"/>
      <c r="H478" s="17" t="inlineStr">
        <is>
          <t>{E172:2}-{E478:2}</t>
        </is>
      </c>
      <c r="I478" s="636" t="n"/>
      <c r="J478" s="17" t="n"/>
      <c r="K478" s="447" t="inlineStr">
        <is>
          <t>тыс.т</t>
        </is>
      </c>
    </row>
    <row r="479" ht="18.75" customHeight="1" s="904">
      <c r="C479" s="319" t="n"/>
      <c r="D479" s="466" t="inlineStr">
        <is>
          <t>Товар</t>
        </is>
      </c>
      <c r="E479" s="15" t="n"/>
      <c r="F479" s="15" t="inlineStr">
        <is>
          <t>S2</t>
        </is>
      </c>
      <c r="G479" s="16" t="n"/>
      <c r="H479" s="17" t="inlineStr">
        <is>
          <t>{E173:2}-{E479:2}</t>
        </is>
      </c>
      <c r="I479" s="636" t="n"/>
      <c r="J479" s="17" t="n"/>
      <c r="K479" s="449" t="inlineStr">
        <is>
          <t>тыс.т</t>
        </is>
      </c>
    </row>
    <row r="480" ht="18.75" customHeight="1" s="904">
      <c r="C480" s="319" t="n"/>
      <c r="D480" s="466" t="inlineStr">
        <is>
          <t>Собственное потребление</t>
        </is>
      </c>
      <c r="E480" s="15" t="n"/>
      <c r="F480" s="15" t="n"/>
      <c r="G480" s="16" t="n"/>
      <c r="H480" s="17" t="n"/>
      <c r="I480" s="636" t="n"/>
      <c r="J480" s="17" t="n"/>
      <c r="K480" s="449" t="inlineStr">
        <is>
          <t>тыс.т</t>
        </is>
      </c>
    </row>
    <row r="481" ht="19.5" customHeight="1" s="904">
      <c r="C481" s="319" t="n"/>
      <c r="D481" s="444" t="inlineStr">
        <is>
          <t>ПОЛИЭТИЛЕН ВТОРИЧНОЕ СЫРЬЕ (ПВС)</t>
        </is>
      </c>
      <c r="E481" s="15" t="n"/>
      <c r="F481" s="15" t="n"/>
      <c r="G481" s="16" t="n"/>
      <c r="H481" s="17" t="n"/>
      <c r="I481" s="636" t="n"/>
      <c r="J481" s="17" t="n"/>
      <c r="K481" s="445" t="inlineStr">
        <is>
          <t>тыс.т</t>
        </is>
      </c>
    </row>
    <row r="482" ht="18.75" customHeight="1" s="904">
      <c r="C482" s="319" t="n"/>
      <c r="D482" s="446" t="inlineStr">
        <is>
          <t>ООО "ГАЗПРОМ НЕФТЕХИМ САЛАВАТ"</t>
        </is>
      </c>
      <c r="E482" s="15" t="n"/>
      <c r="F482" s="15" t="n"/>
      <c r="G482" s="16" t="n"/>
      <c r="H482" s="17" t="n"/>
      <c r="I482" s="636" t="n"/>
      <c r="J482" s="17" t="n"/>
      <c r="K482" s="447" t="inlineStr">
        <is>
          <t>тыс.т</t>
        </is>
      </c>
    </row>
    <row r="483" ht="19.5" customHeight="1" s="904">
      <c r="C483" s="319" t="n"/>
      <c r="D483" s="444" t="inlineStr">
        <is>
          <t>НИЗКОМОЛЕКУЛЯРНЫЙ ПОЛИЭТИЛЕН</t>
        </is>
      </c>
      <c r="E483" s="15" t="n"/>
      <c r="F483" s="15" t="n"/>
      <c r="G483" s="16" t="n"/>
      <c r="H483" s="17" t="n"/>
      <c r="I483" s="636" t="n"/>
      <c r="J483" s="17" t="n"/>
      <c r="K483" s="445" t="inlineStr">
        <is>
          <t>тыс.т</t>
        </is>
      </c>
    </row>
    <row r="484" ht="18.75" customHeight="1" s="904">
      <c r="C484" s="319" t="n"/>
      <c r="D484" s="446" t="inlineStr">
        <is>
          <t>ООО "ГАЗПРОМ НЕФТЕХИМ САЛАВАТ"</t>
        </is>
      </c>
      <c r="E484" s="15" t="n"/>
      <c r="F484" s="15" t="n"/>
      <c r="G484" s="16" t="n"/>
      <c r="H484" s="17" t="n"/>
      <c r="I484" s="636" t="n"/>
      <c r="J484" s="17" t="n"/>
      <c r="K484" s="447" t="inlineStr">
        <is>
          <t>тыс.т</t>
        </is>
      </c>
    </row>
    <row r="485" ht="19.5" customHeight="1" s="904">
      <c r="C485" s="319" t="n"/>
      <c r="D485" s="444" t="inlineStr">
        <is>
          <t>ИЗОБУТИЛОВЫЙ СПИРТ</t>
        </is>
      </c>
      <c r="E485" s="15" t="n"/>
      <c r="F485" s="15" t="inlineStr">
        <is>
          <t>S2</t>
        </is>
      </c>
      <c r="G485" s="16" t="n"/>
      <c r="H485" s="17" t="inlineStr">
        <is>
          <t>{E182:2}-{E485:2}</t>
        </is>
      </c>
      <c r="I485" s="636" t="n"/>
      <c r="J485" s="17" t="n"/>
      <c r="K485" s="445" t="inlineStr">
        <is>
          <t>тыс.т</t>
        </is>
      </c>
    </row>
    <row r="486" ht="18.75" customHeight="1" s="904">
      <c r="C486" s="319" t="n"/>
      <c r="D486" s="446" t="inlineStr">
        <is>
          <t>ООО "ГАЗПРОМ НЕФТЕХИМ САЛАВАТ"</t>
        </is>
      </c>
      <c r="E486" s="15" t="n"/>
      <c r="F486" s="15" t="inlineStr">
        <is>
          <t>S2</t>
        </is>
      </c>
      <c r="G486" s="16" t="n"/>
      <c r="H486" s="17" t="inlineStr">
        <is>
          <t>{E182:2}-{E486:2}</t>
        </is>
      </c>
      <c r="I486" s="636" t="n"/>
      <c r="J486" s="17" t="n"/>
      <c r="K486" s="447" t="inlineStr">
        <is>
          <t>тыс.т</t>
        </is>
      </c>
    </row>
    <row r="487" ht="18.75" customHeight="1" s="904">
      <c r="C487" s="319" t="n"/>
      <c r="D487" s="466" t="inlineStr">
        <is>
          <t>Товар</t>
        </is>
      </c>
      <c r="E487" s="15" t="n"/>
      <c r="F487" s="15" t="inlineStr">
        <is>
          <t>S2</t>
        </is>
      </c>
      <c r="G487" s="16" t="n"/>
      <c r="H487" s="17" t="inlineStr">
        <is>
          <t>{E183:2}-{E487:2}</t>
        </is>
      </c>
      <c r="I487" s="636" t="n"/>
      <c r="J487" s="17" t="n"/>
      <c r="K487" s="449" t="inlineStr">
        <is>
          <t>тыс.т</t>
        </is>
      </c>
    </row>
    <row r="488" ht="18.75" customHeight="1" s="904">
      <c r="C488" s="319" t="n"/>
      <c r="D488" s="466" t="inlineStr">
        <is>
          <t>На НПЗ</t>
        </is>
      </c>
      <c r="E488" s="15" t="n"/>
      <c r="F488" s="15" t="inlineStr">
        <is>
          <t>S2</t>
        </is>
      </c>
      <c r="G488" s="16" t="n"/>
      <c r="H488" s="17" t="inlineStr">
        <is>
          <t>{E184:2}-{E488:2}</t>
        </is>
      </c>
      <c r="I488" s="636" t="n"/>
      <c r="J488" s="17" t="n"/>
      <c r="K488" s="449" t="inlineStr">
        <is>
          <t>тыс.т</t>
        </is>
      </c>
    </row>
    <row r="489" ht="18.75" customHeight="1" s="904">
      <c r="C489" s="319" t="n"/>
      <c r="D489" s="466" t="inlineStr">
        <is>
          <t>На производство изобутилацетата (ДХЗ)</t>
        </is>
      </c>
      <c r="E489" s="15" t="n"/>
      <c r="F489" s="15" t="n"/>
      <c r="G489" s="16" t="n"/>
      <c r="H489" s="17" t="n"/>
      <c r="I489" s="636" t="n"/>
      <c r="J489" s="17" t="n"/>
      <c r="K489" s="449" t="n"/>
    </row>
    <row r="490" ht="19.5" customHeight="1" s="904">
      <c r="C490" s="319" t="n"/>
      <c r="D490" s="444" t="inlineStr">
        <is>
          <t>НОРМАЛЬНЫЙ БУТИЛОВЫЙ СПИРТ</t>
        </is>
      </c>
      <c r="E490" s="15" t="n"/>
      <c r="F490" s="15" t="inlineStr">
        <is>
          <t>S2</t>
        </is>
      </c>
      <c r="G490" s="16" t="n"/>
      <c r="H490" s="17" t="inlineStr">
        <is>
          <t>{E178:2}-{E490:2}</t>
        </is>
      </c>
      <c r="I490" s="636" t="n"/>
      <c r="J490" s="17" t="n"/>
      <c r="K490" s="445" t="inlineStr">
        <is>
          <t>тыс.т</t>
        </is>
      </c>
    </row>
    <row r="491" ht="18.75" customHeight="1" s="904">
      <c r="C491" s="319" t="n"/>
      <c r="D491" s="446" t="inlineStr">
        <is>
          <t>ООО "ГАЗПРОМ НЕФТЕХИМ САЛАВАТ"</t>
        </is>
      </c>
      <c r="E491" s="15" t="n"/>
      <c r="F491" s="15" t="inlineStr">
        <is>
          <t>S2</t>
        </is>
      </c>
      <c r="G491" s="16" t="n"/>
      <c r="H491" s="17" t="inlineStr">
        <is>
          <t>{E178:2}-{E491:2}</t>
        </is>
      </c>
      <c r="I491" s="636" t="n"/>
      <c r="J491" s="17" t="n"/>
      <c r="K491" s="447" t="inlineStr">
        <is>
          <t>тыс.т</t>
        </is>
      </c>
    </row>
    <row r="492" ht="18.75" customHeight="1" s="904">
      <c r="C492" s="319" t="n"/>
      <c r="D492" s="466" t="inlineStr">
        <is>
          <t>Товар</t>
        </is>
      </c>
      <c r="E492" s="15" t="n"/>
      <c r="F492" s="15" t="inlineStr">
        <is>
          <t>S2</t>
        </is>
      </c>
      <c r="G492" s="16" t="n"/>
      <c r="H492" s="17" t="inlineStr">
        <is>
          <t>{E179:2}-{E492:2}</t>
        </is>
      </c>
      <c r="I492" s="636" t="n"/>
      <c r="J492" s="17" t="n"/>
      <c r="K492" s="449" t="inlineStr">
        <is>
          <t>тыс.т</t>
        </is>
      </c>
    </row>
    <row r="493" ht="18.75" customHeight="1" s="904">
      <c r="C493" s="319" t="n"/>
      <c r="D493" s="470" t="inlineStr">
        <is>
          <t>На НПЗ</t>
        </is>
      </c>
      <c r="E493" s="15" t="n"/>
      <c r="F493" s="15" t="n"/>
      <c r="G493" s="16" t="n"/>
      <c r="H493" s="17" t="n"/>
      <c r="I493" s="636" t="n"/>
      <c r="J493" s="17" t="n"/>
      <c r="K493" s="449" t="n"/>
    </row>
    <row r="494" ht="18.75" customHeight="1" s="904">
      <c r="C494" s="319" t="n"/>
      <c r="D494" s="466" t="inlineStr">
        <is>
          <t>На ООО "Акрил-Салават"</t>
        </is>
      </c>
      <c r="E494" s="15" t="n"/>
      <c r="F494" s="15" t="inlineStr">
        <is>
          <t>S2</t>
        </is>
      </c>
      <c r="G494" s="16" t="n"/>
      <c r="H494" s="17" t="inlineStr">
        <is>
          <t>{E180:2}-{E494:2}</t>
        </is>
      </c>
      <c r="I494" s="636" t="n"/>
      <c r="J494" s="17" t="n"/>
      <c r="K494" s="449" t="inlineStr">
        <is>
          <t>тыс.т</t>
        </is>
      </c>
    </row>
    <row r="495" ht="18.75" customHeight="1" s="904">
      <c r="C495" s="319" t="n"/>
      <c r="D495" s="466" t="inlineStr">
        <is>
          <t>На производство бутилацетата (ДХЗ)</t>
        </is>
      </c>
      <c r="E495" s="15" t="n"/>
      <c r="F495" s="15" t="inlineStr">
        <is>
          <t>S2</t>
        </is>
      </c>
      <c r="G495" s="16" t="n"/>
      <c r="H495" s="17" t="inlineStr">
        <is>
          <t>{E181:2}-{E495:2}</t>
        </is>
      </c>
      <c r="I495" s="636" t="n"/>
      <c r="J495" s="17" t="n"/>
      <c r="K495" s="449" t="inlineStr">
        <is>
          <t>тыс.т</t>
        </is>
      </c>
    </row>
    <row r="496" ht="19.5" customHeight="1" s="904">
      <c r="C496" s="319" t="n"/>
      <c r="D496" s="444" t="inlineStr">
        <is>
          <t>ЛЕГКАЯ ФРАКЦИЯ БУТИЛОВЫХ СПИРТОВ</t>
        </is>
      </c>
      <c r="E496" s="15" t="n"/>
      <c r="F496" s="15" t="n"/>
      <c r="G496" s="16" t="n"/>
      <c r="H496" s="17" t="n"/>
      <c r="I496" s="636" t="n"/>
      <c r="J496" s="17" t="n"/>
      <c r="K496" s="445" t="inlineStr">
        <is>
          <t>тыс.т</t>
        </is>
      </c>
    </row>
    <row r="497" ht="18.75" customHeight="1" s="904">
      <c r="C497" s="319" t="n"/>
      <c r="D497" s="446" t="inlineStr">
        <is>
          <t>ООО "ГАЗПРОМ НЕФТЕХИМ САЛАВАТ"</t>
        </is>
      </c>
      <c r="E497" s="15" t="n"/>
      <c r="F497" s="15" t="n"/>
      <c r="G497" s="16" t="n"/>
      <c r="H497" s="17" t="n"/>
      <c r="I497" s="636" t="n"/>
      <c r="J497" s="17" t="n"/>
      <c r="K497" s="447" t="inlineStr">
        <is>
          <t>тыс.т</t>
        </is>
      </c>
    </row>
    <row r="498" ht="19.5" customHeight="1" s="904">
      <c r="C498" s="319" t="n"/>
      <c r="D498" s="444" t="inlineStr">
        <is>
          <t>КУБОВЫЙ ОСТАТОК БУТИЛОВЫХ СПИРТОВ (КОБС)</t>
        </is>
      </c>
      <c r="E498" s="15" t="n"/>
      <c r="F498" s="15" t="inlineStr">
        <is>
          <t>S2</t>
        </is>
      </c>
      <c r="G498" s="16" t="n"/>
      <c r="H498" s="17" t="inlineStr">
        <is>
          <t>{E186:2}-{E498:2}</t>
        </is>
      </c>
      <c r="I498" s="636" t="n"/>
      <c r="J498" s="17" t="n"/>
      <c r="K498" s="445" t="inlineStr">
        <is>
          <t>тыс.т</t>
        </is>
      </c>
    </row>
    <row r="499" ht="18.75" customHeight="1" s="904">
      <c r="C499" s="319" t="n"/>
      <c r="D499" s="446" t="inlineStr">
        <is>
          <t>ООО "ГАЗПРОМ НЕФТЕХИМ САЛАВАТ"</t>
        </is>
      </c>
      <c r="E499" s="15" t="n"/>
      <c r="F499" s="15" t="inlineStr">
        <is>
          <t>S2</t>
        </is>
      </c>
      <c r="G499" s="16" t="n"/>
      <c r="H499" s="17" t="inlineStr">
        <is>
          <t>{E186:2}-{E499:2}</t>
        </is>
      </c>
      <c r="I499" s="636" t="n"/>
      <c r="J499" s="17" t="n"/>
      <c r="K499" s="447" t="inlineStr">
        <is>
          <t>тыс.т</t>
        </is>
      </c>
    </row>
    <row r="500" ht="18.75" customHeight="1" s="904">
      <c r="C500" s="319" t="n"/>
      <c r="D500" s="466" t="inlineStr">
        <is>
          <t>Товар</t>
        </is>
      </c>
      <c r="E500" s="15" t="n"/>
      <c r="F500" s="15" t="inlineStr">
        <is>
          <t>S2</t>
        </is>
      </c>
      <c r="G500" s="16" t="n"/>
      <c r="H500" s="17" t="inlineStr">
        <is>
          <t>{E187:2}-{E500:2}</t>
        </is>
      </c>
      <c r="I500" s="636" t="n"/>
      <c r="J500" s="17" t="n"/>
      <c r="K500" s="449" t="inlineStr">
        <is>
          <t>тыс.т</t>
        </is>
      </c>
    </row>
    <row r="501" ht="18.75" customHeight="1" s="904">
      <c r="C501" s="319" t="n"/>
      <c r="D501" s="466" t="inlineStr">
        <is>
          <t>На НПЗ</t>
        </is>
      </c>
      <c r="E501" s="15" t="n"/>
      <c r="F501" s="15" t="inlineStr">
        <is>
          <t>S2</t>
        </is>
      </c>
      <c r="G501" s="16" t="n"/>
      <c r="H501" s="17" t="inlineStr">
        <is>
          <t>{E188:2}-{E501:2}</t>
        </is>
      </c>
      <c r="I501" s="636" t="n"/>
      <c r="J501" s="17" t="n"/>
      <c r="K501" s="449" t="inlineStr">
        <is>
          <t>тыс.т</t>
        </is>
      </c>
    </row>
    <row r="502" ht="19.5" customHeight="1" s="904">
      <c r="C502" s="319" t="n"/>
      <c r="D502" s="444" t="inlineStr">
        <is>
          <t>НОРМАЛЬНЫЙ МАСЛЯНЫЙ АЛЬДЕГИД</t>
        </is>
      </c>
      <c r="E502" s="15" t="n"/>
      <c r="F502" s="15" t="n"/>
      <c r="G502" s="16" t="n"/>
      <c r="H502" s="17" t="n"/>
      <c r="I502" s="636" t="n"/>
      <c r="J502" s="17" t="n"/>
      <c r="K502" s="445" t="inlineStr">
        <is>
          <t>тыс.т</t>
        </is>
      </c>
    </row>
    <row r="503" ht="18.75" customHeight="1" s="904">
      <c r="C503" s="319" t="n"/>
      <c r="D503" s="446" t="inlineStr">
        <is>
          <t>ООО "ГАЗПРОМ НЕФТЕХИМ САЛАВАТ"</t>
        </is>
      </c>
      <c r="E503" s="15" t="n"/>
      <c r="F503" s="15" t="n"/>
      <c r="G503" s="16" t="n"/>
      <c r="H503" s="17" t="n"/>
      <c r="I503" s="636" t="n"/>
      <c r="J503" s="17" t="n"/>
      <c r="K503" s="447" t="inlineStr">
        <is>
          <t>тыс.т</t>
        </is>
      </c>
    </row>
    <row r="504" ht="18.75" customHeight="1" s="904">
      <c r="C504" s="319" t="n"/>
      <c r="D504" s="466" t="inlineStr">
        <is>
          <t>На производство дваэтилгексанола (цех №34)</t>
        </is>
      </c>
      <c r="E504" s="15" t="n"/>
      <c r="F504" s="15" t="n"/>
      <c r="G504" s="16" t="n"/>
      <c r="H504" s="17" t="n"/>
      <c r="I504" s="636" t="n"/>
      <c r="J504" s="17" t="n"/>
      <c r="K504" s="449" t="inlineStr">
        <is>
          <t>тыс.т</t>
        </is>
      </c>
    </row>
    <row r="505" ht="19.5" customHeight="1" s="904">
      <c r="C505" s="319" t="n"/>
      <c r="D505" s="444" t="inlineStr">
        <is>
          <t>ДВАЭТИЛГЕКСАНОЛ</t>
        </is>
      </c>
      <c r="E505" s="15" t="n"/>
      <c r="F505" s="15" t="inlineStr">
        <is>
          <t>S2</t>
        </is>
      </c>
      <c r="G505" s="16" t="n"/>
      <c r="H505" s="17" t="inlineStr">
        <is>
          <t>{E196:2}-{E505:2}</t>
        </is>
      </c>
      <c r="I505" s="636" t="n"/>
      <c r="J505" s="17" t="n"/>
      <c r="K505" s="445" t="inlineStr">
        <is>
          <t>тыс.т</t>
        </is>
      </c>
    </row>
    <row r="506" ht="18.75" customHeight="1" s="904">
      <c r="C506" s="319" t="n"/>
      <c r="D506" s="446" t="inlineStr">
        <is>
          <t>ООО "ГАЗПРОМ НЕФТЕХИМ САЛАВАТ"</t>
        </is>
      </c>
      <c r="E506" s="15" t="n"/>
      <c r="F506" s="15" t="inlineStr">
        <is>
          <t>S2</t>
        </is>
      </c>
      <c r="G506" s="16" t="n"/>
      <c r="H506" s="17" t="inlineStr">
        <is>
          <t>{E196:2}-{E506:2}</t>
        </is>
      </c>
      <c r="I506" s="636" t="n"/>
      <c r="J506" s="17" t="n"/>
      <c r="K506" s="447" t="inlineStr">
        <is>
          <t>тыс.т</t>
        </is>
      </c>
    </row>
    <row r="507" ht="18.75" customHeight="1" s="904">
      <c r="C507" s="319" t="n"/>
      <c r="D507" s="466" t="inlineStr">
        <is>
          <t>Товар</t>
        </is>
      </c>
      <c r="E507" s="15" t="n"/>
      <c r="F507" s="15" t="inlineStr">
        <is>
          <t>S2</t>
        </is>
      </c>
      <c r="G507" s="16" t="n"/>
      <c r="H507" s="17" t="inlineStr">
        <is>
          <t>{E197:2}-{E507:2}</t>
        </is>
      </c>
      <c r="I507" s="636" t="n"/>
      <c r="J507" s="17" t="n"/>
      <c r="K507" s="449" t="inlineStr">
        <is>
          <t>тыс.т</t>
        </is>
      </c>
    </row>
    <row r="508" ht="18.75" customHeight="1" s="904">
      <c r="C508" s="319" t="n"/>
      <c r="D508" s="466" t="inlineStr">
        <is>
          <t>На производство пластификаторов (цех №48)</t>
        </is>
      </c>
      <c r="E508" s="15" t="n"/>
      <c r="F508" s="15" t="n"/>
      <c r="G508" s="16" t="n"/>
      <c r="H508" s="17" t="n"/>
      <c r="I508" s="636" t="n"/>
      <c r="J508" s="17" t="n"/>
      <c r="K508" s="449" t="inlineStr">
        <is>
          <t>тыс.т</t>
        </is>
      </c>
    </row>
    <row r="509" ht="39" customHeight="1" s="904">
      <c r="C509" s="319" t="n"/>
      <c r="D509" s="444" t="inlineStr">
        <is>
          <t>КУБОВЫЙ ОСТАТОК РЕКТИФИКАЦИИ ДВАЭТИЛГЕКСАНОЛА (КОРДЭГ)</t>
        </is>
      </c>
      <c r="E509" s="15" t="n"/>
      <c r="F509" s="15" t="inlineStr">
        <is>
          <t>S2</t>
        </is>
      </c>
      <c r="G509" s="16" t="n"/>
      <c r="H509" s="17" t="inlineStr">
        <is>
          <t>{E199:2}-{E509:2}</t>
        </is>
      </c>
      <c r="I509" s="636" t="n"/>
      <c r="J509" s="17" t="n"/>
      <c r="K509" s="445" t="inlineStr">
        <is>
          <t>тыс.т</t>
        </is>
      </c>
    </row>
    <row r="510" ht="18.75" customHeight="1" s="904">
      <c r="C510" s="319" t="n"/>
      <c r="D510" s="446" t="inlineStr">
        <is>
          <t>ООО "ГАЗПРОМ НЕФТЕХИМ САЛАВАТ"</t>
        </is>
      </c>
      <c r="E510" s="15" t="n"/>
      <c r="F510" s="15" t="inlineStr">
        <is>
          <t>S2</t>
        </is>
      </c>
      <c r="G510" s="16" t="n"/>
      <c r="H510" s="17" t="inlineStr">
        <is>
          <t>{E199:2}-{E510:2}</t>
        </is>
      </c>
      <c r="I510" s="636" t="n"/>
      <c r="J510" s="17" t="n"/>
      <c r="K510" s="447" t="inlineStr">
        <is>
          <t>тыс.т</t>
        </is>
      </c>
    </row>
    <row r="511" ht="19.5" customHeight="1" s="904">
      <c r="C511" s="319" t="n"/>
      <c r="D511" s="444" t="inlineStr">
        <is>
          <t>ОБОРТНЫЕ СПИРТЫ ОТ ДВАЭТИЛГЕКСАНОЛА</t>
        </is>
      </c>
      <c r="E511" s="15" t="n"/>
      <c r="F511" s="15" t="n"/>
      <c r="G511" s="16" t="n"/>
      <c r="H511" s="17" t="n"/>
      <c r="I511" s="636" t="n"/>
      <c r="J511" s="17" t="n"/>
      <c r="K511" s="445" t="inlineStr">
        <is>
          <t>тыс.т</t>
        </is>
      </c>
    </row>
    <row r="512" ht="18.75" customHeight="1" s="904">
      <c r="C512" s="319" t="n"/>
      <c r="D512" s="446" t="inlineStr">
        <is>
          <t>ООО "ГАЗПРОМ НЕФТЕХИМ САЛАВАТ"</t>
        </is>
      </c>
      <c r="E512" s="15" t="n"/>
      <c r="F512" s="15" t="n"/>
      <c r="G512" s="16" t="n"/>
      <c r="H512" s="17" t="n"/>
      <c r="I512" s="636" t="n"/>
      <c r="J512" s="17" t="n"/>
      <c r="K512" s="447" t="inlineStr">
        <is>
          <t>тыс.т</t>
        </is>
      </c>
    </row>
    <row r="513" ht="18.75" customHeight="1" s="904">
      <c r="C513" s="319" t="n"/>
      <c r="D513" s="466" t="inlineStr">
        <is>
          <t>Товар</t>
        </is>
      </c>
      <c r="E513" s="15" t="n"/>
      <c r="F513" s="15" t="n"/>
      <c r="G513" s="16" t="n"/>
      <c r="H513" s="17" t="n"/>
      <c r="I513" s="636" t="n"/>
      <c r="J513" s="17" t="n"/>
      <c r="K513" s="449" t="inlineStr">
        <is>
          <t>тыс.т</t>
        </is>
      </c>
    </row>
    <row r="514" ht="18.75" customHeight="1" s="904">
      <c r="C514" s="319" t="n"/>
      <c r="D514" s="466" t="inlineStr">
        <is>
          <t>Собственные потребление</t>
        </is>
      </c>
      <c r="E514" s="15" t="n"/>
      <c r="F514" s="15" t="n"/>
      <c r="G514" s="16" t="n"/>
      <c r="H514" s="17" t="n"/>
      <c r="I514" s="636" t="n"/>
      <c r="J514" s="17" t="n"/>
      <c r="K514" s="449" t="inlineStr">
        <is>
          <t>тыс.т</t>
        </is>
      </c>
    </row>
    <row r="515" ht="19.5" customHeight="1" s="904">
      <c r="C515" s="319" t="n"/>
      <c r="D515" s="444" t="inlineStr">
        <is>
          <t>ФТАЛЕВЫЙ АНГИДРИД</t>
        </is>
      </c>
      <c r="E515" s="15" t="n"/>
      <c r="F515" s="15" t="inlineStr">
        <is>
          <t>S2</t>
        </is>
      </c>
      <c r="G515" s="16" t="n"/>
      <c r="H515" s="17" t="inlineStr">
        <is>
          <t>{E189:2}-{E515:2}</t>
        </is>
      </c>
      <c r="I515" s="636" t="n"/>
      <c r="J515" s="17" t="n"/>
      <c r="K515" s="445" t="inlineStr">
        <is>
          <t>тыс.т</t>
        </is>
      </c>
    </row>
    <row r="516" ht="18.75" customHeight="1" s="904">
      <c r="C516" s="319" t="n"/>
      <c r="D516" s="446" t="inlineStr">
        <is>
          <t>ООО "ГАЗПРОМ НЕФТЕХИМ САЛАВАТ"</t>
        </is>
      </c>
      <c r="E516" s="15" t="n"/>
      <c r="F516" s="15" t="inlineStr">
        <is>
          <t>S2</t>
        </is>
      </c>
      <c r="G516" s="16" t="n"/>
      <c r="H516" s="17" t="inlineStr">
        <is>
          <t>{E189:2}-{E516:2}</t>
        </is>
      </c>
      <c r="I516" s="636" t="n"/>
      <c r="J516" s="17" t="n"/>
      <c r="K516" s="447" t="inlineStr">
        <is>
          <t>тыс.т</t>
        </is>
      </c>
    </row>
    <row r="517" ht="18.75" customHeight="1" s="904">
      <c r="C517" s="319" t="n"/>
      <c r="D517" s="466" t="inlineStr">
        <is>
          <t>На производство пластификаторов (цех №48)</t>
        </is>
      </c>
      <c r="E517" s="15" t="n"/>
      <c r="F517" s="15" t="n"/>
      <c r="G517" s="16" t="n"/>
      <c r="H517" s="17" t="n"/>
      <c r="I517" s="636" t="n"/>
      <c r="J517" s="17" t="n"/>
      <c r="K517" s="449" t="inlineStr">
        <is>
          <t>тыс.т</t>
        </is>
      </c>
    </row>
    <row r="518" ht="39" customHeight="1" s="904">
      <c r="C518" s="319" t="n"/>
      <c r="D518" s="444" t="inlineStr">
        <is>
          <t>КУБОВЫЙ ОСТАТОК РЕКТИФИКАЦИИ ФТАЛЕВОГО АНГИДРИДА</t>
        </is>
      </c>
      <c r="E518" s="15" t="n"/>
      <c r="F518" s="15" t="n"/>
      <c r="G518" s="16" t="n"/>
      <c r="H518" s="17" t="n"/>
      <c r="I518" s="636" t="n"/>
      <c r="J518" s="17" t="n"/>
      <c r="K518" s="445" t="inlineStr">
        <is>
          <t>тыс.т</t>
        </is>
      </c>
    </row>
    <row r="519" ht="18.75" customHeight="1" s="904">
      <c r="C519" s="319" t="n"/>
      <c r="D519" s="446" t="inlineStr">
        <is>
          <t>ООО "ГАЗПРОМ НЕФТЕХИМ САЛАВАТ"</t>
        </is>
      </c>
      <c r="E519" s="15" t="n"/>
      <c r="F519" s="15" t="n"/>
      <c r="G519" s="16" t="n"/>
      <c r="H519" s="17" t="n"/>
      <c r="I519" s="636" t="n"/>
      <c r="J519" s="17" t="n"/>
      <c r="K519" s="447" t="inlineStr">
        <is>
          <t>тыс.т</t>
        </is>
      </c>
    </row>
    <row r="520" ht="19.5" customHeight="1" s="904">
      <c r="C520" s="319" t="n"/>
      <c r="D520" s="444" t="inlineStr">
        <is>
          <t>ПЛАСТИФИКАТОРЫ</t>
        </is>
      </c>
      <c r="E520" s="15" t="n"/>
      <c r="F520" s="15" t="inlineStr">
        <is>
          <t>S2</t>
        </is>
      </c>
      <c r="G520" s="16" t="n"/>
      <c r="H520" s="17" t="inlineStr">
        <is>
          <t>{E195:2}-{E520:2}</t>
        </is>
      </c>
      <c r="I520" s="636" t="n"/>
      <c r="J520" s="17" t="n"/>
      <c r="K520" s="445" t="inlineStr">
        <is>
          <t>тыс.т</t>
        </is>
      </c>
    </row>
    <row r="521" ht="18.75" customHeight="1" s="904">
      <c r="C521" s="319" t="n"/>
      <c r="D521" s="446" t="inlineStr">
        <is>
          <t>ООО "ГАЗПРОМ НЕФТЕХИМ САЛАВАТ"</t>
        </is>
      </c>
      <c r="E521" s="15" t="n"/>
      <c r="F521" s="15" t="inlineStr">
        <is>
          <t>S2</t>
        </is>
      </c>
      <c r="G521" s="16" t="n"/>
      <c r="H521" s="17" t="inlineStr">
        <is>
          <t>{E195:2}-{E521:2}</t>
        </is>
      </c>
      <c r="I521" s="636" t="n"/>
      <c r="J521" s="17" t="n"/>
      <c r="K521" s="447" t="inlineStr">
        <is>
          <t>тыс.т</t>
        </is>
      </c>
    </row>
    <row r="522" ht="19.5" customHeight="1" s="904">
      <c r="C522" s="319" t="n"/>
      <c r="D522" s="444" t="inlineStr">
        <is>
          <t xml:space="preserve">БУТИЛАЦЕТАТ </t>
        </is>
      </c>
      <c r="E522" s="15" t="n"/>
      <c r="F522" s="15" t="n"/>
      <c r="G522" s="16" t="n"/>
      <c r="H522" s="17" t="n"/>
      <c r="I522" s="636" t="n"/>
      <c r="J522" s="17" t="n"/>
      <c r="K522" s="445" t="inlineStr">
        <is>
          <t>тыс.т</t>
        </is>
      </c>
    </row>
    <row r="523" ht="18.75" customHeight="1" s="904">
      <c r="C523" s="319" t="n"/>
      <c r="D523" s="446" t="inlineStr">
        <is>
          <t>ООО "ГАЗПРОМ НЕФТЕХИМ САЛАВАТ"</t>
        </is>
      </c>
      <c r="E523" s="15" t="n"/>
      <c r="F523" s="15" t="n"/>
      <c r="G523" s="16" t="n"/>
      <c r="H523" s="17" t="n"/>
      <c r="I523" s="636" t="n"/>
      <c r="J523" s="17" t="n"/>
      <c r="K523" s="447" t="inlineStr">
        <is>
          <t>тыс.т</t>
        </is>
      </c>
    </row>
    <row r="524" ht="19.5" customHeight="1" s="904">
      <c r="C524" s="319" t="n"/>
      <c r="D524" s="444" t="inlineStr">
        <is>
          <t>ИЗОБУТИЛАЦЕТАТ</t>
        </is>
      </c>
      <c r="E524" s="15" t="n"/>
      <c r="F524" s="15" t="n"/>
      <c r="G524" s="16" t="n"/>
      <c r="H524" s="17" t="n"/>
      <c r="I524" s="636" t="n"/>
      <c r="J524" s="17" t="n"/>
      <c r="K524" s="445" t="inlineStr">
        <is>
          <t>тыс.т</t>
        </is>
      </c>
    </row>
    <row r="525" ht="19.5" customHeight="1" s="904">
      <c r="C525" s="319" t="n"/>
      <c r="D525" s="446" t="inlineStr">
        <is>
          <t>ООО "ГАЗПРОМ НЕФТЕХИМ САЛАВАТ"</t>
        </is>
      </c>
      <c r="E525" s="15" t="n"/>
      <c r="F525" s="15" t="n"/>
      <c r="G525" s="16" t="n"/>
      <c r="H525" s="17" t="n"/>
      <c r="I525" s="636" t="n"/>
      <c r="J525" s="17" t="n"/>
      <c r="K525" s="447" t="inlineStr">
        <is>
          <t>тыс.т</t>
        </is>
      </c>
    </row>
    <row r="526" ht="23.25" customHeight="1" s="904">
      <c r="C526" s="319" t="n"/>
      <c r="D526" s="465" t="inlineStr">
        <is>
          <t>ГАЗОХИМИЧЕСКИЙ ЗАВОД (ГХЗ)</t>
        </is>
      </c>
      <c r="E526" s="15" t="n"/>
      <c r="F526" s="15" t="n"/>
      <c r="G526" s="16" t="n"/>
      <c r="H526" s="17" t="n"/>
      <c r="I526" s="636" t="n"/>
      <c r="J526" s="17" t="n"/>
      <c r="K526" s="441" t="n"/>
    </row>
    <row r="527" ht="19.5" customHeight="1" s="904">
      <c r="C527" s="319" t="n"/>
      <c r="D527" s="442" t="inlineStr">
        <is>
          <t>СЫРЬЁ</t>
        </is>
      </c>
      <c r="E527" s="15" t="n"/>
      <c r="F527" s="15" t="n"/>
      <c r="G527" s="16" t="n"/>
      <c r="H527" s="17" t="n"/>
      <c r="I527" s="636" t="n"/>
      <c r="J527" s="17" t="n"/>
      <c r="K527" s="443" t="n"/>
    </row>
    <row r="528" ht="19.5" customHeight="1" s="904">
      <c r="C528" s="319" t="n"/>
      <c r="D528" s="444" t="inlineStr">
        <is>
          <t>ПРИРОДНЫЙ ГАЗ</t>
        </is>
      </c>
      <c r="E528" s="15" t="n"/>
      <c r="F528" s="15" t="n"/>
      <c r="G528" s="16" t="n"/>
      <c r="H528" s="17" t="n"/>
      <c r="I528" s="636" t="n"/>
      <c r="J528" s="17" t="n"/>
      <c r="K528" s="445" t="inlineStr">
        <is>
          <t>млн.м3</t>
        </is>
      </c>
    </row>
    <row r="529" ht="18.75" customHeight="1" s="904">
      <c r="C529" s="319" t="n"/>
      <c r="D529" s="446" t="inlineStr">
        <is>
          <t>ООО "ГАЗПРОМ НЕФТЕХИМ САЛАВАТ"</t>
        </is>
      </c>
      <c r="E529" s="15" t="n"/>
      <c r="F529" s="15" t="n"/>
      <c r="G529" s="16" t="n"/>
      <c r="H529" s="17" t="n"/>
      <c r="I529" s="636" t="n"/>
      <c r="J529" s="17" t="n"/>
      <c r="K529" s="447" t="inlineStr">
        <is>
          <t>млн.м3</t>
        </is>
      </c>
    </row>
    <row r="530" ht="18.75" customHeight="1" s="904">
      <c r="C530" s="319" t="n"/>
      <c r="D530" s="466" t="inlineStr">
        <is>
          <t>На технологию (цех №54)</t>
        </is>
      </c>
      <c r="E530" s="15" t="n"/>
      <c r="F530" s="15" t="inlineStr">
        <is>
          <t>S2</t>
        </is>
      </c>
      <c r="G530" s="16" t="n"/>
      <c r="H530" s="17" t="inlineStr">
        <is>
          <t>{E202:2}-{E530:2}</t>
        </is>
      </c>
      <c r="I530" s="636" t="n"/>
      <c r="J530" s="17" t="n"/>
      <c r="K530" s="449" t="inlineStr">
        <is>
          <t>млн.м3</t>
        </is>
      </c>
    </row>
    <row r="531" ht="18.75" customHeight="1" s="904">
      <c r="C531" s="319" t="n"/>
      <c r="D531" s="466" t="inlineStr">
        <is>
          <t>На топливо</t>
        </is>
      </c>
      <c r="E531" s="15" t="n"/>
      <c r="F531" s="15" t="n"/>
      <c r="G531" s="16" t="n"/>
      <c r="H531" s="17" t="n"/>
      <c r="I531" s="636" t="n"/>
      <c r="J531" s="17" t="n"/>
      <c r="K531" s="449" t="inlineStr">
        <is>
          <t>млн.м3</t>
        </is>
      </c>
    </row>
    <row r="532" ht="39" customHeight="1" s="904">
      <c r="C532" s="319" t="n"/>
      <c r="D532" s="444" t="inlineStr">
        <is>
          <t>ПОТРЕБЛЕНИЕ АММИАКА ДЛЯ СИНТЕЗА КАРБАМИДА</t>
        </is>
      </c>
      <c r="E532" s="15" t="n"/>
      <c r="F532" s="15" t="n"/>
      <c r="G532" s="16" t="n"/>
      <c r="H532" s="17" t="n"/>
      <c r="I532" s="636" t="n"/>
      <c r="J532" s="17" t="n"/>
      <c r="K532" s="445" t="inlineStr">
        <is>
          <t>тыс.т</t>
        </is>
      </c>
    </row>
    <row r="533" ht="19.5" customHeight="1" s="904">
      <c r="C533" s="319" t="n"/>
      <c r="D533" s="446" t="inlineStr">
        <is>
          <t>ООО "ГАЗПРОМ НЕФТЕХИМ САЛАВАТ"</t>
        </is>
      </c>
      <c r="E533" s="15" t="n"/>
      <c r="F533" s="15" t="n"/>
      <c r="G533" s="16" t="n"/>
      <c r="H533" s="17" t="n"/>
      <c r="I533" s="636" t="n"/>
      <c r="J533" s="17" t="n"/>
      <c r="K533" s="447" t="inlineStr">
        <is>
          <t>тыс.т</t>
        </is>
      </c>
    </row>
    <row r="534" ht="19.5" customHeight="1" s="904">
      <c r="C534" s="319" t="n"/>
      <c r="D534" s="442" t="inlineStr">
        <is>
          <t>ПРОДУКЦИЯ</t>
        </is>
      </c>
      <c r="E534" s="15" t="n"/>
      <c r="F534" s="15" t="n"/>
      <c r="G534" s="16" t="n"/>
      <c r="H534" s="17" t="n"/>
      <c r="I534" s="636" t="n"/>
      <c r="J534" s="17" t="n"/>
      <c r="K534" s="443" t="n"/>
    </row>
    <row r="535" ht="19.5" customHeight="1" s="904">
      <c r="C535" s="319" t="n"/>
      <c r="D535" s="444" t="inlineStr">
        <is>
          <t>АММИАК (ВАЛОВАЯ ВЫРАБОТКА)</t>
        </is>
      </c>
      <c r="E535" s="15" t="n"/>
      <c r="F535" s="15" t="inlineStr">
        <is>
          <t>S2</t>
        </is>
      </c>
      <c r="G535" s="16" t="n"/>
      <c r="H535" s="17" t="inlineStr">
        <is>
          <t>{E204:2}-{E535:2}</t>
        </is>
      </c>
      <c r="I535" s="636" t="n"/>
      <c r="J535" s="17" t="n"/>
      <c r="K535" s="445" t="inlineStr">
        <is>
          <t>тыс.т</t>
        </is>
      </c>
    </row>
    <row r="536" ht="18.75" customHeight="1" s="904">
      <c r="C536" s="319" t="n"/>
      <c r="D536" s="446" t="inlineStr">
        <is>
          <t>ООО "ГАЗПРОМ НЕФТЕХИМ САЛАВАТ"</t>
        </is>
      </c>
      <c r="E536" s="15" t="n"/>
      <c r="F536" s="15" t="inlineStr">
        <is>
          <t>S2</t>
        </is>
      </c>
      <c r="G536" s="16" t="n"/>
      <c r="H536" s="17" t="inlineStr">
        <is>
          <t>{E204:2}-{E536:2}</t>
        </is>
      </c>
      <c r="I536" s="636" t="n"/>
      <c r="J536" s="17" t="n"/>
      <c r="K536" s="447" t="inlineStr">
        <is>
          <t>тыс.т</t>
        </is>
      </c>
    </row>
    <row r="537" ht="18.75" customHeight="1" s="904">
      <c r="C537" s="319" t="n"/>
      <c r="D537" s="466" t="inlineStr">
        <is>
          <t>Товар</t>
        </is>
      </c>
      <c r="E537" s="15" t="n"/>
      <c r="F537" s="15" t="inlineStr">
        <is>
          <t>S2</t>
        </is>
      </c>
      <c r="G537" s="16" t="n"/>
      <c r="H537" s="17" t="inlineStr">
        <is>
          <t>{E205:2}-{E537:2}</t>
        </is>
      </c>
      <c r="I537" s="636" t="n"/>
      <c r="J537" s="17" t="n"/>
      <c r="K537" s="449" t="inlineStr">
        <is>
          <t>тыс.т</t>
        </is>
      </c>
    </row>
    <row r="538" ht="18.75" customHeight="1" s="904">
      <c r="C538" s="319" t="n"/>
      <c r="D538" s="466" t="inlineStr">
        <is>
          <t>На производство карбамида (цех №24)</t>
        </is>
      </c>
      <c r="E538" s="15" t="n"/>
      <c r="F538" s="15" t="n"/>
      <c r="G538" s="16" t="n"/>
      <c r="H538" s="17" t="n"/>
      <c r="I538" s="636" t="n"/>
      <c r="J538" s="17" t="n"/>
      <c r="K538" s="449" t="inlineStr">
        <is>
          <t>тыс.т</t>
        </is>
      </c>
    </row>
    <row r="539" ht="18.75" customHeight="1" s="904">
      <c r="C539" s="319" t="n"/>
      <c r="D539" s="466" t="inlineStr">
        <is>
          <t>На производство карбамида (цех №50)</t>
        </is>
      </c>
      <c r="E539" s="15" t="n"/>
      <c r="F539" s="15" t="n"/>
      <c r="G539" s="16" t="n"/>
      <c r="H539" s="17" t="n"/>
      <c r="I539" s="636" t="n"/>
      <c r="J539" s="17" t="n"/>
      <c r="K539" s="449" t="inlineStr">
        <is>
          <t>тыс.т</t>
        </is>
      </c>
    </row>
    <row r="540" ht="19.5" customHeight="1" s="904">
      <c r="C540" s="319" t="n"/>
      <c r="D540" s="444" t="inlineStr">
        <is>
          <t>КАРБАМИД</t>
        </is>
      </c>
      <c r="E540" s="15" t="n"/>
      <c r="F540" s="15" t="inlineStr">
        <is>
          <t>S2</t>
        </is>
      </c>
      <c r="G540" s="16" t="n"/>
      <c r="H540" s="17" t="inlineStr">
        <is>
          <t>{E206:2}-{E540:2}</t>
        </is>
      </c>
      <c r="I540" s="636" t="n"/>
      <c r="J540" s="17" t="n"/>
      <c r="K540" s="445" t="inlineStr">
        <is>
          <t>тыс.т</t>
        </is>
      </c>
    </row>
    <row r="541" ht="18.75" customHeight="1" s="904">
      <c r="C541" s="319" t="n"/>
      <c r="D541" s="446" t="inlineStr">
        <is>
          <t>ООО "ГАЗПРОМ НЕФТЕХИМ САЛАВАТ"</t>
        </is>
      </c>
      <c r="E541" s="15" t="n"/>
      <c r="F541" s="15" t="inlineStr">
        <is>
          <t>S2</t>
        </is>
      </c>
      <c r="G541" s="16" t="n"/>
      <c r="H541" s="17" t="inlineStr">
        <is>
          <t>{E206:2}-{E541:2}</t>
        </is>
      </c>
      <c r="I541" s="636" t="n"/>
      <c r="J541" s="17" t="n"/>
      <c r="K541" s="447" t="inlineStr">
        <is>
          <t>тыс.т</t>
        </is>
      </c>
    </row>
    <row r="542" ht="18.75" customHeight="1" s="904">
      <c r="C542" s="319" t="n"/>
      <c r="D542" s="450" t="inlineStr">
        <is>
          <t>цех №24</t>
        </is>
      </c>
      <c r="E542" s="15" t="n"/>
      <c r="F542" s="15" t="n"/>
      <c r="G542" s="16" t="n"/>
      <c r="H542" s="17" t="n"/>
      <c r="I542" s="636" t="n"/>
      <c r="J542" s="17" t="n"/>
      <c r="K542" s="447" t="inlineStr">
        <is>
          <t>тыс.т</t>
        </is>
      </c>
    </row>
    <row r="543" ht="18.75" customHeight="1" s="904">
      <c r="C543" s="319" t="n"/>
      <c r="D543" s="450" t="inlineStr">
        <is>
          <t>цех №50</t>
        </is>
      </c>
      <c r="E543" s="15" t="n"/>
      <c r="F543" s="15" t="n"/>
      <c r="G543" s="16" t="n"/>
      <c r="H543" s="17" t="n"/>
      <c r="I543" s="636" t="n"/>
      <c r="J543" s="17" t="n"/>
      <c r="K543" s="447" t="inlineStr">
        <is>
          <t>тыс.т</t>
        </is>
      </c>
    </row>
    <row r="544" ht="19.5" customHeight="1" s="904">
      <c r="C544" s="319" t="n"/>
      <c r="D544" s="444" t="inlineStr">
        <is>
          <t>АММИАЧНАЯ ВОДА</t>
        </is>
      </c>
      <c r="E544" s="15" t="n"/>
      <c r="F544" s="15" t="inlineStr">
        <is>
          <t>S2</t>
        </is>
      </c>
      <c r="G544" s="16" t="n"/>
      <c r="H544" s="17" t="inlineStr">
        <is>
          <t>{E209:2}-{E544:2}</t>
        </is>
      </c>
      <c r="I544" s="636" t="n"/>
      <c r="J544" s="17" t="n"/>
      <c r="K544" s="445" t="inlineStr">
        <is>
          <t>тыс.т</t>
        </is>
      </c>
    </row>
    <row r="545" ht="18.75" customHeight="1" s="904">
      <c r="C545" s="319" t="n"/>
      <c r="D545" s="446" t="inlineStr">
        <is>
          <t>ООО "ГАЗПРОМ НЕФТЕХИМ САЛАВАТ"</t>
        </is>
      </c>
      <c r="E545" s="15" t="n"/>
      <c r="F545" s="15" t="inlineStr">
        <is>
          <t>S2</t>
        </is>
      </c>
      <c r="G545" s="16" t="n"/>
      <c r="H545" s="17" t="inlineStr">
        <is>
          <t>{E209:2}-{E545:2}</t>
        </is>
      </c>
      <c r="I545" s="636" t="n"/>
      <c r="J545" s="17" t="n"/>
      <c r="K545" s="447" t="inlineStr">
        <is>
          <t>тыс.т</t>
        </is>
      </c>
    </row>
    <row r="546" ht="19.5" customHeight="1" s="904">
      <c r="C546" s="319" t="n"/>
      <c r="D546" s="444" t="inlineStr">
        <is>
          <t>УГЛЕКИСЛОТА</t>
        </is>
      </c>
      <c r="E546" s="15" t="n"/>
      <c r="F546" s="15" t="n"/>
      <c r="G546" s="16" t="n"/>
      <c r="H546" s="17" t="n"/>
      <c r="I546" s="636" t="n"/>
      <c r="J546" s="17" t="n"/>
      <c r="K546" s="445" t="inlineStr">
        <is>
          <t>тыс.т</t>
        </is>
      </c>
    </row>
    <row r="547" ht="19.5" customHeight="1" s="904">
      <c r="C547" s="319" t="n"/>
      <c r="D547" s="446" t="inlineStr">
        <is>
          <t>ООО "ГАЗПРОМ НЕФТЕХИМ САЛАВАТ"</t>
        </is>
      </c>
      <c r="E547" s="15" t="n"/>
      <c r="F547" s="15" t="n"/>
      <c r="G547" s="16" t="n"/>
      <c r="H547" s="17" t="n"/>
      <c r="I547" s="636" t="n"/>
      <c r="J547" s="17" t="n"/>
      <c r="K547" s="447" t="inlineStr">
        <is>
          <t>тыс.т</t>
        </is>
      </c>
    </row>
    <row r="548" ht="23.25" customHeight="1" s="904">
      <c r="C548" s="319" t="n"/>
      <c r="D548" s="465" t="inlineStr">
        <is>
          <t>ООО "АКРИЛ-САЛАВАТ"</t>
        </is>
      </c>
      <c r="E548" s="15" t="n"/>
      <c r="F548" s="15" t="n"/>
      <c r="G548" s="16" t="n"/>
      <c r="H548" s="17" t="n"/>
      <c r="I548" s="636" t="n"/>
      <c r="J548" s="17" t="n"/>
      <c r="K548" s="441" t="n"/>
    </row>
    <row r="549" ht="19.5" customHeight="1" s="904">
      <c r="C549" s="319" t="n"/>
      <c r="D549" s="442" t="inlineStr">
        <is>
          <t>СЫРЬЁ</t>
        </is>
      </c>
      <c r="E549" s="15" t="n"/>
      <c r="F549" s="15" t="n"/>
      <c r="G549" s="16" t="n"/>
      <c r="H549" s="17" t="n"/>
      <c r="I549" s="636" t="n"/>
      <c r="J549" s="17" t="n"/>
      <c r="K549" s="443" t="n"/>
    </row>
    <row r="550" ht="19.5" customHeight="1" s="904">
      <c r="C550" s="319" t="n"/>
      <c r="D550" s="444" t="inlineStr">
        <is>
          <t>ПРОПИЛЕН</t>
        </is>
      </c>
      <c r="E550" s="15" t="n"/>
      <c r="F550" s="15" t="inlineStr">
        <is>
          <t>S2</t>
        </is>
      </c>
      <c r="G550" s="16" t="n"/>
      <c r="H550" s="17" t="inlineStr">
        <is>
          <t>{E212:2}-{E550:2}</t>
        </is>
      </c>
      <c r="I550" s="636" t="n"/>
      <c r="J550" s="17" t="n"/>
      <c r="K550" s="445" t="inlineStr">
        <is>
          <t>тыс.т</t>
        </is>
      </c>
    </row>
    <row r="551" ht="18.75" customHeight="1" s="904">
      <c r="C551" s="319" t="n"/>
      <c r="D551" s="446" t="inlineStr">
        <is>
          <t>ООО "ГАЗПРОМ НЕФТЕХИМ САЛАВАТ"</t>
        </is>
      </c>
      <c r="E551" s="15" t="n"/>
      <c r="F551" s="15" t="inlineStr">
        <is>
          <t>S2</t>
        </is>
      </c>
      <c r="G551" s="16" t="n"/>
      <c r="H551" s="17" t="inlineStr">
        <is>
          <t>{E212:2}-{E551:2}</t>
        </is>
      </c>
      <c r="I551" s="636" t="n"/>
      <c r="J551" s="17" t="n"/>
      <c r="K551" s="447" t="inlineStr">
        <is>
          <t>тыс.т</t>
        </is>
      </c>
    </row>
    <row r="552" ht="18.75" customHeight="1" s="904">
      <c r="C552" s="319" t="n"/>
      <c r="D552" s="466" t="inlineStr">
        <is>
          <t>На производство акриловой кислоты</t>
        </is>
      </c>
      <c r="E552" s="15" t="n"/>
      <c r="F552" s="15" t="n"/>
      <c r="G552" s="16" t="n"/>
      <c r="H552" s="17" t="n"/>
      <c r="I552" s="636" t="n"/>
      <c r="J552" s="17" t="n"/>
      <c r="K552" s="449" t="inlineStr">
        <is>
          <t>тыс.т</t>
        </is>
      </c>
    </row>
    <row r="553" ht="18.75" customHeight="1" s="904">
      <c r="C553" s="319" t="n"/>
      <c r="D553" s="466" t="inlineStr">
        <is>
          <t>На собственные нужды (пуск)</t>
        </is>
      </c>
      <c r="E553" s="15" t="n"/>
      <c r="F553" s="15" t="n"/>
      <c r="G553" s="16" t="n"/>
      <c r="H553" s="17" t="n"/>
      <c r="I553" s="636" t="n"/>
      <c r="J553" s="17" t="n"/>
      <c r="K553" s="449" t="inlineStr">
        <is>
          <t>тыс.т</t>
        </is>
      </c>
    </row>
    <row r="554" ht="19.5" customHeight="1" s="904">
      <c r="C554" s="319" t="n"/>
      <c r="D554" s="444" t="inlineStr">
        <is>
          <t>НОРМАЛЬНЫЙ БУТИЛОВЫЙ СПИРТ</t>
        </is>
      </c>
      <c r="E554" s="15" t="n"/>
      <c r="F554" s="15" t="inlineStr">
        <is>
          <t>S2</t>
        </is>
      </c>
      <c r="G554" s="16" t="n"/>
      <c r="H554" s="17" t="inlineStr">
        <is>
          <t>{E213:2}-{E554:2}</t>
        </is>
      </c>
      <c r="I554" s="636" t="n"/>
      <c r="J554" s="17" t="n"/>
      <c r="K554" s="445" t="inlineStr">
        <is>
          <t>тыс.т</t>
        </is>
      </c>
    </row>
    <row r="555" ht="19.5" customHeight="1" s="904">
      <c r="C555" s="319" t="n"/>
      <c r="D555" s="446" t="inlineStr">
        <is>
          <t>ООО "ГАЗПРОМ НЕФТЕХИМ САЛАВАТ"</t>
        </is>
      </c>
      <c r="E555" s="15" t="n"/>
      <c r="F555" s="15" t="inlineStr">
        <is>
          <t>S2</t>
        </is>
      </c>
      <c r="G555" s="16" t="n"/>
      <c r="H555" s="17" t="inlineStr">
        <is>
          <t>{E213:2}-{E555:2}</t>
        </is>
      </c>
      <c r="I555" s="636" t="n"/>
      <c r="J555" s="17" t="n"/>
      <c r="K555" s="447" t="inlineStr">
        <is>
          <t>тыс.т</t>
        </is>
      </c>
    </row>
    <row r="556" ht="19.5" customHeight="1" s="904">
      <c r="C556" s="319" t="n"/>
      <c r="D556" s="442" t="inlineStr">
        <is>
          <t>ПРОДУКЦИЯ</t>
        </is>
      </c>
      <c r="E556" s="15" t="n"/>
      <c r="F556" s="15" t="n"/>
      <c r="G556" s="16" t="n"/>
      <c r="H556" s="17" t="n"/>
      <c r="I556" s="636" t="n"/>
      <c r="J556" s="17" t="n"/>
      <c r="K556" s="443" t="n"/>
    </row>
    <row r="557" ht="19.5" customHeight="1" s="904">
      <c r="C557" s="319" t="n"/>
      <c r="D557" s="444" t="inlineStr">
        <is>
          <t>АКРИЛОВАЯ КИСЛОТА (ВАЛОВАЯ ВЫРАБОТКА)</t>
        </is>
      </c>
      <c r="E557" s="15" t="n"/>
      <c r="F557" s="15" t="n"/>
      <c r="G557" s="16" t="n"/>
      <c r="H557" s="17" t="n"/>
      <c r="I557" s="636" t="n"/>
      <c r="J557" s="17" t="n"/>
      <c r="K557" s="445" t="inlineStr">
        <is>
          <t>тыс.т</t>
        </is>
      </c>
    </row>
    <row r="558" ht="18.75" customHeight="1" s="904">
      <c r="C558" s="319" t="n"/>
      <c r="D558" s="446" t="inlineStr">
        <is>
          <t>ООО "ГАЗПРОМ НЕФТЕХИМ САЛАВАТ"</t>
        </is>
      </c>
      <c r="E558" s="15" t="n"/>
      <c r="F558" s="15" t="n"/>
      <c r="G558" s="16" t="n"/>
      <c r="H558" s="17" t="n"/>
      <c r="I558" s="636" t="n"/>
      <c r="J558" s="17" t="n"/>
      <c r="K558" s="447" t="inlineStr">
        <is>
          <t>тыс.т</t>
        </is>
      </c>
    </row>
    <row r="559" ht="18.75" customHeight="1" s="904">
      <c r="C559" s="319" t="n"/>
      <c r="D559" s="466" t="inlineStr">
        <is>
          <t>На производство бутилакрилата</t>
        </is>
      </c>
      <c r="E559" s="15" t="n"/>
      <c r="F559" s="15" t="n"/>
      <c r="G559" s="16" t="n"/>
      <c r="H559" s="17" t="n"/>
      <c r="I559" s="636" t="n"/>
      <c r="J559" s="17" t="n"/>
      <c r="K559" s="449" t="inlineStr">
        <is>
          <t>тыс.т</t>
        </is>
      </c>
    </row>
    <row r="560" ht="18.75" customHeight="1" s="904">
      <c r="C560" s="319" t="n"/>
      <c r="D560" s="466" t="inlineStr">
        <is>
          <t>На производство ледяной акриловой кислоты</t>
        </is>
      </c>
      <c r="E560" s="15" t="n"/>
      <c r="F560" s="15" t="n"/>
      <c r="G560" s="16" t="n"/>
      <c r="H560" s="17" t="n"/>
      <c r="I560" s="636" t="n"/>
      <c r="J560" s="17" t="n"/>
      <c r="K560" s="449" t="inlineStr">
        <is>
          <t>тыс.т</t>
        </is>
      </c>
    </row>
    <row r="561" ht="19.5" customHeight="1" s="904">
      <c r="C561" s="319" t="n"/>
      <c r="D561" s="444" t="inlineStr">
        <is>
          <t>БУТИЛАКРИЛАТ</t>
        </is>
      </c>
      <c r="E561" s="15" t="n"/>
      <c r="F561" s="15" t="inlineStr">
        <is>
          <t>S2</t>
        </is>
      </c>
      <c r="G561" s="16" t="n"/>
      <c r="H561" s="17" t="inlineStr">
        <is>
          <t>{E215:2}-{E561:2}</t>
        </is>
      </c>
      <c r="I561" s="636" t="n"/>
      <c r="J561" s="17" t="n"/>
      <c r="K561" s="445" t="inlineStr">
        <is>
          <t>тыс.т</t>
        </is>
      </c>
    </row>
    <row r="562" ht="18.75" customHeight="1" s="904">
      <c r="C562" s="319" t="n"/>
      <c r="D562" s="446" t="inlineStr">
        <is>
          <t>ООО "ГАЗПРОМ НЕФТЕХИМ САЛАВАТ"</t>
        </is>
      </c>
      <c r="E562" s="15" t="n"/>
      <c r="F562" s="15" t="inlineStr">
        <is>
          <t>S2</t>
        </is>
      </c>
      <c r="G562" s="16" t="n"/>
      <c r="H562" s="17" t="inlineStr">
        <is>
          <t>{E215:2}-{E562:2}</t>
        </is>
      </c>
      <c r="I562" s="636" t="n"/>
      <c r="J562" s="17" t="n"/>
      <c r="K562" s="447" t="inlineStr">
        <is>
          <t>тыс.т</t>
        </is>
      </c>
    </row>
    <row r="563" ht="19.5" customHeight="1" s="904">
      <c r="C563" s="319" t="n"/>
      <c r="D563" s="444" t="inlineStr">
        <is>
          <t>ЛЕДЯНАЯ АКРИЛОВАЯ КИСЛОТА</t>
        </is>
      </c>
      <c r="E563" s="15" t="n"/>
      <c r="F563" s="15" t="inlineStr">
        <is>
          <t>S2</t>
        </is>
      </c>
      <c r="G563" s="16" t="n"/>
      <c r="H563" s="17" t="inlineStr">
        <is>
          <t>{E216:2}-{E563:2}</t>
        </is>
      </c>
      <c r="I563" s="636" t="n"/>
      <c r="J563" s="17" t="n"/>
      <c r="K563" s="445" t="inlineStr">
        <is>
          <t>тыс.т</t>
        </is>
      </c>
    </row>
    <row r="564" ht="19.5" customHeight="1" s="904">
      <c r="C564" s="319" t="n"/>
      <c r="D564" s="471" t="inlineStr">
        <is>
          <t>ООО "ГАЗПРОМ НЕФТЕХИМ САЛАВАТ"</t>
        </is>
      </c>
      <c r="E564" s="15" t="n"/>
      <c r="F564" s="15" t="inlineStr">
        <is>
          <t>S2</t>
        </is>
      </c>
      <c r="G564" s="16" t="n"/>
      <c r="H564" s="17" t="inlineStr">
        <is>
          <t>{E216:2}-{E564:2}</t>
        </is>
      </c>
      <c r="I564" s="636" t="n"/>
      <c r="J564" s="17" t="n"/>
      <c r="K564" s="472" t="inlineStr">
        <is>
          <t>тыс.т</t>
        </is>
      </c>
    </row>
  </sheetData>
  <mergeCells count="12">
    <mergeCell ref="K6:K8"/>
    <mergeCell ref="G7:G8"/>
    <mergeCell ref="E7:E8"/>
    <mergeCell ref="C3:K3"/>
    <mergeCell ref="I7:I8"/>
    <mergeCell ref="F7:F8"/>
    <mergeCell ref="H7:H8"/>
    <mergeCell ref="J7:J8"/>
    <mergeCell ref="C6:C8"/>
    <mergeCell ref="E6:J6"/>
    <mergeCell ref="D6:D8"/>
    <mergeCell ref="B6:B8"/>
  </mergeCells>
  <conditionalFormatting sqref="P10:P564 Q10:Q564 V10:V564 W10:W564 AB10:AB564 AC10:AC564 AH10:AH564 AI10:AI564 AN10:AN564 AO10:AO564 AT10:AT564 AU10:AU564 AZ10:AZ564 BA10:BA564 BF10:BF564 BG10:BG564 BL10:BL564 BM10:BM564 BR10:BR564 BS10:BS564 BX10:BX564 BY10:BY564 CD10:CD564 CE10:CE564 CJ10:CJ564 CK10:CK564 CP10:CP564 CQ10:CQ564 CV10:CV564 CW10:CW564 DB10:DB564 DC10:DC564 DH10:DH564 DI10:DI564">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564 O10:O564 S10:S564 U10:U564 Y10:Y564 AA10:AA564 AE10:AE564 AG10:AG564 AK10:AK564 AM10:AM564 AQ10:AQ564 AS10:AS564 AW10:AW564 AY10:AY564 BC10:BC564 BE10:BE564 BI10:BI564 BK10:BK564 BO10:BO564 BQ10:BQ564 BU10:BU564 BW10:BW564 CA10:CA564 CC10:CC564 CG10:CG564 CI10:CI564 CM10:CM564 CO10:CO564 CS10:CS564 CU10:CU564 CY10:CY564 DA10:DA564 DE10:DE564 DG10:DG564">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564 O10:O564 Q10:Q564 S10:S564 U10:U564 W10:W564 Y10:Y564 AA10:AA564 AC10:AC564 AE10:AE564 AG10:AG564 AI10:AI564 AK10:AK564 AM10:AM564 AO10:AO564 AQ10:AQ564 AS10:AS564">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 right="0.7" top="0.75" bottom="0.75" header="0.3" footer="0.3"/>
  <pageSetup orientation="portrait" paperSize="9" scale="10" fitToHeight="0"/>
  <legacyDrawing xmlns:r="http://schemas.openxmlformats.org/officeDocument/2006/relationships" r:id="anysvml"/>
</worksheet>
</file>

<file path=xl/worksheets/sheet25.xml><?xml version="1.0" encoding="utf-8"?>
<worksheet xmlns="http://schemas.openxmlformats.org/spreadsheetml/2006/main">
  <sheetPr codeName="Лист22">
    <tabColor theme="4" tint="0.7999816888943144"/>
    <outlinePr summaryBelow="1" summaryRight="1"/>
    <pageSetUpPr fitToPage="1"/>
  </sheetPr>
  <dimension ref="B3:K83"/>
  <sheetViews>
    <sheetView zoomScale="70" zoomScaleNormal="70" workbookViewId="0">
      <pane xSplit="11" ySplit="9" topLeftCell="L15" activePane="bottomRight" state="frozen"/>
      <selection activeCell="I10" sqref="I10"/>
      <selection pane="topRight" activeCell="C1" sqref="C1"/>
      <selection pane="bottomLeft" activeCell="C1" sqref="C1"/>
      <selection pane="bottomRight" activeCell="P31" sqref="P31"/>
    </sheetView>
  </sheetViews>
  <sheetFormatPr baseColWidth="8" defaultColWidth="8.42578125" defaultRowHeight="18.75"/>
  <cols>
    <col hidden="1" outlineLevel="1" width="18.28515625" customWidth="1" style="975" min="1" max="1"/>
    <col hidden="1" outlineLevel="1" width="24.85546875" customWidth="1" style="975" min="2" max="2"/>
    <col collapsed="1" width="12.140625" customWidth="1" style="649" min="3" max="3"/>
    <col width="63" customWidth="1" style="975" min="4" max="4"/>
    <col hidden="1" outlineLevel="1" width="24" customWidth="1" style="975" min="5" max="9"/>
    <col hidden="1" outlineLevel="1" width="13.28515625" customWidth="1" style="975" min="10" max="10"/>
    <col collapsed="1" width="12.85546875" bestFit="1" customWidth="1" style="976" min="11" max="11"/>
    <col width="8.43" customWidth="1" style="975" min="12" max="12"/>
    <col width="8.43" customWidth="1" style="904" min="13" max="13"/>
    <col collapsed="1" width="8.43" customWidth="1" style="904" min="14" max="14"/>
    <col width="8.43" customWidth="1" style="904" min="15" max="15"/>
    <col collapsed="1" width="8.43" customWidth="1" style="904" min="16" max="16"/>
    <col width="8.43" customWidth="1" style="904" min="17" max="17"/>
    <col collapsed="1" width="8.43" customWidth="1" style="904" min="18" max="18"/>
    <col width="8.43" customWidth="1" style="904" min="19" max="19"/>
    <col collapsed="1" width="8.43" customWidth="1" style="904" min="20" max="20"/>
    <col width="8.43" customWidth="1" style="904" min="21" max="21"/>
    <col collapsed="1" width="8.43" customWidth="1" style="904" min="22" max="22"/>
    <col width="8.43" customWidth="1" style="904" min="23" max="23"/>
    <col collapsed="1" width="8.43" customWidth="1" style="904" min="24" max="24"/>
    <col width="8.43" customWidth="1" style="904" min="25" max="25"/>
    <col collapsed="1" width="8.43" customWidth="1" style="904" min="26" max="26"/>
    <col width="8.43" customWidth="1" style="904" min="27" max="27"/>
    <col collapsed="1" width="8.43" customWidth="1" style="904" min="28" max="28"/>
    <col width="8.43" customWidth="1" style="904" min="29" max="29"/>
    <col collapsed="1" width="8.43" customWidth="1" style="904" min="30" max="30"/>
    <col width="8.43" customWidth="1" style="904" min="31" max="31"/>
    <col collapsed="1" width="8.43" customWidth="1" style="904" min="32" max="32"/>
    <col width="8.43" customWidth="1" style="904" min="33" max="33"/>
    <col collapsed="1" width="8.43" customWidth="1" style="904" min="34" max="34"/>
    <col width="8.43" customWidth="1" style="904" min="35" max="35"/>
    <col collapsed="1" width="8.43" customWidth="1" style="904" min="36" max="36"/>
    <col width="8.43" customWidth="1" style="904" min="37" max="37"/>
    <col collapsed="1" width="8.43" customWidth="1" style="904" min="38" max="38"/>
    <col width="8.43" customWidth="1" style="904" min="39" max="39"/>
    <col collapsed="1" width="8.43" customWidth="1" style="904" min="40" max="40"/>
    <col width="8.43" customWidth="1" style="904" min="41" max="41"/>
    <col collapsed="1" width="8.43" customWidth="1" style="904" min="42" max="42"/>
    <col width="8.43" customWidth="1" style="904" min="43" max="43"/>
    <col collapsed="1" width="8.43" customWidth="1" style="904" min="44" max="44"/>
    <col width="8.43" customWidth="1" style="904" min="45" max="45"/>
    <col width="8.43" customWidth="1" style="975" min="114" max="136"/>
    <col width="8.43" customWidth="1" style="975" min="137" max="16384"/>
  </cols>
  <sheetData>
    <row r="1" ht="15" customHeight="1" s="904"/>
    <row r="2" ht="15" customHeight="1" s="904"/>
    <row r="3" ht="20.25" customHeight="1" s="904">
      <c r="C3" s="1034" t="inlineStr">
        <is>
          <t>Прогнозные показатели по переработке сырья и производству продукции ПАО "Газпром нефть"</t>
        </is>
      </c>
    </row>
    <row r="4" ht="19.5" customHeight="1" s="904"/>
    <row r="5" ht="19.5" customHeight="1" s="904">
      <c r="B5" s="658" t="n"/>
      <c r="C5" s="133" t="inlineStr">
        <is>
          <t>18. ПАО "Газпром нефть"</t>
        </is>
      </c>
      <c r="K5" s="596" t="n"/>
    </row>
    <row r="6" ht="20.1" customHeight="1" s="904">
      <c r="C6" s="1012" t="inlineStr">
        <is>
          <t>№ 
п/п</t>
        </is>
      </c>
      <c r="D6" s="969" t="inlineStr">
        <is>
          <t>Показатели</t>
        </is>
      </c>
      <c r="E6" s="924" t="inlineStr">
        <is>
          <t>Внутренние настройки листа</t>
        </is>
      </c>
      <c r="F6" s="925" t="n"/>
      <c r="G6" s="925" t="n"/>
      <c r="H6" s="925" t="n"/>
      <c r="I6" s="925" t="n"/>
      <c r="J6" s="926" t="n"/>
      <c r="K6" s="969" t="inlineStr">
        <is>
          <t>Ед. изм.</t>
        </is>
      </c>
    </row>
    <row r="7" ht="39.95" customHeight="1" s="904">
      <c r="C7" s="916" t="n"/>
      <c r="D7" s="916" t="n"/>
      <c r="E7" s="910" t="inlineStr">
        <is>
          <t>Ключ статьи</t>
        </is>
      </c>
      <c r="F7" s="910" t="inlineStr">
        <is>
          <t>Ключ спец</t>
        </is>
      </c>
      <c r="G7" s="910" t="inlineStr">
        <is>
          <t>Ключ ввод данных</t>
        </is>
      </c>
      <c r="H7" s="910" t="inlineStr">
        <is>
          <t>Формулы месяца</t>
        </is>
      </c>
      <c r="I7" s="910" t="inlineStr">
        <is>
          <t>Формулы % выхода</t>
        </is>
      </c>
      <c r="J7" s="910" t="inlineStr">
        <is>
          <t>Строка проверка</t>
        </is>
      </c>
      <c r="K7" s="916" t="n"/>
    </row>
    <row r="8" ht="20.1" customHeight="1" s="904">
      <c r="C8" s="911" t="n"/>
      <c r="D8" s="911" t="n"/>
      <c r="E8" s="911" t="n"/>
      <c r="F8" s="911" t="n"/>
      <c r="G8" s="911" t="n"/>
      <c r="H8" s="911" t="n"/>
      <c r="I8" s="911" t="n"/>
      <c r="J8" s="911" t="n"/>
      <c r="K8" s="911" t="n"/>
    </row>
    <row r="9" hidden="1" ht="20.1" customHeight="1" s="904">
      <c r="C9" s="1045" t="n"/>
      <c r="D9" s="1046" t="n"/>
      <c r="E9" s="1057" t="n"/>
      <c r="F9" s="1057" t="n"/>
      <c r="G9" s="1057" t="n"/>
      <c r="H9" s="1057" t="n"/>
      <c r="I9" s="1057" t="n"/>
      <c r="J9" s="1057" t="n"/>
      <c r="K9" s="136" t="n"/>
    </row>
    <row r="10" ht="17.25" customHeight="1" s="904">
      <c r="C10" s="473" t="inlineStr">
        <is>
          <t>1</t>
        </is>
      </c>
      <c r="D10" s="474" t="inlineStr">
        <is>
          <t>Переработка сырья:</t>
        </is>
      </c>
      <c r="E10" s="15" t="n">
        <v>100330000</v>
      </c>
      <c r="F10" s="15" t="n"/>
      <c r="G10" s="16" t="n"/>
      <c r="H10" s="17" t="n"/>
      <c r="I10" s="636" t="n"/>
      <c r="J10" s="17" t="n"/>
      <c r="K10" s="309" t="n"/>
    </row>
    <row r="11" ht="17.25" customHeight="1" s="904">
      <c r="C11" s="385" t="inlineStr">
        <is>
          <t>1.1</t>
        </is>
      </c>
      <c r="D11" s="311" t="inlineStr">
        <is>
          <t>Омский НПЗ</t>
        </is>
      </c>
      <c r="E11" s="15" t="n">
        <v>100330758</v>
      </c>
      <c r="F11" s="15" t="n"/>
      <c r="G11" s="16" t="n"/>
      <c r="H11" s="17" t="n"/>
      <c r="I11" s="636" t="n"/>
      <c r="J11" s="17" t="n"/>
      <c r="K11" s="228" t="inlineStr">
        <is>
          <t>тыс.т.</t>
        </is>
      </c>
    </row>
    <row r="12" ht="17.25" customHeight="1" s="904">
      <c r="C12" s="385" t="inlineStr">
        <is>
          <t>1.2</t>
        </is>
      </c>
      <c r="D12" s="311" t="inlineStr">
        <is>
          <t>Московский НПЗ</t>
        </is>
      </c>
      <c r="E12" s="15" t="n">
        <v>100330759</v>
      </c>
      <c r="F12" s="15" t="n"/>
      <c r="G12" s="16" t="n"/>
      <c r="H12" s="17" t="n"/>
      <c r="I12" s="636" t="n"/>
      <c r="J12" s="17" t="n"/>
      <c r="K12" s="228" t="inlineStr">
        <is>
          <t>тыс.т.</t>
        </is>
      </c>
    </row>
    <row r="13" ht="17.25" customHeight="1" s="904">
      <c r="C13" s="385" t="inlineStr">
        <is>
          <t>1.3</t>
        </is>
      </c>
      <c r="D13" s="311" t="inlineStr">
        <is>
          <t>Славнефть-ЯНОС</t>
        </is>
      </c>
      <c r="E13" s="15" t="n">
        <v>100330760</v>
      </c>
      <c r="F13" s="15" t="n"/>
      <c r="G13" s="16" t="n"/>
      <c r="H13" s="17" t="n"/>
      <c r="I13" s="636" t="n"/>
      <c r="J13" s="17" t="n"/>
      <c r="K13" s="228" t="inlineStr">
        <is>
          <t>тыс.т.</t>
        </is>
      </c>
    </row>
    <row r="14" ht="17.25" customHeight="1" s="904">
      <c r="C14" s="385" t="inlineStr">
        <is>
          <t>1.4</t>
        </is>
      </c>
      <c r="D14" s="311" t="inlineStr">
        <is>
          <t>Комплекс NIS</t>
        </is>
      </c>
      <c r="E14" s="15" t="n">
        <v>100335375</v>
      </c>
      <c r="F14" s="15" t="n"/>
      <c r="G14" s="16" t="n"/>
      <c r="H14" s="17" t="n"/>
      <c r="I14" s="636" t="n"/>
      <c r="J14" s="17" t="n"/>
      <c r="K14" s="228" t="inlineStr">
        <is>
          <t>тыс.т.</t>
        </is>
      </c>
    </row>
    <row r="15" ht="17.25" customHeight="1" s="904">
      <c r="C15" s="385" t="n"/>
      <c r="D15" s="475" t="inlineStr">
        <is>
          <t>Переработка газа:</t>
        </is>
      </c>
      <c r="E15" s="15" t="n"/>
      <c r="F15" s="15" t="n"/>
      <c r="G15" s="16" t="n"/>
      <c r="H15" s="17" t="n"/>
      <c r="I15" s="636" t="n"/>
      <c r="J15" s="17" t="n"/>
      <c r="K15" s="228" t="n"/>
    </row>
    <row r="16" ht="17.25" customHeight="1" s="904">
      <c r="C16" s="385" t="inlineStr">
        <is>
          <t>1.5</t>
        </is>
      </c>
      <c r="D16" s="311" t="inlineStr">
        <is>
          <t>Южно-Приобский ГПЗ</t>
        </is>
      </c>
      <c r="E16" s="15" t="n">
        <v>100335374</v>
      </c>
      <c r="F16" s="15" t="n"/>
      <c r="G16" s="16" t="n"/>
      <c r="H16" s="17" t="n"/>
      <c r="I16" s="636" t="n"/>
      <c r="J16" s="17" t="n"/>
      <c r="K16" s="228" t="inlineStr">
        <is>
          <t>млн куб.м</t>
        </is>
      </c>
    </row>
    <row r="17" ht="18.75" customHeight="1" s="904">
      <c r="C17" s="476" t="n">
        <v>2</v>
      </c>
      <c r="D17" s="475" t="inlineStr">
        <is>
          <t>Производство продукция, всего:</t>
        </is>
      </c>
      <c r="E17" s="15" t="n">
        <v>100330049</v>
      </c>
      <c r="F17" s="15" t="n"/>
      <c r="G17" s="16" t="n"/>
      <c r="H17" s="17" t="inlineStr">
        <is>
          <t>100330761+100330762+100330763+100335376+100335377</t>
        </is>
      </c>
      <c r="I17" s="776" t="inlineStr">
        <is>
          <t>ОКРУГЛ({100330049:-1}/{100330000:-1}*$100;$6)</t>
        </is>
      </c>
      <c r="J17" s="17" t="n"/>
      <c r="K17" s="228" t="inlineStr">
        <is>
          <t>тыс.т.</t>
        </is>
      </c>
    </row>
    <row r="18" ht="19.5" customHeight="1" s="904">
      <c r="C18" s="385" t="inlineStr">
        <is>
          <t>2.1</t>
        </is>
      </c>
      <c r="D18" s="311" t="inlineStr">
        <is>
          <t>Омский НПЗ</t>
        </is>
      </c>
      <c r="E18" s="15" t="n">
        <v>100330761</v>
      </c>
      <c r="F18" s="15" t="n"/>
      <c r="G18" s="16" t="n"/>
      <c r="H18" s="17" t="n"/>
      <c r="I18" s="776" t="inlineStr">
        <is>
          <t>ОКРУГЛ({100330761:-1}/{100330758:-1}*$100;$6)</t>
        </is>
      </c>
      <c r="J18" s="17" t="n"/>
      <c r="K18" s="228" t="inlineStr">
        <is>
          <t>тыс.т.</t>
        </is>
      </c>
    </row>
    <row r="19" ht="18.75" customHeight="1" s="904">
      <c r="C19" s="385" t="inlineStr">
        <is>
          <t>2.2</t>
        </is>
      </c>
      <c r="D19" s="311" t="inlineStr">
        <is>
          <t>Московский НПЗ</t>
        </is>
      </c>
      <c r="E19" s="15" t="n">
        <v>100330762</v>
      </c>
      <c r="F19" s="15" t="n"/>
      <c r="G19" s="16" t="n"/>
      <c r="H19" s="17" t="n"/>
      <c r="I19" s="776" t="inlineStr">
        <is>
          <t>ОКРУГЛ({100330762:-1}/{100330759:-1}*$100;$6)</t>
        </is>
      </c>
      <c r="J19" s="17" t="n"/>
      <c r="K19" s="228" t="inlineStr">
        <is>
          <t>тыс.т.</t>
        </is>
      </c>
    </row>
    <row r="20" ht="18.75" customHeight="1" s="904">
      <c r="C20" s="385" t="inlineStr">
        <is>
          <t>2.3</t>
        </is>
      </c>
      <c r="D20" s="311" t="inlineStr">
        <is>
          <t>Славнефть-ЯНОС</t>
        </is>
      </c>
      <c r="E20" s="15" t="inlineStr">
        <is>
          <t>100330763</t>
        </is>
      </c>
      <c r="F20" s="15" t="n"/>
      <c r="G20" s="16" t="n"/>
      <c r="H20" s="17" t="n"/>
      <c r="I20" s="776" t="inlineStr">
        <is>
          <t>ОКРУГЛ({100330763:-1}/{100330760:-1}*$100;$6)</t>
        </is>
      </c>
      <c r="J20" s="17" t="n"/>
      <c r="K20" s="228" t="inlineStr">
        <is>
          <t>тыс.т.</t>
        </is>
      </c>
    </row>
    <row r="21" ht="18.75" customHeight="1" s="904">
      <c r="C21" s="385" t="inlineStr">
        <is>
          <t>2.4</t>
        </is>
      </c>
      <c r="D21" s="311" t="inlineStr">
        <is>
          <t>Южно-Приобский ГПЗ</t>
        </is>
      </c>
      <c r="E21" s="15" t="n">
        <v>100335376</v>
      </c>
      <c r="F21" s="15" t="n"/>
      <c r="G21" s="16" t="n"/>
      <c r="H21" s="17" t="n"/>
      <c r="I21" s="776" t="inlineStr">
        <is>
          <t>ОКРУГЛ({100335376:-1}/{100335374:-1}*$100;$6)</t>
        </is>
      </c>
      <c r="J21" s="17" t="n"/>
      <c r="K21" s="228" t="inlineStr">
        <is>
          <t>тыс.т.</t>
        </is>
      </c>
    </row>
    <row r="22" ht="18.75" customHeight="1" s="904">
      <c r="C22" s="385" t="inlineStr">
        <is>
          <t>2.5</t>
        </is>
      </c>
      <c r="D22" s="311" t="inlineStr">
        <is>
          <t>Комплекс NIS</t>
        </is>
      </c>
      <c r="E22" s="15" t="n">
        <v>100335377</v>
      </c>
      <c r="F22" s="15" t="n"/>
      <c r="G22" s="16" t="n"/>
      <c r="H22" s="17" t="n"/>
      <c r="I22" s="776" t="inlineStr">
        <is>
          <t>ОКРУГЛ({100335377:-1}/{100335375:-1}*$100;$6)</t>
        </is>
      </c>
      <c r="J22" s="17" t="n"/>
      <c r="K22" s="228" t="inlineStr">
        <is>
          <t>тыс.т.</t>
        </is>
      </c>
    </row>
    <row r="23" ht="17.25" customHeight="1" s="904">
      <c r="C23" s="477" t="inlineStr">
        <is>
          <t>3</t>
        </is>
      </c>
      <c r="D23" s="475" t="inlineStr">
        <is>
          <t>Сухой газ, всего:</t>
        </is>
      </c>
      <c r="E23" s="15" t="n">
        <v>100335378</v>
      </c>
      <c r="F23" s="15" t="n"/>
      <c r="G23" s="16" t="n"/>
      <c r="H23" s="17" t="inlineStr">
        <is>
          <t>100335379</t>
        </is>
      </c>
      <c r="I23" s="776" t="inlineStr">
        <is>
          <t>ОКРУГЛ({100335379:-1}/{100335374:-1}*$100;$6)</t>
        </is>
      </c>
      <c r="J23" s="17" t="n"/>
      <c r="K23" s="136" t="inlineStr">
        <is>
          <t>млн куб.м</t>
        </is>
      </c>
    </row>
    <row r="24" ht="17.25" customHeight="1" s="904">
      <c r="C24" s="385" t="inlineStr">
        <is>
          <t>3.1</t>
        </is>
      </c>
      <c r="D24" s="311" t="inlineStr">
        <is>
          <t>Южно-Приобский ГПЗ</t>
        </is>
      </c>
      <c r="E24" s="15" t="n">
        <v>100335379</v>
      </c>
      <c r="F24" s="15" t="n"/>
      <c r="G24" s="16" t="n"/>
      <c r="H24" s="17" t="n"/>
      <c r="I24" s="776" t="inlineStr">
        <is>
          <t>ОКРУГЛ({100335379:-1}/{100335374:-1}*$100;$6)</t>
        </is>
      </c>
      <c r="J24" s="17" t="n"/>
      <c r="K24" s="136" t="inlineStr">
        <is>
          <t>млн куб.м</t>
        </is>
      </c>
    </row>
    <row r="25" ht="17.25" customHeight="1" s="904">
      <c r="C25" s="477" t="inlineStr">
        <is>
          <t>4</t>
        </is>
      </c>
      <c r="D25" s="478" t="inlineStr">
        <is>
          <t>Широкая фракция легких углеводородов</t>
        </is>
      </c>
      <c r="E25" s="15" t="inlineStr">
        <is>
          <t>100335380</t>
        </is>
      </c>
      <c r="F25" s="15" t="n"/>
      <c r="G25" s="16" t="n"/>
      <c r="H25" s="17" t="inlineStr">
        <is>
          <t>100335381</t>
        </is>
      </c>
      <c r="I25" s="776" t="inlineStr">
        <is>
          <t>ОКРУГЛ({100335381:-1}/{100335374:-1}*$100;$6)</t>
        </is>
      </c>
      <c r="J25" s="17" t="n"/>
      <c r="K25" s="228" t="inlineStr">
        <is>
          <t>тыс.т.</t>
        </is>
      </c>
    </row>
    <row r="26" ht="17.25" customHeight="1" s="904">
      <c r="C26" s="385" t="inlineStr">
        <is>
          <t>4.1</t>
        </is>
      </c>
      <c r="D26" s="311" t="inlineStr">
        <is>
          <t>Южно-Приобский ГПЗ</t>
        </is>
      </c>
      <c r="E26" s="15" t="n">
        <v>100335381</v>
      </c>
      <c r="F26" s="15" t="n"/>
      <c r="G26" s="16" t="n"/>
      <c r="H26" s="17" t="n"/>
      <c r="I26" s="776" t="inlineStr">
        <is>
          <t>ОКРУГЛ({100335381:-1}/{100335374:-1}*$100;$6)</t>
        </is>
      </c>
      <c r="J26" s="17" t="n"/>
      <c r="K26" s="228" t="inlineStr">
        <is>
          <t>тыс.т.</t>
        </is>
      </c>
    </row>
    <row r="27" ht="24" customHeight="1" s="904">
      <c r="C27" s="477" t="inlineStr">
        <is>
          <t>5</t>
        </is>
      </c>
      <c r="D27" s="475" t="inlineStr">
        <is>
          <t>Бензин автомобильный, всего:</t>
        </is>
      </c>
      <c r="E27" s="15" t="n">
        <v>100330107</v>
      </c>
      <c r="F27" s="15" t="n"/>
      <c r="G27" s="16" t="n"/>
      <c r="H27" s="17" t="inlineStr">
        <is>
          <t>100330764+100330765+100330766+100335382</t>
        </is>
      </c>
      <c r="I27" s="776" t="inlineStr">
        <is>
          <t>ОКРУГЛ({100330107:-1}/{100330000:-1}*$100;$6)</t>
        </is>
      </c>
      <c r="J27" s="17" t="n"/>
      <c r="K27" s="228" t="inlineStr">
        <is>
          <t>тыс.т.</t>
        </is>
      </c>
    </row>
    <row r="28" ht="17.25" customHeight="1" s="904">
      <c r="C28" s="385" t="inlineStr">
        <is>
          <t>5.1</t>
        </is>
      </c>
      <c r="D28" s="311" t="inlineStr">
        <is>
          <t>Омский НПЗ</t>
        </is>
      </c>
      <c r="E28" s="15" t="inlineStr">
        <is>
          <t>100330764</t>
        </is>
      </c>
      <c r="F28" s="15" t="n"/>
      <c r="G28" s="16" t="n"/>
      <c r="H28" s="17" t="n"/>
      <c r="I28" s="776" t="inlineStr">
        <is>
          <t>ОКРУГЛ({100330764:-1}/{100330758:-1}*$100;$6)</t>
        </is>
      </c>
      <c r="J28" s="17" t="n"/>
      <c r="K28" s="228" t="inlineStr">
        <is>
          <t>тыс.т.</t>
        </is>
      </c>
    </row>
    <row r="29" ht="17.25" customHeight="1" s="904">
      <c r="C29" s="385" t="inlineStr">
        <is>
          <t>5.2</t>
        </is>
      </c>
      <c r="D29" s="311" t="inlineStr">
        <is>
          <t>Московский НПЗ</t>
        </is>
      </c>
      <c r="E29" s="15" t="inlineStr">
        <is>
          <t>100330765</t>
        </is>
      </c>
      <c r="F29" s="15" t="n"/>
      <c r="G29" s="16" t="n"/>
      <c r="H29" s="17" t="n"/>
      <c r="I29" s="776" t="inlineStr">
        <is>
          <t>ОКРУГЛ({100330765:-1}/{100330759:-1}*$100;$6)</t>
        </is>
      </c>
      <c r="J29" s="17" t="n"/>
      <c r="K29" s="228" t="inlineStr">
        <is>
          <t>тыс.т.</t>
        </is>
      </c>
    </row>
    <row r="30" ht="17.25" customHeight="1" s="904">
      <c r="C30" s="385" t="inlineStr">
        <is>
          <t>5.3</t>
        </is>
      </c>
      <c r="D30" s="311" t="inlineStr">
        <is>
          <t>Славнефть-ЯНОС</t>
        </is>
      </c>
      <c r="E30" s="15" t="inlineStr">
        <is>
          <t>100330766</t>
        </is>
      </c>
      <c r="F30" s="15" t="n"/>
      <c r="G30" s="16" t="n"/>
      <c r="H30" s="17" t="n"/>
      <c r="I30" s="776" t="inlineStr">
        <is>
          <t>ОКРУГЛ({100330763:-1}/{100330760:-1}*$100;$6)</t>
        </is>
      </c>
      <c r="J30" s="17" t="n"/>
      <c r="K30" s="228" t="inlineStr">
        <is>
          <t>тыс.т.</t>
        </is>
      </c>
    </row>
    <row r="31" ht="17.25" customHeight="1" s="904">
      <c r="C31" s="385" t="inlineStr">
        <is>
          <t>5.4</t>
        </is>
      </c>
      <c r="D31" s="311" t="inlineStr">
        <is>
          <t>Комплекс NIS</t>
        </is>
      </c>
      <c r="E31" s="15" t="n">
        <v>100335382</v>
      </c>
      <c r="F31" s="15" t="n"/>
      <c r="G31" s="16" t="n"/>
      <c r="H31" s="17" t="n"/>
      <c r="I31" s="776" t="inlineStr">
        <is>
          <t>ОКРУГЛ({100335382:-1}/{100335375:-1}*$100;$6)</t>
        </is>
      </c>
      <c r="J31" s="17" t="n"/>
      <c r="K31" s="228" t="inlineStr">
        <is>
          <t>тыс.т.</t>
        </is>
      </c>
    </row>
    <row r="32" ht="24" customHeight="1" s="904">
      <c r="C32" s="477" t="inlineStr">
        <is>
          <t>6</t>
        </is>
      </c>
      <c r="D32" s="475" t="inlineStr">
        <is>
          <t>Бензин технологический, всего:</t>
        </is>
      </c>
      <c r="E32" s="15" t="n">
        <v>100330767</v>
      </c>
      <c r="F32" s="15" t="n"/>
      <c r="G32" s="16" t="n"/>
      <c r="H32" s="17" t="inlineStr">
        <is>
          <t>100330768+100330769+100330770+100335383</t>
        </is>
      </c>
      <c r="I32" s="776" t="inlineStr">
        <is>
          <t>ОКРУГЛ({100330767:-1}/{100330000:-1}*$100;$6)</t>
        </is>
      </c>
      <c r="J32" s="17" t="n"/>
      <c r="K32" s="228" t="inlineStr">
        <is>
          <t>тыс.т.</t>
        </is>
      </c>
    </row>
    <row r="33" ht="17.25" customHeight="1" s="904">
      <c r="C33" s="385" t="inlineStr">
        <is>
          <t>6.1</t>
        </is>
      </c>
      <c r="D33" s="311" t="inlineStr">
        <is>
          <t>Омский НПЗ</t>
        </is>
      </c>
      <c r="E33" s="15" t="inlineStr">
        <is>
          <t>100330768</t>
        </is>
      </c>
      <c r="F33" s="15" t="n"/>
      <c r="G33" s="16" t="n"/>
      <c r="H33" s="17" t="n"/>
      <c r="I33" s="776" t="inlineStr">
        <is>
          <t>ОКРУГЛ({100330768:-1}/{100330758:-1}*$100;$6)</t>
        </is>
      </c>
      <c r="J33" s="17" t="n"/>
      <c r="K33" s="228" t="inlineStr">
        <is>
          <t>тыс.т.</t>
        </is>
      </c>
    </row>
    <row r="34" ht="17.25" customHeight="1" s="904">
      <c r="C34" s="385" t="inlineStr">
        <is>
          <t>6.2</t>
        </is>
      </c>
      <c r="D34" s="311" t="inlineStr">
        <is>
          <t>Московский НПЗ</t>
        </is>
      </c>
      <c r="E34" s="15" t="inlineStr">
        <is>
          <t>100330769</t>
        </is>
      </c>
      <c r="F34" s="15" t="n"/>
      <c r="G34" s="16" t="n"/>
      <c r="H34" s="17" t="n"/>
      <c r="I34" s="776" t="inlineStr">
        <is>
          <t>ОКРУГЛ({100330769:-1}/{100330759:-1}*$100;$6)</t>
        </is>
      </c>
      <c r="J34" s="17" t="n"/>
      <c r="K34" s="228" t="inlineStr">
        <is>
          <t>тыс.т.</t>
        </is>
      </c>
    </row>
    <row r="35" ht="17.25" customHeight="1" s="904">
      <c r="C35" s="385" t="inlineStr">
        <is>
          <t>6.3</t>
        </is>
      </c>
      <c r="D35" s="311" t="inlineStr">
        <is>
          <t>Славнефть-ЯНОС</t>
        </is>
      </c>
      <c r="E35" s="15" t="inlineStr">
        <is>
          <t>100330770</t>
        </is>
      </c>
      <c r="F35" s="15" t="n"/>
      <c r="G35" s="16" t="n"/>
      <c r="H35" s="17" t="n"/>
      <c r="I35" s="776" t="inlineStr">
        <is>
          <t>ОКРУГЛ({100330770:-1}/{100330760:-1}*$100;$6)</t>
        </is>
      </c>
      <c r="J35" s="17" t="n"/>
      <c r="K35" s="228" t="inlineStr">
        <is>
          <t>тыс.т.</t>
        </is>
      </c>
    </row>
    <row r="36" ht="17.25" customHeight="1" s="904">
      <c r="C36" s="385" t="inlineStr">
        <is>
          <t>6.4</t>
        </is>
      </c>
      <c r="D36" s="311" t="inlineStr">
        <is>
          <t>Комплекс NIS</t>
        </is>
      </c>
      <c r="E36" s="15" t="inlineStr">
        <is>
          <t>100335383</t>
        </is>
      </c>
      <c r="F36" s="15" t="n"/>
      <c r="G36" s="16" t="n"/>
      <c r="H36" s="17" t="n"/>
      <c r="I36" s="776" t="inlineStr">
        <is>
          <t>ОКРУГЛ({100335383:-1}/{100335375:-1}*$100;$6)</t>
        </is>
      </c>
      <c r="J36" s="17" t="n"/>
      <c r="K36" s="228" t="inlineStr">
        <is>
          <t>тыс.т.</t>
        </is>
      </c>
    </row>
    <row r="37" ht="24" customHeight="1" s="904">
      <c r="C37" s="477" t="inlineStr">
        <is>
          <t>7</t>
        </is>
      </c>
      <c r="D37" s="475" t="inlineStr">
        <is>
          <t>Дизельное топливо, всего:</t>
        </is>
      </c>
      <c r="E37" s="15" t="n">
        <v>100330123</v>
      </c>
      <c r="F37" s="15" t="n"/>
      <c r="G37" s="16" t="n"/>
      <c r="H37" s="17" t="inlineStr">
        <is>
          <t>100330771+100330772+100330773+100335384</t>
        </is>
      </c>
      <c r="I37" s="776" t="inlineStr">
        <is>
          <t>ОКРУГЛ({100330123:-1}/{100330000:-1}*$100;$6)</t>
        </is>
      </c>
      <c r="J37" s="17" t="n"/>
      <c r="K37" s="228" t="inlineStr">
        <is>
          <t>тыс.т.</t>
        </is>
      </c>
    </row>
    <row r="38" ht="17.25" customHeight="1" s="904">
      <c r="C38" s="385" t="inlineStr">
        <is>
          <t>7.1</t>
        </is>
      </c>
      <c r="D38" s="311" t="inlineStr">
        <is>
          <t>Омский НПЗ</t>
        </is>
      </c>
      <c r="E38" s="15" t="n">
        <v>100330771</v>
      </c>
      <c r="F38" s="15" t="n"/>
      <c r="G38" s="16" t="n"/>
      <c r="H38" s="17" t="n"/>
      <c r="I38" s="776" t="inlineStr">
        <is>
          <t>ОКРУГЛ({100330771:-1}/{100330758:-1}*$100;$6)</t>
        </is>
      </c>
      <c r="J38" s="17" t="n"/>
      <c r="K38" s="228" t="inlineStr">
        <is>
          <t>тыс.т.</t>
        </is>
      </c>
    </row>
    <row r="39" ht="17.25" customHeight="1" s="904">
      <c r="C39" s="385" t="inlineStr">
        <is>
          <t>7.2</t>
        </is>
      </c>
      <c r="D39" s="311" t="inlineStr">
        <is>
          <t>Московский НПЗ</t>
        </is>
      </c>
      <c r="E39" s="15" t="inlineStr">
        <is>
          <t>100330772</t>
        </is>
      </c>
      <c r="F39" s="15" t="n"/>
      <c r="G39" s="16" t="n"/>
      <c r="H39" s="17" t="n"/>
      <c r="I39" s="636" t="inlineStr">
        <is>
          <t>ОКРУГЛ({100330772:-1}/{100330759:-1}*$100;$6)</t>
        </is>
      </c>
      <c r="J39" s="17" t="n"/>
      <c r="K39" s="228" t="inlineStr">
        <is>
          <t>тыс.т.</t>
        </is>
      </c>
    </row>
    <row r="40" ht="17.25" customHeight="1" s="904">
      <c r="C40" s="385" t="inlineStr">
        <is>
          <t>7.3</t>
        </is>
      </c>
      <c r="D40" s="311" t="inlineStr">
        <is>
          <t>Славнефть-ЯНОС</t>
        </is>
      </c>
      <c r="E40" s="15" t="inlineStr">
        <is>
          <t>100330773</t>
        </is>
      </c>
      <c r="F40" s="15" t="n"/>
      <c r="G40" s="16" t="n"/>
      <c r="H40" s="17" t="n"/>
      <c r="I40" s="636" t="inlineStr">
        <is>
          <t>ОКРУГЛ({100330770:-1}/{100330760:-1}*$100;$6)</t>
        </is>
      </c>
      <c r="J40" s="17" t="n"/>
      <c r="K40" s="228" t="inlineStr">
        <is>
          <t>тыс.т.</t>
        </is>
      </c>
    </row>
    <row r="41" ht="17.25" customHeight="1" s="904">
      <c r="C41" s="385" t="inlineStr">
        <is>
          <t>7.4</t>
        </is>
      </c>
      <c r="D41" s="311" t="inlineStr">
        <is>
          <t>Комплекс NIS</t>
        </is>
      </c>
      <c r="E41" s="15" t="inlineStr">
        <is>
          <t>100335384</t>
        </is>
      </c>
      <c r="F41" s="15" t="n"/>
      <c r="G41" s="16" t="n"/>
      <c r="H41" s="17" t="n"/>
      <c r="I41" s="636" t="inlineStr">
        <is>
          <t>ОКРУГЛ({100335384:-1}/{100335375:-1}*$100;$6)</t>
        </is>
      </c>
      <c r="J41" s="17" t="n"/>
      <c r="K41" s="228" t="inlineStr">
        <is>
          <t>тыс.т.</t>
        </is>
      </c>
    </row>
    <row r="42" ht="24" customHeight="1" s="904">
      <c r="C42" s="477" t="inlineStr">
        <is>
          <t>8</t>
        </is>
      </c>
      <c r="D42" s="475" t="inlineStr">
        <is>
          <t>Мазут топочный, всего:</t>
        </is>
      </c>
      <c r="E42" s="15" t="n">
        <v>100330774</v>
      </c>
      <c r="F42" s="15" t="n"/>
      <c r="G42" s="16" t="n"/>
      <c r="H42" s="17" t="inlineStr">
        <is>
          <t>100330775+100330776+100330777+100335385</t>
        </is>
      </c>
      <c r="I42" s="776" t="inlineStr">
        <is>
          <t>ОКРУГЛ({100330774:-1}/{100330000:-1}*$100;$6)</t>
        </is>
      </c>
      <c r="J42" s="17" t="n"/>
      <c r="K42" s="228" t="inlineStr">
        <is>
          <t>тыс.т.</t>
        </is>
      </c>
    </row>
    <row r="43" ht="17.25" customHeight="1" s="904">
      <c r="C43" s="385" t="inlineStr">
        <is>
          <t>8.1</t>
        </is>
      </c>
      <c r="D43" s="311" t="inlineStr">
        <is>
          <t>Омский НПЗ</t>
        </is>
      </c>
      <c r="E43" s="15" t="n">
        <v>100330775</v>
      </c>
      <c r="F43" s="15" t="n"/>
      <c r="G43" s="16" t="n"/>
      <c r="H43" s="17" t="n"/>
      <c r="I43" s="776" t="inlineStr">
        <is>
          <t>ОКРУГЛ({100330775:-1}/{100330758:-1}*$100;$6)</t>
        </is>
      </c>
      <c r="J43" s="17" t="n"/>
      <c r="K43" s="228" t="inlineStr">
        <is>
          <t>тыс.т.</t>
        </is>
      </c>
    </row>
    <row r="44" ht="17.25" customHeight="1" s="904">
      <c r="C44" s="385" t="inlineStr">
        <is>
          <t>8.2</t>
        </is>
      </c>
      <c r="D44" s="311" t="inlineStr">
        <is>
          <t>Московский НПЗ</t>
        </is>
      </c>
      <c r="E44" s="15" t="inlineStr">
        <is>
          <t>100330776</t>
        </is>
      </c>
      <c r="F44" s="15" t="n"/>
      <c r="G44" s="16" t="n"/>
      <c r="H44" s="17" t="n"/>
      <c r="I44" s="636" t="inlineStr">
        <is>
          <t>ОКРУГЛ({100330776:-1}/{100330759:-1}*$100;$6)</t>
        </is>
      </c>
      <c r="J44" s="17" t="n"/>
      <c r="K44" s="228" t="inlineStr">
        <is>
          <t>тыс.т.</t>
        </is>
      </c>
    </row>
    <row r="45" ht="17.25" customHeight="1" s="904">
      <c r="C45" s="385" t="inlineStr">
        <is>
          <t>8.3</t>
        </is>
      </c>
      <c r="D45" s="311" t="inlineStr">
        <is>
          <t>Славнефть-ЯНОС</t>
        </is>
      </c>
      <c r="E45" s="15" t="inlineStr">
        <is>
          <t>100330777</t>
        </is>
      </c>
      <c r="F45" s="15" t="n"/>
      <c r="G45" s="16" t="n"/>
      <c r="H45" s="17" t="n"/>
      <c r="I45" s="636" t="inlineStr">
        <is>
          <t>ОКРУГЛ({100330777:-1}/{100330760:-1}*$100;$6)</t>
        </is>
      </c>
      <c r="J45" s="17" t="n"/>
      <c r="K45" s="228" t="inlineStr">
        <is>
          <t>тыс.т.</t>
        </is>
      </c>
    </row>
    <row r="46" ht="17.25" customHeight="1" s="904">
      <c r="C46" s="385" t="inlineStr">
        <is>
          <t>8.4</t>
        </is>
      </c>
      <c r="D46" s="311" t="inlineStr">
        <is>
          <t>Комплекс NIS</t>
        </is>
      </c>
      <c r="E46" s="15" t="inlineStr">
        <is>
          <t>100335385</t>
        </is>
      </c>
      <c r="F46" s="15" t="n"/>
      <c r="G46" s="16" t="n"/>
      <c r="H46" s="17" t="n"/>
      <c r="I46" s="636" t="inlineStr">
        <is>
          <t>ОКРУГЛ({100335385:-1}/{100335375:-1}*$100;$6)</t>
        </is>
      </c>
      <c r="J46" s="17" t="n"/>
      <c r="K46" s="228" t="inlineStr">
        <is>
          <t>тыс.т.</t>
        </is>
      </c>
    </row>
    <row r="47" ht="24" customHeight="1" s="904">
      <c r="C47" s="477" t="inlineStr">
        <is>
          <t>9</t>
        </is>
      </c>
      <c r="D47" s="475" t="inlineStr">
        <is>
          <t>Авиакеросин, всего:</t>
        </is>
      </c>
      <c r="E47" s="15" t="n">
        <v>100330778</v>
      </c>
      <c r="F47" s="15" t="n"/>
      <c r="G47" s="16" t="n"/>
      <c r="H47" s="17" t="inlineStr">
        <is>
          <t>100330779+100330780+100330781+100335386</t>
        </is>
      </c>
      <c r="I47" s="776" t="inlineStr">
        <is>
          <t>ОКРУГЛ({100330778:-1}/{100330000:-1}*$100;$6)</t>
        </is>
      </c>
      <c r="J47" s="17" t="n"/>
      <c r="K47" s="228" t="inlineStr">
        <is>
          <t>тыс.т.</t>
        </is>
      </c>
    </row>
    <row r="48" ht="17.25" customHeight="1" s="904">
      <c r="C48" s="385" t="inlineStr">
        <is>
          <t>9.1</t>
        </is>
      </c>
      <c r="D48" s="311" t="inlineStr">
        <is>
          <t>Омский НПЗ</t>
        </is>
      </c>
      <c r="E48" s="15" t="n">
        <v>100330779</v>
      </c>
      <c r="F48" s="15" t="n"/>
      <c r="G48" s="16" t="n"/>
      <c r="H48" s="17" t="n"/>
      <c r="I48" s="776" t="inlineStr">
        <is>
          <t>ОКРУГЛ({100330779:-1}/{100330758:-1}*$100;$6)</t>
        </is>
      </c>
      <c r="J48" s="17" t="n"/>
      <c r="K48" s="228" t="inlineStr">
        <is>
          <t>тыс.т.</t>
        </is>
      </c>
    </row>
    <row r="49" ht="17.25" customHeight="1" s="904">
      <c r="C49" s="385" t="inlineStr">
        <is>
          <t>9.2</t>
        </is>
      </c>
      <c r="D49" s="311" t="inlineStr">
        <is>
          <t>Московский НПЗ</t>
        </is>
      </c>
      <c r="E49" s="15" t="n">
        <v>100330780</v>
      </c>
      <c r="F49" s="15" t="n"/>
      <c r="G49" s="16" t="n"/>
      <c r="H49" s="17" t="n"/>
      <c r="I49" s="636" t="inlineStr">
        <is>
          <t>ОКРУГЛ({100330780:-1}/{100330759:-1}*$100;$6)</t>
        </is>
      </c>
      <c r="J49" s="17" t="n"/>
      <c r="K49" s="228" t="inlineStr">
        <is>
          <t>тыс.т.</t>
        </is>
      </c>
    </row>
    <row r="50" ht="17.25" customHeight="1" s="904">
      <c r="C50" s="385" t="inlineStr">
        <is>
          <t>9.3</t>
        </is>
      </c>
      <c r="D50" s="311" t="inlineStr">
        <is>
          <t>Славнефть-ЯНОС</t>
        </is>
      </c>
      <c r="E50" s="15" t="n">
        <v>100330781</v>
      </c>
      <c r="F50" s="15" t="n"/>
      <c r="G50" s="16" t="n"/>
      <c r="H50" s="17" t="n"/>
      <c r="I50" s="636" t="inlineStr">
        <is>
          <t>ОКРУГЛ({100330781:-1}/{100330760:-1}*$100;$6)</t>
        </is>
      </c>
      <c r="J50" s="17" t="n"/>
      <c r="K50" s="228" t="inlineStr">
        <is>
          <t>тыс.т.</t>
        </is>
      </c>
    </row>
    <row r="51" ht="17.25" customHeight="1" s="904">
      <c r="C51" s="385" t="inlineStr">
        <is>
          <t>9.4</t>
        </is>
      </c>
      <c r="D51" s="311" t="inlineStr">
        <is>
          <t>Комплекс NIS</t>
        </is>
      </c>
      <c r="E51" s="15" t="inlineStr">
        <is>
          <t>100335386</t>
        </is>
      </c>
      <c r="F51" s="15" t="n"/>
      <c r="G51" s="16" t="n"/>
      <c r="H51" s="17" t="n"/>
      <c r="I51" s="636" t="inlineStr">
        <is>
          <t>ОКРУГЛ({100335386:-1}/{100335375:-1}*$100;$6)</t>
        </is>
      </c>
      <c r="J51" s="17" t="n"/>
      <c r="K51" s="228" t="inlineStr">
        <is>
          <t>тыс.т.</t>
        </is>
      </c>
    </row>
    <row r="52" ht="24" customHeight="1" s="904">
      <c r="C52" s="477" t="inlineStr">
        <is>
          <t>10</t>
        </is>
      </c>
      <c r="D52" s="475" t="inlineStr">
        <is>
          <t>Судовое топливо, всего:</t>
        </is>
      </c>
      <c r="E52" s="15" t="n">
        <v>100335387</v>
      </c>
      <c r="F52" s="15" t="n"/>
      <c r="G52" s="16" t="n"/>
      <c r="H52" s="17" t="inlineStr">
        <is>
          <t>100335388+100335389+100335390+100335391</t>
        </is>
      </c>
      <c r="I52" s="776" t="inlineStr">
        <is>
          <t>ОКРУГЛ({100335387:-1}/{100330000:-1}*$100;$6)</t>
        </is>
      </c>
      <c r="J52" s="17" t="n"/>
      <c r="K52" s="228" t="inlineStr">
        <is>
          <t>тыс.т.</t>
        </is>
      </c>
    </row>
    <row r="53" ht="17.25" customHeight="1" s="904">
      <c r="C53" s="385" t="inlineStr">
        <is>
          <t>10.1</t>
        </is>
      </c>
      <c r="D53" s="311" t="inlineStr">
        <is>
          <t>Омский НПЗ</t>
        </is>
      </c>
      <c r="E53" s="15" t="n">
        <v>100335388</v>
      </c>
      <c r="F53" s="15" t="n"/>
      <c r="G53" s="16" t="n"/>
      <c r="H53" s="17" t="n"/>
      <c r="I53" s="776" t="inlineStr">
        <is>
          <t>ОКРУГЛ({100335388:-1}/{100330758:-1}*$100;$6)</t>
        </is>
      </c>
      <c r="J53" s="17" t="n"/>
      <c r="K53" s="228" t="inlineStr">
        <is>
          <t>тыс.т.</t>
        </is>
      </c>
    </row>
    <row r="54" ht="17.25" customHeight="1" s="904">
      <c r="C54" s="385" t="inlineStr">
        <is>
          <t>10.2</t>
        </is>
      </c>
      <c r="D54" s="311" t="inlineStr">
        <is>
          <t>Московский НПЗ</t>
        </is>
      </c>
      <c r="E54" s="15" t="n">
        <v>100335389</v>
      </c>
      <c r="F54" s="15" t="n"/>
      <c r="G54" s="16" t="n"/>
      <c r="H54" s="17" t="n"/>
      <c r="I54" s="636" t="inlineStr">
        <is>
          <t>ОКРУГЛ({100335389:-1}/{100330759:-1}*$100;$6)</t>
        </is>
      </c>
      <c r="J54" s="17" t="n"/>
      <c r="K54" s="228" t="inlineStr">
        <is>
          <t>тыс.т.</t>
        </is>
      </c>
    </row>
    <row r="55" ht="17.25" customHeight="1" s="904">
      <c r="C55" s="385" t="inlineStr">
        <is>
          <t>10.3</t>
        </is>
      </c>
      <c r="D55" s="311" t="inlineStr">
        <is>
          <t>Славнефть-ЯНОС</t>
        </is>
      </c>
      <c r="E55" s="15" t="n">
        <v>100335390</v>
      </c>
      <c r="F55" s="15" t="n"/>
      <c r="G55" s="16" t="n"/>
      <c r="H55" s="17" t="n"/>
      <c r="I55" s="636" t="inlineStr">
        <is>
          <t>ОКРУГЛ({100335390:-1}/{100330760:-1}*$100;$6)</t>
        </is>
      </c>
      <c r="J55" s="17" t="n"/>
      <c r="K55" s="228" t="inlineStr">
        <is>
          <t>тыс.т.</t>
        </is>
      </c>
    </row>
    <row r="56" ht="17.25" customHeight="1" s="904">
      <c r="C56" s="385" t="inlineStr">
        <is>
          <t>10.4</t>
        </is>
      </c>
      <c r="D56" s="311" t="inlineStr">
        <is>
          <t>Комплекс NIS</t>
        </is>
      </c>
      <c r="E56" s="15" t="inlineStr">
        <is>
          <t>100335391</t>
        </is>
      </c>
      <c r="F56" s="15" t="n"/>
      <c r="G56" s="16" t="n"/>
      <c r="H56" s="17" t="n"/>
      <c r="I56" s="636" t="inlineStr">
        <is>
          <t>ОКРУГЛ({100335391:-1}/{100335375:-1}*$100;$6)</t>
        </is>
      </c>
      <c r="J56" s="17" t="n"/>
      <c r="K56" s="228" t="inlineStr">
        <is>
          <t>тыс.т.</t>
        </is>
      </c>
    </row>
    <row r="57" ht="24" customHeight="1" s="904">
      <c r="C57" s="477" t="inlineStr">
        <is>
          <t>11</t>
        </is>
      </c>
      <c r="D57" s="475" t="inlineStr">
        <is>
          <t>Масла, всего</t>
        </is>
      </c>
      <c r="E57" s="15" t="n">
        <v>100330782</v>
      </c>
      <c r="F57" s="15" t="n"/>
      <c r="G57" s="16" t="n"/>
      <c r="H57" s="17" t="inlineStr">
        <is>
          <t>100335392+100335393+100330783+100335394</t>
        </is>
      </c>
      <c r="I57" s="776" t="inlineStr">
        <is>
          <t>ОКРУГЛ({100330782:-1}/{100330000:-1}*$100;$6)</t>
        </is>
      </c>
      <c r="J57" s="17" t="n"/>
      <c r="K57" s="228" t="inlineStr">
        <is>
          <t>тыс.т.</t>
        </is>
      </c>
    </row>
    <row r="58" ht="17.25" customHeight="1" s="904">
      <c r="C58" s="385" t="inlineStr">
        <is>
          <t>11.1</t>
        </is>
      </c>
      <c r="D58" s="311" t="inlineStr">
        <is>
          <t>Омский НПЗ</t>
        </is>
      </c>
      <c r="E58" s="15" t="n">
        <v>100335392</v>
      </c>
      <c r="F58" s="15" t="n"/>
      <c r="G58" s="16" t="n"/>
      <c r="H58" s="17" t="n"/>
      <c r="I58" s="776" t="inlineStr">
        <is>
          <t>ОКРУГЛ({100335392:-1}/{100330758:-1}*$100;$6)</t>
        </is>
      </c>
      <c r="J58" s="17" t="n"/>
      <c r="K58" s="228" t="inlineStr">
        <is>
          <t>тыс.т.</t>
        </is>
      </c>
    </row>
    <row r="59" ht="17.25" customHeight="1" s="904">
      <c r="C59" s="385" t="inlineStr">
        <is>
          <t>11.2</t>
        </is>
      </c>
      <c r="D59" s="311" t="inlineStr">
        <is>
          <t>Московский НПЗ</t>
        </is>
      </c>
      <c r="E59" s="15" t="n">
        <v>100335393</v>
      </c>
      <c r="F59" s="15" t="n"/>
      <c r="G59" s="16" t="n"/>
      <c r="H59" s="17" t="n"/>
      <c r="I59" s="636" t="inlineStr">
        <is>
          <t>ОКРУГЛ({100335393:-1}/{100330759:-1}*$100;$6)</t>
        </is>
      </c>
      <c r="J59" s="17" t="n"/>
      <c r="K59" s="228" t="inlineStr">
        <is>
          <t>тыс.т.</t>
        </is>
      </c>
    </row>
    <row r="60" ht="17.25" customHeight="1" s="904">
      <c r="C60" s="385" t="inlineStr">
        <is>
          <t>11.3</t>
        </is>
      </c>
      <c r="D60" s="311" t="inlineStr">
        <is>
          <t>Славнефть-ЯНОС</t>
        </is>
      </c>
      <c r="E60" s="15" t="n">
        <v>100330783</v>
      </c>
      <c r="F60" s="15" t="n"/>
      <c r="G60" s="16" t="n"/>
      <c r="H60" s="17" t="n"/>
      <c r="I60" s="636" t="inlineStr">
        <is>
          <t>ОКРУГЛ({100330783:-1}/{100330760:-1}*$100;$6)</t>
        </is>
      </c>
      <c r="J60" s="17" t="n"/>
      <c r="K60" s="228" t="inlineStr">
        <is>
          <t>тыс.т.</t>
        </is>
      </c>
    </row>
    <row r="61" ht="17.25" customHeight="1" s="904">
      <c r="C61" s="385" t="inlineStr">
        <is>
          <t>11.4</t>
        </is>
      </c>
      <c r="D61" s="311" t="inlineStr">
        <is>
          <t>Комплекс NIS</t>
        </is>
      </c>
      <c r="E61" s="15" t="inlineStr">
        <is>
          <t>100335394</t>
        </is>
      </c>
      <c r="F61" s="15" t="n"/>
      <c r="G61" s="16" t="n"/>
      <c r="H61" s="17" t="n"/>
      <c r="I61" s="636" t="inlineStr">
        <is>
          <t>ОКРУГЛ({100335394:-1}/{100335375:-1}*$100;$6)</t>
        </is>
      </c>
      <c r="J61" s="17" t="n"/>
      <c r="K61" s="228" t="inlineStr">
        <is>
          <t>тыс.т.</t>
        </is>
      </c>
    </row>
    <row r="62" ht="24" customHeight="1" s="904">
      <c r="C62" s="477" t="inlineStr">
        <is>
          <t>12</t>
        </is>
      </c>
      <c r="D62" s="475" t="inlineStr">
        <is>
          <t>Газы углеводородные сжиженные, всего:</t>
        </is>
      </c>
      <c r="E62" s="15" t="n">
        <v>100330086</v>
      </c>
      <c r="F62" s="15" t="n"/>
      <c r="G62" s="16" t="n"/>
      <c r="H62" s="17" t="inlineStr">
        <is>
          <t>100330784+100330785+100330786+100335395</t>
        </is>
      </c>
      <c r="I62" s="776" t="inlineStr">
        <is>
          <t>ОКРУГЛ({100330086:-1}/{100330000:-1}*$100;$6)</t>
        </is>
      </c>
      <c r="J62" s="17" t="n"/>
      <c r="K62" s="228" t="inlineStr">
        <is>
          <t>тыс.т.</t>
        </is>
      </c>
    </row>
    <row r="63" ht="17.25" customHeight="1" s="904">
      <c r="C63" s="385" t="inlineStr">
        <is>
          <t>12.1</t>
        </is>
      </c>
      <c r="D63" s="311" t="inlineStr">
        <is>
          <t>Омский НПЗ</t>
        </is>
      </c>
      <c r="E63" s="15" t="n">
        <v>100330784</v>
      </c>
      <c r="F63" s="15" t="n"/>
      <c r="G63" s="16" t="n"/>
      <c r="H63" s="17" t="n"/>
      <c r="I63" s="776" t="inlineStr">
        <is>
          <t>ОКРУГЛ({100330784:-1}/{100330758:-1}*$100;$6)</t>
        </is>
      </c>
      <c r="J63" s="17" t="n"/>
      <c r="K63" s="228" t="inlineStr">
        <is>
          <t>тыс.т.</t>
        </is>
      </c>
    </row>
    <row r="64" ht="17.25" customHeight="1" s="904">
      <c r="C64" s="385" t="inlineStr">
        <is>
          <t>12.2</t>
        </is>
      </c>
      <c r="D64" s="311" t="inlineStr">
        <is>
          <t>Московский НПЗ</t>
        </is>
      </c>
      <c r="E64" s="15" t="n">
        <v>100330785</v>
      </c>
      <c r="F64" s="15" t="n"/>
      <c r="G64" s="16" t="n"/>
      <c r="H64" s="17" t="n"/>
      <c r="I64" s="636" t="inlineStr">
        <is>
          <t>ОКРУГЛ({100330785:-1}/{100330759:-1}*$100;$6)</t>
        </is>
      </c>
      <c r="J64" s="17" t="n"/>
      <c r="K64" s="228" t="inlineStr">
        <is>
          <t>тыс.т.</t>
        </is>
      </c>
    </row>
    <row r="65" ht="17.25" customHeight="1" s="904">
      <c r="C65" s="385" t="inlineStr">
        <is>
          <t>12.3</t>
        </is>
      </c>
      <c r="D65" s="311" t="inlineStr">
        <is>
          <t>Славнефть-ЯНОС</t>
        </is>
      </c>
      <c r="E65" s="15" t="n">
        <v>100330786</v>
      </c>
      <c r="F65" s="15" t="n"/>
      <c r="G65" s="16" t="n"/>
      <c r="H65" s="17" t="n"/>
      <c r="I65" s="636" t="inlineStr">
        <is>
          <t>ОКРУГЛ({100330786:-1}/{100330760:-1}*$100;$6)</t>
        </is>
      </c>
      <c r="J65" s="17" t="n"/>
      <c r="K65" s="228" t="inlineStr">
        <is>
          <t>тыс.т.</t>
        </is>
      </c>
    </row>
    <row r="66" ht="17.25" customHeight="1" s="904">
      <c r="C66" s="385" t="inlineStr">
        <is>
          <t>12.4</t>
        </is>
      </c>
      <c r="D66" s="311" t="inlineStr">
        <is>
          <t>Комплекс NIS</t>
        </is>
      </c>
      <c r="E66" s="15" t="inlineStr">
        <is>
          <t>100335395</t>
        </is>
      </c>
      <c r="F66" s="15" t="n"/>
      <c r="G66" s="16" t="n"/>
      <c r="H66" s="17" t="n"/>
      <c r="I66" s="636" t="inlineStr">
        <is>
          <t>ОКРУГЛ({100335395:-1}/{100335375:-1}*$100;$6)</t>
        </is>
      </c>
      <c r="J66" s="17" t="n"/>
      <c r="K66" s="228" t="inlineStr">
        <is>
          <t>тыс.т.</t>
        </is>
      </c>
    </row>
    <row r="67" ht="24" customHeight="1" s="904">
      <c r="C67" s="477" t="inlineStr">
        <is>
          <t>13</t>
        </is>
      </c>
      <c r="D67" s="475" t="inlineStr">
        <is>
          <t>Битумы, всего:</t>
        </is>
      </c>
      <c r="E67" s="15" t="n">
        <v>100335396</v>
      </c>
      <c r="F67" s="15" t="n"/>
      <c r="G67" s="16" t="n"/>
      <c r="H67" s="17" t="inlineStr">
        <is>
          <t>100335397+100335398+100335399+100335400</t>
        </is>
      </c>
      <c r="I67" s="776" t="inlineStr">
        <is>
          <t>ОКРУГЛ({100335396:-1}/{100330000:-1}*$100;$6)</t>
        </is>
      </c>
      <c r="J67" s="17" t="n"/>
      <c r="K67" s="228" t="inlineStr">
        <is>
          <t>тыс.т.</t>
        </is>
      </c>
    </row>
    <row r="68" ht="17.25" customHeight="1" s="904">
      <c r="C68" s="385" t="inlineStr">
        <is>
          <t>13.1</t>
        </is>
      </c>
      <c r="D68" s="311" t="inlineStr">
        <is>
          <t>Омский НПЗ</t>
        </is>
      </c>
      <c r="E68" s="15" t="n">
        <v>100335397</v>
      </c>
      <c r="F68" s="15" t="n"/>
      <c r="G68" s="16" t="n"/>
      <c r="H68" s="17" t="n"/>
      <c r="I68" s="776" t="inlineStr">
        <is>
          <t>ОКРУГЛ({100335397:-1}/{100330758:-1}*$100;$6)</t>
        </is>
      </c>
      <c r="J68" s="17" t="n"/>
      <c r="K68" s="228" t="inlineStr">
        <is>
          <t>тыс.т.</t>
        </is>
      </c>
    </row>
    <row r="69" ht="17.25" customHeight="1" s="904">
      <c r="C69" s="385" t="inlineStr">
        <is>
          <t>13.2</t>
        </is>
      </c>
      <c r="D69" s="311" t="inlineStr">
        <is>
          <t>Московский НПЗ</t>
        </is>
      </c>
      <c r="E69" s="15" t="n">
        <v>100335398</v>
      </c>
      <c r="F69" s="15" t="n"/>
      <c r="G69" s="16" t="n"/>
      <c r="H69" s="17" t="n"/>
      <c r="I69" s="636" t="inlineStr">
        <is>
          <t>ОКРУГЛ({100335398:-1}/{100330759:-1}*$100;$6)</t>
        </is>
      </c>
      <c r="J69" s="17" t="n"/>
      <c r="K69" s="228" t="inlineStr">
        <is>
          <t>тыс.т.</t>
        </is>
      </c>
    </row>
    <row r="70" ht="17.25" customHeight="1" s="904">
      <c r="C70" s="385" t="inlineStr">
        <is>
          <t>13.3</t>
        </is>
      </c>
      <c r="D70" s="311" t="inlineStr">
        <is>
          <t>Славнефть-ЯНОС</t>
        </is>
      </c>
      <c r="E70" s="15" t="n">
        <v>100335399</v>
      </c>
      <c r="F70" s="15" t="n"/>
      <c r="G70" s="16" t="n"/>
      <c r="H70" s="17" t="n"/>
      <c r="I70" s="636" t="inlineStr">
        <is>
          <t>ОКРУГЛ({100335399:-1}/{100330760:-1}*$100;$6)</t>
        </is>
      </c>
      <c r="J70" s="17" t="n"/>
      <c r="K70" s="228" t="inlineStr">
        <is>
          <t>тыс.т.</t>
        </is>
      </c>
    </row>
    <row r="71" ht="17.25" customHeight="1" s="904">
      <c r="C71" s="385" t="inlineStr">
        <is>
          <t>13.4</t>
        </is>
      </c>
      <c r="D71" s="311" t="inlineStr">
        <is>
          <t>Комплекс NIS</t>
        </is>
      </c>
      <c r="E71" s="15" t="n">
        <v>100335400</v>
      </c>
      <c r="F71" s="15" t="n"/>
      <c r="G71" s="16" t="n"/>
      <c r="H71" s="17" t="n"/>
      <c r="I71" s="636" t="inlineStr">
        <is>
          <t>ОКРУГЛ({100335400:-1}/{100335375:-1}*$100;$6)</t>
        </is>
      </c>
      <c r="J71" s="17" t="n"/>
      <c r="K71" s="228" t="inlineStr">
        <is>
          <t>тыс.т.</t>
        </is>
      </c>
    </row>
    <row r="72" ht="24" customHeight="1" s="904">
      <c r="C72" s="477" t="inlineStr">
        <is>
          <t>14</t>
        </is>
      </c>
      <c r="D72" s="475" t="inlineStr">
        <is>
          <t>Сера, всего:</t>
        </is>
      </c>
      <c r="E72" s="15" t="n">
        <v>100335401</v>
      </c>
      <c r="F72" s="15" t="n"/>
      <c r="G72" s="16" t="n"/>
      <c r="H72" s="17" t="inlineStr">
        <is>
          <t>100335402+100335403+100335404+100335405</t>
        </is>
      </c>
      <c r="I72" s="776" t="inlineStr">
        <is>
          <t>ОКРУГЛ({100335401:-1}/{100330000:-1}*$100;$6)</t>
        </is>
      </c>
      <c r="J72" s="17" t="n"/>
      <c r="K72" s="228" t="inlineStr">
        <is>
          <t>тыс.т.</t>
        </is>
      </c>
    </row>
    <row r="73" ht="17.25" customHeight="1" s="904">
      <c r="C73" s="385" t="inlineStr">
        <is>
          <t>14.1</t>
        </is>
      </c>
      <c r="D73" s="311" t="inlineStr">
        <is>
          <t>Омский НПЗ</t>
        </is>
      </c>
      <c r="E73" s="15" t="n">
        <v>100335402</v>
      </c>
      <c r="F73" s="15" t="n"/>
      <c r="G73" s="16" t="n"/>
      <c r="H73" s="17" t="n"/>
      <c r="I73" s="776" t="inlineStr">
        <is>
          <t>ОКРУГЛ({100335402:-1}/{100330758:-1}*$100;$6)</t>
        </is>
      </c>
      <c r="J73" s="17" t="n"/>
      <c r="K73" s="228" t="inlineStr">
        <is>
          <t>тыс.т.</t>
        </is>
      </c>
    </row>
    <row r="74" ht="17.25" customHeight="1" s="904">
      <c r="C74" s="385" t="inlineStr">
        <is>
          <t>14.2</t>
        </is>
      </c>
      <c r="D74" s="311" t="inlineStr">
        <is>
          <t>Московский НПЗ</t>
        </is>
      </c>
      <c r="E74" s="15" t="n">
        <v>100335403</v>
      </c>
      <c r="F74" s="15" t="n"/>
      <c r="G74" s="16" t="n"/>
      <c r="H74" s="17" t="n"/>
      <c r="I74" s="636" t="inlineStr">
        <is>
          <t>ОКРУГЛ({100335403:-1}/{100330759:-1}*$100;$6)</t>
        </is>
      </c>
      <c r="J74" s="17" t="n"/>
      <c r="K74" s="228" t="inlineStr">
        <is>
          <t>тыс.т.</t>
        </is>
      </c>
    </row>
    <row r="75" ht="17.25" customHeight="1" s="904">
      <c r="C75" s="385" t="inlineStr">
        <is>
          <t>14.3</t>
        </is>
      </c>
      <c r="D75" s="311" t="inlineStr">
        <is>
          <t>Славнефть-ЯНОС</t>
        </is>
      </c>
      <c r="E75" s="15" t="n">
        <v>100335404</v>
      </c>
      <c r="F75" s="15" t="n"/>
      <c r="G75" s="16" t="n"/>
      <c r="H75" s="17" t="n"/>
      <c r="I75" s="636" t="inlineStr">
        <is>
          <t>ОКРУГЛ({100335404:-1}/{100330760:-1}*$100;$6)</t>
        </is>
      </c>
      <c r="J75" s="17" t="n"/>
      <c r="K75" s="228" t="inlineStr">
        <is>
          <t>тыс.т.</t>
        </is>
      </c>
    </row>
    <row r="76" ht="17.25" customHeight="1" s="904">
      <c r="C76" s="385" t="inlineStr">
        <is>
          <t>14.4</t>
        </is>
      </c>
      <c r="D76" s="311" t="inlineStr">
        <is>
          <t>Комплекс NIS</t>
        </is>
      </c>
      <c r="E76" s="15" t="n">
        <v>100335405</v>
      </c>
      <c r="F76" s="15" t="n"/>
      <c r="G76" s="16" t="n"/>
      <c r="H76" s="17" t="n"/>
      <c r="I76" s="636" t="inlineStr">
        <is>
          <t>ОКРУГЛ({100335405:-1}/{100335375:-1}*$100;$6)</t>
        </is>
      </c>
      <c r="J76" s="17" t="n"/>
      <c r="K76" s="228" t="inlineStr">
        <is>
          <t>тыс.т.</t>
        </is>
      </c>
    </row>
    <row r="77" ht="24" customHeight="1" s="904">
      <c r="C77" s="477" t="inlineStr">
        <is>
          <t>15</t>
        </is>
      </c>
      <c r="D77" s="475" t="inlineStr">
        <is>
          <t>Прочие нефтепродукты, всего:</t>
        </is>
      </c>
      <c r="E77" s="15" t="n">
        <v>100330787</v>
      </c>
      <c r="F77" s="15" t="n"/>
      <c r="G77" s="16" t="n"/>
      <c r="H77" s="17" t="inlineStr">
        <is>
          <t>100330788+100330789+100330790+100335406</t>
        </is>
      </c>
      <c r="I77" s="776" t="inlineStr">
        <is>
          <t>ОКРУГЛ({100330787:-1}/{100330000:-1}*$100;$6)</t>
        </is>
      </c>
      <c r="J77" s="17" t="n"/>
      <c r="K77" s="228" t="inlineStr">
        <is>
          <t>тыс.т.</t>
        </is>
      </c>
    </row>
    <row r="78" ht="17.25" customHeight="1" s="904">
      <c r="C78" s="385" t="inlineStr">
        <is>
          <t>15.1</t>
        </is>
      </c>
      <c r="D78" s="311" t="inlineStr">
        <is>
          <t>Омский НПЗ</t>
        </is>
      </c>
      <c r="E78" s="15" t="n">
        <v>100330788</v>
      </c>
      <c r="F78" s="15" t="n"/>
      <c r="G78" s="16" t="n"/>
      <c r="H78" s="17" t="n"/>
      <c r="I78" s="636" t="inlineStr">
        <is>
          <t>ОКРУГЛ({100330788:-1}/{100330758:-1}*$100;$6)</t>
        </is>
      </c>
      <c r="J78" s="17" t="n"/>
      <c r="K78" s="228" t="inlineStr">
        <is>
          <t>тыс.т.</t>
        </is>
      </c>
    </row>
    <row r="79" ht="17.25" customHeight="1" s="904">
      <c r="C79" s="385" t="inlineStr">
        <is>
          <t>15.2</t>
        </is>
      </c>
      <c r="D79" s="311" t="inlineStr">
        <is>
          <t>Московский НПЗ</t>
        </is>
      </c>
      <c r="E79" s="15" t="n">
        <v>100330789</v>
      </c>
      <c r="F79" s="15" t="n"/>
      <c r="G79" s="16" t="n"/>
      <c r="H79" s="17" t="n"/>
      <c r="I79" s="636" t="inlineStr">
        <is>
          <t>ОКРУГЛ({100330789:-1}/{100330759:-1}*$100;$6)</t>
        </is>
      </c>
      <c r="J79" s="17" t="n"/>
      <c r="K79" s="228" t="inlineStr">
        <is>
          <t>тыс.т.</t>
        </is>
      </c>
    </row>
    <row r="80" ht="17.25" customHeight="1" s="904">
      <c r="C80" s="385" t="inlineStr">
        <is>
          <t>15.3</t>
        </is>
      </c>
      <c r="D80" s="311" t="inlineStr">
        <is>
          <t>Славнефть-ЯНОС</t>
        </is>
      </c>
      <c r="E80" s="15" t="n">
        <v>100330790</v>
      </c>
      <c r="F80" s="15" t="n"/>
      <c r="G80" s="16" t="n"/>
      <c r="H80" s="17" t="n"/>
      <c r="I80" s="636" t="inlineStr">
        <is>
          <t>ОКРУГЛ({100330790:-1}/{100330760:-1}*$100;$6)</t>
        </is>
      </c>
      <c r="J80" s="17" t="n"/>
      <c r="K80" s="228" t="inlineStr">
        <is>
          <t>тыс.т.</t>
        </is>
      </c>
    </row>
    <row r="81" ht="17.25" customHeight="1" s="904">
      <c r="C81" s="479" t="inlineStr">
        <is>
          <t>15.4</t>
        </is>
      </c>
      <c r="D81" s="480" t="inlineStr">
        <is>
          <t>Комплекс NIS</t>
        </is>
      </c>
      <c r="E81" s="15" t="n">
        <v>100335406</v>
      </c>
      <c r="F81" s="15" t="n"/>
      <c r="G81" s="16" t="n"/>
      <c r="H81" s="17" t="n"/>
      <c r="I81" s="636" t="inlineStr">
        <is>
          <t>ОКРУГЛ({100335406:-1}/{100335375:-1}*$100;$6)</t>
        </is>
      </c>
      <c r="J81" s="17" t="n"/>
      <c r="K81" s="251" t="inlineStr">
        <is>
          <t>тыс.т.</t>
        </is>
      </c>
    </row>
    <row r="82">
      <c r="B82" s="659" t="n"/>
      <c r="C82" s="363" t="n"/>
      <c r="D82" s="481" t="n"/>
      <c r="E82" s="481" t="n"/>
      <c r="F82" s="481" t="n"/>
      <c r="G82" s="481" t="n"/>
      <c r="H82" s="481" t="n"/>
      <c r="I82" s="481" t="n"/>
      <c r="J82" s="481" t="n"/>
    </row>
    <row r="83">
      <c r="D83" s="1009" t="inlineStr">
        <is>
          <t>* - Ответственность за своевременное внесение изменений в перечень Номенклатуры сырья и продукции возлагается на дочернее общество</t>
        </is>
      </c>
    </row>
  </sheetData>
  <mergeCells count="11">
    <mergeCell ref="K6:K8"/>
    <mergeCell ref="G7:G8"/>
    <mergeCell ref="E7:E8"/>
    <mergeCell ref="C3:K3"/>
    <mergeCell ref="I7:I8"/>
    <mergeCell ref="F7:F8"/>
    <mergeCell ref="H7:H8"/>
    <mergeCell ref="J7:J8"/>
    <mergeCell ref="C6:C8"/>
    <mergeCell ref="E6:J6"/>
    <mergeCell ref="D6:D8"/>
  </mergeCells>
  <conditionalFormatting sqref="P10:P81 Q10:Q81 V10:V81 W10:W81 AB10:AB81 AC10:AC81 AH10:AH81 AI10:AI81 AN10:AN81 AO10:AO81 AT10:AT81 AU10:AU81 AZ10:AZ81 BA10:BA81 BF10:BF81 BG10:BG81 BL10:BL81 BM10:BM81 BR10:BR81 BS10:BS81 BX10:BX81 BY10:BY81 CD10:CD81 CE10:CE81 CJ10:CJ81 CK10:CK81 CP10:CP81 CQ10:CQ81 CV10:CV81 CW10:CW81 DB10:DB81 DC10:DC81 DH10:DH81 DI10:DI81">
    <cfRule type="cellIs" priority="1" operator="equal" dxfId="0">
      <formula>0</formula>
    </cfRule>
    <cfRule type="cellIs" priority="1" operator="equal" dxfId="0">
      <formula>0</formula>
    </cfRule>
    <cfRule type="cellIs" priority="1" operator="equal" dxfId="0">
      <formula>0</formula>
    </cfRule>
    <cfRule type="cellIs" priority="1" operator="equal" dxfId="0">
      <formula>0</formula>
    </cfRule>
    <cfRule type="cellIs" priority="2" operator="lessThan" dxfId="25">
      <formula>0</formula>
    </cfRule>
    <cfRule type="cellIs" priority="2" operator="lessThan" dxfId="25">
      <formula>0</formula>
    </cfRule>
    <cfRule type="cellIs" priority="2" operator="lessThan" dxfId="25">
      <formula>0</formula>
    </cfRule>
    <cfRule type="cellIs" priority="2" operator="lessThan" dxfId="25">
      <formula>0</formula>
    </cfRule>
    <cfRule type="cellIs" priority="3" operator="greaterThan" dxfId="21">
      <formula>0</formula>
    </cfRule>
    <cfRule type="cellIs" priority="3" operator="greaterThan" dxfId="21">
      <formula>0</formula>
    </cfRule>
    <cfRule type="cellIs" priority="3" operator="greaterThan" dxfId="21">
      <formula>0</formula>
    </cfRule>
    <cfRule type="cellIs" priority="3" operator="greaterThan" dxfId="21">
      <formula>0</formula>
    </cfRule>
  </conditionalFormatting>
  <conditionalFormatting sqref="M10:M17 O10:O81 S10:S81 U10:U81 Y10:Y81 AA10:AA81 AE10:AE81 AG10:AG81 AK10:AK81 AM10:AM81 AQ10:AQ81 AS10:AS81 AW10:AW81 AY10:AY81 BC10:BC81 BE10:BE81 BI10:BI81 BK10:BK81 BO10:BO81 BQ10:BQ81 BU10:BU81 BW10:BW81 CA10:CA81 CC10:CC81 CG10:CG81 CI10:CI81 CM10:CM81 CO10:CO81 CS10:CS81 CU10:CU81 CY10:CY81 DA10:DA81 DE10:DE81 DG10:DG81">
    <cfRule type="cellIs" priority="4" operator="equal" dxfId="0">
      <formula>0</formula>
    </cfRule>
    <cfRule type="cellIs" priority="4" operator="equal" dxfId="0">
      <formula>0</formula>
    </cfRule>
    <cfRule type="cellIs" priority="4" operator="equal" dxfId="0">
      <formula>0</formula>
    </cfRule>
    <cfRule type="cellIs" priority="4" operator="equal" dxfId="0">
      <formula>0</formula>
    </cfRule>
  </conditionalFormatting>
  <conditionalFormatting sqref="M10:M17 O10:O81 Q10:Q81 S10:S81 U10:U81 W10:W81 Y10:Y81 AA10:AA81 AC10:AC81 AE10:AE81 AG10:AG81 AI10:AI81 AK10:AK81 AM10:AM81 AO10:AO81 AQ10:AQ81 AS10:AS81">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fRule type="cellIs" priority="5" operator="equal" dxfId="0">
      <formula>0</formula>
    </cfRule>
  </conditionalFormatting>
  <pageMargins left="0.7086614173228347" right="0.7086614173228347" top="0.7480314960629921" bottom="0.7480314960629921" header="0.3149606299212598" footer="0.3149606299212598"/>
  <pageSetup orientation="landscape" paperSize="8" scale="1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Матвеева Марина Викторовна</dc:creator>
  <dcterms:created xmlns:dcterms="http://purl.org/dc/terms/" xmlns:xsi="http://www.w3.org/2001/XMLSchema-instance" xsi:type="dcterms:W3CDTF">2018-04-25T06:05:34Z</dcterms:created>
  <dcterms:modified xmlns:dcterms="http://purl.org/dc/terms/" xmlns:xsi="http://www.w3.org/2001/XMLSchema-instance" xsi:type="dcterms:W3CDTF">2026-08-21T08:40:06Z</dcterms:modified>
  <cp:lastModifiedBy>user</cp:lastModifiedBy>
  <cp:revision>7</cp:revision>
</cp:coreProperties>
</file>