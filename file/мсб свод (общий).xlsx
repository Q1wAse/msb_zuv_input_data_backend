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comments/comment10.xml" ContentType="application/vnd.openxmlformats-officedocument.spreadsheetml.comments+xml"/>
  <Override PartName="/xl/worksheets/sheet15.xml" ContentType="application/vnd.openxmlformats-officedocument.spreadsheetml.worksheet+xml"/>
  <Override PartName="/xl/comments/comment11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3.xml" ContentType="application/vnd.openxmlformats-officedocument.spreadsheetml.comments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360" yWindow="15855" windowWidth="20955" windowHeight="9720" tabRatio="603" firstSheet="0" activeTab="3" autoFilterDateGrouping="1"/>
  </bookViews>
  <sheets>
    <sheet xmlns:r="http://schemas.openxmlformats.org/officeDocument/2006/relationships" name="tech" sheetId="1" state="visible" r:id="rId1"/>
    <sheet xmlns:r="http://schemas.openxmlformats.org/officeDocument/2006/relationships" name="План общий" sheetId="2" state="visible" r:id="rId2"/>
    <sheet xmlns:r="http://schemas.openxmlformats.org/officeDocument/2006/relationships" name="Баланс ЗС" sheetId="3" state="visible" r:id="rId3"/>
    <sheet xmlns:r="http://schemas.openxmlformats.org/officeDocument/2006/relationships" name="1. ГПП-АГПЗ+" sheetId="4" state="visible" r:id="rId4"/>
    <sheet xmlns:r="http://schemas.openxmlformats.org/officeDocument/2006/relationships" name="2. ГПП-ОГХК" sheetId="5" state="visible" r:id="rId5"/>
    <sheet xmlns:r="http://schemas.openxmlformats.org/officeDocument/2006/relationships" name="3. ГПП-СГПЗ" sheetId="6" state="visible" r:id="rId6"/>
    <sheet xmlns:r="http://schemas.openxmlformats.org/officeDocument/2006/relationships" name="4. ГПП-УЗПКТ-СЗСК" sheetId="7" state="visible" r:id="rId7"/>
    <sheet xmlns:r="http://schemas.openxmlformats.org/officeDocument/2006/relationships" name="5. ГД Астрахань" sheetId="8" state="visible" r:id="rId8"/>
    <sheet xmlns:r="http://schemas.openxmlformats.org/officeDocument/2006/relationships" name="6. ГД Оренбург" sheetId="9" state="visible" r:id="rId9"/>
    <sheet xmlns:r="http://schemas.openxmlformats.org/officeDocument/2006/relationships" name="7. ГД Ямбург" sheetId="10" state="visible" r:id="rId10"/>
    <sheet xmlns:r="http://schemas.openxmlformats.org/officeDocument/2006/relationships" name="8. ГД Уренгой" sheetId="11" state="visible" r:id="rId11"/>
    <sheet xmlns:r="http://schemas.openxmlformats.org/officeDocument/2006/relationships" name="9. ГД Краснодар" sheetId="12" state="visible" r:id="rId12"/>
    <sheet xmlns:r="http://schemas.openxmlformats.org/officeDocument/2006/relationships" name="10. ГД Ноябрьск" sheetId="13" state="visible" r:id="rId13"/>
    <sheet xmlns:r="http://schemas.openxmlformats.org/officeDocument/2006/relationships" name="11. ГД Надым" sheetId="14" state="visible" r:id="rId14"/>
    <sheet xmlns:r="http://schemas.openxmlformats.org/officeDocument/2006/relationships" name="12. ГД Иркутск" sheetId="15" state="visible" r:id="rId15"/>
    <sheet xmlns:r="http://schemas.openxmlformats.org/officeDocument/2006/relationships" name="13. ГД Шельф" sheetId="16" state="visible" r:id="rId16"/>
    <sheet xmlns:r="http://schemas.openxmlformats.org/officeDocument/2006/relationships" name="14. ГП Благовещенск (Ам ГПЗ)" sheetId="17" state="visible" r:id="rId17"/>
    <sheet xmlns:r="http://schemas.openxmlformats.org/officeDocument/2006/relationships" name="15. КСПГ Портовая" sheetId="18" state="visible" r:id="rId18"/>
    <sheet xmlns:r="http://schemas.openxmlformats.org/officeDocument/2006/relationships" name="16. Востокгазпром" sheetId="19" state="visible" r:id="rId19"/>
    <sheet xmlns:r="http://schemas.openxmlformats.org/officeDocument/2006/relationships" name="17. Нефтехим Салават" sheetId="20" state="visible" r:id="rId20"/>
    <sheet xmlns:r="http://schemas.openxmlformats.org/officeDocument/2006/relationships" name="18. Газпром нефть" sheetId="21" state="visible" r:id="rId21"/>
  </sheets>
  <externalReferences>
    <externalReference xmlns:r="http://schemas.openxmlformats.org/officeDocument/2006/relationships" r:id="rId22"/>
    <externalReference xmlns:r="http://schemas.openxmlformats.org/officeDocument/2006/relationships" r:id="rId23"/>
  </externalReferences>
  <definedNames>
    <definedName name="____________q1" hidden="1">{#N/A,#N/A,FALSE,"Август Сальдо После отчета"}</definedName>
    <definedName name="___________q1" hidden="1">{#N/A,#N/A,FALSE,"Август Сальдо После отчета"}</definedName>
    <definedName name="__________q1" hidden="1">{#N/A,#N/A,FALSE,"Август Сальдо После отчета"}</definedName>
    <definedName name="_________q1" hidden="1">{#N/A,#N/A,FALSE,"Август Сальдо После отчета"}</definedName>
    <definedName name="________q1" hidden="1">{#N/A,#N/A,FALSE,"Август Сальдо После отчета"}</definedName>
    <definedName name="_______q1" hidden="1">{#N/A,#N/A,FALSE,"Август Сальдо После отчета"}</definedName>
    <definedName name="______q1" hidden="1">{#N/A,#N/A,FALSE,"Август Сальдо После отчета"}</definedName>
    <definedName name="_____q1" hidden="1">{#N/A,#N/A,FALSE,"Август Сальдо После отчета"}</definedName>
    <definedName name="____q1" hidden="1">{#N/A,#N/A,FALSE,"Август Сальдо После отчета"}</definedName>
    <definedName name="___q1" hidden="1">{#N/A,#N/A,FALSE,"Август Сальдо После отчета"}</definedName>
    <definedName name="__q1" hidden="1">{#N/A,#N/A,FALSE,"Август Сальдо После отчета"}</definedName>
    <definedName name="_asd1" hidden="1">{#N/A,#N/A,FALSE,"Август Сальдо После отчета"}</definedName>
    <definedName name="_INTERNAL_KEY1">'1. ГПП-АГПЗ+'!$9:$9</definedName>
    <definedName name="_INTERNAL_KEY10">'10. ГД Ноябрьск'!$10:$10</definedName>
    <definedName name="_INTERNAL_KEY11">'11. ГД Надым'!$9:$9</definedName>
    <definedName name="_INTERNAL_KEY12">'12. ГД Иркутск'!$9:$9</definedName>
    <definedName name="_INTERNAL_KEY13">'13. ГД Шельф'!$9:$9</definedName>
    <definedName name="_INTERNAL_KEY14">'14. ГП Благовещенск (Ам ГПЗ)'!$9:$9</definedName>
    <definedName name="_INTERNAL_KEY15">'15. КСПГ Портовая'!$9:$9</definedName>
    <definedName name="_INTERNAL_KEY16">'16. Востокгазпром'!$9:$9</definedName>
    <definedName name="_INTERNAL_KEY17">'17. Нефтехим Салават'!$9:$9</definedName>
    <definedName name="_INTERNAL_KEY18">'18. Газпром нефть'!$9:$9</definedName>
    <definedName name="_INTERNAL_KEY2">'2. ГПП-ОГХК'!$9:$9</definedName>
    <definedName name="_INTERNAL_KEY3">'3. ГПП-СГПЗ'!$9:$9</definedName>
    <definedName name="_INTERNAL_KEY4">'4. ГПП-УЗПКТ-СЗСК'!$10:$10</definedName>
    <definedName name="_INTERNAL_KEY5">'5. ГД Астрахань'!$9:$9</definedName>
    <definedName name="_INTERNAL_KEY6">'6. ГД Оренбург'!$9:$9</definedName>
    <definedName name="_INTERNAL_KEY7">'7. ГД Ямбург'!$9:$9</definedName>
    <definedName name="_INTERNAL_KEY8">'8. ГД Уренгой'!$9:$9</definedName>
    <definedName name="_INTERNAL_KEY9">'9. ГД Краснодар'!$9:$9</definedName>
    <definedName name="_q1" hidden="1">{#N/A,#N/A,FALSE,"Август Сальдо После отчета"}</definedName>
    <definedName name="_SET_ROW1">'1. ГПП-АГПЗ+'!$E:$I</definedName>
    <definedName name="_SET_ROW10">'10. ГД Ноябрьск'!$E:$I</definedName>
    <definedName name="_SET_ROW11">'11. ГД Надым'!$E:$I</definedName>
    <definedName name="_SET_ROW12">'12. ГД Иркутск'!$E:$I</definedName>
    <definedName name="_SET_ROW13">'13. ГД Шельф'!$E:$I</definedName>
    <definedName name="_SET_ROW14">'14. ГП Благовещенск (Ам ГПЗ)'!$E:$I</definedName>
    <definedName name="_SET_ROW15">'15. КСПГ Портовая'!$E:$I</definedName>
    <definedName name="_SET_ROW16">'16. Востокгазпром'!$E:$I</definedName>
    <definedName name="_SET_ROW17">'17. Нефтехим Салават'!$E:$I</definedName>
    <definedName name="_SET_ROW18">'18. Газпром нефть'!$E:$I</definedName>
    <definedName name="_SET_ROW2">'2. ГПП-ОГХК'!$E:$I</definedName>
    <definedName name="_SET_ROW3">'3. ГПП-СГПЗ'!$E:$I</definedName>
    <definedName name="_SET_ROW4">'4. ГПП-УЗПКТ-СЗСК'!$E:$I</definedName>
    <definedName name="_SET_ROW5">'5. ГД Астрахань'!$E:$I</definedName>
    <definedName name="_SET_ROW6">'6. ГД Оренбург'!$E:$I</definedName>
    <definedName name="_SET_ROW7">'7. ГД Ямбург'!$E:$I</definedName>
    <definedName name="_SET_ROW8">'8. ГД Уренгой'!$E:$I</definedName>
    <definedName name="_SET_ROW9">'9. ГД Краснодар'!$E:$I</definedName>
    <definedName name="_SUM_REP_INTERNAL_KEY1">'План общий'!$9:$9</definedName>
    <definedName name="_SUM_REP_INTERNAL_KEY2">'Баланс ЗС'!$9:$9</definedName>
    <definedName name="_SUM_REP_SET_ROW1">'План общий'!$D:$H</definedName>
    <definedName name="_SUM_REP_SET_ROW2">'Баланс ЗС'!$D:$H</definedName>
    <definedName name="a" hidden="1">{#N/A,#N/A,FALSE,"Август Сальдо После отчета"}</definedName>
    <definedName name="anscount" hidden="1">13</definedName>
    <definedName name="asd" hidden="1">{#N/A,#N/A,FALSE,"Август Сальдо После отчета"}</definedName>
    <definedName name="d" hidden="1">{#N/A,#N/A,FALSE,"Август Сальдо После отчета"}</definedName>
    <definedName name="e" hidden="1">{#N/A,#N/A,FALSE,"Август Сальдо После отчета"}</definedName>
    <definedName name="f" hidden="1">{#N/A,#N/A,FALSE,"Август Сальдо После отчета"}</definedName>
    <definedName name="fff" hidden="1">#REF!</definedName>
    <definedName name="g" hidden="1">{#N/A,#N/A,FALSE,"Август Сальдо После отчета"}</definedName>
    <definedName name="GlobalWork" hidden="1">" "</definedName>
    <definedName name="h" hidden="1">{#N/A,#N/A,FALSE,"Август Сальдо После отчета"}</definedName>
    <definedName name="j" hidden="1">{#N/A,#N/A,FALSE,"Август Сальдо После отчета"}</definedName>
    <definedName name="jjjj" hidden="1">{#N/A,#N/A,FALSE,"Август Сальдо После отчета"}</definedName>
    <definedName name="limcount" hidden="1">13</definedName>
    <definedName name="q" hidden="1">{#N/A,#N/A,FALSE,"Август Сальдо После отчета"}</definedName>
    <definedName name="qw" hidden="1">{#N/A,#N/A,FALSE,"Август Сальдо После отчета"}</definedName>
    <definedName name="s" hidden="1">{#N/A,#N/A,FALSE,"Август Сальдо После отчета"}</definedName>
    <definedName name="SAPBEXrevision" hidden="1">1</definedName>
    <definedName name="SAPBEXsysID" hidden="1">"PCS"</definedName>
    <definedName name="SAPBEXwbID" hidden="1">"46IZ8HZJL1NAGN7JAA6FZ12CA"</definedName>
    <definedName name="sencount" hidden="1">13</definedName>
    <definedName name="t" hidden="1">{#N/A,#N/A,FALSE,"Август Сальдо После отчета"}</definedName>
    <definedName name="u" hidden="1">{#N/A,#N/A,FALSE,"Август Сальдо После отчета"}</definedName>
    <definedName name="vb" hidden="1">{#N/A,#N/A,FALSE,"Август Сальдо После отчета"}</definedName>
    <definedName name="w" hidden="1">{#N/A,#N/A,FALSE,"Август Сальдо После отчета"}</definedName>
    <definedName name="wrn.Отчет." hidden="1">{#N/A,#N/A,FALSE,"Август Сальдо После отчета"}</definedName>
    <definedName name="wrn.Сог_Полная_Версия." hidden="1">{"СОГПолнаяВерсия",#N/A,FALSE,"СОГ"}</definedName>
    <definedName name="wrn.СОГ_Укороченная_Версия." hidden="1">{"СОГУкороченнаяВерсия",#N/A,FALSE,"СОГ"}</definedName>
    <definedName name="y" hidden="1">{#N/A,#N/A,FALSE,"Август Сальдо После отчета"}</definedName>
    <definedName name="Z_1BDBA328_8BF0_4216_A22B_2FB9A5FB2784_.wvu.PrintArea" hidden="1">[1]Лист2!$A$1:$O$144</definedName>
    <definedName name="Z_1BDBA328_8BF0_4216_A22B_2FB9A5FB2784_.wvu.PrintTitles" hidden="1">[1]Лист2!$A$4:$IV$5</definedName>
    <definedName name="Z_1BDBA328_8BF0_4216_A22B_2FB9A5FB2784_.wvu.Rows" hidden="1">[1]Лист2!$A$30:$IV$35,[1]Лист2!$A$70:$IV$72,[1]Лист2!$A$83:$IV$83,[1]Лист2!$A$88:$IV$88,[1]Лист2!$A$111:$IV$112,[1]Лист2!$A$119:$IV$124,[1]Лист2!$A$135:$IV$137</definedName>
    <definedName name="а" hidden="1">{#N/A,#N/A,FALSE,"Август Сальдо После отчета"}</definedName>
    <definedName name="ааа" hidden="1">{#N/A,#N/A,FALSE,"Август Сальдо После отчета"}</definedName>
    <definedName name="аааааааа" hidden="1">{#N/A,#N/A,FALSE,"Август Сальдо После отчета"}</definedName>
    <definedName name="ааааааааа" hidden="1">{#N/A,#N/A,FALSE,"Август Сальдо После отчета"}</definedName>
    <definedName name="аааааааааааааваа" hidden="1">{#N/A,#N/A,FALSE,"Август Сальдо После отчета"}</definedName>
    <definedName name="апрапрпорл" hidden="1">{#N/A,#N/A,FALSE,"Август Сальдо После отчета"}</definedName>
    <definedName name="ар" hidden="1">{#N/A,#N/A,FALSE,"Август Сальдо После отчета"}</definedName>
    <definedName name="б" hidden="1">{#N/A,#N/A,FALSE,"Август Сальдо После отчета"}</definedName>
    <definedName name="база" hidden="1">{#N/A,#N/A,FALSE,"Август Сальдо После отчета"}</definedName>
    <definedName name="в" hidden="1">{#N/A,#N/A,FALSE,"Август Сальдо После отчета"}</definedName>
    <definedName name="ввв" hidden="1">{#N/A,#N/A,FALSE,"Август Сальдо После отчета"}</definedName>
    <definedName name="ггг" hidden="1">{#N/A,#N/A,FALSE,"Август Сальдо После отчета"}</definedName>
    <definedName name="ее" hidden="1">{#N/A,#N/A,FALSE,"Август Сальдо После отчета"}</definedName>
    <definedName name="ж" hidden="1">{#N/A,#N/A,FALSE,"Август Сальдо После отчета"}</definedName>
    <definedName name="з" hidden="1">{#N/A,#N/A,FALSE,"Август Сальдо После отчета"}</definedName>
    <definedName name="и" hidden="1">{#N/A,#N/A,FALSE,"Август Сальдо После отчета"}</definedName>
    <definedName name="июнь" hidden="1">{#N/A,#N/A,FALSE,"Август Сальдо После отчета"}</definedName>
    <definedName name="йй" hidden="1">{#N/A,#N/A,FALSE,"Август Сальдо После отчета"}</definedName>
    <definedName name="йййй" hidden="1">{#N/A,#N/A,FALSE,"Август Сальдо После отчета"}</definedName>
    <definedName name="к" hidden="1">{#N/A,#N/A,FALSE,"Август Сальдо После отчета"}</definedName>
    <definedName name="кк" hidden="1">{#N/A,#N/A,FALSE,"Август Сальдо После отчета"}</definedName>
    <definedName name="кп" hidden="1">{#N/A,#N/A,FALSE,"Август Сальдо После отчета"}</definedName>
    <definedName name="кпп" hidden="1">{#N/A,#N/A,FALSE,"Август Сальдо После отчета"}</definedName>
    <definedName name="л" hidden="1">{#N/A,#N/A,FALSE,"Август Сальдо После отчета"}</definedName>
    <definedName name="лл" hidden="1">{#N/A,#N/A,FALSE,"Август Сальдо После отчета"}</definedName>
    <definedName name="ло" hidden="1">{#N/A,#N/A,FALSE,"Август Сальдо После отчета"}</definedName>
    <definedName name="лр" hidden="1">{#N/A,#N/A,FALSE,"Август Сальдо После отчета"}</definedName>
    <definedName name="м" hidden="1">{#N/A,#N/A,FALSE,"Август Сальдо После отчета"}</definedName>
    <definedName name="н" hidden="1">{#N/A,#N/A,FALSE,"Август Сальдо После отчета"}</definedName>
    <definedName name="НВ" hidden="1">{#N/A,#N/A,FALSE,"Август Сальдо После отчета"}</definedName>
    <definedName name="ннн" hidden="1">{#N/A,#N/A,FALSE,"Август Сальдо После отчета"}</definedName>
    <definedName name="нов." hidden="1">{#N/A,#N/A,FALSE,"Август Сальдо После отчета"}</definedName>
    <definedName name="о" hidden="1">{#N/A,#N/A,FALSE,"Август Сальдо После отчета"}</definedName>
    <definedName name="ол" hidden="1">{#N/A,#N/A,FALSE,"Август Сальдо После отчета"}</definedName>
    <definedName name="олджлждждж" hidden="1">{#N/A,#N/A,FALSE,"Август Сальдо После отчета"}</definedName>
    <definedName name="оо" hidden="1">{#N/A,#N/A,FALSE,"Август Сальдо После отчета"}</definedName>
    <definedName name="ооо" hidden="1">{#N/A,#N/A,FALSE,"Август Сальдо После отчета"}</definedName>
    <definedName name="оооо" hidden="1">{#N/A,#N/A,FALSE,"Август Сальдо После отчета"}</definedName>
    <definedName name="ооооо" hidden="1">{#N/A,#N/A,FALSE,"Август Сальдо После отчета"}</definedName>
    <definedName name="орлордлодлдл" hidden="1">{#N/A,#N/A,FALSE,"Август Сальдо После отчета"}</definedName>
    <definedName name="отчет" hidden="1">{#N/A,#N/A,FALSE,"Август Сальдо После отчета"}</definedName>
    <definedName name="п" hidden="1">{#N/A,#N/A,FALSE,"Август Сальдо После отчета"}</definedName>
    <definedName name="ппп" hidden="1">{#N/A,#N/A,FALSE,"Август Сальдо После отчета"}</definedName>
    <definedName name="пппп" hidden="1">{#N/A,#N/A,FALSE,"Август Сальдо После отчета"}</definedName>
    <definedName name="прап" hidden="1">{#N/A,#N/A,FALSE,"Август Сальдо После отчета"}</definedName>
    <definedName name="ПРИБЫЛЬ" hidden="1">{#N/A,#N/A,FALSE,"Август Сальдо После отчета"}</definedName>
    <definedName name="про" hidden="1">{#N/A,#N/A,FALSE,"Август Сальдо После отчета"}</definedName>
    <definedName name="проо" hidden="1">{#N/A,#N/A,FALSE,"Август Сальдо После отчета"}</definedName>
    <definedName name="ПХГ" hidden="1">{"СОГПолнаяВерсия",#N/A,FALSE,"СОГ"}</definedName>
    <definedName name="р" hidden="1">{#N/A,#N/A,FALSE,"Август Сальдо После отчета"}</definedName>
    <definedName name="роо" hidden="1">{#N/A,#N/A,FALSE,"Август Сальдо После отчета"}</definedName>
    <definedName name="ррр" hidden="1">{#N/A,#N/A,FALSE,"Август Сальдо После отчета"}</definedName>
    <definedName name="с" hidden="1">{#N/A,#N/A,FALSE,"Август Сальдо После отчета"}</definedName>
    <definedName name="смета" hidden="1">#REF!</definedName>
    <definedName name="СНП" hidden="1">#REF!</definedName>
    <definedName name="сравнен" hidden="1">{#N/A,#N/A,FALSE,"Август Сальдо После отчета"}</definedName>
    <definedName name="Сцен.новые" hidden="1">{#N/A,#N/A,FALSE,"Август Сальдо После отчета"}</definedName>
    <definedName name="т" hidden="1">{#N/A,#N/A,FALSE,"Август Сальдо После отчета"}</definedName>
    <definedName name="транзит" hidden="1">{#N/A,#N/A,FALSE,"Август Сальдо После отчета"}</definedName>
    <definedName name="транзит2" hidden="1">{#N/A,#N/A,FALSE,"Август Сальдо После отчета"}</definedName>
    <definedName name="ттттт" hidden="1">{#N/A,#N/A,FALSE,"Август Сальдо После отчета"}</definedName>
    <definedName name="у" hidden="1">{#N/A,#N/A,FALSE,"Август Сальдо После отчета"}</definedName>
    <definedName name="ууу" hidden="1">{#N/A,#N/A,FALSE,"Август Сальдо После отчета"}</definedName>
    <definedName name="ф" hidden="1">{#N/A,#N/A,FALSE,"Август Сальдо После отчета"}</definedName>
    <definedName name="ф7" hidden="1">[2]ИД!#REF!</definedName>
    <definedName name="факт" hidden="1">{#N/A,#N/A,FALSE,"Август Сальдо После отчета"}</definedName>
    <definedName name="фы" hidden="1">#REF!</definedName>
    <definedName name="цв" hidden="1">{#N/A,#N/A,FALSE,"Август Сальдо После отчета"}</definedName>
    <definedName name="цк" hidden="1">{#N/A,#N/A,FALSE,"Август Сальдо После отчета"}</definedName>
    <definedName name="цкк" hidden="1">{#N/A,#N/A,FALSE,"Август Сальдо После отчета"}</definedName>
    <definedName name="цккк" hidden="1">{#N/A,#N/A,FALSE,"Август Сальдо После отчета"}</definedName>
    <definedName name="цкккк" hidden="1">{#N/A,#N/A,FALSE,"Август Сальдо После отчета"}</definedName>
    <definedName name="цккккк" hidden="1">{#N/A,#N/A,FALSE,"Август Сальдо После отчета"}</definedName>
    <definedName name="цкккккк" hidden="1">{#N/A,#N/A,FALSE,"Август Сальдо После отчета"}</definedName>
    <definedName name="цц" hidden="1">{#N/A,#N/A,FALSE,"Август Сальдо После отчета"}</definedName>
    <definedName name="ч" hidden="1">{#N/A,#N/A,FALSE,"Август Сальдо После отчета"}</definedName>
    <definedName name="ш" hidden="1">{#N/A,#N/A,FALSE,"Август Сальдо После отчета"}</definedName>
    <definedName name="шшш" hidden="1">{#N/A,#N/A,FALSE,"Август Сальдо После отчета"}</definedName>
    <definedName name="щ" hidden="1">{#N/A,#N/A,FALSE,"Август Сальдо После отчета"}</definedName>
    <definedName name="щщщ" hidden="1">{#N/A,#N/A,FALSE,"Август Сальдо После отчета"}</definedName>
    <definedName name="ы" hidden="1">{#N/A,#N/A,FALSE,"Август Сальдо После отчета"}</definedName>
    <definedName name="ь" hidden="1">{#N/A,#N/A,FALSE,"Август Сальдо После отчета"}</definedName>
    <definedName name="ю" hidden="1">{#N/A,#N/A,FALSE,"Август Сальдо После отчета"}</definedName>
    <definedName name="я" hidden="1">{#N/A,#N/A,FALSE,"Август Сальдо После отчета"}</definedName>
    <definedName name="____________q1" localSheetId="1" hidden="1">{#N/A,#N/A,FALSE,"Август Сальдо После отчета"}</definedName>
    <definedName name="___________q1" localSheetId="1" hidden="1">{#N/A,#N/A,FALSE,"Август Сальдо После отчета"}</definedName>
    <definedName name="__________q1" localSheetId="1" hidden="1">{#N/A,#N/A,FALSE,"Август Сальдо После отчета"}</definedName>
    <definedName name="_________q1" localSheetId="1" hidden="1">{#N/A,#N/A,FALSE,"Август Сальдо После отчета"}</definedName>
    <definedName name="________q1" localSheetId="1" hidden="1">{#N/A,#N/A,FALSE,"Август Сальдо После отчета"}</definedName>
    <definedName name="_______q1" localSheetId="1" hidden="1">{#N/A,#N/A,FALSE,"Август Сальдо После отчета"}</definedName>
    <definedName name="______q1" localSheetId="1" hidden="1">{#N/A,#N/A,FALSE,"Август Сальдо После отчета"}</definedName>
    <definedName name="_____q1" localSheetId="1" hidden="1">{#N/A,#N/A,FALSE,"Август Сальдо После отчета"}</definedName>
    <definedName name="____q1" localSheetId="1" hidden="1">{#N/A,#N/A,FALSE,"Август Сальдо После отчета"}</definedName>
    <definedName name="___q1" localSheetId="1" hidden="1">{#N/A,#N/A,FALSE,"Август Сальдо После отчета"}</definedName>
    <definedName name="__q1" localSheetId="1" hidden="1">{#N/A,#N/A,FALSE,"Август Сальдо После отчета"}</definedName>
    <definedName name="_asd1" localSheetId="1" hidden="1">{#N/A,#N/A,FALSE,"Август Сальдо После отчета"}</definedName>
    <definedName name="_q1" localSheetId="1" hidden="1">{#N/A,#N/A,FALSE,"Август Сальдо После отчета"}</definedName>
    <definedName name="a" localSheetId="1" hidden="1">{#N/A,#N/A,FALSE,"Август Сальдо После отчета"}</definedName>
    <definedName name="asd" localSheetId="1" hidden="1">{#N/A,#N/A,FALSE,"Август Сальдо После отчета"}</definedName>
    <definedName name="d" localSheetId="1" hidden="1">{#N/A,#N/A,FALSE,"Август Сальдо После отчета"}</definedName>
    <definedName name="e" localSheetId="1" hidden="1">{#N/A,#N/A,FALSE,"Август Сальдо После отчета"}</definedName>
    <definedName name="f" localSheetId="1" hidden="1">{#N/A,#N/A,FALSE,"Август Сальдо После отчета"}</definedName>
    <definedName name="fff" localSheetId="1" hidden="1">#REF!</definedName>
    <definedName name="g" localSheetId="1" hidden="1">{#N/A,#N/A,FALSE,"Август Сальдо После отчета"}</definedName>
    <definedName name="h" localSheetId="1" hidden="1">{#N/A,#N/A,FALSE,"Август Сальдо После отчета"}</definedName>
    <definedName name="j" localSheetId="1" hidden="1">{#N/A,#N/A,FALSE,"Август Сальдо После отчета"}</definedName>
    <definedName name="jjjj" localSheetId="1" hidden="1">{#N/A,#N/A,FALSE,"Август Сальдо После отчета"}</definedName>
    <definedName name="q" localSheetId="1" hidden="1">{#N/A,#N/A,FALSE,"Август Сальдо После отчета"}</definedName>
    <definedName name="qw" localSheetId="1" hidden="1">{#N/A,#N/A,FALSE,"Август Сальдо После отчета"}</definedName>
    <definedName name="s" localSheetId="1" hidden="1">{#N/A,#N/A,FALSE,"Август Сальдо После отчета"}</definedName>
    <definedName name="t" localSheetId="1" hidden="1">{#N/A,#N/A,FALSE,"Август Сальдо После отчета"}</definedName>
    <definedName name="u" localSheetId="1" hidden="1">{#N/A,#N/A,FALSE,"Август Сальдо После отчета"}</definedName>
    <definedName name="vb" localSheetId="1" hidden="1">{#N/A,#N/A,FALSE,"Август Сальдо После отчета"}</definedName>
    <definedName name="w" localSheetId="1" hidden="1">{#N/A,#N/A,FALSE,"Август Сальдо После отчета"}</definedName>
    <definedName name="wrn.Отчет." localSheetId="1" hidden="1">{#N/A,#N/A,FALSE,"Август Сальдо После отчета"}</definedName>
    <definedName name="wrn.Сог_Полная_Версия." localSheetId="1" hidden="1">{"СОГПолнаяВерсия",#N/A,FALSE,"СОГ"}</definedName>
    <definedName name="wrn.СОГ_Укороченная_Версия." localSheetId="1" hidden="1">{"СОГУкороченнаяВерсия",#N/A,FALSE,"СОГ"}</definedName>
    <definedName name="y" localSheetId="1" hidden="1">{#N/A,#N/A,FALSE,"Август Сальдо После отчета"}</definedName>
    <definedName name="а" localSheetId="1" hidden="1">{#N/A,#N/A,FALSE,"Август Сальдо После отчета"}</definedName>
    <definedName name="ааа" localSheetId="1" hidden="1">{#N/A,#N/A,FALSE,"Август Сальдо После отчета"}</definedName>
    <definedName name="аааааааа" localSheetId="1" hidden="1">{#N/A,#N/A,FALSE,"Август Сальдо После отчета"}</definedName>
    <definedName name="ааааааааа" localSheetId="1" hidden="1">{#N/A,#N/A,FALSE,"Август Сальдо После отчета"}</definedName>
    <definedName name="аааааааааааааваа" localSheetId="1" hidden="1">{#N/A,#N/A,FALSE,"Август Сальдо После отчета"}</definedName>
    <definedName name="апрапрпорл" localSheetId="1" hidden="1">{#N/A,#N/A,FALSE,"Август Сальдо После отчета"}</definedName>
    <definedName name="ар" localSheetId="1" hidden="1">{#N/A,#N/A,FALSE,"Август Сальдо После отчета"}</definedName>
    <definedName name="б" localSheetId="1" hidden="1">{#N/A,#N/A,FALSE,"Август Сальдо После отчета"}</definedName>
    <definedName name="база" localSheetId="1" hidden="1">{#N/A,#N/A,FALSE,"Август Сальдо После отчета"}</definedName>
    <definedName name="в" localSheetId="1" hidden="1">{#N/A,#N/A,FALSE,"Август Сальдо После отчета"}</definedName>
    <definedName name="ввв" localSheetId="1" hidden="1">{#N/A,#N/A,FALSE,"Август Сальдо После отчета"}</definedName>
    <definedName name="ггг" localSheetId="1" hidden="1">{#N/A,#N/A,FALSE,"Август Сальдо После отчета"}</definedName>
    <definedName name="ее" localSheetId="1" hidden="1">{#N/A,#N/A,FALSE,"Август Сальдо После отчета"}</definedName>
    <definedName name="ж" localSheetId="1" hidden="1">{#N/A,#N/A,FALSE,"Август Сальдо После отчета"}</definedName>
    <definedName name="з" localSheetId="1" hidden="1">{#N/A,#N/A,FALSE,"Август Сальдо После отчета"}</definedName>
    <definedName name="и" localSheetId="1" hidden="1">{#N/A,#N/A,FALSE,"Август Сальдо После отчета"}</definedName>
    <definedName name="июнь" localSheetId="1" hidden="1">{#N/A,#N/A,FALSE,"Август Сальдо После отчета"}</definedName>
    <definedName name="йй" localSheetId="1" hidden="1">{#N/A,#N/A,FALSE,"Август Сальдо После отчета"}</definedName>
    <definedName name="йййй" localSheetId="1" hidden="1">{#N/A,#N/A,FALSE,"Август Сальдо После отчета"}</definedName>
    <definedName name="к" localSheetId="1" hidden="1">{#N/A,#N/A,FALSE,"Август Сальдо После отчета"}</definedName>
    <definedName name="кк" localSheetId="1" hidden="1">{#N/A,#N/A,FALSE,"Август Сальдо После отчета"}</definedName>
    <definedName name="кп" localSheetId="1" hidden="1">{#N/A,#N/A,FALSE,"Август Сальдо После отчета"}</definedName>
    <definedName name="кпп" localSheetId="1" hidden="1">{#N/A,#N/A,FALSE,"Август Сальдо После отчета"}</definedName>
    <definedName name="л" localSheetId="1" hidden="1">{#N/A,#N/A,FALSE,"Август Сальдо После отчета"}</definedName>
    <definedName name="лл" localSheetId="1" hidden="1">{#N/A,#N/A,FALSE,"Август Сальдо После отчета"}</definedName>
    <definedName name="ло" localSheetId="1" hidden="1">{#N/A,#N/A,FALSE,"Август Сальдо После отчета"}</definedName>
    <definedName name="лр" localSheetId="1" hidden="1">{#N/A,#N/A,FALSE,"Август Сальдо После отчета"}</definedName>
    <definedName name="м" localSheetId="1" hidden="1">{#N/A,#N/A,FALSE,"Август Сальдо После отчета"}</definedName>
    <definedName name="н" localSheetId="1" hidden="1">{#N/A,#N/A,FALSE,"Август Сальдо После отчета"}</definedName>
    <definedName name="НВ" localSheetId="1" hidden="1">{#N/A,#N/A,FALSE,"Август Сальдо После отчета"}</definedName>
    <definedName name="ннн" localSheetId="1" hidden="1">{#N/A,#N/A,FALSE,"Август Сальдо После отчета"}</definedName>
    <definedName name="нов." localSheetId="1" hidden="1">{#N/A,#N/A,FALSE,"Август Сальдо После отчета"}</definedName>
    <definedName name="о" localSheetId="1" hidden="1">{#N/A,#N/A,FALSE,"Август Сальдо После отчета"}</definedName>
    <definedName name="ол" localSheetId="1" hidden="1">{#N/A,#N/A,FALSE,"Август Сальдо После отчета"}</definedName>
    <definedName name="олджлждждж" localSheetId="1" hidden="1">{#N/A,#N/A,FALSE,"Август Сальдо После отчета"}</definedName>
    <definedName name="оо" localSheetId="1" hidden="1">{#N/A,#N/A,FALSE,"Август Сальдо После отчета"}</definedName>
    <definedName name="ооо" localSheetId="1" hidden="1">{#N/A,#N/A,FALSE,"Август Сальдо После отчета"}</definedName>
    <definedName name="оооо" localSheetId="1" hidden="1">{#N/A,#N/A,FALSE,"Август Сальдо После отчета"}</definedName>
    <definedName name="ооооо" localSheetId="1" hidden="1">{#N/A,#N/A,FALSE,"Август Сальдо После отчета"}</definedName>
    <definedName name="орлордлодлдл" localSheetId="1" hidden="1">{#N/A,#N/A,FALSE,"Август Сальдо После отчета"}</definedName>
    <definedName name="отчет" localSheetId="1" hidden="1">{#N/A,#N/A,FALSE,"Август Сальдо После отчета"}</definedName>
    <definedName name="п" localSheetId="1" hidden="1">{#N/A,#N/A,FALSE,"Август Сальдо После отчета"}</definedName>
    <definedName name="ппп" localSheetId="1" hidden="1">{#N/A,#N/A,FALSE,"Август Сальдо После отчета"}</definedName>
    <definedName name="пппп" localSheetId="1" hidden="1">{#N/A,#N/A,FALSE,"Август Сальдо После отчета"}</definedName>
    <definedName name="прап" localSheetId="1" hidden="1">{#N/A,#N/A,FALSE,"Август Сальдо После отчета"}</definedName>
    <definedName name="ПРИБЫЛЬ" localSheetId="1" hidden="1">{#N/A,#N/A,FALSE,"Август Сальдо После отчета"}</definedName>
    <definedName name="про" localSheetId="1" hidden="1">{#N/A,#N/A,FALSE,"Август Сальдо После отчета"}</definedName>
    <definedName name="проо" localSheetId="1" hidden="1">{#N/A,#N/A,FALSE,"Август Сальдо После отчета"}</definedName>
    <definedName name="ПХГ" localSheetId="1" hidden="1">{"СОГПолнаяВерсия",#N/A,FALSE,"СОГ"}</definedName>
    <definedName name="р" localSheetId="1" hidden="1">{#N/A,#N/A,FALSE,"Август Сальдо После отчета"}</definedName>
    <definedName name="роо" localSheetId="1" hidden="1">{#N/A,#N/A,FALSE,"Август Сальдо После отчета"}</definedName>
    <definedName name="ррр" localSheetId="1" hidden="1">{#N/A,#N/A,FALSE,"Август Сальдо После отчета"}</definedName>
    <definedName name="с" localSheetId="1" hidden="1">{#N/A,#N/A,FALSE,"Август Сальдо После отчета"}</definedName>
    <definedName name="смета" localSheetId="1" hidden="1">#REF!</definedName>
    <definedName name="СНП" localSheetId="1" hidden="1">#REF!</definedName>
    <definedName name="сравнен" localSheetId="1" hidden="1">{#N/A,#N/A,FALSE,"Август Сальдо После отчета"}</definedName>
    <definedName name="Сцен.новые" localSheetId="1" hidden="1">{#N/A,#N/A,FALSE,"Август Сальдо После отчета"}</definedName>
    <definedName name="т" localSheetId="1" hidden="1">{#N/A,#N/A,FALSE,"Август Сальдо После отчета"}</definedName>
    <definedName name="транзит" localSheetId="1" hidden="1">{#N/A,#N/A,FALSE,"Август Сальдо После отчета"}</definedName>
    <definedName name="транзит2" localSheetId="1" hidden="1">{#N/A,#N/A,FALSE,"Август Сальдо После отчета"}</definedName>
    <definedName name="ттттт" localSheetId="1" hidden="1">{#N/A,#N/A,FALSE,"Август Сальдо После отчета"}</definedName>
    <definedName name="у" localSheetId="1" hidden="1">{#N/A,#N/A,FALSE,"Август Сальдо После отчета"}</definedName>
    <definedName name="ууу" localSheetId="1" hidden="1">{#N/A,#N/A,FALSE,"Август Сальдо После отчета"}</definedName>
    <definedName name="ф" localSheetId="1" hidden="1">{#N/A,#N/A,FALSE,"Август Сальдо После отчета"}</definedName>
    <definedName name="ф7" localSheetId="1" hidden="1">[2]ИД!#REF!</definedName>
    <definedName name="факт" localSheetId="1" hidden="1">{#N/A,#N/A,FALSE,"Август Сальдо После отчета"}</definedName>
    <definedName name="фы" localSheetId="1" hidden="1">#REF!</definedName>
    <definedName name="цв" localSheetId="1" hidden="1">{#N/A,#N/A,FALSE,"Август Сальдо После отчета"}</definedName>
    <definedName name="цк" localSheetId="1" hidden="1">{#N/A,#N/A,FALSE,"Август Сальдо После отчета"}</definedName>
    <definedName name="цкк" localSheetId="1" hidden="1">{#N/A,#N/A,FALSE,"Август Сальдо После отчета"}</definedName>
    <definedName name="цккк" localSheetId="1" hidden="1">{#N/A,#N/A,FALSE,"Август Сальдо После отчета"}</definedName>
    <definedName name="цкккк" localSheetId="1" hidden="1">{#N/A,#N/A,FALSE,"Август Сальдо После отчета"}</definedName>
    <definedName name="цккккк" localSheetId="1" hidden="1">{#N/A,#N/A,FALSE,"Август Сальдо После отчета"}</definedName>
    <definedName name="цкккккк" localSheetId="1" hidden="1">{#N/A,#N/A,FALSE,"Август Сальдо После отчета"}</definedName>
    <definedName name="цц" localSheetId="1" hidden="1">{#N/A,#N/A,FALSE,"Август Сальдо После отчета"}</definedName>
    <definedName name="ч" localSheetId="1" hidden="1">{#N/A,#N/A,FALSE,"Август Сальдо После отчета"}</definedName>
    <definedName name="ш" localSheetId="1" hidden="1">{#N/A,#N/A,FALSE,"Август Сальдо После отчета"}</definedName>
    <definedName name="шшш" localSheetId="1" hidden="1">{#N/A,#N/A,FALSE,"Август Сальдо После отчета"}</definedName>
    <definedName name="щ" localSheetId="1" hidden="1">{#N/A,#N/A,FALSE,"Август Сальдо После отчета"}</definedName>
    <definedName name="щщщ" localSheetId="1" hidden="1">{#N/A,#N/A,FALSE,"Август Сальдо После отчета"}</definedName>
    <definedName name="ы" localSheetId="1" hidden="1">{#N/A,#N/A,FALSE,"Август Сальдо После отчета"}</definedName>
    <definedName name="ь" localSheetId="1" hidden="1">{#N/A,#N/A,FALSE,"Август Сальдо После отчета"}</definedName>
    <definedName name="ю" localSheetId="1" hidden="1">{#N/A,#N/A,FALSE,"Август Сальдо После отчета"}</definedName>
    <definedName name="я" localSheetId="1" hidden="1">{#N/A,#N/A,FALSE,"Август Сальдо После отчета"}</definedName>
    <definedName name="_xlnm.Print_Area" localSheetId="1">'План общий'!$B$1:$I$1252</definedName>
    <definedName name="Z_282DC897_A8BB_4D6B_A8BC_1F24D66F96A7_.wvu.Cols" localSheetId="3" hidden="1">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</definedName>
    <definedName name="Z_282DC897_A8BB_4D6B_A8BC_1F24D66F96A7_.wvu.PrintArea" localSheetId="3" hidden="1">'1. ГПП-АГПЗ+'!$C$1:$J$84</definedName>
    <definedName name="Z_282DC897_A8BB_4D6B_A8BC_1F24D66F96A7_.wvu.PrintTitles" localSheetId="3" hidden="1">'1. ГПП-АГПЗ+'!$6:$8</definedName>
    <definedName name="Z_8A2A2F47_3CCD_4B14_B6FD_506BFD71969A_.wvu.Cols" localSheetId="3" hidden="1">'1. ГПП-АГПЗ+'!#REF!,'1. ГПП-АГПЗ+'!#REF!,'1. ГПП-АГПЗ+'!#REF!,'1. ГПП-АГПЗ+'!#REF!,'1. ГПП-АГПЗ+'!#REF!,'1. ГПП-АГПЗ+'!#REF!,'1. ГПП-АГПЗ+'!#REF!,'1. ГПП-АГПЗ+'!#REF!,'1. ГПП-АГПЗ+'!#REF!,'1. ГПП-АГПЗ+'!#REF!</definedName>
    <definedName name="Z_8A2A2F47_3CCD_4B14_B6FD_506BFD71969A_.wvu.PrintArea" localSheetId="3" hidden="1">'1. ГПП-АГПЗ+'!$B$1:$J$89</definedName>
    <definedName name="Z_DB35AC7D_F28C_47D4_B4F6_60F5274D89C3_.wvu.Cols" localSheetId="3" hidden="1">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</definedName>
    <definedName name="Z_DB35AC7D_F28C_47D4_B4F6_60F5274D89C3_.wvu.PrintArea" localSheetId="3" hidden="1">'1. ГПП-АГПЗ+'!$C$1:$J$82</definedName>
    <definedName name="Z_DB35AC7D_F28C_47D4_B4F6_60F5274D89C3_.wvu.PrintTitles" localSheetId="3" hidden="1">'1. ГПП-АГПЗ+'!$6:$8</definedName>
    <definedName name="Z_E35D3778_5275_416A_A5A0_FECB1A54AC1C_.wvu.Cols" localSheetId="3" hidden="1">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</definedName>
    <definedName name="Z_E35D3778_5275_416A_A5A0_FECB1A54AC1C_.wvu.PrintArea" localSheetId="3" hidden="1">'1. ГПП-АГПЗ+'!$C$1:$J$84</definedName>
    <definedName name="Z_E35D3778_5275_416A_A5A0_FECB1A54AC1C_.wvu.PrintTitles" localSheetId="3" hidden="1">'1. ГПП-АГПЗ+'!$6:$8</definedName>
    <definedName name="Z_E98595DA_C344_4F96_A5D2_6A38EE050D66_.wvu.Cols" localSheetId="3" hidden="1">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ГПП-АГПЗ+'!#REF!,'1. ГПП-АГПЗ+'!#REF!</definedName>
    <definedName name="Z_E98595DA_C344_4F96_A5D2_6A38EE050D66_.wvu.PrintArea" localSheetId="3" hidden="1">'1. ГПП-АГПЗ+'!$C$1:$J$82</definedName>
    <definedName name="Z_E98595DA_C344_4F96_A5D2_6A38EE050D66_.wvu.PrintTitles" localSheetId="3" hidden="1">'1. ГПП-АГПЗ+'!$6:$8</definedName>
    <definedName name="_xlnm.Print_Area" localSheetId="3">'1. ГПП-АГПЗ+'!$C$1:$J$84</definedName>
    <definedName name="fff" localSheetId="4" hidden="1">#REF!</definedName>
    <definedName name="Z_282DC897_A8BB_4D6B_A8BC_1F24D66F96A7_.wvu.Cols" localSheetId="4" hidden="1">'2. ГПП-ОГХК'!$A:$B,'2.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</definedName>
    <definedName name="Z_282DC897_A8BB_4D6B_A8BC_1F24D66F96A7_.wvu.PrintArea" localSheetId="4" hidden="1">'2. ГПП-ОГХК'!$C$4:$J$312</definedName>
    <definedName name="Z_282DC897_A8BB_4D6B_A8BC_1F24D66F96A7_.wvu.PrintTitles" localSheetId="4" hidden="1">'2. ГПП-ОГХК'!$6:$8</definedName>
    <definedName name="Z_E35D3778_5275_416A_A5A0_FECB1A54AC1C_.wvu.Cols" localSheetId="4" hidden="1">'2. ГПП-ОГХК'!$A:$B,'2.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ГПП-ОГХК'!#REF!,'2. ГПП-ОГХК'!#REF!</definedName>
    <definedName name="Z_E35D3778_5275_416A_A5A0_FECB1A54AC1C_.wvu.PrintArea" localSheetId="4" hidden="1">'2. ГПП-ОГХК'!$C$4:$J$312</definedName>
    <definedName name="Z_E35D3778_5275_416A_A5A0_FECB1A54AC1C_.wvu.PrintTitles" localSheetId="4" hidden="1">'2. ГПП-ОГХК'!$6:$8</definedName>
    <definedName name="Z_E98595DA_C344_4F96_A5D2_6A38EE050D66_.wvu.Cols" localSheetId="4" hidden="1">'2. ГПП-ОГХК'!$A:$B,'2. ГПП-ОГХК'!#REF!,'2. ГПП-ОГХК'!#REF!,'2. ГПП-ОГХК'!#REF!,'2. ГПП-ОГХК'!#REF!</definedName>
    <definedName name="Z_E98595DA_C344_4F96_A5D2_6A38EE050D66_.wvu.PrintArea" localSheetId="4" hidden="1">'2. ГПП-ОГХК'!$C$4:$J$312</definedName>
    <definedName name="Z_E98595DA_C344_4F96_A5D2_6A38EE050D66_.wvu.PrintTitles" localSheetId="4" hidden="1">'2. ГПП-ОГХК'!$6:$8</definedName>
    <definedName name="смета" localSheetId="4" hidden="1">#REF!</definedName>
    <definedName name="СНП" localSheetId="4" hidden="1">#REF!</definedName>
    <definedName name="фы" localSheetId="4" hidden="1">#REF!</definedName>
    <definedName name="_xlnm.Print_Area" localSheetId="4">'2. ГПП-ОГХК'!$C$1:$J$312</definedName>
    <definedName name="Z_282DC897_A8BB_4D6B_A8BC_1F24D66F96A7_.wvu.Cols" localSheetId="5" hidden="1">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</definedName>
    <definedName name="Z_282DC897_A8BB_4D6B_A8BC_1F24D66F96A7_.wvu.PrintArea" localSheetId="5" hidden="1">'3. ГПП-СГПЗ'!$C$1:$J$63</definedName>
    <definedName name="Z_8A2A2F47_3CCD_4B14_B6FD_506BFD71969A_.wvu.Cols" localSheetId="5" hidden="1">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</definedName>
    <definedName name="Z_8A2A2F47_3CCD_4B14_B6FD_506BFD71969A_.wvu.PrintArea" localSheetId="5" hidden="1">'3. ГПП-СГПЗ'!$B$1:$J$63</definedName>
    <definedName name="Z_DB35AC7D_F28C_47D4_B4F6_60F5274D89C3_.wvu.Cols" localSheetId="5" hidden="1">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</definedName>
    <definedName name="Z_DB35AC7D_F28C_47D4_B4F6_60F5274D89C3_.wvu.PrintArea" localSheetId="5" hidden="1">'3. ГПП-СГПЗ'!$C$1:$J$63</definedName>
    <definedName name="Z_DB35AC7D_F28C_47D4_B4F6_60F5274D89C3_.wvu.Rows" localSheetId="5" hidden="1">'3. ГПП-СГПЗ'!$28:$30</definedName>
    <definedName name="Z_E35D3778_5275_416A_A5A0_FECB1A54AC1C_.wvu.Cols" localSheetId="5" hidden="1">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</definedName>
    <definedName name="Z_E35D3778_5275_416A_A5A0_FECB1A54AC1C_.wvu.PrintArea" localSheetId="5" hidden="1">'3. ГПП-СГПЗ'!$C$1:$J$63</definedName>
    <definedName name="Z_E98595DA_C344_4F96_A5D2_6A38EE050D66_.wvu.Cols" localSheetId="5" hidden="1">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ГПП-СГПЗ'!#REF!,'3. ГПП-СГПЗ'!#REF!</definedName>
    <definedName name="Z_E98595DA_C344_4F96_A5D2_6A38EE050D66_.wvu.PrintArea" localSheetId="5" hidden="1">'3. ГПП-СГПЗ'!$C$1:$J$63</definedName>
    <definedName name="_xlnm.Print_Area" localSheetId="5">'3. ГПП-СГПЗ'!$C$1:$J$63</definedName>
    <definedName name="Z_282DC897_A8BB_4D6B_A8BC_1F24D66F96A7_.wvu.Cols" localSheetId="6" hidden="1">'4. ГПП-УЗПКТ-СЗСК'!$A:$B,'4.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</definedName>
    <definedName name="Z_282DC897_A8BB_4D6B_A8BC_1F24D66F96A7_.wvu.PrintArea" localSheetId="6" hidden="1">'4. ГПП-УЗПКТ-СЗСК'!$B$2:$J$270</definedName>
    <definedName name="Z_282DC897_A8BB_4D6B_A8BC_1F24D66F96A7_.wvu.PrintTitles" localSheetId="6" hidden="1">'4. ГПП-УЗПКТ-СЗСК'!$7:$9</definedName>
    <definedName name="Z_282DC897_A8BB_4D6B_A8BC_1F24D66F96A7_.wvu.Rows" localSheetId="6" hidden="1">'4. ГПП-УЗПКТ-СЗСК'!$1:$1</definedName>
    <definedName name="Z_8A2A2F47_3CCD_4B14_B6FD_506BFD71969A_.wvu.Cols" localSheetId="6" hidden="1">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</definedName>
    <definedName name="Z_8A2A2F47_3CCD_4B14_B6FD_506BFD71969A_.wvu.PrintTitles" localSheetId="6" hidden="1">'4. ГПП-УЗПКТ-СЗСК'!$7:$9</definedName>
    <definedName name="Z_8A2A2F47_3CCD_4B14_B6FD_506BFD71969A_.wvu.Rows" localSheetId="6" hidden="1">'4. ГПП-УЗПКТ-СЗСК'!$1:$1,'4. ГПП-УЗПКТ-СЗСК'!$3:$3</definedName>
    <definedName name="Z_DB35AC7D_F28C_47D4_B4F6_60F5274D89C3_.wvu.PrintArea" localSheetId="6" hidden="1">'4. ГПП-УЗПКТ-СЗСК'!$B$2:$J$270</definedName>
    <definedName name="Z_DB35AC7D_F28C_47D4_B4F6_60F5274D89C3_.wvu.PrintTitles" localSheetId="6" hidden="1">'4. ГПП-УЗПКТ-СЗСК'!$7:$9</definedName>
    <definedName name="Z_DB35AC7D_F28C_47D4_B4F6_60F5274D89C3_.wvu.Rows" localSheetId="6" hidden="1">'4. ГПП-УЗПКТ-СЗСК'!$1:$1,'4. ГПП-УЗПКТ-СЗСК'!$3:$3</definedName>
    <definedName name="Z_E35D3778_5275_416A_A5A0_FECB1A54AC1C_.wvu.Cols" localSheetId="6" hidden="1">'4. ГПП-УЗПКТ-СЗСК'!$A:$B,'4.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</definedName>
    <definedName name="Z_E35D3778_5275_416A_A5A0_FECB1A54AC1C_.wvu.PrintArea" localSheetId="6" hidden="1">'4. ГПП-УЗПКТ-СЗСК'!$B$2:$J$270</definedName>
    <definedName name="Z_E35D3778_5275_416A_A5A0_FECB1A54AC1C_.wvu.PrintTitles" localSheetId="6" hidden="1">'4. ГПП-УЗПКТ-СЗСК'!$7:$9</definedName>
    <definedName name="Z_E35D3778_5275_416A_A5A0_FECB1A54AC1C_.wvu.Rows" localSheetId="6" hidden="1">'4. ГПП-УЗПКТ-СЗСК'!$1:$1</definedName>
    <definedName name="Z_E98595DA_C344_4F96_A5D2_6A38EE050D66_.wvu.Cols" localSheetId="6" hidden="1">'4. ГПП-УЗПКТ-СЗСК'!$A:$B,'4.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ГПП-УЗПКТ-СЗСК'!#REF!,'4. ГПП-УЗПКТ-СЗСК'!#REF!</definedName>
    <definedName name="Z_E98595DA_C344_4F96_A5D2_6A38EE050D66_.wvu.PrintArea" localSheetId="6" hidden="1">'4. ГПП-УЗПКТ-СЗСК'!$B$2:$J$270</definedName>
    <definedName name="Z_E98595DA_C344_4F96_A5D2_6A38EE050D66_.wvu.PrintTitles" localSheetId="6" hidden="1">'4. ГПП-УЗПКТ-СЗСК'!$7:$9</definedName>
    <definedName name="Z_E98595DA_C344_4F96_A5D2_6A38EE050D66_.wvu.Rows" localSheetId="6" hidden="1">'4. ГПП-УЗПКТ-СЗСК'!$1:$1</definedName>
    <definedName name="_xlnm.Print_Area" localSheetId="6">'4. ГПП-УЗПКТ-СЗСК'!$B$2:$J$270</definedName>
    <definedName name="Z_282DC897_A8BB_4D6B_A8BC_1F24D66F96A7_.wvu.Cols" localSheetId="7" hidden="1">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</definedName>
    <definedName name="Z_282DC897_A8BB_4D6B_A8BC_1F24D66F96A7_.wvu.PrintArea" localSheetId="7" hidden="1">'5. ГД Астрахань'!$C$1:$J$25</definedName>
    <definedName name="Z_8A2A2F47_3CCD_4B14_B6FD_506BFD71969A_.wvu.Cols" localSheetId="7" hidden="1">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</definedName>
    <definedName name="Z_8A2A2F47_3CCD_4B14_B6FD_506BFD71969A_.wvu.PrintArea" localSheetId="7" hidden="1">'5. ГД Астрахань'!$B$1:$J$25</definedName>
    <definedName name="Z_DB35AC7D_F28C_47D4_B4F6_60F5274D89C3_.wvu.Cols" localSheetId="7" hidden="1">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</definedName>
    <definedName name="Z_DB35AC7D_F28C_47D4_B4F6_60F5274D89C3_.wvu.PrintArea" localSheetId="7" hidden="1">'5. ГД Астрахань'!$C$1:$J$25</definedName>
    <definedName name="Z_E35D3778_5275_416A_A5A0_FECB1A54AC1C_.wvu.Cols" localSheetId="7" hidden="1">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</definedName>
    <definedName name="Z_E35D3778_5275_416A_A5A0_FECB1A54AC1C_.wvu.PrintArea" localSheetId="7" hidden="1">'5. ГД Астрахань'!$C$1:$J$25</definedName>
    <definedName name="Z_E98595DA_C344_4F96_A5D2_6A38EE050D66_.wvu.Cols" localSheetId="7" hidden="1">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Астрахань'!#REF!,'5. ГД Астрахань'!#REF!</definedName>
    <definedName name="Z_E98595DA_C344_4F96_A5D2_6A38EE050D66_.wvu.PrintArea" localSheetId="7" hidden="1">'5. ГД Астрахань'!$C$1:$J$25</definedName>
    <definedName name="_xlnm.Print_Area" localSheetId="7">'5. ГД Астрахань'!$C$1:$J$23</definedName>
    <definedName name="Z_282DC897_A8BB_4D6B_A8BC_1F24D66F96A7_.wvu.Cols" localSheetId="8" hidden="1">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</definedName>
    <definedName name="Z_282DC897_A8BB_4D6B_A8BC_1F24D66F96A7_.wvu.PrintArea" localSheetId="8" hidden="1">'6. ГД Оренбург'!$C$1:$J$38</definedName>
    <definedName name="Z_282DC897_A8BB_4D6B_A8BC_1F24D66F96A7_.wvu.PrintTitles" localSheetId="8" hidden="1">'6. ГД Оренбург'!$6:$8</definedName>
    <definedName name="Z_8A2A2F47_3CCD_4B14_B6FD_506BFD71969A_.wvu.Cols" localSheetId="8" hidden="1">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</definedName>
    <definedName name="Z_8A2A2F47_3CCD_4B14_B6FD_506BFD71969A_.wvu.PrintArea" localSheetId="8" hidden="1">'6. ГД Оренбург'!$B$1:$J$38</definedName>
    <definedName name="Z_8A2A2F47_3CCD_4B14_B6FD_506BFD71969A_.wvu.PrintTitles" localSheetId="8" hidden="1">'6. ГД Оренбург'!$6:$8</definedName>
    <definedName name="Z_8A2A2F47_3CCD_4B14_B6FD_506BFD71969A_.wvu.Rows" localSheetId="8" hidden="1">'6. ГД Оренбург'!$2:$4</definedName>
    <definedName name="Z_DB35AC7D_F28C_47D4_B4F6_60F5274D89C3_.wvu.Cols" localSheetId="8" hidden="1">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</definedName>
    <definedName name="Z_DB35AC7D_F28C_47D4_B4F6_60F5274D89C3_.wvu.PrintArea" localSheetId="8" hidden="1">'6. ГД Оренбург'!$C$1:$J$38</definedName>
    <definedName name="Z_DB35AC7D_F28C_47D4_B4F6_60F5274D89C3_.wvu.PrintTitles" localSheetId="8" hidden="1">'6. ГД Оренбург'!$6:$8</definedName>
    <definedName name="Z_E35D3778_5275_416A_A5A0_FECB1A54AC1C_.wvu.Cols" localSheetId="8" hidden="1">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</definedName>
    <definedName name="Z_E35D3778_5275_416A_A5A0_FECB1A54AC1C_.wvu.PrintArea" localSheetId="8" hidden="1">'6. ГД Оренбург'!$C$1:$J$38</definedName>
    <definedName name="Z_E35D3778_5275_416A_A5A0_FECB1A54AC1C_.wvu.PrintTitles" localSheetId="8" hidden="1">'6. ГД Оренбург'!$6:$8</definedName>
    <definedName name="Z_E98595DA_C344_4F96_A5D2_6A38EE050D66_.wvu.Cols" localSheetId="8" hidden="1">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Оренбург'!#REF!,'6. ГД Оренбург'!#REF!</definedName>
    <definedName name="Z_E98595DA_C344_4F96_A5D2_6A38EE050D66_.wvu.PrintArea" localSheetId="8" hidden="1">'6. ГД Оренбург'!$C$1:$J$38</definedName>
    <definedName name="Z_E98595DA_C344_4F96_A5D2_6A38EE050D66_.wvu.PrintTitles" localSheetId="8" hidden="1">'6. ГД Оренбург'!$6:$8</definedName>
    <definedName name="_xlnm.Print_Area" localSheetId="8">'6. ГД Оренбург'!$A$1:$J$38</definedName>
    <definedName name="Z_282DC897_A8BB_4D6B_A8BC_1F24D66F96A7_.wvu.Cols" localSheetId="9" hidden="1">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</definedName>
    <definedName name="Z_282DC897_A8BB_4D6B_A8BC_1F24D66F96A7_.wvu.PrintArea" localSheetId="9" hidden="1">'7. ГД Ямбург'!$B$1:$J$62</definedName>
    <definedName name="Z_8A2A2F47_3CCD_4B14_B6FD_506BFD71969A_.wvu.Cols" localSheetId="9" hidden="1">'7. ГД Ямбург'!#REF!,'7. ГД Ямбург'!#REF!,'7. ГД Ямбург'!#REF!,'7. ГД Ямбург'!#REF!,'7. ГД Ямбург'!#REF!,'7. ГД Ямбург'!#REF!,'7. ГД Ямбург'!#REF!,'7. ГД Ямбург'!#REF!,'7. ГД Ямбург'!#REF!</definedName>
    <definedName name="Z_8A2A2F47_3CCD_4B14_B6FD_506BFD71969A_.wvu.PrintArea" localSheetId="9" hidden="1">'7. ГД Ямбург'!$B$1:$J$62</definedName>
    <definedName name="Z_DB35AC7D_F28C_47D4_B4F6_60F5274D89C3_.wvu.Cols" localSheetId="9" hidden="1">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</definedName>
    <definedName name="Z_DB35AC7D_F28C_47D4_B4F6_60F5274D89C3_.wvu.PrintArea" localSheetId="9" hidden="1">'7. ГД Ямбург'!$B$1:$J$62</definedName>
    <definedName name="Z_E35D3778_5275_416A_A5A0_FECB1A54AC1C_.wvu.Cols" localSheetId="9" hidden="1">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</definedName>
    <definedName name="Z_E35D3778_5275_416A_A5A0_FECB1A54AC1C_.wvu.PrintArea" localSheetId="9" hidden="1">'7. ГД Ямбург'!$B$1:$J$62</definedName>
    <definedName name="Z_E98595DA_C344_4F96_A5D2_6A38EE050D66_.wvu.Cols" localSheetId="9" hidden="1">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Ямбург'!#REF!,'7. ГД Ямбург'!#REF!</definedName>
    <definedName name="Z_E98595DA_C344_4F96_A5D2_6A38EE050D66_.wvu.PrintArea" localSheetId="9" hidden="1">'7. ГД Ямбург'!$B$1:$J$62</definedName>
    <definedName name="_xlnm.Print_Area" localSheetId="9">'7. ГД Ямбург'!$C$1:$J$48</definedName>
    <definedName name="Z_282DC897_A8BB_4D6B_A8BC_1F24D66F96A7_.wvu.Cols" localSheetId="10" hidden="1">'8. ГД Уренгой'!$B:$B,'8.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</definedName>
    <definedName name="Z_282DC897_A8BB_4D6B_A8BC_1F24D66F96A7_.wvu.PrintArea" localSheetId="10" hidden="1">'8. ГД Уренгой'!$C$3:$J$89</definedName>
    <definedName name="Z_282DC897_A8BB_4D6B_A8BC_1F24D66F96A7_.wvu.Rows" localSheetId="10" hidden="1">'8. ГД Уренгой'!$3:$3,'8. ГД Уренгой'!#REF!</definedName>
    <definedName name="Z_8A2A2F47_3CCD_4B14_B6FD_506BFD71969A_.wvu.Cols" localSheetId="10" hidden="1">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</definedName>
    <definedName name="Z_DB35AC7D_F28C_47D4_B4F6_60F5274D89C3_.wvu.Cols" localSheetId="10" hidden="1">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</definedName>
    <definedName name="Z_DB35AC7D_F28C_47D4_B4F6_60F5274D89C3_.wvu.PrintArea" localSheetId="10" hidden="1">'8. ГД Уренгой'!$C$3:$J$89</definedName>
    <definedName name="Z_E35D3778_5275_416A_A5A0_FECB1A54AC1C_.wvu.Cols" localSheetId="10" hidden="1">'8. ГД Уренгой'!$B:$B,'8.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</definedName>
    <definedName name="Z_E35D3778_5275_416A_A5A0_FECB1A54AC1C_.wvu.PrintArea" localSheetId="10" hidden="1">'8. ГД Уренгой'!$C$3:$J$89</definedName>
    <definedName name="Z_E35D3778_5275_416A_A5A0_FECB1A54AC1C_.wvu.Rows" localSheetId="10" hidden="1">'8. ГД Уренгой'!$3:$3,'8. ГД Уренгой'!#REF!</definedName>
    <definedName name="Z_E98595DA_C344_4F96_A5D2_6A38EE050D66_.wvu.Cols" localSheetId="10" hidden="1">'8. ГД Уренгой'!$B:$B,'8.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Уренгой'!#REF!,'8. ГД Уренгой'!#REF!</definedName>
    <definedName name="Z_E98595DA_C344_4F96_A5D2_6A38EE050D66_.wvu.PrintArea" localSheetId="10" hidden="1">'8. ГД Уренгой'!$C$3:$J$89</definedName>
    <definedName name="Z_E98595DA_C344_4F96_A5D2_6A38EE050D66_.wvu.Rows" localSheetId="10" hidden="1">'8. ГД Уренгой'!$3:$3,'8. ГД Уренгой'!#REF!</definedName>
    <definedName name="_xlnm.Print_Area" localSheetId="10">'8. ГД Уренгой'!$C$3:$J$89</definedName>
    <definedName name="Z_282DC897_A8BB_4D6B_A8BC_1F24D66F96A7_.wvu.Cols" localSheetId="11" hidden="1">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</definedName>
    <definedName name="Z_282DC897_A8BB_4D6B_A8BC_1F24D66F96A7_.wvu.PrintArea" localSheetId="11" hidden="1">'9. ГД Краснодар'!$C$1:$J$56</definedName>
    <definedName name="Z_8A2A2F47_3CCD_4B14_B6FD_506BFD71969A_.wvu.Cols" localSheetId="11" hidden="1">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</definedName>
    <definedName name="Z_DB35AC7D_F28C_47D4_B4F6_60F5274D89C3_.wvu.Cols" localSheetId="11" hidden="1">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</definedName>
    <definedName name="Z_E35D3778_5275_416A_A5A0_FECB1A54AC1C_.wvu.Cols" localSheetId="11" hidden="1">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</definedName>
    <definedName name="Z_E35D3778_5275_416A_A5A0_FECB1A54AC1C_.wvu.PrintArea" localSheetId="11" hidden="1">'9. ГД Краснодар'!$C$1:$J$56</definedName>
    <definedName name="Z_E98595DA_C344_4F96_A5D2_6A38EE050D66_.wvu.Cols" localSheetId="11" hidden="1">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Краснодар'!#REF!,'9. ГД Краснодар'!#REF!</definedName>
    <definedName name="Z_E98595DA_C344_4F96_A5D2_6A38EE050D66_.wvu.PrintArea" localSheetId="11" hidden="1">'9. ГД Краснодар'!$C$1:$J$56</definedName>
    <definedName name="_xlnm.Print_Area" localSheetId="11">'9. ГД Краснодар'!$C$1:$J$53</definedName>
    <definedName name="Z_282DC897_A8BB_4D6B_A8BC_1F24D66F96A7_.wvu.Cols" localSheetId="12" hidden="1">'10. ГД Ноябрьск'!$A:$A,'10.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</definedName>
    <definedName name="Z_282DC897_A8BB_4D6B_A8BC_1F24D66F96A7_.wvu.Rows" localSheetId="12" hidden="1">'10. ГД Ноябрьск'!$1:$4</definedName>
    <definedName name="Z_8A2A2F47_3CCD_4B14_B6FD_506BFD71969A_.wvu.Cols" localSheetId="12" hidden="1">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</definedName>
    <definedName name="Z_DB35AC7D_F28C_47D4_B4F6_60F5274D89C3_.wvu.Rows" localSheetId="12" hidden="1">'10. ГД Ноябрьск'!$1:$2</definedName>
    <definedName name="Z_E35D3778_5275_416A_A5A0_FECB1A54AC1C_.wvu.Cols" localSheetId="12" hidden="1">'10. ГД Ноябрьск'!$A:$A,'10.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</definedName>
    <definedName name="Z_E35D3778_5275_416A_A5A0_FECB1A54AC1C_.wvu.Rows" localSheetId="12" hidden="1">'10. ГД Ноябрьск'!$1:$4</definedName>
    <definedName name="Z_E98595DA_C344_4F96_A5D2_6A38EE050D66_.wvu.Cols" localSheetId="12" hidden="1">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Ноябрьск'!#REF!,'10. ГД Ноябрьск'!#REF!</definedName>
    <definedName name="Z_E98595DA_C344_4F96_A5D2_6A38EE050D66_.wvu.Rows" localSheetId="12" hidden="1">'10. ГД Ноябрьск'!$1:$4</definedName>
    <definedName name="_xlnm.Print_Area" localSheetId="12">'10. ГД Ноябрьск'!$A$4:$J$67</definedName>
    <definedName name="Z_282DC897_A8BB_4D6B_A8BC_1F24D66F96A7_.wvu.Cols" localSheetId="13" hidden="1">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</definedName>
    <definedName name="Z_282DC897_A8BB_4D6B_A8BC_1F24D66F96A7_.wvu.Rows" localSheetId="13" hidden="1">'11. ГД Надым'!$1:$3</definedName>
    <definedName name="Z_8A2A2F47_3CCD_4B14_B6FD_506BFD71969A_.wvu.Cols" localSheetId="13" hidden="1">'11. ГД Надым'!#REF!,'11. ГД Надым'!#REF!,'11. ГД Надым'!#REF!,'11. ГД Надым'!#REF!,'11. ГД Надым'!#REF!,'11. ГД Надым'!#REF!,'11. ГД Надым'!#REF!,'11. ГД Надым'!#REF!,'11. ГД Надым'!#REF!,'11. ГД Надым'!#REF!</definedName>
    <definedName name="Z_DB35AC7D_F28C_47D4_B4F6_60F5274D89C3_.wvu.Cols" localSheetId="13" hidden="1">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</definedName>
    <definedName name="Z_DB35AC7D_F28C_47D4_B4F6_60F5274D89C3_.wvu.Rows" localSheetId="13" hidden="1">'11. ГД Надым'!$1:$3</definedName>
    <definedName name="Z_E35D3778_5275_416A_A5A0_FECB1A54AC1C_.wvu.Cols" localSheetId="13" hidden="1">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</definedName>
    <definedName name="Z_E35D3778_5275_416A_A5A0_FECB1A54AC1C_.wvu.Rows" localSheetId="13" hidden="1">'11. ГД Надым'!$1:$3</definedName>
    <definedName name="Z_E98595DA_C344_4F96_A5D2_6A38EE050D66_.wvu.Cols" localSheetId="13" hidden="1">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Надым'!#REF!,'11. ГД Надым'!#REF!</definedName>
    <definedName name="Z_E98595DA_C344_4F96_A5D2_6A38EE050D66_.wvu.Rows" localSheetId="13" hidden="1">'11. ГД Надым'!$1:$3</definedName>
    <definedName name="_xlnm.Print_Area" localSheetId="13">'11. ГД Надым'!$A$1:$J$58</definedName>
    <definedName name="Z_282DC897_A8BB_4D6B_A8BC_1F24D66F96A7_.wvu.Cols" localSheetId="14" hidden="1">'12. ГД Иркутск'!$B:$B,'12.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</definedName>
    <definedName name="Z_282DC897_A8BB_4D6B_A8BC_1F24D66F96A7_.wvu.Rows" localSheetId="14" hidden="1">'12. ГД Иркутск'!$39:$40,'12. ГД Иркутск'!#REF!</definedName>
    <definedName name="Z_8A2A2F47_3CCD_4B14_B6FD_506BFD71969A_.wvu.Cols" localSheetId="14" hidden="1">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</definedName>
    <definedName name="Z_DB35AC7D_F28C_47D4_B4F6_60F5274D89C3_.wvu.Cols" localSheetId="14" hidden="1">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</definedName>
    <definedName name="Z_E35D3778_5275_416A_A5A0_FECB1A54AC1C_.wvu.Cols" localSheetId="14" hidden="1">'12. ГД Иркутск'!$B:$B,'12.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</definedName>
    <definedName name="Z_E35D3778_5275_416A_A5A0_FECB1A54AC1C_.wvu.Rows" localSheetId="14" hidden="1">'12. ГД Иркутск'!$39:$40,'12. ГД Иркутск'!#REF!</definedName>
    <definedName name="Z_E98595DA_C344_4F96_A5D2_6A38EE050D66_.wvu.Cols" localSheetId="14" hidden="1">'12. ГД Иркутск'!$B:$B,'12.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Иркутск'!#REF!,'12. ГД Иркутск'!#REF!</definedName>
    <definedName name="Z_E98595DA_C344_4F96_A5D2_6A38EE050D66_.wvu.Rows" localSheetId="14" hidden="1">'12. ГД Иркутск'!$39:$40,'12. ГД Иркутск'!#REF!</definedName>
    <definedName name="_xlnm.Print_Area" localSheetId="14">'12. ГД Иркутск'!$A$1:$J$33</definedName>
    <definedName name="Z_282DC897_A8BB_4D6B_A8BC_1F24D66F96A7_.wvu.Cols" localSheetId="15" hidden="1">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</definedName>
    <definedName name="Z_8A2A2F47_3CCD_4B14_B6FD_506BFD71969A_.wvu.Cols" localSheetId="15" hidden="1">'13. ГД Шельф'!#REF!</definedName>
    <definedName name="Z_DB35AC7D_F28C_47D4_B4F6_60F5274D89C3_.wvu.Cols" localSheetId="15" hidden="1">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</definedName>
    <definedName name="Z_E35D3778_5275_416A_A5A0_FECB1A54AC1C_.wvu.Cols" localSheetId="15" hidden="1">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</definedName>
    <definedName name="Z_E98595DA_C344_4F96_A5D2_6A38EE050D66_.wvu.Cols" localSheetId="15" hidden="1">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Шельф'!#REF!,'13. ГД Шельф'!#REF!</definedName>
    <definedName name="_xlnm.Print_Area" localSheetId="15">'13. ГД Шельф'!$A$1:$J$26</definedName>
    <definedName name="Z_282DC897_A8BB_4D6B_A8BC_1F24D66F96A7_.wvu.Cols" localSheetId="16" hidden="1">'14. ГП Благовещенск (Ам ГПЗ)'!$A:$C,'14. ГП Благовещенск (Ам ГПЗ)'!#REF!</definedName>
    <definedName name="Z_282DC897_A8BB_4D6B_A8BC_1F24D66F96A7_.wvu.PrintArea" localSheetId="16" hidden="1">'14. ГП Благовещенск (Ам ГПЗ)'!$A$6:$J$79</definedName>
    <definedName name="Z_282DC897_A8BB_4D6B_A8BC_1F24D66F96A7_.wvu.PrintTitles" localSheetId="16" hidden="1">'14. ГП Благовещенск (Ам ГПЗ)'!$6:$8</definedName>
    <definedName name="Z_282DC897_A8BB_4D6B_A8BC_1F24D66F96A7_.wvu.Rows" localSheetId="16" hidden="1">'14. ГП Благовещенск (Ам ГПЗ)'!$2:$5</definedName>
    <definedName name="Z_8A2A2F47_3CCD_4B14_B6FD_506BFD71969A_.wvu.Cols" localSheetId="16" hidden="1">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</definedName>
    <definedName name="Z_DB35AC7D_F28C_47D4_B4F6_60F5274D89C3_.wvu.Cols" localSheetId="16" hidden="1">'14. ГП Благовещенск (Ам ГПЗ)'!$A:$C,'14. ГП Благовещенск (Ам ГПЗ)'!#REF!,'14. ГП Благовещенск (Ам ГПЗ)'!#REF!</definedName>
    <definedName name="Z_DB35AC7D_F28C_47D4_B4F6_60F5274D89C3_.wvu.PrintArea" localSheetId="16" hidden="1">'14. ГП Благовещенск (Ам ГПЗ)'!$A$6:$J$79</definedName>
    <definedName name="Z_DB35AC7D_F28C_47D4_B4F6_60F5274D89C3_.wvu.PrintTitles" localSheetId="16" hidden="1">'14. ГП Благовещенск (Ам ГПЗ)'!$6:$8</definedName>
    <definedName name="Z_E35D3778_5275_416A_A5A0_FECB1A54AC1C_.wvu.Cols" localSheetId="16" hidden="1">'14. ГП Благовещенск (Ам ГПЗ)'!$A:$C,'14. ГП Благовещенск (Ам ГПЗ)'!#REF!</definedName>
    <definedName name="Z_E35D3778_5275_416A_A5A0_FECB1A54AC1C_.wvu.PrintArea" localSheetId="16" hidden="1">'14. ГП Благовещенск (Ам ГПЗ)'!$A$6:$J$79</definedName>
    <definedName name="Z_E35D3778_5275_416A_A5A0_FECB1A54AC1C_.wvu.PrintTitles" localSheetId="16" hidden="1">'14. ГП Благовещенск (Ам ГПЗ)'!$6:$8</definedName>
    <definedName name="Z_E35D3778_5275_416A_A5A0_FECB1A54AC1C_.wvu.Rows" localSheetId="16" hidden="1">'14. ГП Благовещенск (Ам ГПЗ)'!$2:$5</definedName>
    <definedName name="Z_E98595DA_C344_4F96_A5D2_6A38EE050D66_.wvu.Cols" localSheetId="16" hidden="1">'14. ГП Благовещенск (Ам ГПЗ)'!$A:$C,'14.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ГПЗ)'!#REF!,'14. ГП Благовещенск (Ам ГПЗ)'!#REF!</definedName>
    <definedName name="Z_E98595DA_C344_4F96_A5D2_6A38EE050D66_.wvu.PrintArea" localSheetId="16" hidden="1">'14. ГП Благовещенск (Ам ГПЗ)'!$A$6:$J$79</definedName>
    <definedName name="Z_E98595DA_C344_4F96_A5D2_6A38EE050D66_.wvu.PrintTitles" localSheetId="16" hidden="1">'14. ГП Благовещенск (Ам ГПЗ)'!$6:$8</definedName>
    <definedName name="Z_E98595DA_C344_4F96_A5D2_6A38EE050D66_.wvu.Rows" localSheetId="16" hidden="1">'14. ГП Благовещенск (Ам ГПЗ)'!$2:$5</definedName>
    <definedName name="_xlnm.Print_Area" localSheetId="16">'14. ГП Благовещенск (Ам ГПЗ)'!$A$6:$J$79</definedName>
    <definedName name="Z_282DC897_A8BB_4D6B_A8BC_1F24D66F96A7_.wvu.Cols" localSheetId="17" hidden="1">'15. КСПГ Портовая'!#REF!</definedName>
    <definedName name="Z_282DC897_A8BB_4D6B_A8BC_1F24D66F96A7_.wvu.PrintArea" localSheetId="17" hidden="1">'15. КСПГ Портовая'!$B$1:$J$19</definedName>
    <definedName name="Z_8A2A2F47_3CCD_4B14_B6FD_506BFD71969A_.wvu.Cols" localSheetId="17" hidden="1">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</definedName>
    <definedName name="Z_8A2A2F47_3CCD_4B14_B6FD_506BFD71969A_.wvu.PrintArea" localSheetId="17" hidden="1">'15. КСПГ Портовая'!$B$1:$J$19</definedName>
    <definedName name="Z_DB35AC7D_F28C_47D4_B4F6_60F5274D89C3_.wvu.Cols" localSheetId="17" hidden="1">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Портовая'!#REF!,'15. КСПГ Портовая'!#REF!</definedName>
    <definedName name="Z_DB35AC7D_F28C_47D4_B4F6_60F5274D89C3_.wvu.PrintArea" localSheetId="17" hidden="1">'15. КСПГ Портовая'!$B$1:$J$19</definedName>
    <definedName name="Z_E35D3778_5275_416A_A5A0_FECB1A54AC1C_.wvu.Cols" localSheetId="17" hidden="1">'15. КСПГ Портовая'!#REF!</definedName>
    <definedName name="Z_E35D3778_5275_416A_A5A0_FECB1A54AC1C_.wvu.PrintArea" localSheetId="17" hidden="1">'15. КСПГ Портовая'!$B$1:$J$19</definedName>
    <definedName name="Z_E98595DA_C344_4F96_A5D2_6A38EE050D66_.wvu.Cols" localSheetId="17" hidden="1">'15. КСПГ Портовая'!#REF!</definedName>
    <definedName name="Z_E98595DA_C344_4F96_A5D2_6A38EE050D66_.wvu.PrintArea" localSheetId="17" hidden="1">'15. КСПГ Портовая'!$B$1:$J$19</definedName>
    <definedName name="_xlnm.Print_Area" localSheetId="17">'15. КСПГ Портовая'!$B$1:$J$19</definedName>
    <definedName name="Z_282DC897_A8BB_4D6B_A8BC_1F24D66F96A7_.wvu.Cols" localSheetId="18" hidden="1">'16. Востокгазпром'!$A:$B,'16.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</definedName>
    <definedName name="Z_8A2A2F47_3CCD_4B14_B6FD_506BFD71969A_.wvu.Cols" localSheetId="18" hidden="1">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</definedName>
    <definedName name="Z_DB35AC7D_F28C_47D4_B4F6_60F5274D89C3_.wvu.Cols" localSheetId="18" hidden="1">'16. Востокгазпром'!$A:$B</definedName>
    <definedName name="Z_E35D3778_5275_416A_A5A0_FECB1A54AC1C_.wvu.Cols" localSheetId="18" hidden="1">'16. Востокгазпром'!$A:$B,'16.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</definedName>
    <definedName name="Z_E98595DA_C344_4F96_A5D2_6A38EE050D66_.wvu.Cols" localSheetId="18" hidden="1">'16. Востокгазпром'!$A:$B,'16.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Востокгазпром'!#REF!,'16. Востокгазпром'!#REF!</definedName>
    <definedName name="_xlnm.Print_Area" localSheetId="18">'16. Востокгазпром'!$A$1:$J$101</definedName>
    <definedName name="fff" localSheetId="19" hidden="1">#REF!</definedName>
    <definedName name="Z_282DC897_A8BB_4D6B_A8BC_1F24D66F96A7_.wvu.Cols" localSheetId="19" hidden="1">'17. Нефтехим Салават'!$B:$B,'17.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</definedName>
    <definedName name="Z_282DC897_A8BB_4D6B_A8BC_1F24D66F96A7_.wvu.Rows" localSheetId="19" hidden="1">'17. Нефтехим Салават'!$1:$3,'17.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</definedName>
    <definedName name="Z_8A2A2F47_3CCD_4B14_B6FD_506BFD71969A_.wvu.Cols" localSheetId="19" hidden="1">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</definedName>
    <definedName name="Z_A11C4A44_8BBA_416A_8C38_28D4EE36AA66_.wvu.Cols" localSheetId="19" hidden="1">'17. Нефтехим Салават'!$A:$B,'17. Нефтехим Салават'!#REF!</definedName>
    <definedName name="Z_A11C4A44_8BBA_416A_8C38_28D4EE36AA66_.wvu.Rows" localSheetId="19" hidden="1">'17. Нефтехим Салават'!$1:$3,'17.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</definedName>
    <definedName name="Z_DB35AC7D_F28C_47D4_B4F6_60F5274D89C3_.wvu.Cols" localSheetId="19" hidden="1">'17. Нефтехим Салават'!$B:$B,'17. Нефтехим Салават'!#REF!,'17. Нефтехим Салават'!#REF!,'17. Нефтехим Салават'!#REF!</definedName>
    <definedName name="Z_DB35AC7D_F28C_47D4_B4F6_60F5274D89C3_.wvu.Rows" localSheetId="19" hidden="1">'17. Нефтехим Салават'!$1:$3,'17.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</definedName>
    <definedName name="Z_E35D3778_5275_416A_A5A0_FECB1A54AC1C_.wvu.Cols" localSheetId="19" hidden="1">'17. Нефтехим Салават'!$A:$B,'17.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</definedName>
    <definedName name="Z_E35D3778_5275_416A_A5A0_FECB1A54AC1C_.wvu.Rows" localSheetId="19" hidden="1">'17. Нефтехим Салават'!$1:$3,'17.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</definedName>
    <definedName name="Z_E98595DA_C344_4F96_A5D2_6A38EE050D66_.wvu.Cols" localSheetId="19" hidden="1">'17. Нефтехим Салават'!$B:$B,'17.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</definedName>
    <definedName name="Z_E98595DA_C344_4F96_A5D2_6A38EE050D66_.wvu.Rows" localSheetId="19" hidden="1">'17. Нефтехим Салават'!$1:$3,'17.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</definedName>
    <definedName name="Z_ED2DDA07_57C7_4FE7_AF9F_2D3353DAFE6F_.wvu.Cols" localSheetId="19" hidden="1">'17. Нефтехим Салават'!$A:$B</definedName>
    <definedName name="Z_ED2DDA07_57C7_4FE7_AF9F_2D3353DAFE6F_.wvu.Rows" localSheetId="19" hidden="1">'17. Нефтехим Салават'!$1:$3,'17.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Салават'!#REF!,'17. Нефтехим Салават'!#REF!</definedName>
    <definedName name="смета" localSheetId="19" hidden="1">#REF!</definedName>
    <definedName name="СНП" localSheetId="19" hidden="1">#REF!</definedName>
    <definedName name="фы" localSheetId="19" hidden="1">#REF!</definedName>
    <definedName name="Z_282DC897_A8BB_4D6B_A8BC_1F24D66F96A7_.wvu.Cols" localSheetId="20" hidden="1">'18. Газпром нефть'!#REF!</definedName>
    <definedName name="Z_282DC897_A8BB_4D6B_A8BC_1F24D66F96A7_.wvu.PrintArea" localSheetId="20" hidden="1">'18. Газпром нефть'!$B$1:$J$82</definedName>
    <definedName name="Z_8A2A2F47_3CCD_4B14_B6FD_506BFD71969A_.wvu.Cols" localSheetId="20" hidden="1">'18. Газпром нефть'!#REF!,'18. Газпром нефть'!#REF!,'18. Газпром нефть'!#REF!,'18. Газпром нефть'!#REF!,'18. Газпром нефть'!#REF!,'18. Газпром нефть'!#REF!,'18. Газпром нефть'!#REF!,'18. Газпром нефть'!#REF!,'18. Газпром нефть'!#REF!,'18. Газпром нефть'!#REF!,'18. Газпром нефть'!#REF!</definedName>
    <definedName name="Z_8A2A2F47_3CCD_4B14_B6FD_506BFD71969A_.wvu.PrintArea" localSheetId="20" hidden="1">'18. Газпром нефть'!$B$1:$J$82</definedName>
    <definedName name="Z_DB35AC7D_F28C_47D4_B4F6_60F5274D89C3_.wvu.Cols" localSheetId="20" hidden="1">'18. Газпром нефть'!#REF!,'18. Газпром нефть'!#REF!,'18. Газпром нефть'!#REF!,'18. Газпром нефть'!#REF!,'18. Газпром нефть'!#REF!,'18. Газпром нефть'!#REF!,'18. Газпром нефть'!#REF!,'18. Газпром нефть'!#REF!</definedName>
    <definedName name="Z_DB35AC7D_F28C_47D4_B4F6_60F5274D89C3_.wvu.PrintArea" localSheetId="20" hidden="1">'18. Газпром нефть'!$B$1:$J$82</definedName>
    <definedName name="Z_E35D3778_5275_416A_A5A0_FECB1A54AC1C_.wvu.Cols" localSheetId="20" hidden="1">'18. Газпром нефть'!#REF!</definedName>
    <definedName name="Z_E35D3778_5275_416A_A5A0_FECB1A54AC1C_.wvu.PrintArea" localSheetId="20" hidden="1">'18. Газпром нефть'!$B$1:$J$82</definedName>
    <definedName name="Z_E98595DA_C344_4F96_A5D2_6A38EE050D66_.wvu.Cols" localSheetId="20" hidden="1">'18. Газпром нефть'!#REF!,'18. Газпром нефть'!#REF!</definedName>
    <definedName name="Z_E98595DA_C344_4F96_A5D2_6A38EE050D66_.wvu.PrintArea" localSheetId="20" hidden="1">'18. Газпром нефть'!$B$1:$J$82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0000"/>
    <numFmt numFmtId="165" formatCode="0.0"/>
    <numFmt numFmtId="166" formatCode="#,##0.0"/>
    <numFmt numFmtId="167" formatCode="0.000"/>
    <numFmt numFmtId="168" formatCode="&quot;$&quot;#.00"/>
    <numFmt numFmtId="169" formatCode="&quot;$&quot;#,##0_);[Red]\(&quot;$&quot;#,##0\)"/>
    <numFmt numFmtId="170" formatCode="General_)"/>
    <numFmt numFmtId="171" formatCode="%#.00"/>
  </numFmts>
  <fonts count="106">
    <font>
      <name val="Calibri"/>
      <color theme="1"/>
      <sz val="11"/>
      <scheme val="minor"/>
    </font>
    <font>
      <name val="Helv"/>
      <sz val="10"/>
    </font>
    <font>
      <name val="Arial"/>
      <charset val="204"/>
      <family val="2"/>
      <sz val="10"/>
    </font>
    <font>
      <name val="Courier"/>
      <sz val="1"/>
    </font>
    <font>
      <name val="Arial Cyr"/>
      <sz val="10"/>
    </font>
    <font>
      <name val="Arial CYR"/>
      <i val="1"/>
      <sz val="12"/>
    </font>
    <font>
      <name val="MS Sans Serif"/>
      <sz val="10"/>
    </font>
    <font>
      <name val="ⓒoUAAA¨u"/>
      <sz val="12"/>
    </font>
    <font>
      <name val="Times New Roman"/>
      <charset val="204"/>
      <family val="1"/>
      <b val="1"/>
      <sz val="10"/>
    </font>
    <font>
      <name val="Times New Roman"/>
      <charset val="204"/>
      <family val="1"/>
      <sz val="10"/>
    </font>
    <font>
      <name val="¹UAAA¼"/>
      <sz val="12"/>
    </font>
    <font>
      <name val="¹ÙÅÁÃ¼"/>
      <sz val="12"/>
    </font>
    <font>
      <name val="Arial"/>
      <charset val="204"/>
      <family val="2"/>
      <b val="1"/>
      <sz val="10"/>
    </font>
    <font>
      <name val="바탕체"/>
      <sz val="12"/>
    </font>
    <font>
      <name val="System"/>
      <sz val="12"/>
    </font>
    <font>
      <name val="±¼¸²Ã¼"/>
      <sz val="10"/>
    </font>
    <font>
      <name val="Times New Roman"/>
      <charset val="204"/>
      <family val="1"/>
      <sz val="11"/>
    </font>
    <font>
      <name val="Helv"/>
      <sz val="8"/>
    </font>
    <font>
      <name val="Times New Roman"/>
      <charset val="204"/>
      <family val="1"/>
      <sz val="12"/>
    </font>
    <font>
      <name val="Modern"/>
      <sz val="12"/>
    </font>
    <font>
      <name val="Times New Roman"/>
      <charset val="204"/>
      <family val="1"/>
      <b val="1"/>
      <sz val="11"/>
    </font>
    <font>
      <name val="Times New Roman"/>
      <charset val="204"/>
      <family val="1"/>
      <b val="1"/>
      <sz val="12"/>
    </font>
    <font>
      <name val="Calibri"/>
      <charset val="204"/>
      <family val="2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4"/>
    </font>
    <font>
      <name val="Times New Roman"/>
      <charset val="204"/>
      <family val="1"/>
      <i val="1"/>
      <color theme="1"/>
      <sz val="12"/>
      <u val="single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i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i val="1"/>
      <sz val="14"/>
    </font>
    <font>
      <name val="Times New Roman"/>
      <charset val="204"/>
      <family val="1"/>
      <b val="1"/>
      <color indexed="2"/>
      <sz val="16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color indexed="2"/>
      <sz val="14"/>
    </font>
    <font>
      <name val="Times New Roman"/>
      <charset val="204"/>
      <family val="1"/>
      <i val="1"/>
      <color theme="1"/>
      <sz val="14"/>
    </font>
    <font>
      <name val="Times New Roman"/>
      <charset val="204"/>
      <family val="1"/>
      <i val="1"/>
      <color theme="0" tint="-0.499984740745262"/>
      <sz val="14"/>
    </font>
    <font>
      <name val="Times New Roman"/>
      <charset val="204"/>
      <family val="1"/>
      <i val="1"/>
      <color theme="0" tint="-0.3499862666707358"/>
      <sz val="14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b val="1"/>
      <color indexed="4"/>
      <sz val="14"/>
    </font>
    <font>
      <name val="Times New Roman"/>
      <charset val="204"/>
      <family val="1"/>
      <i val="1"/>
      <color indexed="2"/>
      <sz val="14"/>
    </font>
    <font>
      <name val="Times New Roman"/>
      <charset val="204"/>
      <family val="1"/>
      <color indexed="4"/>
      <sz val="14"/>
    </font>
    <font>
      <name val="Times New Roman"/>
      <charset val="204"/>
      <family val="1"/>
      <i val="1"/>
      <color indexed="2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i val="1"/>
      <color indexed="4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indexed="2"/>
      <sz val="14"/>
    </font>
    <font>
      <name val="Times New Roman"/>
      <charset val="204"/>
      <family val="1"/>
      <color rgb="FF00B050"/>
      <sz val="14"/>
    </font>
    <font>
      <name val="Times New Roman"/>
      <charset val="204"/>
      <family val="1"/>
      <i val="1"/>
      <color theme="1"/>
      <sz val="12"/>
    </font>
    <font>
      <name val="Times New Roman"/>
      <charset val="204"/>
      <family val="1"/>
      <b val="1"/>
      <i val="1"/>
      <color theme="1"/>
      <sz val="12"/>
    </font>
    <font>
      <name val="Times New Roman"/>
      <charset val="204"/>
      <family val="1"/>
      <color theme="1"/>
      <sz val="12"/>
      <u val="single"/>
    </font>
    <font>
      <name val="Times New Roman"/>
      <charset val="204"/>
      <family val="1"/>
      <sz val="12"/>
      <u val="single"/>
    </font>
    <font>
      <name val="Times New Roman"/>
      <charset val="204"/>
      <family val="1"/>
      <i val="1"/>
      <sz val="11"/>
    </font>
    <font>
      <name val="Times New Roman"/>
      <charset val="204"/>
      <family val="1"/>
      <b val="1"/>
      <sz val="12"/>
      <u val="single"/>
    </font>
    <font>
      <name val="Times New Roman"/>
      <charset val="204"/>
      <family val="1"/>
      <b val="1"/>
      <color theme="1"/>
      <sz val="12"/>
      <u val="single"/>
    </font>
    <font>
      <name val="Times New Roman"/>
      <charset val="204"/>
      <family val="1"/>
      <color indexed="2"/>
      <sz val="20"/>
    </font>
    <font>
      <name val="Times New Roman"/>
      <charset val="204"/>
      <family val="1"/>
      <color indexed="6"/>
      <sz val="14"/>
    </font>
    <font>
      <name val="Times New Roman"/>
      <charset val="204"/>
      <family val="1"/>
      <color indexed="4"/>
      <sz val="14"/>
      <u val="single"/>
    </font>
    <font>
      <name val="Times New Roman"/>
      <charset val="204"/>
      <family val="1"/>
      <b val="1"/>
      <color rgb="FFC00000"/>
      <sz val="14"/>
    </font>
    <font>
      <name val="Times New Roman"/>
      <charset val="204"/>
      <family val="1"/>
      <b val="1"/>
      <i val="1"/>
      <sz val="14"/>
    </font>
    <font>
      <name val="Times New Roman"/>
      <charset val="204"/>
      <family val="1"/>
      <b val="1"/>
      <i val="1"/>
      <color theme="1"/>
      <sz val="14"/>
    </font>
    <font>
      <name val="Times New Roman"/>
      <charset val="204"/>
      <family val="1"/>
      <b val="1"/>
      <i val="1"/>
      <color indexed="6"/>
      <sz val="14"/>
    </font>
    <font>
      <name val="Times New Roman"/>
      <charset val="204"/>
      <family val="1"/>
      <i val="1"/>
      <color indexed="6"/>
      <sz val="14"/>
    </font>
    <font>
      <name val="Times New Roman"/>
      <charset val="204"/>
      <family val="1"/>
      <color theme="5"/>
      <sz val="14"/>
    </font>
    <font>
      <name val="Times New Roman"/>
      <charset val="204"/>
      <family val="1"/>
      <i val="1"/>
      <color theme="5"/>
      <sz val="14"/>
    </font>
    <font>
      <name val="Calibri"/>
      <charset val="204"/>
      <family val="2"/>
      <color theme="1"/>
      <sz val="12"/>
      <scheme val="minor"/>
    </font>
    <font>
      <name val="Times New Roman"/>
      <charset val="204"/>
      <family val="1"/>
      <color indexed="4"/>
      <sz val="12"/>
      <u val="single"/>
    </font>
    <font>
      <name val="Calibri"/>
      <charset val="204"/>
      <family val="2"/>
      <color theme="5"/>
      <sz val="11"/>
      <scheme val="minor"/>
    </font>
    <font>
      <name val="Times New Roman"/>
      <charset val="204"/>
      <family val="1"/>
      <b val="1"/>
      <i val="1"/>
      <color indexed="2"/>
      <sz val="14"/>
    </font>
    <font>
      <name val="Times New Roman"/>
      <charset val="204"/>
      <family val="1"/>
      <sz val="14"/>
      <u val="single"/>
    </font>
    <font>
      <name val="Times New Roman"/>
      <charset val="204"/>
      <family val="1"/>
      <i val="1"/>
      <color theme="4" tint="0.3999755851924192"/>
      <sz val="14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i val="1"/>
      <sz val="14"/>
      <u val="single"/>
    </font>
    <font>
      <name val="Times New Roman"/>
      <charset val="204"/>
      <family val="1"/>
      <b val="1"/>
      <i val="1"/>
      <color indexed="2"/>
      <sz val="22"/>
      <u val="single"/>
    </font>
    <font>
      <name val="Times New Roman"/>
      <charset val="204"/>
      <family val="1"/>
      <b val="1"/>
      <i val="1"/>
      <color indexed="2"/>
      <sz val="14"/>
      <u val="single"/>
    </font>
    <font>
      <name val="Times New Roman"/>
      <charset val="204"/>
      <family val="1"/>
      <b val="1"/>
      <i val="1"/>
      <color theme="6" tint="-0.249977111117893"/>
      <sz val="14"/>
    </font>
    <font>
      <name val="Times New Roman"/>
      <charset val="204"/>
      <family val="1"/>
      <color theme="8" tint="-0.499984740745262"/>
      <sz val="14"/>
    </font>
    <font>
      <name val="Times New Roman"/>
      <charset val="204"/>
      <family val="1"/>
      <color theme="1"/>
      <sz val="14"/>
      <u val="single"/>
    </font>
    <font>
      <name val="Times New Roman"/>
      <charset val="204"/>
      <family val="1"/>
      <b val="1"/>
      <i val="1"/>
      <color theme="8" tint="-0.499984740745262"/>
      <sz val="14"/>
    </font>
    <font>
      <name val="Times New Roman"/>
      <charset val="204"/>
      <family val="1"/>
      <i val="1"/>
      <color theme="8" tint="-0.499984740745262"/>
      <sz val="14"/>
    </font>
    <font>
      <name val="Times New Roman"/>
      <charset val="204"/>
      <family val="1"/>
      <color rgb="FF00B0F0"/>
      <sz val="14"/>
    </font>
    <font>
      <name val="Times New Roman"/>
      <charset val="204"/>
      <family val="1"/>
      <b val="1"/>
      <i val="1"/>
      <color rgb="FF00B0F0"/>
      <sz val="14"/>
    </font>
    <font>
      <name val="Times New Roman"/>
      <charset val="204"/>
      <family val="1"/>
      <i val="1"/>
      <color rgb="FF00B0F0"/>
      <sz val="14"/>
    </font>
    <font>
      <name val="Times New Roman"/>
      <charset val="204"/>
      <family val="1"/>
      <color theme="6" tint="-0.249977111117893"/>
      <sz val="14"/>
    </font>
    <font>
      <name val="Times New Roman"/>
      <charset val="204"/>
      <family val="1"/>
      <i val="1"/>
      <color theme="6" tint="-0.249977111117893"/>
      <sz val="14"/>
    </font>
    <font>
      <name val="Calibri"/>
      <charset val="204"/>
      <family val="2"/>
      <b val="1"/>
      <i val="1"/>
      <color theme="1"/>
      <sz val="11"/>
      <scheme val="minor"/>
    </font>
    <font>
      <name val="Times New Roman"/>
      <charset val="204"/>
      <family val="1"/>
      <b val="1"/>
      <i val="1"/>
      <color theme="0" tint="-0.3499862666707358"/>
      <sz val="14"/>
    </font>
    <font>
      <name val="Times New Roman"/>
      <charset val="204"/>
      <family val="1"/>
      <color theme="1"/>
      <sz val="9"/>
    </font>
    <font>
      <name val="Times New Roman"/>
      <charset val="204"/>
      <family val="1"/>
      <b val="1"/>
      <i val="1"/>
      <color rgb="FFC00000"/>
      <sz val="14"/>
    </font>
    <font>
      <name val="Calibri"/>
      <charset val="204"/>
      <family val="2"/>
      <color theme="1"/>
      <sz val="14"/>
      <scheme val="minor"/>
    </font>
    <font>
      <name val="Times New Roman"/>
      <charset val="204"/>
      <family val="1"/>
      <b val="1"/>
      <color rgb="FF0000FF"/>
      <sz val="14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sz val="9"/>
    </font>
    <font>
      <name val="Times New Roman"/>
      <charset val="204"/>
      <family val="1"/>
      <color rgb="FFC00000"/>
      <sz val="14"/>
    </font>
    <font>
      <name val="Times New Roman"/>
      <charset val="204"/>
      <family val="1"/>
      <i val="1"/>
      <color rgb="FFC00000"/>
      <sz val="14"/>
    </font>
    <font>
      <name val="Times New Roman"/>
      <charset val="204"/>
      <family val="1"/>
      <b val="1"/>
      <i val="1"/>
      <color theme="1"/>
      <sz val="10"/>
    </font>
    <font>
      <name val="Times New Roman"/>
      <charset val="204"/>
      <family val="1"/>
      <b val="1"/>
      <color theme="1"/>
      <sz val="16"/>
    </font>
    <font>
      <name val="Times New Roman"/>
      <charset val="204"/>
      <family val="1"/>
      <b val="1"/>
      <sz val="16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theme="1"/>
      <sz val="14"/>
      <u val="single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b val="1"/>
      <color theme="1"/>
      <sz val="16"/>
      <u val="single"/>
    </font>
    <font>
      <name val="Times New Roman"/>
      <charset val="204"/>
      <family val="1"/>
      <b val="1"/>
      <sz val="16"/>
      <u val="single"/>
    </font>
    <font>
      <name val="Calibri"/>
      <charset val="204"/>
      <family val="2"/>
      <sz val="11"/>
    </font>
  </fonts>
  <fills count="13">
    <fill>
      <patternFill/>
    </fill>
    <fill>
      <patternFill patternType="gray125"/>
    </fill>
    <fill>
      <patternFill patternType="solid">
        <fgColor indexed="22"/>
        <bgColor indexed="22"/>
      </patternFill>
    </fill>
    <fill>
      <patternFill patternType="solid">
        <fgColor indexed="2"/>
        <bgColor indexed="2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0" tint="-0.0499893185216834"/>
        <bgColor theme="0" tint="-0.049989318521683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</borders>
  <cellStyleXfs count="104">
    <xf numFmtId="0" fontId="0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2" borderId="0"/>
    <xf numFmtId="0" fontId="2" fillId="0" borderId="0"/>
    <xf numFmtId="0" fontId="1" fillId="0" borderId="0"/>
    <xf numFmtId="0" fontId="2" fillId="2" borderId="0"/>
    <xf numFmtId="0" fontId="2" fillId="0" borderId="0"/>
    <xf numFmtId="0" fontId="2" fillId="0" borderId="0"/>
    <xf numFmtId="0" fontId="2" fillId="0" borderId="0"/>
    <xf numFmtId="0" fontId="4" fillId="0" borderId="0"/>
    <xf numFmtId="0" fontId="1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5" fillId="0" borderId="0"/>
    <xf numFmtId="0" fontId="2" fillId="0" borderId="0"/>
    <xf numFmtId="0" fontId="1" fillId="0" borderId="0"/>
    <xf numFmtId="0" fontId="7" fillId="0" borderId="0"/>
    <xf numFmtId="0" fontId="7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7" fillId="0" borderId="0"/>
    <xf numFmtId="0" fontId="7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4" fillId="0" borderId="0"/>
    <xf numFmtId="0" fontId="11" fillId="0" borderId="0"/>
    <xf numFmtId="0" fontId="10" fillId="0" borderId="0"/>
    <xf numFmtId="0" fontId="14" fillId="0" borderId="0"/>
    <xf numFmtId="0" fontId="14" fillId="0" borderId="0"/>
    <xf numFmtId="0" fontId="11" fillId="0" borderId="0"/>
    <xf numFmtId="0" fontId="10" fillId="0" borderId="0"/>
    <xf numFmtId="0" fontId="11" fillId="0" borderId="0"/>
    <xf numFmtId="0" fontId="10" fillId="0" borderId="0"/>
    <xf numFmtId="0" fontId="11" fillId="0" borderId="0"/>
    <xf numFmtId="0" fontId="10" fillId="0" borderId="0"/>
    <xf numFmtId="0" fontId="15" fillId="0" borderId="0"/>
    <xf numFmtId="4" fontId="3" fillId="0" borderId="0" applyProtection="1">
      <protection locked="0" hidden="0"/>
    </xf>
    <xf numFmtId="0" fontId="6" fillId="0" borderId="0"/>
    <xf numFmtId="0" fontId="2" fillId="0" borderId="0"/>
    <xf numFmtId="166" fontId="9" fillId="0" borderId="0"/>
    <xf numFmtId="4" fontId="9" fillId="0" borderId="0"/>
    <xf numFmtId="168" fontId="3" fillId="0" borderId="0" applyProtection="1">
      <protection locked="0" hidden="0"/>
    </xf>
    <xf numFmtId="169" fontId="6" fillId="0" borderId="0"/>
    <xf numFmtId="0" fontId="2" fillId="0" borderId="0"/>
    <xf numFmtId="9" fontId="17" fillId="0" borderId="0"/>
    <xf numFmtId="169" fontId="17" fillId="0" borderId="3" applyAlignment="1">
      <alignment horizontal="center"/>
    </xf>
    <xf numFmtId="0" fontId="19" fillId="0" borderId="0"/>
    <xf numFmtId="170" fontId="2" fillId="0" borderId="0"/>
    <xf numFmtId="0" fontId="2" fillId="0" borderId="0"/>
    <xf numFmtId="0" fontId="17" fillId="0" borderId="0"/>
    <xf numFmtId="171" fontId="3" fillId="0" borderId="0" applyProtection="1">
      <protection locked="0" hidden="0"/>
    </xf>
    <xf numFmtId="0" fontId="12" fillId="0" borderId="0"/>
    <xf numFmtId="0" fontId="13" fillId="0" borderId="0"/>
    <xf numFmtId="0" fontId="13" fillId="0" borderId="0"/>
    <xf numFmtId="43" fontId="100" fillId="0" borderId="0"/>
    <xf numFmtId="41" fontId="100" fillId="0" borderId="0"/>
    <xf numFmtId="44" fontId="100" fillId="0" borderId="0"/>
    <xf numFmtId="42" fontId="100" fillId="0" borderId="0"/>
    <xf numFmtId="9" fontId="100" fillId="0" borderId="0"/>
    <xf numFmtId="0" fontId="4" fillId="0" borderId="0"/>
    <xf numFmtId="0" fontId="105" fillId="0" borderId="26"/>
  </cellStyleXfs>
  <cellXfs count="962">
    <xf numFmtId="0" fontId="0" fillId="0" borderId="0" pivotButton="0" quotePrefix="0" xfId="0"/>
    <xf numFmtId="0" fontId="27" fillId="0" borderId="15" applyAlignment="1" pivotButton="0" quotePrefix="1" xfId="0">
      <alignment horizontal="left" vertical="center" indent="2"/>
    </xf>
    <xf numFmtId="0" fontId="29" fillId="0" borderId="15" applyAlignment="1" pivotButton="0" quotePrefix="1" xfId="0">
      <alignment horizontal="left" vertical="center" indent="2"/>
    </xf>
    <xf numFmtId="0" fontId="21" fillId="0" borderId="0" pivotButton="0" quotePrefix="0" xfId="0"/>
    <xf numFmtId="0" fontId="33" fillId="0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/>
    </xf>
    <xf numFmtId="0" fontId="56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/>
    </xf>
    <xf numFmtId="0" fontId="46" fillId="0" borderId="0" applyAlignment="1" pivotButton="0" quotePrefix="0" xfId="0">
      <alignment horizontal="left" vertical="center" indent="5"/>
    </xf>
    <xf numFmtId="0" fontId="25" fillId="0" borderId="1" applyAlignment="1" pivotButton="0" quotePrefix="0" xfId="0">
      <alignment horizontal="center"/>
    </xf>
    <xf numFmtId="0" fontId="34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/>
    </xf>
    <xf numFmtId="0" fontId="58" fillId="0" borderId="0" pivotButton="0" quotePrefix="0" xfId="0"/>
    <xf numFmtId="0" fontId="46" fillId="0" borderId="0" applyAlignment="1" pivotButton="0" quotePrefix="0" xfId="0">
      <alignment vertical="center" wrapText="1"/>
    </xf>
    <xf numFmtId="0" fontId="46" fillId="0" borderId="0" applyAlignment="1" pivotButton="0" quotePrefix="1" xfId="0">
      <alignment vertical="center" wrapText="1"/>
    </xf>
    <xf numFmtId="0" fontId="31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0" fontId="47" fillId="0" borderId="0" pivotButton="0" quotePrefix="0" xfId="0"/>
    <xf numFmtId="49" fontId="38" fillId="0" borderId="0" applyAlignment="1" pivotButton="0" quotePrefix="0" xfId="0">
      <alignment horizontal="center" vertical="center"/>
    </xf>
    <xf numFmtId="0" fontId="27" fillId="0" borderId="12" applyAlignment="1" pivotButton="0" quotePrefix="0" xfId="0">
      <alignment horizontal="center" vertical="center"/>
    </xf>
    <xf numFmtId="0" fontId="47" fillId="0" borderId="12" applyAlignment="1" pivotButton="0" quotePrefix="0" xfId="0">
      <alignment horizontal="center" vertical="center"/>
    </xf>
    <xf numFmtId="0" fontId="46" fillId="0" borderId="9" applyAlignment="1" pivotButton="0" quotePrefix="0" xfId="0">
      <alignment horizontal="left" vertical="center" wrapText="1" indent="2"/>
    </xf>
    <xf numFmtId="0" fontId="46" fillId="0" borderId="0" applyAlignment="1" pivotButton="0" quotePrefix="0" xfId="0">
      <alignment horizontal="left" wrapText="1" indent="4"/>
    </xf>
    <xf numFmtId="0" fontId="62" fillId="0" borderId="0" pivotButton="0" quotePrefix="0" xfId="0"/>
    <xf numFmtId="0" fontId="62" fillId="0" borderId="8" applyAlignment="1" pivotButton="0" quotePrefix="0" xfId="0">
      <alignment horizontal="center" vertical="center"/>
    </xf>
    <xf numFmtId="0" fontId="36" fillId="0" borderId="0" pivotButton="0" quotePrefix="0" xfId="0"/>
    <xf numFmtId="49" fontId="31" fillId="0" borderId="8" applyAlignment="1" pivotButton="0" quotePrefix="0" xfId="0">
      <alignment horizontal="center" vertical="center"/>
    </xf>
    <xf numFmtId="0" fontId="36" fillId="0" borderId="8" applyAlignment="1" pivotButton="0" quotePrefix="0" xfId="0">
      <alignment horizontal="center" vertical="center"/>
    </xf>
    <xf numFmtId="0" fontId="36" fillId="0" borderId="9" applyAlignment="1" pivotButton="0" quotePrefix="0" xfId="0">
      <alignment horizontal="left" vertical="center" wrapText="1" indent="2"/>
    </xf>
    <xf numFmtId="0" fontId="61" fillId="0" borderId="8" applyAlignment="1" pivotButton="0" quotePrefix="0" xfId="0">
      <alignment horizontal="left" wrapText="1" indent="1"/>
    </xf>
    <xf numFmtId="0" fontId="31" fillId="0" borderId="8" applyAlignment="1" pivotButton="0" quotePrefix="0" xfId="0">
      <alignment horizontal="left" wrapText="1" indent="2"/>
    </xf>
    <xf numFmtId="0" fontId="36" fillId="0" borderId="8" applyAlignment="1" pivotButton="0" quotePrefix="0" xfId="0">
      <alignment horizontal="left" wrapText="1" indent="4"/>
    </xf>
    <xf numFmtId="0" fontId="62" fillId="0" borderId="8" applyAlignment="1" pivotButton="0" quotePrefix="0" xfId="0">
      <alignment horizontal="left" wrapText="1" indent="1"/>
    </xf>
    <xf numFmtId="0" fontId="46" fillId="0" borderId="1" pivotButton="0" quotePrefix="0" xfId="0"/>
    <xf numFmtId="0" fontId="45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center"/>
    </xf>
    <xf numFmtId="0" fontId="46" fillId="0" borderId="0" applyAlignment="1" pivotButton="0" quotePrefix="0" xfId="0">
      <alignment horizontal="left" wrapText="1" indent="2"/>
    </xf>
    <xf numFmtId="0" fontId="65" fillId="0" borderId="0" pivotButton="0" quotePrefix="0" xfId="0"/>
    <xf numFmtId="0" fontId="66" fillId="0" borderId="1" applyAlignment="1" pivotButton="0" quotePrefix="0" xfId="0">
      <alignment horizontal="left" wrapText="1" indent="3"/>
    </xf>
    <xf numFmtId="0" fontId="22" fillId="0" borderId="0" pivotButton="0" quotePrefix="0" xfId="0"/>
    <xf numFmtId="0" fontId="67" fillId="0" borderId="0" pivotButton="0" quotePrefix="0" xfId="0"/>
    <xf numFmtId="0" fontId="35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center" vertical="center" wrapText="1"/>
    </xf>
    <xf numFmtId="0" fontId="68" fillId="0" borderId="0" pivotButton="0" quotePrefix="0" xfId="0"/>
    <xf numFmtId="0" fontId="8" fillId="0" borderId="15" applyAlignment="1" pivotButton="0" quotePrefix="1" xfId="0">
      <alignment horizontal="left" vertical="center" indent="2"/>
    </xf>
    <xf numFmtId="0" fontId="21" fillId="0" borderId="12" applyAlignment="1" pivotButton="0" quotePrefix="0" xfId="0">
      <alignment horizontal="left" vertical="center" indent="1"/>
    </xf>
    <xf numFmtId="0" fontId="18" fillId="0" borderId="12" applyAlignment="1" pivotButton="0" quotePrefix="0" xfId="0">
      <alignment horizontal="center" vertical="center"/>
    </xf>
    <xf numFmtId="0" fontId="39" fillId="0" borderId="8" applyAlignment="1" pivotButton="0" quotePrefix="0" xfId="0">
      <alignment horizontal="left" vertical="center" wrapText="1" indent="2"/>
    </xf>
    <xf numFmtId="0" fontId="44" fillId="0" borderId="8" applyAlignment="1" pivotButton="0" quotePrefix="0" xfId="0">
      <alignment horizontal="center" vertical="center" wrapText="1"/>
    </xf>
    <xf numFmtId="0" fontId="39" fillId="0" borderId="8" applyAlignment="1" pivotButton="0" quotePrefix="1" xfId="0">
      <alignment horizontal="left" vertical="center" wrapText="1" indent="2"/>
    </xf>
    <xf numFmtId="0" fontId="39" fillId="0" borderId="8" applyAlignment="1" pivotButton="0" quotePrefix="0" xfId="0">
      <alignment horizontal="center" vertical="center" wrapText="1"/>
    </xf>
    <xf numFmtId="0" fontId="18" fillId="0" borderId="8" applyAlignment="1" pivotButton="0" quotePrefix="0" xfId="0">
      <alignment horizontal="left" vertical="center" wrapText="1" indent="5"/>
    </xf>
    <xf numFmtId="0" fontId="44" fillId="0" borderId="8" applyAlignment="1" pivotButton="0" quotePrefix="0" xfId="0">
      <alignment horizontal="left" vertical="center" wrapText="1" indent="3"/>
    </xf>
    <xf numFmtId="0" fontId="34" fillId="0" borderId="8" applyAlignment="1" pivotButton="0" quotePrefix="0" xfId="0">
      <alignment horizontal="left" vertical="center" wrapText="1" indent="1"/>
    </xf>
    <xf numFmtId="0" fontId="18" fillId="0" borderId="8" applyAlignment="1" pivotButton="0" quotePrefix="0" xfId="0">
      <alignment horizontal="left" vertical="center" wrapText="1" indent="1"/>
    </xf>
    <xf numFmtId="0" fontId="21" fillId="0" borderId="8" applyAlignment="1" pivotButton="0" quotePrefix="0" xfId="0">
      <alignment vertical="center" wrapText="1"/>
    </xf>
    <xf numFmtId="0" fontId="44" fillId="0" borderId="8" applyAlignment="1" pivotButton="0" quotePrefix="0" xfId="0">
      <alignment horizontal="left" vertical="center" wrapText="1" indent="4"/>
    </xf>
    <xf numFmtId="0" fontId="21" fillId="0" borderId="8" applyAlignment="1" pivotButton="0" quotePrefix="0" xfId="0">
      <alignment horizontal="center" vertical="center" wrapText="1"/>
    </xf>
    <xf numFmtId="49" fontId="44" fillId="0" borderId="0" applyAlignment="1" pivotButton="0" quotePrefix="0" xfId="0">
      <alignment horizontal="center" vertical="center"/>
    </xf>
    <xf numFmtId="0" fontId="69" fillId="0" borderId="0" pivotButton="0" quotePrefix="0" xfId="0"/>
    <xf numFmtId="49" fontId="38" fillId="0" borderId="0" applyAlignment="1" pivotButton="0" quotePrefix="0" xfId="0">
      <alignment horizontal="center"/>
    </xf>
    <xf numFmtId="49" fontId="47" fillId="0" borderId="12" applyAlignment="1" pivotButton="0" quotePrefix="0" xfId="0">
      <alignment horizontal="center" vertical="center"/>
    </xf>
    <xf numFmtId="0" fontId="27" fillId="0" borderId="12" applyAlignment="1" pivotButton="0" quotePrefix="0" xfId="0">
      <alignment horizontal="left" vertical="center" wrapText="1" indent="1"/>
    </xf>
    <xf numFmtId="0" fontId="27" fillId="0" borderId="13" applyAlignment="1" pivotButton="0" quotePrefix="0" xfId="0">
      <alignment horizontal="center" vertical="center"/>
    </xf>
    <xf numFmtId="49" fontId="46" fillId="0" borderId="8" applyAlignment="1" pivotButton="0" quotePrefix="0" xfId="0">
      <alignment horizontal="center"/>
    </xf>
    <xf numFmtId="0" fontId="25" fillId="0" borderId="8" applyAlignment="1" pivotButton="0" quotePrefix="0" xfId="0">
      <alignment horizontal="left" wrapText="1" indent="2"/>
    </xf>
    <xf numFmtId="0" fontId="25" fillId="0" borderId="9" applyAlignment="1" pivotButton="0" quotePrefix="0" xfId="0">
      <alignment horizontal="center"/>
    </xf>
    <xf numFmtId="0" fontId="47" fillId="0" borderId="8" applyAlignment="1" pivotButton="0" quotePrefix="0" xfId="0">
      <alignment horizontal="left" wrapText="1" indent="1"/>
    </xf>
    <xf numFmtId="0" fontId="27" fillId="0" borderId="9" applyAlignment="1" pivotButton="0" quotePrefix="0" xfId="0">
      <alignment horizontal="center"/>
    </xf>
    <xf numFmtId="16" fontId="27" fillId="0" borderId="8" applyAlignment="1" pivotButton="0" quotePrefix="0" xfId="0">
      <alignment horizontal="left" wrapText="1" indent="1"/>
    </xf>
    <xf numFmtId="49" fontId="36" fillId="0" borderId="8" applyAlignment="1" pivotButton="0" quotePrefix="0" xfId="0">
      <alignment horizontal="center"/>
    </xf>
    <xf numFmtId="0" fontId="31" fillId="0" borderId="9" applyAlignment="1" pivotButton="0" quotePrefix="0" xfId="0">
      <alignment horizontal="center" vertical="center"/>
    </xf>
    <xf numFmtId="0" fontId="62" fillId="0" borderId="0" applyAlignment="1" pivotButton="0" quotePrefix="0" xfId="0">
      <alignment vertical="center"/>
    </xf>
    <xf numFmtId="0" fontId="31" fillId="0" borderId="9" applyAlignment="1" pivotButton="0" quotePrefix="0" xfId="0">
      <alignment horizontal="center"/>
    </xf>
    <xf numFmtId="0" fontId="27" fillId="0" borderId="8" applyAlignment="1" pivotButton="0" quotePrefix="0" xfId="0">
      <alignment horizontal="left" vertical="center" indent="1"/>
    </xf>
    <xf numFmtId="49" fontId="46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 indent="2"/>
    </xf>
    <xf numFmtId="0" fontId="25" fillId="0" borderId="5" applyAlignment="1" pivotButton="0" quotePrefix="0" xfId="0">
      <alignment horizontal="center"/>
    </xf>
    <xf numFmtId="0" fontId="38" fillId="0" borderId="0" applyAlignment="1" pivotButton="0" quotePrefix="0" xfId="0">
      <alignment horizontal="center"/>
    </xf>
    <xf numFmtId="0" fontId="42" fillId="0" borderId="0" pivotButton="0" quotePrefix="0" xfId="0"/>
    <xf numFmtId="0" fontId="65" fillId="0" borderId="1" pivotButton="0" quotePrefix="0" xfId="0"/>
    <xf numFmtId="0" fontId="70" fillId="0" borderId="0" applyAlignment="1" pivotButton="0" quotePrefix="0" xfId="0">
      <alignment horizontal="right"/>
    </xf>
    <xf numFmtId="49" fontId="27" fillId="0" borderId="8" applyAlignment="1" pivotButton="0" quotePrefix="0" xfId="0">
      <alignment horizontal="center" vertical="center" wrapText="1"/>
    </xf>
    <xf numFmtId="49" fontId="41" fillId="0" borderId="0" applyAlignment="1" pivotButton="0" quotePrefix="0" xfId="0">
      <alignment horizontal="center"/>
    </xf>
    <xf numFmtId="0" fontId="46" fillId="0" borderId="12" applyAlignment="1" pivotButton="0" quotePrefix="0" xfId="0">
      <alignment horizontal="center"/>
    </xf>
    <xf numFmtId="0" fontId="46" fillId="0" borderId="11" applyAlignment="1" pivotButton="0" quotePrefix="0" xfId="0">
      <alignment horizontal="left" vertical="center" wrapText="1" indent="2"/>
    </xf>
    <xf numFmtId="0" fontId="46" fillId="0" borderId="8" applyAlignment="1" pivotButton="0" quotePrefix="0" xfId="0">
      <alignment horizontal="center"/>
    </xf>
    <xf numFmtId="2" fontId="47" fillId="0" borderId="0" applyAlignment="1" pivotButton="0" quotePrefix="0" xfId="0">
      <alignment horizontal="left" vertical="top" wrapText="1" indent="6"/>
    </xf>
    <xf numFmtId="2" fontId="46" fillId="0" borderId="0" applyAlignment="1" pivotButton="0" quotePrefix="0" xfId="0">
      <alignment horizontal="left" vertical="top" wrapText="1" indent="6"/>
    </xf>
    <xf numFmtId="2" fontId="25" fillId="0" borderId="0" applyAlignment="1" pivotButton="0" quotePrefix="0" xfId="0">
      <alignment horizontal="left" vertical="top" wrapText="1" indent="6"/>
    </xf>
    <xf numFmtId="49" fontId="72" fillId="0" borderId="0" applyAlignment="1" pivotButton="0" quotePrefix="0" xfId="0">
      <alignment horizontal="center"/>
    </xf>
    <xf numFmtId="2" fontId="47" fillId="0" borderId="11" applyAlignment="1" pivotButton="0" quotePrefix="0" xfId="0">
      <alignment horizontal="left" vertical="top" wrapText="1" indent="6"/>
    </xf>
    <xf numFmtId="2" fontId="46" fillId="0" borderId="11" applyAlignment="1" pivotButton="0" quotePrefix="0" xfId="0">
      <alignment horizontal="left" vertical="top" wrapText="1" indent="6"/>
    </xf>
    <xf numFmtId="0" fontId="62" fillId="0" borderId="11" applyAlignment="1" pivotButton="0" quotePrefix="0" xfId="0">
      <alignment horizontal="left" vertical="top" wrapText="1" indent="1"/>
    </xf>
    <xf numFmtId="0" fontId="61" fillId="0" borderId="11" applyAlignment="1" pivotButton="0" quotePrefix="0" xfId="0">
      <alignment horizontal="left" vertical="top" wrapText="1" indent="3"/>
    </xf>
    <xf numFmtId="0" fontId="36" fillId="0" borderId="11" applyAlignment="1" pivotButton="0" quotePrefix="0" xfId="0">
      <alignment horizontal="left" vertical="top" wrapText="1" indent="5"/>
    </xf>
    <xf numFmtId="49" fontId="41" fillId="0" borderId="0" applyAlignment="1" pivotButton="0" quotePrefix="0" xfId="0">
      <alignment horizontal="center" vertical="center"/>
    </xf>
    <xf numFmtId="0" fontId="46" fillId="0" borderId="11" applyAlignment="1" pivotButton="0" quotePrefix="0" xfId="0">
      <alignment horizontal="center"/>
    </xf>
    <xf numFmtId="0" fontId="46" fillId="0" borderId="0" applyAlignment="1" pivotButton="0" quotePrefix="0" xfId="0">
      <alignment horizontal="left" vertical="center" indent="1"/>
    </xf>
    <xf numFmtId="0" fontId="70" fillId="0" borderId="0" applyAlignment="1" pivotButton="0" quotePrefix="0" xfId="0">
      <alignment horizontal="right" vertical="center" indent="1"/>
    </xf>
    <xf numFmtId="0" fontId="47" fillId="0" borderId="11" applyAlignment="1" pivotButton="0" quotePrefix="0" xfId="0">
      <alignment horizontal="left" vertical="top" wrapText="1" indent="2"/>
    </xf>
    <xf numFmtId="0" fontId="25" fillId="0" borderId="8" applyAlignment="1" pivotButton="0" quotePrefix="0" xfId="0">
      <alignment horizontal="center"/>
    </xf>
    <xf numFmtId="0" fontId="46" fillId="0" borderId="11" applyAlignment="1" pivotButton="0" quotePrefix="0" xfId="0">
      <alignment horizontal="left" vertical="top" wrapText="1" indent="3"/>
    </xf>
    <xf numFmtId="0" fontId="25" fillId="0" borderId="11" applyAlignment="1" pivotButton="0" quotePrefix="0" xfId="0">
      <alignment horizontal="left" vertical="top" wrapText="1" indent="3"/>
    </xf>
    <xf numFmtId="0" fontId="47" fillId="0" borderId="11" applyAlignment="1" pivotButton="0" quotePrefix="0" xfId="0">
      <alignment horizontal="left" wrapText="1" indent="1"/>
    </xf>
    <xf numFmtId="0" fontId="46" fillId="0" borderId="11" applyAlignment="1" pivotButton="0" quotePrefix="0" xfId="0">
      <alignment horizontal="left" wrapText="1" indent="2"/>
    </xf>
    <xf numFmtId="0" fontId="46" fillId="0" borderId="11" applyAlignment="1" pivotButton="0" quotePrefix="0" xfId="0">
      <alignment horizontal="left" wrapText="1" indent="4"/>
    </xf>
    <xf numFmtId="49" fontId="37" fillId="0" borderId="0" applyAlignment="1" pivotButton="0" quotePrefix="0" xfId="0">
      <alignment horizontal="center"/>
    </xf>
    <xf numFmtId="49" fontId="46" fillId="0" borderId="0" applyAlignment="1" pivotButton="0" quotePrefix="0" xfId="0">
      <alignment horizontal="center" vertical="center" wrapText="1"/>
    </xf>
    <xf numFmtId="0" fontId="62" fillId="0" borderId="11" applyAlignment="1" pivotButton="0" quotePrefix="0" xfId="0">
      <alignment horizontal="left" wrapText="1" indent="1"/>
    </xf>
    <xf numFmtId="0" fontId="62" fillId="0" borderId="11" applyAlignment="1" pivotButton="0" quotePrefix="0" xfId="0">
      <alignment horizontal="left" wrapText="1" indent="2"/>
    </xf>
    <xf numFmtId="0" fontId="36" fillId="0" borderId="11" applyAlignment="1" pivotButton="0" quotePrefix="0" xfId="0">
      <alignment horizontal="left" wrapText="1" indent="2"/>
    </xf>
    <xf numFmtId="0" fontId="36" fillId="0" borderId="8" applyAlignment="1" pivotButton="0" quotePrefix="0" xfId="0">
      <alignment horizontal="left" wrapText="1" indent="2"/>
    </xf>
    <xf numFmtId="0" fontId="62" fillId="0" borderId="8" applyAlignment="1" pivotButton="0" quotePrefix="0" xfId="0">
      <alignment horizontal="left" wrapText="1" indent="2"/>
    </xf>
    <xf numFmtId="0" fontId="46" fillId="0" borderId="8" applyAlignment="1" pivotButton="0" quotePrefix="0" xfId="0">
      <alignment horizontal="left" wrapText="1" indent="7"/>
    </xf>
    <xf numFmtId="0" fontId="46" fillId="0" borderId="9" applyAlignment="1" pivotButton="0" quotePrefix="0" xfId="0">
      <alignment horizontal="left" wrapText="1" indent="7"/>
    </xf>
    <xf numFmtId="0" fontId="36" fillId="0" borderId="0" applyAlignment="1" pivotButton="0" quotePrefix="0" xfId="0">
      <alignment horizontal="left" wrapText="1" indent="8"/>
    </xf>
    <xf numFmtId="0" fontId="36" fillId="0" borderId="0" applyAlignment="1" pivotButton="0" quotePrefix="0" xfId="0">
      <alignment horizontal="left" wrapText="1" indent="3"/>
    </xf>
    <xf numFmtId="49" fontId="48" fillId="0" borderId="8" applyAlignment="1" pivotButton="0" quotePrefix="0" xfId="0">
      <alignment horizontal="center" vertical="center" wrapText="1"/>
    </xf>
    <xf numFmtId="0" fontId="62" fillId="0" borderId="8" applyAlignment="1" pivotButton="0" quotePrefix="0" xfId="0">
      <alignment horizontal="left" vertical="center" wrapText="1" indent="1"/>
    </xf>
    <xf numFmtId="0" fontId="62" fillId="0" borderId="8" applyAlignment="1" pivotButton="0" quotePrefix="0" xfId="0">
      <alignment horizontal="left" vertical="top" wrapText="1" indent="1"/>
    </xf>
    <xf numFmtId="0" fontId="36" fillId="0" borderId="8" applyAlignment="1" pivotButton="0" quotePrefix="0" xfId="0">
      <alignment horizontal="left" vertical="top" wrapText="1" indent="2"/>
    </xf>
    <xf numFmtId="0" fontId="31" fillId="0" borderId="8" applyAlignment="1" pivotButton="0" quotePrefix="0" xfId="0">
      <alignment horizontal="left" vertical="top" wrapText="1" indent="2"/>
    </xf>
    <xf numFmtId="0" fontId="36" fillId="0" borderId="7" applyAlignment="1" pivotButton="0" quotePrefix="0" xfId="0">
      <alignment horizontal="left" wrapText="1" indent="2"/>
    </xf>
    <xf numFmtId="0" fontId="46" fillId="0" borderId="4" applyAlignment="1" pivotButton="0" quotePrefix="0" xfId="0">
      <alignment horizontal="center"/>
    </xf>
    <xf numFmtId="49" fontId="48" fillId="0" borderId="0" applyAlignment="1" pivotButton="0" quotePrefix="0" xfId="0">
      <alignment horizontal="center" vertical="center"/>
    </xf>
    <xf numFmtId="0" fontId="49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41" fillId="0" borderId="1" applyAlignment="1" pivotButton="0" quotePrefix="0" xfId="0">
      <alignment horizontal="left" wrapText="1" indent="3"/>
    </xf>
    <xf numFmtId="0" fontId="41" fillId="0" borderId="1" applyAlignment="1" pivotButton="0" quotePrefix="0" xfId="0">
      <alignment horizontal="center"/>
    </xf>
    <xf numFmtId="0" fontId="31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/>
    </xf>
    <xf numFmtId="49" fontId="27" fillId="0" borderId="4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applyAlignment="1" pivotButton="0" quotePrefix="0" xfId="0">
      <alignment horizontal="center"/>
    </xf>
    <xf numFmtId="0" fontId="27" fillId="0" borderId="13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 indent="1"/>
    </xf>
    <xf numFmtId="0" fontId="8" fillId="0" borderId="15" applyAlignment="1" pivotButton="0" quotePrefix="1" xfId="0">
      <alignment horizontal="left" vertical="center" indent="3"/>
    </xf>
    <xf numFmtId="16" fontId="27" fillId="0" borderId="9" applyAlignment="1" pivotButton="0" quotePrefix="0" xfId="0">
      <alignment horizontal="center" vertical="center" wrapText="1"/>
    </xf>
    <xf numFmtId="0" fontId="9" fillId="5" borderId="15" applyAlignment="1" pivotButton="0" quotePrefix="1" xfId="0">
      <alignment horizontal="left" vertical="center" indent="4"/>
    </xf>
    <xf numFmtId="0" fontId="27" fillId="0" borderId="9" applyAlignment="1" pivotButton="0" quotePrefix="0" xfId="0">
      <alignment horizontal="center" vertical="center"/>
    </xf>
    <xf numFmtId="0" fontId="25" fillId="0" borderId="9" applyAlignment="1" pivotButton="0" quotePrefix="0" xfId="0">
      <alignment horizontal="left" vertical="center" wrapText="1" indent="2"/>
    </xf>
    <xf numFmtId="0" fontId="25" fillId="0" borderId="9" applyAlignment="1" pivotButton="0" quotePrefix="0" xfId="0">
      <alignment horizontal="left" vertical="center" wrapText="1" indent="8"/>
    </xf>
    <xf numFmtId="0" fontId="9" fillId="0" borderId="15" applyAlignment="1" pivotButton="0" quotePrefix="1" xfId="0">
      <alignment horizontal="left" vertical="center" indent="3"/>
    </xf>
    <xf numFmtId="0" fontId="25" fillId="0" borderId="9" applyAlignment="1" pivotButton="0" quotePrefix="0" xfId="0">
      <alignment horizontal="left" vertical="center" wrapText="1" indent="1"/>
    </xf>
    <xf numFmtId="49" fontId="27" fillId="0" borderId="9" applyAlignment="1" pivotButton="0" quotePrefix="0" xfId="0">
      <alignment horizontal="center" vertical="center"/>
    </xf>
    <xf numFmtId="0" fontId="29" fillId="0" borderId="15" applyAlignment="1" pivotButton="0" quotePrefix="1" xfId="0">
      <alignment horizontal="left" vertical="center" indent="3"/>
    </xf>
    <xf numFmtId="0" fontId="31" fillId="0" borderId="0" pivotButton="0" quotePrefix="0" xfId="0"/>
    <xf numFmtId="0" fontId="61" fillId="0" borderId="9" applyAlignment="1" pivotButton="0" quotePrefix="0" xfId="0">
      <alignment horizontal="center" vertical="center"/>
    </xf>
    <xf numFmtId="0" fontId="74" fillId="0" borderId="9" applyAlignment="1" pivotButton="0" quotePrefix="0" xfId="0">
      <alignment horizontal="left" indent="1"/>
    </xf>
    <xf numFmtId="0" fontId="31" fillId="0" borderId="8" applyAlignment="1" pivotButton="0" quotePrefix="0" xfId="0">
      <alignment horizontal="center" vertical="center"/>
    </xf>
    <xf numFmtId="0" fontId="61" fillId="0" borderId="9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center" vertical="center"/>
    </xf>
    <xf numFmtId="49" fontId="38" fillId="0" borderId="0" applyAlignment="1" pivotButton="0" quotePrefix="0" xfId="0">
      <alignment horizontal="center" vertical="center" wrapText="1"/>
    </xf>
    <xf numFmtId="49" fontId="46" fillId="0" borderId="12" applyAlignment="1" pivotButton="0" quotePrefix="0" xfId="0">
      <alignment horizontal="center" vertical="center" wrapText="1"/>
    </xf>
    <xf numFmtId="0" fontId="46" fillId="0" borderId="9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indent="2"/>
    </xf>
    <xf numFmtId="0" fontId="27" fillId="0" borderId="8" applyAlignment="1" pivotButton="0" quotePrefix="0" xfId="0">
      <alignment horizontal="left" wrapText="1" indent="1"/>
    </xf>
    <xf numFmtId="0" fontId="31" fillId="0" borderId="8" applyAlignment="1" pivotButton="0" quotePrefix="0" xfId="0">
      <alignment horizontal="left" wrapText="1" indent="5"/>
    </xf>
    <xf numFmtId="0" fontId="31" fillId="0" borderId="8" applyAlignment="1" pivotButton="0" quotePrefix="0" xfId="0">
      <alignment horizontal="left" wrapText="1" indent="3"/>
    </xf>
    <xf numFmtId="0" fontId="31" fillId="0" borderId="8" applyAlignment="1" pivotButton="0" quotePrefix="0" xfId="0">
      <alignment horizontal="left" wrapText="1" indent="1"/>
    </xf>
    <xf numFmtId="0" fontId="40" fillId="0" borderId="1" applyAlignment="1" pivotButton="0" quotePrefix="0" xfId="0">
      <alignment horizontal="center" vertical="center"/>
    </xf>
    <xf numFmtId="0" fontId="61" fillId="0" borderId="1" applyAlignment="1" pivotButton="0" quotePrefix="0" xfId="0">
      <alignment horizontal="left" wrapText="1" indent="1"/>
    </xf>
    <xf numFmtId="0" fontId="42" fillId="0" borderId="0" applyAlignment="1" pivotButton="0" quotePrefix="0" xfId="0">
      <alignment horizontal="center" vertical="center"/>
    </xf>
    <xf numFmtId="0" fontId="48" fillId="0" borderId="0" applyAlignment="1" pivotButton="0" quotePrefix="0" xfId="0">
      <alignment horizontal="center"/>
    </xf>
    <xf numFmtId="0" fontId="25" fillId="0" borderId="0" applyAlignment="1" pivotButton="0" quotePrefix="1" xfId="0">
      <alignment vertical="center"/>
    </xf>
    <xf numFmtId="0" fontId="27" fillId="0" borderId="0" applyAlignment="1" pivotButton="0" quotePrefix="0" xfId="0">
      <alignment horizontal="left" wrapText="1" indent="1"/>
    </xf>
    <xf numFmtId="0" fontId="25" fillId="0" borderId="0" applyAlignment="1" pivotButton="0" quotePrefix="0" xfId="0">
      <alignment horizontal="left" wrapText="1" indent="2"/>
    </xf>
    <xf numFmtId="0" fontId="61" fillId="0" borderId="0" applyAlignment="1" pivotButton="0" quotePrefix="0" xfId="0">
      <alignment horizontal="left" wrapText="1" indent="1"/>
    </xf>
    <xf numFmtId="0" fontId="31" fillId="0" borderId="0" applyAlignment="1" pivotButton="0" quotePrefix="0" xfId="0">
      <alignment horizontal="left" wrapText="1" indent="5"/>
    </xf>
    <xf numFmtId="0" fontId="31" fillId="0" borderId="0" applyAlignment="1" pivotButton="0" quotePrefix="0" xfId="0">
      <alignment horizontal="left" wrapText="1" indent="3"/>
    </xf>
    <xf numFmtId="0" fontId="31" fillId="0" borderId="0" applyAlignment="1" pivotButton="0" quotePrefix="0" xfId="0">
      <alignment horizontal="left" wrapText="1" indent="1"/>
    </xf>
    <xf numFmtId="0" fontId="31" fillId="0" borderId="0" applyAlignment="1" pivotButton="0" quotePrefix="0" xfId="0">
      <alignment horizontal="left" wrapText="1" indent="2"/>
    </xf>
    <xf numFmtId="0" fontId="70" fillId="0" borderId="0" applyAlignment="1" pivotButton="0" quotePrefix="0" xfId="0">
      <alignment horizontal="center"/>
    </xf>
    <xf numFmtId="0" fontId="25" fillId="0" borderId="0" applyAlignment="1" pivotButton="0" quotePrefix="0" xfId="0">
      <alignment vertical="center"/>
    </xf>
    <xf numFmtId="0" fontId="46" fillId="4" borderId="0" pivotButton="0" quotePrefix="0" xfId="0"/>
    <xf numFmtId="0" fontId="36" fillId="0" borderId="0" applyAlignment="1" pivotButton="0" quotePrefix="0" xfId="0">
      <alignment vertical="center"/>
    </xf>
    <xf numFmtId="0" fontId="47" fillId="0" borderId="12" applyAlignment="1" pivotButton="0" quotePrefix="0" xfId="0">
      <alignment horizontal="left" vertical="center" indent="1"/>
    </xf>
    <xf numFmtId="0" fontId="47" fillId="0" borderId="2" applyAlignment="1" pivotButton="0" quotePrefix="0" xfId="0">
      <alignment horizontal="center" vertical="center"/>
    </xf>
    <xf numFmtId="49" fontId="37" fillId="0" borderId="0" applyAlignment="1" pivotButton="0" quotePrefix="0" xfId="0">
      <alignment horizontal="center" vertical="center"/>
    </xf>
    <xf numFmtId="0" fontId="75" fillId="0" borderId="0" applyAlignment="1" pivotButton="0" quotePrefix="0" xfId="0">
      <alignment horizontal="center"/>
    </xf>
    <xf numFmtId="49" fontId="76" fillId="0" borderId="0" applyAlignment="1" pivotButton="0" quotePrefix="0" xfId="0">
      <alignment horizontal="center"/>
    </xf>
    <xf numFmtId="0" fontId="25" fillId="0" borderId="8" applyAlignment="1" pivotButton="0" quotePrefix="0" xfId="0">
      <alignment horizontal="left" vertical="center" wrapText="1" indent="4"/>
    </xf>
    <xf numFmtId="0" fontId="46" fillId="0" borderId="8" applyAlignment="1" pivotButton="0" quotePrefix="0" xfId="0">
      <alignment horizontal="left" vertical="center" wrapText="1" indent="8"/>
    </xf>
    <xf numFmtId="0" fontId="46" fillId="0" borderId="8" applyAlignment="1" pivotButton="0" quotePrefix="0" xfId="0">
      <alignment horizontal="left" vertical="center" wrapText="1" indent="12"/>
    </xf>
    <xf numFmtId="0" fontId="46" fillId="0" borderId="8" applyAlignment="1" pivotButton="0" quotePrefix="0" xfId="0">
      <alignment horizontal="left" vertical="center" wrapText="1" indent="7"/>
    </xf>
    <xf numFmtId="0" fontId="36" fillId="0" borderId="8" applyAlignment="1" pivotButton="0" quotePrefix="0" xfId="0">
      <alignment horizontal="left" vertical="center" wrapText="1" indent="4"/>
    </xf>
    <xf numFmtId="0" fontId="70" fillId="0" borderId="0" applyAlignment="1" pivotButton="0" quotePrefix="0" xfId="0">
      <alignment horizontal="center" vertical="center"/>
    </xf>
    <xf numFmtId="0" fontId="70" fillId="5" borderId="0" applyAlignment="1" pivotButton="0" quotePrefix="0" xfId="0">
      <alignment horizontal="center"/>
    </xf>
    <xf numFmtId="0" fontId="47" fillId="0" borderId="1" applyAlignment="1" pivotButton="0" quotePrefix="0" xfId="0">
      <alignment horizontal="center"/>
    </xf>
    <xf numFmtId="0" fontId="46" fillId="0" borderId="8" applyAlignment="1" pivotButton="0" quotePrefix="0" xfId="0">
      <alignment horizontal="left" vertical="center" wrapText="1" indent="6"/>
    </xf>
    <xf numFmtId="0" fontId="47" fillId="0" borderId="5" applyAlignment="1" pivotButton="0" quotePrefix="0" xfId="0">
      <alignment horizontal="center"/>
    </xf>
    <xf numFmtId="0" fontId="47" fillId="0" borderId="0" applyAlignment="1" pivotButton="0" quotePrefix="0" xfId="0">
      <alignment horizontal="left" vertical="center" wrapText="1" indent="2"/>
    </xf>
    <xf numFmtId="0" fontId="41" fillId="0" borderId="0" applyAlignment="1" pivotButton="0" quotePrefix="0" xfId="0">
      <alignment horizontal="center"/>
    </xf>
    <xf numFmtId="0" fontId="77" fillId="0" borderId="0" applyAlignment="1" pivotButton="0" quotePrefix="0" xfId="0">
      <alignment horizontal="center"/>
    </xf>
    <xf numFmtId="0" fontId="47" fillId="0" borderId="12" applyAlignment="1" pivotButton="0" quotePrefix="0" xfId="0">
      <alignment horizontal="left" vertical="center" wrapText="1" indent="1"/>
    </xf>
    <xf numFmtId="0" fontId="36" fillId="0" borderId="8" applyAlignment="1" pivotButton="0" quotePrefix="0" xfId="0">
      <alignment horizontal="left" vertical="center" wrapText="1" indent="1"/>
    </xf>
    <xf numFmtId="0" fontId="36" fillId="0" borderId="9" applyAlignment="1" pivotButton="0" quotePrefix="0" xfId="0">
      <alignment horizontal="left" vertical="center" wrapText="1" indent="1"/>
    </xf>
    <xf numFmtId="0" fontId="46" fillId="0" borderId="8" applyAlignment="1" pivotButton="0" quotePrefix="0" xfId="0">
      <alignment vertical="center"/>
    </xf>
    <xf numFmtId="0" fontId="62" fillId="0" borderId="4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center"/>
    </xf>
    <xf numFmtId="0" fontId="46" fillId="0" borderId="9" applyAlignment="1" pivotButton="0" quotePrefix="0" xfId="0">
      <alignment horizontal="center" vertical="center"/>
    </xf>
    <xf numFmtId="0" fontId="9" fillId="5" borderId="15" applyAlignment="1" pivotButton="0" quotePrefix="1" xfId="0">
      <alignment horizontal="left" vertical="center" indent="5"/>
    </xf>
    <xf numFmtId="0" fontId="46" fillId="0" borderId="8" applyAlignment="1" pivotButton="0" quotePrefix="0" xfId="0">
      <alignment horizontal="left" vertical="center" wrapText="1" indent="9"/>
    </xf>
    <xf numFmtId="49" fontId="47" fillId="0" borderId="8" applyAlignment="1" pivotButton="0" quotePrefix="0" xfId="0">
      <alignment horizontal="center"/>
    </xf>
    <xf numFmtId="0" fontId="30" fillId="0" borderId="15" applyAlignment="1" pivotButton="0" quotePrefix="1" xfId="0">
      <alignment horizontal="left" vertical="center" indent="3"/>
    </xf>
    <xf numFmtId="0" fontId="25" fillId="0" borderId="8" applyAlignment="1" pivotButton="0" quotePrefix="0" xfId="0">
      <alignment horizontal="left" vertical="center" wrapText="1" indent="9"/>
    </xf>
    <xf numFmtId="0" fontId="31" fillId="0" borderId="8" applyAlignment="1" pivotButton="0" quotePrefix="0" xfId="0">
      <alignment horizontal="left" vertical="center" wrapText="1" indent="3"/>
    </xf>
    <xf numFmtId="0" fontId="25" fillId="0" borderId="8" applyAlignment="1" pivotButton="0" quotePrefix="0" xfId="0">
      <alignment horizontal="left" vertical="center" indent="2"/>
    </xf>
    <xf numFmtId="0" fontId="25" fillId="0" borderId="0" applyAlignment="1" pivotButton="0" quotePrefix="0" xfId="0">
      <alignment horizontal="left" vertical="center" wrapText="1" indent="3"/>
    </xf>
    <xf numFmtId="0" fontId="27" fillId="3" borderId="8" applyAlignment="1" pivotButton="0" quotePrefix="0" xfId="0">
      <alignment horizontal="left" vertical="center" wrapText="1" indent="1"/>
    </xf>
    <xf numFmtId="0" fontId="25" fillId="0" borderId="11" applyAlignment="1" pivotButton="0" quotePrefix="0" xfId="0">
      <alignment horizontal="left" vertical="center" wrapText="1" indent="3"/>
    </xf>
    <xf numFmtId="49" fontId="47" fillId="4" borderId="8" applyAlignment="1" pivotButton="0" quotePrefix="0" xfId="0">
      <alignment horizontal="center" vertical="top" wrapText="1"/>
    </xf>
    <xf numFmtId="49" fontId="47" fillId="0" borderId="4" applyAlignment="1" pivotButton="0" quotePrefix="0" xfId="0">
      <alignment horizontal="center"/>
    </xf>
    <xf numFmtId="0" fontId="47" fillId="5" borderId="8" applyAlignment="1" pivotButton="0" quotePrefix="0" xfId="0">
      <alignment horizontal="left" vertical="center" wrapText="1" indent="1"/>
    </xf>
    <xf numFmtId="49" fontId="36" fillId="0" borderId="4" applyAlignment="1" pivotButton="0" quotePrefix="0" xfId="0">
      <alignment horizontal="center"/>
    </xf>
    <xf numFmtId="0" fontId="36" fillId="0" borderId="4" applyAlignment="1" pivotButton="0" quotePrefix="0" xfId="0">
      <alignment horizontal="left" vertical="center" wrapText="1" indent="2"/>
    </xf>
    <xf numFmtId="0" fontId="30" fillId="0" borderId="0" applyAlignment="1" pivotButton="0" quotePrefix="1" xfId="0">
      <alignment horizontal="left" vertical="center" indent="3"/>
    </xf>
    <xf numFmtId="49" fontId="36" fillId="0" borderId="0" applyAlignment="1" pivotButton="0" quotePrefix="0" xfId="0">
      <alignment horizontal="center"/>
    </xf>
    <xf numFmtId="0" fontId="78" fillId="0" borderId="0" pivotButton="0" quotePrefix="0" xfId="0"/>
    <xf numFmtId="0" fontId="80" fillId="0" borderId="0" applyAlignment="1" pivotButton="0" quotePrefix="0" xfId="0">
      <alignment horizontal="center"/>
    </xf>
    <xf numFmtId="49" fontId="81" fillId="0" borderId="0" applyAlignment="1" pivotButton="0" quotePrefix="0" xfId="0">
      <alignment horizontal="center"/>
    </xf>
    <xf numFmtId="0" fontId="81" fillId="0" borderId="0" applyAlignment="1" pivotButton="0" quotePrefix="0" xfId="0">
      <alignment horizontal="left" vertical="center" wrapText="1" indent="1"/>
    </xf>
    <xf numFmtId="0" fontId="78" fillId="0" borderId="0" applyAlignment="1" pivotButton="0" quotePrefix="0" xfId="0">
      <alignment horizontal="center" vertical="center"/>
    </xf>
    <xf numFmtId="0" fontId="82" fillId="0" borderId="0" pivotButton="0" quotePrefix="0" xfId="0"/>
    <xf numFmtId="0" fontId="83" fillId="0" borderId="0" applyAlignment="1" pivotButton="0" quotePrefix="0" xfId="0">
      <alignment horizontal="center"/>
    </xf>
    <xf numFmtId="0" fontId="84" fillId="0" borderId="0" applyAlignment="1" pivotButton="0" quotePrefix="0" xfId="0">
      <alignment horizontal="center"/>
    </xf>
    <xf numFmtId="49" fontId="84" fillId="0" borderId="0" applyAlignment="1" pivotButton="0" quotePrefix="0" xfId="0">
      <alignment horizontal="center"/>
    </xf>
    <xf numFmtId="0" fontId="84" fillId="0" borderId="0" applyAlignment="1" pivotButton="0" quotePrefix="0" xfId="0">
      <alignment horizontal="left" vertical="center" wrapText="1" indent="1"/>
    </xf>
    <xf numFmtId="0" fontId="82" fillId="0" borderId="0" applyAlignment="1" pivotButton="0" quotePrefix="0" xfId="0">
      <alignment horizontal="center"/>
    </xf>
    <xf numFmtId="0" fontId="85" fillId="0" borderId="0" pivotButton="0" quotePrefix="0" xfId="0"/>
    <xf numFmtId="0" fontId="86" fillId="0" borderId="0" applyAlignment="1" pivotButton="0" quotePrefix="0" xfId="0">
      <alignment horizontal="center"/>
    </xf>
    <xf numFmtId="49" fontId="86" fillId="0" borderId="0" applyAlignment="1" pivotButton="0" quotePrefix="0" xfId="0">
      <alignment horizontal="center"/>
    </xf>
    <xf numFmtId="0" fontId="86" fillId="0" borderId="0" applyAlignment="1" pivotButton="0" quotePrefix="0" xfId="0">
      <alignment horizontal="left" vertical="center" wrapText="1" indent="1"/>
    </xf>
    <xf numFmtId="0" fontId="85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64" fillId="0" borderId="0" applyAlignment="1" pivotButton="0" quotePrefix="0" xfId="0">
      <alignment horizontal="center"/>
    </xf>
    <xf numFmtId="49" fontId="64" fillId="0" borderId="0" applyAlignment="1" pivotButton="0" quotePrefix="0" xfId="0">
      <alignment horizontal="center"/>
    </xf>
    <xf numFmtId="0" fontId="64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horizontal="right"/>
    </xf>
    <xf numFmtId="0" fontId="25" fillId="0" borderId="1" applyAlignment="1" pivotButton="0" quotePrefix="0" xfId="0">
      <alignment horizontal="right"/>
    </xf>
    <xf numFmtId="0" fontId="47" fillId="0" borderId="1" applyAlignment="1" pivotButton="0" quotePrefix="0" xfId="0">
      <alignment horizontal="right"/>
    </xf>
    <xf numFmtId="0" fontId="40" fillId="0" borderId="0" pivotButton="0" quotePrefix="0" xfId="0"/>
    <xf numFmtId="49" fontId="27" fillId="0" borderId="12" applyAlignment="1" pivotButton="0" quotePrefix="0" xfId="0">
      <alignment horizontal="center" vertical="center"/>
    </xf>
    <xf numFmtId="49" fontId="25" fillId="0" borderId="8" applyAlignment="1" pivotButton="0" quotePrefix="0" xfId="0">
      <alignment horizontal="center" vertical="center" wrapText="1"/>
    </xf>
    <xf numFmtId="0" fontId="46" fillId="0" borderId="8" applyAlignment="1" pivotButton="0" quotePrefix="0" xfId="0">
      <alignment horizontal="left" wrapText="1" indent="2"/>
    </xf>
    <xf numFmtId="0" fontId="46" fillId="0" borderId="16" applyAlignment="1" pivotButton="0" quotePrefix="0" xfId="0">
      <alignment horizontal="left" indent="1"/>
    </xf>
    <xf numFmtId="0" fontId="46" fillId="0" borderId="16" applyAlignment="1" pivotButton="0" quotePrefix="0" xfId="0">
      <alignment horizontal="left" indent="2"/>
    </xf>
    <xf numFmtId="0" fontId="46" fillId="0" borderId="0" applyAlignment="1" pivotButton="0" quotePrefix="0" xfId="0">
      <alignment horizontal="left" indent="3"/>
    </xf>
    <xf numFmtId="49" fontId="31" fillId="0" borderId="0" applyAlignment="1" pivotButton="0" quotePrefix="0" xfId="0">
      <alignment horizontal="center"/>
    </xf>
    <xf numFmtId="49" fontId="25" fillId="0" borderId="4" applyAlignment="1" pivotButton="0" quotePrefix="0" xfId="0">
      <alignment horizontal="center" vertical="center"/>
    </xf>
    <xf numFmtId="0" fontId="36" fillId="0" borderId="4" applyAlignment="1" pivotButton="0" quotePrefix="0" xfId="0">
      <alignment horizontal="left" wrapText="1" indent="2"/>
    </xf>
    <xf numFmtId="49" fontId="25" fillId="0" borderId="0" applyAlignment="1" pivotButton="0" quotePrefix="0" xfId="0">
      <alignment horizontal="center" vertical="center"/>
    </xf>
    <xf numFmtId="0" fontId="79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vertical="center"/>
    </xf>
    <xf numFmtId="0" fontId="25" fillId="0" borderId="15" applyAlignment="1" pivotButton="0" quotePrefix="1" xfId="0">
      <alignment horizontal="left" vertical="center" indent="3"/>
    </xf>
    <xf numFmtId="0" fontId="61" fillId="0" borderId="15" applyAlignment="1" pivotButton="0" quotePrefix="1" xfId="0">
      <alignment horizontal="left" vertical="center" indent="2"/>
    </xf>
    <xf numFmtId="0" fontId="31" fillId="0" borderId="15" applyAlignment="1" pivotButton="0" quotePrefix="1" xfId="0">
      <alignment horizontal="left" vertical="center" indent="3"/>
    </xf>
    <xf numFmtId="0" fontId="36" fillId="0" borderId="8" applyAlignment="1" pivotButton="0" quotePrefix="0" xfId="0">
      <alignment horizontal="left" wrapText="1" indent="3"/>
    </xf>
    <xf numFmtId="0" fontId="25" fillId="5" borderId="15" applyAlignment="1" pivotButton="0" quotePrefix="1" xfId="0">
      <alignment horizontal="left" vertical="center" indent="4"/>
    </xf>
    <xf numFmtId="0" fontId="46" fillId="0" borderId="8" applyAlignment="1" pivotButton="0" quotePrefix="0" xfId="0">
      <alignment horizontal="left" wrapText="1" indent="6"/>
    </xf>
    <xf numFmtId="0" fontId="36" fillId="0" borderId="8" applyAlignment="1" pivotButton="0" quotePrefix="0" xfId="0">
      <alignment horizontal="left" wrapText="1" indent="1"/>
    </xf>
    <xf numFmtId="0" fontId="36" fillId="0" borderId="0" applyAlignment="1" pivotButton="0" quotePrefix="0" xfId="0">
      <alignment horizontal="left" wrapText="1" indent="1"/>
    </xf>
    <xf numFmtId="0" fontId="25" fillId="5" borderId="15" applyAlignment="1" pivotButton="0" quotePrefix="1" xfId="0">
      <alignment horizontal="left" vertical="center" indent="5"/>
    </xf>
    <xf numFmtId="0" fontId="36" fillId="0" borderId="0" applyAlignment="1" pivotButton="0" quotePrefix="0" xfId="0">
      <alignment horizontal="left" wrapText="1" indent="9"/>
    </xf>
    <xf numFmtId="49" fontId="48" fillId="0" borderId="8" applyAlignment="1" pivotButton="0" quotePrefix="0" xfId="0">
      <alignment horizontal="center"/>
    </xf>
    <xf numFmtId="0" fontId="70" fillId="0" borderId="8" applyAlignment="1" pivotButton="0" quotePrefix="0" xfId="0">
      <alignment horizontal="left" wrapText="1" indent="1"/>
    </xf>
    <xf numFmtId="0" fontId="35" fillId="0" borderId="10" applyAlignment="1" pivotButton="0" quotePrefix="0" xfId="0">
      <alignment horizontal="center" vertical="center"/>
    </xf>
    <xf numFmtId="0" fontId="27" fillId="0" borderId="15" applyAlignment="1" pivotButton="0" quotePrefix="1" xfId="0">
      <alignment horizontal="left" vertical="center" indent="3"/>
    </xf>
    <xf numFmtId="0" fontId="36" fillId="0" borderId="4" applyAlignment="1" pivotButton="0" quotePrefix="0" xfId="0">
      <alignment horizontal="left" wrapText="1" indent="3"/>
    </xf>
    <xf numFmtId="0" fontId="48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right"/>
    </xf>
    <xf numFmtId="16" fontId="37" fillId="0" borderId="0" applyAlignment="1" pivotButton="0" quotePrefix="0" xfId="0">
      <alignment horizontal="center" vertical="center" wrapText="1"/>
    </xf>
    <xf numFmtId="0" fontId="46" fillId="0" borderId="1" applyAlignment="1" pivotButton="0" quotePrefix="0" xfId="0">
      <alignment horizontal="center"/>
    </xf>
    <xf numFmtId="0" fontId="61" fillId="0" borderId="9" applyAlignment="1" pivotButton="0" quotePrefix="1" xfId="0">
      <alignment horizontal="left" vertical="center" wrapText="1" indent="1"/>
    </xf>
    <xf numFmtId="0" fontId="31" fillId="0" borderId="9" applyAlignment="1" pivotButton="0" quotePrefix="1" xfId="0">
      <alignment horizontal="left" vertical="center" wrapText="1" indent="3"/>
    </xf>
    <xf numFmtId="0" fontId="31" fillId="0" borderId="9" applyAlignment="1" pivotButton="0" quotePrefix="1" xfId="0">
      <alignment horizontal="left" vertical="center" wrapText="1" indent="8"/>
    </xf>
    <xf numFmtId="0" fontId="31" fillId="0" borderId="9" applyAlignment="1" pivotButton="0" quotePrefix="1" xfId="0">
      <alignment horizontal="left" vertical="center" wrapText="1" indent="11"/>
    </xf>
    <xf numFmtId="0" fontId="36" fillId="0" borderId="9" applyAlignment="1" pivotButton="0" quotePrefix="1" xfId="0">
      <alignment horizontal="left" vertical="center" wrapText="1" indent="8"/>
    </xf>
    <xf numFmtId="0" fontId="42" fillId="0" borderId="8" applyAlignment="1" pivotButton="0" quotePrefix="0" xfId="0">
      <alignment horizontal="center"/>
    </xf>
    <xf numFmtId="0" fontId="62" fillId="0" borderId="1" applyAlignment="1" pivotButton="0" quotePrefix="0" xfId="0">
      <alignment horizontal="center"/>
    </xf>
    <xf numFmtId="49" fontId="25" fillId="0" borderId="8" applyAlignment="1" pivotButton="0" quotePrefix="0" xfId="0">
      <alignment horizontal="center"/>
    </xf>
    <xf numFmtId="0" fontId="25" fillId="0" borderId="9" applyAlignment="1" pivotButton="0" quotePrefix="1" xfId="0">
      <alignment horizontal="left" vertical="center" wrapText="1" indent="5"/>
    </xf>
    <xf numFmtId="16" fontId="37" fillId="4" borderId="0" applyAlignment="1" pivotButton="0" quotePrefix="0" xfId="0">
      <alignment horizontal="center" vertical="center" wrapText="1"/>
    </xf>
    <xf numFmtId="0" fontId="25" fillId="4" borderId="8" applyAlignment="1" pivotButton="0" quotePrefix="0" xfId="0">
      <alignment horizontal="center"/>
    </xf>
    <xf numFmtId="0" fontId="25" fillId="0" borderId="9" applyAlignment="1" pivotButton="0" quotePrefix="1" xfId="0">
      <alignment horizontal="left" vertical="center" wrapText="1" indent="3"/>
    </xf>
    <xf numFmtId="0" fontId="25" fillId="0" borderId="9" applyAlignment="1" pivotButton="0" quotePrefix="1" xfId="0">
      <alignment horizontal="left" vertical="center" wrapText="1" indent="6"/>
    </xf>
    <xf numFmtId="0" fontId="25" fillId="0" borderId="9" applyAlignment="1" pivotButton="0" quotePrefix="1" xfId="0">
      <alignment horizontal="left" vertical="center" wrapText="1" indent="7"/>
    </xf>
    <xf numFmtId="0" fontId="25" fillId="0" borderId="8" applyAlignment="1" pivotButton="0" quotePrefix="1" xfId="0">
      <alignment horizontal="left" vertical="center" wrapText="1" indent="3"/>
    </xf>
    <xf numFmtId="0" fontId="25" fillId="0" borderId="4" applyAlignment="1" pivotButton="0" quotePrefix="1" xfId="0">
      <alignment horizontal="left" vertical="center" wrapText="1" indent="6"/>
    </xf>
    <xf numFmtId="0" fontId="61" fillId="0" borderId="8" applyAlignment="1" pivotButton="0" quotePrefix="0" xfId="0">
      <alignment horizontal="left" vertical="center" wrapText="1"/>
    </xf>
    <xf numFmtId="0" fontId="61" fillId="0" borderId="5" applyAlignment="1" pivotButton="0" quotePrefix="0" xfId="0">
      <alignment horizontal="left" vertical="center" wrapText="1"/>
    </xf>
    <xf numFmtId="0" fontId="25" fillId="0" borderId="12" applyAlignment="1" pivotButton="0" quotePrefix="0" xfId="0">
      <alignment horizontal="center"/>
    </xf>
    <xf numFmtId="14" fontId="25" fillId="0" borderId="0" pivotButton="0" quotePrefix="0" xfId="0"/>
    <xf numFmtId="0" fontId="23" fillId="5" borderId="1" pivotButton="0" quotePrefix="0" xfId="0"/>
    <xf numFmtId="0" fontId="47" fillId="0" borderId="8" applyAlignment="1" pivotButton="0" quotePrefix="0" xfId="0">
      <alignment horizontal="left" wrapText="1"/>
    </xf>
    <xf numFmtId="0" fontId="23" fillId="5" borderId="1" applyAlignment="1" pivotButton="0" quotePrefix="0" xfId="0">
      <alignment horizontal="left" indent="2"/>
    </xf>
    <xf numFmtId="0" fontId="47" fillId="0" borderId="8" applyAlignment="1" pivotButton="0" quotePrefix="0" xfId="0">
      <alignment horizontal="left" wrapText="1" indent="2"/>
    </xf>
    <xf numFmtId="0" fontId="0" fillId="5" borderId="12" applyAlignment="1" pivotButton="0" quotePrefix="0" xfId="0">
      <alignment horizontal="left" vertical="center" indent="3"/>
    </xf>
    <xf numFmtId="0" fontId="0" fillId="5" borderId="4" applyAlignment="1" pivotButton="0" quotePrefix="0" xfId="0">
      <alignment horizontal="left" vertical="center" indent="3"/>
    </xf>
    <xf numFmtId="0" fontId="0" fillId="5" borderId="1" applyAlignment="1" pivotButton="0" quotePrefix="0" xfId="0">
      <alignment horizontal="left" indent="3"/>
    </xf>
    <xf numFmtId="0" fontId="0" fillId="5" borderId="1" applyAlignment="1" pivotButton="0" quotePrefix="0" xfId="0">
      <alignment horizontal="left" indent="5"/>
    </xf>
    <xf numFmtId="0" fontId="23" fillId="5" borderId="12" applyAlignment="1" pivotButton="0" quotePrefix="0" xfId="0">
      <alignment horizontal="left" vertical="center" wrapText="1" indent="2"/>
    </xf>
    <xf numFmtId="0" fontId="23" fillId="5" borderId="4" applyAlignment="1" pivotButton="0" quotePrefix="0" xfId="0">
      <alignment horizontal="left" vertical="center" wrapText="1" indent="2"/>
    </xf>
    <xf numFmtId="0" fontId="23" fillId="5" borderId="12" applyAlignment="1" pivotButton="0" quotePrefix="0" xfId="0">
      <alignment horizontal="left" vertical="center" indent="2"/>
    </xf>
    <xf numFmtId="0" fontId="23" fillId="5" borderId="4" applyAlignment="1" pivotButton="0" quotePrefix="0" xfId="0">
      <alignment horizontal="left" vertical="center" indent="2"/>
    </xf>
    <xf numFmtId="0" fontId="27" fillId="0" borderId="8" applyAlignment="1" pivotButton="0" quotePrefix="0" xfId="0">
      <alignment horizontal="left" wrapText="1" indent="2"/>
    </xf>
    <xf numFmtId="0" fontId="46" fillId="0" borderId="8" applyAlignment="1" pivotButton="0" quotePrefix="0" xfId="0">
      <alignment horizontal="left" wrapText="1" indent="5"/>
    </xf>
    <xf numFmtId="0" fontId="87" fillId="5" borderId="1" pivotButton="0" quotePrefix="0" xfId="0"/>
    <xf numFmtId="49" fontId="70" fillId="0" borderId="8" applyAlignment="1" pivotButton="0" quotePrefix="0" xfId="0">
      <alignment horizontal="center" vertical="center"/>
    </xf>
    <xf numFmtId="0" fontId="70" fillId="0" borderId="8" applyAlignment="1" pivotButton="0" quotePrefix="0" xfId="0">
      <alignment horizontal="left" vertical="center" wrapText="1" indent="1"/>
    </xf>
    <xf numFmtId="0" fontId="48" fillId="0" borderId="8" applyAlignment="1" pivotButton="0" quotePrefix="0" xfId="0">
      <alignment horizontal="center" vertical="center"/>
    </xf>
    <xf numFmtId="0" fontId="23" fillId="5" borderId="12" applyAlignment="1" pivotButton="0" quotePrefix="0" xfId="0">
      <alignment horizontal="left" vertical="center"/>
    </xf>
    <xf numFmtId="0" fontId="23" fillId="5" borderId="4" applyAlignment="1" pivotButton="0" quotePrefix="0" xfId="0">
      <alignment horizontal="left" vertical="center"/>
    </xf>
    <xf numFmtId="0" fontId="47" fillId="0" borderId="4" applyAlignment="1" pivotButton="0" quotePrefix="0" xfId="0">
      <alignment horizontal="left" wrapText="1" indent="1"/>
    </xf>
    <xf numFmtId="0" fontId="24" fillId="0" borderId="0" pivotButton="0" quotePrefix="0" xfId="0"/>
    <xf numFmtId="0" fontId="20" fillId="0" borderId="0" pivotButton="0" quotePrefix="0" xfId="0"/>
    <xf numFmtId="0" fontId="24" fillId="0" borderId="0" applyAlignment="1" pivotButton="0" quotePrefix="0" xfId="0">
      <alignment horizontal="center"/>
    </xf>
    <xf numFmtId="0" fontId="46" fillId="0" borderId="0" pivotButton="0" quotePrefix="0" xfId="0"/>
    <xf numFmtId="0" fontId="46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59" fillId="0" borderId="0" applyAlignment="1" pivotButton="0" quotePrefix="0" xfId="0">
      <alignment horizontal="left"/>
    </xf>
    <xf numFmtId="0" fontId="35" fillId="0" borderId="0" pivotButton="0" quotePrefix="0" xfId="0"/>
    <xf numFmtId="0" fontId="27" fillId="0" borderId="0" applyAlignment="1" pivotButton="0" quotePrefix="0" xfId="0">
      <alignment horizontal="left" indent="1"/>
    </xf>
    <xf numFmtId="49" fontId="88" fillId="0" borderId="0" applyAlignment="1" pivotButton="0" quotePrefix="0" xfId="0">
      <alignment horizontal="center"/>
    </xf>
    <xf numFmtId="0" fontId="73" fillId="0" borderId="8" applyAlignment="1" pivotButton="0" quotePrefix="0" xfId="0">
      <alignment horizontal="left" vertical="center"/>
    </xf>
    <xf numFmtId="0" fontId="73" fillId="0" borderId="11" applyAlignment="1" pivotButton="0" quotePrefix="0" xfId="0">
      <alignment vertical="center"/>
    </xf>
    <xf numFmtId="0" fontId="47" fillId="0" borderId="8" applyAlignment="1" pivotButton="0" quotePrefix="0" xfId="0">
      <alignment vertical="center"/>
    </xf>
    <xf numFmtId="0" fontId="47" fillId="7" borderId="0" applyAlignment="1" pivotButton="0" quotePrefix="0" xfId="0">
      <alignment horizontal="left" vertical="center" wrapText="1"/>
    </xf>
    <xf numFmtId="49" fontId="47" fillId="7" borderId="8" applyAlignment="1" pivotButton="0" quotePrefix="0" xfId="0">
      <alignment horizontal="center" vertical="center" wrapText="1"/>
    </xf>
    <xf numFmtId="0" fontId="25" fillId="7" borderId="9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49" fontId="47" fillId="0" borderId="8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 indent="4"/>
    </xf>
    <xf numFmtId="0" fontId="2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vertical="center" wrapText="1"/>
    </xf>
    <xf numFmtId="0" fontId="25" fillId="0" borderId="0" applyAlignment="1" pivotButton="0" quotePrefix="0" xfId="0">
      <alignment horizontal="left" vertical="center" indent="4"/>
    </xf>
    <xf numFmtId="0" fontId="47" fillId="0" borderId="0" applyAlignment="1" pivotButton="0" quotePrefix="0" xfId="0">
      <alignment vertical="center"/>
    </xf>
    <xf numFmtId="0" fontId="46" fillId="0" borderId="0" applyAlignment="1" pivotButton="0" quotePrefix="0" xfId="0">
      <alignment horizontal="left" vertical="center" wrapText="1" indent="4"/>
    </xf>
    <xf numFmtId="0" fontId="27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 indent="4"/>
    </xf>
    <xf numFmtId="0" fontId="62" fillId="0" borderId="9" applyAlignment="1" pivotButton="0" quotePrefix="0" xfId="0">
      <alignment horizontal="center" vertical="center"/>
    </xf>
    <xf numFmtId="0" fontId="47" fillId="0" borderId="9" applyAlignment="1" pivotButton="0" quotePrefix="0" xfId="0">
      <alignment vertical="center"/>
    </xf>
    <xf numFmtId="0" fontId="25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vertical="center" wrapText="1"/>
    </xf>
    <xf numFmtId="0" fontId="46" fillId="0" borderId="9" applyAlignment="1" pivotButton="0" quotePrefix="0" xfId="0">
      <alignment horizontal="left" vertical="center" wrapText="1" indent="4"/>
    </xf>
    <xf numFmtId="0" fontId="47" fillId="0" borderId="6" applyAlignment="1" pivotButton="0" quotePrefix="0" xfId="0">
      <alignment horizontal="left" vertical="center"/>
    </xf>
    <xf numFmtId="49" fontId="47" fillId="0" borderId="4" applyAlignment="1" pivotButton="0" quotePrefix="0" xfId="0">
      <alignment horizontal="center" vertical="center" wrapText="1"/>
    </xf>
    <xf numFmtId="49" fontId="27" fillId="0" borderId="12" applyAlignment="1" pivotButton="0" quotePrefix="0" xfId="0">
      <alignment horizontal="center"/>
    </xf>
    <xf numFmtId="0" fontId="47" fillId="0" borderId="12" applyAlignment="1" pivotButton="0" quotePrefix="0" xfId="0">
      <alignment horizontal="left" indent="1"/>
    </xf>
    <xf numFmtId="0" fontId="47" fillId="0" borderId="8" applyAlignment="1" pivotButton="0" quotePrefix="0" xfId="0">
      <alignment horizontal="left" indent="1"/>
    </xf>
    <xf numFmtId="0" fontId="27" fillId="0" borderId="8" applyAlignment="1" pivotButton="0" quotePrefix="0" xfId="0">
      <alignment horizontal="center"/>
    </xf>
    <xf numFmtId="49" fontId="27" fillId="0" borderId="8" applyAlignment="1" pivotButton="0" quotePrefix="0" xfId="0">
      <alignment horizontal="center"/>
    </xf>
    <xf numFmtId="0" fontId="47" fillId="0" borderId="9" applyAlignment="1" pivotButton="0" quotePrefix="0" xfId="0">
      <alignment horizontal="left" indent="1"/>
    </xf>
    <xf numFmtId="0" fontId="27" fillId="0" borderId="8" applyAlignment="1" pivotButton="0" quotePrefix="0" xfId="0">
      <alignment horizontal="left" vertical="center" indent="2"/>
    </xf>
    <xf numFmtId="49" fontId="25" fillId="0" borderId="4" applyAlignment="1" pivotButton="0" quotePrefix="0" xfId="0">
      <alignment horizontal="center"/>
    </xf>
    <xf numFmtId="0" fontId="25" fillId="0" borderId="4" applyAlignment="1" pivotButton="0" quotePrefix="0" xfId="0">
      <alignment horizontal="left" vertical="center" indent="2"/>
    </xf>
    <xf numFmtId="0" fontId="59" fillId="0" borderId="0" applyAlignment="1" pivotButton="0" quotePrefix="0" xfId="0">
      <alignment horizontal="left" vertical="center"/>
    </xf>
    <xf numFmtId="49" fontId="47" fillId="0" borderId="12" applyAlignment="1" pivotButton="0" quotePrefix="0" xfId="0">
      <alignment horizontal="center" vertical="center" wrapText="1"/>
    </xf>
    <xf numFmtId="49" fontId="36" fillId="0" borderId="8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vertical="center"/>
    </xf>
    <xf numFmtId="0" fontId="25" fillId="9" borderId="8" applyAlignment="1" pivotButton="0" quotePrefix="0" xfId="0">
      <alignment horizontal="left" vertical="center" wrapText="1" indent="4"/>
    </xf>
    <xf numFmtId="0" fontId="46" fillId="9" borderId="0" applyAlignment="1" pivotButton="0" quotePrefix="0" xfId="0">
      <alignment horizontal="center" vertical="center"/>
    </xf>
    <xf numFmtId="2" fontId="25" fillId="9" borderId="0" applyAlignment="1" pivotButton="0" quotePrefix="0" xfId="0">
      <alignment horizontal="left" vertical="top" wrapText="1" indent="6"/>
    </xf>
    <xf numFmtId="0" fontId="46" fillId="9" borderId="8" applyAlignment="1" pivotButton="0" quotePrefix="0" xfId="0">
      <alignment horizontal="center"/>
    </xf>
    <xf numFmtId="0" fontId="25" fillId="9" borderId="11" applyAlignment="1" pivotButton="0" quotePrefix="0" xfId="0">
      <alignment horizontal="left" vertical="top" wrapText="1" indent="3"/>
    </xf>
    <xf numFmtId="0" fontId="46" fillId="9" borderId="8" applyAlignment="1" pivotButton="0" quotePrefix="0" xfId="0">
      <alignment horizontal="left" vertical="center" wrapText="1" indent="6"/>
    </xf>
    <xf numFmtId="0" fontId="46" fillId="9" borderId="0" applyAlignment="1" pivotButton="0" quotePrefix="0" xfId="0">
      <alignment horizontal="center"/>
    </xf>
    <xf numFmtId="0" fontId="46" fillId="9" borderId="0" applyAlignment="1" pivotButton="0" quotePrefix="0" xfId="0">
      <alignment horizontal="left" vertical="center" wrapText="1" indent="4"/>
    </xf>
    <xf numFmtId="0" fontId="41" fillId="0" borderId="18" applyAlignment="1" pivotButton="0" quotePrefix="0" xfId="0">
      <alignment horizontal="left" wrapText="1" indent="3"/>
    </xf>
    <xf numFmtId="0" fontId="25" fillId="0" borderId="18" applyAlignment="1" pivotButton="0" quotePrefix="0" xfId="0">
      <alignment horizontal="right"/>
    </xf>
    <xf numFmtId="0" fontId="47" fillId="0" borderId="18" applyAlignment="1" pivotButton="0" quotePrefix="0" xfId="0">
      <alignment horizontal="right"/>
    </xf>
    <xf numFmtId="0" fontId="36" fillId="0" borderId="0" applyAlignment="1" pivotButton="0" quotePrefix="0" xfId="0">
      <alignment horizontal="left" wrapText="1" indent="2"/>
    </xf>
    <xf numFmtId="0" fontId="46" fillId="0" borderId="10" applyAlignment="1" pivotButton="0" quotePrefix="0" xfId="0">
      <alignment horizontal="center" vertical="center"/>
    </xf>
    <xf numFmtId="0" fontId="46" fillId="0" borderId="13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18" fillId="0" borderId="1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12" applyAlignment="1" pivotButton="0" quotePrefix="0" xfId="0">
      <alignment horizontal="center" vertical="center" wrapText="1"/>
    </xf>
    <xf numFmtId="0" fontId="46" fillId="0" borderId="2" applyAlignment="1" pivotButton="0" quotePrefix="0" xfId="0">
      <alignment horizontal="center" vertical="center"/>
    </xf>
    <xf numFmtId="0" fontId="25" fillId="0" borderId="9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/>
    </xf>
    <xf numFmtId="0" fontId="37" fillId="5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center" vertical="center"/>
    </xf>
    <xf numFmtId="0" fontId="66" fillId="0" borderId="18" applyAlignment="1" pivotButton="0" quotePrefix="0" xfId="0">
      <alignment horizontal="left" wrapText="1" indent="3"/>
    </xf>
    <xf numFmtId="0" fontId="91" fillId="0" borderId="0" applyAlignment="1" pivotButton="0" quotePrefix="0" xfId="0">
      <alignment horizontal="center"/>
    </xf>
    <xf numFmtId="0" fontId="93" fillId="0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/>
    </xf>
    <xf numFmtId="0" fontId="27" fillId="0" borderId="8" applyAlignment="1" pivotButton="0" quotePrefix="0" xfId="0">
      <alignment horizontal="center" vertical="center"/>
    </xf>
    <xf numFmtId="0" fontId="60" fillId="0" borderId="8" applyAlignment="1" pivotButton="0" quotePrefix="0" xfId="0">
      <alignment horizontal="center" vertical="center"/>
    </xf>
    <xf numFmtId="0" fontId="60" fillId="0" borderId="8" applyAlignment="1" pivotButton="0" quotePrefix="0" xfId="0">
      <alignment horizontal="left" vertical="center" wrapText="1" indent="1"/>
    </xf>
    <xf numFmtId="0" fontId="90" fillId="0" borderId="8" applyAlignment="1" pivotButton="0" quotePrefix="0" xfId="0">
      <alignment horizontal="left" vertical="center" wrapText="1" indent="1"/>
    </xf>
    <xf numFmtId="0" fontId="96" fillId="0" borderId="17" applyAlignment="1" pivotButton="0" quotePrefix="0" xfId="0">
      <alignment horizontal="center"/>
    </xf>
    <xf numFmtId="0" fontId="90" fillId="0" borderId="17" applyAlignment="1" pivotButton="0" quotePrefix="0" xfId="0">
      <alignment horizontal="left" vertical="center" wrapText="1" indent="3"/>
    </xf>
    <xf numFmtId="0" fontId="31" fillId="0" borderId="8" applyAlignment="1" pivotButton="0" quotePrefix="0" xfId="0">
      <alignment horizontal="center"/>
    </xf>
    <xf numFmtId="0" fontId="31" fillId="0" borderId="8" applyAlignment="1" pivotButton="0" quotePrefix="0" xfId="0">
      <alignment horizontal="left" vertical="center" wrapText="1" indent="4"/>
    </xf>
    <xf numFmtId="0" fontId="46" fillId="0" borderId="8" applyAlignment="1" pivotButton="0" quotePrefix="0" xfId="0">
      <alignment horizontal="left" wrapText="1" indent="4"/>
    </xf>
    <xf numFmtId="0" fontId="25" fillId="0" borderId="8" applyAlignment="1" pivotButton="0" quotePrefix="0" xfId="0">
      <alignment horizontal="left" wrapText="1" indent="4"/>
    </xf>
    <xf numFmtId="49" fontId="41" fillId="0" borderId="8" applyAlignment="1" pivotButton="0" quotePrefix="0" xfId="0">
      <alignment horizontal="center" vertical="center"/>
    </xf>
    <xf numFmtId="0" fontId="62" fillId="0" borderId="8" applyAlignment="1" pivotButton="0" quotePrefix="0" xfId="0">
      <alignment horizontal="left" wrapText="1"/>
    </xf>
    <xf numFmtId="49" fontId="60" fillId="0" borderId="8" applyAlignment="1" pivotButton="0" quotePrefix="0" xfId="0">
      <alignment horizontal="center" vertical="center"/>
    </xf>
    <xf numFmtId="0" fontId="62" fillId="0" borderId="0" applyAlignment="1" pivotButton="0" quotePrefix="0" xfId="0">
      <alignment horizontal="center" vertical="center" wrapText="1"/>
    </xf>
    <xf numFmtId="0" fontId="97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16" fontId="0" fillId="0" borderId="0" pivotButton="0" quotePrefix="0" xfId="0"/>
    <xf numFmtId="49" fontId="34" fillId="0" borderId="0" applyAlignment="1" pivotButton="0" quotePrefix="0" xfId="0">
      <alignment horizontal="left" vertical="center" indent="2"/>
    </xf>
    <xf numFmtId="0" fontId="34" fillId="0" borderId="0" applyAlignment="1" pivotButton="0" quotePrefix="0" xfId="0">
      <alignment horizontal="right" vertical="center"/>
    </xf>
    <xf numFmtId="0" fontId="21" fillId="8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10" borderId="0" applyAlignment="1" pivotButton="0" quotePrefix="0" xfId="0">
      <alignment horizontal="right" vertical="center"/>
    </xf>
    <xf numFmtId="0" fontId="44" fillId="10" borderId="0" applyAlignment="1" pivotButton="0" quotePrefix="0" xfId="0">
      <alignment horizontal="right" vertical="center"/>
    </xf>
    <xf numFmtId="0" fontId="18" fillId="10" borderId="0" applyAlignment="1" pivotButton="0" quotePrefix="0" xfId="0">
      <alignment horizontal="right" vertical="center"/>
    </xf>
    <xf numFmtId="0" fontId="21" fillId="8" borderId="0" applyAlignment="1" pivotButton="0" quotePrefix="0" xfId="0">
      <alignment horizontal="right" vertical="center"/>
    </xf>
    <xf numFmtId="0" fontId="43" fillId="0" borderId="0" applyAlignment="1" pivotButton="0" quotePrefix="0" xfId="0">
      <alignment vertical="center"/>
    </xf>
    <xf numFmtId="0" fontId="33" fillId="10" borderId="0" applyAlignment="1" pivotButton="0" quotePrefix="0" xfId="0">
      <alignment horizontal="right" vertical="center"/>
    </xf>
    <xf numFmtId="0" fontId="50" fillId="1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vertical="center"/>
    </xf>
    <xf numFmtId="0" fontId="21" fillId="6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indent="2"/>
    </xf>
    <xf numFmtId="0" fontId="21" fillId="0" borderId="0" applyAlignment="1" pivotButton="0" quotePrefix="0" xfId="0">
      <alignment horizontal="left" vertical="center" indent="2"/>
    </xf>
    <xf numFmtId="0" fontId="50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right" vertical="center"/>
    </xf>
    <xf numFmtId="0" fontId="54" fillId="0" borderId="0" applyAlignment="1" pivotButton="0" quotePrefix="0" xfId="0">
      <alignment horizontal="right" vertical="center"/>
    </xf>
    <xf numFmtId="0" fontId="54" fillId="0" borderId="0" applyAlignment="1" pivotButton="0" quotePrefix="0" xfId="0">
      <alignment vertical="center"/>
    </xf>
    <xf numFmtId="0" fontId="30" fillId="0" borderId="0" applyAlignment="1" pivotButton="0" quotePrefix="0" xfId="0">
      <alignment horizontal="right" vertical="center"/>
    </xf>
    <xf numFmtId="0" fontId="55" fillId="0" borderId="0" applyAlignment="1" pivotButton="0" quotePrefix="0" xfId="0">
      <alignment vertical="center"/>
    </xf>
    <xf numFmtId="0" fontId="5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3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vertical="center"/>
    </xf>
    <xf numFmtId="0" fontId="54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center" vertical="center"/>
    </xf>
    <xf numFmtId="2" fontId="50" fillId="0" borderId="0" applyAlignment="1" pivotButton="0" quotePrefix="0" xfId="0">
      <alignment horizontal="left" vertical="center" wrapText="1" indent="3"/>
    </xf>
    <xf numFmtId="0" fontId="24" fillId="0" borderId="0" applyAlignment="1" pivotButton="0" quotePrefix="0" xfId="0">
      <alignment vertical="center"/>
    </xf>
    <xf numFmtId="49" fontId="21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vertical="center"/>
    </xf>
    <xf numFmtId="0" fontId="94" fillId="0" borderId="0" applyAlignment="1" pivotButton="0" quotePrefix="0" xfId="0">
      <alignment horizontal="center" wrapText="1"/>
    </xf>
    <xf numFmtId="0" fontId="34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indent="2"/>
    </xf>
    <xf numFmtId="0" fontId="3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 indent="2"/>
    </xf>
    <xf numFmtId="0" fontId="18" fillId="0" borderId="0" applyAlignment="1" pivotButton="0" quotePrefix="0" xfId="0">
      <alignment horizontal="left" vertical="center" wrapText="1" indent="2"/>
    </xf>
    <xf numFmtId="0" fontId="39" fillId="0" borderId="0" applyAlignment="1" pivotButton="0" quotePrefix="0" xfId="0">
      <alignment horizontal="left" vertical="center" wrapText="1"/>
    </xf>
    <xf numFmtId="0" fontId="34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/>
    </xf>
    <xf numFmtId="0" fontId="57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49" fontId="2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vertical="center"/>
    </xf>
    <xf numFmtId="49" fontId="47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vertical="center"/>
    </xf>
    <xf numFmtId="0" fontId="44" fillId="0" borderId="0" applyAlignment="1" pivotButton="0" quotePrefix="0" xfId="0">
      <alignment horizontal="right" vertical="center" wrapText="1"/>
    </xf>
    <xf numFmtId="4" fontId="47" fillId="0" borderId="0" applyAlignment="1" pivotButton="0" quotePrefix="0" xfId="0">
      <alignment horizontal="right"/>
    </xf>
    <xf numFmtId="4" fontId="92" fillId="0" borderId="0" applyAlignment="1" pivotButton="0" quotePrefix="0" xfId="0">
      <alignment horizontal="right"/>
    </xf>
    <xf numFmtId="9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0" fontId="101" fillId="0" borderId="0" applyAlignment="1" pivotButton="0" quotePrefix="0" xfId="102">
      <alignment horizontal="left" vertical="center"/>
    </xf>
    <xf numFmtId="0" fontId="47" fillId="0" borderId="0" applyAlignment="1" pivotButton="0" quotePrefix="0" xfId="102">
      <alignment horizontal="left" vertical="center" wrapText="1"/>
    </xf>
    <xf numFmtId="0" fontId="31" fillId="0" borderId="0" applyAlignment="1" pivotButton="0" quotePrefix="0" xfId="102">
      <alignment horizontal="left" vertical="center" indent="8"/>
    </xf>
    <xf numFmtId="0" fontId="47" fillId="0" borderId="0" applyAlignment="1" pivotButton="0" quotePrefix="0" xfId="102">
      <alignment horizontal="left" vertical="center" indent="4"/>
    </xf>
    <xf numFmtId="49" fontId="61" fillId="0" borderId="0" applyAlignment="1" pivotButton="0" quotePrefix="0" xfId="102">
      <alignment horizontal="left" vertical="center"/>
    </xf>
    <xf numFmtId="0" fontId="31" fillId="0" borderId="0" applyAlignment="1" pivotButton="0" quotePrefix="0" xfId="102">
      <alignment horizontal="left" vertical="center" indent="6"/>
    </xf>
    <xf numFmtId="0" fontId="25" fillId="0" borderId="0" applyAlignment="1" pivotButton="0" quotePrefix="0" xfId="102">
      <alignment horizontal="left" vertical="center" indent="8"/>
    </xf>
    <xf numFmtId="0" fontId="25" fillId="0" borderId="0" applyAlignment="1" pivotButton="0" quotePrefix="0" xfId="102">
      <alignment horizontal="left" vertical="top" indent="7"/>
    </xf>
    <xf numFmtId="0" fontId="27" fillId="0" borderId="0" applyAlignment="1" pivotButton="0" quotePrefix="0" xfId="102">
      <alignment horizontal="left" vertical="center" indent="4"/>
    </xf>
    <xf numFmtId="49" fontId="96" fillId="0" borderId="0" applyAlignment="1" pivotButton="0" quotePrefix="0" xfId="102">
      <alignment horizontal="left" vertical="center"/>
    </xf>
    <xf numFmtId="0" fontId="96" fillId="0" borderId="0" applyAlignment="1" pivotButton="0" quotePrefix="0" xfId="102">
      <alignment horizontal="right" vertical="center" indent="4"/>
    </xf>
    <xf numFmtId="0" fontId="27" fillId="0" borderId="0" applyAlignment="1" pivotButton="0" quotePrefix="0" xfId="102">
      <alignment vertical="center"/>
    </xf>
    <xf numFmtId="0" fontId="31" fillId="0" borderId="0" applyAlignment="1" pivotButton="0" quotePrefix="0" xfId="102">
      <alignment horizontal="left" vertical="center" indent="4"/>
    </xf>
    <xf numFmtId="0" fontId="61" fillId="0" borderId="0" applyAlignment="1" pivotButton="0" quotePrefix="0" xfId="102">
      <alignment horizontal="left" vertical="center" indent="4"/>
    </xf>
    <xf numFmtId="49" fontId="90" fillId="0" borderId="0" applyAlignment="1" pivotButton="0" quotePrefix="0" xfId="102">
      <alignment horizontal="left" vertical="center"/>
    </xf>
    <xf numFmtId="49" fontId="27" fillId="0" borderId="0" applyAlignment="1" pivotButton="0" quotePrefix="0" xfId="102">
      <alignment horizontal="left" vertical="center"/>
    </xf>
    <xf numFmtId="0" fontId="25" fillId="0" borderId="0" applyAlignment="1" pivotButton="0" quotePrefix="0" xfId="102">
      <alignment horizontal="left" vertical="center" indent="4"/>
    </xf>
    <xf numFmtId="0" fontId="25" fillId="0" borderId="0" applyAlignment="1" pivotButton="0" quotePrefix="0" xfId="102">
      <alignment horizontal="left" vertical="center" indent="2"/>
    </xf>
    <xf numFmtId="0" fontId="102" fillId="0" borderId="0" applyAlignment="1" pivotButton="0" quotePrefix="0" xfId="102">
      <alignment horizontal="left" vertical="center"/>
    </xf>
    <xf numFmtId="0" fontId="71" fillId="0" borderId="0" applyAlignment="1" pivotButton="0" quotePrefix="0" xfId="102">
      <alignment horizontal="left" vertical="center"/>
    </xf>
    <xf numFmtId="49" fontId="46" fillId="0" borderId="0" applyAlignment="1" pivotButton="0" quotePrefix="0" xfId="102">
      <alignment horizontal="left" vertical="center"/>
    </xf>
    <xf numFmtId="0" fontId="31" fillId="0" borderId="0" applyAlignment="1" pivotButton="0" quotePrefix="0" xfId="102">
      <alignment horizontal="left" vertical="center" wrapText="1" indent="4"/>
    </xf>
    <xf numFmtId="0" fontId="25" fillId="0" borderId="0" applyAlignment="1" pivotButton="0" quotePrefix="0" xfId="102">
      <alignment horizontal="left" vertical="center"/>
    </xf>
    <xf numFmtId="49" fontId="47" fillId="0" borderId="0" applyAlignment="1" applyProtection="1" pivotButton="0" quotePrefix="0" xfId="102">
      <alignment horizontal="left" vertical="center"/>
      <protection locked="0" hidden="0"/>
    </xf>
    <xf numFmtId="0" fontId="27" fillId="0" borderId="0" applyAlignment="1" pivotButton="0" quotePrefix="1" xfId="102">
      <alignment horizontal="left" vertical="center" wrapText="1"/>
    </xf>
    <xf numFmtId="2" fontId="25" fillId="0" borderId="0" applyAlignment="1" pivotButton="0" quotePrefix="1" xfId="102">
      <alignment horizontal="left" vertical="center" wrapText="1" indent="2"/>
    </xf>
    <xf numFmtId="0" fontId="27" fillId="0" borderId="0" applyAlignment="1" pivotButton="0" quotePrefix="1" xfId="102">
      <alignment horizontal="left" vertical="center" wrapText="1" indent="4"/>
    </xf>
    <xf numFmtId="0" fontId="25" fillId="0" borderId="0" applyAlignment="1" pivotButton="0" quotePrefix="0" xfId="102">
      <alignment horizontal="left" vertical="center" wrapText="1" indent="4"/>
    </xf>
    <xf numFmtId="0" fontId="25" fillId="0" borderId="0" applyAlignment="1" pivotButton="0" quotePrefix="1" xfId="102">
      <alignment horizontal="left" vertical="center" wrapText="1" indent="4"/>
    </xf>
    <xf numFmtId="0" fontId="31" fillId="0" borderId="0" applyAlignment="1" pivotButton="0" quotePrefix="1" xfId="102">
      <alignment horizontal="left" vertical="center" wrapText="1" indent="4"/>
    </xf>
    <xf numFmtId="0" fontId="47" fillId="0" borderId="0" applyAlignment="1" pivotButton="0" quotePrefix="0" xfId="0">
      <alignment horizontal="left" wrapText="1" indent="1"/>
    </xf>
    <xf numFmtId="0" fontId="62" fillId="0" borderId="0" applyAlignment="1" pivotButton="0" quotePrefix="0" xfId="0">
      <alignment horizontal="left" wrapText="1" indent="1"/>
    </xf>
    <xf numFmtId="0" fontId="62" fillId="0" borderId="0" applyAlignment="1" pivotButton="0" quotePrefix="0" xfId="0">
      <alignment horizontal="left" wrapText="1" indent="2"/>
    </xf>
    <xf numFmtId="0" fontId="36" fillId="0" borderId="0" applyAlignment="1" pivotButton="0" quotePrefix="0" xfId="0">
      <alignment horizontal="left" wrapText="1" indent="4"/>
    </xf>
    <xf numFmtId="0" fontId="46" fillId="0" borderId="0" applyAlignment="1" pivotButton="0" quotePrefix="0" xfId="0">
      <alignment horizontal="left" wrapText="1" indent="7"/>
    </xf>
    <xf numFmtId="0" fontId="46" fillId="0" borderId="0" applyAlignment="1" pivotButton="0" quotePrefix="0" xfId="0">
      <alignment horizontal="left" vertical="center" wrapText="1" indent="7"/>
    </xf>
    <xf numFmtId="0" fontId="47" fillId="0" borderId="0" applyAlignment="1" pivotButton="0" quotePrefix="0" xfId="0">
      <alignment horizontal="left" vertical="center" wrapText="1"/>
    </xf>
    <xf numFmtId="0" fontId="62" fillId="0" borderId="0" applyAlignment="1" pivotButton="0" quotePrefix="0" xfId="0">
      <alignment horizontal="left" vertical="top" wrapText="1" indent="1"/>
    </xf>
    <xf numFmtId="0" fontId="36" fillId="0" borderId="0" applyAlignment="1" pivotButton="0" quotePrefix="0" xfId="0">
      <alignment horizontal="left" wrapText="1" indent="7"/>
    </xf>
    <xf numFmtId="0" fontId="62" fillId="0" borderId="0" applyAlignment="1" pivotButton="0" quotePrefix="0" xfId="0">
      <alignment horizontal="left" vertical="center" wrapText="1" indent="2"/>
    </xf>
    <xf numFmtId="0" fontId="62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left" vertical="center" wrapText="1" indent="4"/>
    </xf>
    <xf numFmtId="2" fontId="36" fillId="0" borderId="0" applyAlignment="1" pivotButton="0" quotePrefix="0" xfId="0">
      <alignment horizontal="left" vertical="center" wrapText="1" indent="6"/>
    </xf>
    <xf numFmtId="2" fontId="36" fillId="0" borderId="0" applyAlignment="1" pivotButton="0" quotePrefix="0" xfId="0">
      <alignment horizontal="left" vertical="top" wrapText="1" indent="6"/>
    </xf>
    <xf numFmtId="2" fontId="36" fillId="0" borderId="0" applyAlignment="1" pivotButton="0" quotePrefix="0" xfId="0">
      <alignment horizontal="left" vertical="top" wrapText="1" indent="8"/>
    </xf>
    <xf numFmtId="0" fontId="27" fillId="0" borderId="0" applyAlignment="1" pivotButton="0" quotePrefix="0" xfId="102">
      <alignment vertical="center" wrapText="1"/>
    </xf>
    <xf numFmtId="0" fontId="27" fillId="0" borderId="0" applyAlignment="1" pivotButton="0" quotePrefix="0" xfId="102">
      <alignment horizontal="left" vertical="center" wrapText="1" indent="2"/>
    </xf>
    <xf numFmtId="2" fontId="46" fillId="0" borderId="0" applyAlignment="1" pivotButton="0" quotePrefix="0" xfId="0">
      <alignment horizontal="left" vertical="top" wrapText="1" indent="8"/>
    </xf>
    <xf numFmtId="0" fontId="31" fillId="0" borderId="0" applyAlignment="1" pivotButton="0" quotePrefix="0" xfId="102">
      <alignment horizontal="center" vertical="center"/>
    </xf>
    <xf numFmtId="0" fontId="96" fillId="0" borderId="0" applyAlignment="1" pivotButton="0" quotePrefix="0" xfId="102">
      <alignment horizontal="center" vertical="center"/>
    </xf>
    <xf numFmtId="0" fontId="25" fillId="0" borderId="0" applyAlignment="1" pivotButton="0" quotePrefix="0" xfId="102">
      <alignment horizontal="center" vertical="center"/>
    </xf>
    <xf numFmtId="0" fontId="71" fillId="0" borderId="0" applyAlignment="1" pivotButton="0" quotePrefix="0" xfId="102">
      <alignment horizontal="center" vertical="center"/>
    </xf>
    <xf numFmtId="4" fontId="25" fillId="0" borderId="0" applyAlignment="1" pivotButton="0" quotePrefix="0" xfId="102">
      <alignment horizontal="center" vertical="center" wrapText="1"/>
    </xf>
    <xf numFmtId="2" fontId="25" fillId="0" borderId="0" applyAlignment="1" pivotButton="0" quotePrefix="0" xfId="102">
      <alignment horizontal="center" vertical="center"/>
    </xf>
    <xf numFmtId="49" fontId="47" fillId="0" borderId="0" applyAlignment="1" pivotButton="0" quotePrefix="0" xfId="102">
      <alignment horizontal="center" vertical="center"/>
    </xf>
    <xf numFmtId="0" fontId="27" fillId="0" borderId="0" applyAlignment="1" pivotButton="0" quotePrefix="0" xfId="102">
      <alignment horizontal="center" vertical="center"/>
    </xf>
    <xf numFmtId="0" fontId="27" fillId="0" borderId="0" applyAlignment="1" pivotButton="0" quotePrefix="0" xfId="102">
      <alignment horizontal="center" vertical="center" wrapText="1"/>
    </xf>
    <xf numFmtId="0" fontId="18" fillId="0" borderId="8" applyAlignment="1" pivotButton="0" quotePrefix="0" xfId="0">
      <alignment horizontal="center" vertical="center" wrapText="1"/>
    </xf>
    <xf numFmtId="0" fontId="18" fillId="0" borderId="8" applyAlignment="1" pivotButton="0" quotePrefix="0" xfId="0">
      <alignment horizontal="left" vertical="center" wrapText="1" indent="4"/>
    </xf>
    <xf numFmtId="0" fontId="46" fillId="11" borderId="19" applyAlignment="1" pivotButton="0" quotePrefix="0" xfId="0">
      <alignment horizontal="center"/>
    </xf>
    <xf numFmtId="0" fontId="46" fillId="10" borderId="19" applyAlignment="1" pivotButton="0" quotePrefix="0" xfId="0">
      <alignment horizontal="center"/>
    </xf>
    <xf numFmtId="0" fontId="89" fillId="12" borderId="19" applyAlignment="1" pivotButton="0" quotePrefix="0" xfId="0">
      <alignment horizontal="center" vertical="center" wrapText="1"/>
    </xf>
    <xf numFmtId="0" fontId="66" fillId="0" borderId="19" applyAlignment="1" pivotButton="0" quotePrefix="0" xfId="0">
      <alignment horizontal="left" wrapText="1" indent="3"/>
    </xf>
    <xf numFmtId="0" fontId="41" fillId="0" borderId="19" applyAlignment="1" pivotButton="0" quotePrefix="0" xfId="0">
      <alignment horizontal="left" wrapText="1" indent="3"/>
    </xf>
    <xf numFmtId="0" fontId="25" fillId="0" borderId="19" applyAlignment="1" pivotButton="0" quotePrefix="0" xfId="0">
      <alignment horizontal="right"/>
    </xf>
    <xf numFmtId="0" fontId="47" fillId="0" borderId="19" applyAlignment="1" pivotButton="0" quotePrefix="0" xfId="0">
      <alignment horizontal="right"/>
    </xf>
    <xf numFmtId="0" fontId="21" fillId="0" borderId="2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0" fontId="44" fillId="0" borderId="6" applyAlignment="1" pivotButton="0" quotePrefix="0" xfId="0">
      <alignment horizontal="center" vertical="center" wrapText="1"/>
    </xf>
    <xf numFmtId="0" fontId="44" fillId="0" borderId="17" applyAlignment="1" pivotButton="0" quotePrefix="0" xfId="0">
      <alignment horizontal="left" vertical="center" wrapText="1" indent="2"/>
    </xf>
    <xf numFmtId="0" fontId="44" fillId="0" borderId="14" applyAlignment="1" pivotButton="0" quotePrefix="0" xfId="0">
      <alignment horizontal="center" vertical="center" wrapText="1"/>
    </xf>
    <xf numFmtId="0" fontId="51" fillId="0" borderId="12" applyAlignment="1" pivotButton="0" quotePrefix="0" xfId="0">
      <alignment horizontal="left" wrapText="1" indent="1"/>
    </xf>
    <xf numFmtId="0" fontId="44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7" fillId="0" borderId="8" applyAlignment="1" pivotButton="0" quotePrefix="0" xfId="0">
      <alignment horizontal="left" vertical="center" wrapText="1"/>
    </xf>
    <xf numFmtId="0" fontId="60" fillId="0" borderId="8" applyAlignment="1" pivotButton="0" quotePrefix="0" xfId="0">
      <alignment horizontal="left" vertical="center" wrapText="1"/>
    </xf>
    <xf numFmtId="0" fontId="90" fillId="0" borderId="8" applyAlignment="1" pivotButton="0" quotePrefix="0" xfId="0">
      <alignment horizontal="left" vertical="center" wrapText="1" indent="2"/>
    </xf>
    <xf numFmtId="0" fontId="96" fillId="0" borderId="8" applyAlignment="1" pivotButton="0" quotePrefix="0" xfId="0">
      <alignment horizontal="left" vertical="center" wrapText="1" indent="4"/>
    </xf>
    <xf numFmtId="0" fontId="60" fillId="0" borderId="11" applyAlignment="1" pivotButton="0" quotePrefix="0" xfId="0">
      <alignment horizontal="center" vertical="center"/>
    </xf>
    <xf numFmtId="0" fontId="61" fillId="0" borderId="11" applyAlignment="1" pivotButton="0" quotePrefix="0" xfId="0">
      <alignment horizontal="center" vertical="center"/>
    </xf>
    <xf numFmtId="0" fontId="61" fillId="0" borderId="7" applyAlignment="1" pivotButton="0" quotePrefix="0" xfId="0">
      <alignment horizontal="center" vertical="center"/>
    </xf>
    <xf numFmtId="0" fontId="96" fillId="0" borderId="17" applyAlignment="1" pivotButton="0" quotePrefix="0" xfId="0">
      <alignment horizontal="left" vertical="center" wrapText="1" indent="4"/>
    </xf>
    <xf numFmtId="0" fontId="44" fillId="0" borderId="17" applyAlignment="1" pivotButton="0" quotePrefix="0" xfId="0">
      <alignment horizontal="center" vertical="center" wrapText="1"/>
    </xf>
    <xf numFmtId="0" fontId="44" fillId="0" borderId="12" applyAlignment="1" pivotButton="0" quotePrefix="0" xfId="0">
      <alignment horizontal="center" vertical="center" wrapText="1"/>
    </xf>
    <xf numFmtId="0" fontId="96" fillId="0" borderId="8" applyAlignment="1" pivotButton="0" quotePrefix="0" xfId="0">
      <alignment horizontal="center" vertical="center"/>
    </xf>
    <xf numFmtId="0" fontId="96" fillId="0" borderId="17" applyAlignment="1" pivotButton="0" quotePrefix="0" xfId="0">
      <alignment horizontal="center" vertical="center"/>
    </xf>
    <xf numFmtId="0" fontId="27" fillId="0" borderId="7" applyAlignment="1" pivotButton="0" quotePrefix="0" xfId="0">
      <alignment horizontal="center" vertical="center"/>
    </xf>
    <xf numFmtId="0" fontId="25" fillId="0" borderId="17" applyAlignment="1" pivotButton="0" quotePrefix="0" xfId="0">
      <alignment horizontal="left" vertical="center" wrapText="1" indent="2"/>
    </xf>
    <xf numFmtId="0" fontId="60" fillId="0" borderId="12" applyAlignment="1" pivotButton="0" quotePrefix="0" xfId="0">
      <alignment horizontal="center" vertical="center"/>
    </xf>
    <xf numFmtId="0" fontId="60" fillId="0" borderId="12" applyAlignment="1" pivotButton="0" quotePrefix="0" xfId="0">
      <alignment horizontal="left" vertical="center" wrapText="1"/>
    </xf>
    <xf numFmtId="0" fontId="90" fillId="0" borderId="8" applyAlignment="1" pivotButton="0" quotePrefix="0" xfId="0">
      <alignment horizontal="center"/>
    </xf>
    <xf numFmtId="0" fontId="96" fillId="0" borderId="8" applyAlignment="1" pivotButton="0" quotePrefix="0" xfId="0">
      <alignment horizontal="center"/>
    </xf>
    <xf numFmtId="0" fontId="61" fillId="0" borderId="17" applyAlignment="1" pivotButton="0" quotePrefix="0" xfId="0">
      <alignment horizontal="center" vertical="center"/>
    </xf>
    <xf numFmtId="0" fontId="25" fillId="0" borderId="7" applyAlignment="1" pivotButton="0" quotePrefix="0" xfId="0">
      <alignment horizontal="center" vertical="center"/>
    </xf>
    <xf numFmtId="0" fontId="61" fillId="0" borderId="14" applyAlignment="1" pivotButton="0" quotePrefix="0" xfId="0">
      <alignment horizontal="center" vertical="center"/>
    </xf>
    <xf numFmtId="0" fontId="96" fillId="0" borderId="11" applyAlignment="1" pivotButton="0" quotePrefix="0" xfId="0">
      <alignment horizontal="center" vertical="center"/>
    </xf>
    <xf numFmtId="0" fontId="27" fillId="0" borderId="11" applyAlignment="1" pivotButton="0" quotePrefix="0" xfId="0">
      <alignment horizontal="center" vertical="center"/>
    </xf>
    <xf numFmtId="0" fontId="96" fillId="0" borderId="7" applyAlignment="1" pivotButton="0" quotePrefix="0" xfId="0">
      <alignment horizontal="center" vertical="center"/>
    </xf>
    <xf numFmtId="49" fontId="47" fillId="0" borderId="13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0" fontId="46" fillId="0" borderId="8" applyAlignment="1" pivotButton="0" quotePrefix="0" xfId="0">
      <alignment horizontal="left" wrapText="1" indent="8"/>
    </xf>
    <xf numFmtId="0" fontId="27" fillId="0" borderId="5" applyAlignment="1" pivotButton="0" quotePrefix="0" xfId="0">
      <alignment horizontal="center"/>
    </xf>
    <xf numFmtId="0" fontId="27" fillId="0" borderId="17" applyAlignment="1" pivotButton="0" quotePrefix="0" xfId="0">
      <alignment wrapText="1"/>
    </xf>
    <xf numFmtId="49" fontId="60" fillId="0" borderId="11" applyAlignment="1" pivotButton="0" quotePrefix="0" xfId="0">
      <alignment horizontal="center" vertical="center"/>
    </xf>
    <xf numFmtId="0" fontId="60" fillId="0" borderId="11" applyAlignment="1" pivotButton="0" quotePrefix="0" xfId="0">
      <alignment horizontal="center"/>
    </xf>
    <xf numFmtId="0" fontId="60" fillId="0" borderId="8" applyAlignment="1" pivotButton="0" quotePrefix="0" xfId="0">
      <alignment horizontal="center"/>
    </xf>
    <xf numFmtId="0" fontId="96" fillId="0" borderId="8" pivotButton="0" quotePrefix="0" xfId="0"/>
    <xf numFmtId="0" fontId="95" fillId="0" borderId="17" applyAlignment="1" pivotButton="0" quotePrefix="0" xfId="0">
      <alignment horizontal="center" vertical="center"/>
    </xf>
    <xf numFmtId="0" fontId="95" fillId="0" borderId="8" applyAlignment="1" pivotButton="0" quotePrefix="0" xfId="0">
      <alignment horizontal="center"/>
    </xf>
    <xf numFmtId="0" fontId="60" fillId="0" borderId="19" applyAlignment="1" pivotButton="0" quotePrefix="0" xfId="0">
      <alignment horizontal="center" vertical="center"/>
    </xf>
    <xf numFmtId="0" fontId="96" fillId="0" borderId="19" applyAlignment="1" pivotButton="0" quotePrefix="0" xfId="0">
      <alignment horizontal="center" vertical="center"/>
    </xf>
    <xf numFmtId="0" fontId="60" fillId="0" borderId="19" applyAlignment="1" pivotButton="0" quotePrefix="0" xfId="0">
      <alignment horizontal="center"/>
    </xf>
    <xf numFmtId="0" fontId="96" fillId="0" borderId="19" pivotButton="0" quotePrefix="0" xfId="0"/>
    <xf numFmtId="49" fontId="60" fillId="0" borderId="11" applyAlignment="1" pivotButton="0" quotePrefix="0" xfId="0">
      <alignment horizontal="center"/>
    </xf>
    <xf numFmtId="0" fontId="46" fillId="11" borderId="21" applyAlignment="1" pivotButton="0" quotePrefix="0" xfId="0">
      <alignment horizontal="center"/>
    </xf>
    <xf numFmtId="0" fontId="60" fillId="0" borderId="8" applyAlignment="1" pivotButton="0" quotePrefix="0" xfId="0">
      <alignment horizontal="left"/>
    </xf>
    <xf numFmtId="0" fontId="60" fillId="0" borderId="8" applyAlignment="1" pivotButton="0" quotePrefix="0" xfId="0">
      <alignment wrapText="1"/>
    </xf>
    <xf numFmtId="4" fontId="60" fillId="0" borderId="8" applyAlignment="1" pivotButton="0" quotePrefix="0" xfId="0">
      <alignment horizontal="left" vertical="center"/>
    </xf>
    <xf numFmtId="0" fontId="46" fillId="0" borderId="0" applyAlignment="1" pivotButton="0" quotePrefix="0" xfId="0">
      <alignment vertical="top" wrapText="1"/>
    </xf>
    <xf numFmtId="49" fontId="46" fillId="0" borderId="17" applyAlignment="1" pivotButton="0" quotePrefix="0" xfId="0">
      <alignment horizontal="center" vertical="center"/>
    </xf>
    <xf numFmtId="49" fontId="3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34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 wrapText="1"/>
    </xf>
    <xf numFmtId="0" fontId="47" fillId="0" borderId="12" applyAlignment="1" pivotButton="0" quotePrefix="0" xfId="0">
      <alignment horizontal="center" vertical="center" wrapText="1"/>
    </xf>
    <xf numFmtId="0" fontId="27" fillId="0" borderId="0" applyAlignment="1" pivotButton="0" quotePrefix="0" xfId="102">
      <alignment horizontal="left" vertical="center" wrapText="1"/>
    </xf>
    <xf numFmtId="49" fontId="47" fillId="0" borderId="0" applyAlignment="1" pivotButton="0" quotePrefix="0" xfId="102">
      <alignment horizontal="left" vertical="center"/>
    </xf>
    <xf numFmtId="0" fontId="47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102">
      <alignment horizontal="left" vertical="center" wrapText="1" indent="2"/>
    </xf>
    <xf numFmtId="0" fontId="25" fillId="0" borderId="0" applyAlignment="1" pivotButton="0" quotePrefix="0" xfId="102">
      <alignment horizontal="left" vertical="center" indent="6"/>
    </xf>
    <xf numFmtId="0" fontId="27" fillId="0" borderId="0" applyAlignment="1" pivotButton="0" quotePrefix="0" xfId="102">
      <alignment horizontal="left" vertical="center"/>
    </xf>
    <xf numFmtId="0" fontId="46" fillId="0" borderId="0" applyAlignment="1" pivotButton="0" quotePrefix="0" xfId="0">
      <alignment horizontal="left" vertical="center" wrapText="1" indent="2"/>
    </xf>
    <xf numFmtId="0" fontId="90" fillId="0" borderId="8" applyAlignment="1" pivotButton="0" quotePrefix="0" xfId="0">
      <alignment horizontal="left" vertical="center" wrapText="1" indent="3"/>
    </xf>
    <xf numFmtId="0" fontId="37" fillId="0" borderId="0" applyAlignment="1" pivotButton="0" quotePrefix="0" xfId="0">
      <alignment horizontal="center" vertical="center" wrapText="1"/>
    </xf>
    <xf numFmtId="0" fontId="46" fillId="0" borderId="1" applyAlignment="1" pivotButton="0" quotePrefix="0" xfId="0">
      <alignment horizontal="center" vertical="center"/>
    </xf>
    <xf numFmtId="0" fontId="46" fillId="0" borderId="8" applyAlignment="1" pivotButton="0" quotePrefix="0" xfId="0">
      <alignment horizontal="left" vertical="center" wrapText="1" indent="4"/>
    </xf>
    <xf numFmtId="49" fontId="27" fillId="0" borderId="8" applyAlignment="1" pivotButton="0" quotePrefix="0" xfId="0">
      <alignment horizontal="center" vertical="center"/>
    </xf>
    <xf numFmtId="0" fontId="27" fillId="0" borderId="8" applyAlignment="1" pivotButton="0" quotePrefix="0" xfId="0">
      <alignment horizontal="left" vertical="center" wrapText="1" indent="1"/>
    </xf>
    <xf numFmtId="0" fontId="25" fillId="0" borderId="8" applyAlignment="1" pivotButton="0" quotePrefix="0" xfId="0">
      <alignment horizontal="left" vertical="center" wrapText="1" indent="2"/>
    </xf>
    <xf numFmtId="0" fontId="47" fillId="0" borderId="8" applyAlignment="1" pivotButton="0" quotePrefix="0" xfId="0">
      <alignment horizontal="left" vertical="center" wrapText="1" indent="1"/>
    </xf>
    <xf numFmtId="49" fontId="25" fillId="0" borderId="8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 wrapText="1"/>
    </xf>
    <xf numFmtId="0" fontId="21" fillId="0" borderId="8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8" fillId="0" borderId="8" applyAlignment="1" pivotButton="0" quotePrefix="1" xfId="0">
      <alignment horizontal="left" vertical="center" wrapText="1" indent="2"/>
    </xf>
    <xf numFmtId="0" fontId="44" fillId="0" borderId="0" applyAlignment="1" pivotButton="0" quotePrefix="0" xfId="0">
      <alignment horizontal="center" vertical="center"/>
    </xf>
    <xf numFmtId="0" fontId="44" fillId="0" borderId="8" applyAlignment="1" pivotButton="0" quotePrefix="1" xfId="0">
      <alignment horizontal="left" vertical="center" wrapText="1" indent="2"/>
    </xf>
    <xf numFmtId="0" fontId="44" fillId="0" borderId="8" applyAlignment="1" pivotButton="0" quotePrefix="1" xfId="0">
      <alignment horizontal="left" vertical="center" wrapText="1" indent="3"/>
    </xf>
    <xf numFmtId="0" fontId="39" fillId="0" borderId="0" applyAlignment="1" pivotButton="0" quotePrefix="0" xfId="0">
      <alignment horizontal="center" vertical="center"/>
    </xf>
    <xf numFmtId="0" fontId="39" fillId="0" borderId="8" applyAlignment="1" pivotButton="0" quotePrefix="1" xfId="0">
      <alignment horizontal="left" vertical="center" wrapText="1" indent="1"/>
    </xf>
    <xf numFmtId="0" fontId="44" fillId="0" borderId="8" applyAlignment="1" pivotButton="0" quotePrefix="0" xfId="0">
      <alignment horizontal="left" vertical="center" wrapText="1" indent="2"/>
    </xf>
    <xf numFmtId="0" fontId="21" fillId="0" borderId="0" applyAlignment="1" pivotButton="0" quotePrefix="0" xfId="0">
      <alignment horizontal="center" vertical="center"/>
    </xf>
    <xf numFmtId="0" fontId="21" fillId="0" borderId="8" applyAlignment="1" pivotButton="0" quotePrefix="0" xfId="0">
      <alignment horizontal="left" vertical="center" wrapText="1" indent="1"/>
    </xf>
    <xf numFmtId="0" fontId="18" fillId="0" borderId="8" applyAlignment="1" pivotButton="0" quotePrefix="0" xfId="0">
      <alignment horizontal="left" vertical="center" wrapText="1" indent="2"/>
    </xf>
    <xf numFmtId="0" fontId="39" fillId="0" borderId="8" applyAlignment="1" pivotButton="0" quotePrefix="0" xfId="0">
      <alignment horizontal="left" vertical="center" wrapText="1" indent="1"/>
    </xf>
    <xf numFmtId="0" fontId="21" fillId="0" borderId="8" applyAlignment="1" pivotButton="0" quotePrefix="1" xfId="0">
      <alignment horizontal="left" vertical="center" wrapText="1" indent="1"/>
    </xf>
    <xf numFmtId="0" fontId="18" fillId="0" borderId="11" applyAlignment="1" pivotButton="0" quotePrefix="1" xfId="0">
      <alignment horizontal="center" vertical="center" wrapText="1"/>
    </xf>
    <xf numFmtId="0" fontId="59" fillId="0" borderId="0" applyAlignment="1" pivotButton="0" quotePrefix="0" xfId="0">
      <alignment horizontal="left" wrapText="1"/>
    </xf>
    <xf numFmtId="0" fontId="31" fillId="0" borderId="8" applyAlignment="1" pivotButton="0" quotePrefix="0" xfId="0">
      <alignment horizontal="left" vertical="center" indent="2"/>
    </xf>
    <xf numFmtId="0" fontId="31" fillId="0" borderId="8" applyAlignment="1" pivotButton="0" quotePrefix="0" xfId="0">
      <alignment horizontal="left" vertical="center" wrapText="1" indent="2"/>
    </xf>
    <xf numFmtId="0" fontId="47" fillId="0" borderId="11" applyAlignment="1" pivotButton="0" quotePrefix="0" xfId="0">
      <alignment horizontal="left" vertical="center" wrapText="1" indent="1"/>
    </xf>
    <xf numFmtId="0" fontId="46" fillId="0" borderId="8" applyAlignment="1" pivotButton="0" quotePrefix="0" xfId="0">
      <alignment horizontal="left" vertical="center" wrapText="1" indent="1"/>
    </xf>
    <xf numFmtId="49" fontId="46" fillId="0" borderId="8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left" vertical="center" wrapText="1" indent="2"/>
    </xf>
    <xf numFmtId="0" fontId="90" fillId="0" borderId="8" applyAlignment="1" pivotButton="0" quotePrefix="0" xfId="0">
      <alignment horizontal="center" vertical="center"/>
    </xf>
    <xf numFmtId="0" fontId="90" fillId="0" borderId="17" applyAlignment="1" pivotButton="0" quotePrefix="0" xfId="0">
      <alignment horizontal="center" vertical="center"/>
    </xf>
    <xf numFmtId="0" fontId="46" fillId="0" borderId="8" applyAlignment="1" pivotButton="0" quotePrefix="0" xfId="0">
      <alignment horizontal="left" vertical="center" wrapText="1" indent="2"/>
    </xf>
    <xf numFmtId="0" fontId="25" fillId="0" borderId="12" applyAlignment="1" pivotButton="0" quotePrefix="0" xfId="0">
      <alignment horizontal="center" vertical="center" wrapText="1"/>
    </xf>
    <xf numFmtId="0" fontId="25" fillId="0" borderId="8" applyAlignment="1" pivotButton="0" quotePrefix="0" xfId="0">
      <alignment horizontal="center" vertical="center" wrapText="1"/>
    </xf>
    <xf numFmtId="0" fontId="46" fillId="0" borderId="12" applyAlignment="1" pivotButton="0" quotePrefix="0" xfId="0">
      <alignment horizontal="center" vertical="center"/>
    </xf>
    <xf numFmtId="0" fontId="46" fillId="0" borderId="12" applyAlignment="1" pivotButton="0" quotePrefix="0" xfId="0">
      <alignment horizontal="center" vertical="center" wrapText="1"/>
    </xf>
    <xf numFmtId="0" fontId="46" fillId="0" borderId="8" applyAlignment="1" pivotButton="0" quotePrefix="0" xfId="0">
      <alignment horizontal="center" vertical="center" wrapText="1"/>
    </xf>
    <xf numFmtId="0" fontId="25" fillId="0" borderId="8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 wrapText="1" indent="1"/>
    </xf>
    <xf numFmtId="0" fontId="31" fillId="0" borderId="0" applyAlignment="1" pivotButton="0" quotePrefix="0" xfId="0">
      <alignment horizontal="left" vertical="center" wrapText="1" indent="2"/>
    </xf>
    <xf numFmtId="49" fontId="46" fillId="0" borderId="8" applyAlignment="1" pivotButton="0" quotePrefix="0" xfId="0">
      <alignment horizontal="center" vertical="center"/>
    </xf>
    <xf numFmtId="49" fontId="47" fillId="0" borderId="4" applyAlignment="1" pivotButton="0" quotePrefix="0" xfId="0">
      <alignment horizontal="center" vertical="center"/>
    </xf>
    <xf numFmtId="49" fontId="47" fillId="0" borderId="8" applyAlignment="1" pivotButton="0" quotePrefix="0" xfId="0">
      <alignment horizontal="center" vertical="center"/>
    </xf>
    <xf numFmtId="0" fontId="47" fillId="0" borderId="8" applyAlignment="1" pivotButton="0" quotePrefix="0" xfId="0">
      <alignment horizontal="left" vertical="center" wrapText="1"/>
    </xf>
    <xf numFmtId="0" fontId="46" fillId="0" borderId="8" applyAlignment="1" pivotButton="0" quotePrefix="0" xfId="0">
      <alignment horizontal="center" vertical="center"/>
    </xf>
    <xf numFmtId="0" fontId="61" fillId="0" borderId="8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left" vertical="center" wrapText="1" indent="2"/>
    </xf>
    <xf numFmtId="0" fontId="47" fillId="0" borderId="8" applyAlignment="1" pivotButton="0" quotePrefix="0" xfId="0">
      <alignment horizontal="center" vertical="center"/>
    </xf>
    <xf numFmtId="0" fontId="36" fillId="0" borderId="8" applyAlignment="1" pivotButton="0" quotePrefix="0" xfId="0">
      <alignment horizontal="left" vertical="center" wrapText="1" indent="3"/>
    </xf>
    <xf numFmtId="0" fontId="47" fillId="0" borderId="8" applyAlignment="1" pivotButton="0" quotePrefix="0" xfId="0">
      <alignment horizontal="left" vertical="center" wrapText="1" indent="2"/>
    </xf>
    <xf numFmtId="0" fontId="62" fillId="0" borderId="8" applyAlignment="1" pivotButton="0" quotePrefix="0" xfId="0">
      <alignment horizontal="left" vertical="center" wrapText="1" indent="2"/>
    </xf>
    <xf numFmtId="0" fontId="96" fillId="0" borderId="8" applyAlignment="1" pivotButton="0" quotePrefix="0" xfId="0">
      <alignment horizontal="left" vertical="center" wrapText="1" indent="2"/>
    </xf>
    <xf numFmtId="0" fontId="46" fillId="0" borderId="17" applyAlignment="1" pivotButton="0" quotePrefix="0" xfId="0">
      <alignment horizontal="center" vertical="center"/>
    </xf>
    <xf numFmtId="0" fontId="25" fillId="0" borderId="9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46" fillId="0" borderId="4" applyAlignment="1" pivotButton="0" quotePrefix="0" xfId="0">
      <alignment horizontal="center" vertical="center"/>
    </xf>
    <xf numFmtId="0" fontId="27" fillId="0" borderId="9" applyAlignment="1" pivotButton="0" quotePrefix="1" xfId="0">
      <alignment horizontal="left" vertical="center" wrapText="1" indent="1"/>
    </xf>
    <xf numFmtId="49" fontId="62" fillId="0" borderId="8" applyAlignment="1" pivotButton="0" quotePrefix="0" xfId="0">
      <alignment horizontal="center" vertical="center"/>
    </xf>
    <xf numFmtId="0" fontId="25" fillId="0" borderId="9" applyAlignment="1" pivotButton="0" quotePrefix="1" xfId="0">
      <alignment horizontal="left" vertical="center" wrapText="1" indent="2"/>
    </xf>
    <xf numFmtId="0" fontId="61" fillId="0" borderId="8" applyAlignment="1" pivotButton="0" quotePrefix="0" xfId="0">
      <alignment horizontal="center" vertical="center"/>
    </xf>
    <xf numFmtId="0" fontId="46" fillId="0" borderId="8" applyAlignment="1" pivotButton="0" quotePrefix="0" xfId="0">
      <alignment horizontal="left" vertical="center" wrapText="1" indent="3"/>
    </xf>
    <xf numFmtId="0" fontId="46" fillId="0" borderId="11" applyAlignment="1" pivotButton="0" quotePrefix="0" xfId="0">
      <alignment horizontal="center" vertical="center"/>
    </xf>
    <xf numFmtId="0" fontId="37" fillId="5" borderId="11" applyAlignment="1" pivotButton="0" quotePrefix="0" xfId="0">
      <alignment horizontal="center" vertical="center" wrapText="1"/>
    </xf>
    <xf numFmtId="0" fontId="0" fillId="9" borderId="0" pivotButton="0" quotePrefix="0" xfId="0"/>
    <xf numFmtId="49" fontId="47" fillId="9" borderId="0" applyAlignment="1" pivotButton="0" quotePrefix="0" xfId="102">
      <alignment horizontal="left" vertical="center"/>
    </xf>
    <xf numFmtId="0" fontId="27" fillId="9" borderId="0" applyAlignment="1" pivotButton="0" quotePrefix="0" xfId="102">
      <alignment horizontal="left" vertical="center"/>
    </xf>
    <xf numFmtId="0" fontId="46" fillId="9" borderId="22" applyAlignment="1" pivotButton="0" quotePrefix="0" xfId="0">
      <alignment horizontal="center"/>
    </xf>
    <xf numFmtId="0" fontId="89" fillId="9" borderId="22" applyAlignment="1" pivotButton="0" quotePrefix="0" xfId="0">
      <alignment horizontal="center" vertical="center" wrapText="1"/>
    </xf>
    <xf numFmtId="0" fontId="25" fillId="9" borderId="0" applyAlignment="1" pivotButton="0" quotePrefix="0" xfId="102">
      <alignment horizontal="center" vertical="center"/>
    </xf>
    <xf numFmtId="164" fontId="62" fillId="0" borderId="0" applyAlignment="1" pivotButton="0" quotePrefix="0" xfId="0">
      <alignment horizontal="right" vertical="center" wrapText="1"/>
    </xf>
    <xf numFmtId="0" fontId="47" fillId="0" borderId="24" applyAlignment="1" pivotButton="0" quotePrefix="0" xfId="103">
      <alignment horizontal="center" vertical="center"/>
    </xf>
    <xf numFmtId="0" fontId="105" fillId="0" borderId="24" pivotButton="0" quotePrefix="0" xfId="103"/>
    <xf numFmtId="0" fontId="97" fillId="0" borderId="24" applyAlignment="1" pivotButton="0" quotePrefix="0" xfId="103">
      <alignment horizontal="center" vertical="center" wrapText="1"/>
    </xf>
    <xf numFmtId="4" fontId="47" fillId="0" borderId="24" applyAlignment="1" pivotButton="0" quotePrefix="0" xfId="103">
      <alignment horizontal="right"/>
    </xf>
    <xf numFmtId="165" fontId="24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left" vertical="center"/>
    </xf>
    <xf numFmtId="165" fontId="34" fillId="0" borderId="0" applyAlignment="1" pivotButton="0" quotePrefix="0" xfId="0">
      <alignment horizontal="center" vertical="center"/>
    </xf>
    <xf numFmtId="4" fontId="92" fillId="0" borderId="24" applyAlignment="1" pivotButton="0" quotePrefix="0" xfId="103">
      <alignment horizontal="right"/>
    </xf>
    <xf numFmtId="9" fontId="92" fillId="0" borderId="24" applyAlignment="1" pivotButton="0" quotePrefix="0" xfId="103">
      <alignment horizontal="right"/>
    </xf>
    <xf numFmtId="165" fontId="21" fillId="0" borderId="0" applyAlignment="1" pivotButton="0" quotePrefix="0" xfId="0">
      <alignment horizontal="right" vertical="center"/>
    </xf>
    <xf numFmtId="165" fontId="18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left" vertical="center" indent="2"/>
    </xf>
    <xf numFmtId="165" fontId="44" fillId="0" borderId="0" applyAlignment="1" pivotButton="0" quotePrefix="0" xfId="0">
      <alignment horizontal="right" vertical="center"/>
    </xf>
    <xf numFmtId="165" fontId="50" fillId="0" borderId="0" applyAlignment="1" pivotButton="0" quotePrefix="0" xfId="0">
      <alignment horizontal="center" vertical="center"/>
    </xf>
    <xf numFmtId="165" fontId="21" fillId="6" borderId="0" applyAlignment="1" pivotButton="0" quotePrefix="0" xfId="0">
      <alignment horizontal="right" vertical="center"/>
    </xf>
    <xf numFmtId="165" fontId="34" fillId="6" borderId="0" applyAlignment="1" pivotButton="0" quotePrefix="0" xfId="0">
      <alignment horizontal="center" vertical="center"/>
    </xf>
    <xf numFmtId="165" fontId="18" fillId="6" borderId="0" applyAlignment="1" pivotButton="0" quotePrefix="0" xfId="0">
      <alignment horizontal="right" vertical="center"/>
    </xf>
    <xf numFmtId="165" fontId="33" fillId="6" borderId="0" applyAlignment="1" pivotButton="0" quotePrefix="0" xfId="0">
      <alignment horizontal="center" vertical="center"/>
    </xf>
    <xf numFmtId="165" fontId="44" fillId="6" borderId="0" applyAlignment="1" pivotButton="0" quotePrefix="0" xfId="0">
      <alignment horizontal="right" vertical="center"/>
    </xf>
    <xf numFmtId="165" fontId="50" fillId="6" borderId="0" applyAlignment="1" pivotButton="0" quotePrefix="0" xfId="0">
      <alignment horizontal="center" vertical="center"/>
    </xf>
    <xf numFmtId="165" fontId="33" fillId="0" borderId="0" applyAlignment="1" pivotButton="0" quotePrefix="0" xfId="0">
      <alignment horizontal="right" vertical="center"/>
    </xf>
    <xf numFmtId="165" fontId="50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vertical="center"/>
    </xf>
    <xf numFmtId="165" fontId="21" fillId="0" borderId="0" applyAlignment="1" pivotButton="0" quotePrefix="0" xfId="0">
      <alignment vertical="center" wrapText="1"/>
    </xf>
    <xf numFmtId="165" fontId="21" fillId="10" borderId="0" applyAlignment="1" pivotButton="0" quotePrefix="0" xfId="0">
      <alignment horizontal="right" vertical="center"/>
    </xf>
    <xf numFmtId="165" fontId="18" fillId="10" borderId="0" applyAlignment="1" pivotButton="0" quotePrefix="0" xfId="0">
      <alignment horizontal="right" vertical="center"/>
    </xf>
    <xf numFmtId="165" fontId="44" fillId="10" borderId="0" applyAlignment="1" pivotButton="0" quotePrefix="0" xfId="0">
      <alignment horizontal="right" vertical="center"/>
    </xf>
    <xf numFmtId="165" fontId="30" fillId="0" borderId="0" applyAlignment="1" pivotButton="0" quotePrefix="0" xfId="0">
      <alignment horizontal="right" vertical="center"/>
    </xf>
    <xf numFmtId="165" fontId="34" fillId="0" borderId="0" applyAlignment="1" pivotButton="0" quotePrefix="0" xfId="0">
      <alignment horizontal="right" vertical="center"/>
    </xf>
    <xf numFmtId="165" fontId="34" fillId="8" borderId="0" applyAlignment="1" pivotButton="0" quotePrefix="0" xfId="0">
      <alignment vertical="center" wrapText="1"/>
    </xf>
    <xf numFmtId="165" fontId="34" fillId="0" borderId="0" applyAlignment="1" pivotButton="0" quotePrefix="0" xfId="0">
      <alignment horizontal="left" vertical="center" indent="2"/>
    </xf>
    <xf numFmtId="165" fontId="39" fillId="0" borderId="0" applyAlignment="1" pivotButton="0" quotePrefix="0" xfId="0">
      <alignment vertical="center"/>
    </xf>
    <xf numFmtId="165" fontId="21" fillId="10" borderId="0" applyAlignment="1" pivotButton="0" quotePrefix="0" xfId="0">
      <alignment horizontal="left" vertical="center" indent="2"/>
    </xf>
    <xf numFmtId="165" fontId="21" fillId="0" borderId="0" applyAlignment="1" pivotButton="0" quotePrefix="0" xfId="0">
      <alignment horizontal="center" vertical="center"/>
    </xf>
    <xf numFmtId="166" fontId="25" fillId="0" borderId="0" applyAlignment="1" pivotButton="0" quotePrefix="0" xfId="102">
      <alignment horizontal="center" vertical="center" wrapText="1"/>
    </xf>
    <xf numFmtId="165" fontId="31" fillId="0" borderId="0" applyAlignment="1" pivotButton="0" quotePrefix="0" xfId="102">
      <alignment horizontal="left" vertical="center" indent="4"/>
    </xf>
    <xf numFmtId="165" fontId="31" fillId="0" borderId="0" applyAlignment="1" pivotButton="0" quotePrefix="0" xfId="102">
      <alignment horizontal="left" vertical="center" wrapText="1" indent="4"/>
    </xf>
    <xf numFmtId="165" fontId="31" fillId="0" borderId="0" applyAlignment="1" pivotButton="0" quotePrefix="0" xfId="102">
      <alignment horizontal="left" vertical="center" indent="6"/>
    </xf>
    <xf numFmtId="165" fontId="25" fillId="0" borderId="0" applyAlignment="1" pivotButton="0" quotePrefix="0" xfId="0">
      <alignment horizontal="center" vertical="center"/>
    </xf>
    <xf numFmtId="167" fontId="49" fillId="0" borderId="0" applyAlignment="1" pivotButton="0" quotePrefix="0" xfId="0">
      <alignment horizontal="right" vertical="center"/>
    </xf>
    <xf numFmtId="164" fontId="47" fillId="0" borderId="0" pivotButton="0" quotePrefix="0" xfId="0"/>
    <xf numFmtId="165" fontId="27" fillId="0" borderId="8" applyAlignment="1" pivotButton="0" quotePrefix="0" xfId="0">
      <alignment horizontal="center" vertical="center"/>
    </xf>
    <xf numFmtId="165" fontId="25" fillId="0" borderId="8" applyAlignment="1" pivotButton="0" quotePrefix="0" xfId="0">
      <alignment horizontal="center" vertical="center"/>
    </xf>
    <xf numFmtId="164" fontId="62" fillId="0" borderId="24" applyAlignment="1" pivotButton="0" quotePrefix="0" xfId="103">
      <alignment horizontal="right" vertical="center" wrapText="1"/>
    </xf>
    <xf numFmtId="165" fontId="18" fillId="0" borderId="0" applyAlignment="1" pivotButton="0" quotePrefix="0" xfId="0">
      <alignment horizontal="center"/>
    </xf>
    <xf numFmtId="165" fontId="44" fillId="0" borderId="0" applyAlignment="1" pivotButton="0" quotePrefix="0" xfId="0">
      <alignment horizontal="center"/>
    </xf>
    <xf numFmtId="165" fontId="25" fillId="0" borderId="0" applyAlignment="1" pivotButton="0" quotePrefix="0" xfId="0">
      <alignment horizontal="center"/>
    </xf>
    <xf numFmtId="165" fontId="39" fillId="0" borderId="0" applyAlignment="1" pivotButton="0" quotePrefix="0" xfId="0">
      <alignment horizontal="center"/>
    </xf>
    <xf numFmtId="165" fontId="27" fillId="0" borderId="0" applyAlignment="1" pivotButton="0" quotePrefix="0" xfId="0">
      <alignment horizontal="center"/>
    </xf>
    <xf numFmtId="165" fontId="70" fillId="0" borderId="0" applyAlignment="1" pivotButton="0" quotePrefix="0" xfId="0">
      <alignment horizontal="right"/>
    </xf>
    <xf numFmtId="165" fontId="25" fillId="0" borderId="8" applyAlignment="1" pivotButton="0" quotePrefix="0" xfId="0">
      <alignment horizontal="center"/>
    </xf>
    <xf numFmtId="165" fontId="25" fillId="0" borderId="11" applyAlignment="1" pivotButton="0" quotePrefix="0" xfId="0">
      <alignment horizontal="center"/>
    </xf>
    <xf numFmtId="167" fontId="48" fillId="0" borderId="0" applyAlignment="1" pivotButton="0" quotePrefix="0" xfId="0">
      <alignment horizontal="center" vertical="center"/>
    </xf>
    <xf numFmtId="167" fontId="46" fillId="0" borderId="0" applyAlignment="1" pivotButton="0" quotePrefix="0" xfId="0">
      <alignment horizontal="center" vertical="center"/>
    </xf>
    <xf numFmtId="165" fontId="27" fillId="0" borderId="12" applyAlignment="1" pivotButton="0" quotePrefix="0" xfId="0">
      <alignment horizontal="center" vertical="center"/>
    </xf>
    <xf numFmtId="165" fontId="61" fillId="0" borderId="8" applyAlignment="1" pivotButton="0" quotePrefix="0" xfId="0">
      <alignment horizontal="center" vertical="center"/>
    </xf>
    <xf numFmtId="165" fontId="25" fillId="0" borderId="9" applyAlignment="1" pivotButton="0" quotePrefix="0" xfId="0">
      <alignment horizontal="center" vertical="center"/>
    </xf>
    <xf numFmtId="165" fontId="27" fillId="0" borderId="9" applyAlignment="1" pivotButton="0" quotePrefix="0" xfId="0">
      <alignment horizontal="center" vertical="center"/>
    </xf>
    <xf numFmtId="165" fontId="27" fillId="0" borderId="10" applyAlignment="1" pivotButton="0" quotePrefix="0" xfId="0">
      <alignment horizontal="center"/>
    </xf>
    <xf numFmtId="165" fontId="25" fillId="0" borderId="1" applyAlignment="1" pivotButton="0" quotePrefix="0" xfId="0">
      <alignment horizontal="center" vertical="center"/>
    </xf>
    <xf numFmtId="165" fontId="61" fillId="0" borderId="1" applyAlignment="1" pivotButton="0" quotePrefix="0" xfId="0">
      <alignment horizontal="center" vertical="center"/>
    </xf>
    <xf numFmtId="165" fontId="27" fillId="0" borderId="1" applyAlignment="1" pivotButton="0" quotePrefix="0" xfId="0">
      <alignment horizontal="center" vertical="center"/>
    </xf>
    <xf numFmtId="167" fontId="99" fillId="0" borderId="0" applyAlignment="1" pivotButton="0" quotePrefix="0" xfId="0">
      <alignment vertical="center"/>
    </xf>
    <xf numFmtId="165" fontId="31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6" pivotButton="0" quotePrefix="0" xfId="0"/>
    <xf numFmtId="49" fontId="34" fillId="0" borderId="0" applyAlignment="1" pivotButton="0" quotePrefix="0" xfId="0">
      <alignment horizontal="left" vertical="center"/>
    </xf>
    <xf numFmtId="0" fontId="62" fillId="0" borderId="24" applyAlignment="1" pivotButton="0" quotePrefix="0" xfId="103">
      <alignment horizontal="center" vertical="center" wrapText="1"/>
    </xf>
    <xf numFmtId="0" fontId="0" fillId="0" borderId="25" pivotButton="0" quotePrefix="0" xfId="0"/>
    <xf numFmtId="0" fontId="93" fillId="0" borderId="24" applyAlignment="1" pivotButton="0" quotePrefix="0" xfId="103">
      <alignment horizontal="center" vertical="center" wrapText="1"/>
    </xf>
    <xf numFmtId="0" fontId="0" fillId="0" borderId="4" pivotButton="0" quotePrefix="0" xfId="0"/>
    <xf numFmtId="0" fontId="47" fillId="0" borderId="23" applyAlignment="1" pivotButton="0" quotePrefix="0" xfId="0">
      <alignment horizontal="center" vertical="center" wrapText="1"/>
    </xf>
    <xf numFmtId="0" fontId="0" fillId="0" borderId="17" pivotButton="0" quotePrefix="0" xfId="0"/>
    <xf numFmtId="0" fontId="3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left" vertical="center" wrapText="1"/>
    </xf>
    <xf numFmtId="0" fontId="34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1" fillId="0" borderId="18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5" pivotButton="0" quotePrefix="0" xfId="0"/>
    <xf numFmtId="0" fontId="0" fillId="0" borderId="7" pivotButton="0" quotePrefix="0" xfId="0"/>
    <xf numFmtId="0" fontId="34" fillId="0" borderId="18" applyAlignment="1" pivotButton="0" quotePrefix="0" xfId="0">
      <alignment horizontal="center" vertical="center" wrapText="1"/>
    </xf>
    <xf numFmtId="0" fontId="0" fillId="0" borderId="8" pivotButton="0" quotePrefix="0" xfId="0"/>
    <xf numFmtId="0" fontId="21" fillId="0" borderId="0" applyAlignment="1" pivotButton="0" quotePrefix="0" xfId="0">
      <alignment horizontal="left" vertical="center" wrapText="1"/>
    </xf>
    <xf numFmtId="49" fontId="9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7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50" fillId="0" borderId="0" applyAlignment="1" pivotButton="0" quotePrefix="0" xfId="0">
      <alignment horizontal="left" vertical="center" wrapText="1"/>
    </xf>
    <xf numFmtId="0" fontId="25" fillId="0" borderId="0" applyAlignment="1" pivotButton="0" quotePrefix="0" xfId="102">
      <alignment horizontal="left" vertical="center" wrapText="1" indent="2"/>
    </xf>
    <xf numFmtId="0" fontId="27" fillId="0" borderId="0" applyAlignment="1" pivotButton="0" quotePrefix="0" xfId="102">
      <alignment horizontal="left" vertical="center" wrapText="1"/>
    </xf>
    <xf numFmtId="0" fontId="25" fillId="0" borderId="0" applyAlignment="1" pivotButton="0" quotePrefix="0" xfId="102">
      <alignment horizontal="left" vertical="center" indent="6"/>
    </xf>
    <xf numFmtId="0" fontId="36" fillId="0" borderId="0" applyAlignment="1" pivotButton="0" quotePrefix="0" xfId="0">
      <alignment horizontal="left" vertical="center" wrapText="1" indent="2"/>
    </xf>
    <xf numFmtId="49" fontId="47" fillId="0" borderId="0" applyAlignment="1" pivotButton="0" quotePrefix="0" xfId="102">
      <alignment horizontal="left" vertical="center"/>
    </xf>
    <xf numFmtId="0" fontId="47" fillId="0" borderId="0" applyAlignment="1" pivotButton="0" quotePrefix="0" xfId="0">
      <alignment horizontal="left" vertical="center" wrapText="1" indent="1"/>
    </xf>
    <xf numFmtId="0" fontId="27" fillId="0" borderId="23" applyAlignment="1" pivotButton="0" quotePrefix="0" xfId="102">
      <alignment horizontal="center" vertical="center" wrapText="1"/>
    </xf>
    <xf numFmtId="49" fontId="47" fillId="0" borderId="22" applyAlignment="1" pivotButton="0" quotePrefix="0" xfId="102">
      <alignment horizontal="center" vertical="center"/>
    </xf>
    <xf numFmtId="0" fontId="27" fillId="0" borderId="0" applyAlignment="1" pivotButton="0" quotePrefix="0" xfId="102">
      <alignment horizontal="left" vertical="center" wrapText="1" indent="1"/>
    </xf>
    <xf numFmtId="49" fontId="27" fillId="0" borderId="0" applyAlignment="1" pivotButton="0" quotePrefix="0" xfId="102">
      <alignment horizontal="center" vertical="center"/>
    </xf>
    <xf numFmtId="0" fontId="27" fillId="0" borderId="0" applyAlignment="1" pivotButton="0" quotePrefix="0" xfId="102">
      <alignment horizontal="left" vertical="center"/>
    </xf>
    <xf numFmtId="0" fontId="27" fillId="0" borderId="23" applyAlignment="1" pivotButton="0" quotePrefix="0" xfId="102">
      <alignment horizontal="center" vertical="center"/>
    </xf>
    <xf numFmtId="0" fontId="46" fillId="0" borderId="0" applyAlignment="1" pivotButton="0" quotePrefix="0" xfId="0">
      <alignment horizontal="left" vertical="center" wrapText="1" indent="2"/>
    </xf>
    <xf numFmtId="0" fontId="25" fillId="0" borderId="8" applyAlignment="1" pivotButton="0" quotePrefix="0" xfId="0">
      <alignment horizontal="left" vertical="center" wrapText="1" indent="2"/>
    </xf>
    <xf numFmtId="0" fontId="47" fillId="0" borderId="8" applyAlignment="1" pivotButton="0" quotePrefix="0" xfId="0">
      <alignment horizontal="left" vertical="center" wrapText="1" indent="1"/>
    </xf>
    <xf numFmtId="0" fontId="27" fillId="0" borderId="8" applyAlignment="1" pivotButton="0" quotePrefix="0" xfId="0">
      <alignment horizontal="left" vertical="center" wrapText="1" indent="1"/>
    </xf>
    <xf numFmtId="0" fontId="46" fillId="0" borderId="18" applyAlignment="1" pivotButton="0" quotePrefix="0" xfId="0">
      <alignment horizontal="center" vertical="center"/>
    </xf>
    <xf numFmtId="0" fontId="90" fillId="0" borderId="8" applyAlignment="1" pivotButton="0" quotePrefix="0" xfId="0">
      <alignment horizontal="left" vertical="center" wrapText="1" indent="3"/>
    </xf>
    <xf numFmtId="0" fontId="37" fillId="0" borderId="0" applyAlignment="1" pivotButton="0" quotePrefix="0" xfId="0">
      <alignment horizontal="center" vertical="center" wrapText="1"/>
    </xf>
    <xf numFmtId="0" fontId="31" fillId="0" borderId="0" pivotButton="0" quotePrefix="0" xfId="0"/>
    <xf numFmtId="0" fontId="98" fillId="0" borderId="0" applyAlignment="1" pivotButton="0" quotePrefix="0" xfId="0">
      <alignment horizontal="center" vertical="center"/>
    </xf>
    <xf numFmtId="0" fontId="46" fillId="0" borderId="0" pivotButton="0" quotePrefix="0" xfId="0"/>
    <xf numFmtId="0" fontId="46" fillId="0" borderId="0" applyAlignment="1" pivotButton="0" quotePrefix="0" xfId="0">
      <alignment horizontal="center"/>
    </xf>
    <xf numFmtId="49" fontId="27" fillId="0" borderId="8" applyAlignment="1" pivotButton="0" quotePrefix="0" xfId="0">
      <alignment horizontal="center" vertical="center"/>
    </xf>
    <xf numFmtId="0" fontId="25" fillId="0" borderId="18" applyAlignment="1" pivotButton="0" quotePrefix="0" xfId="0">
      <alignment horizontal="center" vertical="center" wrapText="1"/>
    </xf>
    <xf numFmtId="49" fontId="25" fillId="0" borderId="8" applyAlignment="1" pivotButton="0" quotePrefix="0" xfId="0">
      <alignment horizontal="center" vertical="center"/>
    </xf>
    <xf numFmtId="49" fontId="46" fillId="0" borderId="8" applyAlignment="1" pivotButton="0" quotePrefix="0" xfId="0">
      <alignment horizontal="center" vertical="center"/>
    </xf>
    <xf numFmtId="0" fontId="46" fillId="0" borderId="8" applyAlignment="1" pivotButton="0" quotePrefix="0" xfId="0">
      <alignment horizontal="left" vertical="center" wrapText="1" indent="4"/>
    </xf>
    <xf numFmtId="0" fontId="18" fillId="0" borderId="11" applyAlignment="1" pivotButton="0" quotePrefix="0" xfId="0">
      <alignment horizontal="center" vertical="center"/>
    </xf>
    <xf numFmtId="0" fontId="18" fillId="0" borderId="8" applyAlignment="1" pivotButton="0" quotePrefix="1" xfId="0">
      <alignment horizontal="left" vertical="center" wrapText="1" indent="2"/>
    </xf>
    <xf numFmtId="0" fontId="44" fillId="0" borderId="0" applyAlignment="1" pivotButton="0" quotePrefix="0" xfId="0">
      <alignment horizontal="center" vertical="center"/>
    </xf>
    <xf numFmtId="0" fontId="67" fillId="0" borderId="0" pivotButton="0" quotePrefix="0" xfId="0"/>
    <xf numFmtId="0" fontId="21" fillId="0" borderId="8" applyAlignment="1" pivotButton="0" quotePrefix="0" xfId="0">
      <alignment horizontal="left" vertical="center" wrapText="1" indent="1"/>
    </xf>
    <xf numFmtId="0" fontId="44" fillId="0" borderId="8" applyAlignment="1" pivotButton="0" quotePrefix="1" xfId="0">
      <alignment horizontal="left" vertical="center" wrapText="1" indent="2"/>
    </xf>
    <xf numFmtId="0" fontId="21" fillId="0" borderId="11" applyAlignment="1" pivotButton="0" quotePrefix="0" xfId="0">
      <alignment horizontal="center" vertical="center"/>
    </xf>
    <xf numFmtId="0" fontId="44" fillId="0" borderId="8" applyAlignment="1" pivotButton="0" quotePrefix="1" xfId="0">
      <alignment horizontal="left" vertical="center" wrapText="1" indent="3"/>
    </xf>
    <xf numFmtId="0" fontId="44" fillId="0" borderId="8" applyAlignment="1" pivotButton="0" quotePrefix="0" xfId="0">
      <alignment horizontal="left" vertical="center" wrapText="1" indent="2"/>
    </xf>
    <xf numFmtId="0" fontId="21" fillId="0" borderId="8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/>
    </xf>
    <xf numFmtId="0" fontId="18" fillId="0" borderId="8" applyAlignment="1" pivotButton="0" quotePrefix="1" xfId="0">
      <alignment horizontal="left" vertical="center" wrapText="1" indent="4"/>
    </xf>
    <xf numFmtId="0" fontId="21" fillId="0" borderId="8" applyAlignment="1" pivotButton="0" quotePrefix="1" xfId="0">
      <alignment horizontal="left" vertical="center" wrapText="1" indent="1"/>
    </xf>
    <xf numFmtId="0" fontId="39" fillId="0" borderId="8" applyAlignment="1" pivotButton="0" quotePrefix="0" xfId="0">
      <alignment horizontal="left" vertical="center" wrapText="1" indent="1"/>
    </xf>
    <xf numFmtId="0" fontId="21" fillId="0" borderId="11" applyAlignment="1" pivotButton="0" quotePrefix="1" xfId="0">
      <alignment horizontal="center" vertical="center" wrapText="1"/>
    </xf>
    <xf numFmtId="0" fontId="39" fillId="0" borderId="8" applyAlignment="1" pivotButton="0" quotePrefix="1" xfId="0">
      <alignment horizontal="left" vertical="center" wrapText="1" indent="1"/>
    </xf>
    <xf numFmtId="0" fontId="18" fillId="0" borderId="11" applyAlignment="1" pivotButton="0" quotePrefix="1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39" fillId="0" borderId="8" applyAlignment="1" pivotButton="0" quotePrefix="0" xfId="0">
      <alignment horizontal="left" vertical="center" indent="2"/>
    </xf>
    <xf numFmtId="0" fontId="44" fillId="0" borderId="8" applyAlignment="1" pivotButton="0" quotePrefix="1" xfId="0">
      <alignment horizontal="left" vertical="center" wrapText="1" indent="8"/>
    </xf>
    <xf numFmtId="0" fontId="16" fillId="0" borderId="18" applyAlignment="1" pivotButton="0" quotePrefix="0" xfId="0">
      <alignment horizontal="center" vertical="center" wrapText="1"/>
    </xf>
    <xf numFmtId="0" fontId="21" fillId="0" borderId="8" applyAlignment="1" pivotButton="0" quotePrefix="1" xfId="0">
      <alignment horizontal="left" vertical="center" wrapText="1" indent="2"/>
    </xf>
    <xf numFmtId="0" fontId="3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8" fillId="0" borderId="8" applyAlignment="1" pivotButton="0" quotePrefix="0" xfId="0">
      <alignment horizontal="left" vertical="center" wrapText="1" indent="2"/>
    </xf>
    <xf numFmtId="0" fontId="44" fillId="0" borderId="8" applyAlignment="1" pivotButton="0" quotePrefix="1" xfId="0">
      <alignment horizontal="left" vertical="center" wrapText="1" indent="7"/>
    </xf>
    <xf numFmtId="0" fontId="44" fillId="0" borderId="0" applyAlignment="1" pivotButton="0" quotePrefix="0" xfId="0">
      <alignment horizontal="center" vertical="center" wrapText="1"/>
    </xf>
    <xf numFmtId="0" fontId="18" fillId="0" borderId="8" applyAlignment="1" pivotButton="0" quotePrefix="0" xfId="0">
      <alignment horizontal="left" vertical="center" wrapText="1" indent="6"/>
    </xf>
    <xf numFmtId="0" fontId="31" fillId="0" borderId="8" applyAlignment="1" pivotButton="0" quotePrefix="0" xfId="0">
      <alignment horizontal="left" vertical="center" wrapText="1" indent="2"/>
    </xf>
    <xf numFmtId="0" fontId="59" fillId="0" borderId="0" applyAlignment="1" pivotButton="0" quotePrefix="0" xfId="0">
      <alignment horizontal="left" wrapText="1"/>
    </xf>
    <xf numFmtId="0" fontId="25" fillId="0" borderId="0" pivotButton="0" quotePrefix="0" xfId="0"/>
    <xf numFmtId="0" fontId="31" fillId="0" borderId="8" applyAlignment="1" pivotButton="0" quotePrefix="0" xfId="0">
      <alignment horizontal="left" vertical="center" indent="2"/>
    </xf>
    <xf numFmtId="49" fontId="47" fillId="0" borderId="8" applyAlignment="1" pivotButton="0" quotePrefix="0" xfId="0">
      <alignment horizontal="center" vertical="center"/>
    </xf>
    <xf numFmtId="167" fontId="98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46" fillId="0" borderId="18" applyAlignment="1" pivotButton="0" quotePrefix="0" xfId="0">
      <alignment horizontal="center" vertical="center" wrapText="1"/>
    </xf>
    <xf numFmtId="49" fontId="46" fillId="0" borderId="8" applyAlignment="1" pivotButton="0" quotePrefix="0" xfId="0">
      <alignment horizontal="center" vertical="center" wrapText="1"/>
    </xf>
    <xf numFmtId="0" fontId="36" fillId="0" borderId="0" pivotButton="0" quotePrefix="0" xfId="0"/>
    <xf numFmtId="0" fontId="46" fillId="0" borderId="8" applyAlignment="1" pivotButton="0" quotePrefix="0" xfId="0">
      <alignment horizontal="left" vertical="center" wrapText="1" indent="1"/>
    </xf>
    <xf numFmtId="0" fontId="36" fillId="0" borderId="11" applyAlignment="1" pivotButton="0" quotePrefix="0" xfId="0">
      <alignment horizontal="left" vertical="center" wrapText="1" indent="2"/>
    </xf>
    <xf numFmtId="0" fontId="47" fillId="0" borderId="11" applyAlignment="1" pivotButton="0" quotePrefix="0" xfId="0">
      <alignment horizontal="left" vertical="center" wrapText="1" indent="1"/>
    </xf>
    <xf numFmtId="0" fontId="62" fillId="0" borderId="11" applyAlignment="1" pivotButton="0" quotePrefix="0" xfId="0">
      <alignment horizontal="left" vertical="center" wrapText="1" indent="2"/>
    </xf>
    <xf numFmtId="0" fontId="36" fillId="0" borderId="8" applyAlignment="1" pivotButton="0" quotePrefix="0" xfId="0">
      <alignment horizontal="left" vertical="center" wrapText="1" indent="2"/>
    </xf>
    <xf numFmtId="0" fontId="46" fillId="0" borderId="8" applyAlignment="1" pivotButton="0" quotePrefix="0" xfId="0">
      <alignment horizontal="left" vertical="center" wrapText="1" indent="2"/>
    </xf>
    <xf numFmtId="0" fontId="99" fillId="0" borderId="0" applyAlignment="1" pivotButton="0" quotePrefix="0" xfId="0">
      <alignment horizontal="center" vertical="center"/>
    </xf>
    <xf numFmtId="0" fontId="90" fillId="0" borderId="17" applyAlignment="1" pivotButton="0" quotePrefix="0" xfId="0">
      <alignment horizontal="center" vertical="center"/>
    </xf>
    <xf numFmtId="0" fontId="90" fillId="0" borderId="8" applyAlignment="1" pivotButton="0" quotePrefix="0" xfId="0">
      <alignment horizontal="center" vertical="center"/>
    </xf>
    <xf numFmtId="0" fontId="99" fillId="0" borderId="0" applyAlignment="1" pivotButton="0" quotePrefix="0" xfId="0">
      <alignment horizontal="center"/>
    </xf>
    <xf numFmtId="0" fontId="31" fillId="0" borderId="0" applyAlignment="1" pivotButton="0" quotePrefix="0" xfId="0">
      <alignment horizontal="center"/>
    </xf>
    <xf numFmtId="0" fontId="25" fillId="0" borderId="12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wrapText="1" indent="2"/>
    </xf>
    <xf numFmtId="0" fontId="27" fillId="0" borderId="0" applyAlignment="1" pivotButton="0" quotePrefix="0" xfId="0">
      <alignment horizontal="left" vertical="center" wrapText="1" indent="1"/>
    </xf>
    <xf numFmtId="0" fontId="46" fillId="0" borderId="0" applyAlignment="1" pivotButton="0" quotePrefix="1" xfId="0">
      <alignment horizontal="left" vertical="center" wrapText="1"/>
    </xf>
    <xf numFmtId="0" fontId="25" fillId="0" borderId="18" applyAlignment="1" pivotButton="0" quotePrefix="0" xfId="0">
      <alignment horizontal="center" vertical="center"/>
    </xf>
    <xf numFmtId="0" fontId="103" fillId="0" borderId="0" applyAlignment="1" pivotButton="0" quotePrefix="0" xfId="0">
      <alignment horizontal="center" vertical="center"/>
    </xf>
    <xf numFmtId="49" fontId="47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left" vertical="center" wrapText="1" indent="2"/>
    </xf>
    <xf numFmtId="0" fontId="47" fillId="0" borderId="8" applyAlignment="1" pivotButton="0" quotePrefix="0" xfId="0">
      <alignment horizontal="left" vertical="center" wrapText="1"/>
    </xf>
    <xf numFmtId="0" fontId="104" fillId="0" borderId="0" applyAlignment="1" pivotButton="0" quotePrefix="0" xfId="0">
      <alignment horizontal="center" vertical="center"/>
    </xf>
    <xf numFmtId="0" fontId="46" fillId="0" borderId="12" applyAlignment="1" pivotButton="0" quotePrefix="0" xfId="0">
      <alignment horizontal="center" vertical="center"/>
    </xf>
    <xf numFmtId="0" fontId="61" fillId="0" borderId="8" applyAlignment="1" pivotButton="0" quotePrefix="0" xfId="0">
      <alignment horizontal="left" vertical="center" wrapText="1" indent="1"/>
    </xf>
    <xf numFmtId="0" fontId="46" fillId="0" borderId="12" applyAlignment="1" pivotButton="0" quotePrefix="0" xfId="0">
      <alignment horizontal="center" vertical="center" wrapText="1"/>
    </xf>
    <xf numFmtId="0" fontId="98" fillId="0" borderId="0" applyAlignment="1" pivotButton="0" quotePrefix="0" xfId="0">
      <alignment horizontal="center"/>
    </xf>
    <xf numFmtId="0" fontId="36" fillId="0" borderId="8" applyAlignment="1" pivotButton="0" quotePrefix="0" xfId="0">
      <alignment horizontal="left" vertical="center" wrapText="1" indent="3"/>
    </xf>
    <xf numFmtId="0" fontId="46" fillId="0" borderId="8" applyAlignment="1" pivotButton="0" quotePrefix="0" xfId="0">
      <alignment horizontal="center" vertical="center" wrapText="1"/>
    </xf>
    <xf numFmtId="0" fontId="47" fillId="0" borderId="8" applyAlignment="1" pivotButton="0" quotePrefix="0" xfId="0">
      <alignment horizontal="left" vertical="center" wrapText="1" indent="2"/>
    </xf>
    <xf numFmtId="0" fontId="62" fillId="0" borderId="8" applyAlignment="1" pivotButton="0" quotePrefix="0" xfId="0">
      <alignment horizontal="left" vertical="center" wrapText="1" indent="2"/>
    </xf>
    <xf numFmtId="0" fontId="46" fillId="0" borderId="0" applyAlignment="1" pivotButton="0" quotePrefix="0" xfId="0">
      <alignment horizontal="center" vertical="center"/>
    </xf>
    <xf numFmtId="0" fontId="96" fillId="0" borderId="17" applyAlignment="1" pivotButton="0" quotePrefix="0" xfId="0">
      <alignment horizontal="left" vertical="center" wrapText="1" indent="2"/>
    </xf>
    <xf numFmtId="0" fontId="96" fillId="0" borderId="8" applyAlignment="1" pivotButton="0" quotePrefix="0" xfId="0">
      <alignment horizontal="left" vertical="center" wrapText="1" indent="2"/>
    </xf>
    <xf numFmtId="0" fontId="46" fillId="0" borderId="17" applyAlignment="1" pivotButton="0" quotePrefix="0" xfId="0">
      <alignment horizontal="left" vertical="center" wrapText="1" indent="2"/>
    </xf>
    <xf numFmtId="0" fontId="46" fillId="0" borderId="23" applyAlignment="1" pivotButton="0" quotePrefix="0" xfId="0">
      <alignment horizontal="center" vertical="center"/>
    </xf>
    <xf numFmtId="167" fontId="99" fillId="0" borderId="0" applyAlignment="1" pivotButton="0" quotePrefix="0" xfId="0">
      <alignment horizontal="center" vertical="center"/>
    </xf>
    <xf numFmtId="0" fontId="25" fillId="0" borderId="9" applyAlignment="1" pivotButton="0" quotePrefix="1" xfId="0">
      <alignment horizontal="left" vertical="center" wrapText="1" indent="2"/>
    </xf>
    <xf numFmtId="0" fontId="31" fillId="0" borderId="9" applyAlignment="1" pivotButton="0" quotePrefix="0" xfId="0">
      <alignment horizontal="left" vertical="center" wrapText="1" indent="2"/>
    </xf>
    <xf numFmtId="0" fontId="25" fillId="0" borderId="8" applyAlignment="1" pivotButton="0" quotePrefix="1" xfId="0">
      <alignment horizontal="left" vertical="center" wrapText="1" indent="4"/>
    </xf>
    <xf numFmtId="49" fontId="62" fillId="0" borderId="8" applyAlignment="1" pivotButton="0" quotePrefix="0" xfId="0">
      <alignment horizontal="center" vertical="center"/>
    </xf>
    <xf numFmtId="0" fontId="27" fillId="0" borderId="13" applyAlignment="1" pivotButton="0" quotePrefix="1" xfId="0">
      <alignment horizontal="left" vertical="center" wrapText="1" indent="1"/>
    </xf>
    <xf numFmtId="0" fontId="31" fillId="0" borderId="8" applyAlignment="1" pivotButton="0" quotePrefix="1" xfId="0">
      <alignment horizontal="left" vertical="center" wrapText="1" indent="2"/>
    </xf>
    <xf numFmtId="0" fontId="27" fillId="0" borderId="8" applyAlignment="1" pivotButton="0" quotePrefix="1" xfId="0">
      <alignment horizontal="left" vertical="center" wrapText="1" indent="2"/>
    </xf>
    <xf numFmtId="0" fontId="61" fillId="0" borderId="4" applyAlignment="1" pivotButton="0" quotePrefix="0" xfId="0">
      <alignment horizontal="center" vertical="center"/>
    </xf>
    <xf numFmtId="0" fontId="47" fillId="0" borderId="8" applyAlignment="1" pivotButton="0" quotePrefix="0" xfId="0">
      <alignment horizontal="center" vertical="center"/>
    </xf>
    <xf numFmtId="0" fontId="27" fillId="0" borderId="8" applyAlignment="1" pivotButton="0" quotePrefix="1" xfId="0">
      <alignment horizontal="left" vertical="center" wrapText="1" indent="3"/>
    </xf>
    <xf numFmtId="0" fontId="25" fillId="0" borderId="10" applyAlignment="1" pivotButton="0" quotePrefix="0" xfId="0">
      <alignment horizontal="center" vertical="center"/>
    </xf>
    <xf numFmtId="0" fontId="37" fillId="0" borderId="11" applyAlignment="1" pivotButton="0" quotePrefix="0" xfId="0">
      <alignment horizontal="center" vertical="center" wrapText="1"/>
    </xf>
    <xf numFmtId="0" fontId="27" fillId="0" borderId="8" applyAlignment="1" pivotButton="0" quotePrefix="0" xfId="0">
      <alignment horizontal="left" vertical="center" indent="3"/>
    </xf>
    <xf numFmtId="0" fontId="27" fillId="0" borderId="8" applyAlignment="1" pivotButton="0" quotePrefix="0" xfId="0">
      <alignment horizontal="left" vertical="center" wrapText="1" indent="2"/>
    </xf>
    <xf numFmtId="0" fontId="46" fillId="0" borderId="8" applyAlignment="1" pivotButton="0" quotePrefix="0" xfId="0">
      <alignment horizontal="left" vertical="center" wrapText="1" indent="5"/>
    </xf>
    <xf numFmtId="0" fontId="46" fillId="0" borderId="8" applyAlignment="1" pivotButton="0" quotePrefix="0" xfId="0">
      <alignment horizontal="left" vertical="center" wrapText="1" indent="3"/>
    </xf>
    <xf numFmtId="0" fontId="25" fillId="0" borderId="8" applyAlignment="1" pivotButton="0" quotePrefix="0" xfId="0">
      <alignment horizontal="left" vertical="center" wrapText="1" indent="7"/>
    </xf>
    <xf numFmtId="0" fontId="50" fillId="0" borderId="8" applyAlignment="1" pivotButton="0" quotePrefix="0" xfId="0">
      <alignment horizontal="left" vertical="center" wrapText="1" indent="2"/>
    </xf>
    <xf numFmtId="0" fontId="25" fillId="0" borderId="8" applyAlignment="1" pivotButton="0" quotePrefix="0" xfId="0">
      <alignment horizontal="left" vertical="center" wrapText="1" indent="5"/>
    </xf>
    <xf numFmtId="0" fontId="25" fillId="0" borderId="8" applyAlignment="1" pivotButton="0" quotePrefix="0" xfId="0">
      <alignment horizontal="left" vertical="center" wrapText="1" indent="6"/>
    </xf>
    <xf numFmtId="0" fontId="46" fillId="0" borderId="21" applyAlignment="1" pivotButton="0" quotePrefix="0" xfId="0">
      <alignment horizontal="center" vertical="center"/>
    </xf>
    <xf numFmtId="0" fontId="37" fillId="5" borderId="18" applyAlignment="1" pivotButton="0" quotePrefix="0" xfId="0">
      <alignment horizontal="center" vertical="center" wrapText="1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37" fillId="5" borderId="11" applyAlignment="1" pivotButton="0" quotePrefix="0" xfId="0">
      <alignment horizontal="center" vertical="center" wrapText="1"/>
    </xf>
    <xf numFmtId="164" fontId="62" fillId="0" borderId="0" applyAlignment="1" pivotButton="0" quotePrefix="0" xfId="0">
      <alignment horizontal="right" vertical="center" wrapText="1"/>
    </xf>
    <xf numFmtId="165" fontId="24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left" vertical="center"/>
    </xf>
    <xf numFmtId="165" fontId="34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right" vertical="center"/>
    </xf>
    <xf numFmtId="165" fontId="18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left" vertical="center" indent="2"/>
    </xf>
    <xf numFmtId="165" fontId="44" fillId="0" borderId="0" applyAlignment="1" pivotButton="0" quotePrefix="0" xfId="0">
      <alignment horizontal="right" vertical="center"/>
    </xf>
    <xf numFmtId="165" fontId="50" fillId="0" borderId="0" applyAlignment="1" pivotButton="0" quotePrefix="0" xfId="0">
      <alignment horizontal="center" vertical="center"/>
    </xf>
    <xf numFmtId="165" fontId="21" fillId="6" borderId="0" applyAlignment="1" pivotButton="0" quotePrefix="0" xfId="0">
      <alignment horizontal="right" vertical="center"/>
    </xf>
    <xf numFmtId="165" fontId="34" fillId="6" borderId="0" applyAlignment="1" pivotButton="0" quotePrefix="0" xfId="0">
      <alignment horizontal="center" vertical="center"/>
    </xf>
    <xf numFmtId="165" fontId="18" fillId="6" borderId="0" applyAlignment="1" pivotButton="0" quotePrefix="0" xfId="0">
      <alignment horizontal="right" vertical="center"/>
    </xf>
    <xf numFmtId="165" fontId="33" fillId="6" borderId="0" applyAlignment="1" pivotButton="0" quotePrefix="0" xfId="0">
      <alignment horizontal="center" vertical="center"/>
    </xf>
    <xf numFmtId="165" fontId="44" fillId="6" borderId="0" applyAlignment="1" pivotButton="0" quotePrefix="0" xfId="0">
      <alignment horizontal="right" vertical="center"/>
    </xf>
    <xf numFmtId="165" fontId="50" fillId="6" borderId="0" applyAlignment="1" pivotButton="0" quotePrefix="0" xfId="0">
      <alignment horizontal="center" vertical="center"/>
    </xf>
    <xf numFmtId="165" fontId="33" fillId="0" borderId="0" applyAlignment="1" pivotButton="0" quotePrefix="0" xfId="0">
      <alignment horizontal="right" vertical="center"/>
    </xf>
    <xf numFmtId="165" fontId="50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vertical="center"/>
    </xf>
    <xf numFmtId="165" fontId="21" fillId="0" borderId="0" applyAlignment="1" pivotButton="0" quotePrefix="0" xfId="0">
      <alignment vertical="center" wrapText="1"/>
    </xf>
    <xf numFmtId="165" fontId="21" fillId="10" borderId="0" applyAlignment="1" pivotButton="0" quotePrefix="0" xfId="0">
      <alignment horizontal="right" vertical="center"/>
    </xf>
    <xf numFmtId="165" fontId="18" fillId="10" borderId="0" applyAlignment="1" pivotButton="0" quotePrefix="0" xfId="0">
      <alignment horizontal="right" vertical="center"/>
    </xf>
    <xf numFmtId="165" fontId="44" fillId="10" borderId="0" applyAlignment="1" pivotButton="0" quotePrefix="0" xfId="0">
      <alignment horizontal="right" vertical="center"/>
    </xf>
    <xf numFmtId="165" fontId="30" fillId="0" borderId="0" applyAlignment="1" pivotButton="0" quotePrefix="0" xfId="0">
      <alignment horizontal="right" vertical="center"/>
    </xf>
    <xf numFmtId="165" fontId="34" fillId="0" borderId="0" applyAlignment="1" pivotButton="0" quotePrefix="0" xfId="0">
      <alignment horizontal="right" vertical="center"/>
    </xf>
    <xf numFmtId="165" fontId="34" fillId="8" borderId="0" applyAlignment="1" pivotButton="0" quotePrefix="0" xfId="0">
      <alignment vertical="center" wrapText="1"/>
    </xf>
    <xf numFmtId="165" fontId="34" fillId="0" borderId="0" applyAlignment="1" pivotButton="0" quotePrefix="0" xfId="0">
      <alignment horizontal="left" vertical="center" indent="2"/>
    </xf>
    <xf numFmtId="165" fontId="39" fillId="0" borderId="0" applyAlignment="1" pivotButton="0" quotePrefix="0" xfId="0">
      <alignment vertical="center"/>
    </xf>
    <xf numFmtId="165" fontId="21" fillId="10" borderId="0" applyAlignment="1" pivotButton="0" quotePrefix="0" xfId="0">
      <alignment horizontal="left" vertical="center" indent="2"/>
    </xf>
    <xf numFmtId="165" fontId="21" fillId="0" borderId="0" applyAlignment="1" pivotButton="0" quotePrefix="0" xfId="0">
      <alignment horizontal="center" vertical="center"/>
    </xf>
    <xf numFmtId="49" fontId="47" fillId="0" borderId="26" applyAlignment="1" pivotButton="0" quotePrefix="0" xfId="102">
      <alignment horizontal="center" vertical="center"/>
    </xf>
    <xf numFmtId="166" fontId="25" fillId="0" borderId="0" applyAlignment="1" pivotButton="0" quotePrefix="0" xfId="102">
      <alignment horizontal="center" vertical="center" wrapText="1"/>
    </xf>
    <xf numFmtId="165" fontId="31" fillId="0" borderId="0" applyAlignment="1" pivotButton="0" quotePrefix="0" xfId="102">
      <alignment horizontal="left" vertical="center" indent="4"/>
    </xf>
    <xf numFmtId="165" fontId="31" fillId="0" borderId="0" applyAlignment="1" pivotButton="0" quotePrefix="0" xfId="102">
      <alignment horizontal="left" vertical="center" wrapText="1" indent="4"/>
    </xf>
    <xf numFmtId="165" fontId="31" fillId="0" borderId="0" applyAlignment="1" pivotButton="0" quotePrefix="0" xfId="102">
      <alignment horizontal="left" vertical="center" indent="6"/>
    </xf>
    <xf numFmtId="165" fontId="25" fillId="0" borderId="0" applyAlignment="1" pivotButton="0" quotePrefix="0" xfId="0">
      <alignment horizontal="center" vertical="center"/>
    </xf>
    <xf numFmtId="167" fontId="49" fillId="0" borderId="0" applyAlignment="1" pivotButton="0" quotePrefix="0" xfId="0">
      <alignment horizontal="right" vertical="center"/>
    </xf>
    <xf numFmtId="164" fontId="47" fillId="0" borderId="0" pivotButton="0" quotePrefix="0" xfId="0"/>
    <xf numFmtId="165" fontId="27" fillId="0" borderId="8" applyAlignment="1" pivotButton="0" quotePrefix="0" xfId="0">
      <alignment horizontal="center" vertical="center"/>
    </xf>
    <xf numFmtId="165" fontId="25" fillId="0" borderId="8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/>
    </xf>
    <xf numFmtId="165" fontId="44" fillId="0" borderId="0" applyAlignment="1" pivotButton="0" quotePrefix="0" xfId="0">
      <alignment horizontal="center"/>
    </xf>
    <xf numFmtId="165" fontId="25" fillId="0" borderId="0" applyAlignment="1" pivotButton="0" quotePrefix="0" xfId="0">
      <alignment horizontal="center"/>
    </xf>
    <xf numFmtId="165" fontId="39" fillId="0" borderId="0" applyAlignment="1" pivotButton="0" quotePrefix="0" xfId="0">
      <alignment horizontal="center"/>
    </xf>
    <xf numFmtId="167" fontId="98" fillId="0" borderId="0" applyAlignment="1" pivotButton="0" quotePrefix="0" xfId="0">
      <alignment horizontal="center"/>
    </xf>
    <xf numFmtId="165" fontId="27" fillId="0" borderId="0" applyAlignment="1" pivotButton="0" quotePrefix="0" xfId="0">
      <alignment horizontal="center"/>
    </xf>
    <xf numFmtId="165" fontId="70" fillId="0" borderId="0" applyAlignment="1" pivotButton="0" quotePrefix="0" xfId="0">
      <alignment horizontal="right"/>
    </xf>
    <xf numFmtId="165" fontId="25" fillId="0" borderId="8" applyAlignment="1" pivotButton="0" quotePrefix="0" xfId="0">
      <alignment horizontal="center"/>
    </xf>
    <xf numFmtId="165" fontId="25" fillId="0" borderId="11" applyAlignment="1" pivotButton="0" quotePrefix="0" xfId="0">
      <alignment horizontal="center"/>
    </xf>
    <xf numFmtId="167" fontId="48" fillId="0" borderId="0" applyAlignment="1" pivotButton="0" quotePrefix="0" xfId="0">
      <alignment horizontal="center" vertical="center"/>
    </xf>
    <xf numFmtId="167" fontId="46" fillId="0" borderId="0" applyAlignment="1" pivotButton="0" quotePrefix="0" xfId="0">
      <alignment horizontal="center" vertical="center"/>
    </xf>
    <xf numFmtId="165" fontId="27" fillId="0" borderId="12" applyAlignment="1" pivotButton="0" quotePrefix="0" xfId="0">
      <alignment horizontal="center" vertical="center"/>
    </xf>
    <xf numFmtId="165" fontId="61" fillId="0" borderId="8" applyAlignment="1" pivotButton="0" quotePrefix="0" xfId="0">
      <alignment horizontal="center" vertical="center"/>
    </xf>
    <xf numFmtId="165" fontId="25" fillId="0" borderId="9" applyAlignment="1" pivotButton="0" quotePrefix="0" xfId="0">
      <alignment horizontal="center" vertical="center"/>
    </xf>
    <xf numFmtId="165" fontId="27" fillId="0" borderId="9" applyAlignment="1" pivotButton="0" quotePrefix="0" xfId="0">
      <alignment horizontal="center" vertical="center"/>
    </xf>
    <xf numFmtId="165" fontId="27" fillId="0" borderId="10" applyAlignment="1" pivotButton="0" quotePrefix="0" xfId="0">
      <alignment horizontal="center"/>
    </xf>
    <xf numFmtId="167" fontId="99" fillId="0" borderId="0" applyAlignment="1" pivotButton="0" quotePrefix="0" xfId="0">
      <alignment horizontal="center" vertical="center"/>
    </xf>
    <xf numFmtId="165" fontId="25" fillId="0" borderId="1" applyAlignment="1" pivotButton="0" quotePrefix="0" xfId="0">
      <alignment horizontal="center" vertical="center"/>
    </xf>
    <xf numFmtId="165" fontId="61" fillId="0" borderId="1" applyAlignment="1" pivotButton="0" quotePrefix="0" xfId="0">
      <alignment horizontal="center" vertical="center"/>
    </xf>
    <xf numFmtId="165" fontId="27" fillId="0" borderId="1" applyAlignment="1" pivotButton="0" quotePrefix="0" xfId="0">
      <alignment horizontal="center" vertical="center"/>
    </xf>
    <xf numFmtId="167" fontId="99" fillId="0" borderId="0" applyAlignment="1" pivotButton="0" quotePrefix="0" xfId="0">
      <alignment vertical="center"/>
    </xf>
    <xf numFmtId="165" fontId="31" fillId="0" borderId="8" applyAlignment="1" pivotButton="0" quotePrefix="0" xfId="0">
      <alignment horizontal="center" vertical="center"/>
    </xf>
  </cellXfs>
  <cellStyles count="104">
    <cellStyle name="Обычный" xfId="0" builtinId="0"/>
    <cellStyle name=" 1" xfId="1"/>
    <cellStyle name=" 10" xfId="2"/>
    <cellStyle name=" 11" xfId="3"/>
    <cellStyle name=" 12" xfId="4"/>
    <cellStyle name=" 13" xfId="5"/>
    <cellStyle name=" 14" xfId="6"/>
    <cellStyle name=" 15" xfId="7"/>
    <cellStyle name=" 2" xfId="8"/>
    <cellStyle name=" 3" xfId="9"/>
    <cellStyle name=" 4" xfId="10"/>
    <cellStyle name=" 5" xfId="11"/>
    <cellStyle name=" 6" xfId="12"/>
    <cellStyle name=" 7" xfId="13"/>
    <cellStyle name=" 8" xfId="14"/>
    <cellStyle name=" 9" xfId="15"/>
    <cellStyle name="_71-ГАЗ УЭВП на 2011 год " xfId="16"/>
    <cellStyle name="_Column1_314 form " xfId="17"/>
    <cellStyle name="_PERSONAL_71-ГАЗ УЭВП на 2011 год " xfId="18"/>
    <cellStyle name="_PERSONAL_ф МСЧ Отчет 1 КВАРТАЛ 2009г " xfId="19"/>
    <cellStyle name="_Row1_314 form " xfId="20"/>
    <cellStyle name="_Uslugi_REU_71-ГАЗ УЭВП на 2011 год " xfId="21"/>
    <cellStyle name="_Исполнение сметы_71-ГАЗ УЭВП на 2011 год " xfId="22"/>
    <cellStyle name="_Исполнение сметы_ТЭП " xfId="23"/>
    <cellStyle name="_Остатки ОАО &quot;ЛГОК&quot; " xfId="24"/>
    <cellStyle name="_Отчет о техн.эконом.показателях " xfId="25"/>
    <cellStyle name="_Отчет_Услуги_(приложение_9)(2)_71-ГАЗ УЭВП на 2011 год " xfId="26"/>
    <cellStyle name="_пл IVкв комплект МГОК 06.10.06 " xfId="27"/>
    <cellStyle name="_Приложение 7_71-ГАЗ УЭВП на 2011 год " xfId="28"/>
    <cellStyle name="_Расчеты по введенным объектам на 2011 год январь 11 г " xfId="29"/>
    <cellStyle name="_РЭУ_январь_2008_71-ГАЗ УЭВП на 2011 год " xfId="30"/>
    <cellStyle name="_с 63 Печерский р-н " xfId="31"/>
    <cellStyle name="_Сводная_план_2007_01_25_филиалы (с 91 и 92 счетами)_71-ГАЗ УЭВП на 2011 год " xfId="32"/>
    <cellStyle name="_Сводная_план_2007_01_25_филиалы (с 91 и 92 счетами)_ф МСЧ Отчет 1 КВАРТАЛ 2009г " xfId="33"/>
    <cellStyle name="_Смета_собственных_затрат (приложение 1а)(1)_71-ГАЗ УЭВП на 2011 год " xfId="34"/>
    <cellStyle name="_Смета_собственных_затрат_(приложение_1а)(2)_71-ГАЗ УЭВП на 2011 год " xfId="35"/>
    <cellStyle name="_Смета_собственных_затрат_(приложение_1а)_71-ГАЗ УЭВП на 2011 год " xfId="36"/>
    <cellStyle name="_Сравнение(факторный)_Копия Смета и программа работ ГДШ на 2009 год_SAP R3_Бюджет АХО 2010 " xfId="37"/>
    <cellStyle name="_Сравнение(факторный)_Смета и программа работ СМНГ на 2009 год_SAP R3_верс на инфописьмах_Бюджет АХО 2010 " xfId="38"/>
    <cellStyle name="_Сравнение081107_Копия Смета и программа работ ГДШ на 2009 год_SAP R3_Бюджет АХО 2010 " xfId="39"/>
    <cellStyle name="_Сравнение081107_Смета и программа работ СМНГ на 2009 год_SAP R3_верс на инфописьмах_Бюджет АХО 2010 " xfId="40"/>
    <cellStyle name="_счет 91-за 1-ое полугодие 07г._71-ГАЗ УЭВП на 2011 год " xfId="41"/>
    <cellStyle name="_УА_Forma_planirovaniya_sobstvennykh_zatrat_71-ГАЗ УЭВП на 2011 год " xfId="42"/>
    <cellStyle name="_УА_Forma_planirovaniya_sobstvennykh_zatrat_ф МСЧ Отчет 1 КВАРТАЛ 2009г " xfId="43"/>
    <cellStyle name="_УГРиЛМ_смета собств.затрат_71-ГАЗ УЭВП на 2011 год " xfId="44"/>
    <cellStyle name="_УГРиЛМ_смета собств.затрат_ф МСЧ Отчет 1 КВАРТАЛ 2009г " xfId="45"/>
    <cellStyle name="_УНИПР_смета собств.затрат_71-ГАЗ УЭВП на 2011 год " xfId="46"/>
    <cellStyle name="_УНИПР_смета собств.затрат_ф МСЧ Отчет 1 КВАРТАЛ 2009г " xfId="47"/>
    <cellStyle name="_Услуги стор организаций в 2007г " xfId="48"/>
    <cellStyle name="_Формы для плана 2007_71-ГАЗ УЭВП на 2011 год " xfId="49"/>
    <cellStyle name="_Формы для плана 2007_ф МСЧ Отчет 1 КВАРТАЛ 2009г " xfId="50"/>
    <cellStyle name="A¨­￠￢￠O [0]_¨uoAa¨oCAu " xfId="51"/>
    <cellStyle name="A¨­￠￢￠O_¨uoAa¨oCAu " xfId="52"/>
    <cellStyle name="AeE­ [0]_¼oAa½CAu " xfId="53"/>
    <cellStyle name="ÅëÈ­ [0]_INQUIRY ¿µ¾÷ÃßÁø " xfId="54"/>
    <cellStyle name="AeE­ [0]_INQUIRY ¿μ¾÷AßAø " xfId="55"/>
    <cellStyle name="AeE­_¼oAa½CAu " xfId="56"/>
    <cellStyle name="ÅëÈ­_INQUIRY ¿µ¾÷ÃßÁø " xfId="57"/>
    <cellStyle name="AeE­_INQUIRY ¿μ¾÷AßAø " xfId="58"/>
    <cellStyle name="AeE¡ⓒ [0]_¨uoAa¨oCAu " xfId="59"/>
    <cellStyle name="AeE¡ⓒ_¨uoAa¨oCAu " xfId="60"/>
    <cellStyle name="AÞ¸¶ [0]_¼oAa½CAu " xfId="61"/>
    <cellStyle name="ÄÞ¸¶ [0]_INQUIRY ¿µ¾÷ÃßÁø " xfId="62"/>
    <cellStyle name="AÞ¸¶ [0]_INQUIRY ¿μ¾÷AßAø " xfId="63"/>
    <cellStyle name="AÞ¸¶_¼oAa½CAu " xfId="64"/>
    <cellStyle name="ÄÞ¸¶_INQUIRY ¿µ¾÷ÃßÁø " xfId="65"/>
    <cellStyle name="AÞ¸¶_INQUIRY ¿μ¾÷AßAø " xfId="66"/>
    <cellStyle name="C¡IA¨ª_¡ic¨u¡A¨￢I¨￢¡Æ AN¡Æe " xfId="67"/>
    <cellStyle name="Ç¥ÁØ_¿µ¾÷ÇöÈ² " xfId="68"/>
    <cellStyle name="C￥AØ_¿uº°A¸≫c½CAu_³≫ºI°eE¹´e AßA¤A÷AI " xfId="69"/>
    <cellStyle name="Ç¥ÁØ_»ç¾÷ºÎº° ÃÑ°è " xfId="70"/>
    <cellStyle name="C￥AØ_≫c¾÷ºIº° AN°e " xfId="71"/>
    <cellStyle name="Ç¥ÁØ_0N-HANDLING " xfId="72"/>
    <cellStyle name="C￥AØ_¼±AoAc°i_1_³≫ºI°eE¹´e AßA¤A÷AI " xfId="73"/>
    <cellStyle name="Ç¥ÁØ_5-1±¤°í " xfId="74"/>
    <cellStyle name="C￥AØ_5-1±¤°i _6RCB1 " xfId="75"/>
    <cellStyle name="Ç¥ÁØ_Áý°èÇ¥(2¿ù) " xfId="76"/>
    <cellStyle name="C￥AØ_CoAo¹yAI °A¾×¿ⓒ½A " xfId="77"/>
    <cellStyle name="Ç¥ÁØ_Sheet1_¿µ¾÷ÇöÈ² " xfId="78"/>
    <cellStyle name="Comma" xfId="79"/>
    <cellStyle name="Comma [0]" xfId="80"/>
    <cellStyle name="Comma_ SG&amp;A Bridge " xfId="81"/>
    <cellStyle name="Comma1" xfId="82"/>
    <cellStyle name="Comma2" xfId="83"/>
    <cellStyle name="Currency" xfId="84"/>
    <cellStyle name="Currency [0]" xfId="85"/>
    <cellStyle name="Currency_ SG&amp;A Bridge " xfId="86"/>
    <cellStyle name="CURRENCY2" xfId="87"/>
    <cellStyle name="Currency3" xfId="88"/>
    <cellStyle name="normal" xfId="89"/>
    <cellStyle name="Normal 2 2_Project Definition " xfId="90"/>
    <cellStyle name="Normal_ SG&amp;A Bridge " xfId="91"/>
    <cellStyle name="Normal1" xfId="92"/>
    <cellStyle name="Percent" xfId="93"/>
    <cellStyle name="RowLevel_1_Ф 24_25 (03_08)(ДОи ДЗОИ)-рабочая Ver 0 4 " xfId="94"/>
    <cellStyle name="콤마 [0]_ 견적기준 FLOW " xfId="95"/>
    <cellStyle name="콤마_ 견적기준 FLOW " xfId="96"/>
    <cellStyle name="Финансовый" xfId="97" builtinId="3" hidden="1"/>
    <cellStyle name="Финансовый [0]" xfId="98" builtinId="6" hidden="1"/>
    <cellStyle name="Денежный" xfId="99" builtinId="4" hidden="1"/>
    <cellStyle name="Денежный [0]" xfId="100" builtinId="7" hidden="1"/>
    <cellStyle name="Процентный" xfId="101" builtinId="5" hidden="1"/>
    <cellStyle name="Обычный 10 14" xfId="102"/>
    <cellStyle name="user_custom_border" xfId="103"/>
  </cellStyles>
  <dxfs count="85"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numFmt numFmtId="172" formatCode="\-"/>
    </dxf>
    <dxf>
      <font>
        <color rgb="FFC00000"/>
      </font>
    </dxf>
    <dxf>
      <font>
        <color rgb="FFC00000"/>
      </font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numFmt numFmtId="172" formatCode="\-"/>
    </dxf>
    <dxf>
      <font>
        <b val="1"/>
      </font>
      <numFmt numFmtId="172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externalLink" Target="/xl/externalLinks/externalLink1.xml" Id="rId22"/><Relationship Type="http://schemas.openxmlformats.org/officeDocument/2006/relationships/externalLink" Target="/xl/externalLinks/externalLink2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tc={00A1001C-00F8-48C5-A980-00FA00E200ED}</author>
    <author>tc={00570049-00D9-4338-84FB-002E0086007F}</author>
    <author>tc={002C009A-0070-40E5-B999-000100E100B5}</author>
    <author>tc={005C003B-0098-451E-A19B-003600AA0048}</author>
    <author>tc={003D0037-00DD-4D80-AA63-0072004200E8}</author>
    <author>tc={00CC004C-005E-4584-93E9-001C00DF0035}</author>
    <author>Admin</author>
    <author>tc={00F40066-0045-4CBE-8B08-0038005A00BF}</author>
    <author>tc={00D700C6-00C7-4A18-A30D-004500A40088}</author>
    <author>tc={009F00FE-00E3-4F90-BD33-0076002B00EF}</author>
    <author>tc={00F9006B-00C2-400A-9B46-0043003F0036}</author>
    <author>tc={00F10069-00BC-49BA-A080-004C00910005}</author>
    <author>tc={009B00AE-00DB-47F6-BA37-00DD004A0064}</author>
    <author>tc={00A200C7-00BA-477A-84C4-00900058008F}</author>
    <author>tc={0025009B-00F4-4597-ADA4-00F900610000}</author>
    <author>tc={00DD0092-0072-415D-83E5-00D7006900D5}</author>
    <author>tc={00AC009D-0058-42B4-992E-00C600420062}</author>
    <author>tc={00A700A8-0081-418E-8F2A-00E400360047}</author>
    <author>tc={001100B3-0029-4E04-B898-009C00D300B1}</author>
    <author>tc={00A30065-00CD-4EA5-900F-007900880063}</author>
    <author>tc={00A30022-00ED-449F-95A8-00A00052005A}</author>
    <author>tc={004B0066-0002-402B-BADC-004B00FE00C1}</author>
    <author>tc={00D10051-0089-4CBC-A143-00DA00770032}</author>
    <author>tc={00950000-00CB-42F8-B0B2-00E200AD00CF}</author>
    <author>tc={001C0003-00B1-4708-953D-00D200F30055}</author>
    <author>tc={00700067-00E5-4B30-8550-005B006600DC}</author>
    <author>tc={0084009B-00E3-4903-974A-006E0076009B}</author>
    <author>tc={00E900F7-00B2-4B8A-B8E9-000D0091002A}</author>
    <author>tc={00F10013-000C-43B6-A863-00C0000100FB}</author>
    <author>tc={00C70042-00A4-4050-B843-00D200D100F4}</author>
    <author>tc={00E90075-00C6-40E0-86FD-007900820025}</author>
    <author>tc={006900D3-0057-4844-9D65-00F000FE0021}</author>
  </authors>
  <commentList>
    <comment ref="C12" authorId="0" shapeId="0">
      <text>
        <t xml:space="preserve">
Собственник мощностей
</t>
      </text>
    </comment>
    <comment ref="C31" authorId="1" shapeId="0">
      <text>
        <t xml:space="preserve">
стн получаемые при кранении СПГ в плавучем хранилище. Идущие на стн в качетсе отпарного газа
</t>
      </text>
    </comment>
    <comment ref="C40" authorId="2" shapeId="0">
      <text>
        <t xml:space="preserve">Зеленихина Мария Владимировна:
объем содержит объемы  ДРОД т.к. транспортировку осуществляет ГДО в адрес ГПП
</t>
      </text>
    </comment>
    <comment ref="C96" authorId="3" shapeId="0">
      <text>
        <t xml:space="preserve">
в сумму не идет, тк сидят объемы в ГДЯ и ГДУ - новая строка - сумма на процеесинг (МУ+Новатэк)
</t>
      </text>
    </comment>
    <comment ref="C97" authorId="4" shapeId="0">
      <text>
        <t xml:space="preserve">Windows User:
считаем весь ГДЯ=(на УЗПКТ +на процесс Новатэк) , только без продажи на новатэк
</t>
      </text>
    </comment>
    <comment ref="C99" authorId="5" shapeId="0">
      <text>
        <t xml:space="preserve">
считаем весь ГДУ =(на УЗПКТ +на процесс Новатэк) , только без продажи на новатэк
</t>
      </text>
    </comment>
    <comment ref="C101" authorId="6" shapeId="0">
      <text>
        <t xml:space="preserve">15.01.2026 Подлевских А.С.:
По указанию ТНТ
</t>
      </text>
    </comment>
    <comment ref="C108" authorId="7" shapeId="0">
      <text>
        <t xml:space="preserve">Ледяев Дмитрий Анатольевич:
Валовый нестаб конденсат является собственностью ГдНояб, его покупает ПАО и товарн стаб конд уже становится собств ПАО
</t>
      </text>
    </comment>
    <comment ref="C118" authorId="8" shapeId="0">
      <text>
        <t xml:space="preserve">Тюлягина Татьяна Николаевна:
ГПП покупает у ГДУ сырье на переработку для получения получения продуктов на заполнение альт схемы пр пнр. В течение года будем отражать баланс, когда будут договоры заключены и Д314 сможет показать баланс.
</t>
      </text>
    </comment>
    <comment ref="C225" authorId="9" shapeId="0">
      <text>
        <t xml:space="preserve">Тюлягина Татьяна Николаевна:
Собственник сырья
- для заполнения серных ям,
Есть протокол
</t>
      </text>
    </comment>
    <comment ref="C246" authorId="10" shapeId="0">
      <text>
        <t xml:space="preserve">Зеленихина Мария Владимировна:
УНГП, Сервиснефтегаз, 
</t>
      </text>
    </comment>
    <comment ref="C255" authorId="11" shapeId="0">
      <text>
        <t xml:space="preserve">Зеленихина Мария Владимировна:
УНГП, Сервиснефтегаз, 
</t>
      </text>
    </comment>
    <comment ref="C291" authorId="12" shapeId="0">
      <text>
        <t xml:space="preserve">Windows User:
02.12 добавлена формула
2022.12.02  Усманова-Тараскин
Газ с УМТ реализуется от ПАО (агент ГПП) в адрес Газинформпласт на СТН
Демихов: 2021
газ деэтнизации будет продаваться через ГПП в адрес эксплуат. Орг. (сжигается).
</t>
      </text>
    </comment>
    <comment ref="C336" authorId="13" shapeId="0">
      <text>
        <t xml:space="preserve">Зеленихина Мария Владимировна:
изменена формула
</t>
      </text>
    </comment>
    <comment ref="C405" authorId="14" shapeId="0">
      <text>
        <t xml:space="preserve">Зеленихина Мария Владимировна:
УНГП, Сервиснефтегаз, 
</t>
      </text>
    </comment>
    <comment ref="C429" authorId="15" shapeId="0">
      <text>
        <t xml:space="preserve">Зеленихина Мария Владимировна:
УНГП, Сервиснефтегаз, 
</t>
      </text>
    </comment>
    <comment ref="C448" authorId="16" shapeId="0">
      <text>
        <t xml:space="preserve">Windows User:
Windows User
07.11 изменно название
</t>
      </text>
    </comment>
    <comment ref="C480" authorId="17" shapeId="0">
      <text>
        <t xml:space="preserve">Windows User:
07.11новая строка
</t>
      </text>
    </comment>
    <comment ref="C515" authorId="18" shapeId="0">
      <text>
        <t xml:space="preserve">
изменено название 
стаб. газ. конденсат, нефть (Ен-Яхинское НГКМ, Песцовое НГКМ, Ачим отл. 3 уч., Уренгойское НГКМ фаза 2)
</t>
      </text>
    </comment>
    <comment ref="C521" authorId="19" shapeId="0">
      <text>
        <t xml:space="preserve">
нефть заполяр становится газпромовской , как только появляется труба в транснефти- альтернат схема
</t>
      </text>
    </comment>
    <comment ref="C573" authorId="20" shapeId="0">
      <text>
        <t xml:space="preserve">Подлевских Анастасия Сергеевна:
добавла СК на СТН, так как этот объем ПАО продает ГДИ
</t>
      </text>
    </comment>
    <comment ref="C574" authorId="21" shapeId="0">
      <text>
        <t xml:space="preserve">Зеленихина Мария Владимировна:
нефть покупка
</t>
      </text>
    </comment>
    <comment ref="C578" authorId="22" shapeId="0">
      <text>
        <t xml:space="preserve">
нефть заполяр становится газпромовской , как только появляется труба в транснефти- альтернат схема
</t>
      </text>
    </comment>
    <comment ref="C590" authorId="23" shapeId="0">
      <text>
        <t xml:space="preserve">
изменено название 
стаб. газ. конденсат, нефть (Ен-Яхинское НГКМ, Песцовое НГКМ, Ачим отл. 3 уч., Уренгойское НГКМ фаза 2)
</t>
      </text>
    </comment>
    <comment ref="C594" authorId="24" shapeId="0">
      <text>
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C596" authorId="25" shapeId="0">
      <text>
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C640" authorId="26" shapeId="0">
      <text>
        <t xml:space="preserve">Зеленихина Мария Владимировна:
изменено название
</t>
      </text>
    </comment>
    <comment ref="C706" authorId="27" shapeId="0">
      <text>
        <t xml:space="preserve">Windows User:
07.11 переименовать
</t>
      </text>
    </comment>
    <comment ref="C868" authorId="28" shapeId="0">
      <text>
        <t xml:space="preserve">Тарасевич Елена Сергеевна:
Добавлен показатель (НК из повторной переработки СОГ на НТА с сентября 2026 г.
</t>
      </text>
    </comment>
    <comment ref="C961" authorId="29" shapeId="0">
      <text>
        <t xml:space="preserve">Зеленихина Мария Владимировна:
03/02 Добавлена строка
</t>
      </text>
    </comment>
    <comment ref="C1108" authorId="30" shapeId="0">
      <text>
        <t xml:space="preserve">Подлевских Анастасия Сергеевна:
топливо газообразное + кокс
</t>
      </text>
    </comment>
    <comment ref="C1203" authorId="31" shapeId="0">
      <text>
        <t xml:space="preserve">Подлевских Анастасия Сергеевна:
природный газ только на технологию
</t>
      </text>
    </comment>
  </commentList>
</comments>
</file>

<file path=xl/comments/comment2.xml><?xml version="1.0" encoding="utf-8"?>
<comments xmlns="http://schemas.openxmlformats.org/spreadsheetml/2006/main">
  <authors>
    <author>tc={00AC005A-002B-4346-A99B-003D00A600B4}</author>
    <author>tc={0066008B-004F-4F8D-8180-00DF003E004E}</author>
    <author>tc={00FD0021-00E8-4949-BB91-009700240059}</author>
    <author>tc={00C00045-00B1-4D5D-948B-00FE007400A7}</author>
    <author>tc={00C20054-00FD-481B-BFE7-008F008100B6}</author>
    <author>tc={00FB0021-0046-4A4B-9B1B-007800130075}</author>
    <author>tc={00660044-00B2-4AF1-9095-002300BF0021}</author>
    <author>tc={00BB00E4-0020-48ED-AC93-001400D10094}</author>
  </authors>
  <commentList>
    <comment ref="D26" authorId="0" shapeId="0">
      <text>
        <t xml:space="preserve">МТБЭ увеличивает октановое число бензинов, способствует более полному сгоранию топлива, предотвращает коррозию металла
</t>
      </text>
    </comment>
    <comment ref="D31" authorId="1" shapeId="0">
      <text>
        <t xml:space="preserve">
сбросные газы+потери серы+потери на газовой части (кроме У41 и КГН на У71) без учета потерь воды минус приход ED (деминерализованная вода) и воды МКФ на ЭЛОУ
</t>
      </text>
    </comment>
    <comment ref="D32" authorId="2" shapeId="0">
      <text>
        <t xml:space="preserve">потери на производстве 3 + У71 (КГН) + У21 + У41
</t>
      </text>
    </comment>
    <comment ref="D51" authorId="3" shapeId="0">
      <text>
        <t xml:space="preserve">от переработки ск и шфлу
</t>
      </text>
    </comment>
    <comment ref="D60" authorId="4" shapeId="0">
      <text>
        <t xml:space="preserve">
с потерями на У500, У505
</t>
      </text>
    </comment>
    <comment ref="D64" authorId="5" shapeId="0">
      <text>
        <t xml:space="preserve">Разница междду валовым СК и СК на переработку
</t>
      </text>
    </comment>
    <comment ref="D68" authorId="6" shapeId="0">
      <text>
        <t xml:space="preserve">с потерями на У515
</t>
      </text>
    </comment>
    <comment ref="D78" authorId="7" shapeId="0">
      <text>
        <t xml:space="preserve">газ , получаемый в процесс вторичных процессов при Гидроочистке и риформинга, изомеризации т тд, для потребления завода на 3 производстве
</t>
      </text>
    </comment>
  </commentList>
</comments>
</file>

<file path=xl/comments/comment3.xml><?xml version="1.0" encoding="utf-8"?>
<comments xmlns="http://schemas.openxmlformats.org/spreadsheetml/2006/main">
  <authors>
    <author>tc={007A004B-00FE-49E5-95A8-001A00C500A2}</author>
    <author>tc={00A90063-0054-44DF-B92F-00F8009300DA}</author>
    <author>tc={00250033-0041-47B8-AA0F-00BE00D8009E}</author>
  </authors>
  <commentList>
    <comment ref="D28" authorId="0" shapeId="0">
      <text>
        <t xml:space="preserve">Тюлягина Татьяна Николаевна:
Входят сбросные газа - более 7-9 %, остальное потери
</t>
      </text>
    </comment>
    <comment ref="D32" authorId="1" shapeId="0">
      <text>
        <t xml:space="preserve">Windows User:
изменена формула
</t>
      </text>
    </comment>
    <comment ref="D45" authorId="2" shapeId="0">
      <text>
        <t xml:space="preserve">Ешимов Эрик Серикбаевич:
включая поставку на ГРС Крутянская
</t>
      </text>
    </comment>
  </commentList>
</comments>
</file>

<file path=xl/comments/comment4.xml><?xml version="1.0" encoding="utf-8"?>
<comments xmlns="http://schemas.openxmlformats.org/spreadsheetml/2006/main">
  <authors>
    <author>tc={00D9001E-00F0-40A5-8D0A-0013002300AB}</author>
    <author>Admin</author>
    <author>tc={00400047-0051-4500-A59A-000A00DC001D}</author>
    <author>tc={00750030-0056-415F-B9B9-007700BD0072}</author>
    <author>tc={00510046-009A-420B-8A56-005D00110025}</author>
    <author>tc={006D0074-00C5-4F4F-A299-003800800054}</author>
    <author>tc={004100E2-0054-4CCF-9AF6-000D007E00A2}</author>
    <author>tc={00D400E6-009C-4BAF-A019-006C00590012}</author>
    <author>tc={00690075-0080-446B-93C3-00E8004500ED}</author>
    <author>tc={009C0014-00F2-47F5-A272-009300FB0034}</author>
    <author>tc={00080095-00BE-4B04-971B-0071006E0087}</author>
    <author>tc={00A00017-00DC-4097-9F72-00F600D400AF}</author>
    <author>tc={002B007D-0043-4EA4-9B29-002F00B200EB}</author>
    <author>tc={005B00BE-00DC-4BAC-B891-004700EE00B1}</author>
    <author>tc={003B00E8-005F-4390-8E47-004800B400B0}</author>
    <author>tc={00D70001-0053-46EB-AD68-003500FB0082}</author>
    <author>tc={002400D4-0035-4373-9DA4-00B800300005}</author>
    <author>tc={00A60096-007E-4FA0-992E-007D004D00D3}</author>
    <author>tc={00A60047-0024-4E83-84B6-004F004E00AF}</author>
    <author>tc={000500DF-00A2-4FB9-A78B-00760021003F}</author>
    <author>tc={00E7008D-00CF-4A38-84F0-003900BA0046}</author>
  </authors>
  <commentList>
    <comment ref="D18" authorId="0" shapeId="0">
      <text>
        <t xml:space="preserve">Ледяев Дмитрий Анатольевич:
03/02 изменена формула
</t>
      </text>
    </comment>
    <comment ref="D21" authorId="1" shapeId="0">
      <text>
        <t xml:space="preserve">15.01.2026 Подлевских А.С.:
По указанию ТНТ.
Необходимо внести строчку в файл для факта
</t>
      </text>
    </comment>
    <comment ref="D41" authorId="2" shapeId="0">
      <text>
        <t xml:space="preserve">Windows User:
изменена формула 29.11,2022
</t>
      </text>
    </comment>
    <comment ref="D43" authorId="3" shapeId="0">
      <text>
        <t xml:space="preserve">Ледяев Дмитрий Анатольевич:
03/02 изменена формула
</t>
      </text>
    </comment>
    <comment ref="D48" authorId="4" shapeId="0">
      <text>
        <t xml:space="preserve">Зеленихина Мария Владимировна:
изменено название
</t>
      </text>
    </comment>
    <comment ref="D49" authorId="5" shapeId="0">
      <text>
        <t xml:space="preserve">Зеленихина Мария Владимировна:
Зеленихина Мария Владимировн раздел перенесен из п 4,17-4,19
</t>
      </text>
    </comment>
    <comment ref="D57" authorId="6" shapeId="0">
      <text>
        <t xml:space="preserve">Ледяев Дмитрий Анатольевич:
актуализировать формулу
</t>
      </text>
    </comment>
    <comment ref="D59" authorId="1" shapeId="0">
      <text>
        <t xml:space="preserve">15.01.2026 Подлевских А.С.:
По указанию ТНТ.
Необходимо внести строчку в файл для факта
</t>
      </text>
    </comment>
    <comment ref="D79" authorId="7" shapeId="0">
      <text>
        <t xml:space="preserve">Ледяев Дмитрий Анатольевич:
Добавлен показатель.
Применяется для увеличения октанового числа бензинов, спосбствует более полному сгоранию топлива, рредотвращает коррозию.б
</t>
      </text>
    </comment>
    <comment ref="J114" authorId="8" shapeId="0">
      <text>
        <t xml:space="preserve">Зеленихина Мария Владимировна:
в АСБУ перепутаны местами еденицы измерения
</t>
      </text>
    </comment>
    <comment ref="D134" authorId="9" shapeId="0">
      <text>
        <t xml:space="preserve">Зеленихина Мария Владимировна:
новая строка
</t>
      </text>
    </comment>
    <comment ref="D135" authorId="10" shapeId="0">
      <text>
        <t xml:space="preserve">Зеленихина Мария Владимировна:
убрать формулу
</t>
      </text>
    </comment>
    <comment ref="D136" authorId="11" shapeId="0">
      <text>
        <t xml:space="preserve">Зеленихина Мария Владимировна:
новая строка
</t>
      </text>
    </comment>
    <comment ref="D194" authorId="12" shapeId="0">
      <text>
        <t xml:space="preserve">Windows User:
30.11. изменена формула
</t>
      </text>
    </comment>
    <comment ref="D207" authorId="13" shapeId="0">
      <text>
        <t xml:space="preserve">Ледяев Дмитрий Анатольевич:
актуализировать формулу
</t>
      </text>
    </comment>
    <comment ref="D212" authorId="14" shapeId="0">
      <text>
        <t xml:space="preserve">Ледяев Дмитрий Анатольевич:
03/02 изменена формула
</t>
      </text>
    </comment>
    <comment ref="D214" authorId="15" shapeId="0">
      <text>
        <t xml:space="preserve">Windows User:
изменено название 
</t>
      </text>
    </comment>
    <comment ref="D215" authorId="16" shapeId="0">
      <text>
        <t xml:space="preserve">Пользователь Windows:
переработка нестабильного конденсата и нефти для ПАО "Газпром" по договору стабилизации
</t>
      </text>
    </comment>
    <comment ref="D233" authorId="17" shapeId="0">
      <text>
        <t xml:space="preserve">Пользователь Windows:
Прием СК с УСК НПТР
</t>
      </text>
    </comment>
    <comment ref="D240" authorId="18" shapeId="0">
      <text>
        <t xml:space="preserve">Пользователь Windows:
Приемм нефти
</t>
      </text>
    </comment>
    <comment ref="D248" authorId="19" shapeId="0">
      <text>
        <t xml:space="preserve">Windows User:
изменено формула
</t>
      </text>
    </comment>
    <comment ref="D251" authorId="20" shapeId="0">
      <text>
        <t xml:space="preserve">Windows User:
формулы в АСБУ нет
</t>
      </text>
    </comment>
  </commentList>
</comments>
</file>

<file path=xl/comments/comment5.xml><?xml version="1.0" encoding="utf-8"?>
<comments xmlns="http://schemas.openxmlformats.org/spreadsheetml/2006/main">
  <authors>
    <author>tc={0075000C-00EF-48C8-ADD1-0009002C0088}</author>
  </authors>
  <commentList>
    <comment ref="D32" authorId="0" shapeId="0">
      <text>
        <t xml:space="preserve">
из плана по добые конденсат + нефть ДРОД
</t>
      </text>
    </comment>
  </commentList>
</comments>
</file>

<file path=xl/comments/comment6.xml><?xml version="1.0" encoding="utf-8"?>
<comments xmlns="http://schemas.openxmlformats.org/spreadsheetml/2006/main">
  <authors>
    <author>tc={00E2002C-00D5-4032-A1F3-00B10000007A}</author>
    <author>tc={00300023-0021-4DA8-A958-006100790006}</author>
    <author>tc={004E008A-0075-4C1B-8365-0068002C004D}</author>
    <author>tc={006B00B1-00A1-43F0-A7E1-005F00B80022}</author>
    <author>tc={003D00B5-001A-4237-AE7C-00ED006200A1}</author>
    <author>tc={0084006B-00EC-4737-BD8F-00C900160093}</author>
    <author>tc={006B0082-0023-4549-A4DA-009900D40018}</author>
    <author>tc={00230037-00D2-4982-9D82-002100E100DC}</author>
    <author>tc={00D200A9-00AB-483F-9A90-00F600250034}</author>
    <author>tc={0076007C-0078-4A5E-92C2-000D007200C1}</author>
    <author>tc={00140000-002C-4A38-825A-00AA0015004C}</author>
    <author>tc={002800B2-0018-4AF3-BE89-00E10021000D}</author>
    <author>tc={0014004E-003D-4D53-8AED-009400A8003D}</author>
    <author>tc={00200085-0088-46D4-9BB9-000C005B00B0}</author>
    <author>tc={006800EA-00B6-485B-B673-00B6002F009D}</author>
    <author>tc={002100F3-00A9-4DE3-A8EE-00F700CB00D8}</author>
    <author>tc={007500B8-00EC-45C5-A35C-009D00870051}</author>
    <author>tc={00E9003C-0008-444C-8B75-008300C40047}</author>
    <author>tc={008000FA-00A8-43A8-95EF-00BE00F20037}</author>
    <author>tc={00EB0078-003F-469A-A5FF-004C00F10073}</author>
    <author>tc={00490001-0047-4D01-8226-008F001500C7}</author>
  </authors>
  <commentList>
    <comment ref="D20" authorId="0" shapeId="0">
      <text>
        <t xml:space="preserve">Зеленихина Мария Владимировна:
Убрать Формулу
</t>
      </text>
    </comment>
    <comment ref="D21" authorId="1" shapeId="0">
      <text>
        <t xml:space="preserve">Зеленихина Мария Владимировна:
Убрать Формулу
</t>
      </text>
    </comment>
    <comment ref="D26" authorId="2" shapeId="0">
      <text>
        <t xml:space="preserve">Зеленихина Мария Владимировна:
поставка в адрес трейдера
</t>
      </text>
    </comment>
    <comment ref="D27" authorId="3" shapeId="0">
      <text>
        <t xml:space="preserve">Зеленихина Мария Владимировна:
изменено название
</t>
      </text>
    </comment>
    <comment ref="D28" authorId="4" shapeId="0">
      <text>
        <t xml:space="preserve">Зеленихина Мария Владимировна:
убрать формулу
</t>
      </text>
    </comment>
    <comment ref="D30" authorId="5" shapeId="0">
      <text>
        <t xml:space="preserve">Зеленихина Мария Владимировна:
:
убрать формулу
</t>
      </text>
    </comment>
    <comment ref="D31" authorId="6" shapeId="0">
      <text>
        <t xml:space="preserve">Зеленихина Мария Владимировна:
новая строка
</t>
      </text>
    </comment>
    <comment ref="D32" authorId="7" shapeId="0">
      <text>
        <t xml:space="preserve">Зеленихина Мария Владимировна:
убрать формулу
</t>
      </text>
    </comment>
    <comment ref="D33" authorId="8" shapeId="0">
      <text>
        <t xml:space="preserve">Зеленихина Мария Владимировна:
убрать формулу
</t>
      </text>
    </comment>
    <comment ref="D34" authorId="9" shapeId="0">
      <text>
        <t xml:space="preserve">Зеленихина Мария Владимировна:
изменено название
</t>
      </text>
    </comment>
    <comment ref="D35" authorId="10" shapeId="0">
      <text>
        <t xml:space="preserve">Зеленихина Мария Владимировна:
убрать формулу
</t>
      </text>
    </comment>
    <comment ref="D36" authorId="11" shapeId="0">
      <text>
        <t xml:space="preserve">Зеленихина Мария Владимировна:
новая строка
</t>
      </text>
    </comment>
    <comment ref="D37" authorId="12" shapeId="0">
      <text>
        <t xml:space="preserve">Зеленихина Мария Владимировна:
убрать формулу
</t>
      </text>
    </comment>
    <comment ref="D38" authorId="13" shapeId="0">
      <text>
        <t xml:space="preserve">Зеленихина Мария Владимировна:
убрать формулу
</t>
      </text>
    </comment>
    <comment ref="D40" authorId="14" shapeId="0">
      <text>
        <t xml:space="preserve">Зеленихина Мария Владимировна:
убрать формулу
</t>
      </text>
    </comment>
    <comment ref="D42" authorId="15" shapeId="0">
      <text>
        <t xml:space="preserve">Зеленихина Мария Владимировна:
убрать формулу
</t>
      </text>
    </comment>
    <comment ref="D44" authorId="16" shapeId="0">
      <text>
        <t xml:space="preserve">Зеленихина Мария Владимировна:
убрать формулу
</t>
      </text>
    </comment>
    <comment ref="D45" authorId="17" shapeId="0">
      <text>
        <t xml:space="preserve">Зеленихина Мария Владимировна:
убрать формулу
</t>
      </text>
    </comment>
    <comment ref="D46" authorId="18" shapeId="0">
      <text>
        <t xml:space="preserve">Зеленихина Мария Владимировна:
убрать формулу
</t>
      </text>
    </comment>
    <comment ref="D47" authorId="19" shapeId="0">
      <text>
        <t xml:space="preserve">Зеленихина Мария Владимировна:
новая формула
</t>
      </text>
    </comment>
    <comment ref="D48" authorId="20" shapeId="0">
      <text>
        <t xml:space="preserve">Зеленихина Мария Владимировна:
новая строка
</t>
      </text>
    </comment>
  </commentList>
</comments>
</file>

<file path=xl/comments/comment7.xml><?xml version="1.0" encoding="utf-8"?>
<comments xmlns="http://schemas.openxmlformats.org/spreadsheetml/2006/main">
  <authors>
    <author>tc={00C4008B-00A3-44D5-9C76-002F00E7007E}</author>
    <author>tc={00C40040-00A0-418D-9276-00640084000B}</author>
    <author>Admin</author>
    <author>tc={000E00C9-00EA-4F47-A5C1-007200070043}</author>
    <author>tc={00AB004A-009B-44A0-83C8-009A005800FF}</author>
    <author>tc={00E10071-0043-4D4F-9224-000300AE001F}</author>
    <author>tc={005C0005-00D8-4F19-AD45-001C00C80042}</author>
    <author>tc={00600034-0003-4461-8016-003A007700DF}</author>
    <author>tc={008900A7-00AB-4969-A32E-006100CE005B}</author>
    <author>tc={0030008A-00A6-47ED-8821-003500AA005A}</author>
    <author>tc={005E00E4-001F-4D7F-9F14-001A00A7006E}</author>
    <author>tc={007D0057-00B9-4D21-A5E8-0085001E0096}</author>
    <author>tc={00BE007A-001F-4464-9A40-007800B90088}</author>
    <author>tc={00C500E7-00F2-4D56-818A-006700B000C9}</author>
    <author>tc={00B60076-0031-4C20-A2E8-004D00010099}</author>
    <author>tc={003D00EE-0004-41B5-AFF5-00AD00FB0050}</author>
    <author>tc={005000E0-00A9-4886-8F87-002E006700BD}</author>
    <author>tc={00D30074-00EE-403A-8873-000700480059}</author>
    <author>tc={004300C5-0061-40F3-8C0A-00EB00C100EF}</author>
    <author>tc={0034004F-00A3-4B76-8BB1-00B40072005D}</author>
    <author>tc={007F00E0-0036-4226-8CD0-0056007D000A}</author>
    <author>tc={0035009B-0098-43D8-B255-00D300760065}</author>
    <author>tc={00FC00B5-0096-4AF2-98A0-0047004F000A}</author>
  </authors>
  <commentList>
    <comment ref="D10" authorId="0" shapeId="0">
      <text>
        <t xml:space="preserve">Зеленихина Мария Владимировна:
изменена формула
</t>
      </text>
    </comment>
    <comment ref="A14" authorId="1" shapeId="0">
      <text>
        <t xml:space="preserve">Зеленихина Мария Владимировна:
УНГК добыча НК+ попут нефть УНКГМ
</t>
      </text>
    </comment>
    <comment ref="D15" authorId="2" shapeId="0">
      <text>
        <t xml:space="preserve">15.01.2026 Подлевских А.С.:
По указанию ТНТ.
Необходимо внести в файл для факта
</t>
      </text>
    </comment>
    <comment ref="A22" authorId="3" shapeId="0">
      <text>
        <t xml:space="preserve">Зеленихина Мария Владимировна:
Windows User:
Поставка возможна по 2 схемам (1) С учетом УСК у КПНЗ (мощность 1 млн т) 2) Более 1 млн тонн НК, весь объем идет на прямую на переработку УЗПКТ-СЗСК как собственность ПАО, а после СЗСК продажа СК в адрес ГПНЗ). Вопрос: есть ли договор у ГПНЗ с ПАО на реализацию СК?????
</t>
      </text>
    </comment>
    <comment ref="D28" authorId="4" shapeId="0">
      <text>
        <t/>
      </text>
    </comment>
    <comment ref="D33" authorId="5" shapeId="0">
      <text>
        <t xml:space="preserve">Зеленихина Мария Владимировна:
новый раздел
</t>
      </text>
    </comment>
    <comment ref="A50" authorId="6" shapeId="0">
      <text>
        <t xml:space="preserve">Windows User:
весь объем и на СЗСК И В Альт схему 
</t>
      </text>
    </comment>
    <comment ref="D53" authorId="7" shapeId="0">
      <text>
        <t xml:space="preserve">Зеленихина Мария Владимировна:
изменена формула
</t>
      </text>
    </comment>
    <comment ref="C54" authorId="8" shapeId="0">
      <text>
        <t xml:space="preserve">Зеленихина Мария Владимировна:
Крымская собственность гду в адрес ГПП на 
возможно остатки и заполнение системы
</t>
      </text>
    </comment>
    <comment ref="D54" authorId="9" shapeId="0">
      <text>
        <t xml:space="preserve">Зеленихина Мария Владимировна:
изменено название
</t>
      </text>
    </comment>
    <comment ref="C55" authorId="10" shapeId="0">
      <text>
        <t xml:space="preserve">Зеленихина Мария Владимировна:
16.02 Крымская: поставка нефти по давальчнской схеме  (без оплаты) для нужд ООО Газпром подзем ремонт Уренгой" для проведения глушения скважин для ГРС 
</t>
      </text>
    </comment>
    <comment ref="D56" authorId="11" shapeId="0">
      <text>
        <t xml:space="preserve">Windows User:
изменена формула
</t>
      </text>
    </comment>
    <comment ref="A57" authorId="12" shapeId="0">
      <text>
        <t xml:space="preserve">Зеленихина Мария Владимировна:
фаза 2
</t>
      </text>
    </comment>
    <comment ref="D58" authorId="13" shapeId="0">
      <text>
        <t xml:space="preserve">Зеленихина Мария Владимировна:
перенесена из раздела Поставка   газового конденсата 
в адрес  трейдера
</t>
      </text>
    </comment>
    <comment ref="D60" authorId="14" shapeId="0">
      <text>
        <t xml:space="preserve">Зеленихина Мария Владимировна:
Зеленихина Мария  новая строка
</t>
      </text>
    </comment>
    <comment ref="D62" authorId="15" shapeId="0">
      <text>
        <t xml:space="preserve">Зеленихина Мария Владимировна:
перенесена из раздела Поставка   газового конденсата 
в адрес  трейдера
</t>
      </text>
    </comment>
    <comment ref="D64" authorId="16" shapeId="0">
      <text>
        <t xml:space="preserve">Зеленихина Мария Владимировна:
перенесена из раздела Поставка   газового конденсата 
в адрес  трейдера
</t>
      </text>
    </comment>
    <comment ref="D65" authorId="17" shapeId="0">
      <text>
        <t xml:space="preserve">Зеленихина Мария Владимировна:
перенесена из раздела Поставка   газового конденсата 
в адрес  трейдера
</t>
      </text>
    </comment>
    <comment ref="D66" authorId="18" shapeId="0">
      <text>
        <t xml:space="preserve">Windows User:
новый раздел
</t>
      </text>
    </comment>
    <comment ref="D68" authorId="14" shapeId="0">
      <text>
        <t xml:space="preserve">Подлевских:
23.01.26 Добавили строку, так как появился автовывоз
</t>
      </text>
    </comment>
    <comment ref="A71" authorId="19" shapeId="0">
      <text>
        <t xml:space="preserve">Зеленихина Мария Владимировна:
в систему ЕСГ
</t>
      </text>
    </comment>
    <comment ref="D73" authorId="20" shapeId="0">
      <text>
        <t xml:space="preserve">Зеленихина Мария Владимировна:
перенесено
</t>
      </text>
    </comment>
    <comment ref="C83" authorId="21" shapeId="0">
      <text>
        <t xml:space="preserve">Зеленихина Мария Владимировна:
внести данные
</t>
      </text>
    </comment>
    <comment ref="D83" authorId="22" shapeId="0">
      <text>
        <t xml:space="preserve">Зеленихина Мария Владимировна:
внести данные
</t>
      </text>
    </comment>
  </commentList>
</comments>
</file>

<file path=xl/comments/comment8.xml><?xml version="1.0" encoding="utf-8"?>
<comments xmlns="http://schemas.openxmlformats.org/spreadsheetml/2006/main">
  <authors>
    <author>tc={00C000B9-006D-4041-940E-008D000B0013}</author>
    <author>tc={00F100EF-0004-438C-A4F5-007800E80055}</author>
    <author>tc={00650087-00E4-4F5B-BAE5-004900C2007A}</author>
    <author>tc={00780022-009B-4564-8B0F-00E600CE0033}</author>
    <author>tc={007200A8-006B-4C1D-9583-00B200AF00A6}</author>
    <author>tc={009F00D1-008B-4E24-9ABB-009C00200054}</author>
  </authors>
  <commentList>
    <comment ref="D16" authorId="0" shapeId="0">
      <text>
        <t xml:space="preserve">Ледяев Дмитрий Анатольевич:
Для извлечения выпавшего в пласте конденсата закачивают сухой газ, НГКС поднимается на поверхность за счёт энергии закачиваемого газа. Этот газ суммируется к объёму добытого газа.
</t>
      </text>
    </comment>
    <comment ref="D42" authorId="1" shapeId="0">
      <text>
        <t xml:space="preserve">Зеленихина Мария Владимировна:
25/01 изменено название
</t>
      </text>
    </comment>
    <comment ref="A44" authorId="2" shapeId="0">
      <text>
        <t xml:space="preserve">Зеленихина Мария Владимировна:
Горобец Д.В. 25.01.2023 
ГК в объеме 0,6 тыс тон добыт на Светлоградском ГПУ из него 0,3 тыс. т проданы в ПАО и 0,3 тыс. тонн закачан в трубопровод для борьбы с отложением парафинов., где он смешивается с 95,9 тыс. тонн НГКС добытого на ГПУ Коневское и продается ПАО в объеме как НГКС ПАО в объеме 96.2   
</t>
      </text>
    </comment>
    <comment ref="D44" authorId="3" shapeId="0">
      <text>
        <t xml:space="preserve">Windows User:
СК используется как светлый продукт в качестве СТН  для удаления парафинов в трубе и закачивается в составе НГКС и на выходе уже получается темный проукт в составе НГКС . Т.О. СК не считаем в баланс продукции кк СК стн , так как он сидит уже в НГКС, являясь оборотным продуктом. 
</t>
      </text>
    </comment>
    <comment ref="D46" authorId="4" shapeId="0">
      <text>
        <t xml:space="preserve">Зеленихина Мария Владимировна:
изменено название
</t>
      </text>
    </comment>
    <comment ref="A48" authorId="5" shapeId="0">
      <text>
        <t xml:space="preserve">Зеленихина Мария Владимировна:
Горобец Д.В. 25/01 НГКС валования меньше товара т.к. в товар подмешивается доп. объем ГК необходимый для добавления в трубопровод , для борьбы с парафинами.
</t>
      </text>
    </comment>
  </commentList>
</comments>
</file>

<file path=xl/comments/comment9.xml><?xml version="1.0" encoding="utf-8"?>
<comments xmlns="http://schemas.openxmlformats.org/spreadsheetml/2006/main">
  <authors>
    <author>tc={0031000E-0079-4AFE-998B-00F1001A004E}</author>
    <author>tc={00370024-007A-4390-AB63-005700F50047}</author>
    <author>tc={009500B8-00C7-4141-B5BA-001F00D60029}</author>
    <author>tc={002E00AB-0046-49E0-B044-0075005500E7}</author>
    <author>tc={005D0090-00E6-4D15-9FC1-00D7009C0060}</author>
    <author>tc={008B00A2-002D-4861-A783-000900E700DB}</author>
    <author>tc={007000DA-008A-4B88-AF52-00D100C10003}</author>
    <author>tc={00F600EE-0027-4496-BCB1-007C004F00DF}</author>
    <author>tc={00860036-00E5-42AB-89D6-005500C500C3}</author>
    <author>tc={00F3004E-008D-4414-9C36-00B3008A0056}</author>
  </authors>
  <commentList>
    <comment ref="D17" authorId="0" shapeId="0">
      <text>
        <t xml:space="preserve">Зеленихина Мария Владимировна:
изменена формула
</t>
      </text>
    </comment>
    <comment ref="D20" authorId="1" shapeId="0">
      <text>
        <t xml:space="preserve">Зеленихина Мария Владимировна:
новая строка
</t>
      </text>
    </comment>
    <comment ref="D23" authorId="2" shapeId="0">
      <text>
        <t xml:space="preserve">tc={00AE00FB-0087-4141-B74B-0074006A00F9}:
Windows User:
Windows  User:
ВНОСИТЬ ДРОДЫ
</t>
      </text>
    </comment>
    <comment ref="D25" authorId="3" shapeId="0">
      <text>
        <t xml:space="preserve">Зеленихина Мария Владимировна:
изменена формула
</t>
      </text>
    </comment>
    <comment ref="D26" authorId="4" shapeId="0">
      <text>
        <t xml:space="preserve">tc={000C00A3-003B-45C7-A8FB-00CC002400D8}:
Windows User:
ВНОСИТЬ ДРОДЫ
</t>
      </text>
    </comment>
    <comment ref="D27" authorId="5" shapeId="0">
      <text>
        <t xml:space="preserve">Зеленихина Мария Владимировна:
новая строка
</t>
      </text>
    </comment>
    <comment ref="D52" authorId="6" shapeId="0">
      <text>
        <t xml:space="preserve">Зеленихина Мария Владимировна:
изменена формула
</t>
      </text>
    </comment>
    <comment ref="D53" authorId="7" shapeId="0">
      <text>
        <t xml:space="preserve">tc={00880057-000D-476B-9542-004300D900BE}:
Windows User:
вносить ДРОДЫ
</t>
      </text>
    </comment>
    <comment ref="D54" authorId="8" shapeId="0">
      <text>
        <t xml:space="preserve">Зеленихина Мария Владимировна:
нефть с СК
</t>
      </text>
    </comment>
    <comment ref="D55" authorId="9" shapeId="0">
      <text>
        <t xml:space="preserve">Подлевских Анастасия Сергеевна:
Со 2 кв. 2026 ГПН планируют постороить свой узел и сами транспортировать до ВСТО
</t>
      </text>
    </comment>
  </commentList>
</comments>
</file>

<file path=xl/comments/comment10.xml><?xml version="1.0" encoding="utf-8"?>
<comments xmlns="http://schemas.openxmlformats.org/spreadsheetml/2006/main">
  <authors>
    <author>tc={000E00AF-0055-43A0-8157-00A7007B0010}</author>
    <author>tc={00B50069-00A1-4FF1-A1E0-00B300CA00DD}</author>
    <author>tc={007500DE-0057-411F-917D-009E008A0003}</author>
    <author>tc={00FC00E9-00A2-4E1F-8403-0053009100E1}</author>
    <author>tc={00A40013-00D8-463D-926B-006F009C006C}</author>
    <author>tc={006800AA-004E-4265-A827-00B600A10097}</author>
    <author>tc={0081006D-00B5-429F-A887-00D7004800D9}</author>
    <author>tc={00CF0061-0060-4562-ADEE-007700C00046}</author>
    <author>tc={004000DE-0040-40A9-B692-002D00D000FD}</author>
    <author>tc={00BC00AE-0025-42E3-9B6B-007A009400E1}</author>
    <author>tc={0080008E-0021-473A-A983-00B40085006D}</author>
    <author>tc={00620013-0047-4265-A574-00E6000500E1}</author>
    <author>tc={00610001-007B-4980-B75F-009D00400018}</author>
  </authors>
  <commentList>
    <comment ref="D10" authorId="0" shapeId="0">
      <text>
        <t xml:space="preserve">Windows User:
11.11 измнена формула
</t>
      </text>
    </comment>
    <comment ref="D16" authorId="1" shapeId="0">
      <text>
        <t xml:space="preserve">Windows User:
ВНОСИТЬ ДАННЫЕ ПО ДРОД
оказание услуг от ГПНЗ для ГД Надым
</t>
      </text>
    </comment>
    <comment ref="D17" authorId="2" shapeId="0">
      <text>
        <t xml:space="preserve">Windows User:
ВНОСИТЬ ДАННЫЕ ПО ДРОД
</t>
      </text>
    </comment>
    <comment ref="D18" authorId="3" shapeId="0">
      <text>
        <t xml:space="preserve">Windows User:
20.10 новая строка
</t>
      </text>
    </comment>
    <comment ref="D20" authorId="4" shapeId="0">
      <text>
        <t xml:space="preserve">Windows User:
20.10. изменена формула
</t>
      </text>
    </comment>
    <comment ref="D30" authorId="5" shapeId="0">
      <text>
        <t xml:space="preserve">Windows User:
формулы в асбу нет
</t>
      </text>
    </comment>
    <comment ref="D32" authorId="6" shapeId="0">
      <text>
        <t xml:space="preserve">Windows User:
изменена формула
</t>
      </text>
    </comment>
    <comment ref="D34" authorId="7" shapeId="0">
      <text>
        <t xml:space="preserve">Windows User:
весь газ идет на стн
</t>
      </text>
    </comment>
    <comment ref="D36" authorId="8" shapeId="0">
      <text>
        <t xml:space="preserve">Windows User:
мин. Используется на стн все остальное сжигается
</t>
      </text>
    </comment>
    <comment ref="A38" authorId="9" shapeId="0">
      <text>
        <t xml:space="preserve">Windows User:
часть сжигается на факеле а часть используестя какстн
</t>
      </text>
    </comment>
    <comment ref="D38" authorId="10" shapeId="0">
      <text>
        <t xml:space="preserve">Windows User:
изменено название
</t>
      </text>
    </comment>
    <comment ref="D42" authorId="11" shapeId="0">
      <text>
        <t xml:space="preserve">Windows User:
изменена формула
</t>
      </text>
    </comment>
    <comment ref="D45" authorId="12" shapeId="0">
      <text>
        <t xml:space="preserve">Windows User:
Windows User: изменено название
</t>
      </text>
    </comment>
  </commentList>
</comments>
</file>

<file path=xl/comments/comment11.xml><?xml version="1.0" encoding="utf-8"?>
<comments xmlns="http://schemas.openxmlformats.org/spreadsheetml/2006/main">
  <authors>
    <author>tc={009E00DD-009C-4E8E-8144-009B001300FC}</author>
    <author>tc={00B300C6-0040-45D9-BFC6-009100840017}</author>
    <author>tc={00EF0072-00C1-40F3-AADA-004B003600D6}</author>
    <author>tc={00C10001-0049-49A9-A2EE-006C000D00D4}</author>
    <author>tc={0077005B-003F-4DD3-A86A-0079009300CE}</author>
  </authors>
  <commentList>
    <comment ref="D17" authorId="0" shapeId="0">
      <text>
        <t xml:space="preserve">Зеленихина Мария Владимировна:
15.02 убрать формулу
</t>
      </text>
    </comment>
    <comment ref="D20" authorId="1" shapeId="0">
      <text>
        <t xml:space="preserve">Зеленихина Мария Владимировна:
новые строки
</t>
      </text>
    </comment>
    <comment ref="D23" authorId="2" shapeId="0">
      <text>
        <t xml:space="preserve">Зеленихина Мария Владимировна:
новые строки
</t>
      </text>
    </comment>
    <comment ref="D25" authorId="3" shapeId="0">
      <text>
        <t xml:space="preserve">Зеленихина Мария Владимировна:
новая строка
</t>
      </text>
    </comment>
    <comment ref="D27" authorId="4" shapeId="0">
      <text>
        <t xml:space="preserve">Зеленихина Мария Владимировна:
изменена формула
</t>
      </text>
    </comment>
  </commentList>
</comments>
</file>

<file path=xl/comments/comment12.xml><?xml version="1.0" encoding="utf-8"?>
<comments xmlns="http://schemas.openxmlformats.org/spreadsheetml/2006/main">
  <authors>
    <author>tc={002B00C8-006F-4AB0-A668-005300E5003E}</author>
    <author>tc={00C30044-0060-43EF-AE6E-00ED002D0062}</author>
    <author>tc={00C800D8-0028-40FA-94F8-002600B0006D}</author>
    <author>tc={00B00005-00CA-4E90-8825-006F005100BB}</author>
    <author>tc={003100C0-003C-4CCF-9C24-005A00A400ED}</author>
    <author>tc={007B001C-00CB-4B0E-B5F0-008600AE0069}</author>
    <author>tc={0025003D-006A-446A-8D07-00920042007B}</author>
    <author>tc={006400FB-00B9-4F77-AE70-00B400AD00BB}</author>
    <author>tc={000D0067-00C7-43AF-BD25-00CC00F6008B}</author>
    <author>tc={000600A9-0098-42C8-8741-003A0037001D}</author>
  </authors>
  <commentList>
    <comment ref="D10" authorId="0" shapeId="0">
      <text>
        <t xml:space="preserve">Ледяев Дмитрий Анатольевич:
в формулу внесены правки
</t>
      </text>
    </comment>
    <comment ref="D14" authorId="1" shapeId="0">
      <text>
        <t xml:space="preserve">Windows User:
изменена формула 24.11
</t>
      </text>
    </comment>
    <comment ref="D16" authorId="2" shapeId="0">
      <text>
        <t xml:space="preserve">Ледяев Дмитрий Анатольевич:
Добавить показатель
</t>
      </text>
    </comment>
    <comment ref="D20" authorId="3" shapeId="0">
      <text>
        <t xml:space="preserve">Ледяев Дмитрий Анатольевич:
Добавить показатель
</t>
      </text>
    </comment>
    <comment ref="D24" authorId="4" shapeId="0">
      <text>
        <t xml:space="preserve">Ледяев Дмитрий Анатольевич:
актуализированно название, добавлено " В т.ч."
</t>
      </text>
    </comment>
    <comment ref="D26" authorId="5" shapeId="0">
      <text>
        <t xml:space="preserve">Ледяев Дмитрий Анатольевич:
актуализированно название, добавлено " В т.ч."
</t>
      </text>
    </comment>
    <comment ref="C51" authorId="6" shapeId="0">
      <text>
        <t xml:space="preserve">Зеленихина Мария Владимировна:
Зеленихина Мария Владимировна:проверить ссылку в спраках 
</t>
      </text>
    </comment>
    <comment ref="D61" authorId="7" shapeId="0">
      <text>
        <t xml:space="preserve">Ледяев Дмитрий Анатольевич:
Добавлен показатель
</t>
      </text>
    </comment>
    <comment ref="D76" authorId="8" shapeId="0">
      <text>
        <t xml:space="preserve">Ледяев Дмитрий Анатольевич:
Добавлен показатель
</t>
      </text>
    </comment>
    <comment ref="D77" authorId="9" shapeId="0">
      <text>
        <t xml:space="preserve">Ледяев Дмитрий Анатольевич:
Добавлен показатель
</t>
      </text>
    </comment>
  </commentList>
</comments>
</file>

<file path=xl/comments/comment13.xml><?xml version="1.0" encoding="utf-8"?>
<comments xmlns="http://schemas.openxmlformats.org/spreadsheetml/2006/main">
  <authors>
    <author>tc={00D00092-004B-4AF4-8523-00E900360091}</author>
    <author>tc={00E8006C-00F0-49E2-9D52-004B000A00C5}</author>
    <author>tc={007800EE-00C8-4372-9D0B-009900A30034}</author>
    <author>tc={008C00B3-001A-46CC-BA82-004600080032}</author>
    <author>tc={00870089-00C2-4168-A6F6-00BC00ED009B}</author>
    <author>tc={002A0060-0021-4C9F-A96C-0018001D0060}</author>
    <author>tc={008F0085-0065-4DAE-B28F-0081002D0070}</author>
    <author>tc={00BD00D1-0084-4F22-B1F9-00D600B50002}</author>
  </authors>
  <commentList>
    <comment ref="B47" authorId="0" shapeId="0">
      <text>
        <t xml:space="preserve">Подлевских Анастасия Сергеевна:
поставка началась с марта 2024
</t>
      </text>
    </comment>
    <comment ref="D47" authorId="1" shapeId="0">
      <text>
        <t xml:space="preserve">Подлевских Анастасия Сергеевна:
поставка началась с марта 2024
</t>
      </text>
    </comment>
    <comment ref="B105" authorId="2" shapeId="0">
      <text>
        <t xml:space="preserve">Подлевских Анастасия Сергеевна:
топливо газообразное + кокс
</t>
      </text>
    </comment>
    <comment ref="D105" authorId="3" shapeId="0">
      <text>
        <t xml:space="preserve">Подлевских Анастасия Сергеевна:
у нас больше от Д353 на топливный газ на нефтехимию
</t>
      </text>
    </comment>
    <comment ref="B202" authorId="4" shapeId="0">
      <text>
        <t xml:space="preserve">Подлевских Анастасия Сергеевна:
природный газ только на технологию
</t>
      </text>
    </comment>
    <comment ref="D202" authorId="5" shapeId="0">
      <text>
        <t xml:space="preserve">Подлевских Анастасия Сергеевна:
природный газ только на технологию
</t>
      </text>
    </comment>
    <comment ref="B212" authorId="6" shapeId="0">
      <text>
        <t xml:space="preserve">Подлевских Анастасия Сергеевна:
на технологию + топливо
</t>
      </text>
    </comment>
    <comment ref="D212" authorId="7" shapeId="0">
      <text>
        <t xml:space="preserve">Подлевских Анастасия Сергеевна:
на технологию + топливо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W:\GRP\816\816_4_3\2.%20&#1046;&#1059;&#1042;%20&#1080;%20&#1055;&#1055;\03%20&#1052;&#1072;&#1090;%20&#1073;&#1072;&#1083;&#1072;&#1085;&#1089;%20(&#1082;&#1086;&#1088;%20&#1080;%20&#1090;&#1088;&#1077;&#1093;&#1083;&#1077;&#1090;&#1082;&#1072;)\2025-2027\16%202025-2027%20&#1088;&#1077;&#1072;&#1083;&#1080;&#1079;&#1072;&#1094;&#1080;&#1103;\2008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Teo203-1\&#1086;&#1073;&#1084;&#1077;&#1085;%20&#1076;&#1083;&#1103;%20&#1095;&#1086;&#1093;&#1077;&#1083;&#1080;\&#1069;&#1082;&#1086;&#1085;&#1086;&#1084;&#1080;&#1082;&#1072;\&#1055;&#1077;&#1089;&#1094;&#1086;&#1074;&#1086;&#1077;\&#1057;&#1054;&#1043;\2005\&#1057;&#1054;&#1043;-&#1101;&#1092;&#1092;%201&#1081;%20&#1074;&#1072;&#1088;&#1080;&#1072;&#1085;&#1090;%20&#1089;&#1077;&#1085;&#1090;2005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2008"/>
      <sheetName val="#ССЫЛКА"/>
      <sheetName val="Tables2003"/>
      <sheetName val="База"/>
      <sheetName val="Январь-февраль"/>
      <sheetName val="Балансы НП 2003"/>
      <sheetName val="Факсограммы"/>
      <sheetName val="Товарный баланс"/>
      <sheetName val="Товарныйбаланс"/>
      <sheetName val="баланс"/>
      <sheetName val="месяц квартал"/>
      <sheetName val="Распределение"/>
      <sheetName val="Ресурсы"/>
      <sheetName val="НП"/>
      <sheetName val="Поступление"/>
      <sheetName val="Транзит"/>
      <sheetName val="Correlation"/>
      <sheetName val="Bloomberg Extract (2)"/>
      <sheetName val="urea &amp; oil"/>
      <sheetName val="DAP Price Forecasts"/>
      <sheetName val="Forecasts"/>
      <sheetName val="Fertiliser Prices"/>
      <sheetName val="Consumption by Nutrient"/>
      <sheetName val="Monthly Correlation"/>
    </sheetNames>
    <sheetDataSet>
      <sheetData sheetId="0" refreshError="1"/>
      <sheetData sheetId="1" refreshError="1">
        <row r="1">
          <cell r="A1" t="str">
            <v>Баланс газа ООО "Ямбурггаздобыча"</v>
          </cell>
        </row>
        <row r="3">
          <cell r="I3">
            <v>0</v>
          </cell>
        </row>
        <row r="4">
          <cell r="E4" t="str">
            <v>2008г.</v>
          </cell>
          <cell r="F4" t="str">
            <v>I кв.</v>
          </cell>
          <cell r="G4" t="str">
            <v>II кв.</v>
          </cell>
          <cell r="H4" t="str">
            <v>III кв.</v>
          </cell>
          <cell r="I4" t="str">
            <v>IV кв.</v>
          </cell>
        </row>
        <row r="5">
          <cell r="A5" t="str">
            <v>Добыча газа</v>
          </cell>
        </row>
        <row r="6">
          <cell r="A6" t="str">
            <v xml:space="preserve">                из газоконденсатных скважин</v>
          </cell>
        </row>
        <row r="7">
          <cell r="A7" t="str">
            <v xml:space="preserve">                Заполярное месторождение</v>
          </cell>
        </row>
        <row r="8">
          <cell r="A8" t="str">
            <v>СН промыслов Ямбурггаздобычи</v>
          </cell>
        </row>
        <row r="9">
          <cell r="A9" t="str">
            <v xml:space="preserve">                в т.ч. ЗГНКМ и Тазовский УДГ</v>
          </cell>
        </row>
        <row r="10">
          <cell r="A10" t="str">
            <v>Товарный газ</v>
          </cell>
        </row>
        <row r="11">
          <cell r="A11" t="str">
            <v xml:space="preserve">     Потребители Ямбурггаздобычи</v>
          </cell>
        </row>
        <row r="12">
          <cell r="A12" t="str">
            <v>Распределение газа</v>
          </cell>
        </row>
        <row r="13">
          <cell r="A13" t="str">
            <v xml:space="preserve">         ЗАО "Северрегионгаз" (потребителям)</v>
          </cell>
        </row>
        <row r="14">
          <cell r="A14" t="str">
            <v>в т.ч. для ООО "Газпромэнерго"</v>
          </cell>
        </row>
        <row r="15">
          <cell r="A15" t="str">
            <v xml:space="preserve">       Подача в магистральные газопроводы</v>
          </cell>
        </row>
        <row r="16">
          <cell r="A16" t="str">
            <v xml:space="preserve">                               в т.ч. ООО "Сургутгазпром"</v>
          </cell>
        </row>
        <row r="17">
          <cell r="A17" t="str">
            <v xml:space="preserve">                        газ сухой отбензиненный</v>
          </cell>
        </row>
        <row r="18">
          <cell r="A18" t="str">
            <v xml:space="preserve">             газ ОАО "Газпром"</v>
          </cell>
        </row>
        <row r="19">
          <cell r="A19" t="str">
            <v xml:space="preserve">                        газ сухой отбензиненный</v>
          </cell>
        </row>
        <row r="23">
          <cell r="A23" t="str">
            <v>Заместитель Председателя Правления ОАО "Газпром" -</v>
          </cell>
        </row>
        <row r="24">
          <cell r="A24" t="str">
            <v>начальник  Финансово-экономического департамента                                                                       А.В. Круглов</v>
          </cell>
        </row>
        <row r="28">
          <cell r="A28" t="str">
            <v>Баланс газа ООО "Уренгойгазпром"</v>
          </cell>
        </row>
        <row r="30">
          <cell r="I30" t="str">
            <v>млн. куб. м</v>
          </cell>
        </row>
        <row r="31">
          <cell r="E31" t="str">
            <v>2008г.</v>
          </cell>
          <cell r="F31" t="str">
            <v>I кв.</v>
          </cell>
          <cell r="G31" t="str">
            <v>II кв.</v>
          </cell>
          <cell r="H31" t="str">
            <v>III кв.</v>
          </cell>
          <cell r="I31" t="str">
            <v>IV кв.</v>
          </cell>
        </row>
        <row r="32">
          <cell r="A32" t="str">
            <v>Ресурсы - всего</v>
          </cell>
        </row>
        <row r="33">
          <cell r="A33" t="str">
            <v xml:space="preserve">       Добыча газа</v>
          </cell>
        </row>
        <row r="34">
          <cell r="A34" t="str">
            <v xml:space="preserve">                     из газоконденсатных скважин</v>
          </cell>
        </row>
        <row r="35">
          <cell r="A35" t="str">
            <v xml:space="preserve">                     попутный нефтяной газ</v>
          </cell>
        </row>
        <row r="36">
          <cell r="A36" t="str">
            <v xml:space="preserve">       Газ деэтанизации конденсата</v>
          </cell>
        </row>
        <row r="37">
          <cell r="A37" t="str">
            <v>СТН Уренгойгазпрома - всего</v>
          </cell>
        </row>
        <row r="38">
          <cell r="A38" t="str">
            <v xml:space="preserve">                   СТН нужды промыслов</v>
          </cell>
        </row>
        <row r="39">
          <cell r="A39" t="str">
            <v xml:space="preserve">                             в т.ч. попутный нефтяной газ</v>
          </cell>
        </row>
        <row r="40">
          <cell r="A40" t="str">
            <v xml:space="preserve">                   СТН ЗПГК (газ деэтанизации конденсата)</v>
          </cell>
        </row>
        <row r="41">
          <cell r="A41" t="str">
            <v>Товарный газ</v>
          </cell>
        </row>
        <row r="42">
          <cell r="A42" t="str">
            <v xml:space="preserve">         Потребители газа ООО "Уренгойгазпром"</v>
          </cell>
        </row>
        <row r="43">
          <cell r="A43" t="str">
            <v xml:space="preserve">                       ЗАО "Северрегионгаз"</v>
          </cell>
        </row>
        <row r="44">
          <cell r="A44" t="str">
            <v xml:space="preserve">                       Прочие</v>
          </cell>
        </row>
        <row r="45">
          <cell r="A45" t="str">
            <v>СПРАВОЧНО:</v>
          </cell>
        </row>
        <row r="46">
          <cell r="A46" t="str">
            <v xml:space="preserve">         кр.т. газ ЗАО "Роспан Интернешнл"</v>
          </cell>
        </row>
        <row r="47">
          <cell r="A47" t="str">
            <v>Распределение газа</v>
          </cell>
        </row>
        <row r="48">
          <cell r="A48" t="str">
            <v xml:space="preserve">       Подача в Тюментрансгаз</v>
          </cell>
        </row>
        <row r="49">
          <cell r="A49" t="str">
            <v xml:space="preserve">             газ ОАО "Газпром"</v>
          </cell>
        </row>
        <row r="50">
          <cell r="A50" t="str">
            <v xml:space="preserve">                                 сухой отбензиненный</v>
          </cell>
        </row>
        <row r="51">
          <cell r="A51" t="str">
            <v xml:space="preserve">                                 газ деэтанизации конденсата</v>
          </cell>
        </row>
        <row r="52">
          <cell r="A52" t="str">
            <v xml:space="preserve">                                 попутный нефтяной газ</v>
          </cell>
        </row>
        <row r="53">
          <cell r="A53" t="str">
            <v xml:space="preserve">                                  кр. т. газ от ООО "Ноябрьскгаздобычи"</v>
          </cell>
        </row>
        <row r="55">
          <cell r="A55" t="str">
            <v xml:space="preserve">                 кр.т. газ ЗАО "Роспан Интернешнл" (справочно)</v>
          </cell>
        </row>
        <row r="58">
          <cell r="A58" t="str">
            <v>Заместитель Председателя Правления ОАО "Газпром" -</v>
          </cell>
        </row>
        <row r="59">
          <cell r="A59" t="str">
            <v>начальник  Финансово-экономического департамента                                                                       А.В. Круглов</v>
          </cell>
        </row>
        <row r="61">
          <cell r="A61" t="str">
            <v>Баланс газа ООО "Надымгазпром"</v>
          </cell>
        </row>
        <row r="63">
          <cell r="I63">
            <v>0</v>
          </cell>
        </row>
        <row r="64">
          <cell r="E64" t="str">
            <v>2008г.</v>
          </cell>
          <cell r="F64" t="str">
            <v>I кв.</v>
          </cell>
          <cell r="G64" t="str">
            <v>II кв.</v>
          </cell>
          <cell r="H64" t="str">
            <v>III кв.</v>
          </cell>
          <cell r="I64" t="str">
            <v>IV кв.</v>
          </cell>
        </row>
        <row r="65">
          <cell r="A65" t="str">
            <v>Добыча газа</v>
          </cell>
        </row>
        <row r="66">
          <cell r="A66" t="str">
            <v xml:space="preserve">      СН промыслов Надымгазпрома</v>
          </cell>
        </row>
        <row r="67">
          <cell r="A67" t="str">
            <v>Товарный газ</v>
          </cell>
        </row>
        <row r="68">
          <cell r="A68" t="str">
            <v xml:space="preserve">      Потребители Надымгазпрома</v>
          </cell>
        </row>
        <row r="69">
          <cell r="A69" t="str">
            <v>в т.ч. для ООО "Газпромэнерго" (ч/з ЗАО "СеверРГ")</v>
          </cell>
        </row>
        <row r="70">
          <cell r="A70" t="str">
            <v>Распределение газа</v>
          </cell>
        </row>
        <row r="71">
          <cell r="A71" t="str">
            <v xml:space="preserve">    Подача в Тюментрансгаз</v>
          </cell>
        </row>
        <row r="72">
          <cell r="A72" t="str">
            <v xml:space="preserve">           газ ОАО "Газпром"</v>
          </cell>
        </row>
        <row r="77">
          <cell r="A77" t="str">
            <v>Заместитель Председателя Правления ОАО "Газпром" -</v>
          </cell>
        </row>
        <row r="78">
          <cell r="A78" t="str">
            <v>начальник  Финансово-экономического департамента                                                                       А.В. Круглов</v>
          </cell>
        </row>
        <row r="80">
          <cell r="A80" t="str">
            <v>Баланс газа ООО "Тюментрансгаз"</v>
          </cell>
        </row>
        <row r="82">
          <cell r="I82">
            <v>0</v>
          </cell>
        </row>
        <row r="83">
          <cell r="E83" t="str">
            <v>2008г.</v>
          </cell>
          <cell r="F83" t="str">
            <v>I кв.</v>
          </cell>
          <cell r="G83" t="str">
            <v>II кв.</v>
          </cell>
          <cell r="H83" t="str">
            <v>III кв.</v>
          </cell>
          <cell r="I83" t="str">
            <v>IV кв.</v>
          </cell>
        </row>
        <row r="84">
          <cell r="A84" t="str">
            <v>Добыча газа</v>
          </cell>
        </row>
        <row r="85">
          <cell r="A85" t="str">
            <v xml:space="preserve">      СН промыслов</v>
          </cell>
        </row>
        <row r="86">
          <cell r="A86" t="str">
            <v>Товарный газ</v>
          </cell>
        </row>
        <row r="87">
          <cell r="A87" t="str">
            <v xml:space="preserve">      Потребителям промыслов</v>
          </cell>
        </row>
        <row r="88">
          <cell r="A88" t="str">
            <v>Подача газа в магистральный газопровод</v>
          </cell>
        </row>
        <row r="91">
          <cell r="A91" t="str">
            <v>Заместитель Председателя Правления ОАО "Газпром" -</v>
          </cell>
        </row>
        <row r="92">
          <cell r="A92" t="str">
            <v>начальник  Финансово-экономического департамента                                                                       А.В. Круглов</v>
          </cell>
        </row>
        <row r="95">
          <cell r="A95" t="str">
            <v>Баланс газа ООО "Ноябрьскгаздобыча"</v>
          </cell>
        </row>
        <row r="97">
          <cell r="I97">
            <v>0</v>
          </cell>
        </row>
        <row r="98">
          <cell r="E98" t="str">
            <v>2008г.</v>
          </cell>
          <cell r="F98" t="str">
            <v>I кв.</v>
          </cell>
          <cell r="G98" t="str">
            <v>II кв.</v>
          </cell>
          <cell r="H98" t="str">
            <v>III кв.</v>
          </cell>
          <cell r="I98" t="str">
            <v>IV кв.</v>
          </cell>
        </row>
        <row r="99">
          <cell r="A99" t="str">
            <v>Добыча газа</v>
          </cell>
        </row>
        <row r="100">
          <cell r="A100" t="str">
            <v xml:space="preserve">             кр.т. покупка газа у ООО "Янгпур"</v>
          </cell>
        </row>
        <row r="101">
          <cell r="A101" t="str">
            <v xml:space="preserve">      СН промыслов Ноябрьскгаздобычи</v>
          </cell>
        </row>
        <row r="102">
          <cell r="A102" t="str">
            <v>Товарный газ</v>
          </cell>
        </row>
        <row r="103">
          <cell r="A103" t="str">
            <v>Распределение газа</v>
          </cell>
        </row>
        <row r="104">
          <cell r="A104" t="str">
            <v xml:space="preserve">   Подача в магистральный газопровод</v>
          </cell>
        </row>
        <row r="105">
          <cell r="A105" t="str">
            <v xml:space="preserve">                        в т.ч. для подачи ч/з УренгойГП в ТюменТГ</v>
          </cell>
        </row>
        <row r="106">
          <cell r="A106" t="str">
            <v xml:space="preserve">       газ ОАО "Газпром"</v>
          </cell>
        </row>
        <row r="107">
          <cell r="A107" t="str">
            <v xml:space="preserve">       газ ОАО "НОВАТЭК"</v>
          </cell>
        </row>
        <row r="108">
          <cell r="A108" t="str">
            <v xml:space="preserve">       газ ООО "Ноябрьскгаздобыча"</v>
          </cell>
        </row>
        <row r="109">
          <cell r="A109" t="str">
            <v xml:space="preserve">               - собственное потребление в г. Ноябрьске</v>
          </cell>
        </row>
        <row r="110">
          <cell r="A110" t="str">
            <v xml:space="preserve">               - собств. пост-ка. потреб-ям в г. Ноябрьске</v>
          </cell>
        </row>
        <row r="111">
          <cell r="A111" t="str">
            <v xml:space="preserve">         кр.т. газ ООО "Межрегионгаз" (газ ООО "Янгпур")</v>
          </cell>
        </row>
        <row r="114">
          <cell r="A114" t="str">
            <v>Заместитель Председателя Правления ОАО "Газпром" -</v>
          </cell>
        </row>
        <row r="115">
          <cell r="A115" t="str">
            <v>начальник  Финансово-экономического департамента                                                                       А.В. Круглов</v>
          </cell>
        </row>
        <row r="117">
          <cell r="A117" t="str">
            <v>Баланс газа ООО "Пургаздобыча"</v>
          </cell>
        </row>
        <row r="119">
          <cell r="I119">
            <v>0</v>
          </cell>
        </row>
        <row r="120">
          <cell r="E120" t="str">
            <v>2008г.</v>
          </cell>
          <cell r="F120" t="str">
            <v>I кв.</v>
          </cell>
          <cell r="G120" t="str">
            <v>II кв.</v>
          </cell>
          <cell r="H120" t="str">
            <v>III кв.</v>
          </cell>
          <cell r="I120" t="str">
            <v>IV кв.</v>
          </cell>
        </row>
        <row r="121">
          <cell r="A121" t="str">
            <v>Добыча газа</v>
          </cell>
        </row>
        <row r="122">
          <cell r="A122" t="str">
            <v xml:space="preserve">      СН промыслов</v>
          </cell>
        </row>
        <row r="123">
          <cell r="A123" t="str">
            <v>Товарный газ</v>
          </cell>
        </row>
        <row r="124">
          <cell r="A124" t="str">
            <v>Распределение газа</v>
          </cell>
        </row>
        <row r="125">
          <cell r="A125" t="str">
            <v xml:space="preserve">   Подача в Сургутгазпром</v>
          </cell>
        </row>
        <row r="126">
          <cell r="A126" t="str">
            <v xml:space="preserve">                        в т.ч. для подачи ч/з УренгойГП в ТюменТГ</v>
          </cell>
        </row>
        <row r="127">
          <cell r="A127" t="str">
            <v xml:space="preserve">       газ ОАО "Газпром"</v>
          </cell>
        </row>
        <row r="128">
          <cell r="A128" t="str">
            <v xml:space="preserve">            - для поставки внутри РФ</v>
          </cell>
        </row>
        <row r="129">
          <cell r="A129" t="str">
            <v xml:space="preserve">                         в т.ч. для продажи ОАО "НОВАТЭК"</v>
          </cell>
        </row>
        <row r="131">
          <cell r="A131" t="str">
            <v>Заместитель Председателя Правления ОАО "Газпром" -</v>
          </cell>
        </row>
        <row r="132">
          <cell r="A132" t="str">
            <v>начальник  Финансово-экономического департамента                                                                       А.В. Круглов</v>
          </cell>
        </row>
        <row r="134">
          <cell r="A134" t="str">
            <v>Баланс газа по ООО "Оренбурггазпром"</v>
          </cell>
        </row>
        <row r="136">
          <cell r="I136">
            <v>0</v>
          </cell>
        </row>
        <row r="137">
          <cell r="E137" t="str">
            <v>2008г.</v>
          </cell>
          <cell r="F137" t="str">
            <v>I кв.</v>
          </cell>
          <cell r="G137" t="str">
            <v>II кв.</v>
          </cell>
          <cell r="H137" t="str">
            <v>III кв.</v>
          </cell>
          <cell r="I137" t="str">
            <v>IV кв.</v>
          </cell>
        </row>
        <row r="138">
          <cell r="A138" t="str">
            <v>1. Сырой газа (поступление на переработку)</v>
          </cell>
        </row>
        <row r="139">
          <cell r="A139" t="str">
            <v xml:space="preserve">                  ООО "Оренбурггазпром" (собственная добыча)</v>
          </cell>
        </row>
        <row r="140">
          <cell r="A140" t="str">
            <v xml:space="preserve">                            в т.ч. из газоконденсатных скважин</v>
          </cell>
        </row>
        <row r="141">
          <cell r="A141" t="str">
            <v xml:space="preserve">                                     попутный нефтяной газ</v>
          </cell>
        </row>
        <row r="142">
          <cell r="A142" t="str">
            <v xml:space="preserve">                  ООО "Сервиснефтегаз"</v>
          </cell>
        </row>
        <row r="143">
          <cell r="A143" t="str">
            <v xml:space="preserve">                  ЗАО "Стимул"</v>
          </cell>
        </row>
        <row r="144">
          <cell r="A144" t="str">
            <v xml:space="preserve">                  ЗАО "Уралнефтегазпром"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сводка_исх"/>
      <sheetName val="сводка2вар"/>
      <sheetName val="ССР-СОГ 1в"/>
      <sheetName val="ССР-СОГбезБЗ 1в"/>
      <sheetName val="ССР-СОГ 2в"/>
      <sheetName val="ССР-СОГбезБЗ 2в"/>
      <sheetName val="ССР-АВО"/>
      <sheetName val="Кал(по мес)"/>
      <sheetName val="КВдин"/>
      <sheetName val="ЕСН"/>
      <sheetName val="ИД"/>
      <sheetName val="ИД ОБЩ"/>
      <sheetName val="мат"/>
      <sheetName val="КВ,Ам"/>
      <sheetName val="издер"/>
      <sheetName val="поток"/>
      <sheetName val="поток1"/>
      <sheetName val="доход"/>
      <sheetName val="чуств"/>
      <sheetName val="КВпеч"/>
      <sheetName val="удель"/>
      <sheetName val="осн-пок"/>
      <sheetName val="осн-печ"/>
      <sheetName val="чуств зн 1в"/>
      <sheetName val="чуств зн 2в"/>
      <sheetName val="мат печ"/>
      <sheetName val="плата за природ"/>
      <sheetName val="природ 1в"/>
      <sheetName val="п5.Атмосф"/>
      <sheetName val="п6.Сброс"/>
      <sheetName val="п7. ПЭМ"/>
      <sheetName val="ПЭМ"/>
      <sheetName val="отходы"/>
      <sheetName val="КВ"/>
      <sheetName val="главы 1-7p"/>
      <sheetName val="Лист3"/>
      <sheetName val="Справочники"/>
      <sheetName val="СИ"/>
      <sheetName val="4.2.4 (предложения)"/>
      <sheetName val="ССР-СОГ_1в"/>
      <sheetName val="ССР-СОГбезБЗ_1в"/>
      <sheetName val="ССР-СОГ_2в"/>
      <sheetName val="ССР-СОГбезБЗ_2в"/>
      <sheetName val="Кал(по_мес)"/>
      <sheetName val="ИД_ОБЩ"/>
      <sheetName val="чуств_зн_1в"/>
      <sheetName val="чуств_зн_2в"/>
      <sheetName val="мат_печ"/>
      <sheetName val="плата_за_природ"/>
      <sheetName val="природ_1в"/>
      <sheetName val="п5_Атмосф"/>
      <sheetName val="п6_Сброс"/>
      <sheetName val="п7__ПЭМ"/>
      <sheetName val="главы_1-7p"/>
      <sheetName val="ССР-СОГ_1в1"/>
      <sheetName val="ССР-СОГбезБЗ_1в1"/>
      <sheetName val="ССР-СОГ_2в1"/>
      <sheetName val="ССР-СОГбезБЗ_2в1"/>
      <sheetName val="Кал(по_мес)1"/>
      <sheetName val="ИД_ОБЩ1"/>
      <sheetName val="чуств_зн_1в1"/>
      <sheetName val="чуств_зн_2в1"/>
      <sheetName val="мат_печ1"/>
      <sheetName val="плата_за_природ1"/>
      <sheetName val="природ_1в1"/>
      <sheetName val="п5_Атмосф1"/>
      <sheetName val="п6_Сброс1"/>
      <sheetName val="п7__ПЭМ1"/>
      <sheetName val="главы_1-7p1"/>
      <sheetName val="3. Субъекты РФ"/>
      <sheetName val="5. Перечень месторождений"/>
      <sheetName val="4. Периметр организаций"/>
      <sheetName val="320-330"/>
      <sheetName val="Общие"/>
      <sheetName val="Заполнить_ФИО!"/>
      <sheetName val="synthgraph"/>
      <sheetName val="Лист_4"/>
      <sheetName val="Добыча-факт"/>
      <sheetName val="Константы"/>
      <sheetName val="Financials"/>
      <sheetName val="90190016"/>
      <sheetName val="УСО"/>
      <sheetName val="RSOILBAL"/>
      <sheetName val="СОГ-эфф 1й вариант сент2005"/>
      <sheetName val="норм КВ"/>
      <sheetName val="технол показ"/>
      <sheetName val="налоги из себ"/>
      <sheetName val="Параметры"/>
      <sheetName val="на 1 тут"/>
      <sheetName val="IPL Level 2 Curves 04-May-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sheet1.xml><?xml version="1.0" encoding="utf-8"?>
<worksheet xmlns="http://schemas.openxmlformats.org/spreadsheetml/2006/main">
  <sheetPr codeName="Лист3"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.85546875" customWidth="1" style="769" min="1" max="1"/>
    <col width="73.28515625" customWidth="1" style="769" min="2" max="2"/>
    <col width="9.140625" customWidth="1" style="769" min="3" max="3"/>
    <col width="9.140625" customWidth="1" style="769" min="4" max="16384"/>
  </cols>
  <sheetData>
    <row r="1" ht="18.75" customHeight="1" s="769">
      <c r="A1" s="393" t="inlineStr">
        <is>
          <t>Имя</t>
        </is>
      </c>
      <c r="B1" s="393" t="inlineStr">
        <is>
          <t>Стиль</t>
        </is>
      </c>
    </row>
    <row r="2" ht="18.75" customHeight="1" s="769">
      <c r="A2" t="inlineStr">
        <is>
          <t>FONT_SIMPLE</t>
        </is>
      </c>
      <c r="B2" s="464" t="n">
        <v>1234567890.12345</v>
      </c>
    </row>
    <row r="3" ht="18.75" customHeight="1" s="769">
      <c r="A3" t="inlineStr">
        <is>
          <t>FONT_FORMULA</t>
        </is>
      </c>
      <c r="B3" s="465" t="n">
        <v>1234567890.12345</v>
      </c>
    </row>
    <row r="4">
      <c r="A4" t="inlineStr">
        <is>
          <t>FONT_TITLE_LVL0</t>
        </is>
      </c>
      <c r="B4" s="394" t="inlineStr">
        <is>
          <t>Текст пример 1234567890,1234567891</t>
        </is>
      </c>
    </row>
    <row r="5" ht="18.75" customHeight="1" s="769">
      <c r="A5" t="inlineStr">
        <is>
          <t>FONT_TITLE_LVL1</t>
        </is>
      </c>
      <c r="B5" s="395" t="inlineStr">
        <is>
          <t>Текст пример 1234567890,1234567891</t>
        </is>
      </c>
    </row>
    <row r="6">
      <c r="A6" t="inlineStr">
        <is>
          <t>RULES_GREEN_RED_DASH</t>
        </is>
      </c>
      <c r="B6" s="467" t="n">
        <v>1234567890.12345</v>
      </c>
    </row>
    <row r="7">
      <c r="A7" t="inlineStr">
        <is>
          <t>FULL_BORDER</t>
        </is>
      </c>
      <c r="B7" s="746" t="inlineStr">
        <is>
          <t>Текст пример 1234567890,1234567891</t>
        </is>
      </c>
    </row>
    <row r="8">
      <c r="A8" t="inlineStr">
        <is>
          <t>FORMAT_PERCENTAGE</t>
        </is>
      </c>
      <c r="B8" s="466" t="n">
        <v>0.76</v>
      </c>
    </row>
    <row r="9" ht="19.5" customHeight="1" s="769">
      <c r="A9" t="inlineStr">
        <is>
          <t>FONT_TITLE_LVL1_GROUP1</t>
        </is>
      </c>
      <c r="B9" s="409" t="inlineStr">
        <is>
          <t>Текст пример 1234567890,1234567891</t>
        </is>
      </c>
    </row>
    <row r="10" ht="19.5" customHeight="1" s="769">
      <c r="A10" t="inlineStr">
        <is>
          <t>FONT_TITLE_LVL2_GROUP1</t>
        </is>
      </c>
      <c r="B10" s="410" t="inlineStr">
        <is>
          <t>Текст пример 1234567890,1234567891</t>
        </is>
      </c>
    </row>
    <row r="11" ht="19.5" customHeight="1" s="769">
      <c r="A11" t="inlineStr">
        <is>
          <t>FONT_CHECKER1</t>
        </is>
      </c>
      <c r="B11" s="900" t="n">
        <v>1234567890.12345</v>
      </c>
    </row>
    <row r="12" ht="19.5" customHeight="1" s="769">
      <c r="A12" t="inlineStr">
        <is>
          <t>RULE_DASH_FOR_ZERO</t>
        </is>
      </c>
      <c r="B12" t="n">
        <v>0</v>
      </c>
    </row>
  </sheetData>
  <conditionalFormatting sqref="B6"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B6 B12">
    <cfRule type="cellIs" priority="1" operator="equal" dxfId="82">
      <formula>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Лист1">
    <tabColor rgb="FF92D050"/>
    <outlinePr summaryBelow="1" summaryRight="1"/>
    <pageSetUpPr fitToPage="1"/>
  </sheetPr>
  <dimension ref="A3:I1384"/>
  <sheetViews>
    <sheetView topLeftCell="B1" zoomScale="60" zoomScaleNormal="60" workbookViewId="0">
      <pane xSplit="8" ySplit="9" topLeftCell="J10" activePane="bottomRight" state="frozen"/>
      <selection activeCell="B1" sqref="B1"/>
      <selection pane="topRight" activeCell="J1" sqref="J1"/>
      <selection pane="bottomLeft" activeCell="B10" sqref="B10"/>
      <selection pane="bottomRight" activeCell="J10" sqref="J10"/>
    </sheetView>
  </sheetViews>
  <sheetFormatPr baseColWidth="8" defaultColWidth="25" defaultRowHeight="15.75" outlineLevelRow="1"/>
  <cols>
    <col hidden="1" outlineLevel="1" width="9.140625" customWidth="1" style="769" min="1" max="1"/>
    <col collapsed="1" width="9.42578125" customWidth="1" style="747" min="2" max="2"/>
    <col width="66.28515625" customWidth="1" style="755" min="3" max="3"/>
    <col hidden="1" outlineLevel="1" width="25.85546875" customWidth="1" style="755" min="4" max="4"/>
    <col hidden="1" outlineLevel="1" width="25" customWidth="1" style="755" min="5" max="6"/>
    <col hidden="1" outlineLevel="1" width="40.5703125" customWidth="1" style="769" min="7" max="8"/>
    <col collapsed="1" width="12.28515625" customWidth="1" style="769" min="9" max="9"/>
    <col width="8.43" customWidth="1" style="769" min="10" max="11"/>
    <col width="8.43" customWidth="1" style="769" min="11" max="11"/>
    <col width="8.43" customWidth="1" style="769" min="12" max="13"/>
    <col width="8.43" customWidth="1" style="769" min="13" max="13"/>
    <col width="8.43" customWidth="1" style="769" min="14" max="15"/>
    <col width="8.43" customWidth="1" style="769" min="15" max="15"/>
    <col width="8.43" customWidth="1" style="769" min="16" max="17"/>
    <col width="8.43" customWidth="1" style="769" min="17" max="17"/>
    <col width="8.43" customWidth="1" style="769" min="18" max="19"/>
    <col width="8.43" customWidth="1" style="769" min="19" max="19"/>
    <col width="8.43" customWidth="1" style="769" min="20" max="21"/>
    <col width="8.43" customWidth="1" style="769" min="21" max="21"/>
    <col width="8.43" customWidth="1" style="769" min="22" max="23"/>
    <col width="8.43" customWidth="1" style="769" min="23" max="23"/>
    <col width="8.43" customWidth="1" style="769" min="24" max="25"/>
    <col width="8.43" customWidth="1" style="769" min="25" max="25"/>
    <col width="8.43" customWidth="1" style="769" min="26" max="27"/>
    <col width="8.43" customWidth="1" style="769" min="27" max="27"/>
    <col width="8.43" customWidth="1" style="769" min="28" max="29"/>
    <col width="8.43" customWidth="1" style="769" min="29" max="29"/>
    <col width="8.43" customWidth="1" style="769" min="30" max="31"/>
    <col width="8.43" customWidth="1" style="769" min="31" max="31"/>
    <col width="8.43" customWidth="1" style="769" min="32" max="33"/>
    <col width="8.43" customWidth="1" style="769" min="33" max="33"/>
    <col width="8.43" customWidth="1" style="769" min="34" max="35"/>
    <col width="8.43" customWidth="1" style="769" min="35" max="35"/>
    <col width="8.43" customWidth="1" style="769" min="36" max="37"/>
    <col width="8.43" customWidth="1" style="769" min="37" max="37"/>
    <col width="8.43" customWidth="1" style="769" min="38" max="39"/>
    <col width="8.43" customWidth="1" style="769" min="39" max="39"/>
    <col width="8.43" customWidth="1" style="769" min="40" max="41"/>
    <col width="8.43" customWidth="1" style="769" min="41" max="41"/>
    <col width="8.43" customWidth="1" style="769" min="42" max="43"/>
    <col width="8.43" customWidth="1" style="769" min="43" max="43"/>
    <col width="8.43" customWidth="1" style="769" min="44" max="45"/>
    <col width="8.43" customWidth="1" style="769" min="45" max="45"/>
    <col width="8.43" customWidth="1" style="769" min="46" max="47"/>
    <col width="8.43" customWidth="1" style="769" min="47" max="47"/>
    <col width="8.43" customWidth="1" style="769" min="48" max="49"/>
    <col width="8.43" customWidth="1" style="769" min="49" max="49"/>
    <col width="8.43" customWidth="1" style="769" min="50" max="51"/>
    <col width="8.43" customWidth="1" style="769" min="51" max="51"/>
    <col width="8.43" customWidth="1" style="769" min="52" max="53"/>
    <col width="8.43" customWidth="1" style="769" min="53" max="53"/>
    <col width="8.43" customWidth="1" style="769" min="54" max="55"/>
    <col width="8.43" customWidth="1" style="769" min="55" max="55"/>
    <col width="8.43" customWidth="1" style="769" min="56" max="57"/>
    <col width="8.43" customWidth="1" style="769" min="57" max="57"/>
    <col width="8.43" customWidth="1" style="769" min="58" max="59"/>
    <col width="8.43" customWidth="1" style="769" min="59" max="59"/>
    <col width="8.43" customWidth="1" style="769" min="60" max="61"/>
    <col width="8.43" customWidth="1" style="769" min="61" max="61"/>
    <col width="8.43" customWidth="1" style="769" min="62" max="63"/>
    <col width="8.43" customWidth="1" style="769" min="63" max="63"/>
    <col width="8.43" customWidth="1" style="769" min="64" max="65"/>
    <col width="8.43" customWidth="1" style="769" min="65" max="65"/>
    <col width="8.43" customWidth="1" style="769" min="66" max="67"/>
    <col width="8.43" customWidth="1" style="769" min="67" max="67"/>
    <col width="8.43" customWidth="1" style="769" min="68" max="69"/>
    <col width="8.43" customWidth="1" style="769" min="69" max="69"/>
    <col width="8.43" customWidth="1" style="769" min="70" max="71"/>
    <col width="8.43" customWidth="1" style="769" min="71" max="71"/>
    <col width="8.43" customWidth="1" style="769" min="72" max="73"/>
    <col width="8.43" customWidth="1" style="769" min="73" max="73"/>
    <col width="8.43" customWidth="1" style="769" min="74" max="75"/>
    <col width="8.43" customWidth="1" style="769" min="75" max="75"/>
    <col width="8.43" customWidth="1" style="769" min="76" max="77"/>
    <col width="8.43" customWidth="1" style="769" min="77" max="77"/>
    <col width="25" customWidth="1" style="769" min="78" max="16384"/>
  </cols>
  <sheetData>
    <row r="3" ht="20.25" customHeight="1" s="769">
      <c r="B3" s="768" t="inlineStr">
        <is>
          <t>Показатели по переработке углеводородного сырья и производству продукции Группы Газпром на _______________ год/годы</t>
        </is>
      </c>
    </row>
    <row r="5" ht="20.1" customHeight="1" s="769"/>
    <row r="6" ht="20.1" customHeight="1" s="769">
      <c r="B6" s="759" t="inlineStr">
        <is>
          <t>Показатели</t>
        </is>
      </c>
      <c r="C6" s="760" t="n"/>
      <c r="D6" s="770" t="inlineStr">
        <is>
          <t>Внутренние настройки листа</t>
        </is>
      </c>
      <c r="E6" s="771" t="n"/>
      <c r="F6" s="771" t="n"/>
      <c r="G6" s="771" t="n"/>
      <c r="H6" s="772" t="n"/>
      <c r="I6" s="765" t="inlineStr">
        <is>
          <t>Един.
 изм.</t>
        </is>
      </c>
    </row>
    <row r="7" ht="39.95" customHeight="1" s="769">
      <c r="B7" s="761" t="n"/>
      <c r="C7" s="762" t="n"/>
      <c r="D7" s="752" t="inlineStr">
        <is>
          <t>Ключ статьи</t>
        </is>
      </c>
      <c r="E7" s="752" t="inlineStr">
        <is>
          <t>Ключ спец</t>
        </is>
      </c>
      <c r="F7" s="752" t="inlineStr">
        <is>
          <t>Ключ ввод данных</t>
        </is>
      </c>
      <c r="G7" s="752" t="inlineStr">
        <is>
          <t>Формулы месяца</t>
        </is>
      </c>
      <c r="H7" s="752" t="inlineStr">
        <is>
          <t>Формулы % выхода</t>
        </is>
      </c>
      <c r="I7" s="766" t="n"/>
    </row>
    <row r="8" ht="20.1" customHeight="1" s="769">
      <c r="B8" s="763" t="n"/>
      <c r="C8" s="764" t="n"/>
      <c r="D8" s="753" t="n"/>
      <c r="E8" s="753" t="n"/>
      <c r="F8" s="753" t="n"/>
      <c r="G8" s="753" t="n"/>
      <c r="H8" s="753" t="n"/>
      <c r="I8" s="751" t="n"/>
    </row>
    <row r="9" hidden="1" ht="20.1" customHeight="1" s="769">
      <c r="C9" s="411" t="n"/>
      <c r="D9" s="411" t="n"/>
      <c r="E9" s="411" t="n"/>
      <c r="F9" s="411" t="n"/>
      <c r="G9" s="411" t="n"/>
      <c r="H9" s="411" t="n"/>
      <c r="I9" s="411" t="n"/>
    </row>
    <row r="10" ht="20.1" customHeight="1" s="769">
      <c r="B10" s="416" t="inlineStr">
        <is>
          <t>Раздел 1. Прогнозные показатели по переработке углеводородного сырья и производству продукции ПАО "Газпром" и основных дочерних обществ</t>
        </is>
      </c>
      <c r="C10" s="416" t="n"/>
      <c r="D10" s="416" t="n"/>
      <c r="E10" s="416" t="n"/>
      <c r="F10" s="416" t="n"/>
      <c r="G10" s="445" t="n"/>
      <c r="H10" s="445" t="n"/>
      <c r="I10" s="3" t="n"/>
    </row>
    <row r="11" ht="20.1" customHeight="1" s="769">
      <c r="B11" s="459" t="n"/>
      <c r="C11" s="459" t="inlineStr">
        <is>
          <t>CЫРЬЕ</t>
        </is>
      </c>
      <c r="D11" s="528" t="n"/>
      <c r="E11" s="528" t="n"/>
      <c r="F11" s="529" t="n"/>
      <c r="G11" s="530" t="n"/>
      <c r="H11" s="530" t="n"/>
      <c r="I11" s="901" t="n"/>
    </row>
    <row r="12" ht="20.1" customHeight="1" s="769">
      <c r="B12" s="747" t="inlineStr">
        <is>
          <t>1.</t>
        </is>
      </c>
      <c r="C12" s="902" t="inlineStr">
        <is>
          <t>Переработка газа на ГПЗ-всего</t>
        </is>
      </c>
      <c r="D12" s="528" t="n"/>
      <c r="E12" s="528" t="n"/>
      <c r="F12" s="529" t="n"/>
      <c r="G12" s="530" t="inlineStr">
        <is>
          <t>1_1003335807+2_100332038+2_100332040+2_100332042+2_100332044+2_100332916+2_100332944+2_100335129+3_100330552+3_100330008+14_100335074+14_100335076</t>
        </is>
      </c>
      <c r="H12" s="530" t="n"/>
      <c r="I12" s="903" t="inlineStr">
        <is>
          <t>млн куб.м.</t>
        </is>
      </c>
    </row>
    <row r="13" ht="20.1" customHeight="1" s="769">
      <c r="C13" s="904" t="inlineStr">
        <is>
          <t>Газпром переработка</t>
        </is>
      </c>
      <c r="D13" s="528" t="n"/>
      <c r="E13" s="528" t="n"/>
      <c r="F13" s="529" t="n"/>
      <c r="G13" s="530" t="inlineStr">
        <is>
          <t>1_1003335807+2_100332038+2_100332040+2_100332042+2_100332044+2_100332916+2_100332944+2_100335129+3_100330552+3_100330008</t>
        </is>
      </c>
      <c r="H13" s="530" t="n"/>
      <c r="I13" s="903" t="inlineStr">
        <is>
          <t>млн куб.м.</t>
        </is>
      </c>
    </row>
    <row r="14" ht="20.1" customHeight="1" s="769">
      <c r="C14" s="905" t="inlineStr">
        <is>
          <t>Астраханский ГПЗ</t>
        </is>
      </c>
      <c r="D14" s="528" t="n"/>
      <c r="E14" s="528" t="n"/>
      <c r="F14" s="529" t="n"/>
      <c r="G14" s="530" t="inlineStr">
        <is>
          <t>1_1003335807</t>
        </is>
      </c>
      <c r="H14" s="530" t="n"/>
      <c r="I14" s="906" t="inlineStr">
        <is>
          <t>млн куб.м.</t>
        </is>
      </c>
    </row>
    <row r="15" ht="20.1" customHeight="1" s="769">
      <c r="C15" s="905" t="inlineStr">
        <is>
          <t>Оренбургский ГХК</t>
        </is>
      </c>
      <c r="D15" s="528" t="n"/>
      <c r="E15" s="528" t="n"/>
      <c r="F15" s="529" t="n"/>
      <c r="G15" s="530" t="inlineStr">
        <is>
          <t>2_100332038+2_100332040+2_100332042+2_100332044+2_100332916+2_100332944+2_100335129</t>
        </is>
      </c>
      <c r="H15" s="530" t="n"/>
      <c r="I15" s="906" t="inlineStr">
        <is>
          <t>млн куб.м.</t>
        </is>
      </c>
    </row>
    <row r="16" ht="20.1" customHeight="1" s="769">
      <c r="C16" s="905" t="inlineStr">
        <is>
          <t>Сосногорский ГПЗ</t>
        </is>
      </c>
      <c r="D16" s="528" t="n"/>
      <c r="E16" s="528" t="n"/>
      <c r="F16" s="529" t="n"/>
      <c r="G16" s="530" t="inlineStr">
        <is>
          <t>3_100330552+3_100330008</t>
        </is>
      </c>
      <c r="H16" s="530" t="n"/>
      <c r="I16" s="906" t="inlineStr">
        <is>
          <t>млн куб.м.</t>
        </is>
      </c>
    </row>
    <row r="17" ht="20.1" customHeight="1" s="769">
      <c r="C17" s="904" t="inlineStr">
        <is>
          <t>Газпром переработка Благовещенск</t>
        </is>
      </c>
      <c r="D17" s="528" t="n"/>
      <c r="E17" s="528" t="n"/>
      <c r="F17" s="529" t="n"/>
      <c r="G17" s="530" t="inlineStr">
        <is>
          <t>14_100335074+14_100335076</t>
        </is>
      </c>
      <c r="H17" s="530" t="n"/>
      <c r="I17" s="903" t="inlineStr">
        <is>
          <t>млн куб.м.</t>
        </is>
      </c>
    </row>
    <row r="18" ht="20.1" customHeight="1" s="769">
      <c r="C18" s="905" t="inlineStr">
        <is>
          <t>Амурский ГПЗ</t>
        </is>
      </c>
      <c r="D18" s="528" t="n"/>
      <c r="E18" s="528" t="n"/>
      <c r="F18" s="529" t="n"/>
      <c r="G18" s="530" t="inlineStr">
        <is>
          <t>14_100335074+14_100335076</t>
        </is>
      </c>
      <c r="H18" s="530" t="n"/>
      <c r="I18" s="906" t="inlineStr">
        <is>
          <t>млн куб.м.</t>
        </is>
      </c>
    </row>
    <row r="19" ht="20.1" customHeight="1" s="769">
      <c r="C19" s="904" t="inlineStr">
        <is>
          <t>Газпром СПГ Портовая</t>
        </is>
      </c>
      <c r="D19" s="528" t="n"/>
      <c r="E19" s="528" t="n"/>
      <c r="F19" s="529" t="n"/>
      <c r="G19" s="530" t="n"/>
      <c r="H19" s="530" t="n"/>
      <c r="I19" s="903" t="inlineStr">
        <is>
          <t>млн куб.м.</t>
        </is>
      </c>
    </row>
    <row r="20" ht="20.1" customHeight="1" s="769">
      <c r="C20" s="905" t="inlineStr">
        <is>
          <t>КСПГ Портовая</t>
        </is>
      </c>
      <c r="D20" s="528" t="n"/>
      <c r="E20" s="528" t="n"/>
      <c r="F20" s="529" t="n"/>
      <c r="G20" s="530" t="n"/>
      <c r="H20" s="530" t="n"/>
      <c r="I20" s="906" t="inlineStr">
        <is>
          <t>млн куб.м.</t>
        </is>
      </c>
    </row>
    <row r="21" ht="20.1" customHeight="1" s="769">
      <c r="A21" s="412" t="n"/>
      <c r="B21" s="413" t="inlineStr">
        <is>
          <t>1.1</t>
        </is>
      </c>
      <c r="C21" s="907" t="inlineStr">
        <is>
          <t>Газпром</t>
        </is>
      </c>
      <c r="D21" s="528" t="n"/>
      <c r="E21" s="528" t="n"/>
      <c r="F21" s="529" t="n"/>
      <c r="G21" s="530" t="inlineStr">
        <is>
          <t>3_100330008+1_1003335807+14_100335074</t>
        </is>
      </c>
      <c r="H21" s="530" t="n"/>
      <c r="I21" s="903" t="inlineStr">
        <is>
          <t>млн куб.м.</t>
        </is>
      </c>
    </row>
    <row r="22" ht="20.1" customHeight="1" s="769">
      <c r="C22" s="904" t="inlineStr">
        <is>
          <t>Газпром переработка</t>
        </is>
      </c>
      <c r="D22" s="528" t="n"/>
      <c r="E22" s="528" t="n"/>
      <c r="F22" s="529" t="n"/>
      <c r="G22" s="530" t="inlineStr">
        <is>
          <t>3_100330008+1_1003335807</t>
        </is>
      </c>
      <c r="H22" s="530" t="n"/>
      <c r="I22" s="903" t="inlineStr">
        <is>
          <t>млн куб.м.</t>
        </is>
      </c>
    </row>
    <row r="23" ht="20.1" customHeight="1" s="769">
      <c r="C23" s="905" t="inlineStr">
        <is>
          <t>Астраханский ГПЗ</t>
        </is>
      </c>
      <c r="D23" s="528" t="n"/>
      <c r="E23" s="528" t="n"/>
      <c r="F23" s="529" t="n"/>
      <c r="G23" s="530" t="inlineStr">
        <is>
          <t>1_1003335807</t>
        </is>
      </c>
      <c r="H23" s="530" t="n"/>
      <c r="I23" s="906" t="inlineStr">
        <is>
          <t>млн куб.м.</t>
        </is>
      </c>
    </row>
    <row r="24" ht="20.1" customHeight="1" s="769">
      <c r="C24" s="905" t="inlineStr">
        <is>
          <t>Сосногорский ГПЗ</t>
        </is>
      </c>
      <c r="D24" s="528" t="n"/>
      <c r="E24" s="528" t="n"/>
      <c r="F24" s="529" t="n"/>
      <c r="G24" s="530" t="inlineStr">
        <is>
          <t>3_100330008</t>
        </is>
      </c>
      <c r="H24" s="530" t="n"/>
      <c r="I24" s="906" t="inlineStr">
        <is>
          <t>млн куб.м.</t>
        </is>
      </c>
    </row>
    <row r="25" ht="20.1" customHeight="1" s="769">
      <c r="C25" s="908" t="inlineStr">
        <is>
          <t>Газпром добыча Краснодар</t>
        </is>
      </c>
      <c r="D25" s="528" t="n"/>
      <c r="E25" s="528" t="n"/>
      <c r="F25" s="529" t="n"/>
      <c r="G25" s="530" t="inlineStr">
        <is>
          <t>3_100330008</t>
        </is>
      </c>
      <c r="H25" s="530" t="n"/>
      <c r="I25" s="909" t="inlineStr">
        <is>
          <t>млн куб.м.</t>
        </is>
      </c>
    </row>
    <row r="26" ht="20.1" customHeight="1" s="769">
      <c r="C26" s="904" t="inlineStr">
        <is>
          <t>Газпром переработка Благовещенск</t>
        </is>
      </c>
      <c r="D26" s="528" t="n"/>
      <c r="E26" s="528" t="n"/>
      <c r="F26" s="529" t="n"/>
      <c r="G26" s="530" t="inlineStr">
        <is>
          <t>14_100335074</t>
        </is>
      </c>
      <c r="H26" s="530" t="n"/>
      <c r="I26" s="903" t="inlineStr">
        <is>
          <t>млн куб.м.</t>
        </is>
      </c>
    </row>
    <row r="27" ht="20.1" customHeight="1" s="769">
      <c r="C27" s="905" t="inlineStr">
        <is>
          <t>Амурский ГПЗ</t>
        </is>
      </c>
      <c r="D27" s="528" t="n"/>
      <c r="E27" s="528" t="n"/>
      <c r="F27" s="529" t="n"/>
      <c r="G27" s="530" t="inlineStr">
        <is>
          <t>14_100335074</t>
        </is>
      </c>
      <c r="H27" s="530" t="n"/>
      <c r="I27" s="906" t="inlineStr">
        <is>
          <t>млн куб.м.</t>
        </is>
      </c>
    </row>
    <row r="28" outlineLevel="1" ht="20.1" customHeight="1" s="769">
      <c r="C28" s="910" t="inlineStr">
        <is>
          <t>Газпром СПГ Портовая</t>
        </is>
      </c>
      <c r="D28" s="528" t="n"/>
      <c r="E28" s="528" t="n"/>
      <c r="F28" s="529" t="n"/>
      <c r="G28" s="530" t="n"/>
      <c r="H28" s="530" t="n"/>
      <c r="I28" s="911" t="inlineStr">
        <is>
          <t>млн куб.м.</t>
        </is>
      </c>
    </row>
    <row r="29" outlineLevel="1" ht="20.1" customHeight="1" s="769">
      <c r="C29" s="912" t="inlineStr">
        <is>
          <t>КСПГ Портовая</t>
        </is>
      </c>
      <c r="D29" s="528" t="n"/>
      <c r="E29" s="528" t="n"/>
      <c r="F29" s="529" t="n"/>
      <c r="G29" s="530" t="n"/>
      <c r="H29" s="530" t="n"/>
      <c r="I29" s="913" t="inlineStr">
        <is>
          <t>млн куб.м.</t>
        </is>
      </c>
    </row>
    <row r="30" outlineLevel="1" ht="20.1" customHeight="1" s="769">
      <c r="C30" s="914" t="inlineStr">
        <is>
          <t>в т.ч. на ПНР</t>
        </is>
      </c>
      <c r="D30" s="528" t="n"/>
      <c r="E30" s="528" t="n"/>
      <c r="F30" s="529" t="n"/>
      <c r="G30" s="530" t="n"/>
      <c r="H30" s="530" t="n"/>
      <c r="I30" s="915" t="inlineStr">
        <is>
          <t>млн куб.м.</t>
        </is>
      </c>
    </row>
    <row r="31" outlineLevel="1" ht="20.1" customHeight="1" s="769">
      <c r="C31" s="914" t="inlineStr">
        <is>
          <t>в т.ч. СТН</t>
        </is>
      </c>
      <c r="D31" s="528" t="n"/>
      <c r="E31" s="528" t="n"/>
      <c r="F31" s="529" t="n"/>
      <c r="G31" s="530" t="n"/>
      <c r="H31" s="530" t="n"/>
      <c r="I31" s="915" t="inlineStr">
        <is>
          <t>млн куб.м.</t>
        </is>
      </c>
    </row>
    <row r="32" outlineLevel="1" ht="20.1" customHeight="1" s="769">
      <c r="C32" s="914" t="inlineStr">
        <is>
          <t>в т.ч. на переработку</t>
        </is>
      </c>
      <c r="D32" s="528" t="n"/>
      <c r="E32" s="528" t="n"/>
      <c r="F32" s="529" t="n"/>
      <c r="G32" s="530" t="n"/>
      <c r="H32" s="530" t="n"/>
      <c r="I32" s="915" t="inlineStr">
        <is>
          <t>млн куб.м.</t>
        </is>
      </c>
    </row>
    <row r="33" ht="20.1" customHeight="1" s="769">
      <c r="B33" s="413" t="inlineStr">
        <is>
          <t>1.2</t>
        </is>
      </c>
      <c r="C33" s="907" t="inlineStr">
        <is>
          <t>Дочерние общества</t>
        </is>
      </c>
      <c r="D33" s="528" t="n"/>
      <c r="E33" s="528" t="n"/>
      <c r="F33" s="529" t="n"/>
      <c r="G33" s="530" t="inlineStr">
        <is>
          <t>2_100332038+2_100332040+2_100332042+2_100332044+2_100332916+2_100332944+2_100335129+3_100330552+14_100335076</t>
        </is>
      </c>
      <c r="H33" s="530" t="n"/>
      <c r="I33" s="903" t="inlineStr">
        <is>
          <t>млн куб.м.</t>
        </is>
      </c>
    </row>
    <row r="34" ht="20.1" customHeight="1" s="769">
      <c r="C34" s="904" t="inlineStr">
        <is>
          <t>Газпром добыча Астрахань</t>
        </is>
      </c>
      <c r="D34" s="528" t="n"/>
      <c r="E34" s="528" t="n"/>
      <c r="F34" s="529" t="n"/>
      <c r="G34" s="530" t="n">
        <v>0</v>
      </c>
      <c r="H34" s="530" t="n"/>
      <c r="I34" s="903" t="inlineStr">
        <is>
          <t>млн куб.м.</t>
        </is>
      </c>
    </row>
    <row r="35" ht="20.1" customHeight="1" s="769">
      <c r="C35" s="916" t="inlineStr">
        <is>
          <t>Астраханский ГПЗ</t>
        </is>
      </c>
      <c r="D35" s="528" t="n"/>
      <c r="E35" s="528" t="n"/>
      <c r="F35" s="529" t="n"/>
      <c r="G35" s="530" t="n">
        <v>0</v>
      </c>
      <c r="H35" s="530" t="n"/>
      <c r="I35" s="906" t="inlineStr">
        <is>
          <t>млн куб.м.</t>
        </is>
      </c>
    </row>
    <row r="36" ht="20.1" customHeight="1" s="769">
      <c r="C36" s="917" t="inlineStr">
        <is>
          <t>Газпром добыча Астрахань</t>
        </is>
      </c>
      <c r="D36" s="528" t="n"/>
      <c r="E36" s="528" t="n"/>
      <c r="F36" s="529" t="n"/>
      <c r="G36" s="530" t="n"/>
      <c r="H36" s="530" t="n"/>
      <c r="I36" s="909" t="inlineStr">
        <is>
          <t>млн куб.м.</t>
        </is>
      </c>
    </row>
    <row r="37" ht="20.1" customHeight="1" s="769">
      <c r="C37" s="904" t="inlineStr">
        <is>
          <t>Газпром переработка</t>
        </is>
      </c>
      <c r="D37" s="528" t="n"/>
      <c r="E37" s="528" t="n"/>
      <c r="F37" s="529" t="n"/>
      <c r="G37" s="530" t="inlineStr">
        <is>
          <t>2_100332038+2_100332040+2_100332042+2_100332044+2_100332916+2_100332944+2_100335129</t>
        </is>
      </c>
      <c r="H37" s="530" t="n"/>
      <c r="I37" s="903" t="inlineStr">
        <is>
          <t>млн куб.м.</t>
        </is>
      </c>
    </row>
    <row r="38" ht="20.1" customHeight="1" s="769">
      <c r="C38" s="905" t="inlineStr">
        <is>
          <t>Оренбургский ГХК</t>
        </is>
      </c>
      <c r="D38" s="528" t="n"/>
      <c r="E38" s="528" t="n"/>
      <c r="F38" s="529" t="n"/>
      <c r="G38" s="530" t="inlineStr">
        <is>
          <t>2_100332038+2_100332040+2_100332042+2_100332044+2_100332916+2_100332944+2_100335129</t>
        </is>
      </c>
      <c r="H38" s="530" t="n"/>
      <c r="I38" s="906" t="inlineStr">
        <is>
          <t>млн куб.м.</t>
        </is>
      </c>
    </row>
    <row r="39" ht="20.1" customHeight="1" s="769">
      <c r="C39" s="905" t="inlineStr">
        <is>
          <t>покупка у Газпром добыча Оренбург, всего</t>
        </is>
      </c>
      <c r="D39" s="528" t="n"/>
      <c r="E39" s="528" t="n"/>
      <c r="F39" s="529" t="n"/>
      <c r="G39" s="530" t="inlineStr">
        <is>
          <t>2_100332038+2_100332040+2_100332042+2_100332044+2_100332916+2_100332944+2_100335129</t>
        </is>
      </c>
      <c r="H39" s="530" t="n"/>
      <c r="I39" s="909" t="inlineStr">
        <is>
          <t>млн куб.м.</t>
        </is>
      </c>
    </row>
    <row r="40" ht="20.1" customHeight="1" s="769">
      <c r="C40" s="908" t="inlineStr">
        <is>
          <t>в т.ч. Газпром добыча Оренбург</t>
        </is>
      </c>
      <c r="D40" s="528" t="n"/>
      <c r="E40" s="528" t="n"/>
      <c r="F40" s="529" t="n"/>
      <c r="G40" s="530" t="inlineStr">
        <is>
          <t>2_100332038</t>
        </is>
      </c>
      <c r="H40" s="530" t="n"/>
      <c r="I40" s="909" t="inlineStr">
        <is>
          <t>млн куб.м.</t>
        </is>
      </c>
    </row>
    <row r="41" ht="20.1" customHeight="1" s="769">
      <c r="C41" s="908" t="inlineStr">
        <is>
          <t>Газпром нефть</t>
        </is>
      </c>
      <c r="D41" s="528" t="n"/>
      <c r="E41" s="528" t="n"/>
      <c r="F41" s="529" t="n"/>
      <c r="G41" s="530" t="inlineStr">
        <is>
          <t>2_100332040</t>
        </is>
      </c>
      <c r="H41" s="530" t="n"/>
      <c r="I41" s="909" t="inlineStr">
        <is>
          <t>млн куб.м.</t>
        </is>
      </c>
    </row>
    <row r="42" ht="20.1" customHeight="1" s="769">
      <c r="C42" s="908" t="inlineStr">
        <is>
          <t>УНГП</t>
        </is>
      </c>
      <c r="D42" s="528" t="n"/>
      <c r="E42" s="528" t="n"/>
      <c r="F42" s="529" t="n"/>
      <c r="G42" s="530" t="inlineStr">
        <is>
          <t>2_100332042</t>
        </is>
      </c>
      <c r="H42" s="530" t="n"/>
      <c r="I42" s="909" t="inlineStr">
        <is>
          <t>млн куб.м.</t>
        </is>
      </c>
    </row>
    <row r="43" ht="20.1" customHeight="1" s="769">
      <c r="C43" s="908" t="inlineStr">
        <is>
          <t>Сервиснефтегаз</t>
        </is>
      </c>
      <c r="D43" s="528" t="n"/>
      <c r="E43" s="528" t="n"/>
      <c r="F43" s="529" t="n"/>
      <c r="G43" s="530" t="inlineStr">
        <is>
          <t>2_100332044</t>
        </is>
      </c>
      <c r="H43" s="530" t="n"/>
      <c r="I43" s="909" t="inlineStr">
        <is>
          <t>млн куб.м.</t>
        </is>
      </c>
    </row>
    <row r="44" ht="20.1" customHeight="1" s="769">
      <c r="C44" s="908" t="inlineStr">
        <is>
          <t>Карбон</t>
        </is>
      </c>
      <c r="D44" s="528" t="n"/>
      <c r="E44" s="528" t="n"/>
      <c r="F44" s="529" t="n"/>
      <c r="G44" s="530" t="inlineStr">
        <is>
          <t>2_100332916</t>
        </is>
      </c>
      <c r="H44" s="530" t="n"/>
      <c r="I44" s="909" t="inlineStr">
        <is>
          <t>млн куб.м.</t>
        </is>
      </c>
    </row>
    <row r="45" ht="20.1" customHeight="1" s="769">
      <c r="C45" s="908" t="inlineStr">
        <is>
          <t>Газпромнефть-Заполярье</t>
        </is>
      </c>
      <c r="D45" s="528" t="n"/>
      <c r="E45" s="528" t="n"/>
      <c r="F45" s="529" t="n"/>
      <c r="G45" s="530" t="inlineStr">
        <is>
          <t>2_100332944</t>
        </is>
      </c>
      <c r="H45" s="530" t="n"/>
      <c r="I45" s="909" t="inlineStr">
        <is>
          <t>млн куб.м.</t>
        </is>
      </c>
    </row>
    <row r="46" ht="20.1" customHeight="1" s="769">
      <c r="C46" s="908" t="inlineStr">
        <is>
          <t>Сладковско-Заречное</t>
        </is>
      </c>
      <c r="D46" s="528" t="n"/>
      <c r="E46" s="528" t="n"/>
      <c r="F46" s="529" t="n"/>
      <c r="G46" s="530" t="inlineStr">
        <is>
          <t>2_100335129</t>
        </is>
      </c>
      <c r="H46" s="530" t="n"/>
      <c r="I46" s="909" t="inlineStr">
        <is>
          <t>млн куб.м.</t>
        </is>
      </c>
    </row>
    <row r="47" ht="20.1" customHeight="1" s="769">
      <c r="C47" s="904" t="inlineStr">
        <is>
          <t>Газпром ГНП холдинг</t>
        </is>
      </c>
      <c r="D47" s="528" t="n"/>
      <c r="E47" s="528" t="n"/>
      <c r="F47" s="529" t="n"/>
      <c r="G47" s="530" t="inlineStr">
        <is>
          <t>3_100330552</t>
        </is>
      </c>
      <c r="H47" s="530" t="n"/>
      <c r="I47" s="903" t="inlineStr">
        <is>
          <t>млн куб.м.</t>
        </is>
      </c>
    </row>
    <row r="48" ht="20.1" customHeight="1" s="769">
      <c r="C48" s="905" t="inlineStr">
        <is>
          <t>Сосногорский ГПЗ</t>
        </is>
      </c>
      <c r="D48" s="528" t="n"/>
      <c r="E48" s="528" t="n"/>
      <c r="F48" s="529" t="n"/>
      <c r="G48" s="530" t="inlineStr">
        <is>
          <t>3_100330552</t>
        </is>
      </c>
      <c r="H48" s="530" t="n"/>
      <c r="I48" s="906" t="inlineStr">
        <is>
          <t>млн куб.м.</t>
        </is>
      </c>
    </row>
    <row r="49" ht="20.1" customHeight="1" s="769">
      <c r="C49" s="908" t="inlineStr">
        <is>
          <t>Лукойл-Коми</t>
        </is>
      </c>
      <c r="D49" s="528" t="n"/>
      <c r="E49" s="528" t="n"/>
      <c r="F49" s="529" t="n"/>
      <c r="G49" s="530" t="inlineStr">
        <is>
          <t>3_100330552</t>
        </is>
      </c>
      <c r="H49" s="530" t="n"/>
      <c r="I49" s="909" t="inlineStr">
        <is>
          <t>млн куб.м.</t>
        </is>
      </c>
    </row>
    <row r="50" ht="20.1" customHeight="1" s="769">
      <c r="C50" s="904" t="inlineStr">
        <is>
          <t>Газпром переработка Благовещенск</t>
        </is>
      </c>
      <c r="D50" s="528" t="n"/>
      <c r="E50" s="528" t="n"/>
      <c r="F50" s="529" t="n"/>
      <c r="G50" s="530" t="inlineStr">
        <is>
          <t>14_100335076</t>
        </is>
      </c>
      <c r="H50" s="530" t="n"/>
      <c r="I50" s="903" t="inlineStr">
        <is>
          <t>млн куб.м.</t>
        </is>
      </c>
    </row>
    <row r="51" ht="20.1" customHeight="1" s="769">
      <c r="C51" s="905" t="inlineStr">
        <is>
          <t>Амурский ГПЗ</t>
        </is>
      </c>
      <c r="D51" s="528" t="n"/>
      <c r="E51" s="528" t="n"/>
      <c r="F51" s="529" t="n"/>
      <c r="G51" s="530" t="inlineStr">
        <is>
          <t>14_100335076</t>
        </is>
      </c>
      <c r="H51" s="530" t="n"/>
      <c r="I51" s="906" t="inlineStr">
        <is>
          <t>млн куб.м.</t>
        </is>
      </c>
    </row>
    <row r="52" outlineLevel="1" ht="20.1" customHeight="1" s="769">
      <c r="C52" s="910" t="inlineStr">
        <is>
          <t>Газпром СПГ Портовая</t>
        </is>
      </c>
      <c r="D52" s="528" t="n"/>
      <c r="E52" s="528" t="n"/>
      <c r="F52" s="529" t="n"/>
      <c r="G52" s="530" t="n"/>
      <c r="H52" s="530" t="n"/>
      <c r="I52" s="911" t="inlineStr">
        <is>
          <t>млн куб.м.</t>
        </is>
      </c>
    </row>
    <row r="53" outlineLevel="1" ht="20.1" customHeight="1" s="769">
      <c r="C53" s="912" t="inlineStr">
        <is>
          <t>КСПГ КС  Портовая</t>
        </is>
      </c>
      <c r="D53" s="528" t="n"/>
      <c r="E53" s="528" t="n"/>
      <c r="F53" s="529" t="n"/>
      <c r="G53" s="530" t="n"/>
      <c r="H53" s="530" t="n"/>
      <c r="I53" s="913" t="inlineStr">
        <is>
          <t>млн куб.м.</t>
        </is>
      </c>
    </row>
    <row r="54" outlineLevel="1" ht="20.1" customHeight="1" s="769">
      <c r="C54" s="914" t="inlineStr">
        <is>
          <t>в т.ч. СТН при переработке</t>
        </is>
      </c>
      <c r="D54" s="528" t="n"/>
      <c r="E54" s="528" t="n"/>
      <c r="F54" s="529" t="n"/>
      <c r="G54" s="530" t="n"/>
      <c r="H54" s="530" t="n"/>
      <c r="I54" s="915" t="inlineStr">
        <is>
          <t>млн куб.м.</t>
        </is>
      </c>
    </row>
    <row r="55" outlineLevel="1" ht="20.1" customHeight="1" s="769">
      <c r="C55" s="914" t="inlineStr">
        <is>
          <t>в т.ч. СТН при пусковых операциях</t>
        </is>
      </c>
      <c r="D55" s="528" t="n"/>
      <c r="E55" s="528" t="n"/>
      <c r="F55" s="529" t="n"/>
      <c r="G55" s="530" t="n"/>
      <c r="H55" s="530" t="n"/>
      <c r="I55" s="915" t="inlineStr">
        <is>
          <t>млн куб.м.</t>
        </is>
      </c>
    </row>
    <row r="56" ht="20.1" customHeight="1" s="769">
      <c r="B56" s="747" t="inlineStr">
        <is>
          <t xml:space="preserve">2. </t>
        </is>
      </c>
      <c r="C56" s="416" t="inlineStr">
        <is>
          <t>Поставка газа на Амурский ГПЗ</t>
        </is>
      </c>
      <c r="D56" s="528" t="n"/>
      <c r="E56" s="528" t="n"/>
      <c r="F56" s="529" t="n"/>
      <c r="G56" s="530" t="n"/>
      <c r="H56" s="530" t="n"/>
      <c r="I56" s="903" t="n"/>
    </row>
    <row r="57" ht="20.1" customHeight="1" s="769">
      <c r="C57" s="904" t="inlineStr">
        <is>
          <t>Газпром переработка Благовещенск</t>
        </is>
      </c>
      <c r="D57" s="528" t="n"/>
      <c r="E57" s="528" t="n"/>
      <c r="F57" s="529" t="n"/>
      <c r="G57" s="530" t="inlineStr">
        <is>
          <t>14_100332979-14_100335059-14_100335057-14_100335425+14_100335428+14_100335059</t>
        </is>
      </c>
      <c r="H57" s="530" t="n"/>
      <c r="I57" s="903" t="inlineStr">
        <is>
          <t>млн куб.м.</t>
        </is>
      </c>
    </row>
    <row r="58" ht="20.1" customHeight="1" s="769">
      <c r="C58" s="905" t="inlineStr">
        <is>
          <t>Амурский ГПЗ</t>
        </is>
      </c>
      <c r="D58" s="528" t="n"/>
      <c r="E58" s="528" t="n"/>
      <c r="F58" s="529" t="n"/>
      <c r="G58" s="530" t="inlineStr">
        <is>
          <t>14_100332979-14_100335059-14_100335057-14_100335425+14_100335428+14_100335059</t>
        </is>
      </c>
      <c r="H58" s="530" t="n"/>
      <c r="I58" s="906" t="inlineStr">
        <is>
          <t>млн куб.м.</t>
        </is>
      </c>
    </row>
    <row r="59" ht="20.1" customHeight="1" s="769">
      <c r="B59" s="413" t="inlineStr">
        <is>
          <t>2.1</t>
        </is>
      </c>
      <c r="C59" s="907" t="inlineStr">
        <is>
          <t>Газпром</t>
        </is>
      </c>
      <c r="D59" s="528" t="n"/>
      <c r="E59" s="528" t="n"/>
      <c r="F59" s="529" t="n"/>
      <c r="G59" s="530" t="n"/>
      <c r="H59" s="530" t="n"/>
      <c r="I59" s="903" t="n"/>
    </row>
    <row r="60" ht="20.1" customHeight="1" s="769">
      <c r="C60" s="904" t="inlineStr">
        <is>
          <t>Газпром переработка Благовещенск</t>
        </is>
      </c>
      <c r="D60" s="528" t="n"/>
      <c r="E60" s="528" t="n"/>
      <c r="F60" s="529" t="n"/>
      <c r="G60" s="530" t="inlineStr">
        <is>
          <t>14_100332979-14_100335059-14_100335057-14_100335425</t>
        </is>
      </c>
      <c r="H60" s="530" t="n"/>
      <c r="I60" s="903" t="inlineStr">
        <is>
          <t>млн куб.м.</t>
        </is>
      </c>
    </row>
    <row r="61" ht="20.1" customHeight="1" s="769">
      <c r="C61" s="905" t="inlineStr">
        <is>
          <t>Амурский ГПЗ</t>
        </is>
      </c>
      <c r="D61" s="528" t="n"/>
      <c r="E61" s="528" t="n"/>
      <c r="F61" s="529" t="n"/>
      <c r="G61" s="530" t="inlineStr">
        <is>
          <t>14_100332979-14_100335059-14_100335057-14_100335425</t>
        </is>
      </c>
      <c r="H61" s="530" t="n"/>
      <c r="I61" s="906" t="inlineStr">
        <is>
          <t>млн куб.м.</t>
        </is>
      </c>
    </row>
    <row r="62" ht="20.1" customHeight="1" s="769">
      <c r="B62" s="413" t="inlineStr">
        <is>
          <t>2.2</t>
        </is>
      </c>
      <c r="C62" s="907" t="inlineStr">
        <is>
          <t>Дочерние общества</t>
        </is>
      </c>
      <c r="D62" s="528" t="n"/>
      <c r="E62" s="528" t="n"/>
      <c r="F62" s="529" t="n"/>
      <c r="G62" s="530" t="n"/>
      <c r="H62" s="530" t="n"/>
      <c r="I62" s="903" t="n"/>
    </row>
    <row r="63" ht="20.1" customHeight="1" s="769">
      <c r="C63" s="904" t="inlineStr">
        <is>
          <t>Газпром переработка Благовещенск</t>
        </is>
      </c>
      <c r="D63" s="528" t="n"/>
      <c r="E63" s="528" t="n"/>
      <c r="F63" s="529" t="n"/>
      <c r="G63" s="530" t="inlineStr">
        <is>
          <t>14_100335428+14_100335059</t>
        </is>
      </c>
      <c r="H63" s="530" t="n"/>
      <c r="I63" s="903" t="inlineStr">
        <is>
          <t>млн куб.м.</t>
        </is>
      </c>
    </row>
    <row r="64" ht="20.1" customHeight="1" s="769">
      <c r="C64" s="905" t="inlineStr">
        <is>
          <t>Амурский ГПЗ</t>
        </is>
      </c>
      <c r="D64" s="528" t="n"/>
      <c r="E64" s="528" t="n"/>
      <c r="F64" s="529" t="n"/>
      <c r="G64" s="530" t="inlineStr">
        <is>
          <t>14_100335428+14_100335059</t>
        </is>
      </c>
      <c r="H64" s="530" t="n"/>
      <c r="I64" s="906" t="inlineStr">
        <is>
          <t>млн куб.м.</t>
        </is>
      </c>
    </row>
    <row r="65" ht="20.1" customHeight="1" s="769">
      <c r="B65" s="747" t="inlineStr">
        <is>
          <t>3.</t>
        </is>
      </c>
      <c r="C65" s="918" t="inlineStr">
        <is>
          <t>Переработка газа на Оренбургском гелиевом заводе</t>
        </is>
      </c>
      <c r="D65" s="528" t="n"/>
      <c r="E65" s="528" t="n"/>
      <c r="F65" s="529" t="n"/>
      <c r="G65" s="530" t="n"/>
      <c r="H65" s="530" t="n"/>
      <c r="I65" s="903" t="n"/>
    </row>
    <row r="66" ht="20.1" customHeight="1" s="769">
      <c r="C66" s="904" t="inlineStr">
        <is>
          <t>Газпром переработка</t>
        </is>
      </c>
      <c r="D66" s="528" t="n"/>
      <c r="E66" s="528" t="n"/>
      <c r="F66" s="529" t="n"/>
      <c r="G66" s="530" t="inlineStr">
        <is>
          <t>2_100332054+2_100332056+2_100335131</t>
        </is>
      </c>
      <c r="H66" s="530" t="n"/>
      <c r="I66" s="903" t="inlineStr">
        <is>
          <t>млн куб.м.</t>
        </is>
      </c>
    </row>
    <row r="67" ht="20.1" customHeight="1" s="769">
      <c r="C67" s="905" t="inlineStr">
        <is>
          <t>Оренбургский ГЗ</t>
        </is>
      </c>
      <c r="D67" s="528" t="n"/>
      <c r="E67" s="528" t="n"/>
      <c r="F67" s="529" t="n"/>
      <c r="G67" s="530" t="inlineStr">
        <is>
          <t>2_100332054+2_100332056+2_100335131</t>
        </is>
      </c>
      <c r="H67" s="530" t="n"/>
      <c r="I67" s="906" t="inlineStr">
        <is>
          <t>млн куб.м.</t>
        </is>
      </c>
    </row>
    <row r="68" ht="20.1" customHeight="1" s="769">
      <c r="B68" s="413" t="inlineStr">
        <is>
          <t>3.1</t>
        </is>
      </c>
      <c r="C68" s="907" t="inlineStr">
        <is>
          <t>Газпром</t>
        </is>
      </c>
      <c r="D68" s="528" t="n"/>
      <c r="E68" s="528" t="n"/>
      <c r="F68" s="529" t="n"/>
      <c r="G68" s="530" t="n">
        <v>0</v>
      </c>
      <c r="H68" s="530" t="n"/>
      <c r="I68" s="903" t="inlineStr">
        <is>
          <t>млн куб.м.</t>
        </is>
      </c>
    </row>
    <row r="69" ht="20.1" customHeight="1" s="769">
      <c r="B69" s="413" t="inlineStr">
        <is>
          <t>3.2</t>
        </is>
      </c>
      <c r="C69" s="907" t="inlineStr">
        <is>
          <t>Дочерние общества</t>
        </is>
      </c>
      <c r="D69" s="528" t="n"/>
      <c r="E69" s="528" t="n"/>
      <c r="F69" s="529" t="n"/>
      <c r="G69" s="530" t="inlineStr">
        <is>
          <t>2_100332054+2_100332056+2_100335131</t>
        </is>
      </c>
      <c r="H69" s="530" t="n"/>
      <c r="I69" s="903" t="inlineStr">
        <is>
          <t>млн куб.м.</t>
        </is>
      </c>
    </row>
    <row r="70" ht="20.1" customHeight="1" s="769">
      <c r="C70" s="904" t="inlineStr">
        <is>
          <t>Газпром переработка</t>
        </is>
      </c>
      <c r="D70" s="528" t="n"/>
      <c r="E70" s="528" t="n"/>
      <c r="F70" s="529" t="n"/>
      <c r="G70" s="530" t="inlineStr">
        <is>
          <t>2_100332054+2_100332056+2_100335131</t>
        </is>
      </c>
      <c r="H70" s="530" t="n"/>
      <c r="I70" s="903" t="inlineStr">
        <is>
          <t>млн куб.м.</t>
        </is>
      </c>
    </row>
    <row r="71" ht="20.1" customHeight="1" s="769">
      <c r="C71" s="905" t="inlineStr">
        <is>
          <t>Оренбургский ГЗ</t>
        </is>
      </c>
      <c r="D71" s="528" t="n"/>
      <c r="E71" s="528" t="n"/>
      <c r="F71" s="529" t="n"/>
      <c r="G71" s="530" t="inlineStr">
        <is>
          <t>2_100332054+2_100332056+2_100335131</t>
        </is>
      </c>
      <c r="H71" s="530" t="n"/>
      <c r="I71" s="906" t="inlineStr">
        <is>
          <t>млн куб.м.</t>
        </is>
      </c>
    </row>
    <row r="72" ht="20.1" customHeight="1" s="769">
      <c r="C72" s="908" t="inlineStr">
        <is>
          <t>Газпром добыча Оренбург</t>
        </is>
      </c>
      <c r="D72" s="528" t="n"/>
      <c r="E72" s="528" t="n"/>
      <c r="F72" s="529" t="n"/>
      <c r="G72" s="530" t="inlineStr">
        <is>
          <t>2_100332054</t>
        </is>
      </c>
      <c r="H72" s="530" t="n"/>
      <c r="I72" s="909" t="inlineStr">
        <is>
          <t>млн куб.м.</t>
        </is>
      </c>
    </row>
    <row r="73" ht="20.1" customHeight="1" s="769">
      <c r="C73" s="908" t="inlineStr">
        <is>
          <t>Газпром нефть</t>
        </is>
      </c>
      <c r="D73" s="528" t="n"/>
      <c r="E73" s="528" t="n"/>
      <c r="F73" s="529" t="n"/>
      <c r="G73" s="530" t="inlineStr">
        <is>
          <t>2_100332056</t>
        </is>
      </c>
      <c r="H73" s="530" t="n"/>
      <c r="I73" s="909" t="inlineStr">
        <is>
          <t>млн куб.м.</t>
        </is>
      </c>
    </row>
    <row r="74" ht="20.1" customHeight="1" s="769">
      <c r="C74" s="430" t="inlineStr">
        <is>
          <t>прочие поставщики (ГПНЗ, УНГП, и.т.д.)</t>
        </is>
      </c>
      <c r="D74" s="528" t="n"/>
      <c r="E74" s="528" t="n"/>
      <c r="F74" s="529" t="n"/>
      <c r="G74" s="530" t="inlineStr">
        <is>
          <t>2_100335131</t>
        </is>
      </c>
      <c r="H74" s="530" t="n"/>
      <c r="I74" s="909" t="inlineStr">
        <is>
          <t>млн куб.м.</t>
        </is>
      </c>
    </row>
    <row r="75" ht="20.1" customHeight="1" s="769">
      <c r="B75" s="747" t="inlineStr">
        <is>
          <t>4.</t>
        </is>
      </c>
      <c r="C75" s="919" t="inlineStr">
        <is>
          <t>Переработка нестабильного  газового конденсата и нефти</t>
        </is>
      </c>
      <c r="D75" s="528" t="n"/>
      <c r="E75" s="528" t="n"/>
      <c r="F75" s="529" t="n"/>
      <c r="G75" s="530" t="inlineStr">
        <is>
          <t>1_100331985+2_100332062+2_100335697+2_100332061+3_100330017+4_100333682+4_100331828+4_100331835+4_100331804+4_100335033+7_100330595+12_100330735+0+13_100330000+10_100330715+10_100330861+10_100330718+11_100330015+9_100330671+2_100332068+2_100332947+2_100332066+2_100332067+2_100332069+3_100330196+4_100331838+4_100335093+4_100333678+9_100330672</t>
        </is>
      </c>
      <c r="H75" s="530" t="n"/>
      <c r="I75" s="903" t="inlineStr">
        <is>
          <t>тыс.т</t>
        </is>
      </c>
    </row>
    <row r="76" ht="20.1" customHeight="1" s="769">
      <c r="B76" s="747" t="inlineStr">
        <is>
          <t>4.1.</t>
        </is>
      </c>
      <c r="C76" s="902" t="inlineStr">
        <is>
          <t>Газовый конденсат-всего</t>
        </is>
      </c>
      <c r="D76" s="528" t="n"/>
      <c r="E76" s="528" t="n"/>
      <c r="F76" s="529" t="n"/>
      <c r="G76" s="530" t="inlineStr">
        <is>
          <t>1_100331985+2_100332062+2_100335697+2_100332061+3_100330017+4_100333682+4_100331828+4_100331835+4_100331804+4_100335033+7_100330595+12_100330735+0+13_100330000+10_100330715+10_100330861+10_100330718+11_100330015+9_100330671</t>
        </is>
      </c>
      <c r="H76" s="530" t="n"/>
      <c r="I76" s="903" t="inlineStr">
        <is>
          <t>тыс.т</t>
        </is>
      </c>
    </row>
    <row r="77" ht="20.1" customHeight="1" s="769">
      <c r="C77" s="904" t="inlineStr">
        <is>
          <t xml:space="preserve">   Газпром переработка</t>
        </is>
      </c>
      <c r="D77" s="528" t="n"/>
      <c r="E77" s="528" t="n"/>
      <c r="F77" s="529" t="n"/>
      <c r="G77" s="530" t="inlineStr">
        <is>
          <t>1_100331985+2_100332062+2_100335697+2_100332061+3_100330017+4_100333682+4_100331828+4_100331835+4_100331804+4_100335033</t>
        </is>
      </c>
      <c r="H77" s="530" t="n"/>
      <c r="I77" s="903" t="inlineStr">
        <is>
          <t>тыс.т</t>
        </is>
      </c>
    </row>
    <row r="78" ht="20.1" customHeight="1" s="769">
      <c r="C78" s="905" t="inlineStr">
        <is>
          <t>Астраханский ГПЗ</t>
        </is>
      </c>
      <c r="D78" s="528" t="n"/>
      <c r="E78" s="528" t="n"/>
      <c r="F78" s="529" t="n"/>
      <c r="G78" s="530" t="inlineStr">
        <is>
          <t>1_100331985</t>
        </is>
      </c>
      <c r="H78" s="530" t="n"/>
      <c r="I78" s="906" t="inlineStr">
        <is>
          <t>тыс.т</t>
        </is>
      </c>
    </row>
    <row r="79" ht="20.1" customHeight="1" s="769">
      <c r="C79" s="905" t="inlineStr">
        <is>
          <t>Оренбургский ГХК</t>
        </is>
      </c>
      <c r="D79" s="528" t="n"/>
      <c r="E79" s="528" t="n"/>
      <c r="F79" s="529" t="n"/>
      <c r="G79" s="530" t="inlineStr">
        <is>
          <t>2_100332062+2_100335697+2_100332061</t>
        </is>
      </c>
      <c r="H79" s="530" t="n"/>
      <c r="I79" s="906" t="inlineStr">
        <is>
          <t>тыс.т</t>
        </is>
      </c>
    </row>
    <row r="80" ht="20.1" customHeight="1" s="769">
      <c r="C80" s="905" t="inlineStr">
        <is>
          <t>Сосногорский ГПЗ</t>
        </is>
      </c>
      <c r="D80" s="528" t="n"/>
      <c r="E80" s="528" t="n"/>
      <c r="F80" s="529" t="n"/>
      <c r="G80" s="530" t="inlineStr">
        <is>
          <t>3_100330017</t>
        </is>
      </c>
      <c r="H80" s="530" t="n"/>
      <c r="I80" s="906" t="inlineStr">
        <is>
          <t>тыс.т</t>
        </is>
      </c>
    </row>
    <row r="81" ht="20.1" customHeight="1" s="769">
      <c r="C81" s="905" t="inlineStr">
        <is>
          <t xml:space="preserve">               Уренгойский ЗПКТ- Сургутский ЗСК и привлеченные мощности</t>
        </is>
      </c>
      <c r="D81" s="528" t="n"/>
      <c r="E81" s="528" t="n"/>
      <c r="F81" s="529" t="n"/>
      <c r="G81" s="530" t="inlineStr">
        <is>
          <t>4_100333682+4_100331828+4_100331835+4_100331804+4_100335033</t>
        </is>
      </c>
      <c r="H81" s="530" t="n"/>
      <c r="I81" s="906" t="inlineStr">
        <is>
          <t>тыс.т</t>
        </is>
      </c>
    </row>
    <row r="82" ht="20.1" customHeight="1" s="769">
      <c r="C82" s="904" t="inlineStr">
        <is>
          <t xml:space="preserve">   Газпром добыча Ямбург</t>
        </is>
      </c>
      <c r="D82" s="528" t="n"/>
      <c r="E82" s="528" t="n"/>
      <c r="F82" s="529" t="n"/>
      <c r="G82" s="530" t="inlineStr">
        <is>
          <t>7_100330595</t>
        </is>
      </c>
      <c r="H82" s="530" t="n"/>
      <c r="I82" s="903" t="inlineStr">
        <is>
          <t>тыс.т</t>
        </is>
      </c>
    </row>
    <row r="83" ht="20.1" customHeight="1" s="769">
      <c r="C83" s="904" t="inlineStr">
        <is>
          <t>Газпром добыча Иркутск</t>
        </is>
      </c>
      <c r="D83" s="528" t="n"/>
      <c r="E83" s="528" t="n"/>
      <c r="F83" s="529" t="n"/>
      <c r="G83" s="530" t="inlineStr">
        <is>
          <t>12_100330735+0</t>
        </is>
      </c>
      <c r="H83" s="530" t="n"/>
      <c r="I83" s="903" t="inlineStr">
        <is>
          <t>тыс.т</t>
        </is>
      </c>
    </row>
    <row r="84" ht="20.1" customHeight="1" s="769">
      <c r="C84" s="414" t="inlineStr">
        <is>
          <t>Газпром добыча шельф Южно-Сахалинск</t>
        </is>
      </c>
      <c r="D84" s="528" t="n"/>
      <c r="E84" s="528" t="n"/>
      <c r="F84" s="529" t="n"/>
      <c r="G84" s="530" t="inlineStr">
        <is>
          <t>13_100330000</t>
        </is>
      </c>
      <c r="H84" s="530" t="n"/>
      <c r="I84" s="903" t="inlineStr">
        <is>
          <t>тыс. т</t>
        </is>
      </c>
    </row>
    <row r="85" ht="20.1" customHeight="1" s="769">
      <c r="C85" s="904" t="inlineStr">
        <is>
          <t>Газпром добыча Ноябрьск</t>
        </is>
      </c>
      <c r="D85" s="528" t="n"/>
      <c r="E85" s="528" t="n"/>
      <c r="F85" s="529" t="n"/>
      <c r="G85" s="530" t="inlineStr">
        <is>
          <t>10_100330715+10_100330861+10_100330718</t>
        </is>
      </c>
      <c r="H85" s="530" t="n"/>
      <c r="I85" s="903" t="inlineStr">
        <is>
          <t>тыс. т</t>
        </is>
      </c>
    </row>
    <row r="86" ht="20.1" customHeight="1" s="769">
      <c r="C86" s="904" t="inlineStr">
        <is>
          <t>Газпром добыча Надым</t>
        </is>
      </c>
      <c r="D86" s="528" t="n"/>
      <c r="E86" s="528" t="n"/>
      <c r="F86" s="529" t="n"/>
      <c r="G86" s="530" t="inlineStr">
        <is>
          <t>11_100330015</t>
        </is>
      </c>
      <c r="H86" s="530" t="n"/>
      <c r="I86" s="903" t="inlineStr">
        <is>
          <t>тыс. т</t>
        </is>
      </c>
    </row>
    <row r="87" ht="20.1" customHeight="1" s="769">
      <c r="C87" s="904" t="inlineStr">
        <is>
          <t>Газпром добыча Краснодар</t>
        </is>
      </c>
      <c r="D87" s="528" t="n"/>
      <c r="E87" s="528" t="n"/>
      <c r="F87" s="529" t="n"/>
      <c r="G87" s="530" t="inlineStr">
        <is>
          <t>9_100330671</t>
        </is>
      </c>
      <c r="H87" s="530" t="n"/>
      <c r="I87" s="903" t="inlineStr">
        <is>
          <t>тыс. т</t>
        </is>
      </c>
    </row>
    <row r="88" ht="20.1" customHeight="1" s="769">
      <c r="B88" s="413" t="inlineStr">
        <is>
          <t>4.1.1.</t>
        </is>
      </c>
      <c r="C88" s="907" t="inlineStr">
        <is>
          <t>Газпром</t>
        </is>
      </c>
      <c r="D88" s="528" t="n"/>
      <c r="E88" s="528" t="n"/>
      <c r="F88" s="529" t="n"/>
      <c r="G88" s="530" t="inlineStr">
        <is>
          <t>2_100332061+3_100330017+4_100331828+4_100331835+4_100331804+4_100335033+1_100331985+12_100330735+0+13_100330000+10_100330715+10_100330861</t>
        </is>
      </c>
      <c r="H88" s="530" t="n"/>
      <c r="I88" s="903" t="inlineStr">
        <is>
          <t>тыс.т</t>
        </is>
      </c>
    </row>
    <row r="89" ht="20.1" customHeight="1" s="769">
      <c r="C89" s="904" t="inlineStr">
        <is>
          <t xml:space="preserve">   Газпром переработка</t>
        </is>
      </c>
      <c r="D89" s="528" t="n"/>
      <c r="E89" s="528" t="n"/>
      <c r="F89" s="529" t="n"/>
      <c r="G89" s="530" t="inlineStr">
        <is>
          <t>2_100332061+3_100330017+4_100331828+4_100331835+4_100331804+4_100335033+1_100331985</t>
        </is>
      </c>
      <c r="H89" s="530" t="n"/>
      <c r="I89" s="903" t="inlineStr">
        <is>
          <t>тыс.т</t>
        </is>
      </c>
    </row>
    <row r="90" ht="20.1" customHeight="1" s="769">
      <c r="C90" s="905" t="inlineStr">
        <is>
          <t>Астраханский ГПЗ</t>
        </is>
      </c>
      <c r="D90" s="528" t="n"/>
      <c r="E90" s="528" t="n"/>
      <c r="F90" s="529" t="n"/>
      <c r="G90" s="530" t="inlineStr">
        <is>
          <t>1_100331985</t>
        </is>
      </c>
      <c r="H90" s="530" t="n"/>
      <c r="I90" s="906" t="inlineStr">
        <is>
          <t>тыс.т</t>
        </is>
      </c>
    </row>
    <row r="91" ht="20.1" customHeight="1" s="769">
      <c r="C91" s="905" t="inlineStr">
        <is>
          <t>Оренбургский ГХК</t>
        </is>
      </c>
      <c r="D91" s="528" t="n"/>
      <c r="E91" s="528" t="n"/>
      <c r="F91" s="529" t="n"/>
      <c r="G91" s="530" t="inlineStr">
        <is>
          <t>2_100332061</t>
        </is>
      </c>
      <c r="H91" s="530" t="n"/>
      <c r="I91" s="906" t="inlineStr">
        <is>
          <t>тыс.т</t>
        </is>
      </c>
    </row>
    <row r="92" ht="20.1" customHeight="1" s="769">
      <c r="C92" s="908" t="inlineStr">
        <is>
          <t>Газпром добыча Оренбург</t>
        </is>
      </c>
      <c r="D92" s="528" t="n"/>
      <c r="E92" s="528" t="n"/>
      <c r="F92" s="529" t="n"/>
      <c r="G92" s="530" t="inlineStr">
        <is>
          <t>2_100332061</t>
        </is>
      </c>
      <c r="H92" s="530" t="n"/>
      <c r="I92" s="909" t="inlineStr">
        <is>
          <t>тыс.т</t>
        </is>
      </c>
    </row>
    <row r="93" ht="20.1" customHeight="1" s="769">
      <c r="C93" s="905" t="inlineStr">
        <is>
          <t xml:space="preserve">   Сосногорский ГПЗ </t>
        </is>
      </c>
      <c r="D93" s="528" t="n"/>
      <c r="E93" s="528" t="n"/>
      <c r="F93" s="529" t="n"/>
      <c r="G93" s="530" t="inlineStr">
        <is>
          <t>3_100330017</t>
        </is>
      </c>
      <c r="H93" s="530" t="n"/>
      <c r="I93" s="906" t="inlineStr">
        <is>
          <t>тыс.т</t>
        </is>
      </c>
    </row>
    <row r="94" ht="20.1" customHeight="1" s="769">
      <c r="C94" s="908" t="inlineStr">
        <is>
          <t>Газпром добыча Краснодар (в составе НГКС)</t>
        </is>
      </c>
      <c r="D94" s="528" t="n"/>
      <c r="E94" s="528" t="n"/>
      <c r="F94" s="529" t="n"/>
      <c r="G94" s="530" t="inlineStr">
        <is>
          <t>3_100330017</t>
        </is>
      </c>
      <c r="H94" s="530" t="n"/>
      <c r="I94" s="909" t="inlineStr">
        <is>
          <t>тыс.т</t>
        </is>
      </c>
    </row>
    <row r="95" ht="20.1" customHeight="1" s="769">
      <c r="C95" s="905" t="inlineStr">
        <is>
          <t xml:space="preserve">               Уренгойский ЗПКТ- Сургутский ЗСК и привлеченные мощности</t>
        </is>
      </c>
      <c r="D95" s="528" t="n"/>
      <c r="E95" s="528" t="n"/>
      <c r="F95" s="529" t="n"/>
      <c r="G95" s="530" t="inlineStr">
        <is>
          <t>4_100331828+4_100331835+4_100331804+4_100335033</t>
        </is>
      </c>
      <c r="H95" s="530" t="n"/>
      <c r="I95" s="906" t="inlineStr">
        <is>
          <t>тыс.т</t>
        </is>
      </c>
    </row>
    <row r="96" ht="20.1" customHeight="1" s="769">
      <c r="C96" s="908" t="inlineStr">
        <is>
          <t>в т.ч. доп. мощности</t>
        </is>
      </c>
      <c r="D96" s="528" t="n"/>
      <c r="E96" s="528" t="n"/>
      <c r="F96" s="529" t="n"/>
      <c r="G96" s="530" t="inlineStr">
        <is>
          <t>4_100335357+4_100335358</t>
        </is>
      </c>
      <c r="H96" s="530" t="n"/>
      <c r="I96" s="909" t="inlineStr">
        <is>
          <t>тыс.т</t>
        </is>
      </c>
    </row>
    <row r="97" ht="20.1" customHeight="1" s="769">
      <c r="C97" s="908" t="inlineStr">
        <is>
          <t xml:space="preserve">Газпром добыча Ямбург </t>
        </is>
      </c>
      <c r="D97" s="528" t="n"/>
      <c r="E97" s="528" t="n"/>
      <c r="F97" s="529" t="n"/>
      <c r="G97" s="530" t="inlineStr">
        <is>
          <t>4_100331828</t>
        </is>
      </c>
      <c r="H97" s="530" t="n"/>
      <c r="I97" s="909" t="inlineStr">
        <is>
          <t>тыс.т</t>
        </is>
      </c>
    </row>
    <row r="98" ht="20.1" customHeight="1" s="769">
      <c r="C98" s="908" t="inlineStr">
        <is>
          <t>Сибнефтегаз ( Береговое НГКМ)</t>
        </is>
      </c>
      <c r="D98" s="528" t="n"/>
      <c r="E98" s="528" t="n"/>
      <c r="F98" s="529" t="n"/>
      <c r="G98" s="530" t="inlineStr">
        <is>
          <t>4_100331835</t>
        </is>
      </c>
      <c r="H98" s="530" t="n"/>
      <c r="I98" s="909" t="inlineStr">
        <is>
          <t>тыс.т</t>
        </is>
      </c>
    </row>
    <row r="99" ht="20.1" customHeight="1" s="769">
      <c r="C99" s="908" t="inlineStr">
        <is>
          <t>Газпром добыча Уренгой</t>
        </is>
      </c>
      <c r="D99" s="528" t="n"/>
      <c r="E99" s="528" t="n"/>
      <c r="F99" s="529" t="n"/>
      <c r="G99" s="530" t="inlineStr">
        <is>
          <t>4_100331804+4_100335033</t>
        </is>
      </c>
      <c r="H99" s="530" t="n"/>
      <c r="I99" s="909" t="inlineStr">
        <is>
          <t>тыс.т</t>
        </is>
      </c>
    </row>
    <row r="100" ht="20.1" customHeight="1" s="769">
      <c r="C100" s="908" t="inlineStr">
        <is>
          <t>в т.ч. ДРОД</t>
        </is>
      </c>
      <c r="D100" s="528" t="n"/>
      <c r="E100" s="528" t="n"/>
      <c r="F100" s="529" t="n"/>
      <c r="G100" s="530" t="inlineStr">
        <is>
          <t>4_100335470+4_100335508</t>
        </is>
      </c>
      <c r="H100" s="530" t="n"/>
      <c r="I100" s="909" t="inlineStr">
        <is>
          <t>тыс.т</t>
        </is>
      </c>
    </row>
    <row r="101" ht="20.1" customHeight="1" s="769">
      <c r="C101" s="908" t="inlineStr">
        <is>
          <t>в т.ч. C5+ от подготовки газа деэтанизации</t>
        </is>
      </c>
      <c r="D101" s="528" t="n"/>
      <c r="E101" s="528" t="n"/>
      <c r="F101" s="529" t="n"/>
      <c r="G101" s="530" t="inlineStr">
        <is>
          <t>4_100337101</t>
        </is>
      </c>
      <c r="H101" s="530" t="n"/>
      <c r="I101" s="909" t="inlineStr">
        <is>
          <t>тыс.т</t>
        </is>
      </c>
    </row>
    <row r="102" ht="20.1" customHeight="1" s="769">
      <c r="C102" s="904" t="inlineStr">
        <is>
          <t>Газпром добыча Иркутск</t>
        </is>
      </c>
      <c r="D102" s="528" t="n"/>
      <c r="E102" s="528" t="n"/>
      <c r="F102" s="529" t="n"/>
      <c r="G102" s="530" t="inlineStr">
        <is>
          <t>12_100330735+0</t>
        </is>
      </c>
      <c r="H102" s="530" t="n"/>
      <c r="I102" s="903" t="inlineStr">
        <is>
          <t>тыс.т</t>
        </is>
      </c>
    </row>
    <row r="103" ht="20.1" customHeight="1" s="769">
      <c r="C103" s="908" t="inlineStr">
        <is>
          <t>Ковыктинское ГКМ</t>
        </is>
      </c>
      <c r="D103" s="528" t="n"/>
      <c r="E103" s="528" t="n"/>
      <c r="F103" s="529" t="n"/>
      <c r="G103" s="530" t="inlineStr">
        <is>
          <t>12_100330735</t>
        </is>
      </c>
      <c r="H103" s="530" t="n"/>
      <c r="I103" s="909" t="inlineStr">
        <is>
          <t>тыс.т</t>
        </is>
      </c>
    </row>
    <row r="104" ht="20.1" customHeight="1" s="769">
      <c r="C104" s="908" t="inlineStr">
        <is>
          <t>Чиканское ГКМ</t>
        </is>
      </c>
      <c r="D104" s="528" t="n"/>
      <c r="E104" s="528" t="n"/>
      <c r="F104" s="529" t="n"/>
      <c r="G104" s="530" t="n">
        <v>0</v>
      </c>
      <c r="H104" s="530" t="n"/>
      <c r="I104" s="909" t="inlineStr">
        <is>
          <t>тыс.т</t>
        </is>
      </c>
    </row>
    <row r="105" ht="20.1" customHeight="1" s="769">
      <c r="C105" s="904" t="inlineStr">
        <is>
          <t>Газпром добыча шельф Южно-Сахалинск</t>
        </is>
      </c>
      <c r="D105" s="528" t="n"/>
      <c r="E105" s="528" t="n"/>
      <c r="F105" s="529" t="n"/>
      <c r="G105" s="530" t="inlineStr">
        <is>
          <t>13_100330000</t>
        </is>
      </c>
      <c r="H105" s="530" t="n"/>
      <c r="I105" s="903" t="inlineStr">
        <is>
          <t>тыс. т</t>
        </is>
      </c>
    </row>
    <row r="106" ht="20.1" customHeight="1" s="769">
      <c r="C106" s="904" t="inlineStr">
        <is>
          <t>Газпром добыча Ноябрьск</t>
        </is>
      </c>
      <c r="D106" s="528" t="n"/>
      <c r="E106" s="528" t="n"/>
      <c r="F106" s="529" t="n"/>
      <c r="G106" s="530" t="inlineStr">
        <is>
          <t>10_100330715+10_100330861</t>
        </is>
      </c>
      <c r="H106" s="530" t="n"/>
      <c r="I106" s="903" t="inlineStr">
        <is>
          <t>тыс. т</t>
        </is>
      </c>
    </row>
    <row r="107" ht="20.1" customHeight="1" s="769">
      <c r="C107" s="908" t="inlineStr">
        <is>
          <t>Чаяндинское НГКМ</t>
        </is>
      </c>
      <c r="D107" s="528" t="n"/>
      <c r="E107" s="528" t="n"/>
      <c r="F107" s="529" t="n"/>
      <c r="G107" s="530" t="inlineStr">
        <is>
          <t>10_100330715</t>
        </is>
      </c>
      <c r="H107" s="530" t="n"/>
      <c r="I107" s="909" t="inlineStr">
        <is>
          <t>тыс.т</t>
        </is>
      </c>
    </row>
    <row r="108" ht="20.1" customHeight="1" s="769">
      <c r="C108" s="908" t="inlineStr">
        <is>
          <t>Западно-Таркосалинское НГКМ на СЗСК</t>
        </is>
      </c>
      <c r="D108" s="528" t="n"/>
      <c r="E108" s="528" t="n"/>
      <c r="F108" s="529" t="n"/>
      <c r="G108" s="530" t="inlineStr">
        <is>
          <t>10_100330861</t>
        </is>
      </c>
      <c r="H108" s="530" t="n"/>
      <c r="I108" s="909" t="inlineStr">
        <is>
          <t>тыс.т</t>
        </is>
      </c>
    </row>
    <row r="109" ht="20.1" customHeight="1" s="769">
      <c r="B109" s="413" t="inlineStr">
        <is>
          <t>4.1.2.</t>
        </is>
      </c>
      <c r="C109" s="907" t="inlineStr">
        <is>
          <t>Дочерние общества</t>
        </is>
      </c>
      <c r="D109" s="528" t="n"/>
      <c r="E109" s="528" t="n"/>
      <c r="F109" s="529" t="n"/>
      <c r="G109" s="530" t="inlineStr">
        <is>
          <t>2_100332062+2_100335697+4_100333682+0+7_100330595+10_100330718+11_100330015+9_100330671</t>
        </is>
      </c>
      <c r="H109" s="530" t="n"/>
      <c r="I109" s="903" t="inlineStr">
        <is>
          <t>тыс.т</t>
        </is>
      </c>
    </row>
    <row r="110" outlineLevel="1" ht="20.1" customHeight="1" s="769">
      <c r="C110" s="920" t="inlineStr">
        <is>
          <t>Газпром добыча Астрахань</t>
        </is>
      </c>
      <c r="D110" s="528" t="n"/>
      <c r="E110" s="528" t="n"/>
      <c r="F110" s="529" t="n"/>
      <c r="G110" s="530" t="n">
        <v>0</v>
      </c>
      <c r="H110" s="530" t="n"/>
      <c r="I110" s="903" t="inlineStr">
        <is>
          <t>тыс.т</t>
        </is>
      </c>
    </row>
    <row r="111" outlineLevel="1" ht="20.1" customHeight="1" s="769">
      <c r="C111" s="921" t="inlineStr">
        <is>
          <t>Астраханский ГПЗ</t>
        </is>
      </c>
      <c r="D111" s="528" t="n"/>
      <c r="E111" s="528" t="n"/>
      <c r="F111" s="529" t="n"/>
      <c r="G111" s="530" t="n">
        <v>0</v>
      </c>
      <c r="H111" s="530" t="n"/>
      <c r="I111" s="906" t="inlineStr">
        <is>
          <t>тыс.т</t>
        </is>
      </c>
    </row>
    <row r="112" outlineLevel="1" ht="20.1" customHeight="1" s="769">
      <c r="C112" s="922" t="inlineStr">
        <is>
          <t>Газпром добыча Астрахань</t>
        </is>
      </c>
      <c r="D112" s="528" t="n"/>
      <c r="E112" s="528" t="n"/>
      <c r="F112" s="529" t="n"/>
      <c r="G112" s="530" t="n"/>
      <c r="H112" s="530" t="n"/>
      <c r="I112" s="909" t="inlineStr">
        <is>
          <t>тыс.т</t>
        </is>
      </c>
    </row>
    <row r="113" ht="20.1" customHeight="1" s="769">
      <c r="C113" s="904" t="inlineStr">
        <is>
          <t xml:space="preserve">   Газпром переработка</t>
        </is>
      </c>
      <c r="D113" s="528" t="n"/>
      <c r="E113" s="528" t="n"/>
      <c r="F113" s="529" t="n"/>
      <c r="G113" s="530" t="inlineStr">
        <is>
          <t>2_100332062+2_100335697+4_100333682</t>
        </is>
      </c>
      <c r="H113" s="530" t="n"/>
      <c r="I113" s="903" t="inlineStr">
        <is>
          <t>тыс.т</t>
        </is>
      </c>
    </row>
    <row r="114" ht="20.1" customHeight="1" s="769">
      <c r="C114" s="905" t="inlineStr">
        <is>
          <t>Оренбургский ГХК</t>
        </is>
      </c>
      <c r="D114" s="528" t="n"/>
      <c r="E114" s="528" t="n"/>
      <c r="F114" s="529" t="n"/>
      <c r="G114" s="530" t="inlineStr">
        <is>
          <t>2_100332062+2_100335697</t>
        </is>
      </c>
      <c r="H114" s="530" t="n"/>
      <c r="I114" s="909" t="inlineStr">
        <is>
          <t>тыс.т</t>
        </is>
      </c>
    </row>
    <row r="115" ht="20.1" customHeight="1" s="769">
      <c r="C115" s="908" t="inlineStr">
        <is>
          <t>УНГП</t>
        </is>
      </c>
      <c r="D115" s="528" t="n"/>
      <c r="E115" s="528" t="n"/>
      <c r="F115" s="529" t="n"/>
      <c r="G115" s="530" t="inlineStr">
        <is>
          <t>2_100332062</t>
        </is>
      </c>
      <c r="H115" s="530" t="n"/>
      <c r="I115" s="909" t="inlineStr">
        <is>
          <t>тыс.т</t>
        </is>
      </c>
    </row>
    <row r="116" ht="20.1" customHeight="1" s="769">
      <c r="C116" s="908" t="inlineStr">
        <is>
          <t>Газпромнефть-Заполярье</t>
        </is>
      </c>
      <c r="D116" s="528" t="n"/>
      <c r="E116" s="528" t="n"/>
      <c r="F116" s="529" t="n"/>
      <c r="G116" s="530" t="inlineStr">
        <is>
          <t>2_100335697</t>
        </is>
      </c>
      <c r="H116" s="530" t="n"/>
      <c r="I116" s="909" t="inlineStr">
        <is>
          <t>тыс.т</t>
        </is>
      </c>
    </row>
    <row r="117" ht="20.1" customHeight="1" s="769">
      <c r="C117" s="905" t="inlineStr">
        <is>
          <t>Уренгойский ЗПКТ</t>
        </is>
      </c>
      <c r="D117" s="528" t="n"/>
      <c r="E117" s="528" t="n"/>
      <c r="F117" s="529" t="n"/>
      <c r="G117" s="530" t="inlineStr">
        <is>
          <t>4_100333682</t>
        </is>
      </c>
      <c r="H117" s="530" t="n"/>
      <c r="I117" s="906" t="inlineStr">
        <is>
          <t>тыс.т</t>
        </is>
      </c>
    </row>
    <row r="118" ht="20.1" customHeight="1" s="769">
      <c r="C118" s="908" t="inlineStr">
        <is>
          <t>Газпром добыча Уренгой</t>
        </is>
      </c>
      <c r="D118" s="528" t="n"/>
      <c r="E118" s="528" t="n"/>
      <c r="F118" s="529" t="n"/>
      <c r="G118" s="530" t="inlineStr">
        <is>
          <t>4_100333682</t>
        </is>
      </c>
      <c r="H118" s="530" t="n"/>
      <c r="I118" s="909" t="inlineStr">
        <is>
          <t>тыс.т</t>
        </is>
      </c>
    </row>
    <row r="119" ht="20.1" customHeight="1" s="769">
      <c r="C119" s="904" t="inlineStr">
        <is>
          <t>Газпром добыча Уренгой</t>
        </is>
      </c>
      <c r="D119" s="528" t="n"/>
      <c r="E119" s="528" t="n"/>
      <c r="F119" s="529" t="n"/>
      <c r="G119" s="530" t="n">
        <v>0</v>
      </c>
      <c r="H119" s="530" t="n"/>
      <c r="I119" s="903" t="inlineStr">
        <is>
          <t>тыс.т</t>
        </is>
      </c>
    </row>
    <row r="120" ht="20.1" customHeight="1" s="769">
      <c r="C120" s="905" t="inlineStr">
        <is>
          <t xml:space="preserve">                Уренгойский ЗПКТ</t>
        </is>
      </c>
      <c r="D120" s="528" t="n"/>
      <c r="E120" s="528" t="n"/>
      <c r="F120" s="529" t="n"/>
      <c r="G120" s="530" t="n">
        <v>0</v>
      </c>
      <c r="H120" s="530" t="n"/>
      <c r="I120" s="906" t="inlineStr">
        <is>
          <t>тыс.т</t>
        </is>
      </c>
    </row>
    <row r="121" ht="20.1" customHeight="1" s="769">
      <c r="C121" s="908" t="inlineStr">
        <is>
          <t>Газпром добыча Уренгой</t>
        </is>
      </c>
      <c r="D121" s="528" t="n"/>
      <c r="E121" s="528" t="n"/>
      <c r="F121" s="529" t="n"/>
      <c r="G121" s="530" t="n">
        <v>0</v>
      </c>
      <c r="H121" s="530" t="n"/>
      <c r="I121" s="909" t="inlineStr">
        <is>
          <t>тыс.т</t>
        </is>
      </c>
    </row>
    <row r="122" ht="20.1" customHeight="1" s="769">
      <c r="C122" s="904" t="inlineStr">
        <is>
          <t xml:space="preserve">   Газпром добыча Ямбург</t>
        </is>
      </c>
      <c r="D122" s="528" t="n"/>
      <c r="E122" s="528" t="n"/>
      <c r="F122" s="529" t="n"/>
      <c r="G122" s="530" t="inlineStr">
        <is>
          <t>7_100330595</t>
        </is>
      </c>
      <c r="H122" s="530" t="n"/>
      <c r="I122" s="903" t="inlineStr">
        <is>
          <t>тыс.т</t>
        </is>
      </c>
    </row>
    <row r="123" ht="20.1" customHeight="1" s="769">
      <c r="C123" s="904" t="inlineStr">
        <is>
          <t>Газпром добыча Ноябрьск</t>
        </is>
      </c>
      <c r="D123" s="528" t="n"/>
      <c r="E123" s="528" t="n"/>
      <c r="F123" s="529" t="n"/>
      <c r="G123" s="530" t="inlineStr">
        <is>
          <t>10_100330718</t>
        </is>
      </c>
      <c r="H123" s="530" t="n"/>
      <c r="I123" s="903" t="inlineStr">
        <is>
          <t>тыс. т</t>
        </is>
      </c>
    </row>
    <row r="124" ht="20.1" customHeight="1" s="769">
      <c r="C124" s="923" t="inlineStr">
        <is>
          <t>конденсат (Камчат. ГПУ - Кшукское ГКМ, Нижне-Квакчикское ГКМ)</t>
        </is>
      </c>
      <c r="D124" s="528" t="n"/>
      <c r="E124" s="528" t="n"/>
      <c r="F124" s="529" t="n"/>
      <c r="G124" s="530" t="inlineStr">
        <is>
          <t>10_100330718</t>
        </is>
      </c>
      <c r="H124" s="530" t="n"/>
      <c r="I124" s="909" t="inlineStr">
        <is>
          <t>тыс.т</t>
        </is>
      </c>
    </row>
    <row r="125" ht="20.1" customHeight="1" s="769">
      <c r="C125" s="904" t="inlineStr">
        <is>
          <t>Газпром добыча Надым</t>
        </is>
      </c>
      <c r="D125" s="528" t="n"/>
      <c r="E125" s="528" t="n"/>
      <c r="F125" s="529" t="n"/>
      <c r="G125" s="530" t="inlineStr">
        <is>
          <t>11_100330015</t>
        </is>
      </c>
      <c r="H125" s="530" t="n"/>
      <c r="I125" s="903" t="inlineStr">
        <is>
          <t>тыс. т</t>
        </is>
      </c>
    </row>
    <row r="126" ht="20.1" customHeight="1" s="769">
      <c r="C126" s="908" t="inlineStr">
        <is>
          <t>в т.ч. Бованенковское НГКМ</t>
        </is>
      </c>
      <c r="D126" s="528" t="n"/>
      <c r="E126" s="528" t="n"/>
      <c r="F126" s="529" t="n"/>
      <c r="G126" s="530" t="inlineStr">
        <is>
          <t>11_100330688</t>
        </is>
      </c>
      <c r="H126" s="530" t="n"/>
      <c r="I126" s="909" t="inlineStr">
        <is>
          <t>тыс.т</t>
        </is>
      </c>
    </row>
    <row r="127" ht="20.1" customHeight="1" s="769">
      <c r="C127" s="904" t="inlineStr">
        <is>
          <t>Газпром добыча Краснодар</t>
        </is>
      </c>
      <c r="D127" s="528" t="n"/>
      <c r="E127" s="528" t="n"/>
      <c r="F127" s="529" t="n"/>
      <c r="G127" s="530" t="inlineStr">
        <is>
          <t>9_100330671</t>
        </is>
      </c>
      <c r="H127" s="530" t="n"/>
      <c r="I127" s="903" t="inlineStr">
        <is>
          <t>тыс.т</t>
        </is>
      </c>
    </row>
    <row r="128" ht="20.1" customHeight="1" s="769">
      <c r="B128" s="747" t="inlineStr">
        <is>
          <t>4.2.</t>
        </is>
      </c>
      <c r="C128" s="902" t="inlineStr">
        <is>
          <t>Нефть-всего</t>
        </is>
      </c>
      <c r="D128" s="528" t="n"/>
      <c r="E128" s="528" t="n"/>
      <c r="F128" s="529" t="n"/>
      <c r="G128" s="530" t="inlineStr">
        <is>
          <t>2_100332068+2_100332947+2_100332066+2_100332067+2_100332069+3_100330196+4_100331838+4_100335093+4_100333678+9_100330672</t>
        </is>
      </c>
      <c r="H128" s="530" t="n"/>
      <c r="I128" s="903" t="inlineStr">
        <is>
          <t>тыс.т</t>
        </is>
      </c>
    </row>
    <row r="129" ht="20.1" customHeight="1" s="769">
      <c r="C129" s="904" t="inlineStr">
        <is>
          <t xml:space="preserve">   Газпром переработка</t>
        </is>
      </c>
      <c r="D129" s="528" t="n"/>
      <c r="E129" s="528" t="n"/>
      <c r="F129" s="529" t="n"/>
      <c r="G129" s="530" t="inlineStr">
        <is>
          <t>2_100332068+2_100332947+2_100332066+2_100332067+2_100332069+3_100330196+4_100331838+4_100335093+4_100333678</t>
        </is>
      </c>
      <c r="H129" s="530" t="n"/>
      <c r="I129" s="903" t="inlineStr">
        <is>
          <t>тыс.т</t>
        </is>
      </c>
    </row>
    <row r="130" ht="20.1" customHeight="1" s="769">
      <c r="C130" s="905" t="inlineStr">
        <is>
          <t>Оренбургский ГХК</t>
        </is>
      </c>
      <c r="D130" s="528" t="n"/>
      <c r="E130" s="528" t="n"/>
      <c r="F130" s="529" t="n"/>
      <c r="G130" s="530" t="inlineStr">
        <is>
          <t>2_100332068+2_100332947+2_100332066+2_100332067+2_100332069</t>
        </is>
      </c>
      <c r="H130" s="530" t="n"/>
      <c r="I130" s="906" t="inlineStr">
        <is>
          <t>тыс.т</t>
        </is>
      </c>
    </row>
    <row r="131" ht="20.1" customHeight="1" s="769">
      <c r="C131" s="905" t="inlineStr">
        <is>
          <t>Сосногорский ГПЗ</t>
        </is>
      </c>
      <c r="D131" s="528" t="n"/>
      <c r="E131" s="528" t="n"/>
      <c r="F131" s="529" t="n"/>
      <c r="G131" s="530" t="inlineStr">
        <is>
          <t>3_100330196</t>
        </is>
      </c>
      <c r="H131" s="530" t="n"/>
      <c r="I131" s="906" t="inlineStr">
        <is>
          <t>тыс.т</t>
        </is>
      </c>
    </row>
    <row r="132" ht="20.1" customHeight="1" s="769">
      <c r="C132" s="905" t="inlineStr">
        <is>
          <t xml:space="preserve">             Уренгойский ЗПКТ</t>
        </is>
      </c>
      <c r="D132" s="528" t="n"/>
      <c r="E132" s="528" t="n"/>
      <c r="F132" s="529" t="n"/>
      <c r="G132" s="530" t="inlineStr">
        <is>
          <t>4_100335093+4_100333678</t>
        </is>
      </c>
      <c r="H132" s="530" t="n"/>
      <c r="I132" s="906" t="inlineStr">
        <is>
          <t>тыс.т</t>
        </is>
      </c>
    </row>
    <row r="133" ht="20.1" customHeight="1" s="769">
      <c r="C133" s="905" t="inlineStr">
        <is>
          <t xml:space="preserve">                 Сургутский ЗСК</t>
        </is>
      </c>
      <c r="D133" s="528" t="n"/>
      <c r="E133" s="528" t="n"/>
      <c r="F133" s="529" t="n"/>
      <c r="G133" s="530" t="inlineStr">
        <is>
          <t>4_100331838</t>
        </is>
      </c>
      <c r="H133" s="530" t="n"/>
      <c r="I133" s="906" t="inlineStr">
        <is>
          <t>тыс.т</t>
        </is>
      </c>
    </row>
    <row r="134" ht="20.1" customHeight="1" s="769">
      <c r="C134" s="904" t="inlineStr">
        <is>
          <t>Газпром добыча Краснодар</t>
        </is>
      </c>
      <c r="D134" s="528" t="n"/>
      <c r="E134" s="528" t="n"/>
      <c r="F134" s="529" t="n"/>
      <c r="G134" s="530" t="inlineStr">
        <is>
          <t>9_100330672</t>
        </is>
      </c>
      <c r="H134" s="530" t="n"/>
      <c r="I134" s="903" t="inlineStr">
        <is>
          <t>тыс.т</t>
        </is>
      </c>
    </row>
    <row r="135" ht="20.1" customHeight="1" s="769">
      <c r="B135" s="413" t="inlineStr">
        <is>
          <t>4.2.1.</t>
        </is>
      </c>
      <c r="C135" s="907" t="inlineStr">
        <is>
          <t>Газпром</t>
        </is>
      </c>
      <c r="D135" s="528" t="n"/>
      <c r="E135" s="528" t="n"/>
      <c r="F135" s="529" t="n"/>
      <c r="G135" s="530" t="inlineStr">
        <is>
          <t>2_100332066+2_100332067+3_100330196+4_100331838+4_100335093</t>
        </is>
      </c>
      <c r="H135" s="530" t="n"/>
      <c r="I135" s="903" t="inlineStr">
        <is>
          <t>тыс.т</t>
        </is>
      </c>
    </row>
    <row r="136" ht="20.1" customHeight="1" s="769">
      <c r="C136" s="904" t="inlineStr">
        <is>
          <t xml:space="preserve">   Газпром переработка</t>
        </is>
      </c>
      <c r="D136" s="528" t="n"/>
      <c r="E136" s="528" t="n"/>
      <c r="F136" s="529" t="n"/>
      <c r="G136" s="530" t="inlineStr">
        <is>
          <t>2_100332066+2_100332067+3_100330196+4_100331838+4_100335093</t>
        </is>
      </c>
      <c r="H136" s="530" t="n"/>
      <c r="I136" s="903" t="inlineStr">
        <is>
          <t>тыс.т</t>
        </is>
      </c>
    </row>
    <row r="137" ht="20.1" customHeight="1" s="769">
      <c r="C137" s="905" t="inlineStr">
        <is>
          <t>Оренбургский ГХК</t>
        </is>
      </c>
      <c r="D137" s="528" t="n"/>
      <c r="E137" s="528" t="n"/>
      <c r="F137" s="529" t="n"/>
      <c r="G137" s="530" t="inlineStr">
        <is>
          <t>2_100332066+2_100332067</t>
        </is>
      </c>
      <c r="H137" s="530" t="n"/>
      <c r="I137" s="906" t="inlineStr">
        <is>
          <t>тыс.т</t>
        </is>
      </c>
    </row>
    <row r="138" ht="20.1" customHeight="1" s="769">
      <c r="C138" s="908" t="inlineStr">
        <is>
          <t>Газпром добыча Оренбург</t>
        </is>
      </c>
      <c r="D138" s="528" t="n"/>
      <c r="E138" s="528" t="n"/>
      <c r="F138" s="529" t="n"/>
      <c r="G138" s="530" t="inlineStr">
        <is>
          <t>2_100332066</t>
        </is>
      </c>
      <c r="H138" s="530" t="n"/>
      <c r="I138" s="909" t="inlineStr">
        <is>
          <t>тыс.т</t>
        </is>
      </c>
    </row>
    <row r="139" ht="20.1" customHeight="1" s="769">
      <c r="C139" s="908" t="inlineStr">
        <is>
          <t>Газпром нефть</t>
        </is>
      </c>
      <c r="D139" s="528" t="n"/>
      <c r="E139" s="528" t="n"/>
      <c r="F139" s="529" t="n"/>
      <c r="G139" s="530" t="inlineStr">
        <is>
          <t>2_100332067</t>
        </is>
      </c>
      <c r="H139" s="530" t="n"/>
      <c r="I139" s="909" t="inlineStr">
        <is>
          <t>тыс.т</t>
        </is>
      </c>
    </row>
    <row r="140" ht="20.1" customHeight="1" s="769">
      <c r="C140" s="905" t="inlineStr">
        <is>
          <t xml:space="preserve">    Сосногорский ГПЗ </t>
        </is>
      </c>
      <c r="D140" s="528" t="n"/>
      <c r="E140" s="528" t="n"/>
      <c r="F140" s="529" t="n"/>
      <c r="G140" s="530" t="inlineStr">
        <is>
          <t>3_100330196</t>
        </is>
      </c>
      <c r="H140" s="530" t="n"/>
      <c r="I140" s="906" t="inlineStr">
        <is>
          <t>тыс.т</t>
        </is>
      </c>
    </row>
    <row r="141" ht="20.1" customHeight="1" s="769">
      <c r="C141" s="908" t="inlineStr">
        <is>
          <t>Газпром добыча Краснодар (в составе НГКС)</t>
        </is>
      </c>
      <c r="D141" s="528" t="n"/>
      <c r="E141" s="528" t="n"/>
      <c r="F141" s="529" t="n"/>
      <c r="G141" s="530" t="inlineStr">
        <is>
          <t>3_100330196</t>
        </is>
      </c>
      <c r="H141" s="530" t="n"/>
      <c r="I141" s="909" t="inlineStr">
        <is>
          <t>тыс.т</t>
        </is>
      </c>
    </row>
    <row r="142" ht="20.1" customHeight="1" s="769">
      <c r="C142" s="905" t="inlineStr">
        <is>
          <t xml:space="preserve">             Уренгойский ЗПКТ</t>
        </is>
      </c>
      <c r="D142" s="528" t="n"/>
      <c r="E142" s="528" t="n"/>
      <c r="F142" s="529" t="n"/>
      <c r="G142" s="530" t="inlineStr">
        <is>
          <t>4_100335093</t>
        </is>
      </c>
      <c r="H142" s="530" t="n"/>
      <c r="I142" s="906" t="inlineStr">
        <is>
          <t>тыс.т</t>
        </is>
      </c>
    </row>
    <row r="143" ht="20.1" customHeight="1" s="769">
      <c r="C143" s="908" t="inlineStr">
        <is>
          <t>Газпром добыча Уренгой</t>
        </is>
      </c>
      <c r="D143" s="528" t="n"/>
      <c r="E143" s="528" t="n"/>
      <c r="F143" s="529" t="n"/>
      <c r="G143" s="530" t="inlineStr">
        <is>
          <t>4_100335093</t>
        </is>
      </c>
      <c r="H143" s="530" t="n"/>
      <c r="I143" s="909" t="inlineStr">
        <is>
          <t>тыс.т</t>
        </is>
      </c>
    </row>
    <row r="144" ht="20.1" customHeight="1" s="769">
      <c r="C144" s="905" t="inlineStr">
        <is>
          <t xml:space="preserve">                 Сургутский ЗСК</t>
        </is>
      </c>
      <c r="D144" s="528" t="n"/>
      <c r="E144" s="528" t="n"/>
      <c r="F144" s="529" t="n"/>
      <c r="G144" s="530" t="inlineStr">
        <is>
          <t>4_100331838</t>
        </is>
      </c>
      <c r="H144" s="530" t="n"/>
      <c r="I144" s="906" t="inlineStr">
        <is>
          <t>тыс.т</t>
        </is>
      </c>
    </row>
    <row r="145" ht="20.1" customHeight="1" s="769">
      <c r="C145" s="908" t="inlineStr">
        <is>
          <t xml:space="preserve">Газпром добыча Уренгой </t>
        </is>
      </c>
      <c r="D145" s="528" t="n"/>
      <c r="E145" s="528" t="n"/>
      <c r="F145" s="529" t="n"/>
      <c r="G145" s="530" t="inlineStr">
        <is>
          <t>4_100331838</t>
        </is>
      </c>
      <c r="H145" s="530" t="n"/>
      <c r="I145" s="909" t="inlineStr">
        <is>
          <t>тыс.т</t>
        </is>
      </c>
    </row>
    <row r="146" ht="20.1" customHeight="1" s="769">
      <c r="B146" s="413" t="inlineStr">
        <is>
          <t>4.2.2.</t>
        </is>
      </c>
      <c r="C146" s="907" t="inlineStr">
        <is>
          <t>Дочерние общества</t>
        </is>
      </c>
      <c r="D146" s="528" t="n"/>
      <c r="E146" s="528" t="n"/>
      <c r="F146" s="529" t="n"/>
      <c r="G146" s="530" t="inlineStr">
        <is>
          <t>2_100332068+2_100332947+4_100333678+2_100332069+9_100330672</t>
        </is>
      </c>
      <c r="H146" s="530" t="n"/>
      <c r="I146" s="903" t="inlineStr">
        <is>
          <t>тыс.т</t>
        </is>
      </c>
    </row>
    <row r="147" ht="20.1" customHeight="1" s="769">
      <c r="C147" s="904" t="inlineStr">
        <is>
          <t xml:space="preserve">   Газпром переработка</t>
        </is>
      </c>
      <c r="D147" s="528" t="n"/>
      <c r="E147" s="528" t="n"/>
      <c r="F147" s="529" t="n"/>
      <c r="G147" s="530" t="inlineStr">
        <is>
          <t>2_100332068+2_100332947+4_100333678</t>
        </is>
      </c>
      <c r="H147" s="530" t="n"/>
      <c r="I147" s="903" t="inlineStr">
        <is>
          <t>тыс.т</t>
        </is>
      </c>
    </row>
    <row r="148" ht="20.1" customHeight="1" s="769">
      <c r="C148" s="905" t="inlineStr">
        <is>
          <t>Оренбургский ГХК</t>
        </is>
      </c>
      <c r="D148" s="528" t="n"/>
      <c r="E148" s="528" t="n"/>
      <c r="F148" s="529" t="n"/>
      <c r="G148" s="530" t="inlineStr">
        <is>
          <t>2_100332068+2_100332947</t>
        </is>
      </c>
      <c r="H148" s="530" t="n"/>
      <c r="I148" s="906" t="inlineStr">
        <is>
          <t>тыс.т</t>
        </is>
      </c>
    </row>
    <row r="149" ht="20.1" customHeight="1" s="769">
      <c r="C149" s="908" t="inlineStr">
        <is>
          <t>УНГП</t>
        </is>
      </c>
      <c r="D149" s="528" t="n"/>
      <c r="E149" s="528" t="n"/>
      <c r="F149" s="529" t="n"/>
      <c r="G149" s="530" t="inlineStr">
        <is>
          <t>2_100332068</t>
        </is>
      </c>
      <c r="H149" s="530" t="n"/>
      <c r="I149" s="909" t="inlineStr">
        <is>
          <t>тыс.т</t>
        </is>
      </c>
    </row>
    <row r="150" ht="20.1" customHeight="1" s="769">
      <c r="C150" s="908" t="inlineStr">
        <is>
          <t>Газпромнефть-Заполярье</t>
        </is>
      </c>
      <c r="D150" s="528" t="n"/>
      <c r="E150" s="528" t="n"/>
      <c r="F150" s="529" t="n"/>
      <c r="G150" s="530" t="inlineStr">
        <is>
          <t>2_100332947</t>
        </is>
      </c>
      <c r="H150" s="530" t="n"/>
      <c r="I150" s="909" t="inlineStr">
        <is>
          <t>тыс.т</t>
        </is>
      </c>
    </row>
    <row r="151" ht="20.1" customHeight="1" s="769">
      <c r="C151" s="905" t="inlineStr">
        <is>
          <t xml:space="preserve">                Уренгойский ЗПКТ</t>
        </is>
      </c>
      <c r="D151" s="528" t="n"/>
      <c r="E151" s="528" t="n"/>
      <c r="F151" s="529" t="n"/>
      <c r="G151" s="530" t="inlineStr">
        <is>
          <t>4_100333678</t>
        </is>
      </c>
      <c r="H151" s="530" t="n"/>
      <c r="I151" s="906" t="inlineStr">
        <is>
          <t>тыс.т</t>
        </is>
      </c>
    </row>
    <row r="152" ht="20.1" customHeight="1" s="769">
      <c r="C152" s="908" t="inlineStr">
        <is>
          <t>Газпром добыча Уренгой</t>
        </is>
      </c>
      <c r="D152" s="528" t="n"/>
      <c r="E152" s="528" t="n"/>
      <c r="F152" s="529" t="n"/>
      <c r="G152" s="530" t="inlineStr">
        <is>
          <t>4_100333678</t>
        </is>
      </c>
      <c r="H152" s="530" t="n"/>
      <c r="I152" s="909" t="inlineStr">
        <is>
          <t>тыс.т</t>
        </is>
      </c>
    </row>
    <row r="153" ht="20.1" customHeight="1" s="769">
      <c r="C153" s="904" t="inlineStr">
        <is>
          <t>Сервиснефтегаз</t>
        </is>
      </c>
      <c r="D153" s="528" t="n"/>
      <c r="E153" s="528" t="n"/>
      <c r="F153" s="529" t="n"/>
      <c r="G153" s="530" t="inlineStr">
        <is>
          <t>2_100332069</t>
        </is>
      </c>
      <c r="H153" s="530" t="n"/>
      <c r="I153" s="903" t="inlineStr">
        <is>
          <t>тыс.т</t>
        </is>
      </c>
    </row>
    <row r="154" ht="20.1" customHeight="1" s="769">
      <c r="C154" s="905" t="inlineStr">
        <is>
          <t xml:space="preserve"> Оренбургский ГХК</t>
        </is>
      </c>
      <c r="D154" s="528" t="n"/>
      <c r="E154" s="528" t="n"/>
      <c r="F154" s="529" t="n"/>
      <c r="G154" s="530" t="inlineStr">
        <is>
          <t>2_100332069</t>
        </is>
      </c>
      <c r="H154" s="530" t="n"/>
      <c r="I154" s="906" t="inlineStr">
        <is>
          <t>тыс.т</t>
        </is>
      </c>
    </row>
    <row r="155" ht="20.1" customHeight="1" s="769">
      <c r="C155" s="908" t="inlineStr">
        <is>
          <t>Сервиснефтегаз</t>
        </is>
      </c>
      <c r="D155" s="528" t="n"/>
      <c r="E155" s="528" t="n"/>
      <c r="F155" s="529" t="n"/>
      <c r="G155" s="530" t="inlineStr">
        <is>
          <t>2_100332069</t>
        </is>
      </c>
      <c r="H155" s="530" t="n"/>
      <c r="I155" s="909" t="inlineStr">
        <is>
          <t>тыс.т</t>
        </is>
      </c>
    </row>
    <row r="156" ht="20.1" customHeight="1" s="769">
      <c r="C156" s="424" t="inlineStr">
        <is>
          <t>Газпром добыча Краснодар</t>
        </is>
      </c>
      <c r="D156" s="528" t="n"/>
      <c r="E156" s="528" t="n"/>
      <c r="F156" s="529" t="n"/>
      <c r="G156" s="530" t="inlineStr">
        <is>
          <t>9_100330672</t>
        </is>
      </c>
      <c r="H156" s="530" t="n"/>
      <c r="I156" s="903" t="inlineStr">
        <is>
          <t>тыс.т</t>
        </is>
      </c>
    </row>
    <row r="157" ht="20.1" customHeight="1" s="769">
      <c r="B157" s="747" t="inlineStr">
        <is>
          <t>5.</t>
        </is>
      </c>
      <c r="C157" s="918" t="inlineStr">
        <is>
          <t>Поставка нефти-всего</t>
        </is>
      </c>
      <c r="D157" s="528" t="n"/>
      <c r="E157" s="528" t="n"/>
      <c r="F157" s="529" t="n"/>
      <c r="G157" s="530" t="inlineStr">
        <is>
          <t>7_100330593+7_100330591+0+8_100330646+8_100335919+8_100330647+8_100335920+8_100335670+8_100335918+8_100336114+10_100330720+10_100330862+10_100336141</t>
        </is>
      </c>
      <c r="H157" s="530" t="n"/>
      <c r="I157" s="903" t="inlineStr">
        <is>
          <t>тыс.т</t>
        </is>
      </c>
    </row>
    <row r="158" ht="20.1" customHeight="1" s="769">
      <c r="C158" s="904" t="inlineStr">
        <is>
          <t xml:space="preserve">   Газпром добыча Ямбург</t>
        </is>
      </c>
      <c r="D158" s="528" t="n"/>
      <c r="E158" s="528" t="n"/>
      <c r="F158" s="529" t="n"/>
      <c r="G158" s="530" t="inlineStr">
        <is>
          <t>7_100330593+7_100330591</t>
        </is>
      </c>
      <c r="H158" s="530" t="n"/>
      <c r="I158" s="903" t="inlineStr">
        <is>
          <t>тыс.т</t>
        </is>
      </c>
    </row>
    <row r="159" ht="20.1" customHeight="1" s="769">
      <c r="C159" s="904" t="inlineStr">
        <is>
          <t>Газпром добыча Уренгой</t>
        </is>
      </c>
      <c r="D159" s="528" t="n"/>
      <c r="E159" s="528" t="n"/>
      <c r="F159" s="529" t="n"/>
      <c r="G159" s="530" t="inlineStr">
        <is>
          <t>0+8_100330646+8_100335919+8_100330647+8_100335920+8_100335670+8_100335918+8_100336114</t>
        </is>
      </c>
      <c r="H159" s="530" t="n"/>
      <c r="I159" s="903" t="inlineStr">
        <is>
          <t>тыс.т</t>
        </is>
      </c>
    </row>
    <row r="160" ht="20.1" customHeight="1" s="769">
      <c r="C160" s="904" t="inlineStr">
        <is>
          <t>Газпром добыча Ноябрьск</t>
        </is>
      </c>
      <c r="D160" s="528" t="n"/>
      <c r="E160" s="528" t="n"/>
      <c r="F160" s="529" t="n"/>
      <c r="G160" s="530" t="inlineStr">
        <is>
          <t>10_100330720+10_100330862+10_100336141</t>
        </is>
      </c>
      <c r="H160" s="530" t="n"/>
      <c r="I160" s="903" t="inlineStr">
        <is>
          <t>тыс. т</t>
        </is>
      </c>
    </row>
    <row r="161" ht="20.1" customHeight="1" s="769">
      <c r="B161" s="413" t="inlineStr">
        <is>
          <t>5.1.</t>
        </is>
      </c>
      <c r="C161" s="907" t="inlineStr">
        <is>
          <t>Газпром</t>
        </is>
      </c>
      <c r="D161" s="528" t="n"/>
      <c r="E161" s="528" t="n"/>
      <c r="F161" s="529" t="n"/>
      <c r="G161" s="530" t="inlineStr">
        <is>
          <t>0+10_100330720</t>
        </is>
      </c>
      <c r="H161" s="530" t="n"/>
      <c r="I161" s="903" t="inlineStr">
        <is>
          <t>тыс.т</t>
        </is>
      </c>
    </row>
    <row r="162" ht="20.1" customHeight="1" s="769">
      <c r="C162" s="904" t="inlineStr">
        <is>
          <t>Газпром добыча Уренгой</t>
        </is>
      </c>
      <c r="D162" s="528" t="n"/>
      <c r="E162" s="528" t="n"/>
      <c r="F162" s="529" t="n"/>
      <c r="G162" s="530" t="n">
        <v>0</v>
      </c>
      <c r="H162" s="530" t="n"/>
      <c r="I162" s="903" t="inlineStr">
        <is>
          <t>тыс.т</t>
        </is>
      </c>
    </row>
    <row r="163" ht="20.1" customHeight="1" s="769">
      <c r="C163" s="908" t="inlineStr">
        <is>
          <t xml:space="preserve">                Уренгойское НГКМ</t>
        </is>
      </c>
      <c r="D163" s="528" t="n"/>
      <c r="E163" s="528" t="n"/>
      <c r="F163" s="529" t="n"/>
      <c r="G163" s="530" t="n"/>
      <c r="H163" s="530" t="n"/>
      <c r="I163" s="909" t="inlineStr">
        <is>
          <t>тыс.т</t>
        </is>
      </c>
    </row>
    <row r="164" ht="20.1" customHeight="1" s="769">
      <c r="C164" s="904" t="inlineStr">
        <is>
          <t>Газпром добыча Ноябрьск</t>
        </is>
      </c>
      <c r="D164" s="528" t="n"/>
      <c r="E164" s="528" t="n"/>
      <c r="F164" s="529" t="n"/>
      <c r="G164" s="530" t="inlineStr">
        <is>
          <t>10_100330720</t>
        </is>
      </c>
      <c r="H164" s="530" t="n"/>
      <c r="I164" s="903" t="inlineStr">
        <is>
          <t>тыс. т</t>
        </is>
      </c>
    </row>
    <row r="165" ht="20.1" customHeight="1" s="769">
      <c r="C165" s="908" t="inlineStr">
        <is>
          <t>Чаяндинское НГКМ</t>
        </is>
      </c>
      <c r="D165" s="528" t="n"/>
      <c r="E165" s="528" t="n"/>
      <c r="F165" s="529" t="n"/>
      <c r="G165" s="530" t="inlineStr">
        <is>
          <t>10_100330720</t>
        </is>
      </c>
      <c r="H165" s="530" t="n"/>
      <c r="I165" s="909" t="inlineStr">
        <is>
          <t>тыс.т</t>
        </is>
      </c>
    </row>
    <row r="166" ht="20.1" customHeight="1" s="769">
      <c r="C166" s="908" t="inlineStr">
        <is>
          <t>в т.ч. конденсат</t>
        </is>
      </c>
      <c r="D166" s="528" t="n"/>
      <c r="E166" s="528" t="n"/>
      <c r="F166" s="529" t="n"/>
      <c r="G166" s="530" t="inlineStr">
        <is>
          <t>10_100335709</t>
        </is>
      </c>
      <c r="H166" s="530" t="n"/>
      <c r="I166" s="909" t="inlineStr">
        <is>
          <t>тыс.т</t>
        </is>
      </c>
    </row>
    <row r="167" ht="20.1" customHeight="1" s="769">
      <c r="B167" s="413" t="inlineStr">
        <is>
          <t>5.2.</t>
        </is>
      </c>
      <c r="C167" s="907" t="inlineStr">
        <is>
          <t>Дочерние общества</t>
        </is>
      </c>
      <c r="D167" s="528" t="n"/>
      <c r="E167" s="528" t="n"/>
      <c r="F167" s="529" t="n"/>
      <c r="G167" s="530" t="inlineStr">
        <is>
          <t>7_100330593+7_100330591+8_100330646+8_100335919+8_100330647+8_100335920+8_100335670+8_100335918+8_100336114+10_100330862+10_100336141</t>
        </is>
      </c>
      <c r="H167" s="530" t="n"/>
      <c r="I167" s="903" t="inlineStr">
        <is>
          <t>тыс.т</t>
        </is>
      </c>
    </row>
    <row r="168" ht="20.1" customHeight="1" s="769">
      <c r="C168" s="904" t="inlineStr">
        <is>
          <t xml:space="preserve">   Газпром добыча Ямбург</t>
        </is>
      </c>
      <c r="D168" s="528" t="n"/>
      <c r="E168" s="528" t="n"/>
      <c r="F168" s="529" t="n"/>
      <c r="G168" s="530" t="inlineStr">
        <is>
          <t>7_100330593+7_100330591</t>
        </is>
      </c>
      <c r="H168" s="530" t="n"/>
      <c r="I168" s="903" t="inlineStr">
        <is>
          <t>тыс.т</t>
        </is>
      </c>
    </row>
    <row r="169" ht="20.1" customHeight="1" s="769">
      <c r="C169" s="908" t="inlineStr">
        <is>
          <t>Ямбургское НГКМ</t>
        </is>
      </c>
      <c r="D169" s="528" t="n"/>
      <c r="E169" s="528" t="n"/>
      <c r="F169" s="529" t="n"/>
      <c r="G169" s="530" t="inlineStr">
        <is>
          <t>7_100330593</t>
        </is>
      </c>
      <c r="H169" s="530" t="n"/>
      <c r="I169" s="909" t="inlineStr">
        <is>
          <t>тыс.т</t>
        </is>
      </c>
    </row>
    <row r="170" ht="20.1" customHeight="1" s="769">
      <c r="C170" s="917" t="inlineStr">
        <is>
          <t>Заполярное НГКМ</t>
        </is>
      </c>
      <c r="D170" s="528" t="n"/>
      <c r="E170" s="528" t="n"/>
      <c r="F170" s="529" t="n"/>
      <c r="G170" s="530" t="inlineStr">
        <is>
          <t>7_100330591</t>
        </is>
      </c>
      <c r="H170" s="530" t="n"/>
      <c r="I170" s="909" t="inlineStr">
        <is>
          <t>тыс.т</t>
        </is>
      </c>
    </row>
    <row r="171" ht="20.1" customHeight="1" s="769">
      <c r="C171" s="924" t="inlineStr">
        <is>
          <t>Газпром добыча Уренгой</t>
        </is>
      </c>
      <c r="D171" s="528" t="n"/>
      <c r="E171" s="528" t="n"/>
      <c r="F171" s="529" t="n"/>
      <c r="G171" s="530" t="inlineStr">
        <is>
          <t>8_100330646+8_100335919+8_100330647+8_100335920+8_100335670+8_100335918+8_100336114</t>
        </is>
      </c>
      <c r="H171" s="530" t="n"/>
      <c r="I171" s="903" t="inlineStr">
        <is>
          <t>тыс.т</t>
        </is>
      </c>
    </row>
    <row r="172" ht="20.1" customHeight="1" s="769">
      <c r="C172" s="917" t="inlineStr">
        <is>
          <t xml:space="preserve">                Уренгойское НГКМ</t>
        </is>
      </c>
      <c r="D172" s="528" t="n"/>
      <c r="E172" s="528" t="n"/>
      <c r="F172" s="529" t="n"/>
      <c r="G172" s="530" t="inlineStr">
        <is>
          <t>8_100335670+8_100335918+8_100336114</t>
        </is>
      </c>
      <c r="H172" s="530" t="n"/>
      <c r="I172" s="909" t="inlineStr">
        <is>
          <t>тыс.т</t>
        </is>
      </c>
    </row>
    <row r="173" ht="20.1" customHeight="1" s="769">
      <c r="C173" s="917" t="inlineStr">
        <is>
          <t>Ен-Яхинское НГКМ</t>
        </is>
      </c>
      <c r="D173" s="528" t="n"/>
      <c r="E173" s="528" t="n"/>
      <c r="F173" s="529" t="n"/>
      <c r="G173" s="530" t="inlineStr">
        <is>
          <t>8_100330646+8_100335919</t>
        </is>
      </c>
      <c r="H173" s="530" t="n"/>
      <c r="I173" s="909" t="inlineStr">
        <is>
          <t>тыс.т</t>
        </is>
      </c>
    </row>
    <row r="174" ht="20.1" customHeight="1" s="769">
      <c r="C174" s="917" t="inlineStr">
        <is>
          <t>Песцовое НГКМ</t>
        </is>
      </c>
      <c r="D174" s="528" t="n"/>
      <c r="E174" s="528" t="n"/>
      <c r="F174" s="529" t="n"/>
      <c r="G174" s="530" t="inlineStr">
        <is>
          <t>8_100330647+8_100335920</t>
        </is>
      </c>
      <c r="H174" s="530" t="n"/>
      <c r="I174" s="909" t="inlineStr">
        <is>
          <t>тыс.т</t>
        </is>
      </c>
    </row>
    <row r="175" ht="20.1" customHeight="1" s="769">
      <c r="C175" s="924" t="inlineStr">
        <is>
          <t>Газпром добыча Ноябрьск</t>
        </is>
      </c>
      <c r="D175" s="528" t="n"/>
      <c r="E175" s="528" t="n"/>
      <c r="F175" s="529" t="n"/>
      <c r="G175" s="530" t="inlineStr">
        <is>
          <t>10_100330862+10_100336141</t>
        </is>
      </c>
      <c r="H175" s="530" t="n"/>
      <c r="I175" s="903" t="inlineStr">
        <is>
          <t>тыс. т</t>
        </is>
      </c>
    </row>
    <row r="176" ht="20.1" customHeight="1" s="769">
      <c r="C176" s="917" t="inlineStr">
        <is>
          <t>Западно-Таркосалинское НГКМ</t>
        </is>
      </c>
      <c r="D176" s="528" t="n"/>
      <c r="E176" s="528" t="n"/>
      <c r="F176" s="529" t="n"/>
      <c r="G176" s="530" t="inlineStr">
        <is>
          <t>10_100330862</t>
        </is>
      </c>
      <c r="H176" s="530" t="n"/>
      <c r="I176" s="909" t="inlineStr">
        <is>
          <t>тыс.т</t>
        </is>
      </c>
    </row>
    <row r="177" ht="20.1" customHeight="1" s="769">
      <c r="C177" s="917" t="inlineStr">
        <is>
          <t xml:space="preserve">         Тас- Юряхское НГКМ </t>
        </is>
      </c>
      <c r="D177" s="528" t="n"/>
      <c r="E177" s="528" t="n"/>
      <c r="F177" s="529" t="n"/>
      <c r="G177" s="530" t="inlineStr">
        <is>
          <t>10_100336141</t>
        </is>
      </c>
      <c r="H177" s="530" t="n"/>
      <c r="I177" s="909" t="inlineStr">
        <is>
          <t>тыс.т</t>
        </is>
      </c>
    </row>
    <row r="178" ht="20.1" customHeight="1" s="769">
      <c r="B178" s="747" t="inlineStr">
        <is>
          <t>6.</t>
        </is>
      </c>
      <c r="C178" s="925" t="inlineStr">
        <is>
          <t>Поставка нестабильного газового конденсата-всего</t>
        </is>
      </c>
      <c r="D178" s="528" t="n"/>
      <c r="E178" s="528" t="n"/>
      <c r="F178" s="529" t="n"/>
      <c r="G178" s="530" t="inlineStr">
        <is>
          <t>7_100333320+SUM(8_100335489-8_100335600-8_100335601:8_100335516+8_100335517)+11_100335593+11_100335658+10_100336327</t>
        </is>
      </c>
      <c r="H178" s="530" t="n"/>
      <c r="I178" s="903" t="inlineStr">
        <is>
          <t>тыс.т</t>
        </is>
      </c>
    </row>
    <row r="179" ht="20.1" customHeight="1" s="769">
      <c r="C179" s="924" t="inlineStr">
        <is>
          <t xml:space="preserve">   Газпром добыча Ямбург</t>
        </is>
      </c>
      <c r="D179" s="528" t="n"/>
      <c r="E179" s="528" t="n"/>
      <c r="F179" s="529" t="n"/>
      <c r="G179" s="530" t="inlineStr">
        <is>
          <t>7_100333320</t>
        </is>
      </c>
      <c r="H179" s="530" t="n"/>
      <c r="I179" s="903" t="inlineStr">
        <is>
          <t>тыс.т</t>
        </is>
      </c>
    </row>
    <row r="180" ht="20.1" customHeight="1" s="769">
      <c r="C180" s="924" t="inlineStr">
        <is>
          <t>Газпром добыча Уренгой</t>
        </is>
      </c>
      <c r="D180" s="528" t="n"/>
      <c r="E180" s="528" t="n"/>
      <c r="F180" s="529" t="n"/>
      <c r="G180" s="530" t="inlineStr">
        <is>
          <t>SUM(8_100335489-8_100335600-8_100335601:8_100335516+8_100335517)</t>
        </is>
      </c>
      <c r="H180" s="530" t="n"/>
      <c r="I180" s="903" t="inlineStr">
        <is>
          <t>тыс.т</t>
        </is>
      </c>
    </row>
    <row r="181" ht="20.1" customHeight="1" s="769">
      <c r="C181" s="924" t="inlineStr">
        <is>
          <t xml:space="preserve">Газпром добыча Надым </t>
        </is>
      </c>
      <c r="D181" s="528" t="n"/>
      <c r="E181" s="528" t="n"/>
      <c r="F181" s="529" t="n"/>
      <c r="G181" s="530" t="inlineStr">
        <is>
          <t>11_100335593+11_100335658</t>
        </is>
      </c>
      <c r="H181" s="530" t="n"/>
      <c r="I181" s="903" t="inlineStr">
        <is>
          <t>тыс.т</t>
        </is>
      </c>
    </row>
    <row r="182" ht="20.1" customHeight="1" s="769">
      <c r="C182" s="904" t="inlineStr">
        <is>
          <t>Газпром добыча Ноябрьск</t>
        </is>
      </c>
      <c r="D182" s="528" t="n"/>
      <c r="E182" s="528" t="n"/>
      <c r="F182" s="529" t="n"/>
      <c r="G182" s="530" t="inlineStr">
        <is>
          <t>10_100336327</t>
        </is>
      </c>
      <c r="H182" s="530" t="n"/>
      <c r="I182" s="903" t="inlineStr">
        <is>
          <t>тыс. т</t>
        </is>
      </c>
    </row>
    <row r="183" ht="20.1" customHeight="1" s="769">
      <c r="B183" s="413" t="inlineStr">
        <is>
          <t>6.1.</t>
        </is>
      </c>
      <c r="C183" s="926" t="inlineStr">
        <is>
          <t>Газпром</t>
        </is>
      </c>
      <c r="D183" s="528" t="n"/>
      <c r="E183" s="528" t="n"/>
      <c r="F183" s="529" t="n"/>
      <c r="G183" s="530" t="n"/>
      <c r="H183" s="530" t="n"/>
      <c r="I183" s="903" t="inlineStr">
        <is>
          <t>тыс.т</t>
        </is>
      </c>
    </row>
    <row r="184" ht="20.1" customHeight="1" s="769">
      <c r="B184" s="413" t="inlineStr">
        <is>
          <t>6.2.</t>
        </is>
      </c>
      <c r="C184" s="926" t="inlineStr">
        <is>
          <t>Дочерние общества</t>
        </is>
      </c>
      <c r="D184" s="528" t="n"/>
      <c r="E184" s="528" t="n"/>
      <c r="F184" s="529" t="n"/>
      <c r="G184" s="530" t="inlineStr">
        <is>
          <t>7_100333320+SUM(8_100335489-8_100335600-8_100335601:8_100335516+8_100335517)+11_100335593+11_100335658+10_100336327</t>
        </is>
      </c>
      <c r="H184" s="530" t="n"/>
      <c r="I184" s="903" t="inlineStr">
        <is>
          <t>тыс.т</t>
        </is>
      </c>
    </row>
    <row r="185" ht="20.1" customHeight="1" s="769">
      <c r="C185" s="924" t="inlineStr">
        <is>
          <t xml:space="preserve">   Газпром добыча Ямбург</t>
        </is>
      </c>
      <c r="D185" s="528" t="n"/>
      <c r="E185" s="528" t="n"/>
      <c r="F185" s="529" t="n"/>
      <c r="G185" s="530" t="inlineStr">
        <is>
          <t>7_100333320</t>
        </is>
      </c>
      <c r="H185" s="530" t="n"/>
      <c r="I185" s="903" t="inlineStr">
        <is>
          <t>тыс.т</t>
        </is>
      </c>
    </row>
    <row r="186" ht="20.1" customHeight="1" s="769">
      <c r="C186" s="917" t="inlineStr">
        <is>
          <t>Ямбургское НГКМ</t>
        </is>
      </c>
      <c r="D186" s="528" t="n"/>
      <c r="E186" s="528" t="n"/>
      <c r="F186" s="529" t="n"/>
      <c r="G186" s="530" t="inlineStr">
        <is>
          <t>7_100333320</t>
        </is>
      </c>
      <c r="H186" s="530" t="n"/>
      <c r="I186" s="909" t="inlineStr">
        <is>
          <t>тыс.т</t>
        </is>
      </c>
    </row>
    <row r="187" ht="20.1" customHeight="1" s="769">
      <c r="C187" s="924" t="inlineStr">
        <is>
          <t>Газпром добыча Уренгой</t>
        </is>
      </c>
      <c r="D187" s="528" t="n"/>
      <c r="E187" s="528" t="n"/>
      <c r="F187" s="529" t="n"/>
      <c r="G187" s="530" t="inlineStr">
        <is>
          <t>SUM(8_100335489-8_100335600-8_100335601:8_100335516+8_100335517)</t>
        </is>
      </c>
      <c r="H187" s="530" t="n"/>
      <c r="I187" s="903" t="inlineStr">
        <is>
          <t>тыс.т</t>
        </is>
      </c>
    </row>
    <row r="188" ht="20.1" customHeight="1" s="769">
      <c r="C188" s="917" t="inlineStr">
        <is>
          <t>Уренгойское НГКМ ачим. 3 уч.(включая ГВ и конденсат)</t>
        </is>
      </c>
      <c r="D188" s="528" t="n"/>
      <c r="E188" s="528" t="n"/>
      <c r="F188" s="529" t="n"/>
      <c r="G188" s="530" t="inlineStr">
        <is>
          <t>8_100335489-8_100335600-8_100335601</t>
        </is>
      </c>
      <c r="H188" s="530" t="n"/>
      <c r="I188" s="909" t="inlineStr">
        <is>
          <t>тыс.т</t>
        </is>
      </c>
    </row>
    <row r="189" ht="20.1" customHeight="1" s="769">
      <c r="C189" s="917" t="inlineStr">
        <is>
          <t>Песцовое НГКМ (включая ГВ и конденсат)</t>
        </is>
      </c>
      <c r="D189" s="528" t="n"/>
      <c r="E189" s="528" t="n"/>
      <c r="F189" s="529" t="n"/>
      <c r="G189" s="530" t="inlineStr">
        <is>
          <t>8_100335490+8_100335603-8_100335471-8_100335602</t>
        </is>
      </c>
      <c r="H189" s="530" t="n"/>
      <c r="I189" s="909" t="inlineStr">
        <is>
          <t>тыс.т</t>
        </is>
      </c>
    </row>
    <row r="190" ht="20.1" customHeight="1" s="769">
      <c r="C190" s="917" t="inlineStr">
        <is>
          <t>Ен-Яхинское НГКМ (включая ГВ и конденсат)</t>
        </is>
      </c>
      <c r="D190" s="528" t="n"/>
      <c r="E190" s="528" t="n"/>
      <c r="F190" s="529" t="n"/>
      <c r="G190" s="530" t="inlineStr">
        <is>
          <t>8_100335516+8_100335517</t>
        </is>
      </c>
      <c r="H190" s="530" t="n"/>
      <c r="I190" s="909" t="inlineStr">
        <is>
          <t>тыс.т</t>
        </is>
      </c>
    </row>
    <row r="191" ht="20.1" customHeight="1" s="769">
      <c r="C191" s="924" t="inlineStr">
        <is>
          <t xml:space="preserve">Газпром добыча Надым </t>
        </is>
      </c>
      <c r="D191" s="528" t="n"/>
      <c r="E191" s="528" t="n"/>
      <c r="F191" s="529" t="n"/>
      <c r="G191" s="530" t="inlineStr">
        <is>
          <t>11_100335593+11_100335658</t>
        </is>
      </c>
      <c r="H191" s="530" t="n"/>
      <c r="I191" s="903" t="inlineStr">
        <is>
          <t>тыс.т</t>
        </is>
      </c>
    </row>
    <row r="192" ht="20.1" customHeight="1" s="769">
      <c r="C192" s="429" t="inlineStr">
        <is>
          <t xml:space="preserve"> Бованенковское НГКМ (неоком-юра)</t>
        </is>
      </c>
      <c r="D192" s="528" t="n"/>
      <c r="E192" s="528" t="n"/>
      <c r="F192" s="529" t="n"/>
      <c r="G192" s="530" t="inlineStr">
        <is>
          <t>11_100335593</t>
        </is>
      </c>
      <c r="H192" s="530" t="n"/>
      <c r="I192" s="909" t="inlineStr">
        <is>
          <t>тыс.т</t>
        </is>
      </c>
    </row>
    <row r="193" ht="20.1" customHeight="1" s="769">
      <c r="C193" s="429" t="inlineStr">
        <is>
          <t>Харасавэйское ГКМ (неоком-юра)</t>
        </is>
      </c>
      <c r="D193" s="528" t="n"/>
      <c r="E193" s="528" t="n"/>
      <c r="F193" s="529" t="n"/>
      <c r="G193" s="530" t="inlineStr">
        <is>
          <t>11_100335658</t>
        </is>
      </c>
      <c r="H193" s="530" t="n"/>
      <c r="I193" s="909" t="inlineStr">
        <is>
          <t>тыс.т</t>
        </is>
      </c>
    </row>
    <row r="194" ht="20.1" customHeight="1" s="769">
      <c r="C194" s="924" t="inlineStr">
        <is>
          <t>Газпром добыча Ноябрьск</t>
        </is>
      </c>
      <c r="D194" s="528" t="n"/>
      <c r="E194" s="528" t="n"/>
      <c r="F194" s="529" t="n"/>
      <c r="G194" s="530" t="inlineStr">
        <is>
          <t>10_100336327</t>
        </is>
      </c>
      <c r="H194" s="530" t="n"/>
      <c r="I194" s="903" t="inlineStr">
        <is>
          <t>тыс.т</t>
        </is>
      </c>
    </row>
    <row r="195" ht="20.1" customHeight="1" s="769">
      <c r="C195" s="429" t="inlineStr">
        <is>
          <t xml:space="preserve">         Тас- Юряхское НГКМ </t>
        </is>
      </c>
      <c r="D195" s="528" t="n"/>
      <c r="E195" s="528" t="n"/>
      <c r="F195" s="529" t="n"/>
      <c r="G195" s="530" t="inlineStr">
        <is>
          <t>10_100336327</t>
        </is>
      </c>
      <c r="H195" s="530" t="n"/>
      <c r="I195" s="909" t="inlineStr">
        <is>
          <t>тыс.т</t>
        </is>
      </c>
    </row>
    <row r="196" ht="20.1" customHeight="1" s="769">
      <c r="B196" s="747" t="inlineStr">
        <is>
          <t>7.</t>
        </is>
      </c>
      <c r="C196" s="918" t="inlineStr">
        <is>
          <t>Переработка газового конденсата (нефти) первичная-всего</t>
        </is>
      </c>
      <c r="D196" s="528" t="n"/>
      <c r="E196" s="528" t="n"/>
      <c r="F196" s="529" t="n"/>
      <c r="G196" s="530" t="n"/>
      <c r="H196" s="530" t="n"/>
      <c r="I196" s="903" t="n"/>
    </row>
    <row r="197" ht="20.1" customHeight="1" s="769">
      <c r="C197" s="904" t="inlineStr">
        <is>
          <t xml:space="preserve">   Газпром переработка</t>
        </is>
      </c>
      <c r="D197" s="528" t="n"/>
      <c r="E197" s="528" t="n"/>
      <c r="F197" s="529" t="n"/>
      <c r="G197" s="530" t="inlineStr">
        <is>
          <t>0+1_100332016+4_100331931+4_100331932</t>
        </is>
      </c>
      <c r="H197" s="530" t="n"/>
      <c r="I197" s="903" t="inlineStr">
        <is>
          <t>тыс.т</t>
        </is>
      </c>
    </row>
    <row r="198" ht="20.1" customHeight="1" s="769">
      <c r="C198" s="905" t="inlineStr">
        <is>
          <t>Астраханский ГПЗ</t>
        </is>
      </c>
      <c r="D198" s="528" t="n"/>
      <c r="E198" s="528" t="n"/>
      <c r="F198" s="529" t="n"/>
      <c r="G198" s="530" t="inlineStr">
        <is>
          <t>0+1_100332016</t>
        </is>
      </c>
      <c r="H198" s="530" t="n"/>
      <c r="I198" s="906" t="inlineStr">
        <is>
          <t>тыс.т</t>
        </is>
      </c>
    </row>
    <row r="199" ht="20.1" customHeight="1" s="769">
      <c r="C199" s="905" t="inlineStr">
        <is>
          <t xml:space="preserve">              Уренгойский ЗПКТ</t>
        </is>
      </c>
      <c r="D199" s="528" t="n"/>
      <c r="E199" s="528" t="n"/>
      <c r="F199" s="529" t="n"/>
      <c r="G199" s="530" t="inlineStr">
        <is>
          <t>4_100331931</t>
        </is>
      </c>
      <c r="H199" s="530" t="n"/>
      <c r="I199" s="906" t="inlineStr">
        <is>
          <t>тыс.т</t>
        </is>
      </c>
    </row>
    <row r="200" ht="20.1" customHeight="1" s="769">
      <c r="C200" s="905" t="inlineStr">
        <is>
          <t xml:space="preserve">                Сургутский ЗСК</t>
        </is>
      </c>
      <c r="D200" s="528" t="n"/>
      <c r="E200" s="528" t="n"/>
      <c r="F200" s="529" t="n"/>
      <c r="G200" s="530" t="inlineStr">
        <is>
          <t>4_100331932</t>
        </is>
      </c>
      <c r="H200" s="530" t="n"/>
      <c r="I200" s="906" t="inlineStr">
        <is>
          <t>тыс.т</t>
        </is>
      </c>
    </row>
    <row r="201" ht="20.1" customHeight="1" s="769">
      <c r="C201" s="904" t="inlineStr">
        <is>
          <t xml:space="preserve">   Газпром добыча Ямбург</t>
        </is>
      </c>
      <c r="D201" s="528" t="n"/>
      <c r="E201" s="528" t="n"/>
      <c r="F201" s="529" t="n"/>
      <c r="G201" s="530" t="inlineStr">
        <is>
          <t>7_100330629</t>
        </is>
      </c>
      <c r="H201" s="530" t="n"/>
      <c r="I201" s="903" t="inlineStr">
        <is>
          <t>тыс.т</t>
        </is>
      </c>
    </row>
    <row r="202" ht="20.1" customHeight="1" s="769">
      <c r="B202" s="413" t="inlineStr">
        <is>
          <t>7.1.</t>
        </is>
      </c>
      <c r="C202" s="907" t="inlineStr">
        <is>
          <t>Газпром</t>
        </is>
      </c>
      <c r="D202" s="528" t="n"/>
      <c r="E202" s="528" t="n"/>
      <c r="F202" s="529" t="n"/>
      <c r="G202" s="530" t="inlineStr">
        <is>
          <t>1_100332016+4_100331931+4_100331932</t>
        </is>
      </c>
      <c r="H202" s="530" t="n"/>
      <c r="I202" s="903" t="inlineStr">
        <is>
          <t>тыс.т</t>
        </is>
      </c>
    </row>
    <row r="203" ht="20.1" customHeight="1" s="769">
      <c r="C203" s="904" t="inlineStr">
        <is>
          <t xml:space="preserve">   Газпром переработка</t>
        </is>
      </c>
      <c r="D203" s="528" t="n"/>
      <c r="E203" s="528" t="n"/>
      <c r="F203" s="529" t="n"/>
      <c r="G203" s="530" t="inlineStr">
        <is>
          <t>1_100332016+4_100331931+4_100331932</t>
        </is>
      </c>
      <c r="H203" s="530" t="n"/>
      <c r="I203" s="903" t="inlineStr">
        <is>
          <t>тыс.т</t>
        </is>
      </c>
    </row>
    <row r="204" ht="20.1" customHeight="1" s="769">
      <c r="C204" s="905" t="inlineStr">
        <is>
          <t>Астраханский ГПЗ</t>
        </is>
      </c>
      <c r="D204" s="528" t="n"/>
      <c r="E204" s="528" t="n"/>
      <c r="F204" s="529" t="n"/>
      <c r="G204" s="530" t="inlineStr">
        <is>
          <t>1_100332016</t>
        </is>
      </c>
      <c r="H204" s="530" t="n"/>
      <c r="I204" s="906" t="inlineStr">
        <is>
          <t>тыс.т</t>
        </is>
      </c>
    </row>
    <row r="205" ht="20.1" customHeight="1" s="769">
      <c r="C205" s="905" t="inlineStr">
        <is>
          <t xml:space="preserve">              Уренгойский ЗПКТ</t>
        </is>
      </c>
      <c r="D205" s="528" t="n"/>
      <c r="E205" s="528" t="n"/>
      <c r="F205" s="529" t="n"/>
      <c r="G205" s="530" t="inlineStr">
        <is>
          <t>4_100331931</t>
        </is>
      </c>
      <c r="H205" s="530" t="n"/>
      <c r="I205" s="906" t="inlineStr">
        <is>
          <t>тыс.т</t>
        </is>
      </c>
    </row>
    <row r="206" ht="20.1" customHeight="1" s="769">
      <c r="C206" s="905" t="inlineStr">
        <is>
          <t xml:space="preserve">                Сургутский ЗСК</t>
        </is>
      </c>
      <c r="D206" s="528" t="n"/>
      <c r="E206" s="528" t="n"/>
      <c r="F206" s="529" t="n"/>
      <c r="G206" s="530" t="inlineStr">
        <is>
          <t>4_100331932</t>
        </is>
      </c>
      <c r="H206" s="530" t="n"/>
      <c r="I206" s="906" t="inlineStr">
        <is>
          <t>тыс.т</t>
        </is>
      </c>
    </row>
    <row r="207" ht="19.5" customHeight="1" s="769">
      <c r="B207" s="413" t="inlineStr">
        <is>
          <t>7.2.</t>
        </is>
      </c>
      <c r="C207" s="907" t="inlineStr">
        <is>
          <t>Дочерние общества</t>
        </is>
      </c>
      <c r="D207" s="528" t="n"/>
      <c r="E207" s="528" t="n"/>
      <c r="F207" s="529" t="n"/>
      <c r="G207" s="530" t="inlineStr">
        <is>
          <t>0+7_100330629</t>
        </is>
      </c>
      <c r="H207" s="530" t="n"/>
      <c r="I207" s="903" t="inlineStr">
        <is>
          <t>тыс.т</t>
        </is>
      </c>
    </row>
    <row r="208" outlineLevel="1" ht="20.1" customHeight="1" s="769">
      <c r="C208" s="920" t="inlineStr">
        <is>
          <t xml:space="preserve">   Газпром переработка</t>
        </is>
      </c>
      <c r="D208" s="528" t="n"/>
      <c r="E208" s="528" t="n"/>
      <c r="F208" s="529" t="n"/>
      <c r="G208" s="530" t="n">
        <v>0</v>
      </c>
      <c r="H208" s="530" t="n"/>
      <c r="I208" s="903" t="inlineStr">
        <is>
          <t>тыс.т</t>
        </is>
      </c>
    </row>
    <row r="209" outlineLevel="1" ht="20.1" customHeight="1" s="769">
      <c r="C209" s="921" t="inlineStr">
        <is>
          <t>Астраханский ГПЗ</t>
        </is>
      </c>
      <c r="D209" s="528" t="n"/>
      <c r="E209" s="528" t="n"/>
      <c r="F209" s="529" t="n"/>
      <c r="G209" s="530" t="n">
        <v>0</v>
      </c>
      <c r="H209" s="530" t="n"/>
      <c r="I209" s="906" t="inlineStr">
        <is>
          <t>тыс.т</t>
        </is>
      </c>
    </row>
    <row r="210" ht="20.1" customHeight="1" s="769">
      <c r="C210" s="904" t="inlineStr">
        <is>
          <t xml:space="preserve">   Газпром добыча Ямбург</t>
        </is>
      </c>
      <c r="D210" s="528" t="n"/>
      <c r="E210" s="528" t="n"/>
      <c r="F210" s="529" t="n"/>
      <c r="G210" s="530" t="inlineStr">
        <is>
          <t>7_100330629</t>
        </is>
      </c>
      <c r="H210" s="530" t="n"/>
      <c r="I210" s="903" t="inlineStr">
        <is>
          <t>тыс.т</t>
        </is>
      </c>
    </row>
    <row r="211" ht="20.1" customHeight="1" s="769">
      <c r="C211" s="927" t="inlineStr">
        <is>
          <t>Справочно</t>
        </is>
      </c>
      <c r="D211" s="528" t="n"/>
      <c r="E211" s="528" t="n"/>
      <c r="F211" s="529" t="n"/>
      <c r="G211" s="530" t="n"/>
      <c r="H211" s="530" t="n"/>
      <c r="I211" s="903" t="n"/>
    </row>
    <row r="212" ht="20.1" customHeight="1" s="769">
      <c r="C212" s="918" t="inlineStr">
        <is>
          <t xml:space="preserve">Переработка стабильного конденсата, всего </t>
        </is>
      </c>
      <c r="D212" s="528" t="n"/>
      <c r="E212" s="528" t="n"/>
      <c r="F212" s="529" t="n"/>
      <c r="G212" s="530" t="inlineStr">
        <is>
          <t>4_100331934+4_100331935+0</t>
        </is>
      </c>
      <c r="H212" s="530" t="n"/>
      <c r="I212" s="903" t="inlineStr">
        <is>
          <t>тыс.т</t>
        </is>
      </c>
    </row>
    <row r="213" ht="20.1" customHeight="1" s="769">
      <c r="C213" s="907" t="inlineStr">
        <is>
          <t>Газпром</t>
        </is>
      </c>
      <c r="D213" s="528" t="n"/>
      <c r="E213" s="528" t="n"/>
      <c r="F213" s="529" t="n"/>
      <c r="G213" s="530" t="inlineStr">
        <is>
          <t>4_100331934+4_100331935</t>
        </is>
      </c>
      <c r="H213" s="530" t="n"/>
      <c r="I213" s="903" t="inlineStr">
        <is>
          <t>тыс.т</t>
        </is>
      </c>
    </row>
    <row r="214" ht="20.1" customHeight="1" s="769">
      <c r="C214" s="904" t="inlineStr">
        <is>
          <t xml:space="preserve">   Газпром переработка</t>
        </is>
      </c>
      <c r="D214" s="528" t="n"/>
      <c r="E214" s="528" t="n"/>
      <c r="F214" s="529" t="n"/>
      <c r="G214" s="530" t="inlineStr">
        <is>
          <t>4_100331934+4_100331935</t>
        </is>
      </c>
      <c r="H214" s="530" t="n"/>
      <c r="I214" s="903" t="inlineStr">
        <is>
          <t>тыс.т</t>
        </is>
      </c>
    </row>
    <row r="215" ht="20.1" customHeight="1" s="769">
      <c r="C215" s="905" t="inlineStr">
        <is>
          <t>Уренгойский ЗПКТ</t>
        </is>
      </c>
      <c r="D215" s="528" t="n"/>
      <c r="E215" s="528" t="n"/>
      <c r="F215" s="529" t="n"/>
      <c r="G215" s="530" t="inlineStr">
        <is>
          <t>4_100331934</t>
        </is>
      </c>
      <c r="H215" s="530" t="n"/>
      <c r="I215" s="906" t="inlineStr">
        <is>
          <t>тыс.т</t>
        </is>
      </c>
    </row>
    <row r="216" ht="20.1" customHeight="1" s="769">
      <c r="C216" s="905" t="inlineStr">
        <is>
          <t xml:space="preserve">                Сургутский ЗСК</t>
        </is>
      </c>
      <c r="D216" s="528" t="n"/>
      <c r="E216" s="528" t="n"/>
      <c r="F216" s="529" t="n"/>
      <c r="G216" s="530" t="inlineStr">
        <is>
          <t>4_100331935</t>
        </is>
      </c>
      <c r="H216" s="530" t="n"/>
      <c r="I216" s="906" t="inlineStr">
        <is>
          <t>тыс.т</t>
        </is>
      </c>
    </row>
    <row r="217" ht="20.1" customHeight="1" s="769">
      <c r="C217" s="907" t="inlineStr">
        <is>
          <t>Дочерние общества</t>
        </is>
      </c>
      <c r="D217" s="528" t="n"/>
      <c r="E217" s="528" t="n"/>
      <c r="F217" s="529" t="n"/>
      <c r="G217" s="530" t="n">
        <v>0</v>
      </c>
      <c r="H217" s="530" t="n"/>
      <c r="I217" s="903" t="inlineStr">
        <is>
          <t>тыс.т</t>
        </is>
      </c>
    </row>
    <row r="218" ht="20.1" customHeight="1" s="769">
      <c r="C218" s="416" t="inlineStr">
        <is>
          <t>Переработка кислого газа Астраханский ГПЗ, всего</t>
        </is>
      </c>
      <c r="D218" s="528" t="n"/>
      <c r="E218" s="528" t="n"/>
      <c r="F218" s="529" t="n"/>
      <c r="G218" s="530" t="inlineStr">
        <is>
          <t>1_100331980+1_100331981+0</t>
        </is>
      </c>
      <c r="H218" s="530" t="n"/>
      <c r="I218" s="446" t="inlineStr">
        <is>
          <t>тыс.т</t>
        </is>
      </c>
    </row>
    <row r="219" ht="20.1" customHeight="1" s="769">
      <c r="C219" s="907" t="inlineStr">
        <is>
          <t>Газпром</t>
        </is>
      </c>
      <c r="D219" s="528" t="n"/>
      <c r="E219" s="528" t="n"/>
      <c r="F219" s="529" t="n"/>
      <c r="G219" s="530" t="inlineStr">
        <is>
          <t>1_100331980+1_100331981</t>
        </is>
      </c>
      <c r="H219" s="530" t="n"/>
      <c r="I219" s="446" t="inlineStr">
        <is>
          <t>тыс.т</t>
        </is>
      </c>
    </row>
    <row r="220" ht="20.1" customHeight="1" s="769">
      <c r="C220" s="430" t="inlineStr">
        <is>
          <t>в т.ч. от переработки с производства №3</t>
        </is>
      </c>
      <c r="D220" s="528" t="n"/>
      <c r="E220" s="528" t="n"/>
      <c r="F220" s="529" t="n"/>
      <c r="G220" s="530" t="inlineStr">
        <is>
          <t>1_100331980</t>
        </is>
      </c>
      <c r="H220" s="530" t="n"/>
      <c r="I220" s="909" t="inlineStr">
        <is>
          <t>тыс.т</t>
        </is>
      </c>
    </row>
    <row r="221" ht="20.1" customHeight="1" s="769">
      <c r="C221" s="430" t="inlineStr">
        <is>
          <t xml:space="preserve"> от переработки с производства №1, 5</t>
        </is>
      </c>
      <c r="D221" s="528" t="n"/>
      <c r="E221" s="528" t="n"/>
      <c r="F221" s="529" t="n"/>
      <c r="G221" s="530" t="inlineStr">
        <is>
          <t>1_100331981</t>
        </is>
      </c>
      <c r="H221" s="530" t="n"/>
      <c r="I221" s="909" t="inlineStr">
        <is>
          <t>тыс.т</t>
        </is>
      </c>
    </row>
    <row r="222" outlineLevel="1" ht="20.1" customHeight="1" s="769">
      <c r="C222" s="928" t="inlineStr">
        <is>
          <t>Дочерние общества</t>
        </is>
      </c>
      <c r="D222" s="528" t="n"/>
      <c r="E222" s="528" t="n"/>
      <c r="F222" s="529" t="n"/>
      <c r="G222" s="530" t="n">
        <v>0</v>
      </c>
      <c r="H222" s="530" t="n"/>
      <c r="I222" s="446" t="inlineStr">
        <is>
          <t>тыс.т</t>
        </is>
      </c>
    </row>
    <row r="223" outlineLevel="1" ht="20.1" customHeight="1" s="769">
      <c r="C223" s="417" t="inlineStr">
        <is>
          <t xml:space="preserve">   Газпром переработка</t>
        </is>
      </c>
      <c r="D223" s="528" t="n"/>
      <c r="E223" s="528" t="n"/>
      <c r="F223" s="529" t="n"/>
      <c r="G223" s="530" t="n">
        <v>0</v>
      </c>
      <c r="H223" s="530" t="n"/>
      <c r="I223" s="446" t="inlineStr">
        <is>
          <t>тыс.т</t>
        </is>
      </c>
    </row>
    <row r="224" outlineLevel="1" ht="20.1" customHeight="1" s="769">
      <c r="C224" s="418" t="inlineStr">
        <is>
          <t>в т. ч. покупка у Газпром добыча Астрахань</t>
        </is>
      </c>
      <c r="D224" s="528" t="n"/>
      <c r="E224" s="528" t="n"/>
      <c r="F224" s="529" t="n"/>
      <c r="G224" s="530" t="n">
        <v>0</v>
      </c>
      <c r="H224" s="530" t="n"/>
      <c r="I224" s="909" t="inlineStr">
        <is>
          <t>тыс.т</t>
        </is>
      </c>
    </row>
    <row r="225" outlineLevel="1" ht="20.1" customHeight="1" s="769">
      <c r="C225" s="418" t="inlineStr">
        <is>
          <t>кислый газ на собст. тех. нужды ГПП</t>
        </is>
      </c>
      <c r="D225" s="528" t="n"/>
      <c r="E225" s="528" t="n"/>
      <c r="F225" s="529" t="n"/>
      <c r="G225" s="530" t="n"/>
      <c r="H225" s="530" t="n"/>
      <c r="I225" s="909" t="inlineStr">
        <is>
          <t>тыс.т</t>
        </is>
      </c>
    </row>
    <row r="226" ht="20.1" customHeight="1" s="769">
      <c r="C226" s="416" t="inlineStr">
        <is>
          <t>Выработка ШФЛУ (валовая), всего</t>
        </is>
      </c>
      <c r="D226" s="528" t="n"/>
      <c r="E226" s="528" t="n"/>
      <c r="F226" s="529" t="n"/>
      <c r="G226" s="530" t="n"/>
      <c r="H226" s="530" t="n"/>
      <c r="I226" s="446" t="n"/>
    </row>
    <row r="227" ht="20.1" customHeight="1" s="769">
      <c r="C227" s="424" t="inlineStr">
        <is>
          <t xml:space="preserve">   Газпром переработка</t>
        </is>
      </c>
      <c r="D227" s="528" t="n"/>
      <c r="E227" s="528" t="n"/>
      <c r="F227" s="529" t="n"/>
      <c r="G227" s="530" t="inlineStr">
        <is>
          <t>1_100332006+2_100332207+2_100332208+2_100335144+4_100331893+4_100331894</t>
        </is>
      </c>
      <c r="H227" s="530" t="n"/>
      <c r="I227" s="446" t="inlineStr">
        <is>
          <t>тыс.т</t>
        </is>
      </c>
    </row>
    <row r="228" ht="20.1" customHeight="1" s="769">
      <c r="C228" s="436" t="inlineStr">
        <is>
          <t>Астраханский ГПЗ</t>
        </is>
      </c>
      <c r="D228" s="528" t="n"/>
      <c r="E228" s="528" t="n"/>
      <c r="F228" s="529" t="n"/>
      <c r="G228" s="530" t="inlineStr">
        <is>
          <t>1_100332006</t>
        </is>
      </c>
      <c r="H228" s="530" t="n"/>
      <c r="I228" s="906" t="inlineStr">
        <is>
          <t>тыс.т</t>
        </is>
      </c>
    </row>
    <row r="229" ht="20.1" customHeight="1" s="769">
      <c r="C229" s="436" t="inlineStr">
        <is>
          <t xml:space="preserve"> Оренбургский ГХК</t>
        </is>
      </c>
      <c r="D229" s="528" t="n"/>
      <c r="E229" s="528" t="n"/>
      <c r="F229" s="529" t="n"/>
      <c r="G229" s="530" t="inlineStr">
        <is>
          <t>2_100332207+2_100332208+2_100335144</t>
        </is>
      </c>
      <c r="H229" s="530" t="n"/>
      <c r="I229" s="906" t="inlineStr">
        <is>
          <t>тыс.т</t>
        </is>
      </c>
    </row>
    <row r="230" ht="20.1" customHeight="1" s="769">
      <c r="C230" s="436" t="inlineStr">
        <is>
          <t>Уренгойский ЗПКТ</t>
        </is>
      </c>
      <c r="D230" s="528" t="n"/>
      <c r="E230" s="528" t="n"/>
      <c r="F230" s="529" t="n"/>
      <c r="G230" s="530" t="inlineStr">
        <is>
          <t>4_100331893</t>
        </is>
      </c>
      <c r="H230" s="530" t="n"/>
      <c r="I230" s="906" t="inlineStr">
        <is>
          <t>тыс.т</t>
        </is>
      </c>
    </row>
    <row r="231" ht="20.1" customHeight="1" s="769">
      <c r="C231" s="436" t="inlineStr">
        <is>
          <t xml:space="preserve">                Сургутский ЗСК</t>
        </is>
      </c>
      <c r="D231" s="528" t="n"/>
      <c r="E231" s="528" t="n"/>
      <c r="F231" s="529" t="n"/>
      <c r="G231" s="530" t="inlineStr">
        <is>
          <t>4_100331894</t>
        </is>
      </c>
      <c r="H231" s="530" t="n"/>
      <c r="I231" s="906" t="inlineStr">
        <is>
          <t>тыс.т</t>
        </is>
      </c>
    </row>
    <row r="232" ht="20.1" customHeight="1" s="769">
      <c r="C232" s="428" t="inlineStr">
        <is>
          <t>Газпром</t>
        </is>
      </c>
      <c r="D232" s="528" t="n"/>
      <c r="E232" s="528" t="n"/>
      <c r="F232" s="529" t="n"/>
      <c r="G232" s="530" t="inlineStr">
        <is>
          <t>4_100331893+4_100331894+1_100332006</t>
        </is>
      </c>
      <c r="H232" s="530" t="n"/>
      <c r="I232" s="446" t="inlineStr">
        <is>
          <t>тыс.т</t>
        </is>
      </c>
    </row>
    <row r="233" ht="20.1" customHeight="1" s="769">
      <c r="C233" s="424" t="inlineStr">
        <is>
          <t xml:space="preserve">   Газпром переработка</t>
        </is>
      </c>
      <c r="D233" s="528" t="n"/>
      <c r="E233" s="528" t="n"/>
      <c r="F233" s="529" t="n"/>
      <c r="G233" s="530" t="inlineStr">
        <is>
          <t>4_100331893+4_100331894+1_100332006</t>
        </is>
      </c>
      <c r="H233" s="530" t="n"/>
      <c r="I233" s="446" t="inlineStr">
        <is>
          <t>тыс.т</t>
        </is>
      </c>
    </row>
    <row r="234" ht="20.1" customHeight="1" s="769">
      <c r="C234" s="436" t="inlineStr">
        <is>
          <t>Астраханский ГПЗ</t>
        </is>
      </c>
      <c r="D234" s="528" t="n"/>
      <c r="E234" s="528" t="n"/>
      <c r="F234" s="529" t="n"/>
      <c r="G234" s="530" t="inlineStr">
        <is>
          <t>1_100332006</t>
        </is>
      </c>
      <c r="H234" s="530" t="n"/>
      <c r="I234" s="906" t="inlineStr">
        <is>
          <t>тыс.т</t>
        </is>
      </c>
    </row>
    <row r="235" ht="20.1" customHeight="1" s="769">
      <c r="C235" s="430" t="inlineStr">
        <is>
          <t xml:space="preserve">        в т.ч. стабильный конденсат</t>
        </is>
      </c>
      <c r="D235" s="528" t="n"/>
      <c r="E235" s="528" t="n"/>
      <c r="F235" s="529" t="n"/>
      <c r="G235" s="530" t="inlineStr">
        <is>
          <t>1_100334997</t>
        </is>
      </c>
      <c r="H235" s="530" t="n"/>
      <c r="I235" s="909" t="inlineStr">
        <is>
          <t>тыс.т</t>
        </is>
      </c>
    </row>
    <row r="236" ht="20.1" customHeight="1" s="769">
      <c r="C236" s="436" t="inlineStr">
        <is>
          <t>Уренгойский ЗПКТ</t>
        </is>
      </c>
      <c r="D236" s="528" t="n"/>
      <c r="E236" s="528" t="n"/>
      <c r="F236" s="529" t="n"/>
      <c r="G236" s="530" t="inlineStr">
        <is>
          <t>4_100331893</t>
        </is>
      </c>
      <c r="H236" s="530" t="n"/>
      <c r="I236" s="906" t="inlineStr">
        <is>
          <t>тыс.т</t>
        </is>
      </c>
    </row>
    <row r="237" ht="20.1" customHeight="1" s="769">
      <c r="C237" s="436" t="inlineStr">
        <is>
          <t xml:space="preserve">                Сургутский ЗСК</t>
        </is>
      </c>
      <c r="D237" s="528" t="n"/>
      <c r="E237" s="528" t="n"/>
      <c r="F237" s="529" t="n"/>
      <c r="G237" s="530" t="inlineStr">
        <is>
          <t>4_100331894</t>
        </is>
      </c>
      <c r="H237" s="530" t="n"/>
      <c r="I237" s="906" t="inlineStr">
        <is>
          <t>тыс.т</t>
        </is>
      </c>
    </row>
    <row r="238" ht="20.1" customHeight="1" s="769">
      <c r="C238" s="428" t="inlineStr">
        <is>
          <t>Дочерние общества</t>
        </is>
      </c>
      <c r="D238" s="528" t="n"/>
      <c r="E238" s="528" t="n"/>
      <c r="F238" s="529" t="n"/>
      <c r="G238" s="530" t="inlineStr">
        <is>
          <t>0+2_100332207+2_100332208+2_100335144</t>
        </is>
      </c>
      <c r="H238" s="530" t="n"/>
      <c r="I238" s="446" t="inlineStr">
        <is>
          <t>тыс.т</t>
        </is>
      </c>
    </row>
    <row r="239" outlineLevel="1" ht="20.1" customHeight="1" s="769">
      <c r="C239" s="417" t="inlineStr">
        <is>
          <t>Газпром добыча Астрахань</t>
        </is>
      </c>
      <c r="D239" s="528" t="n"/>
      <c r="E239" s="528" t="n"/>
      <c r="F239" s="529" t="n"/>
      <c r="G239" s="530" t="n">
        <v>0</v>
      </c>
      <c r="H239" s="530" t="n"/>
      <c r="I239" s="446" t="inlineStr">
        <is>
          <t>тыс.т</t>
        </is>
      </c>
    </row>
    <row r="240" outlineLevel="1" ht="20.1" customHeight="1" s="769">
      <c r="C240" s="419" t="inlineStr">
        <is>
          <t>Астраханский ГПЗ</t>
        </is>
      </c>
      <c r="D240" s="528" t="n"/>
      <c r="E240" s="528" t="n"/>
      <c r="F240" s="529" t="n"/>
      <c r="G240" s="530" t="n"/>
      <c r="H240" s="530" t="n"/>
      <c r="I240" s="906" t="inlineStr">
        <is>
          <t>тыс.т</t>
        </is>
      </c>
    </row>
    <row r="241" outlineLevel="1" ht="20.1" customHeight="1" s="769">
      <c r="C241" s="418" t="inlineStr">
        <is>
          <t xml:space="preserve">        в т.ч. стабильный конденсат</t>
        </is>
      </c>
      <c r="D241" s="528" t="n"/>
      <c r="E241" s="528" t="n"/>
      <c r="F241" s="529" t="n"/>
      <c r="G241" s="530" t="n"/>
      <c r="H241" s="530" t="n"/>
      <c r="I241" s="909" t="inlineStr">
        <is>
          <t>тыс.т</t>
        </is>
      </c>
    </row>
    <row r="242" ht="20.1" customHeight="1" s="769">
      <c r="C242" s="424" t="inlineStr">
        <is>
          <t xml:space="preserve">   Газпром переработка</t>
        </is>
      </c>
      <c r="D242" s="528" t="n"/>
      <c r="E242" s="528" t="n"/>
      <c r="F242" s="529" t="n"/>
      <c r="G242" s="530" t="inlineStr">
        <is>
          <t>2_100332207+2_100332208+2_100335144</t>
        </is>
      </c>
      <c r="H242" s="530" t="n"/>
      <c r="I242" s="446" t="inlineStr">
        <is>
          <t>тыс.т</t>
        </is>
      </c>
    </row>
    <row r="243" ht="20.1" customHeight="1" s="769">
      <c r="C243" s="436" t="inlineStr">
        <is>
          <t xml:space="preserve"> Оренбургский ГХК</t>
        </is>
      </c>
      <c r="D243" s="528" t="n"/>
      <c r="E243" s="528" t="n"/>
      <c r="F243" s="529" t="n"/>
      <c r="G243" s="530" t="inlineStr">
        <is>
          <t>2_100332207+2_100332208+2_100335144</t>
        </is>
      </c>
      <c r="H243" s="530" t="n"/>
      <c r="I243" s="906" t="inlineStr">
        <is>
          <t>тыс.т</t>
        </is>
      </c>
    </row>
    <row r="244" ht="20.1" customHeight="1" s="769">
      <c r="C244" s="430" t="inlineStr">
        <is>
          <t>Газпром добыча Оренбург</t>
        </is>
      </c>
      <c r="D244" s="528" t="n"/>
      <c r="E244" s="528" t="n"/>
      <c r="F244" s="529" t="n"/>
      <c r="G244" s="530" t="inlineStr">
        <is>
          <t>2_100332207</t>
        </is>
      </c>
      <c r="H244" s="530" t="n"/>
      <c r="I244" s="909" t="inlineStr">
        <is>
          <t>тыс.т</t>
        </is>
      </c>
    </row>
    <row r="245" ht="20.1" customHeight="1" s="769">
      <c r="C245" s="430" t="inlineStr">
        <is>
          <t>Газпром нефть</t>
        </is>
      </c>
      <c r="D245" s="528" t="n"/>
      <c r="E245" s="528" t="n"/>
      <c r="F245" s="529" t="n"/>
      <c r="G245" s="530" t="inlineStr">
        <is>
          <t>2_100332208</t>
        </is>
      </c>
      <c r="H245" s="530" t="n"/>
      <c r="I245" s="909" t="inlineStr">
        <is>
          <t>тыс.т</t>
        </is>
      </c>
    </row>
    <row r="246" ht="20.1" customHeight="1" s="769">
      <c r="C246" s="908" t="inlineStr">
        <is>
          <t>прочие поставщики (ГПНЗ, УНГП, и.т.д.)</t>
        </is>
      </c>
      <c r="D246" s="528" t="n"/>
      <c r="E246" s="528" t="n"/>
      <c r="F246" s="529" t="n"/>
      <c r="G246" s="530" t="inlineStr">
        <is>
          <t>2_100335144</t>
        </is>
      </c>
      <c r="H246" s="530" t="n"/>
      <c r="I246" s="909" t="inlineStr">
        <is>
          <t>тыс.т</t>
        </is>
      </c>
    </row>
    <row r="247" ht="20.1" customHeight="1" s="769">
      <c r="C247" s="416" t="inlineStr">
        <is>
          <t>Переработка ШФЛУ, всего</t>
        </is>
      </c>
      <c r="D247" s="528" t="n"/>
      <c r="E247" s="528" t="n"/>
      <c r="F247" s="529" t="n"/>
      <c r="G247" s="530" t="n"/>
      <c r="H247" s="530" t="n"/>
      <c r="I247" s="446" t="n"/>
    </row>
    <row r="248" ht="20.1" customHeight="1" s="769">
      <c r="C248" s="428" t="inlineStr">
        <is>
          <t>Газпром</t>
        </is>
      </c>
      <c r="D248" s="528" t="n"/>
      <c r="E248" s="528" t="n"/>
      <c r="F248" s="529" t="n"/>
      <c r="G248" s="530" t="inlineStr">
        <is>
          <t>1_100332008+2_100332211+2_100332212+2_100335145+4_100331896+4_100331897</t>
        </is>
      </c>
      <c r="H248" s="530" t="n"/>
      <c r="I248" s="446" t="inlineStr">
        <is>
          <t>тыс.т</t>
        </is>
      </c>
    </row>
    <row r="249" ht="20.1" customHeight="1" s="769">
      <c r="C249" s="424" t="inlineStr">
        <is>
          <t xml:space="preserve">   Газпром переработка</t>
        </is>
      </c>
      <c r="D249" s="528" t="n"/>
      <c r="E249" s="528" t="n"/>
      <c r="F249" s="529" t="n"/>
      <c r="G249" s="530" t="inlineStr">
        <is>
          <t>1_100332008+2_100332211+2_100332212+2_100335145+4_100331896+4_100331897</t>
        </is>
      </c>
      <c r="H249" s="530" t="n"/>
      <c r="I249" s="446" t="inlineStr">
        <is>
          <t>тыс.т</t>
        </is>
      </c>
    </row>
    <row r="250" ht="20.1" customHeight="1" s="769">
      <c r="C250" s="436" t="inlineStr">
        <is>
          <t>Астраханский ГПЗ</t>
        </is>
      </c>
      <c r="D250" s="528" t="n"/>
      <c r="E250" s="528" t="n"/>
      <c r="F250" s="529" t="n"/>
      <c r="G250" s="530" t="inlineStr">
        <is>
          <t>1_100332008</t>
        </is>
      </c>
      <c r="H250" s="530" t="n"/>
      <c r="I250" s="906" t="inlineStr">
        <is>
          <t>тыс.т</t>
        </is>
      </c>
    </row>
    <row r="251" ht="20.1" customHeight="1" s="769">
      <c r="C251" s="430" t="inlineStr">
        <is>
          <t>с уч. содержания комп. стабильного конденсата</t>
        </is>
      </c>
      <c r="D251" s="528" t="n"/>
      <c r="E251" s="528" t="n"/>
      <c r="F251" s="529" t="n"/>
      <c r="G251" s="530" t="inlineStr">
        <is>
          <t>1_100332009</t>
        </is>
      </c>
      <c r="H251" s="530" t="n"/>
      <c r="I251" s="909" t="inlineStr">
        <is>
          <t>тыс.т</t>
        </is>
      </c>
    </row>
    <row r="252" ht="20.1" customHeight="1" s="769">
      <c r="C252" s="436" t="inlineStr">
        <is>
          <t xml:space="preserve"> Оренбургский ГХК</t>
        </is>
      </c>
      <c r="D252" s="528" t="n"/>
      <c r="E252" s="528" t="n"/>
      <c r="F252" s="529" t="n"/>
      <c r="G252" s="530" t="inlineStr">
        <is>
          <t>2_100332211+2_100332212+2_100335145</t>
        </is>
      </c>
      <c r="H252" s="530" t="n"/>
      <c r="I252" s="906" t="inlineStr">
        <is>
          <t>тыс.т</t>
        </is>
      </c>
    </row>
    <row r="253" ht="20.1" customHeight="1" s="769">
      <c r="C253" s="430" t="inlineStr">
        <is>
          <t>Газпром добыча Оренбург</t>
        </is>
      </c>
      <c r="D253" s="528" t="n"/>
      <c r="E253" s="528" t="n"/>
      <c r="F253" s="529" t="n"/>
      <c r="G253" s="530" t="inlineStr">
        <is>
          <t>2_100332211</t>
        </is>
      </c>
      <c r="H253" s="530" t="n"/>
      <c r="I253" s="909" t="inlineStr">
        <is>
          <t>тыс.т</t>
        </is>
      </c>
    </row>
    <row r="254" ht="20.1" customHeight="1" s="769">
      <c r="C254" s="430" t="inlineStr">
        <is>
          <t>Газпром нефть</t>
        </is>
      </c>
      <c r="D254" s="528" t="n"/>
      <c r="E254" s="528" t="n"/>
      <c r="F254" s="529" t="n"/>
      <c r="G254" s="530" t="inlineStr">
        <is>
          <t>2_100332212</t>
        </is>
      </c>
      <c r="H254" s="530" t="n"/>
      <c r="I254" s="909" t="inlineStr">
        <is>
          <t>тыс.т</t>
        </is>
      </c>
    </row>
    <row r="255" ht="20.1" customHeight="1" s="769">
      <c r="C255" s="908" t="inlineStr">
        <is>
          <t>прочие поставщики (ГПНЗ, УНГП, и.т.д.)</t>
        </is>
      </c>
      <c r="D255" s="528" t="n"/>
      <c r="E255" s="528" t="n"/>
      <c r="F255" s="529" t="n"/>
      <c r="G255" s="530" t="inlineStr">
        <is>
          <t>2_100335145</t>
        </is>
      </c>
      <c r="H255" s="530" t="n"/>
      <c r="I255" s="909" t="inlineStr">
        <is>
          <t>тыс.т</t>
        </is>
      </c>
    </row>
    <row r="256" ht="20.1" customHeight="1" s="769">
      <c r="C256" s="436" t="inlineStr">
        <is>
          <t>Уренгойский ЗПКТ</t>
        </is>
      </c>
      <c r="D256" s="528" t="n"/>
      <c r="E256" s="528" t="n"/>
      <c r="F256" s="529" t="n"/>
      <c r="G256" s="530" t="inlineStr">
        <is>
          <t>4_100331896</t>
        </is>
      </c>
      <c r="H256" s="530" t="n"/>
      <c r="I256" s="906" t="inlineStr">
        <is>
          <t>тыс.т</t>
        </is>
      </c>
    </row>
    <row r="257" ht="20.1" customHeight="1" s="769">
      <c r="C257" s="436" t="inlineStr">
        <is>
          <t xml:space="preserve">                Сургутский ЗСК</t>
        </is>
      </c>
      <c r="D257" s="528" t="n"/>
      <c r="E257" s="528" t="n"/>
      <c r="F257" s="529" t="n"/>
      <c r="G257" s="530" t="inlineStr">
        <is>
          <t>4_100331897</t>
        </is>
      </c>
      <c r="H257" s="530" t="n"/>
      <c r="I257" s="906" t="inlineStr">
        <is>
          <t>тыс.т</t>
        </is>
      </c>
    </row>
    <row r="258" ht="20.1" customHeight="1" s="769">
      <c r="C258" s="428" t="inlineStr">
        <is>
          <t>Дочерние общества</t>
        </is>
      </c>
      <c r="D258" s="528" t="n"/>
      <c r="E258" s="528" t="n"/>
      <c r="F258" s="529" t="n"/>
      <c r="G258" s="530" t="n">
        <v>0</v>
      </c>
      <c r="H258" s="530" t="n"/>
      <c r="I258" s="446" t="inlineStr">
        <is>
          <t>тыс.т</t>
        </is>
      </c>
    </row>
    <row r="259" ht="20.1" customHeight="1" s="769">
      <c r="B259" s="416" t="n"/>
      <c r="C259" s="416" t="inlineStr">
        <is>
          <t xml:space="preserve">ПРОДУКЦИЯ    </t>
        </is>
      </c>
      <c r="D259" s="528" t="n"/>
      <c r="E259" s="528" t="n"/>
      <c r="F259" s="529" t="n"/>
      <c r="G259" s="530" t="n"/>
      <c r="H259" s="530" t="n"/>
      <c r="I259" s="446" t="n"/>
    </row>
    <row r="260" ht="32.25" customHeight="1" s="769">
      <c r="B260" s="747" t="inlineStr">
        <is>
          <t>1.</t>
        </is>
      </c>
      <c r="C260" s="458" t="inlineStr">
        <is>
          <t>Газ горючий природный сухой  отбензиненный  с перерабатывающих предприятий - всего</t>
        </is>
      </c>
      <c r="D260" s="528" t="n"/>
      <c r="E260" s="528" t="n"/>
      <c r="F260" s="529" t="n"/>
      <c r="G260" s="530" t="inlineStr">
        <is>
          <t>2_100332111+2_100332113+2_100335135+2_100335692+1_100331993+3_100330564+3_100330574+4_100331871+4_100331859+4_100331857+4_100335366+4_100335368+0+8_100335493+14_100332359+14_100335312</t>
        </is>
      </c>
      <c r="H260" s="530" t="n"/>
      <c r="I260" s="446" t="inlineStr">
        <is>
          <t>млн куб.м.</t>
        </is>
      </c>
    </row>
    <row r="261" ht="20.1" customHeight="1" s="769">
      <c r="C261" s="424" t="inlineStr">
        <is>
          <t xml:space="preserve">   Газпром переработка</t>
        </is>
      </c>
      <c r="D261" s="528" t="n"/>
      <c r="E261" s="528" t="n"/>
      <c r="F261" s="529" t="n"/>
      <c r="G261" s="530" t="inlineStr">
        <is>
          <t>2_100332111+2_100332113+2_100335135+2_100335692+1_100331993+3_100330564+3_100330574+4_100331871+4_100331859+4_100331857+4_100335366+4_100335368+0</t>
        </is>
      </c>
      <c r="H261" s="530" t="n"/>
      <c r="I261" s="446" t="inlineStr">
        <is>
          <t>млн куб.м.</t>
        </is>
      </c>
    </row>
    <row r="262" ht="20.1" customHeight="1" s="769">
      <c r="C262" s="436" t="inlineStr">
        <is>
          <t>Астраханский ГПЗ</t>
        </is>
      </c>
      <c r="D262" s="528" t="n"/>
      <c r="E262" s="528" t="n"/>
      <c r="F262" s="529" t="n"/>
      <c r="G262" s="530" t="inlineStr">
        <is>
          <t>1_100331993</t>
        </is>
      </c>
      <c r="H262" s="530" t="n"/>
      <c r="I262" s="906" t="inlineStr">
        <is>
          <t>млн куб.м.</t>
        </is>
      </c>
    </row>
    <row r="263" ht="20.1" customHeight="1" s="769">
      <c r="C263" s="436" t="inlineStr">
        <is>
          <t>Оренбургский ГХК</t>
        </is>
      </c>
      <c r="D263" s="528" t="n"/>
      <c r="E263" s="528" t="n"/>
      <c r="F263" s="529" t="n"/>
      <c r="G263" s="530" t="inlineStr">
        <is>
          <t>2_100332111+2_100332113+2_100335135+2_100335692</t>
        </is>
      </c>
      <c r="H263" s="530" t="n"/>
      <c r="I263" s="906" t="inlineStr">
        <is>
          <t>млн куб.м.</t>
        </is>
      </c>
    </row>
    <row r="264" ht="20.1" customHeight="1" s="769">
      <c r="C264" s="436" t="inlineStr">
        <is>
          <t xml:space="preserve">  Сосногорский ГПЗ </t>
        </is>
      </c>
      <c r="D264" s="528" t="n"/>
      <c r="E264" s="528" t="n"/>
      <c r="F264" s="529" t="n"/>
      <c r="G264" s="530" t="inlineStr">
        <is>
          <t>3_100330564+3_100330574</t>
        </is>
      </c>
      <c r="H264" s="530" t="n"/>
      <c r="I264" s="906" t="inlineStr">
        <is>
          <t>млн куб.м.</t>
        </is>
      </c>
    </row>
    <row r="265" ht="20.1" customHeight="1" s="769">
      <c r="C265" s="905" t="inlineStr">
        <is>
          <t xml:space="preserve">               Уренгойский ЗПКТ с учетом привлеченных мощностей</t>
        </is>
      </c>
      <c r="D265" s="528" t="n"/>
      <c r="E265" s="528" t="n"/>
      <c r="F265" s="529" t="n"/>
      <c r="G265" s="530" t="inlineStr">
        <is>
          <t>4_100331871+4_100331859+4_100331857+4_100335366+4_100335368+0</t>
        </is>
      </c>
      <c r="H265" s="530" t="n"/>
      <c r="I265" s="906" t="inlineStr">
        <is>
          <t>млн куб.м.</t>
        </is>
      </c>
    </row>
    <row r="266" ht="20.1" customHeight="1" s="769">
      <c r="C266" s="460" t="n"/>
      <c r="D266" s="528" t="n"/>
      <c r="E266" s="528" t="n"/>
      <c r="F266" s="529" t="n"/>
      <c r="G266" s="530" t="inlineStr">
        <is>
          <t>4_100331870+4_100331858+4_100331856+4_100335365+4_100335367+0</t>
        </is>
      </c>
      <c r="H266" s="530" t="n"/>
      <c r="I266" s="906" t="inlineStr">
        <is>
          <t>тыс.т</t>
        </is>
      </c>
    </row>
    <row r="267" ht="20.1" customHeight="1" s="769">
      <c r="C267" s="905" t="inlineStr">
        <is>
          <t>Газпром добыча Уренгой</t>
        </is>
      </c>
      <c r="D267" s="528" t="n"/>
      <c r="E267" s="528" t="n"/>
      <c r="F267" s="529" t="n"/>
      <c r="G267" s="530" t="inlineStr">
        <is>
          <t>8_100335493</t>
        </is>
      </c>
      <c r="H267" s="530" t="n"/>
      <c r="I267" s="4" t="inlineStr">
        <is>
          <t>млн куб.м.</t>
        </is>
      </c>
    </row>
    <row r="268" ht="20.1" customHeight="1" s="769">
      <c r="C268" s="424" t="inlineStr">
        <is>
          <t xml:space="preserve"> Газпром переработка Благовещенск</t>
        </is>
      </c>
      <c r="D268" s="528" t="n"/>
      <c r="E268" s="528" t="n"/>
      <c r="F268" s="529" t="n"/>
      <c r="G268" s="530" t="inlineStr">
        <is>
          <t>14_100332359+14_100335312</t>
        </is>
      </c>
      <c r="H268" s="530" t="n"/>
      <c r="I268" s="446" t="inlineStr">
        <is>
          <t>млн куб.м.</t>
        </is>
      </c>
    </row>
    <row r="269" ht="20.1" customHeight="1" s="769">
      <c r="C269" s="436" t="inlineStr">
        <is>
          <t xml:space="preserve"> Амурский ГПЗ</t>
        </is>
      </c>
      <c r="D269" s="528" t="n"/>
      <c r="E269" s="528" t="n"/>
      <c r="F269" s="529" t="n"/>
      <c r="G269" s="530" t="inlineStr">
        <is>
          <t>14_100332359+14_100335312</t>
        </is>
      </c>
      <c r="H269" s="530" t="n"/>
      <c r="I269" s="906" t="inlineStr">
        <is>
          <t>млн куб.м.</t>
        </is>
      </c>
    </row>
    <row r="270" ht="20.1" customHeight="1" s="769">
      <c r="B270" s="413" t="inlineStr">
        <is>
          <t>1.1.</t>
        </is>
      </c>
      <c r="C270" s="428" t="inlineStr">
        <is>
          <t>Газпром</t>
        </is>
      </c>
      <c r="D270" s="528" t="n"/>
      <c r="E270" s="528" t="n"/>
      <c r="F270" s="529" t="n"/>
      <c r="G270" s="530" t="inlineStr">
        <is>
          <t>3_100330564+4_100331871+4_100331859+4_100331857+4_100335366+4_100335368+1_100331993+14_100332359</t>
        </is>
      </c>
      <c r="H270" s="530" t="n"/>
      <c r="I270" s="446" t="inlineStr">
        <is>
          <t>млн куб.м.</t>
        </is>
      </c>
    </row>
    <row r="271" ht="20.1" customHeight="1" s="769">
      <c r="C271" s="424" t="inlineStr">
        <is>
          <t xml:space="preserve">   Газпром переработка</t>
        </is>
      </c>
      <c r="D271" s="528" t="n"/>
      <c r="E271" s="528" t="n"/>
      <c r="F271" s="529" t="n"/>
      <c r="G271" s="530" t="inlineStr">
        <is>
          <t>3_100330564+4_100331871+4_100331859+4_100331857+4_100335366+4_100335368+1_100331993</t>
        </is>
      </c>
      <c r="H271" s="530" t="n"/>
      <c r="I271" s="446" t="inlineStr">
        <is>
          <t>млн куб.м.</t>
        </is>
      </c>
    </row>
    <row r="272" ht="20.1" customHeight="1" s="769">
      <c r="C272" s="436" t="inlineStr">
        <is>
          <t>Астраханский ГПЗ</t>
        </is>
      </c>
      <c r="D272" s="528" t="n"/>
      <c r="E272" s="528" t="n"/>
      <c r="F272" s="529" t="n"/>
      <c r="G272" s="530" t="inlineStr">
        <is>
          <t>1_100331993</t>
        </is>
      </c>
      <c r="H272" s="530" t="n"/>
      <c r="I272" s="906" t="inlineStr">
        <is>
          <t>млн куб.м.</t>
        </is>
      </c>
    </row>
    <row r="273" ht="20.1" customHeight="1" s="769">
      <c r="C273" s="430" t="inlineStr">
        <is>
          <t>в т.ч. в  газотранспортную систему</t>
        </is>
      </c>
      <c r="D273" s="528" t="n"/>
      <c r="E273" s="528" t="n"/>
      <c r="F273" s="529" t="n"/>
      <c r="G273" s="530" t="inlineStr">
        <is>
          <t>1_100331995</t>
        </is>
      </c>
      <c r="H273" s="530" t="n"/>
      <c r="I273" s="909" t="inlineStr">
        <is>
          <t>млн куб.м.</t>
        </is>
      </c>
    </row>
    <row r="274" ht="20.1" customHeight="1" s="769">
      <c r="C274" s="430" t="inlineStr">
        <is>
          <t>газ на стн ГПП</t>
        </is>
      </c>
      <c r="D274" s="528" t="n"/>
      <c r="E274" s="528" t="n"/>
      <c r="F274" s="529" t="n"/>
      <c r="G274" s="530" t="inlineStr">
        <is>
          <t>1_100331999</t>
        </is>
      </c>
      <c r="H274" s="530" t="n"/>
      <c r="I274" s="909" t="inlineStr">
        <is>
          <t>млн куб.м.</t>
        </is>
      </c>
    </row>
    <row r="275" ht="20.1" customHeight="1" s="769">
      <c r="C275" s="430" t="inlineStr">
        <is>
          <t>газ на стн газодобывающих обществ</t>
        </is>
      </c>
      <c r="D275" s="528" t="n"/>
      <c r="E275" s="528" t="n"/>
      <c r="F275" s="529" t="n"/>
      <c r="G275" s="530" t="inlineStr">
        <is>
          <t>1_100331997</t>
        </is>
      </c>
      <c r="H275" s="530" t="n"/>
      <c r="I275" s="909" t="inlineStr">
        <is>
          <t>млн куб.м.</t>
        </is>
      </c>
    </row>
    <row r="276" ht="20.1" customHeight="1" s="769">
      <c r="C276" s="436" t="inlineStr">
        <is>
          <t xml:space="preserve">Сосногорский ГПЗ </t>
        </is>
      </c>
      <c r="D276" s="528" t="n"/>
      <c r="E276" s="528" t="n"/>
      <c r="F276" s="529" t="n"/>
      <c r="G276" s="530" t="inlineStr">
        <is>
          <t>3_100330564</t>
        </is>
      </c>
      <c r="H276" s="530" t="n"/>
      <c r="I276" s="906" t="inlineStr">
        <is>
          <t>млн куб.м.</t>
        </is>
      </c>
    </row>
    <row r="277" ht="20.1" customHeight="1" s="769">
      <c r="C277" s="430" t="inlineStr">
        <is>
          <t>Газпром добыча Краснодар</t>
        </is>
      </c>
      <c r="D277" s="528" t="n"/>
      <c r="E277" s="528" t="n"/>
      <c r="F277" s="529" t="n"/>
      <c r="G277" s="530" t="inlineStr">
        <is>
          <t>3_100330564</t>
        </is>
      </c>
      <c r="H277" s="530" t="n"/>
      <c r="I277" s="4" t="inlineStr">
        <is>
          <t>млн куб.м.</t>
        </is>
      </c>
    </row>
    <row r="278" ht="20.1" customHeight="1" s="769">
      <c r="C278" s="430" t="inlineStr">
        <is>
          <t>в т. ч. собственная потребность ГПП</t>
        </is>
      </c>
      <c r="D278" s="528" t="n"/>
      <c r="E278" s="528" t="n"/>
      <c r="F278" s="529" t="n"/>
      <c r="G278" s="530" t="inlineStr">
        <is>
          <t>3_100330566</t>
        </is>
      </c>
      <c r="H278" s="530" t="n"/>
      <c r="I278" s="909" t="inlineStr">
        <is>
          <t>млн куб.м.</t>
        </is>
      </c>
    </row>
    <row r="279" ht="20.1" customHeight="1" s="769">
      <c r="C279" s="430" t="inlineStr">
        <is>
          <t>в газотранспортную систему</t>
        </is>
      </c>
      <c r="D279" s="528" t="n"/>
      <c r="E279" s="528" t="n"/>
      <c r="F279" s="529" t="n"/>
      <c r="G279" s="530" t="inlineStr">
        <is>
          <t>3_100330570</t>
        </is>
      </c>
      <c r="H279" s="530" t="n"/>
      <c r="I279" s="909" t="inlineStr">
        <is>
          <t>млн куб.м.</t>
        </is>
      </c>
    </row>
    <row r="280" ht="20.1" customHeight="1" s="769">
      <c r="C280" s="430" t="inlineStr">
        <is>
          <t>на Сосногорскую ТЭЦ</t>
        </is>
      </c>
      <c r="D280" s="528" t="n"/>
      <c r="E280" s="528" t="n"/>
      <c r="F280" s="529" t="n"/>
      <c r="G280" s="530" t="inlineStr">
        <is>
          <t>3_100330568</t>
        </is>
      </c>
      <c r="H280" s="530" t="n"/>
      <c r="I280" s="909" t="inlineStr">
        <is>
          <t>млн куб.м.</t>
        </is>
      </c>
    </row>
    <row r="281" ht="20.1" customHeight="1" s="769">
      <c r="C281" s="905" t="inlineStr">
        <is>
          <t xml:space="preserve">               Уренгойский ЗПКТ и привлеченные мощности</t>
        </is>
      </c>
      <c r="D281" s="528" t="n"/>
      <c r="E281" s="528" t="n"/>
      <c r="F281" s="529" t="n"/>
      <c r="G281" s="530" t="inlineStr">
        <is>
          <t>4_100331871+4_100331859+4_100331857+4_100335366+4_100335368</t>
        </is>
      </c>
      <c r="H281" s="530" t="n"/>
      <c r="I281" s="906" t="inlineStr">
        <is>
          <t>млн куб.м.</t>
        </is>
      </c>
    </row>
    <row r="282" ht="20.1" customHeight="1" s="769">
      <c r="C282" s="436" t="n"/>
      <c r="D282" s="528" t="n"/>
      <c r="E282" s="528" t="n"/>
      <c r="F282" s="529" t="n"/>
      <c r="G282" s="530" t="inlineStr">
        <is>
          <t>4_100331870+4_100331858+4_100331856+4_100335365+4_100335367</t>
        </is>
      </c>
      <c r="H282" s="530" t="n"/>
      <c r="I282" s="906" t="inlineStr">
        <is>
          <t>тыс.т</t>
        </is>
      </c>
    </row>
    <row r="283" ht="20.1" customHeight="1" s="769">
      <c r="C283" s="430" t="inlineStr">
        <is>
          <t xml:space="preserve"> в т.ч. газ горючий природный</t>
        </is>
      </c>
      <c r="D283" s="528" t="n"/>
      <c r="E283" s="528" t="n"/>
      <c r="F283" s="529" t="n"/>
      <c r="G283" s="530" t="inlineStr">
        <is>
          <t>4_100331871</t>
        </is>
      </c>
      <c r="H283" s="530" t="n"/>
      <c r="I283" s="909" t="inlineStr">
        <is>
          <t>млн куб.м.</t>
        </is>
      </c>
    </row>
    <row r="284" ht="20.1" customHeight="1" s="769">
      <c r="C284" s="438" t="n"/>
      <c r="D284" s="528" t="n"/>
      <c r="E284" s="528" t="n"/>
      <c r="F284" s="529" t="n"/>
      <c r="G284" s="530" t="inlineStr">
        <is>
          <t>4_100331870</t>
        </is>
      </c>
      <c r="H284" s="530" t="n"/>
      <c r="I284" s="909" t="inlineStr">
        <is>
          <t>тыс.т</t>
        </is>
      </c>
    </row>
    <row r="285" ht="20.1" customHeight="1" s="769">
      <c r="C285" s="430" t="inlineStr">
        <is>
          <t xml:space="preserve"> газ деэтанизации собств. потребность ГПП</t>
        </is>
      </c>
      <c r="D285" s="528" t="n"/>
      <c r="E285" s="528" t="n"/>
      <c r="F285" s="529" t="n"/>
      <c r="G285" s="530" t="inlineStr">
        <is>
          <t>4_100331859</t>
        </is>
      </c>
      <c r="H285" s="530" t="n"/>
      <c r="I285" s="909" t="inlineStr">
        <is>
          <t>млн куб.м.</t>
        </is>
      </c>
    </row>
    <row r="286" ht="20.1" customHeight="1" s="769">
      <c r="C286" s="438" t="n"/>
      <c r="D286" s="528" t="n"/>
      <c r="E286" s="528" t="n"/>
      <c r="F286" s="529" t="n"/>
      <c r="G286" s="530" t="inlineStr">
        <is>
          <t>4_100331858</t>
        </is>
      </c>
      <c r="H286" s="530" t="n"/>
      <c r="I286" s="909" t="inlineStr">
        <is>
          <t>тыс.т</t>
        </is>
      </c>
    </row>
    <row r="287" ht="20.1" customHeight="1" s="769">
      <c r="C287" s="430" t="inlineStr">
        <is>
          <t>газ деэтанизации в адрес ГДУ по договору поставки</t>
        </is>
      </c>
      <c r="D287" s="528" t="n"/>
      <c r="E287" s="528" t="n"/>
      <c r="F287" s="529" t="n"/>
      <c r="G287" s="530" t="inlineStr">
        <is>
          <t>4_100331857</t>
        </is>
      </c>
      <c r="H287" s="530" t="n"/>
      <c r="I287" s="909" t="inlineStr">
        <is>
          <t>млн куб.м.</t>
        </is>
      </c>
    </row>
    <row r="288" ht="20.1" customHeight="1" s="769">
      <c r="C288" s="438" t="n"/>
      <c r="D288" s="528" t="n"/>
      <c r="E288" s="528" t="n"/>
      <c r="F288" s="529" t="n"/>
      <c r="G288" s="530" t="inlineStr">
        <is>
          <t>4_100331856</t>
        </is>
      </c>
      <c r="H288" s="530" t="n"/>
      <c r="I288" s="909" t="inlineStr">
        <is>
          <t>тыс.т</t>
        </is>
      </c>
    </row>
    <row r="289" ht="20.1" customHeight="1" s="769">
      <c r="C289" s="430" t="inlineStr">
        <is>
          <t xml:space="preserve"> газ горючий природный с привлечнных. мощностей Новатэк</t>
        </is>
      </c>
      <c r="D289" s="528" t="n"/>
      <c r="E289" s="528" t="n"/>
      <c r="F289" s="529" t="n"/>
      <c r="G289" s="530" t="inlineStr">
        <is>
          <t>4_100335366</t>
        </is>
      </c>
      <c r="H289" s="530" t="n"/>
      <c r="I289" s="909" t="inlineStr">
        <is>
          <t>млн куб.м.</t>
        </is>
      </c>
    </row>
    <row r="290" ht="20.1" customHeight="1" s="769">
      <c r="C290" s="421" t="n"/>
      <c r="D290" s="528" t="n"/>
      <c r="E290" s="528" t="n"/>
      <c r="F290" s="529" t="n"/>
      <c r="G290" s="530" t="inlineStr">
        <is>
          <t>4_100335365</t>
        </is>
      </c>
      <c r="H290" s="530" t="n"/>
      <c r="I290" s="909" t="inlineStr">
        <is>
          <t>тыс.т</t>
        </is>
      </c>
    </row>
    <row r="291" ht="20.1" customHeight="1" s="769">
      <c r="C291" s="430" t="inlineStr">
        <is>
          <t xml:space="preserve"> газ деэтанизации с  привлечнных мощностей УДКМ</t>
        </is>
      </c>
      <c r="D291" s="528" t="n"/>
      <c r="E291" s="528" t="n"/>
      <c r="F291" s="529" t="n"/>
      <c r="G291" s="530" t="inlineStr">
        <is>
          <t>4_100335368</t>
        </is>
      </c>
      <c r="H291" s="530" t="n"/>
      <c r="I291" s="909" t="inlineStr">
        <is>
          <t>млн куб.м.</t>
        </is>
      </c>
    </row>
    <row r="292" ht="20.1" customHeight="1" s="769">
      <c r="C292" s="421" t="n"/>
      <c r="D292" s="528" t="n"/>
      <c r="E292" s="528" t="n"/>
      <c r="F292" s="529" t="n"/>
      <c r="G292" s="530" t="inlineStr">
        <is>
          <t>4_100335367</t>
        </is>
      </c>
      <c r="H292" s="530" t="n"/>
      <c r="I292" s="909" t="inlineStr">
        <is>
          <t>тыс.т</t>
        </is>
      </c>
    </row>
    <row r="293" ht="20.1" customHeight="1" s="769">
      <c r="C293" s="424" t="inlineStr">
        <is>
          <t xml:space="preserve"> Газпром переработка Благовещенск</t>
        </is>
      </c>
      <c r="D293" s="528" t="n"/>
      <c r="E293" s="528" t="n"/>
      <c r="F293" s="529" t="n"/>
      <c r="G293" s="530" t="inlineStr">
        <is>
          <t>14_100332359</t>
        </is>
      </c>
      <c r="H293" s="530" t="n"/>
      <c r="I293" s="446" t="inlineStr">
        <is>
          <t>млн куб.м.</t>
        </is>
      </c>
    </row>
    <row r="294" ht="20.1" customHeight="1" s="769">
      <c r="C294" s="436" t="inlineStr">
        <is>
          <t xml:space="preserve"> Амурский ГПЗ</t>
        </is>
      </c>
      <c r="D294" s="528" t="n"/>
      <c r="E294" s="528" t="n"/>
      <c r="F294" s="529" t="n"/>
      <c r="G294" s="530" t="inlineStr">
        <is>
          <t>14_100332359</t>
        </is>
      </c>
      <c r="H294" s="530" t="n"/>
      <c r="I294" s="906" t="inlineStr">
        <is>
          <t>млн куб.м.</t>
        </is>
      </c>
    </row>
    <row r="295" ht="20.1" customHeight="1" s="769">
      <c r="B295" s="413" t="inlineStr">
        <is>
          <t>1.2.</t>
        </is>
      </c>
      <c r="C295" s="428" t="inlineStr">
        <is>
          <t>Дочерние общества</t>
        </is>
      </c>
      <c r="D295" s="528" t="n"/>
      <c r="E295" s="528" t="n"/>
      <c r="F295" s="529" t="n"/>
      <c r="G295" s="530" t="inlineStr">
        <is>
          <t>2_100332111+2_100332113+2_100335135+0+3_100330574+14_100335312+2_100335692</t>
        </is>
      </c>
      <c r="H295" s="530" t="n"/>
      <c r="I295" s="446" t="inlineStr">
        <is>
          <t>млн куб.м.</t>
        </is>
      </c>
    </row>
    <row r="296" outlineLevel="1" ht="20.1" customHeight="1" s="769">
      <c r="C296" s="417" t="inlineStr">
        <is>
          <t>Газпром добыча Астрахань</t>
        </is>
      </c>
      <c r="D296" s="528" t="n"/>
      <c r="E296" s="528" t="n"/>
      <c r="F296" s="529" t="n"/>
      <c r="G296" s="530" t="n">
        <v>0</v>
      </c>
      <c r="H296" s="530" t="n"/>
      <c r="I296" s="446" t="inlineStr">
        <is>
          <t>млн куб.м.</t>
        </is>
      </c>
    </row>
    <row r="297" outlineLevel="1" ht="20.1" customHeight="1" s="769">
      <c r="C297" s="419" t="inlineStr">
        <is>
          <t>Астраханский ГПЗ</t>
        </is>
      </c>
      <c r="D297" s="528" t="n"/>
      <c r="E297" s="528" t="n"/>
      <c r="F297" s="529" t="n"/>
      <c r="G297" s="530" t="n"/>
      <c r="H297" s="530" t="n"/>
      <c r="I297" s="906" t="inlineStr">
        <is>
          <t>млн куб.м.</t>
        </is>
      </c>
    </row>
    <row r="298" outlineLevel="1" ht="20.1" customHeight="1" s="769">
      <c r="C298" s="418" t="inlineStr">
        <is>
          <t>в т.ч. в  газотранспортную систему</t>
        </is>
      </c>
      <c r="D298" s="528" t="n"/>
      <c r="E298" s="528" t="n"/>
      <c r="F298" s="529" t="n"/>
      <c r="G298" s="530" t="n"/>
      <c r="H298" s="530" t="n"/>
      <c r="I298" s="909" t="inlineStr">
        <is>
          <t>млн куб.м.</t>
        </is>
      </c>
    </row>
    <row r="299" outlineLevel="1" ht="20.1" customHeight="1" s="769">
      <c r="C299" s="418" t="inlineStr">
        <is>
          <t>газ на стн ГПП</t>
        </is>
      </c>
      <c r="D299" s="528" t="n"/>
      <c r="E299" s="528" t="n"/>
      <c r="F299" s="529" t="n"/>
      <c r="G299" s="530" t="n"/>
      <c r="H299" s="530" t="n"/>
      <c r="I299" s="909" t="inlineStr">
        <is>
          <t>млн куб.м.</t>
        </is>
      </c>
    </row>
    <row r="300" outlineLevel="1" ht="20.1" customHeight="1" s="769">
      <c r="C300" s="418" t="inlineStr">
        <is>
          <t>газ на стн газодобывающих обществ</t>
        </is>
      </c>
      <c r="D300" s="528" t="n"/>
      <c r="E300" s="528" t="n"/>
      <c r="F300" s="529" t="n"/>
      <c r="G300" s="530" t="n"/>
      <c r="H300" s="530" t="n"/>
      <c r="I300" s="909" t="inlineStr">
        <is>
          <t>млн куб.м.</t>
        </is>
      </c>
    </row>
    <row r="301" ht="20.1" customHeight="1" s="769">
      <c r="C301" s="424" t="inlineStr">
        <is>
          <t>Газпром переработка</t>
        </is>
      </c>
      <c r="D301" s="528" t="n"/>
      <c r="E301" s="528" t="n"/>
      <c r="F301" s="529" t="n"/>
      <c r="G301" s="530" t="inlineStr">
        <is>
          <t>2_100332111+2_100332113+2_100335135+0</t>
        </is>
      </c>
      <c r="H301" s="530" t="n"/>
      <c r="I301" s="446" t="inlineStr">
        <is>
          <t>млн куб.м.</t>
        </is>
      </c>
    </row>
    <row r="302" ht="20.1" customHeight="1" s="769">
      <c r="C302" s="436" t="inlineStr">
        <is>
          <t xml:space="preserve"> Оренбургский ГХК</t>
        </is>
      </c>
      <c r="D302" s="528" t="n"/>
      <c r="E302" s="528" t="n"/>
      <c r="F302" s="529" t="n"/>
      <c r="G302" s="530" t="inlineStr">
        <is>
          <t>2_100332111+2_100332113+2_100335135</t>
        </is>
      </c>
      <c r="H302" s="530" t="n"/>
      <c r="I302" s="906" t="inlineStr">
        <is>
          <t>млн куб.м.</t>
        </is>
      </c>
    </row>
    <row r="303" ht="20.1" customHeight="1" s="769">
      <c r="C303" s="429" t="inlineStr">
        <is>
          <t>в т.ч. на стн ГПП</t>
        </is>
      </c>
      <c r="D303" s="528" t="n"/>
      <c r="E303" s="528" t="n"/>
      <c r="F303" s="529" t="n"/>
      <c r="G303" s="530" t="inlineStr">
        <is>
          <t>2_100335015+2_100335017</t>
        </is>
      </c>
      <c r="H303" s="530" t="n"/>
      <c r="I303" s="909" t="inlineStr">
        <is>
          <t>млн куб.м.</t>
        </is>
      </c>
    </row>
    <row r="304" ht="20.1" customHeight="1" s="769">
      <c r="C304" s="429" t="inlineStr">
        <is>
          <t>на стн газодобывающих обществ</t>
        </is>
      </c>
      <c r="D304" s="528" t="n"/>
      <c r="E304" s="528" t="n"/>
      <c r="F304" s="529" t="n"/>
      <c r="G304" s="530" t="inlineStr">
        <is>
          <t>2_100335019</t>
        </is>
      </c>
      <c r="H304" s="530" t="n"/>
      <c r="I304" s="909" t="inlineStr">
        <is>
          <t>млн куб.м.</t>
        </is>
      </c>
    </row>
    <row r="305" ht="20.1" customHeight="1" s="769">
      <c r="C305" s="430" t="inlineStr">
        <is>
          <t>в т.ч. Газпром добыча Оренбург</t>
        </is>
      </c>
      <c r="D305" s="528" t="n"/>
      <c r="E305" s="528" t="n"/>
      <c r="F305" s="529" t="n"/>
      <c r="G305" s="530" t="inlineStr">
        <is>
          <t>2_100332111</t>
        </is>
      </c>
      <c r="H305" s="530" t="n"/>
      <c r="I305" s="909" t="inlineStr">
        <is>
          <t>млн куб.м.</t>
        </is>
      </c>
    </row>
    <row r="306" ht="20.1" customHeight="1" s="769">
      <c r="C306" s="430" t="inlineStr">
        <is>
          <t>Газпром нефть</t>
        </is>
      </c>
      <c r="D306" s="528" t="n"/>
      <c r="E306" s="528" t="n"/>
      <c r="F306" s="529" t="n"/>
      <c r="G306" s="530" t="inlineStr">
        <is>
          <t>2_100332113</t>
        </is>
      </c>
      <c r="H306" s="530" t="n"/>
      <c r="I306" s="909" t="inlineStr">
        <is>
          <t>млн куб.м.</t>
        </is>
      </c>
    </row>
    <row r="307" ht="20.1" customHeight="1" s="769">
      <c r="C307" s="908" t="inlineStr">
        <is>
          <t>прочие поставщики (ГПНЗ, УНГП, и.т.д.)</t>
        </is>
      </c>
      <c r="D307" s="528" t="n"/>
      <c r="E307" s="528" t="n"/>
      <c r="F307" s="529" t="n"/>
      <c r="G307" s="530" t="inlineStr">
        <is>
          <t>2_100335135</t>
        </is>
      </c>
      <c r="H307" s="530" t="n"/>
      <c r="I307" s="909" t="inlineStr">
        <is>
          <t>млн куб.м.</t>
        </is>
      </c>
    </row>
    <row r="308" outlineLevel="1" ht="20.1" customHeight="1" s="769">
      <c r="C308" s="422" t="inlineStr">
        <is>
          <t xml:space="preserve"> Уренгойский ЗПКТ</t>
        </is>
      </c>
      <c r="D308" s="528" t="n"/>
      <c r="E308" s="528" t="n"/>
      <c r="F308" s="529" t="n"/>
      <c r="G308" s="530" t="n">
        <v>0</v>
      </c>
      <c r="H308" s="530" t="n"/>
      <c r="I308" s="906" t="inlineStr">
        <is>
          <t>млн куб.м.</t>
        </is>
      </c>
    </row>
    <row r="309" outlineLevel="1" ht="20.1" customHeight="1" s="769">
      <c r="C309" s="422" t="n"/>
      <c r="D309" s="528" t="n"/>
      <c r="E309" s="528" t="n"/>
      <c r="F309" s="529" t="n"/>
      <c r="G309" s="530" t="n">
        <v>0</v>
      </c>
      <c r="H309" s="530" t="n"/>
      <c r="I309" s="909" t="inlineStr">
        <is>
          <t>млн куб.м.</t>
        </is>
      </c>
    </row>
    <row r="310" outlineLevel="1" ht="20.1" customHeight="1" s="769">
      <c r="C310" s="423" t="inlineStr">
        <is>
          <t xml:space="preserve"> (газ деэтанизации)/природный газ</t>
        </is>
      </c>
      <c r="D310" s="528" t="n"/>
      <c r="E310" s="528" t="n"/>
      <c r="F310" s="529" t="n"/>
      <c r="G310" s="530" t="n"/>
      <c r="H310" s="530" t="n"/>
      <c r="I310" s="909" t="inlineStr">
        <is>
          <t>млн куб.м.</t>
        </is>
      </c>
    </row>
    <row r="311" outlineLevel="1" ht="20.1" customHeight="1" s="769">
      <c r="C311" s="418" t="n"/>
      <c r="D311" s="528" t="n"/>
      <c r="E311" s="528" t="n"/>
      <c r="F311" s="529" t="n"/>
      <c r="G311" s="530" t="n"/>
      <c r="H311" s="530" t="n"/>
      <c r="I311" s="909" t="inlineStr">
        <is>
          <t>млн куб.м.</t>
        </is>
      </c>
    </row>
    <row r="312" ht="20.1" customHeight="1" s="769">
      <c r="C312" s="424" t="inlineStr">
        <is>
          <t xml:space="preserve">Сервиснефтегаз </t>
        </is>
      </c>
      <c r="D312" s="528" t="n"/>
      <c r="E312" s="528" t="n"/>
      <c r="F312" s="529" t="n"/>
      <c r="G312" s="530" t="inlineStr">
        <is>
          <t>2_100335692</t>
        </is>
      </c>
      <c r="H312" s="530" t="n"/>
      <c r="I312" s="446" t="inlineStr">
        <is>
          <t>млн куб.м.</t>
        </is>
      </c>
    </row>
    <row r="313" ht="20.1" customHeight="1" s="769">
      <c r="C313" s="430" t="inlineStr">
        <is>
          <t xml:space="preserve">                в т.ч.Оренбургский ГХК на стн ГПП</t>
        </is>
      </c>
      <c r="D313" s="528" t="n"/>
      <c r="E313" s="528" t="n"/>
      <c r="F313" s="529" t="n"/>
      <c r="G313" s="530" t="inlineStr">
        <is>
          <t>2_100335692</t>
        </is>
      </c>
      <c r="H313" s="530" t="n"/>
      <c r="I313" s="909" t="inlineStr">
        <is>
          <t>млн куб.м.</t>
        </is>
      </c>
    </row>
    <row r="314" ht="20.1" customHeight="1" s="769">
      <c r="C314" s="904" t="inlineStr">
        <is>
          <t>Газпром добыча Уренгой</t>
        </is>
      </c>
      <c r="D314" s="528" t="n"/>
      <c r="E314" s="528" t="n"/>
      <c r="F314" s="529" t="n"/>
      <c r="G314" s="530" t="inlineStr">
        <is>
          <t>8_100335493</t>
        </is>
      </c>
      <c r="H314" s="530" t="n"/>
      <c r="I314" s="446" t="inlineStr">
        <is>
          <t>млн куб.м.</t>
        </is>
      </c>
    </row>
    <row r="315" ht="20.1" customHeight="1" s="769">
      <c r="C315" s="463" t="inlineStr">
        <is>
          <t xml:space="preserve">в т.ч. ДРОД </t>
        </is>
      </c>
      <c r="D315" s="528" t="n"/>
      <c r="E315" s="528" t="n"/>
      <c r="F315" s="529" t="n"/>
      <c r="G315" s="530" t="inlineStr">
        <is>
          <t>8_100335493</t>
        </is>
      </c>
      <c r="H315" s="530" t="n"/>
      <c r="I315" s="909" t="inlineStr">
        <is>
          <t>млн куб.м.</t>
        </is>
      </c>
    </row>
    <row r="316" ht="20.1" customHeight="1" s="769">
      <c r="C316" s="424" t="inlineStr">
        <is>
          <t>Газпром ГНП холдинг</t>
        </is>
      </c>
      <c r="D316" s="528" t="n"/>
      <c r="E316" s="528" t="n"/>
      <c r="F316" s="529" t="n"/>
      <c r="G316" s="530" t="inlineStr">
        <is>
          <t>3_100330574</t>
        </is>
      </c>
      <c r="H316" s="530" t="n"/>
      <c r="I316" s="446" t="inlineStr">
        <is>
          <t>млн куб.м.</t>
        </is>
      </c>
    </row>
    <row r="317" ht="20.1" customHeight="1" s="769">
      <c r="C317" s="436" t="inlineStr">
        <is>
          <t>Сосногорский ГПЗ</t>
        </is>
      </c>
      <c r="D317" s="528" t="n"/>
      <c r="E317" s="528" t="n"/>
      <c r="F317" s="529" t="n"/>
      <c r="G317" s="530" t="inlineStr">
        <is>
          <t>3_100330574</t>
        </is>
      </c>
      <c r="H317" s="530" t="n"/>
      <c r="I317" s="906" t="inlineStr">
        <is>
          <t>млн куб.м.</t>
        </is>
      </c>
    </row>
    <row r="318" ht="20.1" customHeight="1" s="769">
      <c r="C318" s="430" t="inlineStr">
        <is>
          <t>ЛУКОЙЛ-Коми</t>
        </is>
      </c>
      <c r="D318" s="528" t="n"/>
      <c r="E318" s="528" t="n"/>
      <c r="F318" s="529" t="n"/>
      <c r="G318" s="530" t="inlineStr">
        <is>
          <t>3_100330574</t>
        </is>
      </c>
      <c r="H318" s="530" t="n"/>
      <c r="I318" s="909" t="inlineStr">
        <is>
          <t>млн куб.м.</t>
        </is>
      </c>
    </row>
    <row r="319" ht="20.1" customHeight="1" s="769">
      <c r="C319" s="424" t="inlineStr">
        <is>
          <t xml:space="preserve"> Газпром переработка Благовещенск</t>
        </is>
      </c>
      <c r="D319" s="528" t="n"/>
      <c r="E319" s="528" t="n"/>
      <c r="F319" s="529" t="n"/>
      <c r="G319" s="530" t="inlineStr">
        <is>
          <t>14_100335312</t>
        </is>
      </c>
      <c r="H319" s="530" t="n"/>
      <c r="I319" s="446" t="inlineStr">
        <is>
          <t>млн куб.м.</t>
        </is>
      </c>
    </row>
    <row r="320" ht="20.1" customHeight="1" s="769">
      <c r="C320" s="436" t="inlineStr">
        <is>
          <t xml:space="preserve"> Амурский ГПЗ</t>
        </is>
      </c>
      <c r="D320" s="528" t="n"/>
      <c r="E320" s="528" t="n"/>
      <c r="F320" s="529" t="n"/>
      <c r="G320" s="530" t="inlineStr">
        <is>
          <t>14_100335312</t>
        </is>
      </c>
      <c r="H320" s="530" t="n"/>
      <c r="I320" s="906" t="inlineStr">
        <is>
          <t>млн куб.м.</t>
        </is>
      </c>
    </row>
    <row r="321" ht="20.1" customHeight="1" s="769">
      <c r="B321" s="747" t="inlineStr">
        <is>
          <t>2.</t>
        </is>
      </c>
      <c r="C321" s="918" t="inlineStr">
        <is>
          <t>Транзит газа через Амурский ГПЗ</t>
        </is>
      </c>
      <c r="D321" s="528" t="n"/>
      <c r="E321" s="528" t="n"/>
      <c r="F321" s="529" t="n"/>
      <c r="G321" s="530" t="n"/>
      <c r="H321" s="530" t="n"/>
      <c r="I321" s="903" t="n"/>
    </row>
    <row r="322" ht="20.1" customHeight="1" s="769">
      <c r="C322" s="904" t="inlineStr">
        <is>
          <t>Газпром переработка Благовещенск</t>
        </is>
      </c>
      <c r="D322" s="528" t="n"/>
      <c r="E322" s="528" t="n"/>
      <c r="F322" s="529" t="n"/>
      <c r="G322" s="530" t="inlineStr">
        <is>
          <t>14_100335159+14_100335425</t>
        </is>
      </c>
      <c r="H322" s="530" t="n"/>
      <c r="I322" s="903" t="inlineStr">
        <is>
          <t>млн куб.м.</t>
        </is>
      </c>
    </row>
    <row r="323" ht="20.1" customHeight="1" s="769">
      <c r="C323" s="905" t="inlineStr">
        <is>
          <t>Амурский ГПЗ</t>
        </is>
      </c>
      <c r="D323" s="528" t="n"/>
      <c r="E323" s="528" t="n"/>
      <c r="F323" s="529" t="n"/>
      <c r="G323" s="530" t="inlineStr">
        <is>
          <t>14_100335159+14_100335425</t>
        </is>
      </c>
      <c r="H323" s="530" t="n"/>
      <c r="I323" s="906" t="inlineStr">
        <is>
          <t>млн куб.м.</t>
        </is>
      </c>
    </row>
    <row r="324" ht="20.1" customHeight="1" s="769">
      <c r="B324" s="413" t="inlineStr">
        <is>
          <t>2.1.</t>
        </is>
      </c>
      <c r="C324" s="907" t="inlineStr">
        <is>
          <t>Газпром</t>
        </is>
      </c>
      <c r="D324" s="528" t="n"/>
      <c r="E324" s="528" t="n"/>
      <c r="F324" s="529" t="n"/>
      <c r="G324" s="530" t="n"/>
      <c r="H324" s="530" t="n"/>
      <c r="I324" s="903" t="n"/>
    </row>
    <row r="325" ht="20.1" customHeight="1" s="769">
      <c r="C325" s="904" t="inlineStr">
        <is>
          <t>Газпром переработка Благовещенск</t>
        </is>
      </c>
      <c r="D325" s="528" t="n"/>
      <c r="E325" s="528" t="n"/>
      <c r="F325" s="529" t="n"/>
      <c r="G325" s="530" t="inlineStr">
        <is>
          <t>14_100335159</t>
        </is>
      </c>
      <c r="H325" s="530" t="n"/>
      <c r="I325" s="903" t="inlineStr">
        <is>
          <t>млн куб.м.</t>
        </is>
      </c>
    </row>
    <row r="326" ht="20.1" customHeight="1" s="769">
      <c r="C326" s="905" t="inlineStr">
        <is>
          <t>Амурский ГПЗ</t>
        </is>
      </c>
      <c r="D326" s="528" t="n"/>
      <c r="E326" s="528" t="n"/>
      <c r="F326" s="529" t="n"/>
      <c r="G326" s="530" t="inlineStr">
        <is>
          <t>14_100335159</t>
        </is>
      </c>
      <c r="H326" s="530" t="n"/>
      <c r="I326" s="906" t="inlineStr">
        <is>
          <t>млн куб.м.</t>
        </is>
      </c>
    </row>
    <row r="327" ht="20.1" customHeight="1" s="769">
      <c r="B327" s="413" t="inlineStr">
        <is>
          <t>2.2.</t>
        </is>
      </c>
      <c r="C327" s="907" t="inlineStr">
        <is>
          <t>Дочерние общества</t>
        </is>
      </c>
      <c r="D327" s="528" t="n"/>
      <c r="E327" s="528" t="n"/>
      <c r="F327" s="529" t="n"/>
      <c r="G327" s="530" t="n"/>
      <c r="H327" s="530" t="n"/>
      <c r="I327" s="903" t="n"/>
    </row>
    <row r="328" ht="20.1" customHeight="1" s="769">
      <c r="C328" s="904" t="inlineStr">
        <is>
          <t>Газпром переработка Благовещенск</t>
        </is>
      </c>
      <c r="D328" s="528" t="n"/>
      <c r="E328" s="528" t="n"/>
      <c r="F328" s="529" t="n"/>
      <c r="G328" s="530" t="inlineStr">
        <is>
          <t>14_100335425</t>
        </is>
      </c>
      <c r="H328" s="530" t="n"/>
      <c r="I328" s="903" t="inlineStr">
        <is>
          <t>млн куб.м.</t>
        </is>
      </c>
    </row>
    <row r="329" ht="20.1" customHeight="1" s="769">
      <c r="C329" s="905" t="inlineStr">
        <is>
          <t>Амурский ГПЗ</t>
        </is>
      </c>
      <c r="D329" s="528" t="n"/>
      <c r="E329" s="528" t="n"/>
      <c r="F329" s="529" t="n"/>
      <c r="G329" s="530" t="inlineStr">
        <is>
          <t>14_100335425</t>
        </is>
      </c>
      <c r="H329" s="530" t="n"/>
      <c r="I329" s="906" t="inlineStr">
        <is>
          <t>млн куб.м.</t>
        </is>
      </c>
    </row>
    <row r="330" outlineLevel="1" ht="20.1" customHeight="1" s="769">
      <c r="B330" s="747" t="inlineStr">
        <is>
          <t>3.</t>
        </is>
      </c>
      <c r="C330" s="425" t="inlineStr">
        <is>
          <t>Сжиженный природный газ  (СПГ) - всего</t>
        </is>
      </c>
      <c r="D330" s="528" t="n"/>
      <c r="E330" s="528" t="n"/>
      <c r="F330" s="529" t="n"/>
      <c r="G330" s="530" t="n"/>
      <c r="H330" s="530" t="n"/>
      <c r="I330" s="13" t="inlineStr">
        <is>
          <t>тыс.т</t>
        </is>
      </c>
    </row>
    <row r="331" outlineLevel="1" ht="20.1" customHeight="1" s="769">
      <c r="C331" s="426" t="inlineStr">
        <is>
          <t>Газпром СПГ Портовая</t>
        </is>
      </c>
      <c r="D331" s="528" t="n"/>
      <c r="E331" s="528" t="n"/>
      <c r="F331" s="529" t="n"/>
      <c r="G331" s="530" t="n"/>
      <c r="H331" s="530" t="n"/>
      <c r="I331" s="13" t="inlineStr">
        <is>
          <t>тыс.т</t>
        </is>
      </c>
    </row>
    <row r="332" outlineLevel="1" ht="20.1" customHeight="1" s="769">
      <c r="C332" s="14" t="inlineStr">
        <is>
          <t>КСПГ Портовая</t>
        </is>
      </c>
      <c r="D332" s="528" t="n"/>
      <c r="E332" s="528" t="n"/>
      <c r="F332" s="529" t="n"/>
      <c r="G332" s="530" t="n"/>
      <c r="H332" s="530" t="n"/>
      <c r="I332" s="913" t="inlineStr">
        <is>
          <t>млн куб.м.</t>
        </is>
      </c>
    </row>
    <row r="333" outlineLevel="1" ht="20.1" customHeight="1" s="769">
      <c r="C333" s="14" t="n"/>
      <c r="D333" s="528" t="n"/>
      <c r="E333" s="528" t="n"/>
      <c r="F333" s="529" t="n"/>
      <c r="G333" s="530" t="n"/>
      <c r="H333" s="530" t="n"/>
      <c r="I333" s="913" t="inlineStr">
        <is>
          <t>тыс.т</t>
        </is>
      </c>
    </row>
    <row r="334" outlineLevel="1" ht="20.1" customHeight="1" s="769">
      <c r="B334" s="413" t="inlineStr">
        <is>
          <t>3.1.</t>
        </is>
      </c>
      <c r="C334" s="427" t="inlineStr">
        <is>
          <t>Газпром</t>
        </is>
      </c>
      <c r="D334" s="528" t="n"/>
      <c r="E334" s="528" t="n"/>
      <c r="F334" s="529" t="n"/>
      <c r="G334" s="530" t="n"/>
      <c r="H334" s="530" t="n"/>
      <c r="I334" s="13" t="inlineStr">
        <is>
          <t>тыс.т</t>
        </is>
      </c>
    </row>
    <row r="335" outlineLevel="1" ht="20.1" customHeight="1" s="769">
      <c r="C335" s="426" t="inlineStr">
        <is>
          <t>Газпром СПГ Портовая</t>
        </is>
      </c>
      <c r="D335" s="528" t="n"/>
      <c r="E335" s="528" t="n"/>
      <c r="F335" s="529" t="n"/>
      <c r="G335" s="530" t="n"/>
      <c r="H335" s="530" t="n"/>
      <c r="I335" s="13" t="inlineStr">
        <is>
          <t>тыс.т</t>
        </is>
      </c>
    </row>
    <row r="336" outlineLevel="1" ht="20.1" customHeight="1" s="769">
      <c r="C336" s="14" t="inlineStr">
        <is>
          <t>КСПГ Портовая</t>
        </is>
      </c>
      <c r="D336" s="528" t="n"/>
      <c r="E336" s="528" t="n"/>
      <c r="F336" s="529" t="n"/>
      <c r="G336" s="530" t="n"/>
      <c r="H336" s="530" t="n"/>
      <c r="I336" s="913" t="inlineStr">
        <is>
          <t>млн куб.м.</t>
        </is>
      </c>
    </row>
    <row r="337" outlineLevel="1" ht="20.1" customHeight="1" s="769">
      <c r="C337" s="14" t="n"/>
      <c r="D337" s="528" t="n"/>
      <c r="E337" s="528" t="n"/>
      <c r="F337" s="529" t="n"/>
      <c r="G337" s="530" t="n"/>
      <c r="H337" s="530" t="n"/>
      <c r="I337" s="913" t="inlineStr">
        <is>
          <t>тыс.т</t>
        </is>
      </c>
    </row>
    <row r="338" outlineLevel="1" ht="20.1" customHeight="1" s="769">
      <c r="B338" s="413" t="inlineStr">
        <is>
          <t>3.2.</t>
        </is>
      </c>
      <c r="C338" s="427" t="inlineStr">
        <is>
          <t>Дочерние общества</t>
        </is>
      </c>
      <c r="D338" s="528" t="n"/>
      <c r="E338" s="528" t="n"/>
      <c r="F338" s="529" t="n"/>
      <c r="G338" s="530" t="n"/>
      <c r="H338" s="530" t="n"/>
      <c r="I338" s="13" t="inlineStr">
        <is>
          <t>тыс.т</t>
        </is>
      </c>
    </row>
    <row r="339" outlineLevel="1" ht="20.1" customHeight="1" s="769">
      <c r="C339" s="425" t="n"/>
      <c r="D339" s="528" t="n"/>
      <c r="E339" s="528" t="n"/>
      <c r="F339" s="529" t="n"/>
      <c r="G339" s="530" t="n"/>
      <c r="H339" s="530" t="n"/>
      <c r="I339" s="13" t="n"/>
    </row>
    <row r="340" ht="20.1" customHeight="1" s="769">
      <c r="B340" s="747" t="inlineStr">
        <is>
          <t>4.</t>
        </is>
      </c>
      <c r="C340" s="416" t="inlineStr">
        <is>
          <t>Сера техническая - всего</t>
        </is>
      </c>
      <c r="D340" s="528" t="n"/>
      <c r="E340" s="528" t="n"/>
      <c r="F340" s="529" t="n"/>
      <c r="G340" s="530" t="n"/>
      <c r="H340" s="530" t="n"/>
      <c r="I340" s="446" t="n"/>
    </row>
    <row r="341" ht="20.1" customHeight="1" s="769">
      <c r="C341" s="424" t="inlineStr">
        <is>
          <t>Газпром переработка</t>
        </is>
      </c>
      <c r="D341" s="528" t="n"/>
      <c r="E341" s="528" t="n"/>
      <c r="F341" s="529" t="n"/>
      <c r="G341" s="530" t="inlineStr">
        <is>
          <t>2_100332189+2_100332190+2_100332192+2_100332194+2_100332195+1_100330068+1_100330069+1_100330071+1_100330070+1_100337112+0</t>
        </is>
      </c>
      <c r="H341" s="530" t="n"/>
      <c r="I341" s="446" t="inlineStr">
        <is>
          <t>тыс.т</t>
        </is>
      </c>
    </row>
    <row r="342" ht="20.1" customHeight="1" s="769">
      <c r="C342" s="436" t="inlineStr">
        <is>
          <t>Оренбургский ГХК</t>
        </is>
      </c>
      <c r="D342" s="528" t="n"/>
      <c r="E342" s="528" t="n"/>
      <c r="F342" s="529" t="n"/>
      <c r="G342" s="530" t="inlineStr">
        <is>
          <t>2_100332189+2_100332190+2_100332192+2_100332194+2_100332195</t>
        </is>
      </c>
      <c r="H342" s="530" t="n"/>
      <c r="I342" s="906" t="inlineStr">
        <is>
          <t>тыс.т</t>
        </is>
      </c>
    </row>
    <row r="343" ht="20.1" customHeight="1" s="769">
      <c r="C343" s="436" t="inlineStr">
        <is>
          <t>Астраханский ГПЗ</t>
        </is>
      </c>
      <c r="D343" s="528" t="n"/>
      <c r="E343" s="528" t="n"/>
      <c r="F343" s="529" t="n"/>
      <c r="G343" s="530" t="inlineStr">
        <is>
          <t>1_100330068+1_100330069+1_100330071+1_100330070+1_100337112+0</t>
        </is>
      </c>
      <c r="H343" s="530" t="n"/>
      <c r="I343" s="906" t="inlineStr">
        <is>
          <t>тыс.т</t>
        </is>
      </c>
    </row>
    <row r="344" ht="20.1" customHeight="1" s="769">
      <c r="B344" s="413" t="inlineStr">
        <is>
          <t>4.1.</t>
        </is>
      </c>
      <c r="C344" s="428" t="inlineStr">
        <is>
          <t>Газпром</t>
        </is>
      </c>
      <c r="D344" s="528" t="n"/>
      <c r="E344" s="528" t="n"/>
      <c r="F344" s="529" t="n"/>
      <c r="G344" s="530" t="n"/>
      <c r="H344" s="530" t="n"/>
      <c r="I344" s="446" t="n"/>
    </row>
    <row r="345" ht="20.1" customHeight="1" s="769">
      <c r="C345" s="424" t="inlineStr">
        <is>
          <t>Газпром переработка</t>
        </is>
      </c>
      <c r="D345" s="528" t="n"/>
      <c r="E345" s="528" t="n"/>
      <c r="F345" s="529" t="n"/>
      <c r="G345" s="530" t="inlineStr">
        <is>
          <t>2_100332189+2_100332190+1_100330068+1_100330069+1_100330071+1_100330070+1_100337112</t>
        </is>
      </c>
      <c r="H345" s="530" t="n"/>
      <c r="I345" s="446" t="inlineStr">
        <is>
          <t>тыс.т</t>
        </is>
      </c>
    </row>
    <row r="346" ht="20.1" customHeight="1" s="769">
      <c r="C346" s="436" t="inlineStr">
        <is>
          <t>Оренбургский ГХК</t>
        </is>
      </c>
      <c r="D346" s="528" t="n"/>
      <c r="E346" s="528" t="n"/>
      <c r="F346" s="529" t="n"/>
      <c r="G346" s="530" t="inlineStr">
        <is>
          <t>2_100332189+2_100332190</t>
        </is>
      </c>
      <c r="H346" s="530" t="n"/>
      <c r="I346" s="906" t="inlineStr">
        <is>
          <t>тыс.т</t>
        </is>
      </c>
    </row>
    <row r="347" ht="20.1" customHeight="1" s="769">
      <c r="C347" s="430" t="inlineStr">
        <is>
          <t>Газпром добыча Оренбург</t>
        </is>
      </c>
      <c r="D347" s="528" t="n"/>
      <c r="E347" s="528" t="n"/>
      <c r="F347" s="529" t="n"/>
      <c r="G347" s="530" t="inlineStr">
        <is>
          <t>2_100332189</t>
        </is>
      </c>
      <c r="H347" s="530" t="n"/>
      <c r="I347" s="909" t="inlineStr">
        <is>
          <t>тыс.т</t>
        </is>
      </c>
    </row>
    <row r="348" ht="20.1" customHeight="1" s="769">
      <c r="C348" s="430" t="inlineStr">
        <is>
          <t>Газпром нефть</t>
        </is>
      </c>
      <c r="D348" s="528" t="n"/>
      <c r="E348" s="528" t="n"/>
      <c r="F348" s="529" t="n"/>
      <c r="G348" s="530" t="inlineStr">
        <is>
          <t>2_100332190</t>
        </is>
      </c>
      <c r="H348" s="530" t="n"/>
      <c r="I348" s="909" t="inlineStr">
        <is>
          <t>тыс.т</t>
        </is>
      </c>
    </row>
    <row r="349" ht="20.1" customHeight="1" s="769">
      <c r="C349" s="436" t="inlineStr">
        <is>
          <t>Астраханский ГПЗ</t>
        </is>
      </c>
      <c r="D349" s="528" t="n"/>
      <c r="E349" s="528" t="n"/>
      <c r="F349" s="529" t="n"/>
      <c r="G349" s="530" t="inlineStr">
        <is>
          <t>1_100330068+1_100330069+1_100330071+1_100330070+1_100337112</t>
        </is>
      </c>
      <c r="H349" s="530" t="n"/>
      <c r="I349" s="906" t="inlineStr">
        <is>
          <t>тыс.т</t>
        </is>
      </c>
    </row>
    <row r="350" ht="20.1" customHeight="1" s="769">
      <c r="C350" s="430" t="inlineStr">
        <is>
          <t>жидкая</t>
        </is>
      </c>
      <c r="D350" s="528" t="n"/>
      <c r="E350" s="528" t="n"/>
      <c r="F350" s="529" t="n"/>
      <c r="G350" s="530" t="inlineStr">
        <is>
          <t>1_100330068</t>
        </is>
      </c>
      <c r="H350" s="530" t="n"/>
      <c r="I350" s="909" t="inlineStr">
        <is>
          <t>тыс.т</t>
        </is>
      </c>
    </row>
    <row r="351" ht="20.1" customHeight="1" s="769">
      <c r="C351" s="430" t="inlineStr">
        <is>
          <t>комовая</t>
        </is>
      </c>
      <c r="D351" s="528" t="n"/>
      <c r="E351" s="528" t="n"/>
      <c r="F351" s="529" t="n"/>
      <c r="G351" s="530" t="inlineStr">
        <is>
          <t>1_100330069</t>
        </is>
      </c>
      <c r="H351" s="530" t="n"/>
      <c r="I351" s="909" t="inlineStr">
        <is>
          <t>тыс.т</t>
        </is>
      </c>
    </row>
    <row r="352" ht="20.1" customHeight="1" s="769">
      <c r="C352" s="430" t="inlineStr">
        <is>
          <t>гранулированная</t>
        </is>
      </c>
      <c r="D352" s="528" t="n"/>
      <c r="E352" s="528" t="n"/>
      <c r="F352" s="529" t="n"/>
      <c r="G352" s="530" t="inlineStr">
        <is>
          <t>1_100330071+1_100330070+1_100337112</t>
        </is>
      </c>
      <c r="H352" s="530" t="n"/>
      <c r="I352" s="909" t="inlineStr">
        <is>
          <t>тыс.т</t>
        </is>
      </c>
    </row>
    <row r="353" ht="20.1" customHeight="1" s="769">
      <c r="C353" s="430" t="inlineStr">
        <is>
          <t>в т.ч. марка М</t>
        </is>
      </c>
      <c r="D353" s="528" t="n"/>
      <c r="E353" s="528" t="n"/>
      <c r="F353" s="529" t="n"/>
      <c r="G353" s="530" t="inlineStr">
        <is>
          <t>1_100330071</t>
        </is>
      </c>
      <c r="H353" s="530" t="n"/>
      <c r="I353" s="909" t="inlineStr">
        <is>
          <t>тыс.т</t>
        </is>
      </c>
    </row>
    <row r="354" ht="20.1" customHeight="1" s="769">
      <c r="C354" s="430" t="inlineStr">
        <is>
          <t>марка С</t>
        </is>
      </c>
      <c r="D354" s="528" t="n"/>
      <c r="E354" s="528" t="n"/>
      <c r="F354" s="529" t="n"/>
      <c r="G354" s="530" t="inlineStr">
        <is>
          <t>1_100330070</t>
        </is>
      </c>
      <c r="H354" s="530" t="n"/>
      <c r="I354" s="909" t="inlineStr">
        <is>
          <t>тыс.т</t>
        </is>
      </c>
    </row>
    <row r="355" ht="20.1" customHeight="1" s="769">
      <c r="C355" s="430" t="inlineStr">
        <is>
          <t>марка СМ</t>
        </is>
      </c>
      <c r="D355" s="528" t="n"/>
      <c r="E355" s="528" t="n"/>
      <c r="F355" s="529" t="n"/>
      <c r="G355" s="530" t="inlineStr">
        <is>
          <t>1_100337112</t>
        </is>
      </c>
      <c r="H355" s="530" t="n"/>
      <c r="I355" s="909" t="inlineStr">
        <is>
          <t>тыс.т</t>
        </is>
      </c>
    </row>
    <row r="356" ht="20.1" customHeight="1" s="769">
      <c r="B356" s="413" t="inlineStr">
        <is>
          <t>4.2.</t>
        </is>
      </c>
      <c r="C356" s="428" t="inlineStr">
        <is>
          <t>Дочерние общества</t>
        </is>
      </c>
      <c r="D356" s="528" t="n"/>
      <c r="E356" s="528" t="n"/>
      <c r="F356" s="529" t="n"/>
      <c r="G356" s="530" t="n"/>
      <c r="H356" s="530" t="n"/>
      <c r="I356" s="446" t="n"/>
    </row>
    <row r="357" ht="20.1" customHeight="1" s="769">
      <c r="C357" s="424" t="inlineStr">
        <is>
          <t>Газпром переработка</t>
        </is>
      </c>
      <c r="D357" s="528" t="n"/>
      <c r="E357" s="528" t="n"/>
      <c r="F357" s="529" t="n"/>
      <c r="G357" s="530" t="inlineStr">
        <is>
          <t>0+2_100332192+2_100332194+2_100332195</t>
        </is>
      </c>
      <c r="H357" s="530" t="n"/>
      <c r="I357" s="446" t="inlineStr">
        <is>
          <t>тыс.т</t>
        </is>
      </c>
    </row>
    <row r="358" ht="20.1" customHeight="1" s="769">
      <c r="C358" s="436" t="inlineStr">
        <is>
          <t>Астраханский ГПЗ</t>
        </is>
      </c>
      <c r="D358" s="528" t="n"/>
      <c r="E358" s="528" t="n"/>
      <c r="F358" s="529" t="n"/>
      <c r="G358" s="530" t="n">
        <v>0</v>
      </c>
      <c r="H358" s="530" t="n"/>
      <c r="I358" s="906" t="inlineStr">
        <is>
          <t>тыс.т</t>
        </is>
      </c>
    </row>
    <row r="359" ht="20.1" customHeight="1" s="769">
      <c r="C359" s="430" t="inlineStr">
        <is>
          <t>в т.ч. на стн ГПП</t>
        </is>
      </c>
      <c r="D359" s="528" t="n"/>
      <c r="E359" s="528" t="n"/>
      <c r="F359" s="529" t="n"/>
      <c r="G359" s="530" t="n"/>
      <c r="H359" s="530" t="n"/>
      <c r="I359" s="909" t="inlineStr">
        <is>
          <t>тыс.т</t>
        </is>
      </c>
    </row>
    <row r="360" ht="20.1" customHeight="1" s="769">
      <c r="C360" s="436" t="inlineStr">
        <is>
          <t xml:space="preserve"> Оренбургский ГХК</t>
        </is>
      </c>
      <c r="D360" s="528" t="n"/>
      <c r="E360" s="528" t="n"/>
      <c r="F360" s="529" t="n"/>
      <c r="G360" s="530" t="inlineStr">
        <is>
          <t>2_100332192+2_100332194+2_100332195</t>
        </is>
      </c>
      <c r="H360" s="530" t="n"/>
      <c r="I360" s="906" t="inlineStr">
        <is>
          <t>тыс.т</t>
        </is>
      </c>
    </row>
    <row r="361" ht="20.1" customHeight="1" s="769">
      <c r="C361" s="430" t="inlineStr">
        <is>
          <t>из нее гранулированная</t>
        </is>
      </c>
      <c r="D361" s="528" t="n"/>
      <c r="E361" s="528" t="n"/>
      <c r="F361" s="529" t="n"/>
      <c r="G361" s="530" t="inlineStr">
        <is>
          <t>2_100332193</t>
        </is>
      </c>
      <c r="H361" s="530" t="n"/>
      <c r="I361" s="909" t="inlineStr">
        <is>
          <t>тыс.т</t>
        </is>
      </c>
    </row>
    <row r="362" ht="20.1" customHeight="1" s="769">
      <c r="C362" s="430" t="inlineStr">
        <is>
          <t>в т. ч. Газпром добыча Оренбург</t>
        </is>
      </c>
      <c r="D362" s="528" t="n"/>
      <c r="E362" s="528" t="n"/>
      <c r="F362" s="529" t="n"/>
      <c r="G362" s="530" t="inlineStr">
        <is>
          <t>2_100332192</t>
        </is>
      </c>
      <c r="H362" s="530" t="n"/>
      <c r="I362" s="909" t="inlineStr">
        <is>
          <t>тыс.т</t>
        </is>
      </c>
    </row>
    <row r="363" ht="20.1" customHeight="1" s="769">
      <c r="C363" s="430" t="inlineStr">
        <is>
          <t>Газпром нефть</t>
        </is>
      </c>
      <c r="D363" s="528" t="n"/>
      <c r="E363" s="528" t="n"/>
      <c r="F363" s="529" t="n"/>
      <c r="G363" s="530" t="inlineStr">
        <is>
          <t>2_100332194</t>
        </is>
      </c>
      <c r="H363" s="530" t="n"/>
      <c r="I363" s="909" t="inlineStr">
        <is>
          <t>тыс.т</t>
        </is>
      </c>
    </row>
    <row r="364" ht="20.1" customHeight="1" s="769">
      <c r="C364" s="908" t="inlineStr">
        <is>
          <t>прочие поставщики (ГПНЗ, УНГП, и.т.д.)</t>
        </is>
      </c>
      <c r="D364" s="528" t="n"/>
      <c r="E364" s="528" t="n"/>
      <c r="F364" s="529" t="n"/>
      <c r="G364" s="530" t="inlineStr">
        <is>
          <t>2_100332195</t>
        </is>
      </c>
      <c r="H364" s="530" t="n"/>
      <c r="I364" s="909" t="inlineStr">
        <is>
          <t>тыс.т</t>
        </is>
      </c>
    </row>
    <row r="365" ht="20.1" customHeight="1" s="769">
      <c r="B365" s="747" t="inlineStr">
        <is>
          <t>5.</t>
        </is>
      </c>
      <c r="C365" s="416" t="inlineStr">
        <is>
          <t>Широкая фракция легких углеводоров товарная</t>
        </is>
      </c>
      <c r="D365" s="528" t="n"/>
      <c r="E365" s="528" t="n"/>
      <c r="F365" s="529" t="n"/>
      <c r="G365" s="530" t="n"/>
      <c r="H365" s="530" t="n"/>
      <c r="I365" s="446" t="n"/>
    </row>
    <row r="366" ht="20.1" customHeight="1" s="769">
      <c r="C366" s="424" t="inlineStr">
        <is>
          <t xml:space="preserve">   Газпром переработка</t>
        </is>
      </c>
      <c r="D366" s="528" t="n"/>
      <c r="E366" s="528" t="n"/>
      <c r="F366" s="529" t="n"/>
      <c r="G366" s="530" t="inlineStr">
        <is>
          <t>1_100332005+4_100331888+4_100331889+2_100332207-2_100332211+2_100332208-2_100332212+2_100335143</t>
        </is>
      </c>
      <c r="H366" s="530" t="n"/>
      <c r="I366" s="446" t="inlineStr">
        <is>
          <t>тыс.т</t>
        </is>
      </c>
    </row>
    <row r="367" ht="20.1" customHeight="1" s="769">
      <c r="C367" s="436" t="inlineStr">
        <is>
          <t>Астраханский ГПЗ</t>
        </is>
      </c>
      <c r="D367" s="528" t="n"/>
      <c r="E367" s="528" t="n"/>
      <c r="F367" s="529" t="n"/>
      <c r="G367" s="530" t="inlineStr">
        <is>
          <t>1_100332005</t>
        </is>
      </c>
      <c r="H367" s="530" t="n"/>
      <c r="I367" s="906" t="inlineStr">
        <is>
          <t>тыс.т</t>
        </is>
      </c>
    </row>
    <row r="368" ht="20.1" customHeight="1" s="769">
      <c r="C368" s="436" t="inlineStr">
        <is>
          <t>Оренбургский ГХК</t>
        </is>
      </c>
      <c r="D368" s="528" t="n"/>
      <c r="E368" s="528" t="n"/>
      <c r="F368" s="529" t="n"/>
      <c r="G368" s="530" t="inlineStr">
        <is>
          <t>2_100332207-2_100332211+2_100332208-2_100332212+2_100335143</t>
        </is>
      </c>
      <c r="H368" s="530" t="n"/>
      <c r="I368" s="906" t="inlineStr">
        <is>
          <t>тыс.т</t>
        </is>
      </c>
    </row>
    <row r="369" ht="20.1" customHeight="1" s="769">
      <c r="C369" s="436" t="inlineStr">
        <is>
          <t xml:space="preserve">                Уренгойский ЗПКТ</t>
        </is>
      </c>
      <c r="D369" s="528" t="n"/>
      <c r="E369" s="528" t="n"/>
      <c r="F369" s="529" t="n"/>
      <c r="G369" s="530" t="inlineStr">
        <is>
          <t>4_100331888</t>
        </is>
      </c>
      <c r="H369" s="530" t="n"/>
      <c r="I369" s="906" t="inlineStr">
        <is>
          <t>тыс.т</t>
        </is>
      </c>
    </row>
    <row r="370" ht="20.1" customHeight="1" s="769">
      <c r="C370" s="436" t="inlineStr">
        <is>
          <t xml:space="preserve">    Сургутский ЗСК</t>
        </is>
      </c>
      <c r="D370" s="528" t="n"/>
      <c r="E370" s="528" t="n"/>
      <c r="F370" s="529" t="n"/>
      <c r="G370" s="530" t="inlineStr">
        <is>
          <t>4_100331889</t>
        </is>
      </c>
      <c r="H370" s="530" t="n"/>
      <c r="I370" s="906" t="inlineStr">
        <is>
          <t>тыс.т</t>
        </is>
      </c>
    </row>
    <row r="371" ht="20.1" customHeight="1" s="769">
      <c r="B371" s="413" t="inlineStr">
        <is>
          <t>5.1.</t>
        </is>
      </c>
      <c r="C371" s="428" t="inlineStr">
        <is>
          <t>Газпром</t>
        </is>
      </c>
      <c r="D371" s="528" t="n"/>
      <c r="E371" s="528" t="n"/>
      <c r="F371" s="529" t="n"/>
      <c r="G371" s="530" t="n"/>
      <c r="H371" s="530" t="n"/>
      <c r="I371" s="446" t="n"/>
    </row>
    <row r="372" ht="20.1" customHeight="1" s="769">
      <c r="C372" s="424" t="inlineStr">
        <is>
          <t xml:space="preserve">   Газпром переработка</t>
        </is>
      </c>
      <c r="D372" s="528" t="n"/>
      <c r="E372" s="528" t="n"/>
      <c r="F372" s="529" t="n"/>
      <c r="G372" s="530" t="inlineStr">
        <is>
          <t>1_100332005+4_100331888+4_100331889+2_100332207-2_100332211+2_100332208-2_100332212+2_100335143</t>
        </is>
      </c>
      <c r="H372" s="530" t="n"/>
      <c r="I372" s="446" t="inlineStr">
        <is>
          <t>тыс.т</t>
        </is>
      </c>
    </row>
    <row r="373" ht="20.1" customHeight="1" s="769">
      <c r="C373" s="436" t="inlineStr">
        <is>
          <t>Астраханский ГПЗ</t>
        </is>
      </c>
      <c r="D373" s="528" t="n"/>
      <c r="E373" s="528" t="n"/>
      <c r="F373" s="529" t="n"/>
      <c r="G373" s="530" t="inlineStr">
        <is>
          <t>1_100332005</t>
        </is>
      </c>
      <c r="H373" s="530" t="n"/>
      <c r="I373" s="906" t="inlineStr">
        <is>
          <t>тыс.т</t>
        </is>
      </c>
    </row>
    <row r="374" ht="20.1" customHeight="1" s="769">
      <c r="C374" s="430" t="inlineStr">
        <is>
          <t>с уч. содержания комп. стабильного конденсата</t>
        </is>
      </c>
      <c r="D374" s="528" t="n"/>
      <c r="E374" s="528" t="n"/>
      <c r="F374" s="529" t="n"/>
      <c r="G374" s="530" t="inlineStr">
        <is>
          <t>1_100332009</t>
        </is>
      </c>
      <c r="H374" s="530" t="n"/>
      <c r="I374" s="909" t="inlineStr">
        <is>
          <t>тыс.т</t>
        </is>
      </c>
    </row>
    <row r="375" ht="20.1" customHeight="1" s="769">
      <c r="C375" s="436" t="inlineStr">
        <is>
          <t xml:space="preserve"> Оренбургский ГХК</t>
        </is>
      </c>
      <c r="D375" s="528" t="n"/>
      <c r="E375" s="528" t="n"/>
      <c r="F375" s="529" t="n"/>
      <c r="G375" s="530" t="inlineStr">
        <is>
          <t>2_100332207-2_100332211+2_100332208-2_100332212+2_100335143</t>
        </is>
      </c>
      <c r="H375" s="530" t="n"/>
      <c r="I375" s="906" t="inlineStr">
        <is>
          <t>тыс.т</t>
        </is>
      </c>
    </row>
    <row r="376" ht="20.1" customHeight="1" s="769">
      <c r="C376" s="430" t="inlineStr">
        <is>
          <t>Газпром добыча Оренбург</t>
        </is>
      </c>
      <c r="D376" s="528" t="n"/>
      <c r="E376" s="528" t="n"/>
      <c r="F376" s="529" t="n"/>
      <c r="G376" s="530" t="inlineStr">
        <is>
          <t>2_100332207-2_100332211</t>
        </is>
      </c>
      <c r="H376" s="530" t="n"/>
      <c r="I376" s="909" t="inlineStr">
        <is>
          <t>тыс.т</t>
        </is>
      </c>
    </row>
    <row r="377" ht="20.1" customHeight="1" s="769">
      <c r="C377" s="430" t="inlineStr">
        <is>
          <t>Газпром нефть</t>
        </is>
      </c>
      <c r="D377" s="528" t="n"/>
      <c r="E377" s="528" t="n"/>
      <c r="F377" s="529" t="n"/>
      <c r="G377" s="530" t="inlineStr">
        <is>
          <t>2_100332208-2_100332212</t>
        </is>
      </c>
      <c r="H377" s="530" t="n"/>
      <c r="I377" s="909" t="inlineStr">
        <is>
          <t>тыс.т</t>
        </is>
      </c>
    </row>
    <row r="378" ht="20.1" customHeight="1" s="769">
      <c r="C378" s="908" t="inlineStr">
        <is>
          <t>прочие поставщики (ГПНЗ, УНГП, и.т.д.)</t>
        </is>
      </c>
      <c r="D378" s="528" t="n"/>
      <c r="E378" s="528" t="n"/>
      <c r="F378" s="529" t="n"/>
      <c r="G378" s="530" t="inlineStr">
        <is>
          <t>2_100335143</t>
        </is>
      </c>
      <c r="H378" s="530" t="n"/>
      <c r="I378" s="909" t="inlineStr">
        <is>
          <t>тыс.т</t>
        </is>
      </c>
    </row>
    <row r="379" ht="20.1" customHeight="1" s="769">
      <c r="C379" s="436" t="inlineStr">
        <is>
          <t>Уренгойский ЗПКТ</t>
        </is>
      </c>
      <c r="D379" s="528" t="n"/>
      <c r="E379" s="528" t="n"/>
      <c r="F379" s="529" t="n"/>
      <c r="G379" s="530" t="inlineStr">
        <is>
          <t>4_100331888</t>
        </is>
      </c>
      <c r="H379" s="530" t="n"/>
      <c r="I379" s="906" t="inlineStr">
        <is>
          <t>тыс.т</t>
        </is>
      </c>
    </row>
    <row r="380" ht="20.1" customHeight="1" s="769">
      <c r="C380" s="436" t="inlineStr">
        <is>
          <t xml:space="preserve">    Сургутский ЗСК</t>
        </is>
      </c>
      <c r="D380" s="528" t="n"/>
      <c r="E380" s="528" t="n"/>
      <c r="F380" s="529" t="n"/>
      <c r="G380" s="530" t="inlineStr">
        <is>
          <t>4_100331889</t>
        </is>
      </c>
      <c r="H380" s="530" t="n"/>
      <c r="I380" s="906" t="inlineStr">
        <is>
          <t>тыс.т</t>
        </is>
      </c>
    </row>
    <row r="381" ht="20.1" customHeight="1" s="769">
      <c r="B381" s="413" t="inlineStr">
        <is>
          <t>5.2.</t>
        </is>
      </c>
      <c r="C381" s="428" t="inlineStr">
        <is>
          <t>Дочерние общества</t>
        </is>
      </c>
      <c r="D381" s="528" t="n"/>
      <c r="E381" s="528" t="n"/>
      <c r="F381" s="529" t="n"/>
      <c r="G381" s="530" t="n">
        <v>0</v>
      </c>
      <c r="H381" s="530" t="n"/>
      <c r="I381" s="446" t="inlineStr">
        <is>
          <t>тыс.т</t>
        </is>
      </c>
    </row>
    <row r="382" ht="20.1" customHeight="1" s="769">
      <c r="B382" s="747" t="inlineStr">
        <is>
          <t>6.</t>
        </is>
      </c>
      <c r="C382" s="416" t="inlineStr">
        <is>
          <t xml:space="preserve">Газы углеводородные сжиженные </t>
        </is>
      </c>
      <c r="D382" s="528" t="n"/>
      <c r="E382" s="528" t="n"/>
      <c r="F382" s="529" t="n"/>
      <c r="G382" s="530" t="inlineStr">
        <is>
          <t>2_100332216+0+2_100332218+0+2_100335146+2_100332221+2_100332223+2_100332224+2_100332226+3_100332287+3_100332288+4_100331900+4_100331901+1_100332010+14_100332363+14_100332364+14_100332365+7_100330609+12_100330866</t>
        </is>
      </c>
      <c r="H382" s="530" t="n"/>
      <c r="I382" s="446" t="inlineStr">
        <is>
          <t>тыс.т</t>
        </is>
      </c>
    </row>
    <row r="383" ht="20.1" customHeight="1" s="769">
      <c r="C383" s="424" t="inlineStr">
        <is>
          <t xml:space="preserve">   Газпром переработка</t>
        </is>
      </c>
      <c r="D383" s="528" t="n"/>
      <c r="E383" s="528" t="n"/>
      <c r="F383" s="529" t="n"/>
      <c r="G383" s="530" t="inlineStr">
        <is>
          <t>2_100332216+0+2_100332218+0+2_100335146+2_100332221+2_100332223+2_100332224+2_100332226+3_100332287+3_100332288+4_100331900+4_100331901+1_100332010</t>
        </is>
      </c>
      <c r="H383" s="530" t="n"/>
      <c r="I383" s="446" t="inlineStr">
        <is>
          <t>тыс.т</t>
        </is>
      </c>
    </row>
    <row r="384" ht="20.1" customHeight="1" s="769">
      <c r="C384" s="436" t="inlineStr">
        <is>
          <t xml:space="preserve">Астраханский ГПЗ </t>
        </is>
      </c>
      <c r="D384" s="528" t="n"/>
      <c r="E384" s="528" t="n"/>
      <c r="F384" s="529" t="n"/>
      <c r="G384" s="530" t="inlineStr">
        <is>
          <t>1_100332010</t>
        </is>
      </c>
      <c r="H384" s="530" t="n"/>
      <c r="I384" s="906" t="inlineStr">
        <is>
          <t>тыс.т</t>
        </is>
      </c>
    </row>
    <row r="385" ht="20.1" customHeight="1" s="769">
      <c r="C385" s="436" t="inlineStr">
        <is>
          <t>Оренбургский ГХК</t>
        </is>
      </c>
      <c r="D385" s="528" t="n"/>
      <c r="E385" s="528" t="n"/>
      <c r="F385" s="529" t="n"/>
      <c r="G385" s="530" t="inlineStr">
        <is>
          <t>2_100332216+0+2_100332218+0+2_100335146+2_100332221+2_100332223+2_100332224+2_100332226</t>
        </is>
      </c>
      <c r="H385" s="530" t="n"/>
      <c r="I385" s="906" t="inlineStr">
        <is>
          <t>тыс.т</t>
        </is>
      </c>
    </row>
    <row r="386" ht="20.1" customHeight="1" s="769">
      <c r="C386" s="429" t="inlineStr">
        <is>
          <t>ГПЗ</t>
        </is>
      </c>
      <c r="D386" s="528" t="n"/>
      <c r="E386" s="528" t="n"/>
      <c r="F386" s="529" t="n"/>
      <c r="G386" s="530" t="inlineStr">
        <is>
          <t>2_100332217+2_100332219+2_100335147+2_100332220+2_100332226</t>
        </is>
      </c>
      <c r="H386" s="530" t="n"/>
      <c r="I386" s="909" t="inlineStr">
        <is>
          <t>тыс.т</t>
        </is>
      </c>
    </row>
    <row r="387" ht="20.1" customHeight="1" s="769">
      <c r="C387" s="429" t="inlineStr">
        <is>
          <t>ГЗ</t>
        </is>
      </c>
      <c r="D387" s="528" t="n"/>
      <c r="E387" s="528" t="n"/>
      <c r="F387" s="529" t="n"/>
      <c r="G387" s="530" t="inlineStr">
        <is>
          <t>2_100330955+2_100330956+2_100335148</t>
        </is>
      </c>
      <c r="H387" s="530" t="n"/>
      <c r="I387" s="909" t="inlineStr">
        <is>
          <t>тыс.т</t>
        </is>
      </c>
    </row>
    <row r="388" ht="20.1" customHeight="1" s="769">
      <c r="C388" s="436" t="inlineStr">
        <is>
          <t xml:space="preserve">   Сосногорский ГПЗ</t>
        </is>
      </c>
      <c r="D388" s="528" t="n"/>
      <c r="E388" s="528" t="n"/>
      <c r="F388" s="529" t="n"/>
      <c r="G388" s="530" t="inlineStr">
        <is>
          <t>3_100332287+3_100332288</t>
        </is>
      </c>
      <c r="H388" s="530" t="n"/>
      <c r="I388" s="906" t="inlineStr">
        <is>
          <t>тыс.т</t>
        </is>
      </c>
    </row>
    <row r="389" ht="20.1" customHeight="1" s="769">
      <c r="C389" s="436" t="inlineStr">
        <is>
          <t>Уренгойский ЗПКТ</t>
        </is>
      </c>
      <c r="D389" s="528" t="n"/>
      <c r="E389" s="528" t="n"/>
      <c r="F389" s="529" t="n"/>
      <c r="G389" s="530" t="inlineStr">
        <is>
          <t>4_100331900</t>
        </is>
      </c>
      <c r="H389" s="530" t="n"/>
      <c r="I389" s="906" t="inlineStr">
        <is>
          <t>тыс.т</t>
        </is>
      </c>
    </row>
    <row r="390" ht="20.1" customHeight="1" s="769">
      <c r="C390" s="436" t="inlineStr">
        <is>
          <t xml:space="preserve">                Сургутский ЗСК</t>
        </is>
      </c>
      <c r="D390" s="528" t="n"/>
      <c r="E390" s="528" t="n"/>
      <c r="F390" s="529" t="n"/>
      <c r="G390" s="530" t="inlineStr">
        <is>
          <t>4_100331901</t>
        </is>
      </c>
      <c r="H390" s="530" t="n"/>
      <c r="I390" s="906" t="inlineStr">
        <is>
          <t>тыс.т</t>
        </is>
      </c>
    </row>
    <row r="391" ht="20.1" customHeight="1" s="769">
      <c r="C391" s="424" t="inlineStr">
        <is>
          <t xml:space="preserve"> Газпром переработка Благовещенск</t>
        </is>
      </c>
      <c r="D391" s="528" t="n"/>
      <c r="E391" s="528" t="n"/>
      <c r="F391" s="529" t="n"/>
      <c r="G391" s="530" t="inlineStr">
        <is>
          <t>14_100332363+14_100332364+14_100332365</t>
        </is>
      </c>
      <c r="H391" s="530" t="n"/>
      <c r="I391" s="446" t="inlineStr">
        <is>
          <t>тыс.т</t>
        </is>
      </c>
    </row>
    <row r="392" ht="20.1" customHeight="1" s="769">
      <c r="C392" s="436" t="inlineStr">
        <is>
          <t xml:space="preserve"> Амурский ГПЗ</t>
        </is>
      </c>
      <c r="D392" s="528" t="n"/>
      <c r="E392" s="528" t="n"/>
      <c r="F392" s="529" t="n"/>
      <c r="G392" s="530" t="inlineStr">
        <is>
          <t>14_100332363+14_100332364+14_100332365</t>
        </is>
      </c>
      <c r="H392" s="530" t="n"/>
      <c r="I392" s="906" t="inlineStr">
        <is>
          <t>тыс.т</t>
        </is>
      </c>
    </row>
    <row r="393" ht="20.1" customHeight="1" s="769">
      <c r="C393" s="424" t="inlineStr">
        <is>
          <t xml:space="preserve">   Газпром добыча Ямбург</t>
        </is>
      </c>
      <c r="D393" s="528" t="n"/>
      <c r="E393" s="528" t="n"/>
      <c r="F393" s="529" t="n"/>
      <c r="G393" s="530" t="inlineStr">
        <is>
          <t>7_100330609</t>
        </is>
      </c>
      <c r="H393" s="530" t="n"/>
      <c r="I393" s="446" t="inlineStr">
        <is>
          <t>тыс.т</t>
        </is>
      </c>
    </row>
    <row r="394" ht="20.1" customHeight="1" s="769">
      <c r="C394" s="424" t="inlineStr">
        <is>
          <t>Газпром добыча Иркутск (ПБТ/ПБА)</t>
        </is>
      </c>
      <c r="D394" s="528" t="n"/>
      <c r="E394" s="528" t="n"/>
      <c r="F394" s="529" t="n"/>
      <c r="G394" s="530" t="inlineStr">
        <is>
          <t>12_100330866</t>
        </is>
      </c>
      <c r="H394" s="530" t="n"/>
      <c r="I394" s="446" t="inlineStr">
        <is>
          <t>тыс.т</t>
        </is>
      </c>
    </row>
    <row r="395" ht="20.1" customHeight="1" s="769">
      <c r="B395" s="413" t="inlineStr">
        <is>
          <t>6.1.</t>
        </is>
      </c>
      <c r="C395" s="428" t="inlineStr">
        <is>
          <t>Газпром</t>
        </is>
      </c>
      <c r="D395" s="528" t="n"/>
      <c r="E395" s="528" t="n"/>
      <c r="F395" s="529" t="n"/>
      <c r="G395" s="530" t="inlineStr">
        <is>
          <t>1_100332010+2_100332216+0+2_100332218+0+2_100335146+3_100332287+4_100331900+4_100331901+12_100330866+14_100332363+14_100332364+14_100332365</t>
        </is>
      </c>
      <c r="H395" s="530" t="n"/>
      <c r="I395" s="446" t="inlineStr">
        <is>
          <t>тыс.т</t>
        </is>
      </c>
    </row>
    <row r="396" ht="20.1" customHeight="1" s="769">
      <c r="C396" s="424" t="inlineStr">
        <is>
          <t xml:space="preserve">   Газпром переработка</t>
        </is>
      </c>
      <c r="D396" s="528" t="n"/>
      <c r="E396" s="528" t="n"/>
      <c r="F396" s="529" t="n"/>
      <c r="G396" s="530" t="inlineStr">
        <is>
          <t>1_100332010+2_100332216+0+2_100332218+0+2_100335146+3_100332287+4_100331900+4_100331901</t>
        </is>
      </c>
      <c r="H396" s="530" t="n"/>
      <c r="I396" s="446" t="inlineStr">
        <is>
          <t>тыс.т</t>
        </is>
      </c>
    </row>
    <row r="397" ht="20.1" customHeight="1" s="769">
      <c r="C397" s="436" t="inlineStr">
        <is>
          <t>Астраханский ГПЗ (ПБТ/ПБА)</t>
        </is>
      </c>
      <c r="D397" s="528" t="n"/>
      <c r="E397" s="528" t="n"/>
      <c r="F397" s="529" t="n"/>
      <c r="G397" s="530" t="inlineStr">
        <is>
          <t>1_100332010</t>
        </is>
      </c>
      <c r="H397" s="530" t="n"/>
      <c r="I397" s="906" t="inlineStr">
        <is>
          <t>тыс.т</t>
        </is>
      </c>
    </row>
    <row r="398" ht="20.1" customHeight="1" s="769">
      <c r="C398" s="436" t="inlineStr">
        <is>
          <t xml:space="preserve"> Оренбургский ГХК (ПБТ/ПБА)</t>
        </is>
      </c>
      <c r="D398" s="528" t="n"/>
      <c r="E398" s="528" t="n"/>
      <c r="F398" s="529" t="n"/>
      <c r="G398" s="530" t="inlineStr">
        <is>
          <t>2_100332216+0+2_100332218+0+2_100335146</t>
        </is>
      </c>
      <c r="H398" s="530" t="n"/>
      <c r="I398" s="906" t="inlineStr">
        <is>
          <t>тыс.т</t>
        </is>
      </c>
    </row>
    <row r="399" ht="20.1" customHeight="1" s="769">
      <c r="C399" s="430" t="inlineStr">
        <is>
          <t>Газпром добыча Оренбург</t>
        </is>
      </c>
      <c r="D399" s="528" t="n"/>
      <c r="E399" s="528" t="n"/>
      <c r="F399" s="529" t="n"/>
      <c r="G399" s="530" t="inlineStr">
        <is>
          <t>2_100332216+0</t>
        </is>
      </c>
      <c r="H399" s="530" t="n"/>
      <c r="I399" s="909" t="inlineStr">
        <is>
          <t>тыс.т</t>
        </is>
      </c>
    </row>
    <row r="400" ht="20.1" customHeight="1" s="769">
      <c r="C400" s="430" t="inlineStr">
        <is>
          <t>в т.ч. ПБТ/ПБА</t>
        </is>
      </c>
      <c r="D400" s="528" t="n"/>
      <c r="E400" s="528" t="n"/>
      <c r="F400" s="529" t="n"/>
      <c r="G400" s="530" t="inlineStr">
        <is>
          <t>2_100332216</t>
        </is>
      </c>
      <c r="H400" s="530" t="n"/>
      <c r="I400" s="909" t="inlineStr">
        <is>
          <t>тыс.т</t>
        </is>
      </c>
    </row>
    <row r="401" ht="20.1" customHeight="1" s="769">
      <c r="C401" s="430" t="inlineStr">
        <is>
          <t>бутан</t>
        </is>
      </c>
      <c r="D401" s="528" t="n"/>
      <c r="E401" s="528" t="n"/>
      <c r="F401" s="529" t="n"/>
      <c r="G401" s="530" t="n"/>
      <c r="H401" s="530" t="n"/>
      <c r="I401" s="909" t="inlineStr">
        <is>
          <t>тыс.т</t>
        </is>
      </c>
    </row>
    <row r="402" ht="20.1" customHeight="1" s="769">
      <c r="C402" s="430" t="inlineStr">
        <is>
          <t>Газпром нефть</t>
        </is>
      </c>
      <c r="D402" s="528" t="n"/>
      <c r="E402" s="528" t="n"/>
      <c r="F402" s="529" t="n"/>
      <c r="G402" s="530" t="inlineStr">
        <is>
          <t>2_100332218+0</t>
        </is>
      </c>
      <c r="H402" s="530" t="n"/>
      <c r="I402" s="909" t="inlineStr">
        <is>
          <t>тыс.т</t>
        </is>
      </c>
    </row>
    <row r="403" ht="20.1" customHeight="1" s="769">
      <c r="C403" s="430" t="inlineStr">
        <is>
          <t>в т.ч. ПБТ/ПБА</t>
        </is>
      </c>
      <c r="D403" s="528" t="n"/>
      <c r="E403" s="528" t="n"/>
      <c r="F403" s="529" t="n"/>
      <c r="G403" s="530" t="inlineStr">
        <is>
          <t>2_100332218</t>
        </is>
      </c>
      <c r="H403" s="530" t="n"/>
      <c r="I403" s="909" t="inlineStr">
        <is>
          <t>тыс.т</t>
        </is>
      </c>
    </row>
    <row r="404" ht="20.1" customHeight="1" s="769">
      <c r="C404" s="430" t="inlineStr">
        <is>
          <t>бутан</t>
        </is>
      </c>
      <c r="D404" s="528" t="n"/>
      <c r="E404" s="528" t="n"/>
      <c r="F404" s="529" t="n"/>
      <c r="G404" s="530" t="n"/>
      <c r="H404" s="530" t="n"/>
      <c r="I404" s="909" t="inlineStr">
        <is>
          <t>тыс.т</t>
        </is>
      </c>
    </row>
    <row r="405" ht="20.1" customHeight="1" s="769">
      <c r="C405" s="908" t="inlineStr">
        <is>
          <t>прочие поставщики (ГПНЗ, УНГП, и.т.д.)</t>
        </is>
      </c>
      <c r="D405" s="528" t="n"/>
      <c r="E405" s="528" t="n"/>
      <c r="F405" s="529" t="n"/>
      <c r="G405" s="530" t="inlineStr">
        <is>
          <t>2_100335146</t>
        </is>
      </c>
      <c r="H405" s="530" t="n"/>
      <c r="I405" s="909" t="inlineStr">
        <is>
          <t>тыс.т</t>
        </is>
      </c>
    </row>
    <row r="406" ht="20.1" customHeight="1" s="769">
      <c r="C406" s="430" t="inlineStr">
        <is>
          <t>в т.ч. ПБТ/ПБА</t>
        </is>
      </c>
      <c r="D406" s="528" t="n"/>
      <c r="E406" s="528" t="n"/>
      <c r="F406" s="529" t="n"/>
      <c r="G406" s="530" t="inlineStr">
        <is>
          <t>2_100335146</t>
        </is>
      </c>
      <c r="H406" s="530" t="n"/>
      <c r="I406" s="909" t="inlineStr">
        <is>
          <t>тыс.т</t>
        </is>
      </c>
    </row>
    <row r="407" ht="20.1" customHeight="1" s="769">
      <c r="C407" s="436" t="inlineStr">
        <is>
          <t xml:space="preserve">   Сосногорский ГПЗ (ПБТ/ПБА)</t>
        </is>
      </c>
      <c r="D407" s="528" t="n"/>
      <c r="E407" s="528" t="n"/>
      <c r="F407" s="529" t="n"/>
      <c r="G407" s="530" t="inlineStr">
        <is>
          <t>3_100332287</t>
        </is>
      </c>
      <c r="H407" s="530" t="n"/>
      <c r="I407" s="906" t="inlineStr">
        <is>
          <t>тыс.т</t>
        </is>
      </c>
    </row>
    <row r="408" ht="20.1" customHeight="1" s="769">
      <c r="C408" s="436" t="inlineStr">
        <is>
          <t>Уренгойский ЗПКТ</t>
        </is>
      </c>
      <c r="D408" s="528" t="n"/>
      <c r="E408" s="528" t="n"/>
      <c r="F408" s="529" t="n"/>
      <c r="G408" s="530" t="inlineStr">
        <is>
          <t>4_100331900</t>
        </is>
      </c>
      <c r="H408" s="530" t="n"/>
      <c r="I408" s="906" t="inlineStr">
        <is>
          <t>тыс.т</t>
        </is>
      </c>
    </row>
    <row r="409" ht="20.1" customHeight="1" s="769">
      <c r="C409" s="430" t="inlineStr">
        <is>
          <t xml:space="preserve">   в т. ч. фракция пропановая </t>
        </is>
      </c>
      <c r="D409" s="528" t="n"/>
      <c r="E409" s="528" t="n"/>
      <c r="F409" s="529" t="n"/>
      <c r="G409" s="530" t="inlineStr">
        <is>
          <t>4_100332910</t>
        </is>
      </c>
      <c r="H409" s="530" t="n"/>
      <c r="I409" s="909" t="inlineStr">
        <is>
          <t>тыс.т</t>
        </is>
      </c>
    </row>
    <row r="410" ht="20.1" customHeight="1" s="769">
      <c r="C410" s="430" t="inlineStr">
        <is>
          <t>ПБТ/ПБА</t>
        </is>
      </c>
      <c r="D410" s="528" t="n"/>
      <c r="E410" s="528" t="n"/>
      <c r="F410" s="529" t="n"/>
      <c r="G410" s="530" t="inlineStr">
        <is>
          <t>4_100335420</t>
        </is>
      </c>
      <c r="H410" s="530" t="n"/>
      <c r="I410" s="909" t="inlineStr">
        <is>
          <t>тыс.т</t>
        </is>
      </c>
    </row>
    <row r="411" ht="20.1" customHeight="1" s="769">
      <c r="C411" s="436" t="inlineStr">
        <is>
          <t xml:space="preserve">                Сургутский ЗСК</t>
        </is>
      </c>
      <c r="D411" s="528" t="n"/>
      <c r="E411" s="528" t="n"/>
      <c r="F411" s="529" t="n"/>
      <c r="G411" s="530" t="inlineStr">
        <is>
          <t>4_100331901</t>
        </is>
      </c>
      <c r="H411" s="530" t="n"/>
      <c r="I411" s="906" t="inlineStr">
        <is>
          <t>тыс.т</t>
        </is>
      </c>
    </row>
    <row r="412" ht="20.1" customHeight="1" s="769">
      <c r="C412" s="430" t="inlineStr">
        <is>
          <t xml:space="preserve">   в т.ч. ПБТ</t>
        </is>
      </c>
      <c r="D412" s="528" t="n"/>
      <c r="E412" s="528" t="n"/>
      <c r="F412" s="529" t="n"/>
      <c r="G412" s="530" t="inlineStr">
        <is>
          <t>4_100332911</t>
        </is>
      </c>
      <c r="H412" s="530" t="n"/>
      <c r="I412" s="909" t="inlineStr">
        <is>
          <t>тыс.т</t>
        </is>
      </c>
    </row>
    <row r="413" ht="20.1" customHeight="1" s="769">
      <c r="C413" s="430" t="inlineStr">
        <is>
          <t>пропан</t>
        </is>
      </c>
      <c r="D413" s="528" t="n"/>
      <c r="E413" s="528" t="n"/>
      <c r="F413" s="529" t="n"/>
      <c r="G413" s="530" t="inlineStr">
        <is>
          <t>4_100332912</t>
        </is>
      </c>
      <c r="H413" s="530" t="n"/>
      <c r="I413" s="909" t="inlineStr">
        <is>
          <t>тыс.т</t>
        </is>
      </c>
    </row>
    <row r="414" ht="20.1" customHeight="1" s="769">
      <c r="C414" s="430" t="inlineStr">
        <is>
          <t xml:space="preserve">              бутан</t>
        </is>
      </c>
      <c r="D414" s="528" t="n"/>
      <c r="E414" s="528" t="n"/>
      <c r="F414" s="529" t="n"/>
      <c r="G414" s="530" t="inlineStr">
        <is>
          <t>4_100332913</t>
        </is>
      </c>
      <c r="H414" s="530" t="n"/>
      <c r="I414" s="909" t="inlineStr">
        <is>
          <t>тыс.т</t>
        </is>
      </c>
    </row>
    <row r="415" ht="20.1" customHeight="1" s="769">
      <c r="C415" s="424" t="inlineStr">
        <is>
          <t xml:space="preserve"> Газпром переработка Благовещенск</t>
        </is>
      </c>
      <c r="D415" s="528" t="n"/>
      <c r="E415" s="528" t="n"/>
      <c r="F415" s="529" t="n"/>
      <c r="G415" s="530" t="inlineStr">
        <is>
          <t>14_100332363+14_100332364+14_100332365</t>
        </is>
      </c>
      <c r="H415" s="530" t="n"/>
      <c r="I415" s="446" t="inlineStr">
        <is>
          <t>тыс.т</t>
        </is>
      </c>
    </row>
    <row r="416" ht="20.1" customHeight="1" s="769">
      <c r="C416" s="436" t="inlineStr">
        <is>
          <t xml:space="preserve"> Амурский ГПЗ</t>
        </is>
      </c>
      <c r="D416" s="528" t="n"/>
      <c r="E416" s="528" t="n"/>
      <c r="F416" s="529" t="n"/>
      <c r="G416" s="530" t="inlineStr">
        <is>
          <t>14_100332363+14_100332364+14_100332365</t>
        </is>
      </c>
      <c r="H416" s="530" t="n"/>
      <c r="I416" s="906" t="inlineStr">
        <is>
          <t>тыс.т</t>
        </is>
      </c>
    </row>
    <row r="417" ht="20.1" customHeight="1" s="769">
      <c r="C417" s="430" t="inlineStr">
        <is>
          <t xml:space="preserve">   в т.ч. пропан</t>
        </is>
      </c>
      <c r="D417" s="528" t="n"/>
      <c r="E417" s="528" t="n"/>
      <c r="F417" s="529" t="n"/>
      <c r="G417" s="530" t="inlineStr">
        <is>
          <t>14_100332363</t>
        </is>
      </c>
      <c r="H417" s="530" t="n"/>
      <c r="I417" s="909" t="inlineStr">
        <is>
          <t>тыс.т</t>
        </is>
      </c>
    </row>
    <row r="418" ht="20.1" customHeight="1" s="769">
      <c r="C418" s="430" t="inlineStr">
        <is>
          <t xml:space="preserve">              бутан</t>
        </is>
      </c>
      <c r="D418" s="528" t="n"/>
      <c r="E418" s="528" t="n"/>
      <c r="F418" s="529" t="n"/>
      <c r="G418" s="530" t="inlineStr">
        <is>
          <t>14_100332364</t>
        </is>
      </c>
      <c r="H418" s="530" t="n"/>
      <c r="I418" s="909" t="inlineStr">
        <is>
          <t>тыс.т</t>
        </is>
      </c>
    </row>
    <row r="419" ht="20.1" customHeight="1" s="769">
      <c r="C419" s="430" t="inlineStr">
        <is>
          <t>ПБТ</t>
        </is>
      </c>
      <c r="D419" s="528" t="n"/>
      <c r="E419" s="528" t="n"/>
      <c r="F419" s="529" t="n"/>
      <c r="G419" s="530" t="inlineStr">
        <is>
          <t>14_100332365</t>
        </is>
      </c>
      <c r="H419" s="530" t="n"/>
      <c r="I419" s="909" t="inlineStr">
        <is>
          <t>тыс.т</t>
        </is>
      </c>
    </row>
    <row r="420" ht="20.1" customHeight="1" s="769">
      <c r="C420" s="424" t="inlineStr">
        <is>
          <t>Газпром добыча Иркутск (ПБТ)</t>
        </is>
      </c>
      <c r="D420" s="528" t="n"/>
      <c r="E420" s="528" t="n"/>
      <c r="F420" s="529" t="n"/>
      <c r="G420" s="530" t="inlineStr">
        <is>
          <t>12_100330866</t>
        </is>
      </c>
      <c r="H420" s="530" t="n"/>
      <c r="I420" s="446" t="inlineStr">
        <is>
          <t>тыс.т</t>
        </is>
      </c>
    </row>
    <row r="421" ht="20.1" customHeight="1" s="769">
      <c r="C421" s="430" t="inlineStr">
        <is>
          <t>в т.ч. Ковыктинское ГКМ</t>
        </is>
      </c>
      <c r="D421" s="528" t="n"/>
      <c r="E421" s="528" t="n"/>
      <c r="F421" s="529" t="n"/>
      <c r="G421" s="530" t="inlineStr">
        <is>
          <t>12_100330866</t>
        </is>
      </c>
      <c r="H421" s="530" t="n"/>
      <c r="I421" s="909" t="inlineStr">
        <is>
          <t>тыс.т</t>
        </is>
      </c>
    </row>
    <row r="422" ht="20.1" customHeight="1" s="769">
      <c r="B422" s="413" t="inlineStr">
        <is>
          <t>6.2.</t>
        </is>
      </c>
      <c r="C422" s="428" t="inlineStr">
        <is>
          <t>Дочерние общества</t>
        </is>
      </c>
      <c r="D422" s="528" t="n"/>
      <c r="E422" s="528" t="n"/>
      <c r="F422" s="529" t="n"/>
      <c r="G422" s="530" t="inlineStr">
        <is>
          <t>2_100332221+2_100332223+2_100332224+7_100330609+2_100332226+3_100332288</t>
        </is>
      </c>
      <c r="H422" s="530" t="n"/>
      <c r="I422" s="446" t="inlineStr">
        <is>
          <t>тыс.т</t>
        </is>
      </c>
    </row>
    <row r="423" ht="20.1" customHeight="1" s="769">
      <c r="C423" s="424" t="inlineStr">
        <is>
          <t xml:space="preserve">   Газпром переработка</t>
        </is>
      </c>
      <c r="D423" s="528" t="n"/>
      <c r="E423" s="528" t="n"/>
      <c r="F423" s="529" t="n"/>
      <c r="G423" s="530" t="inlineStr">
        <is>
          <t>2_100332221+2_100332223+2_100332224</t>
        </is>
      </c>
      <c r="H423" s="530" t="n"/>
      <c r="I423" s="446" t="inlineStr">
        <is>
          <t>тыс.т</t>
        </is>
      </c>
    </row>
    <row r="424" ht="20.1" customHeight="1" s="769">
      <c r="C424" s="436" t="inlineStr">
        <is>
          <t xml:space="preserve"> Оренбургский ГХК (ПБТ/ПБА)</t>
        </is>
      </c>
      <c r="D424" s="528" t="n"/>
      <c r="E424" s="528" t="n"/>
      <c r="F424" s="529" t="n"/>
      <c r="G424" s="530" t="inlineStr">
        <is>
          <t>2_100332221+2_100332223+2_100332224</t>
        </is>
      </c>
      <c r="H424" s="530" t="n"/>
      <c r="I424" s="906" t="inlineStr">
        <is>
          <t>тыс.т</t>
        </is>
      </c>
    </row>
    <row r="425" ht="20.1" customHeight="1" s="769">
      <c r="C425" s="430" t="inlineStr">
        <is>
          <t>в т. ч. Газпром добыча Оренбург</t>
        </is>
      </c>
      <c r="D425" s="528" t="n"/>
      <c r="E425" s="528" t="n"/>
      <c r="F425" s="529" t="n"/>
      <c r="G425" s="530" t="inlineStr">
        <is>
          <t>2_100332221</t>
        </is>
      </c>
      <c r="H425" s="530" t="n"/>
      <c r="I425" s="909" t="inlineStr">
        <is>
          <t>тыс.т</t>
        </is>
      </c>
    </row>
    <row r="426" ht="20.1" customHeight="1" s="769">
      <c r="C426" s="430" t="inlineStr">
        <is>
          <t xml:space="preserve"> в т.ч. собственная потребность ГПП</t>
        </is>
      </c>
      <c r="D426" s="528" t="n"/>
      <c r="E426" s="528" t="n"/>
      <c r="F426" s="529" t="n"/>
      <c r="G426" s="530" t="inlineStr">
        <is>
          <t>2_100332222</t>
        </is>
      </c>
      <c r="H426" s="530" t="n"/>
      <c r="I426" s="909" t="inlineStr">
        <is>
          <t>тыс.т</t>
        </is>
      </c>
    </row>
    <row r="427" ht="20.1" customHeight="1" s="769">
      <c r="C427" s="430" t="inlineStr">
        <is>
          <t xml:space="preserve"> собственная потребность ГДО</t>
        </is>
      </c>
      <c r="D427" s="528" t="n"/>
      <c r="E427" s="528" t="n"/>
      <c r="F427" s="529" t="n"/>
      <c r="G427" s="530" t="n">
        <v>0</v>
      </c>
      <c r="H427" s="530" t="n"/>
      <c r="I427" s="909" t="inlineStr">
        <is>
          <t>тыс.т</t>
        </is>
      </c>
    </row>
    <row r="428" ht="20.1" customHeight="1" s="769">
      <c r="C428" s="430" t="inlineStr">
        <is>
          <t>Газпром нефть</t>
        </is>
      </c>
      <c r="D428" s="528" t="n"/>
      <c r="E428" s="528" t="n"/>
      <c r="F428" s="529" t="n"/>
      <c r="G428" s="530" t="inlineStr">
        <is>
          <t>2_100332223</t>
        </is>
      </c>
      <c r="H428" s="530" t="n"/>
      <c r="I428" s="909" t="inlineStr">
        <is>
          <t>тыс.т</t>
        </is>
      </c>
    </row>
    <row r="429" ht="20.1" customHeight="1" s="769">
      <c r="C429" s="908" t="inlineStr">
        <is>
          <t>прочие поставщики (ГПНЗ, УНГП, и.т.д.)</t>
        </is>
      </c>
      <c r="D429" s="528" t="n"/>
      <c r="E429" s="528" t="n"/>
      <c r="F429" s="529" t="n"/>
      <c r="G429" s="530" t="inlineStr">
        <is>
          <t>2_100332224</t>
        </is>
      </c>
      <c r="H429" s="530" t="n"/>
      <c r="I429" s="909" t="inlineStr">
        <is>
          <t>тыс.т</t>
        </is>
      </c>
    </row>
    <row r="430" ht="20.1" customHeight="1" s="769">
      <c r="C430" s="424" t="inlineStr">
        <is>
          <t xml:space="preserve">   Газпром добыча Ямбург</t>
        </is>
      </c>
      <c r="D430" s="528" t="n"/>
      <c r="E430" s="528" t="n"/>
      <c r="F430" s="529" t="n"/>
      <c r="G430" s="530" t="inlineStr">
        <is>
          <t>7_100330609</t>
        </is>
      </c>
      <c r="H430" s="530" t="n"/>
      <c r="I430" s="446" t="inlineStr">
        <is>
          <t>тыс.т</t>
        </is>
      </c>
    </row>
    <row r="431" ht="20.1" customHeight="1" s="769">
      <c r="C431" s="430" t="inlineStr">
        <is>
          <t xml:space="preserve">              фракция пропан-бутановая</t>
        </is>
      </c>
      <c r="D431" s="528" t="n"/>
      <c r="E431" s="528" t="n"/>
      <c r="F431" s="529" t="n"/>
      <c r="G431" s="530" t="inlineStr">
        <is>
          <t>7_100330609</t>
        </is>
      </c>
      <c r="H431" s="530" t="n"/>
      <c r="I431" s="909" t="inlineStr">
        <is>
          <t>тыс.т</t>
        </is>
      </c>
    </row>
    <row r="432" ht="20.1" customHeight="1" s="769">
      <c r="C432" s="424" t="inlineStr">
        <is>
          <t>Сервиснефтегаз</t>
        </is>
      </c>
      <c r="D432" s="528" t="n"/>
      <c r="E432" s="528" t="n"/>
      <c r="F432" s="529" t="n"/>
      <c r="G432" s="530" t="inlineStr">
        <is>
          <t>2_100332226</t>
        </is>
      </c>
      <c r="H432" s="530" t="n"/>
      <c r="I432" s="446" t="inlineStr">
        <is>
          <t>тыс.т</t>
        </is>
      </c>
    </row>
    <row r="433" ht="20.1" customHeight="1" s="769">
      <c r="C433" s="436" t="inlineStr">
        <is>
          <t>Оренбургский ГХК</t>
        </is>
      </c>
      <c r="D433" s="528" t="n"/>
      <c r="E433" s="528" t="n"/>
      <c r="F433" s="529" t="n"/>
      <c r="G433" s="530" t="inlineStr">
        <is>
          <t>2_100332226</t>
        </is>
      </c>
      <c r="H433" s="530" t="n"/>
      <c r="I433" s="906" t="inlineStr">
        <is>
          <t>тыс.т</t>
        </is>
      </c>
    </row>
    <row r="434" ht="20.1" customHeight="1" s="769">
      <c r="C434" s="424" t="inlineStr">
        <is>
          <t>Газпром ГНП холдинг</t>
        </is>
      </c>
      <c r="D434" s="528" t="n"/>
      <c r="E434" s="528" t="n"/>
      <c r="F434" s="529" t="n"/>
      <c r="G434" s="530" t="inlineStr">
        <is>
          <t>3_100332288</t>
        </is>
      </c>
      <c r="H434" s="530" t="n"/>
      <c r="I434" s="8" t="inlineStr">
        <is>
          <t>тыс.т</t>
        </is>
      </c>
    </row>
    <row r="435" ht="20.1" customHeight="1" s="769">
      <c r="C435" s="436" t="inlineStr">
        <is>
          <t>Сосногорский ГПЗ</t>
        </is>
      </c>
      <c r="D435" s="528" t="n"/>
      <c r="E435" s="528" t="n"/>
      <c r="F435" s="529" t="n"/>
      <c r="G435" s="530" t="inlineStr">
        <is>
          <t>3_100332288</t>
        </is>
      </c>
      <c r="H435" s="530" t="n"/>
      <c r="I435" s="906" t="inlineStr">
        <is>
          <t>тыс.т</t>
        </is>
      </c>
    </row>
    <row r="436" ht="20.1" customHeight="1" s="769">
      <c r="C436" s="430" t="inlineStr">
        <is>
          <t>ЛУКОЙЛ-Коми</t>
        </is>
      </c>
      <c r="D436" s="528" t="n"/>
      <c r="E436" s="528" t="n"/>
      <c r="F436" s="529" t="n"/>
      <c r="G436" s="530" t="inlineStr">
        <is>
          <t>3_100332288</t>
        </is>
      </c>
      <c r="H436" s="530" t="n"/>
      <c r="I436" s="909" t="inlineStr">
        <is>
          <t>тыс.т</t>
        </is>
      </c>
    </row>
    <row r="437" ht="20.1" customHeight="1" s="769">
      <c r="B437" s="747" t="inlineStr">
        <is>
          <t>7.</t>
        </is>
      </c>
      <c r="C437" s="416" t="inlineStr">
        <is>
          <t>Углеводородная фракция / ПГФ - всего</t>
        </is>
      </c>
      <c r="D437" s="528" t="n"/>
      <c r="E437" s="528" t="n"/>
      <c r="F437" s="529" t="n"/>
      <c r="G437" s="530" t="inlineStr">
        <is>
          <t>2_100332234+2_100332235+2_100335150+4_100331904+14_100332366+14_100335088</t>
        </is>
      </c>
      <c r="H437" s="530" t="n"/>
      <c r="I437" s="446" t="inlineStr">
        <is>
          <t>тыс.т</t>
        </is>
      </c>
    </row>
    <row r="438" ht="20.1" customHeight="1" s="769">
      <c r="C438" s="424" t="inlineStr">
        <is>
          <t xml:space="preserve">   Газпром переработка</t>
        </is>
      </c>
      <c r="D438" s="528" t="n"/>
      <c r="E438" s="528" t="n"/>
      <c r="F438" s="529" t="n"/>
      <c r="G438" s="530" t="inlineStr">
        <is>
          <t>2_100332234+2_100332235+2_100335150+4_100331904</t>
        </is>
      </c>
      <c r="H438" s="530" t="n"/>
      <c r="I438" s="446" t="inlineStr">
        <is>
          <t>тыс.т</t>
        </is>
      </c>
    </row>
    <row r="439" ht="20.1" customHeight="1" s="769">
      <c r="C439" s="436" t="inlineStr">
        <is>
          <t xml:space="preserve"> Оренбургский ГХК</t>
        </is>
      </c>
      <c r="D439" s="528" t="n"/>
      <c r="E439" s="528" t="n"/>
      <c r="F439" s="529" t="n"/>
      <c r="G439" s="530" t="inlineStr">
        <is>
          <t>2_100332234+2_100332235+2_100335150</t>
        </is>
      </c>
      <c r="H439" s="530" t="n"/>
      <c r="I439" s="906" t="inlineStr">
        <is>
          <t>тыс.т</t>
        </is>
      </c>
    </row>
    <row r="440" ht="20.1" customHeight="1" s="769">
      <c r="C440" s="436" t="inlineStr">
        <is>
          <t xml:space="preserve">   Сургутский ЗСК</t>
        </is>
      </c>
      <c r="D440" s="528" t="n"/>
      <c r="E440" s="528" t="n"/>
      <c r="F440" s="529" t="n"/>
      <c r="G440" s="530" t="inlineStr">
        <is>
          <t>4_100331904</t>
        </is>
      </c>
      <c r="H440" s="530" t="n"/>
      <c r="I440" s="906" t="inlineStr">
        <is>
          <t>тыс.т</t>
        </is>
      </c>
    </row>
    <row r="441" ht="20.1" customHeight="1" s="769">
      <c r="C441" s="424" t="inlineStr">
        <is>
          <t xml:space="preserve"> Газпром переработка Благовещенск</t>
        </is>
      </c>
      <c r="D441" s="528" t="n"/>
      <c r="E441" s="528" t="n"/>
      <c r="F441" s="529" t="n"/>
      <c r="G441" s="530" t="inlineStr">
        <is>
          <t>14_100332366+14_100335088</t>
        </is>
      </c>
      <c r="H441" s="530" t="n"/>
      <c r="I441" s="446" t="inlineStr">
        <is>
          <t>тыс.т</t>
        </is>
      </c>
    </row>
    <row r="442" ht="20.1" customHeight="1" s="769">
      <c r="C442" s="436" t="inlineStr">
        <is>
          <t xml:space="preserve"> Амурский ГПЗ</t>
        </is>
      </c>
      <c r="D442" s="528" t="n"/>
      <c r="E442" s="528" t="n"/>
      <c r="F442" s="529" t="n"/>
      <c r="G442" s="530" t="inlineStr">
        <is>
          <t>14_100332366+14_100335088</t>
        </is>
      </c>
      <c r="H442" s="530" t="n"/>
      <c r="I442" s="906" t="inlineStr">
        <is>
          <t>тыс.т</t>
        </is>
      </c>
    </row>
    <row r="443" ht="20.1" customHeight="1" s="769">
      <c r="B443" s="413" t="inlineStr">
        <is>
          <t>7.1.</t>
        </is>
      </c>
      <c r="C443" s="428" t="inlineStr">
        <is>
          <t>Газпром</t>
        </is>
      </c>
      <c r="D443" s="528" t="n"/>
      <c r="E443" s="528" t="n"/>
      <c r="F443" s="529" t="n"/>
      <c r="G443" s="530" t="inlineStr">
        <is>
          <t>2_100332234+2_100332235+2_100335150+4_100331904+14_100332366</t>
        </is>
      </c>
      <c r="H443" s="530" t="n"/>
      <c r="I443" s="446" t="inlineStr">
        <is>
          <t>тыс.т</t>
        </is>
      </c>
    </row>
    <row r="444" ht="20.1" customHeight="1" s="769">
      <c r="C444" s="424" t="inlineStr">
        <is>
          <t xml:space="preserve">   Газпром переработка</t>
        </is>
      </c>
      <c r="D444" s="528" t="n"/>
      <c r="E444" s="528" t="n"/>
      <c r="F444" s="529" t="n"/>
      <c r="G444" s="530" t="inlineStr">
        <is>
          <t>2_100332234+2_100332235+2_100335150+4_100331904</t>
        </is>
      </c>
      <c r="H444" s="530" t="n"/>
      <c r="I444" s="446" t="inlineStr">
        <is>
          <t>тыс.т</t>
        </is>
      </c>
    </row>
    <row r="445" ht="20.1" customHeight="1" s="769">
      <c r="C445" s="436" t="inlineStr">
        <is>
          <t xml:space="preserve"> Оренбургский ГХК</t>
        </is>
      </c>
      <c r="D445" s="528" t="n"/>
      <c r="E445" s="528" t="n"/>
      <c r="F445" s="529" t="n"/>
      <c r="G445" s="530" t="inlineStr">
        <is>
          <t>2_100332234+2_100332235+2_100335150</t>
        </is>
      </c>
      <c r="H445" s="530" t="n"/>
      <c r="I445" s="906" t="inlineStr">
        <is>
          <t>тыс.т</t>
        </is>
      </c>
    </row>
    <row r="446" ht="20.1" customHeight="1" s="769">
      <c r="C446" s="430" t="inlineStr">
        <is>
          <t>Газпром добыча Оренбург</t>
        </is>
      </c>
      <c r="D446" s="528" t="n"/>
      <c r="E446" s="528" t="n"/>
      <c r="F446" s="529" t="n"/>
      <c r="G446" s="530" t="inlineStr">
        <is>
          <t>2_100332234</t>
        </is>
      </c>
      <c r="H446" s="530" t="n"/>
      <c r="I446" s="909" t="inlineStr">
        <is>
          <t>тыс.т</t>
        </is>
      </c>
    </row>
    <row r="447" ht="20.1" customHeight="1" s="769">
      <c r="C447" s="430" t="inlineStr">
        <is>
          <t>Газпром нефть</t>
        </is>
      </c>
      <c r="D447" s="528" t="n"/>
      <c r="E447" s="528" t="n"/>
      <c r="F447" s="529" t="n"/>
      <c r="G447" s="530" t="inlineStr">
        <is>
          <t>2_100332235</t>
        </is>
      </c>
      <c r="H447" s="530" t="n"/>
      <c r="I447" s="909" t="inlineStr">
        <is>
          <t>тыс.т</t>
        </is>
      </c>
    </row>
    <row r="448" ht="20.1" customHeight="1" s="769">
      <c r="C448" s="908" t="inlineStr">
        <is>
          <t>прочие поставщики (ГПНЗ, УНГП, и.т.д.)</t>
        </is>
      </c>
      <c r="D448" s="528" t="n"/>
      <c r="E448" s="528" t="n"/>
      <c r="F448" s="529" t="n"/>
      <c r="G448" s="530" t="inlineStr">
        <is>
          <t>2_100335150</t>
        </is>
      </c>
      <c r="H448" s="530" t="n"/>
      <c r="I448" s="909" t="inlineStr">
        <is>
          <t>тыс.т</t>
        </is>
      </c>
    </row>
    <row r="449" ht="20.1" customHeight="1" s="769">
      <c r="C449" s="436" t="inlineStr">
        <is>
          <t>Сургутский ЗСК</t>
        </is>
      </c>
      <c r="D449" s="528" t="n"/>
      <c r="E449" s="528" t="n"/>
      <c r="F449" s="529" t="n"/>
      <c r="G449" s="530" t="inlineStr">
        <is>
          <t>4_100331904</t>
        </is>
      </c>
      <c r="H449" s="530" t="n"/>
      <c r="I449" s="906" t="inlineStr">
        <is>
          <t>тыс.т</t>
        </is>
      </c>
    </row>
    <row r="450" ht="20.1" customHeight="1" s="769">
      <c r="C450" s="424" t="inlineStr">
        <is>
          <t xml:space="preserve"> Газпром переработка Благовещенск</t>
        </is>
      </c>
      <c r="D450" s="528" t="n"/>
      <c r="E450" s="528" t="n"/>
      <c r="F450" s="529" t="n"/>
      <c r="G450" s="530" t="inlineStr">
        <is>
          <t>14_100332366</t>
        </is>
      </c>
      <c r="H450" s="530" t="n"/>
      <c r="I450" s="446" t="inlineStr">
        <is>
          <t>тыс.т</t>
        </is>
      </c>
    </row>
    <row r="451" ht="20.1" customHeight="1" s="769">
      <c r="C451" s="436" t="inlineStr">
        <is>
          <t xml:space="preserve"> Амурский ГПЗ</t>
        </is>
      </c>
      <c r="D451" s="528" t="n"/>
      <c r="E451" s="528" t="n"/>
      <c r="F451" s="529" t="n"/>
      <c r="G451" s="530" t="inlineStr">
        <is>
          <t>14_100332366</t>
        </is>
      </c>
      <c r="H451" s="530" t="n"/>
      <c r="I451" s="906" t="inlineStr">
        <is>
          <t>тыс.т</t>
        </is>
      </c>
    </row>
    <row r="452" ht="20.1" customHeight="1" s="769">
      <c r="B452" s="413" t="inlineStr">
        <is>
          <t>7.2.</t>
        </is>
      </c>
      <c r="C452" s="428" t="inlineStr">
        <is>
          <t>Дочерние общества</t>
        </is>
      </c>
      <c r="D452" s="528" t="n"/>
      <c r="E452" s="528" t="n"/>
      <c r="F452" s="529" t="n"/>
      <c r="G452" s="530" t="n">
        <v>0</v>
      </c>
      <c r="H452" s="530" t="n"/>
      <c r="I452" s="446" t="inlineStr">
        <is>
          <t>тыс.т</t>
        </is>
      </c>
    </row>
    <row r="453" ht="20.1" customHeight="1" s="769">
      <c r="C453" s="424" t="inlineStr">
        <is>
          <t xml:space="preserve"> Газпром переработка Благовещенск</t>
        </is>
      </c>
      <c r="D453" s="528" t="n"/>
      <c r="E453" s="528" t="n"/>
      <c r="F453" s="529" t="n"/>
      <c r="G453" s="530" t="inlineStr">
        <is>
          <t>14_100335088</t>
        </is>
      </c>
      <c r="H453" s="530" t="n"/>
      <c r="I453" s="446" t="inlineStr">
        <is>
          <t>тыс.т</t>
        </is>
      </c>
    </row>
    <row r="454" ht="20.1" customHeight="1" s="769">
      <c r="C454" s="436" t="inlineStr">
        <is>
          <t xml:space="preserve"> Амурский ГПЗ</t>
        </is>
      </c>
      <c r="D454" s="528" t="n"/>
      <c r="E454" s="528" t="n"/>
      <c r="F454" s="529" t="n"/>
      <c r="G454" s="530" t="inlineStr">
        <is>
          <t>14_100335088</t>
        </is>
      </c>
      <c r="H454" s="530" t="n"/>
      <c r="I454" s="906" t="inlineStr">
        <is>
          <t>тыс.т</t>
        </is>
      </c>
    </row>
    <row r="455" ht="20.1" customHeight="1" s="769">
      <c r="B455" s="747" t="inlineStr">
        <is>
          <t>8.</t>
        </is>
      </c>
      <c r="C455" s="416" t="inlineStr">
        <is>
          <t>Стабильный газовый конденсат и нефть-всего</t>
        </is>
      </c>
      <c r="D455" s="528" t="n"/>
      <c r="E455" s="528" t="n"/>
      <c r="F455" s="529" t="n"/>
      <c r="G455" s="530" t="n"/>
      <c r="H455" s="530" t="n"/>
      <c r="I455" s="446" t="n"/>
    </row>
    <row r="456" ht="20.1" customHeight="1" s="769">
      <c r="C456" s="424" t="inlineStr">
        <is>
          <t xml:space="preserve">   Газпром переработка</t>
        </is>
      </c>
      <c r="D456" s="528" t="n"/>
      <c r="E456" s="528" t="n"/>
      <c r="F456" s="529" t="n"/>
      <c r="G456" s="530" t="inlineStr">
        <is>
          <t>1_100332014+2_100332266+2_100332267+2_100335669+2_100332269+2_100332271+2_100332959+2_100332273+3_100330098+3_100330582+4_100331927+4_100331928+4_100335100+4_100331929</t>
        </is>
      </c>
      <c r="H456" s="530" t="n"/>
      <c r="I456" s="446" t="inlineStr">
        <is>
          <t>тыс.т</t>
        </is>
      </c>
    </row>
    <row r="457" ht="20.1" customHeight="1" s="769">
      <c r="C457" s="436" t="inlineStr">
        <is>
          <t>Астраханский ГПЗ</t>
        </is>
      </c>
      <c r="D457" s="528" t="n"/>
      <c r="E457" s="528" t="n"/>
      <c r="F457" s="529" t="n"/>
      <c r="G457" s="530" t="inlineStr">
        <is>
          <t>1_100332014</t>
        </is>
      </c>
      <c r="H457" s="530" t="n"/>
      <c r="I457" s="906" t="inlineStr">
        <is>
          <t>тыс.т</t>
        </is>
      </c>
    </row>
    <row r="458" ht="20.1" customHeight="1" s="769">
      <c r="C458" s="436" t="inlineStr">
        <is>
          <t>Оренбургский ГХК</t>
        </is>
      </c>
      <c r="D458" s="528" t="n"/>
      <c r="E458" s="528" t="n"/>
      <c r="F458" s="529" t="n"/>
      <c r="G458" s="530" t="inlineStr">
        <is>
          <t>2_100332266+2_100332267+2_100335669+2_100332269+2_100332271+2_100332959+2_100332273</t>
        </is>
      </c>
      <c r="H458" s="530" t="n"/>
      <c r="I458" s="906" t="inlineStr">
        <is>
          <t>тыс.т</t>
        </is>
      </c>
    </row>
    <row r="459" ht="20.1" customHeight="1" s="769">
      <c r="C459" s="436" t="inlineStr">
        <is>
          <t xml:space="preserve">   Сосногорский ГПЗ</t>
        </is>
      </c>
      <c r="D459" s="528" t="n"/>
      <c r="E459" s="528" t="n"/>
      <c r="F459" s="529" t="n"/>
      <c r="G459" s="530" t="inlineStr">
        <is>
          <t>3_100330098+3_100330582</t>
        </is>
      </c>
      <c r="H459" s="530" t="n"/>
      <c r="I459" s="906" t="inlineStr">
        <is>
          <t>тыс.т</t>
        </is>
      </c>
    </row>
    <row r="460" ht="20.1" customHeight="1" s="769">
      <c r="C460" s="436" t="inlineStr">
        <is>
          <t xml:space="preserve">              Уренгойский ЗПКТ</t>
        </is>
      </c>
      <c r="D460" s="528" t="n"/>
      <c r="E460" s="528" t="n"/>
      <c r="F460" s="529" t="n"/>
      <c r="G460" s="530" t="inlineStr">
        <is>
          <t>4_100331927+4_100331928+4_100335100</t>
        </is>
      </c>
      <c r="H460" s="530" t="n"/>
      <c r="I460" s="906" t="inlineStr">
        <is>
          <t>тыс.т</t>
        </is>
      </c>
    </row>
    <row r="461" ht="20.1" customHeight="1" s="769">
      <c r="C461" s="436" t="inlineStr">
        <is>
          <t xml:space="preserve">                Сургутский ЗСК</t>
        </is>
      </c>
      <c r="D461" s="528" t="n"/>
      <c r="E461" s="528" t="n"/>
      <c r="F461" s="529" t="n"/>
      <c r="G461" s="530" t="inlineStr">
        <is>
          <t>4_100331929</t>
        </is>
      </c>
      <c r="H461" s="530" t="n"/>
      <c r="I461" s="906" t="inlineStr">
        <is>
          <t>тыс.т</t>
        </is>
      </c>
    </row>
    <row r="462" ht="20.1" customHeight="1" s="769">
      <c r="C462" s="424" t="inlineStr">
        <is>
          <t>Газпром добыча Уренгой</t>
        </is>
      </c>
      <c r="D462" s="528" t="n"/>
      <c r="E462" s="528" t="n"/>
      <c r="F462" s="529" t="n"/>
      <c r="G462" s="530" t="inlineStr">
        <is>
          <t>0+8_100333681+8_100335156+8_100335917+8_100335916+8_100335911</t>
        </is>
      </c>
      <c r="H462" s="530" t="n"/>
      <c r="I462" s="446" t="inlineStr">
        <is>
          <t>тыс. т</t>
        </is>
      </c>
    </row>
    <row r="463" ht="20.1" customHeight="1" s="769">
      <c r="C463" s="424" t="inlineStr">
        <is>
          <t>Газпром добыча Краснодар</t>
        </is>
      </c>
      <c r="D463" s="528" t="n"/>
      <c r="E463" s="528" t="n"/>
      <c r="F463" s="529" t="n"/>
      <c r="G463" s="530" t="inlineStr">
        <is>
          <t>9_100330684+9_100330879</t>
        </is>
      </c>
      <c r="H463" s="530" t="n"/>
      <c r="I463" s="446" t="inlineStr">
        <is>
          <t>тыс.т</t>
        </is>
      </c>
    </row>
    <row r="464" ht="20.1" customHeight="1" s="769">
      <c r="C464" s="436" t="inlineStr">
        <is>
          <t xml:space="preserve">     в т. ч. НГКС</t>
        </is>
      </c>
      <c r="D464" s="528" t="n"/>
      <c r="E464" s="528" t="n"/>
      <c r="F464" s="529" t="n"/>
      <c r="G464" s="530" t="inlineStr">
        <is>
          <t>9_100330684</t>
        </is>
      </c>
      <c r="H464" s="530" t="n"/>
      <c r="I464" s="906" t="inlineStr">
        <is>
          <t>тыс.т</t>
        </is>
      </c>
    </row>
    <row r="465" ht="20.1" customHeight="1" s="769">
      <c r="C465" s="424" t="inlineStr">
        <is>
          <t xml:space="preserve">   Газпром добыча Ямбург</t>
        </is>
      </c>
      <c r="D465" s="528" t="n"/>
      <c r="E465" s="528" t="n"/>
      <c r="F465" s="529" t="n"/>
      <c r="G465" s="530" t="inlineStr">
        <is>
          <t>7_100330626+7_100330593+7_100330591</t>
        </is>
      </c>
      <c r="H465" s="530" t="n"/>
      <c r="I465" s="446" t="inlineStr">
        <is>
          <t>тыс.т</t>
        </is>
      </c>
    </row>
    <row r="466" ht="20.1" customHeight="1" s="769">
      <c r="C466" s="424" t="inlineStr">
        <is>
          <t>Газпром добыча Иркутск</t>
        </is>
      </c>
      <c r="D466" s="528" t="n"/>
      <c r="E466" s="528" t="n"/>
      <c r="F466" s="529" t="n"/>
      <c r="G466" s="530" t="inlineStr">
        <is>
          <t>12_100335331+0</t>
        </is>
      </c>
      <c r="H466" s="530" t="n"/>
      <c r="I466" s="446" t="inlineStr">
        <is>
          <t>тыс. т</t>
        </is>
      </c>
    </row>
    <row r="467" ht="20.1" customHeight="1" s="769">
      <c r="C467" s="424" t="inlineStr">
        <is>
          <t>Газпром добыча шельф Южно-Сахалинск</t>
        </is>
      </c>
      <c r="D467" s="528" t="n"/>
      <c r="E467" s="528" t="n"/>
      <c r="F467" s="529" t="n"/>
      <c r="G467" s="530" t="inlineStr">
        <is>
          <t>13_100330880</t>
        </is>
      </c>
      <c r="H467" s="530" t="n"/>
      <c r="I467" s="446" t="inlineStr">
        <is>
          <t>тыс. т</t>
        </is>
      </c>
    </row>
    <row r="468" ht="20.1" customHeight="1" s="769">
      <c r="C468" s="424" t="inlineStr">
        <is>
          <t>Газпром добыча Ноябрьск</t>
        </is>
      </c>
      <c r="D468" s="528" t="n"/>
      <c r="E468" s="528" t="n"/>
      <c r="F468" s="529" t="n"/>
      <c r="G468" s="530" t="inlineStr">
        <is>
          <t>10_100335094+10_100335047+10_100330725+10_100330862+10_100336142</t>
        </is>
      </c>
      <c r="H468" s="530" t="n"/>
      <c r="I468" s="446" t="inlineStr">
        <is>
          <t>тыс. т</t>
        </is>
      </c>
    </row>
    <row r="469" ht="20.1" customHeight="1" s="769">
      <c r="C469" s="424" t="inlineStr">
        <is>
          <t>Газпром добыча Надым</t>
        </is>
      </c>
      <c r="D469" s="528" t="n"/>
      <c r="E469" s="528" t="n"/>
      <c r="F469" s="529" t="n"/>
      <c r="G469" s="530" t="inlineStr">
        <is>
          <t>11_100330100</t>
        </is>
      </c>
      <c r="H469" s="530" t="n"/>
      <c r="I469" s="446" t="inlineStr">
        <is>
          <t>тыс. т</t>
        </is>
      </c>
    </row>
    <row r="470" ht="20.1" customHeight="1" s="769">
      <c r="C470" s="424" t="inlineStr">
        <is>
          <t>Газпром СПГ Портовая</t>
        </is>
      </c>
      <c r="D470" s="528" t="n"/>
      <c r="E470" s="528" t="n"/>
      <c r="F470" s="529" t="n"/>
      <c r="G470" s="530" t="inlineStr">
        <is>
          <t>15_100335852+15_100335474</t>
        </is>
      </c>
      <c r="H470" s="530" t="n"/>
      <c r="I470" s="446" t="inlineStr">
        <is>
          <t>тыс. т</t>
        </is>
      </c>
    </row>
    <row r="471" ht="20.1" customHeight="1" s="769">
      <c r="C471" s="436" t="inlineStr">
        <is>
          <t>КСПГ Портовая</t>
        </is>
      </c>
      <c r="D471" s="528" t="n"/>
      <c r="E471" s="528" t="n"/>
      <c r="F471" s="529" t="n"/>
      <c r="G471" s="530" t="inlineStr">
        <is>
          <t>15_100335852+15_100335474</t>
        </is>
      </c>
      <c r="H471" s="530" t="n"/>
      <c r="I471" s="906" t="inlineStr">
        <is>
          <t>тыс. т</t>
        </is>
      </c>
    </row>
    <row r="472" ht="20.1" customHeight="1" s="769">
      <c r="C472" s="424" t="inlineStr">
        <is>
          <t>Газпром трансгаз Санкт-Петербург*</t>
        </is>
      </c>
      <c r="D472" s="528" t="n"/>
      <c r="E472" s="528" t="n"/>
      <c r="F472" s="529" t="n"/>
      <c r="G472" s="530" t="n">
        <v>0</v>
      </c>
      <c r="H472" s="530" t="n"/>
      <c r="I472" s="446" t="inlineStr">
        <is>
          <t>тыс. т</t>
        </is>
      </c>
    </row>
    <row r="473" ht="20.1" customHeight="1" s="769">
      <c r="C473" s="424" t="inlineStr">
        <is>
          <t>Газпром трансгаз Краснодар*</t>
        </is>
      </c>
      <c r="D473" s="528" t="n"/>
      <c r="E473" s="528" t="n"/>
      <c r="F473" s="529" t="n"/>
      <c r="G473" s="530" t="n">
        <v>0</v>
      </c>
      <c r="H473" s="530" t="n"/>
      <c r="I473" s="446" t="inlineStr">
        <is>
          <t>тыс. т</t>
        </is>
      </c>
    </row>
    <row r="474" ht="20.1" customHeight="1" s="769">
      <c r="B474" s="413" t="inlineStr">
        <is>
          <t>8.1.</t>
        </is>
      </c>
      <c r="C474" s="428" t="inlineStr">
        <is>
          <t>Газпром</t>
        </is>
      </c>
      <c r="D474" s="528" t="n"/>
      <c r="E474" s="528" t="n"/>
      <c r="F474" s="529" t="n"/>
      <c r="G474" s="530" t="inlineStr">
        <is>
          <t>2_100332266+2_100332267+2_100335669+3_100330098+4_100331927+4_100331928+4_100335100+4_100331929+1_100332014+0+12_100335331+0+13_100330880+10_100335094+10_100335047+15_100335852+15_100335474+0+0</t>
        </is>
      </c>
      <c r="H474" s="530" t="n"/>
      <c r="I474" s="446" t="inlineStr">
        <is>
          <t>тыс.т</t>
        </is>
      </c>
    </row>
    <row r="475" ht="20.1" customHeight="1" s="769">
      <c r="C475" s="424" t="inlineStr">
        <is>
          <t xml:space="preserve">   Газпром переработка</t>
        </is>
      </c>
      <c r="D475" s="528" t="n"/>
      <c r="E475" s="528" t="n"/>
      <c r="F475" s="529" t="n"/>
      <c r="G475" s="530" t="inlineStr">
        <is>
          <t>2_100332266+2_100332267+2_100335669+3_100330098+4_100331927+4_100331928+4_100335100+4_100331929+1_100332014</t>
        </is>
      </c>
      <c r="H475" s="530" t="n"/>
      <c r="I475" s="446" t="inlineStr">
        <is>
          <t>тыс.т</t>
        </is>
      </c>
    </row>
    <row r="476" ht="20.1" customHeight="1" s="769">
      <c r="C476" s="436" t="inlineStr">
        <is>
          <t>Астраханский ГПЗ</t>
        </is>
      </c>
      <c r="D476" s="528" t="n"/>
      <c r="E476" s="528" t="n"/>
      <c r="F476" s="529" t="n"/>
      <c r="G476" s="530" t="inlineStr">
        <is>
          <t>1_100332014</t>
        </is>
      </c>
      <c r="H476" s="530" t="n"/>
      <c r="I476" s="906" t="inlineStr">
        <is>
          <t>тыс.т</t>
        </is>
      </c>
    </row>
    <row r="477" ht="20.1" customHeight="1" s="769">
      <c r="C477" s="436" t="inlineStr">
        <is>
          <t>Оренбургский ГХК</t>
        </is>
      </c>
      <c r="D477" s="528" t="n"/>
      <c r="E477" s="528" t="n"/>
      <c r="F477" s="529" t="n"/>
      <c r="G477" s="530" t="inlineStr">
        <is>
          <t>2_100332266+2_100332267+2_100335669</t>
        </is>
      </c>
      <c r="H477" s="530" t="n"/>
      <c r="I477" s="906" t="inlineStr">
        <is>
          <t>тыс.т</t>
        </is>
      </c>
    </row>
    <row r="478" ht="20.1" customHeight="1" s="769">
      <c r="C478" s="430" t="inlineStr">
        <is>
          <t>Газпром добыча Оренбург</t>
        </is>
      </c>
      <c r="D478" s="528" t="n"/>
      <c r="E478" s="528" t="n"/>
      <c r="F478" s="529" t="n"/>
      <c r="G478" s="530" t="inlineStr">
        <is>
          <t>2_100332266</t>
        </is>
      </c>
      <c r="H478" s="530" t="n"/>
      <c r="I478" s="909" t="inlineStr">
        <is>
          <t>тыс.т</t>
        </is>
      </c>
    </row>
    <row r="479" ht="20.1" customHeight="1" s="769">
      <c r="C479" s="430" t="inlineStr">
        <is>
          <t>Газпром нефть</t>
        </is>
      </c>
      <c r="D479" s="528" t="n"/>
      <c r="E479" s="528" t="n"/>
      <c r="F479" s="529" t="n"/>
      <c r="G479" s="530" t="inlineStr">
        <is>
          <t>2_100332267</t>
        </is>
      </c>
      <c r="H479" s="530" t="n"/>
      <c r="I479" s="909" t="inlineStr">
        <is>
          <t>тыс.т</t>
        </is>
      </c>
    </row>
    <row r="480" ht="20.1" customHeight="1" s="769">
      <c r="C480" s="430" t="inlineStr">
        <is>
          <t>прочие поставщики (ГПНЗ, УНГП, и.т.д.)</t>
        </is>
      </c>
      <c r="D480" s="528" t="n"/>
      <c r="E480" s="528" t="n"/>
      <c r="F480" s="529" t="n"/>
      <c r="G480" s="530" t="inlineStr">
        <is>
          <t>2_100335669</t>
        </is>
      </c>
      <c r="H480" s="530" t="n"/>
      <c r="I480" s="909" t="inlineStr">
        <is>
          <t>тыс.т</t>
        </is>
      </c>
    </row>
    <row r="481" ht="20.1" customHeight="1" s="769">
      <c r="C481" s="436" t="inlineStr">
        <is>
          <t>Сосногорский ГПЗ</t>
        </is>
      </c>
      <c r="D481" s="528" t="n"/>
      <c r="E481" s="528" t="n"/>
      <c r="F481" s="529" t="n"/>
      <c r="G481" s="530" t="inlineStr">
        <is>
          <t>3_100330098</t>
        </is>
      </c>
      <c r="H481" s="530" t="n"/>
      <c r="I481" s="906" t="inlineStr">
        <is>
          <t>тыс.т</t>
        </is>
      </c>
    </row>
    <row r="482" ht="20.1" customHeight="1" s="769">
      <c r="C482" s="430" t="inlineStr">
        <is>
          <t>Газпром добыча Краснодар</t>
        </is>
      </c>
      <c r="D482" s="528" t="n"/>
      <c r="E482" s="528" t="n"/>
      <c r="F482" s="529" t="n"/>
      <c r="G482" s="530" t="inlineStr">
        <is>
          <t>3_100330098</t>
        </is>
      </c>
      <c r="H482" s="530" t="n"/>
      <c r="I482" s="909" t="inlineStr">
        <is>
          <t>тыс.т</t>
        </is>
      </c>
    </row>
    <row r="483" ht="20.1" customHeight="1" s="769">
      <c r="C483" s="436" t="inlineStr">
        <is>
          <t xml:space="preserve">              Уренгойский ЗПКТ</t>
        </is>
      </c>
      <c r="D483" s="528" t="n"/>
      <c r="E483" s="528" t="n"/>
      <c r="F483" s="529" t="n"/>
      <c r="G483" s="530" t="inlineStr">
        <is>
          <t>4_100331927+4_100331928+4_100335100</t>
        </is>
      </c>
      <c r="H483" s="530" t="n"/>
      <c r="I483" s="906" t="inlineStr">
        <is>
          <t>тыс.т</t>
        </is>
      </c>
    </row>
    <row r="484" ht="20.1" customHeight="1" s="769">
      <c r="C484" s="430" t="inlineStr">
        <is>
          <t>от переработки на УДК/УСК</t>
        </is>
      </c>
      <c r="D484" s="528" t="n"/>
      <c r="E484" s="528" t="n"/>
      <c r="F484" s="529" t="n"/>
      <c r="G484" s="530" t="inlineStr">
        <is>
          <t>4_100331927</t>
        </is>
      </c>
      <c r="H484" s="530" t="n"/>
      <c r="I484" s="909" t="inlineStr">
        <is>
          <t>тыс. т</t>
        </is>
      </c>
    </row>
    <row r="485" ht="20.1" customHeight="1" s="769">
      <c r="C485" s="430" t="inlineStr">
        <is>
          <t>от переработки на УСК-2</t>
        </is>
      </c>
      <c r="D485" s="528" t="n"/>
      <c r="E485" s="528" t="n"/>
      <c r="F485" s="529" t="n"/>
      <c r="G485" s="530" t="inlineStr">
        <is>
          <t>4_100331928</t>
        </is>
      </c>
      <c r="H485" s="530" t="n"/>
      <c r="I485" s="909" t="inlineStr">
        <is>
          <t>тыс. т</t>
        </is>
      </c>
    </row>
    <row r="486" ht="20.1" customHeight="1" s="769">
      <c r="C486" s="430" t="inlineStr">
        <is>
          <t>нефть с НПС</t>
        </is>
      </c>
      <c r="D486" s="528" t="n"/>
      <c r="E486" s="528" t="n"/>
      <c r="F486" s="529" t="n"/>
      <c r="G486" s="530" t="inlineStr">
        <is>
          <t>4_100335100</t>
        </is>
      </c>
      <c r="H486" s="530" t="n"/>
      <c r="I486" s="909" t="inlineStr">
        <is>
          <t>тыс. т</t>
        </is>
      </c>
    </row>
    <row r="487" ht="20.1" customHeight="1" s="769">
      <c r="C487" s="436" t="inlineStr">
        <is>
          <t xml:space="preserve">                Сургутский ЗСК</t>
        </is>
      </c>
      <c r="D487" s="528" t="n"/>
      <c r="E487" s="528" t="n"/>
      <c r="F487" s="529" t="n"/>
      <c r="G487" s="530" t="inlineStr">
        <is>
          <t>4_100331929</t>
        </is>
      </c>
      <c r="H487" s="530" t="n"/>
      <c r="I487" s="906" t="inlineStr">
        <is>
          <t>тыс.т</t>
        </is>
      </c>
    </row>
    <row r="488" ht="20.1" customHeight="1" s="769">
      <c r="C488" s="424" t="inlineStr">
        <is>
          <t>Газпром добыча Уренгой</t>
        </is>
      </c>
      <c r="D488" s="528" t="n"/>
      <c r="E488" s="528" t="n"/>
      <c r="F488" s="529" t="n"/>
      <c r="G488" s="530" t="n">
        <v>0</v>
      </c>
      <c r="H488" s="530" t="n"/>
      <c r="I488" s="446" t="inlineStr">
        <is>
          <t>тыс. т</t>
        </is>
      </c>
    </row>
    <row r="489" ht="20.1" customHeight="1" s="769">
      <c r="C489" s="430" t="inlineStr">
        <is>
          <t>нефть</t>
        </is>
      </c>
      <c r="D489" s="528" t="n"/>
      <c r="E489" s="528" t="n"/>
      <c r="F489" s="529" t="n"/>
      <c r="G489" s="530" t="n">
        <v>0</v>
      </c>
      <c r="H489" s="530" t="n"/>
      <c r="I489" s="909" t="inlineStr">
        <is>
          <t>тыс.т</t>
        </is>
      </c>
    </row>
    <row r="490" ht="20.1" customHeight="1" s="769">
      <c r="C490" s="424" t="inlineStr">
        <is>
          <t>Газпром добыча Иркутск</t>
        </is>
      </c>
      <c r="D490" s="528" t="n"/>
      <c r="E490" s="528" t="n"/>
      <c r="F490" s="529" t="n"/>
      <c r="G490" s="530" t="inlineStr">
        <is>
          <t>12_100335331+0</t>
        </is>
      </c>
      <c r="H490" s="530" t="n"/>
      <c r="I490" s="446" t="inlineStr">
        <is>
          <t>тыс. т</t>
        </is>
      </c>
    </row>
    <row r="491" ht="20.1" customHeight="1" s="769">
      <c r="C491" s="430" t="inlineStr">
        <is>
          <t>Ковыктинское ГКМ</t>
        </is>
      </c>
      <c r="D491" s="528" t="n"/>
      <c r="E491" s="528" t="n"/>
      <c r="F491" s="529" t="n"/>
      <c r="G491" s="530" t="inlineStr">
        <is>
          <t>12_100335331</t>
        </is>
      </c>
      <c r="H491" s="530" t="n"/>
      <c r="I491" s="909" t="inlineStr">
        <is>
          <t>тыс.т</t>
        </is>
      </c>
    </row>
    <row r="492" ht="20.1" customHeight="1" s="769">
      <c r="C492" s="430" t="inlineStr">
        <is>
          <t>Чиканское ГКМ</t>
        </is>
      </c>
      <c r="D492" s="528" t="n"/>
      <c r="E492" s="528" t="n"/>
      <c r="F492" s="529" t="n"/>
      <c r="G492" s="530" t="n">
        <v>0</v>
      </c>
      <c r="H492" s="530" t="n"/>
      <c r="I492" s="909" t="inlineStr">
        <is>
          <t>тыс.т</t>
        </is>
      </c>
    </row>
    <row r="493" ht="20.1" customHeight="1" s="769">
      <c r="C493" s="424" t="inlineStr">
        <is>
          <t>Газпром добыча шельф Южно-Сахалинск</t>
        </is>
      </c>
      <c r="D493" s="528" t="n"/>
      <c r="E493" s="528" t="n"/>
      <c r="F493" s="529" t="n"/>
      <c r="G493" s="530" t="inlineStr">
        <is>
          <t>13_100330880</t>
        </is>
      </c>
      <c r="H493" s="530" t="n"/>
      <c r="I493" s="446" t="inlineStr">
        <is>
          <t>тыс. т</t>
        </is>
      </c>
    </row>
    <row r="494" ht="20.1" customHeight="1" s="769">
      <c r="C494" s="430" t="inlineStr">
        <is>
          <t>конденсат (Киринское ГКМ)</t>
        </is>
      </c>
      <c r="D494" s="528" t="n"/>
      <c r="E494" s="528" t="n"/>
      <c r="F494" s="529" t="n"/>
      <c r="G494" s="530" t="inlineStr">
        <is>
          <t>13_100330880</t>
        </is>
      </c>
      <c r="H494" s="530" t="n"/>
      <c r="I494" s="909" t="inlineStr">
        <is>
          <t>тыс.т</t>
        </is>
      </c>
    </row>
    <row r="495" ht="20.1" customHeight="1" s="769">
      <c r="C495" s="424" t="inlineStr">
        <is>
          <t>Газпром добыча Ноябрьск</t>
        </is>
      </c>
      <c r="D495" s="528" t="n"/>
      <c r="E495" s="528" t="n"/>
      <c r="F495" s="529" t="n"/>
      <c r="G495" s="530" t="inlineStr">
        <is>
          <t>10_100335094+10_100335047</t>
        </is>
      </c>
      <c r="H495" s="530" t="n"/>
      <c r="I495" s="446" t="inlineStr">
        <is>
          <t>тыс. т</t>
        </is>
      </c>
    </row>
    <row r="496" ht="20.1" customHeight="1" s="769">
      <c r="C496" s="430" t="inlineStr">
        <is>
          <t>конденсат (Чаяндинское НГКМ)</t>
        </is>
      </c>
      <c r="D496" s="528" t="n"/>
      <c r="E496" s="528" t="n"/>
      <c r="F496" s="529" t="n"/>
      <c r="G496" s="530" t="inlineStr">
        <is>
          <t>10_100335094</t>
        </is>
      </c>
      <c r="H496" s="530" t="n"/>
      <c r="I496" s="909" t="inlineStr">
        <is>
          <t>тыс.т</t>
        </is>
      </c>
    </row>
    <row r="497" ht="20.1" customHeight="1" s="769">
      <c r="C497" s="430" t="inlineStr">
        <is>
          <t>нефть (Чаяндинское НГКМ)</t>
        </is>
      </c>
      <c r="D497" s="528" t="n"/>
      <c r="E497" s="528" t="n"/>
      <c r="F497" s="529" t="n"/>
      <c r="G497" s="530" t="inlineStr">
        <is>
          <t>10_100335047</t>
        </is>
      </c>
      <c r="H497" s="530" t="n"/>
      <c r="I497" s="909" t="inlineStr">
        <is>
          <t>тыс.т</t>
        </is>
      </c>
    </row>
    <row r="498" ht="20.1" customHeight="1" s="769">
      <c r="C498" s="430" t="inlineStr">
        <is>
          <t>в т.ч. собственные нужды</t>
        </is>
      </c>
      <c r="D498" s="528" t="n"/>
      <c r="E498" s="528" t="n"/>
      <c r="F498" s="529" t="n"/>
      <c r="G498" s="530" t="inlineStr">
        <is>
          <t>10_100335048</t>
        </is>
      </c>
      <c r="H498" s="530" t="n"/>
      <c r="I498" s="909" t="inlineStr">
        <is>
          <t>тыс.т</t>
        </is>
      </c>
    </row>
    <row r="499" ht="20.1" customHeight="1" s="769">
      <c r="C499" s="424" t="inlineStr">
        <is>
          <t>Газпром СПГ Портовая</t>
        </is>
      </c>
      <c r="D499" s="528" t="n"/>
      <c r="E499" s="528" t="n"/>
      <c r="F499" s="529" t="n"/>
      <c r="G499" s="530" t="inlineStr">
        <is>
          <t>15_100335852+15_100335474</t>
        </is>
      </c>
      <c r="H499" s="530" t="n"/>
      <c r="I499" s="446" t="inlineStr">
        <is>
          <t>тыс. т</t>
        </is>
      </c>
    </row>
    <row r="500" ht="20.1" customHeight="1" s="769">
      <c r="C500" s="436" t="inlineStr">
        <is>
          <t>КСПГ Портовая</t>
        </is>
      </c>
      <c r="D500" s="528" t="n"/>
      <c r="E500" s="528" t="n"/>
      <c r="F500" s="529" t="n"/>
      <c r="G500" s="530" t="inlineStr">
        <is>
          <t>15_100335852+15_100335474</t>
        </is>
      </c>
      <c r="H500" s="530" t="n"/>
      <c r="I500" s="906" t="inlineStr">
        <is>
          <t>тыс. т</t>
        </is>
      </c>
    </row>
    <row r="501" ht="20.1" customHeight="1" s="769">
      <c r="C501" s="424" t="inlineStr">
        <is>
          <t>Газпром трансгаз Санкт-Петербург*</t>
        </is>
      </c>
      <c r="D501" s="528" t="n"/>
      <c r="E501" s="528" t="n"/>
      <c r="F501" s="529" t="n"/>
      <c r="G501" s="530" t="n">
        <v>0</v>
      </c>
      <c r="H501" s="530" t="n"/>
      <c r="I501" s="446" t="inlineStr">
        <is>
          <t>тыс.т</t>
        </is>
      </c>
    </row>
    <row r="502" ht="20.1" customHeight="1" s="769">
      <c r="C502" s="424" t="inlineStr">
        <is>
          <t>Газпром трансгаз Краснодар*</t>
        </is>
      </c>
      <c r="D502" s="528" t="n"/>
      <c r="E502" s="528" t="n"/>
      <c r="F502" s="529" t="n"/>
      <c r="G502" s="530" t="n">
        <v>0</v>
      </c>
      <c r="H502" s="530" t="n"/>
      <c r="I502" s="446" t="inlineStr">
        <is>
          <t>тыс. т</t>
        </is>
      </c>
    </row>
    <row r="503" ht="20.1" customHeight="1" s="769">
      <c r="B503" s="413" t="inlineStr">
        <is>
          <t>8.2.</t>
        </is>
      </c>
      <c r="C503" s="428" t="inlineStr">
        <is>
          <t>Дочерние общества</t>
        </is>
      </c>
      <c r="D503" s="528" t="n"/>
      <c r="E503" s="528" t="n"/>
      <c r="F503" s="529" t="n"/>
      <c r="G503" s="530" t="inlineStr">
        <is>
          <t>2_100332269+2_100332271+2_100332959+9_100330684+9_100330879+7_100330626+7_100330593+7_100330591+2_100332273+8_100333681+8_100335156+8_100335917+8_100335916+8_100335911+10_100330725+10_100330862+10_100336142+11_100330100+3_100330582</t>
        </is>
      </c>
      <c r="H503" s="530" t="n"/>
      <c r="I503" s="446" t="inlineStr">
        <is>
          <t>тыс.т</t>
        </is>
      </c>
    </row>
    <row r="504" outlineLevel="1" ht="20.1" customHeight="1" s="769">
      <c r="C504" s="417" t="inlineStr">
        <is>
          <t>Газпром добыча Астрахань</t>
        </is>
      </c>
      <c r="D504" s="528" t="n"/>
      <c r="E504" s="528" t="n"/>
      <c r="F504" s="529" t="n"/>
      <c r="G504" s="530" t="n"/>
      <c r="H504" s="530" t="n"/>
      <c r="I504" s="446" t="inlineStr">
        <is>
          <t>тыс.т</t>
        </is>
      </c>
    </row>
    <row r="505" outlineLevel="1" ht="20.1" customHeight="1" s="769">
      <c r="C505" s="419" t="inlineStr">
        <is>
          <t>Астраханский ГПЗ</t>
        </is>
      </c>
      <c r="D505" s="528" t="n"/>
      <c r="E505" s="528" t="n"/>
      <c r="F505" s="529" t="n"/>
      <c r="G505" s="530" t="n"/>
      <c r="H505" s="530" t="n"/>
      <c r="I505" s="906" t="inlineStr">
        <is>
          <t>тыс.т</t>
        </is>
      </c>
    </row>
    <row r="506" ht="20.1" customHeight="1" s="769">
      <c r="C506" s="424" t="inlineStr">
        <is>
          <t xml:space="preserve">   Газпром переработка</t>
        </is>
      </c>
      <c r="D506" s="528" t="n"/>
      <c r="E506" s="528" t="n"/>
      <c r="F506" s="529" t="n"/>
      <c r="G506" s="530" t="inlineStr">
        <is>
          <t>2_100332269+2_100332271+2_100332959</t>
        </is>
      </c>
      <c r="H506" s="530" t="n"/>
      <c r="I506" s="446" t="inlineStr">
        <is>
          <t>тыс.т</t>
        </is>
      </c>
    </row>
    <row r="507" ht="20.1" customHeight="1" s="769">
      <c r="C507" s="436" t="inlineStr">
        <is>
          <t xml:space="preserve"> Оренбургский ГХК</t>
        </is>
      </c>
      <c r="D507" s="528" t="n"/>
      <c r="E507" s="528" t="n"/>
      <c r="F507" s="529" t="n"/>
      <c r="G507" s="530" t="inlineStr">
        <is>
          <t>2_100332269+2_100332271+2_100332959</t>
        </is>
      </c>
      <c r="H507" s="530" t="n"/>
      <c r="I507" s="906" t="inlineStr">
        <is>
          <t>тыс.т</t>
        </is>
      </c>
    </row>
    <row r="508" ht="20.1" customHeight="1" s="769">
      <c r="C508" s="430" t="inlineStr">
        <is>
          <t>Газпром добыча Оренбург</t>
        </is>
      </c>
      <c r="D508" s="528" t="n"/>
      <c r="E508" s="528" t="n"/>
      <c r="F508" s="529" t="n"/>
      <c r="G508" s="530" t="inlineStr">
        <is>
          <t>2_100332269</t>
        </is>
      </c>
      <c r="H508" s="530" t="n"/>
      <c r="I508" s="909" t="inlineStr">
        <is>
          <t>тыс.т</t>
        </is>
      </c>
    </row>
    <row r="509" ht="20.1" customHeight="1" s="769">
      <c r="C509" s="430" t="inlineStr">
        <is>
          <t xml:space="preserve"> в т.ч. собственная потребность ГПП</t>
        </is>
      </c>
      <c r="D509" s="528" t="n"/>
      <c r="E509" s="528" t="n"/>
      <c r="F509" s="529" t="n"/>
      <c r="G509" s="530" t="n">
        <v>0</v>
      </c>
      <c r="H509" s="530" t="n"/>
      <c r="I509" s="909" t="inlineStr">
        <is>
          <t>тыс.т</t>
        </is>
      </c>
    </row>
    <row r="510" ht="20.1" customHeight="1" s="769">
      <c r="C510" s="430" t="inlineStr">
        <is>
          <t xml:space="preserve"> собственная потребность ГДО</t>
        </is>
      </c>
      <c r="D510" s="528" t="n"/>
      <c r="E510" s="528" t="n"/>
      <c r="F510" s="529" t="n"/>
      <c r="G510" s="530" t="inlineStr">
        <is>
          <t>2_100332270</t>
        </is>
      </c>
      <c r="H510" s="530" t="n"/>
      <c r="I510" s="909" t="inlineStr">
        <is>
          <t>тыс.т</t>
        </is>
      </c>
    </row>
    <row r="511" ht="20.1" customHeight="1" s="769">
      <c r="C511" s="430" t="inlineStr">
        <is>
          <t>Газпром нефть</t>
        </is>
      </c>
      <c r="D511" s="528" t="n"/>
      <c r="E511" s="528" t="n"/>
      <c r="F511" s="529" t="n"/>
      <c r="G511" s="530" t="inlineStr">
        <is>
          <t>2_100332271</t>
        </is>
      </c>
      <c r="H511" s="530" t="n"/>
      <c r="I511" s="909" t="inlineStr">
        <is>
          <t>тыс.т</t>
        </is>
      </c>
    </row>
    <row r="512" ht="20.1" customHeight="1" s="769">
      <c r="C512" s="430" t="inlineStr">
        <is>
          <t>прочие поставщики (ГПНЗ, УНГП, и.т.д.)</t>
        </is>
      </c>
      <c r="D512" s="528" t="n"/>
      <c r="E512" s="528" t="n"/>
      <c r="F512" s="529" t="n"/>
      <c r="G512" s="530" t="inlineStr">
        <is>
          <t>2_100332959</t>
        </is>
      </c>
      <c r="H512" s="530" t="n"/>
      <c r="I512" s="909" t="inlineStr">
        <is>
          <t>тыс.т</t>
        </is>
      </c>
    </row>
    <row r="513" ht="20.1" customHeight="1" s="769">
      <c r="C513" s="424" t="inlineStr">
        <is>
          <t>Газпром добыча Уренгой</t>
        </is>
      </c>
      <c r="D513" s="528" t="n"/>
      <c r="E513" s="528" t="n"/>
      <c r="F513" s="529" t="n"/>
      <c r="G513" s="530" t="inlineStr">
        <is>
          <t>8_100333681+8_100335156+8_100335917+8_100335916+8_100335911</t>
        </is>
      </c>
      <c r="H513" s="530" t="n"/>
      <c r="I513" s="446" t="inlineStr">
        <is>
          <t>тыс. т</t>
        </is>
      </c>
    </row>
    <row r="514" ht="20.1" customHeight="1" s="769">
      <c r="C514" s="905" t="inlineStr">
        <is>
          <t xml:space="preserve">               нефть (Уренгойское НГКМ)</t>
        </is>
      </c>
      <c r="D514" s="528" t="n"/>
      <c r="E514" s="528" t="n"/>
      <c r="F514" s="529" t="n"/>
      <c r="G514" s="530" t="inlineStr">
        <is>
          <t>8_100333681+8_100335156</t>
        </is>
      </c>
      <c r="H514" s="530" t="n"/>
      <c r="I514" s="906" t="inlineStr">
        <is>
          <t>тыс.т</t>
        </is>
      </c>
    </row>
    <row r="515" ht="20.1" customHeight="1" s="769">
      <c r="C515" s="463" t="inlineStr">
        <is>
          <t xml:space="preserve">стаб. газ. конденсат, нефть ДРОД </t>
        </is>
      </c>
      <c r="D515" s="528" t="n"/>
      <c r="E515" s="528" t="n"/>
      <c r="F515" s="529" t="n"/>
      <c r="G515" s="530" t="inlineStr">
        <is>
          <t>8_100335917+8_100335916+8_100335911</t>
        </is>
      </c>
      <c r="H515" s="530" t="n"/>
      <c r="I515" s="909" t="inlineStr">
        <is>
          <t>тыс.т</t>
        </is>
      </c>
    </row>
    <row r="516" ht="20.1" customHeight="1" s="769">
      <c r="C516" s="424" t="inlineStr">
        <is>
          <t>Газпром добыча Краснодар</t>
        </is>
      </c>
      <c r="D516" s="528" t="n"/>
      <c r="E516" s="528" t="n"/>
      <c r="F516" s="529" t="n"/>
      <c r="G516" s="530" t="inlineStr">
        <is>
          <t>9_100330684+9_100330879</t>
        </is>
      </c>
      <c r="H516" s="530" t="n"/>
      <c r="I516" s="446" t="inlineStr">
        <is>
          <t>тыс.т</t>
        </is>
      </c>
    </row>
    <row r="517" ht="20.1" customHeight="1" s="769">
      <c r="C517" s="430" t="inlineStr">
        <is>
          <t xml:space="preserve">     в т. ч. НГКС</t>
        </is>
      </c>
      <c r="D517" s="528" t="n"/>
      <c r="E517" s="528" t="n"/>
      <c r="F517" s="529" t="n"/>
      <c r="G517" s="530" t="inlineStr">
        <is>
          <t>9_100330684</t>
        </is>
      </c>
      <c r="H517" s="530" t="n"/>
      <c r="I517" s="909" t="inlineStr">
        <is>
          <t>тыс.т</t>
        </is>
      </c>
    </row>
    <row r="518" ht="20.1" customHeight="1" s="769">
      <c r="C518" s="430" t="inlineStr">
        <is>
          <t>стаб. газовый конденсат</t>
        </is>
      </c>
      <c r="D518" s="528" t="n"/>
      <c r="E518" s="528" t="n"/>
      <c r="F518" s="529" t="n"/>
      <c r="G518" s="530" t="inlineStr">
        <is>
          <t>9_100330879</t>
        </is>
      </c>
      <c r="H518" s="530" t="n"/>
      <c r="I518" s="909" t="inlineStr">
        <is>
          <t>тыс.т</t>
        </is>
      </c>
    </row>
    <row r="519" ht="20.1" customHeight="1" s="769">
      <c r="C519" s="424" t="inlineStr">
        <is>
          <t xml:space="preserve">   Газпром добыча Ямбург</t>
        </is>
      </c>
      <c r="D519" s="528" t="n"/>
      <c r="E519" s="528" t="n"/>
      <c r="F519" s="529" t="n"/>
      <c r="G519" s="530" t="inlineStr">
        <is>
          <t>7_100330626+7_100330593+7_100330591</t>
        </is>
      </c>
      <c r="H519" s="530" t="n"/>
      <c r="I519" s="446" t="inlineStr">
        <is>
          <t>тыс.т</t>
        </is>
      </c>
    </row>
    <row r="520" ht="20.1" customHeight="1" s="769">
      <c r="C520" s="431" t="inlineStr">
        <is>
          <t>стаб. газовый конденсат (Заполярное НГКМ, Ямбургское НГКМ)</t>
        </is>
      </c>
      <c r="D520" s="528" t="n"/>
      <c r="E520" s="528" t="n"/>
      <c r="F520" s="529" t="n"/>
      <c r="G520" s="530" t="inlineStr">
        <is>
          <t>7_100330626</t>
        </is>
      </c>
      <c r="H520" s="530" t="n"/>
      <c r="I520" s="909" t="inlineStr">
        <is>
          <t>тыс.т</t>
        </is>
      </c>
    </row>
    <row r="521" ht="20.1" customHeight="1" s="769">
      <c r="C521" s="430" t="inlineStr">
        <is>
          <t>нефть (Заполярное НГКМ, Ямбургское НГКМ)</t>
        </is>
      </c>
      <c r="D521" s="528" t="n"/>
      <c r="E521" s="528" t="n"/>
      <c r="F521" s="529" t="n"/>
      <c r="G521" s="530" t="inlineStr">
        <is>
          <t>7_100330593+7_100330591</t>
        </is>
      </c>
      <c r="H521" s="530" t="n"/>
      <c r="I521" s="909" t="inlineStr">
        <is>
          <t>тыс.т</t>
        </is>
      </c>
    </row>
    <row r="522" ht="20.1" customHeight="1" s="769">
      <c r="C522" s="424" t="inlineStr">
        <is>
          <t>Сервиснефтегаз</t>
        </is>
      </c>
      <c r="D522" s="528" t="n"/>
      <c r="E522" s="528" t="n"/>
      <c r="F522" s="529" t="n"/>
      <c r="G522" s="530" t="inlineStr">
        <is>
          <t>2_100332273</t>
        </is>
      </c>
      <c r="H522" s="530" t="n"/>
      <c r="I522" s="446" t="inlineStr">
        <is>
          <t>тыс.т</t>
        </is>
      </c>
    </row>
    <row r="523" ht="20.1" customHeight="1" s="769">
      <c r="C523" s="436" t="inlineStr">
        <is>
          <t>Оренбургский ГХК</t>
        </is>
      </c>
      <c r="D523" s="528" t="n"/>
      <c r="E523" s="528" t="n"/>
      <c r="F523" s="529" t="n"/>
      <c r="G523" s="530" t="inlineStr">
        <is>
          <t>2_100332273</t>
        </is>
      </c>
      <c r="H523" s="530" t="n"/>
      <c r="I523" s="906" t="inlineStr">
        <is>
          <t>тыс.т</t>
        </is>
      </c>
    </row>
    <row r="524" ht="20.1" customHeight="1" s="769">
      <c r="C524" s="424" t="inlineStr">
        <is>
          <t>Газпром добыча Ноябрьск</t>
        </is>
      </c>
      <c r="D524" s="528" t="n"/>
      <c r="E524" s="528" t="n"/>
      <c r="F524" s="529" t="n"/>
      <c r="G524" s="530" t="inlineStr">
        <is>
          <t>10_100330725+10_100330862+10_100336142</t>
        </is>
      </c>
      <c r="H524" s="530" t="n"/>
      <c r="I524" s="446" t="inlineStr">
        <is>
          <t>тыс. т</t>
        </is>
      </c>
    </row>
    <row r="525" ht="20.1" customHeight="1" s="769">
      <c r="C525" s="432" t="inlineStr">
        <is>
          <t>конденсат (Камчат. ГПУ - Кшукское ГКМ, Нижне-Квакчикское ГКМ)</t>
        </is>
      </c>
      <c r="D525" s="528" t="n"/>
      <c r="E525" s="528" t="n"/>
      <c r="F525" s="529" t="n"/>
      <c r="G525" s="530" t="inlineStr">
        <is>
          <t>10_100330725</t>
        </is>
      </c>
      <c r="H525" s="530" t="n"/>
      <c r="I525" s="909" t="inlineStr">
        <is>
          <t>тыс.т</t>
        </is>
      </c>
    </row>
    <row r="526" ht="20.1" customHeight="1" s="769">
      <c r="C526" s="430" t="inlineStr">
        <is>
          <t>нефть (Западно-Таркосалинское НГКМ)</t>
        </is>
      </c>
      <c r="D526" s="528" t="n"/>
      <c r="E526" s="528" t="n"/>
      <c r="F526" s="529" t="n"/>
      <c r="G526" s="530" t="inlineStr">
        <is>
          <t>10_100330862</t>
        </is>
      </c>
      <c r="H526" s="530" t="n"/>
      <c r="I526" s="909" t="inlineStr">
        <is>
          <t>тыс.т</t>
        </is>
      </c>
    </row>
    <row r="527" ht="20.1" customHeight="1" s="769">
      <c r="C527" s="430" t="inlineStr">
        <is>
          <t>НГКС (Тас-Юряхское НГКМ)</t>
        </is>
      </c>
      <c r="D527" s="528" t="n"/>
      <c r="E527" s="528" t="n"/>
      <c r="F527" s="529" t="n"/>
      <c r="G527" s="530" t="inlineStr">
        <is>
          <t>10_100336142</t>
        </is>
      </c>
      <c r="H527" s="530" t="n"/>
      <c r="I527" s="909" t="inlineStr">
        <is>
          <t>тыс.т</t>
        </is>
      </c>
    </row>
    <row r="528" ht="20.1" customHeight="1" s="769">
      <c r="C528" s="424" t="inlineStr">
        <is>
          <t>Газпром добыча Надым</t>
        </is>
      </c>
      <c r="D528" s="528" t="n"/>
      <c r="E528" s="528" t="n"/>
      <c r="F528" s="529" t="n"/>
      <c r="G528" s="530" t="inlineStr">
        <is>
          <t>11_100330100</t>
        </is>
      </c>
      <c r="H528" s="530" t="n"/>
      <c r="I528" s="446" t="inlineStr">
        <is>
          <t>тыс. т</t>
        </is>
      </c>
    </row>
    <row r="529" ht="20.1" customHeight="1" s="769">
      <c r="C529" s="429" t="inlineStr">
        <is>
          <t>в т.ч. Медвежье НКГМ</t>
        </is>
      </c>
      <c r="D529" s="528" t="n"/>
      <c r="E529" s="528" t="n"/>
      <c r="F529" s="529" t="n"/>
      <c r="G529" s="530" t="inlineStr">
        <is>
          <t>11_100330702</t>
        </is>
      </c>
      <c r="H529" s="530" t="n"/>
      <c r="I529" s="909" t="inlineStr">
        <is>
          <t>тыс.т</t>
        </is>
      </c>
    </row>
    <row r="530" ht="20.1" customHeight="1" s="769">
      <c r="C530" s="429" t="inlineStr">
        <is>
          <t>в т.ч. Юбилейное НГКМ</t>
        </is>
      </c>
      <c r="D530" s="528" t="n"/>
      <c r="E530" s="528" t="n"/>
      <c r="F530" s="529" t="n"/>
      <c r="G530" s="530" t="inlineStr">
        <is>
          <t>11_100330703</t>
        </is>
      </c>
      <c r="H530" s="530" t="n"/>
      <c r="I530" s="909" t="inlineStr">
        <is>
          <t>тыс.т</t>
        </is>
      </c>
    </row>
    <row r="531" ht="20.1" customHeight="1" s="769">
      <c r="C531" s="429" t="inlineStr">
        <is>
          <t>в т.ч. Бованенковское НГКМ</t>
        </is>
      </c>
      <c r="D531" s="528" t="n"/>
      <c r="E531" s="528" t="n"/>
      <c r="F531" s="529" t="n"/>
      <c r="G531" s="530" t="inlineStr">
        <is>
          <t>11_100330704</t>
        </is>
      </c>
      <c r="H531" s="530" t="n"/>
      <c r="I531" s="909" t="inlineStr">
        <is>
          <t>тыс.т</t>
        </is>
      </c>
    </row>
    <row r="532" ht="20.1" customHeight="1" s="769">
      <c r="C532" s="429" t="inlineStr">
        <is>
          <t>в т.ч. Харасавейское ГКМ</t>
        </is>
      </c>
      <c r="D532" s="528" t="n"/>
      <c r="E532" s="528" t="n"/>
      <c r="F532" s="529" t="n"/>
      <c r="G532" s="530" t="inlineStr">
        <is>
          <t>11_100333688</t>
        </is>
      </c>
      <c r="H532" s="530" t="n"/>
      <c r="I532" s="909" t="inlineStr">
        <is>
          <t>тыс.т</t>
        </is>
      </c>
    </row>
    <row r="533" ht="20.1" customHeight="1" s="769">
      <c r="C533" s="424" t="inlineStr">
        <is>
          <t>Газпром ГНП холдинг</t>
        </is>
      </c>
      <c r="D533" s="528" t="n"/>
      <c r="E533" s="528" t="n"/>
      <c r="F533" s="529" t="n"/>
      <c r="G533" s="530" t="inlineStr">
        <is>
          <t>3_100330582</t>
        </is>
      </c>
      <c r="H533" s="530" t="n"/>
      <c r="I533" s="446" t="inlineStr">
        <is>
          <t>тыс.т</t>
        </is>
      </c>
    </row>
    <row r="534" ht="20.1" customHeight="1" s="769">
      <c r="C534" s="436" t="inlineStr">
        <is>
          <t>Сосногорский ГПЗ</t>
        </is>
      </c>
      <c r="D534" s="528" t="n"/>
      <c r="E534" s="528" t="n"/>
      <c r="F534" s="529" t="n"/>
      <c r="G534" s="530" t="inlineStr">
        <is>
          <t>3_100330582</t>
        </is>
      </c>
      <c r="H534" s="530" t="n"/>
      <c r="I534" s="906" t="inlineStr">
        <is>
          <t>тыс.т</t>
        </is>
      </c>
    </row>
    <row r="535" ht="20.1" customHeight="1" s="769">
      <c r="C535" s="430" t="inlineStr">
        <is>
          <t>ЛУКОЙЛ-Коми</t>
        </is>
      </c>
      <c r="D535" s="528" t="n"/>
      <c r="E535" s="528" t="n"/>
      <c r="F535" s="529" t="n"/>
      <c r="G535" s="530" t="inlineStr">
        <is>
          <t>3_100330582</t>
        </is>
      </c>
      <c r="H535" s="530" t="n"/>
      <c r="I535" s="909" t="inlineStr">
        <is>
          <t>тыс.т</t>
        </is>
      </c>
    </row>
    <row r="536" ht="20.1" customHeight="1" s="769">
      <c r="B536" s="747" t="inlineStr">
        <is>
          <t>9.</t>
        </is>
      </c>
      <c r="C536" s="416" t="inlineStr">
        <is>
          <t>Стабильный газовый конденсат и нефть товарные-всего</t>
        </is>
      </c>
      <c r="D536" s="528" t="n"/>
      <c r="E536" s="528" t="n"/>
      <c r="F536" s="529" t="n"/>
      <c r="G536" s="530" t="n"/>
      <c r="H536" s="530" t="n"/>
      <c r="I536" s="446" t="n"/>
    </row>
    <row r="537" ht="20.1" customHeight="1" s="769">
      <c r="C537" s="424" t="inlineStr">
        <is>
          <t xml:space="preserve">   Газпром переработка</t>
        </is>
      </c>
      <c r="D537" s="528" t="n"/>
      <c r="E537" s="528" t="n"/>
      <c r="F537" s="529" t="n"/>
      <c r="G537" s="530" t="inlineStr">
        <is>
          <t>1_100332012+0+2_100332255+2_100332271+2_100332267+2_100332959+2_100335669+2_100332273+3_100330098+3_100330582+4_100331921+4_100331924+4_100331922+4_100331925</t>
        </is>
      </c>
      <c r="H537" s="530" t="n"/>
      <c r="I537" s="446" t="inlineStr">
        <is>
          <t>тыс.т</t>
        </is>
      </c>
    </row>
    <row r="538" ht="20.1" customHeight="1" s="769">
      <c r="C538" s="436" t="inlineStr">
        <is>
          <t>Астраханский ГПЗ</t>
        </is>
      </c>
      <c r="D538" s="528" t="n"/>
      <c r="E538" s="528" t="n"/>
      <c r="F538" s="529" t="n"/>
      <c r="G538" s="530" t="inlineStr">
        <is>
          <t>1_100332012+0</t>
        </is>
      </c>
      <c r="H538" s="530" t="n"/>
      <c r="I538" s="906" t="inlineStr">
        <is>
          <t>тыс.т</t>
        </is>
      </c>
    </row>
    <row r="539" ht="20.1" customHeight="1" s="769">
      <c r="C539" s="436" t="inlineStr">
        <is>
          <t>Оренбургский ГХК</t>
        </is>
      </c>
      <c r="D539" s="528" t="n"/>
      <c r="E539" s="528" t="n"/>
      <c r="F539" s="529" t="n"/>
      <c r="G539" s="530" t="inlineStr">
        <is>
          <t>2_100332255+2_100332271+2_100332267+2_100332959+2_100335669+2_100332273</t>
        </is>
      </c>
      <c r="H539" s="530" t="n"/>
      <c r="I539" s="906" t="inlineStr">
        <is>
          <t>тыс.т</t>
        </is>
      </c>
    </row>
    <row r="540" ht="20.1" customHeight="1" s="769">
      <c r="C540" s="436" t="inlineStr">
        <is>
          <t>Сосногорский ГПЗ</t>
        </is>
      </c>
      <c r="D540" s="528" t="n"/>
      <c r="E540" s="528" t="n"/>
      <c r="F540" s="529" t="n"/>
      <c r="G540" s="530" t="inlineStr">
        <is>
          <t>3_100330098+3_100330582</t>
        </is>
      </c>
      <c r="H540" s="530" t="n"/>
      <c r="I540" s="906" t="inlineStr">
        <is>
          <t>тыс.т</t>
        </is>
      </c>
    </row>
    <row r="541" ht="20.1" customHeight="1" s="769">
      <c r="C541" s="436" t="inlineStr">
        <is>
          <t xml:space="preserve">              Уренгойский ЗПКТ</t>
        </is>
      </c>
      <c r="D541" s="528" t="n"/>
      <c r="E541" s="528" t="n"/>
      <c r="F541" s="529" t="n"/>
      <c r="G541" s="530" t="inlineStr">
        <is>
          <t>4_100331921+4_100331924</t>
        </is>
      </c>
      <c r="H541" s="530" t="n"/>
      <c r="I541" s="906" t="inlineStr">
        <is>
          <t>тыс.т</t>
        </is>
      </c>
    </row>
    <row r="542" ht="20.1" customHeight="1" s="769">
      <c r="C542" s="436" t="inlineStr">
        <is>
          <t xml:space="preserve">                Сургутский ЗСК</t>
        </is>
      </c>
      <c r="D542" s="528" t="n"/>
      <c r="E542" s="528" t="n"/>
      <c r="F542" s="529" t="n"/>
      <c r="G542" s="530" t="inlineStr">
        <is>
          <t>4_100331922+4_100331925</t>
        </is>
      </c>
      <c r="H542" s="530" t="n"/>
      <c r="I542" s="906" t="inlineStr">
        <is>
          <t>тыс.т</t>
        </is>
      </c>
    </row>
    <row r="543" ht="20.1" customHeight="1" s="769">
      <c r="C543" s="424" t="inlineStr">
        <is>
          <t>Газпром добыча Уренгой</t>
        </is>
      </c>
      <c r="D543" s="528" t="n"/>
      <c r="E543" s="528" t="n"/>
      <c r="F543" s="529" t="n"/>
      <c r="G543" s="530" t="inlineStr">
        <is>
          <t>0+8_100335917+8_100335916+8_100335911+8_100333681</t>
        </is>
      </c>
      <c r="H543" s="530" t="n"/>
      <c r="I543" s="446" t="inlineStr">
        <is>
          <t>тыс. т</t>
        </is>
      </c>
    </row>
    <row r="544" ht="20.1" customHeight="1" s="769">
      <c r="C544" s="424" t="inlineStr">
        <is>
          <t>Газпром добыча Краснодар</t>
        </is>
      </c>
      <c r="D544" s="528" t="n"/>
      <c r="E544" s="528" t="n"/>
      <c r="F544" s="529" t="n"/>
      <c r="G544" s="530" t="inlineStr">
        <is>
          <t>9_100330683+9_100335068</t>
        </is>
      </c>
      <c r="H544" s="530" t="n"/>
      <c r="I544" s="446" t="inlineStr">
        <is>
          <t>тыс.т</t>
        </is>
      </c>
    </row>
    <row r="545" ht="20.1" customHeight="1" s="769">
      <c r="C545" s="430" t="inlineStr">
        <is>
          <t xml:space="preserve">     в т. ч. НГКС</t>
        </is>
      </c>
      <c r="D545" s="528" t="n"/>
      <c r="E545" s="528" t="n"/>
      <c r="F545" s="529" t="n"/>
      <c r="G545" s="530" t="inlineStr">
        <is>
          <t>9_100330683</t>
        </is>
      </c>
      <c r="H545" s="530" t="n"/>
      <c r="I545" s="909" t="inlineStr">
        <is>
          <t>тыс.т</t>
        </is>
      </c>
    </row>
    <row r="546" ht="20.1" customHeight="1" s="769">
      <c r="C546" s="430" t="inlineStr">
        <is>
          <t>стаб. газовый конденсат</t>
        </is>
      </c>
      <c r="D546" s="528" t="n"/>
      <c r="E546" s="528" t="n"/>
      <c r="F546" s="529" t="n"/>
      <c r="G546" s="530" t="inlineStr">
        <is>
          <t>9_100335068</t>
        </is>
      </c>
      <c r="H546" s="530" t="n"/>
      <c r="I546" s="909" t="inlineStr">
        <is>
          <t>тыс.т</t>
        </is>
      </c>
    </row>
    <row r="547" ht="20.1" customHeight="1" s="769">
      <c r="C547" s="424" t="inlineStr">
        <is>
          <t xml:space="preserve">   Газпром добыча Ямбург</t>
        </is>
      </c>
      <c r="D547" s="528" t="n"/>
      <c r="E547" s="528" t="n"/>
      <c r="F547" s="529" t="n"/>
      <c r="G547" s="530" t="inlineStr">
        <is>
          <t>7_100330590+7_100330592+7_100330601+7_100330593+7_100330591</t>
        </is>
      </c>
      <c r="H547" s="530" t="n"/>
      <c r="I547" s="446" t="inlineStr">
        <is>
          <t>тыс.т</t>
        </is>
      </c>
    </row>
    <row r="548" ht="20.1" customHeight="1" s="769">
      <c r="C548" s="424" t="inlineStr">
        <is>
          <t>Газпром добыча Иркутск</t>
        </is>
      </c>
      <c r="D548" s="528" t="n"/>
      <c r="E548" s="528" t="n"/>
      <c r="F548" s="529" t="n"/>
      <c r="G548" s="530" t="inlineStr">
        <is>
          <t>12_100330867+12_100336113+12_100330737</t>
        </is>
      </c>
      <c r="H548" s="530" t="n"/>
      <c r="I548" s="446" t="inlineStr">
        <is>
          <t>тыс. т</t>
        </is>
      </c>
    </row>
    <row r="549" ht="20.1" customHeight="1" s="769">
      <c r="C549" s="424" t="inlineStr">
        <is>
          <t>Газпром добыча шельф Южно-Сахалинск</t>
        </is>
      </c>
      <c r="D549" s="528" t="n"/>
      <c r="E549" s="528" t="n"/>
      <c r="F549" s="529" t="n"/>
      <c r="G549" s="530" t="inlineStr">
        <is>
          <t>13_100330880</t>
        </is>
      </c>
      <c r="H549" s="530" t="n"/>
      <c r="I549" s="446" t="inlineStr">
        <is>
          <t>тыс. т</t>
        </is>
      </c>
    </row>
    <row r="550" ht="20.1" customHeight="1" s="769">
      <c r="C550" s="424" t="inlineStr">
        <is>
          <t>Газпром добыча Ноябрьск</t>
        </is>
      </c>
      <c r="D550" s="528" t="n"/>
      <c r="E550" s="528" t="n"/>
      <c r="F550" s="529" t="n"/>
      <c r="G550" s="530" t="inlineStr">
        <is>
          <t>10_100335045+10_100330725+10_100330862+10_100336142</t>
        </is>
      </c>
      <c r="H550" s="530" t="n"/>
      <c r="I550" s="446" t="inlineStr">
        <is>
          <t>тыс. т</t>
        </is>
      </c>
    </row>
    <row r="551" ht="20.1" customHeight="1" s="769">
      <c r="C551" s="424" t="inlineStr">
        <is>
          <t>Газпром добыча Надым</t>
        </is>
      </c>
      <c r="D551" s="528" t="n"/>
      <c r="E551" s="528" t="n"/>
      <c r="F551" s="529" t="n"/>
      <c r="G551" s="530" t="inlineStr">
        <is>
          <t>11_100330100</t>
        </is>
      </c>
      <c r="H551" s="530" t="n"/>
      <c r="I551" s="446" t="inlineStr">
        <is>
          <t>тыс. т</t>
        </is>
      </c>
    </row>
    <row r="552" ht="20.1" customHeight="1" s="769">
      <c r="C552" s="424" t="inlineStr">
        <is>
          <t>Газпром СПГ Портовая</t>
        </is>
      </c>
      <c r="D552" s="528" t="n"/>
      <c r="E552" s="528" t="n"/>
      <c r="F552" s="529" t="n"/>
      <c r="G552" s="530" t="inlineStr">
        <is>
          <t>15_100335852+15_100335474</t>
        </is>
      </c>
      <c r="H552" s="530" t="n"/>
      <c r="I552" s="446" t="inlineStr">
        <is>
          <t>тыс. т</t>
        </is>
      </c>
    </row>
    <row r="553" ht="20.1" customHeight="1" s="769">
      <c r="C553" s="436" t="inlineStr">
        <is>
          <t>КСПГ Портовая</t>
        </is>
      </c>
      <c r="D553" s="528" t="n"/>
      <c r="E553" s="528" t="n"/>
      <c r="F553" s="529" t="n"/>
      <c r="G553" s="530" t="inlineStr">
        <is>
          <t>15_100335852+15_100335474</t>
        </is>
      </c>
      <c r="H553" s="530" t="n"/>
      <c r="I553" s="906" t="inlineStr">
        <is>
          <t>тыс. т</t>
        </is>
      </c>
    </row>
    <row r="554" ht="20.1" customHeight="1" s="769">
      <c r="C554" s="424" t="inlineStr">
        <is>
          <t>Газпром трансгаз Санкт-Петербург*</t>
        </is>
      </c>
      <c r="D554" s="528" t="n"/>
      <c r="E554" s="528" t="n"/>
      <c r="F554" s="529" t="n"/>
      <c r="G554" s="530" t="n">
        <v>0</v>
      </c>
      <c r="H554" s="530" t="n"/>
      <c r="I554" s="446" t="inlineStr">
        <is>
          <t>тыс. т</t>
        </is>
      </c>
    </row>
    <row r="555" ht="20.1" customHeight="1" s="769">
      <c r="C555" s="424" t="inlineStr">
        <is>
          <t>Газпром трансгаз Краснодар*</t>
        </is>
      </c>
      <c r="D555" s="528" t="n"/>
      <c r="E555" s="528" t="n"/>
      <c r="F555" s="529" t="n"/>
      <c r="G555" s="530" t="n">
        <v>0</v>
      </c>
      <c r="H555" s="530" t="n"/>
      <c r="I555" s="446" t="inlineStr">
        <is>
          <t>тыс. т</t>
        </is>
      </c>
    </row>
    <row r="556" ht="20.1" customHeight="1" s="769">
      <c r="B556" s="413" t="inlineStr">
        <is>
          <t>9.1.</t>
        </is>
      </c>
      <c r="C556" s="428" t="inlineStr">
        <is>
          <t>Газпром</t>
        </is>
      </c>
      <c r="D556" s="528" t="n"/>
      <c r="E556" s="528" t="n"/>
      <c r="F556" s="529" t="n"/>
      <c r="G556" s="530" t="inlineStr">
        <is>
          <t>1_100332012+2_100332255+2_100332271+2_100332267+2_100332959+2_100335669+3_100330098+4_100331921+4_100331924+4_100331922+4_100331925+0+12_100330867+12_100336113+12_100330737+13_100330880+7_100330590+7_100330592+10_100335045+15_100335852+15_100335474+0+0</t>
        </is>
      </c>
      <c r="H556" s="530" t="n"/>
      <c r="I556" s="446" t="inlineStr">
        <is>
          <t>тыс.т</t>
        </is>
      </c>
    </row>
    <row r="557" ht="20.1" customHeight="1" s="769">
      <c r="C557" s="424" t="inlineStr">
        <is>
          <t xml:space="preserve">   Газпром переработка</t>
        </is>
      </c>
      <c r="D557" s="528" t="n"/>
      <c r="E557" s="528" t="n"/>
      <c r="F557" s="529" t="n"/>
      <c r="G557" s="530" t="inlineStr">
        <is>
          <t>1_100332012+2_100332255+2_100332271+2_100332267+2_100332959+2_100335669+3_100330098+4_100331921+4_100331924+4_100331922+4_100331925</t>
        </is>
      </c>
      <c r="H557" s="530" t="n"/>
      <c r="I557" s="446" t="inlineStr">
        <is>
          <t>тыс.т</t>
        </is>
      </c>
    </row>
    <row r="558" ht="20.1" customHeight="1" s="769">
      <c r="C558" s="436" t="inlineStr">
        <is>
          <t>Астраханский ГПЗ</t>
        </is>
      </c>
      <c r="D558" s="528" t="n"/>
      <c r="E558" s="528" t="n"/>
      <c r="F558" s="529" t="n"/>
      <c r="G558" s="530" t="inlineStr">
        <is>
          <t>1_100332012</t>
        </is>
      </c>
      <c r="H558" s="530" t="n"/>
      <c r="I558" s="906" t="inlineStr">
        <is>
          <t>тыс.т</t>
        </is>
      </c>
    </row>
    <row r="559" ht="20.1" customHeight="1" s="769">
      <c r="C559" s="436" t="inlineStr">
        <is>
          <t>отгрузка с учетом изменения остатков</t>
        </is>
      </c>
      <c r="D559" s="528" t="n"/>
      <c r="E559" s="528" t="n"/>
      <c r="F559" s="529" t="n"/>
      <c r="G559" s="530" t="inlineStr">
        <is>
          <t>1_100332013</t>
        </is>
      </c>
      <c r="H559" s="530" t="n"/>
      <c r="I559" s="446" t="inlineStr">
        <is>
          <t>тыс.т</t>
        </is>
      </c>
    </row>
    <row r="560" ht="20.1" customHeight="1" s="769">
      <c r="C560" s="436" t="inlineStr">
        <is>
          <t>Оренбургский ГХК</t>
        </is>
      </c>
      <c r="D560" s="528" t="n"/>
      <c r="E560" s="528" t="n"/>
      <c r="F560" s="529" t="n"/>
      <c r="G560" s="530" t="inlineStr">
        <is>
          <t>2_100332255+2_100332271+2_100332267+2_100332959+2_100335669</t>
        </is>
      </c>
      <c r="H560" s="530" t="n"/>
      <c r="I560" s="906" t="inlineStr">
        <is>
          <t>тыс.т</t>
        </is>
      </c>
    </row>
    <row r="561" ht="20.1" customHeight="1" s="769">
      <c r="C561" s="430" t="inlineStr">
        <is>
          <t>Газпром добыча Оренбург</t>
        </is>
      </c>
      <c r="D561" s="528" t="n"/>
      <c r="E561" s="528" t="n"/>
      <c r="F561" s="529" t="n"/>
      <c r="G561" s="530" t="inlineStr">
        <is>
          <t>2_100332255</t>
        </is>
      </c>
      <c r="H561" s="530" t="n"/>
      <c r="I561" s="909" t="inlineStr">
        <is>
          <t>тыс.т</t>
        </is>
      </c>
    </row>
    <row r="562" ht="20.1" customHeight="1" s="769">
      <c r="C562" s="430" t="inlineStr">
        <is>
          <t>Газпром нефть</t>
        </is>
      </c>
      <c r="D562" s="528" t="n"/>
      <c r="E562" s="528" t="n"/>
      <c r="F562" s="529" t="n"/>
      <c r="G562" s="530" t="inlineStr">
        <is>
          <t>2_100332271+2_100332267</t>
        </is>
      </c>
      <c r="H562" s="530" t="n"/>
      <c r="I562" s="909" t="inlineStr">
        <is>
          <t>тыс.т</t>
        </is>
      </c>
    </row>
    <row r="563" ht="20.1" customHeight="1" s="769">
      <c r="C563" s="908" t="inlineStr">
        <is>
          <t>прочие поставщики (ГПНЗ, УНГП, и.т.д.)</t>
        </is>
      </c>
      <c r="D563" s="528" t="n"/>
      <c r="E563" s="528" t="n"/>
      <c r="F563" s="529" t="n"/>
      <c r="G563" s="530" t="inlineStr">
        <is>
          <t>2_100332959+2_100335669</t>
        </is>
      </c>
      <c r="H563" s="530" t="n"/>
      <c r="I563" s="909" t="inlineStr">
        <is>
          <t>тыс.т</t>
        </is>
      </c>
    </row>
    <row r="564" ht="20.1" customHeight="1" s="769">
      <c r="C564" s="436" t="inlineStr">
        <is>
          <t xml:space="preserve">   Сосногорский ГПЗ</t>
        </is>
      </c>
      <c r="D564" s="528" t="n"/>
      <c r="E564" s="528" t="n"/>
      <c r="F564" s="529" t="n"/>
      <c r="G564" s="530" t="inlineStr">
        <is>
          <t>3_100330098</t>
        </is>
      </c>
      <c r="H564" s="530" t="n"/>
      <c r="I564" s="906" t="inlineStr">
        <is>
          <t>тыс.т</t>
        </is>
      </c>
    </row>
    <row r="565" ht="20.1" customHeight="1" s="769">
      <c r="C565" s="436" t="inlineStr">
        <is>
          <t xml:space="preserve">              Уренгойский ЗПКТ</t>
        </is>
      </c>
      <c r="D565" s="528" t="n"/>
      <c r="E565" s="528" t="n"/>
      <c r="F565" s="529" t="n"/>
      <c r="G565" s="530" t="inlineStr">
        <is>
          <t>4_100331921+4_100331924</t>
        </is>
      </c>
      <c r="H565" s="530" t="n"/>
      <c r="I565" s="906" t="inlineStr">
        <is>
          <t>тыс.т</t>
        </is>
      </c>
    </row>
    <row r="566" ht="20.1" customHeight="1" s="769">
      <c r="C566" s="430" t="inlineStr">
        <is>
          <t>от переработки на УДК</t>
        </is>
      </c>
      <c r="D566" s="528" t="n"/>
      <c r="E566" s="528" t="n"/>
      <c r="F566" s="529" t="n"/>
      <c r="G566" s="530" t="inlineStr">
        <is>
          <t>4_100331921</t>
        </is>
      </c>
      <c r="H566" s="530" t="n"/>
      <c r="I566" s="909" t="inlineStr">
        <is>
          <t>тыс.т</t>
        </is>
      </c>
    </row>
    <row r="567" ht="20.1" customHeight="1" s="769">
      <c r="C567" s="430" t="inlineStr">
        <is>
          <t>от переработки на УСК-2</t>
        </is>
      </c>
      <c r="D567" s="528" t="n"/>
      <c r="E567" s="528" t="n"/>
      <c r="F567" s="529" t="n"/>
      <c r="G567" s="530" t="inlineStr">
        <is>
          <t>4_100331924</t>
        </is>
      </c>
      <c r="H567" s="530" t="n"/>
      <c r="I567" s="909" t="inlineStr">
        <is>
          <t>тыс.т</t>
        </is>
      </c>
    </row>
    <row r="568" ht="20.1" customHeight="1" s="769">
      <c r="C568" s="436" t="inlineStr">
        <is>
          <t xml:space="preserve">                Сургутский ЗСК</t>
        </is>
      </c>
      <c r="D568" s="528" t="n"/>
      <c r="E568" s="528" t="n"/>
      <c r="F568" s="529" t="n"/>
      <c r="G568" s="530" t="inlineStr">
        <is>
          <t>4_100331922+4_100331925</t>
        </is>
      </c>
      <c r="H568" s="530" t="n"/>
      <c r="I568" s="906" t="inlineStr">
        <is>
          <t>тыс.т</t>
        </is>
      </c>
    </row>
    <row r="569" ht="20.1" customHeight="1" s="769">
      <c r="C569" s="424" t="inlineStr">
        <is>
          <t>Газпром добыча Уренгой</t>
        </is>
      </c>
      <c r="D569" s="528" t="n"/>
      <c r="E569" s="528" t="n"/>
      <c r="F569" s="529" t="n"/>
      <c r="G569" s="530" t="n">
        <v>0</v>
      </c>
      <c r="H569" s="530" t="n"/>
      <c r="I569" s="446" t="inlineStr">
        <is>
          <t>тыс. т</t>
        </is>
      </c>
    </row>
    <row r="570" ht="20.1" customHeight="1" s="769">
      <c r="C570" s="436" t="inlineStr">
        <is>
          <t>нефть</t>
        </is>
      </c>
      <c r="D570" s="528" t="n"/>
      <c r="E570" s="528" t="n"/>
      <c r="F570" s="529" t="n"/>
      <c r="G570" s="530" t="n">
        <v>0</v>
      </c>
      <c r="H570" s="530" t="n"/>
      <c r="I570" s="906" t="inlineStr">
        <is>
          <t>тыс.т</t>
        </is>
      </c>
    </row>
    <row r="571" ht="20.1" customHeight="1" s="769">
      <c r="C571" s="424" t="inlineStr">
        <is>
          <t>Газпром добыча Иркутск</t>
        </is>
      </c>
      <c r="D571" s="528" t="n"/>
      <c r="E571" s="528" t="n"/>
      <c r="F571" s="529" t="n"/>
      <c r="G571" s="530" t="inlineStr">
        <is>
          <t>12_100330867+12_100336113+12_100330737</t>
        </is>
      </c>
      <c r="H571" s="530" t="n"/>
      <c r="I571" s="446" t="inlineStr">
        <is>
          <t>тыс. т</t>
        </is>
      </c>
    </row>
    <row r="572" ht="20.1" customHeight="1" s="769">
      <c r="C572" s="430" t="inlineStr">
        <is>
          <t>СК</t>
        </is>
      </c>
      <c r="D572" s="528" t="n"/>
      <c r="E572" s="528" t="n"/>
      <c r="F572" s="529" t="n"/>
      <c r="G572" s="530" t="inlineStr">
        <is>
          <t>12_100336107+12_100336110+12_100336164+12_100330737</t>
        </is>
      </c>
      <c r="H572" s="530" t="n"/>
      <c r="I572" s="446" t="inlineStr">
        <is>
          <t>тыс.т</t>
        </is>
      </c>
    </row>
    <row r="573" ht="20.1" customHeight="1" s="769">
      <c r="C573" s="430" t="inlineStr">
        <is>
          <t>в т.ч. на стн Газпром добыча Иркутск</t>
        </is>
      </c>
      <c r="D573" s="528" t="n"/>
      <c r="E573" s="528" t="n"/>
      <c r="F573" s="529" t="n"/>
      <c r="G573" s="530" t="inlineStr">
        <is>
          <t>12_100330737</t>
        </is>
      </c>
      <c r="H573" s="530" t="n"/>
      <c r="I573" s="909" t="inlineStr">
        <is>
          <t>тыс.т</t>
        </is>
      </c>
    </row>
    <row r="574" ht="20.1" customHeight="1" s="769">
      <c r="C574" s="430" t="inlineStr">
        <is>
          <t>СК (нефть)</t>
        </is>
      </c>
      <c r="D574" s="528" t="n"/>
      <c r="E574" s="528" t="n"/>
      <c r="F574" s="529" t="n"/>
      <c r="G574" s="530" t="inlineStr">
        <is>
          <t>12_100336112</t>
        </is>
      </c>
      <c r="H574" s="530" t="n"/>
      <c r="I574" s="909" t="inlineStr">
        <is>
          <t>тыс.т</t>
        </is>
      </c>
    </row>
    <row r="575" ht="20.1" customHeight="1" s="769">
      <c r="C575" s="430" t="inlineStr">
        <is>
          <t>в т.ч. нефть покупка</t>
        </is>
      </c>
      <c r="D575" s="528" t="n"/>
      <c r="E575" s="528" t="n"/>
      <c r="F575" s="529" t="n"/>
      <c r="G575" s="530" t="inlineStr">
        <is>
          <t>12_100336113</t>
        </is>
      </c>
      <c r="H575" s="530" t="n"/>
      <c r="I575" s="909" t="inlineStr">
        <is>
          <t>тыс.т</t>
        </is>
      </c>
    </row>
    <row r="576" ht="20.1" customHeight="1" s="769">
      <c r="C576" s="424" t="inlineStr">
        <is>
          <t>Газпром добыча шельф Южно-Сахалинск</t>
        </is>
      </c>
      <c r="D576" s="528" t="n"/>
      <c r="E576" s="528" t="n"/>
      <c r="F576" s="529" t="n"/>
      <c r="G576" s="530" t="inlineStr">
        <is>
          <t>13_100330880</t>
        </is>
      </c>
      <c r="H576" s="530" t="n"/>
      <c r="I576" s="446" t="inlineStr">
        <is>
          <t>тыс. т</t>
        </is>
      </c>
    </row>
    <row r="577" ht="20.1" customHeight="1" s="769">
      <c r="C577" s="430" t="inlineStr">
        <is>
          <t>конденсат (Киринское ГКМ)</t>
        </is>
      </c>
      <c r="D577" s="528" t="n"/>
      <c r="E577" s="528" t="n"/>
      <c r="F577" s="529" t="n"/>
      <c r="G577" s="530" t="inlineStr">
        <is>
          <t>13_100330880</t>
        </is>
      </c>
      <c r="H577" s="530" t="n"/>
      <c r="I577" s="909" t="inlineStr">
        <is>
          <t>тыс.т</t>
        </is>
      </c>
    </row>
    <row r="578" ht="20.1" customHeight="1" s="769">
      <c r="C578" s="424" t="inlineStr">
        <is>
          <t>Газпром добыча Ямбург</t>
        </is>
      </c>
      <c r="D578" s="528" t="n"/>
      <c r="E578" s="528" t="n"/>
      <c r="F578" s="529" t="n"/>
      <c r="G578" s="530" t="inlineStr">
        <is>
          <t>7_100330590+7_100330592</t>
        </is>
      </c>
      <c r="H578" s="530" t="n"/>
      <c r="I578" s="446" t="inlineStr">
        <is>
          <t>тыс. т</t>
        </is>
      </c>
    </row>
    <row r="579" ht="20.1" customHeight="1" s="769">
      <c r="C579" s="430" t="inlineStr">
        <is>
          <t>нефть (Заполярное НГКМ, Ямбургское НГКМ)</t>
        </is>
      </c>
      <c r="D579" s="528" t="n"/>
      <c r="E579" s="528" t="n"/>
      <c r="F579" s="529" t="n"/>
      <c r="G579" s="530" t="inlineStr">
        <is>
          <t>7_100330590+7_100330592</t>
        </is>
      </c>
      <c r="H579" s="530" t="n"/>
      <c r="I579" s="909" t="inlineStr">
        <is>
          <t>тыс.т</t>
        </is>
      </c>
    </row>
    <row r="580" ht="20.1" customHeight="1" s="769">
      <c r="C580" s="424" t="inlineStr">
        <is>
          <t>Газпром добыча Ноябрьск</t>
        </is>
      </c>
      <c r="D580" s="528" t="n"/>
      <c r="E580" s="528" t="n"/>
      <c r="F580" s="529" t="n"/>
      <c r="G580" s="530" t="inlineStr">
        <is>
          <t>10_100335045</t>
        </is>
      </c>
      <c r="H580" s="530" t="n"/>
      <c r="I580" s="446" t="inlineStr">
        <is>
          <t>тыс. т</t>
        </is>
      </c>
    </row>
    <row r="581" ht="20.1" customHeight="1" s="769">
      <c r="C581" s="430" t="inlineStr">
        <is>
          <t>конденсат, нефть (Чаяндинское НГКМ)</t>
        </is>
      </c>
      <c r="D581" s="528" t="n"/>
      <c r="E581" s="528" t="n"/>
      <c r="F581" s="529" t="n"/>
      <c r="G581" s="530" t="inlineStr">
        <is>
          <t>10_100335045</t>
        </is>
      </c>
      <c r="H581" s="530" t="n"/>
      <c r="I581" s="909" t="inlineStr">
        <is>
          <t>тыс.т</t>
        </is>
      </c>
    </row>
    <row r="582" ht="20.1" customHeight="1" s="769">
      <c r="C582" s="424" t="inlineStr">
        <is>
          <t>Газпром СПГ Портовая</t>
        </is>
      </c>
      <c r="D582" s="528" t="n"/>
      <c r="E582" s="528" t="n"/>
      <c r="F582" s="529" t="n"/>
      <c r="G582" s="530" t="inlineStr">
        <is>
          <t>15_100335852+15_100335474</t>
        </is>
      </c>
      <c r="H582" s="530" t="n"/>
      <c r="I582" s="446" t="inlineStr">
        <is>
          <t>тыс. т</t>
        </is>
      </c>
    </row>
    <row r="583" ht="20.1" customHeight="1" s="769">
      <c r="C583" s="436" t="inlineStr">
        <is>
          <t>КСПГ Портовая</t>
        </is>
      </c>
      <c r="D583" s="528" t="n"/>
      <c r="E583" s="528" t="n"/>
      <c r="F583" s="529" t="n"/>
      <c r="G583" s="530" t="inlineStr">
        <is>
          <t>15_100335852+15_100335474</t>
        </is>
      </c>
      <c r="H583" s="530" t="n"/>
      <c r="I583" s="906" t="inlineStr">
        <is>
          <t>тыс. т</t>
        </is>
      </c>
    </row>
    <row r="584" ht="20.1" customHeight="1" s="769">
      <c r="C584" s="424" t="inlineStr">
        <is>
          <t>Газпром трансгаз Санкт-Петербург*</t>
        </is>
      </c>
      <c r="D584" s="528" t="n"/>
      <c r="E584" s="528" t="n"/>
      <c r="F584" s="529" t="n"/>
      <c r="G584" s="530" t="n">
        <v>0</v>
      </c>
      <c r="H584" s="530" t="n"/>
      <c r="I584" s="446" t="inlineStr">
        <is>
          <t>тыс.т</t>
        </is>
      </c>
    </row>
    <row r="585" ht="20.1" customHeight="1" s="769">
      <c r="C585" s="424" t="inlineStr">
        <is>
          <t>Газпром трансгаз Краснодар*</t>
        </is>
      </c>
      <c r="D585" s="528" t="n"/>
      <c r="E585" s="528" t="n"/>
      <c r="F585" s="529" t="n"/>
      <c r="G585" s="530" t="n">
        <v>0</v>
      </c>
      <c r="H585" s="530" t="n"/>
      <c r="I585" s="446" t="inlineStr">
        <is>
          <t>тыс. т</t>
        </is>
      </c>
    </row>
    <row r="586" ht="20.1" customHeight="1" s="769">
      <c r="B586" s="413" t="inlineStr">
        <is>
          <t>9.2.</t>
        </is>
      </c>
      <c r="C586" s="428" t="inlineStr">
        <is>
          <t>Дочерние общества</t>
        </is>
      </c>
      <c r="D586" s="528" t="n"/>
      <c r="E586" s="528" t="n"/>
      <c r="F586" s="529" t="n"/>
      <c r="G586" s="530" t="inlineStr">
        <is>
          <t>9_100330683+9_100335068+7_100330601+7_100330593+7_100330591+0+8_100335917+8_100335916+8_100335911+8_100333681+2_100332273+11_100330100+10_100330725+10_100330862+10_100336142+3_100330582</t>
        </is>
      </c>
      <c r="H586" s="530" t="n"/>
      <c r="I586" s="446" t="inlineStr">
        <is>
          <t>тыс.т</t>
        </is>
      </c>
    </row>
    <row r="587" ht="20.1" customHeight="1" s="769">
      <c r="C587" s="424" t="inlineStr">
        <is>
          <t xml:space="preserve">   Газпром переработка</t>
        </is>
      </c>
      <c r="D587" s="528" t="n"/>
      <c r="E587" s="528" t="n"/>
      <c r="F587" s="529" t="n"/>
      <c r="G587" s="530" t="n">
        <v>0</v>
      </c>
      <c r="H587" s="530" t="n"/>
      <c r="I587" s="446" t="inlineStr">
        <is>
          <t>тыс.т</t>
        </is>
      </c>
    </row>
    <row r="588" ht="20.1" customHeight="1" s="769">
      <c r="C588" s="436" t="inlineStr">
        <is>
          <t>Астраханский ГПЗ</t>
        </is>
      </c>
      <c r="D588" s="528" t="n"/>
      <c r="E588" s="528" t="n"/>
      <c r="F588" s="529" t="n"/>
      <c r="G588" s="530" t="n">
        <v>0</v>
      </c>
      <c r="H588" s="530" t="n"/>
      <c r="I588" s="906" t="inlineStr">
        <is>
          <t>тыс.т</t>
        </is>
      </c>
    </row>
    <row r="589" ht="20.1" customHeight="1" s="769">
      <c r="C589" s="424" t="inlineStr">
        <is>
          <t>Газпром добыча Уренгой</t>
        </is>
      </c>
      <c r="D589" s="528" t="n"/>
      <c r="E589" s="528" t="n"/>
      <c r="F589" s="529" t="n"/>
      <c r="G589" s="530" t="inlineStr">
        <is>
          <t>8_100335917+8_100335916+8_100335911+8_100333681</t>
        </is>
      </c>
      <c r="H589" s="530" t="n"/>
      <c r="I589" s="446" t="inlineStr">
        <is>
          <t>тыс. т</t>
        </is>
      </c>
    </row>
    <row r="590" ht="20.1" customHeight="1" s="769">
      <c r="C590" s="463" t="inlineStr">
        <is>
          <t xml:space="preserve">стаб. газ. конденсат, нефть ДРОД </t>
        </is>
      </c>
      <c r="D590" s="528" t="n"/>
      <c r="E590" s="528" t="n"/>
      <c r="F590" s="529" t="n"/>
      <c r="G590" s="530" t="inlineStr">
        <is>
          <t>8_100335917+8_100335916+8_100335911</t>
        </is>
      </c>
      <c r="H590" s="530" t="n"/>
      <c r="I590" s="909" t="inlineStr">
        <is>
          <t>тыс.т</t>
        </is>
      </c>
    </row>
    <row r="591" ht="20.1" customHeight="1" s="769">
      <c r="C591" s="424" t="inlineStr">
        <is>
          <t>Газпром добыча Краснодар</t>
        </is>
      </c>
      <c r="D591" s="528" t="n"/>
      <c r="E591" s="528" t="n"/>
      <c r="F591" s="529" t="n"/>
      <c r="G591" s="530" t="inlineStr">
        <is>
          <t>9_100330683+9_100335068</t>
        </is>
      </c>
      <c r="H591" s="530" t="n"/>
      <c r="I591" s="446" t="inlineStr">
        <is>
          <t>тыс.т</t>
        </is>
      </c>
    </row>
    <row r="592" ht="20.1" customHeight="1" s="769">
      <c r="C592" s="430" t="inlineStr">
        <is>
          <t xml:space="preserve">     в т. ч. НГКС</t>
        </is>
      </c>
      <c r="D592" s="528" t="n"/>
      <c r="E592" s="528" t="n"/>
      <c r="F592" s="529" t="n"/>
      <c r="G592" s="530" t="inlineStr">
        <is>
          <t>9_100330683</t>
        </is>
      </c>
      <c r="H592" s="530" t="n"/>
      <c r="I592" s="909" t="inlineStr">
        <is>
          <t>тыс.т</t>
        </is>
      </c>
    </row>
    <row r="593" ht="20.1" customHeight="1" s="769">
      <c r="C593" s="430" t="inlineStr">
        <is>
          <t>стаб. газовый конденсат</t>
        </is>
      </c>
      <c r="D593" s="528" t="n"/>
      <c r="E593" s="528" t="n"/>
      <c r="F593" s="529" t="n"/>
      <c r="G593" s="530" t="inlineStr">
        <is>
          <t>9_100335068</t>
        </is>
      </c>
      <c r="H593" s="530" t="n"/>
      <c r="I593" s="909" t="inlineStr">
        <is>
          <t>тыс.т</t>
        </is>
      </c>
    </row>
    <row r="594" ht="20.1" customHeight="1" s="769">
      <c r="C594" s="424" t="inlineStr">
        <is>
          <t xml:space="preserve">   Газпром добыча Ямбург</t>
        </is>
      </c>
      <c r="D594" s="528" t="n"/>
      <c r="E594" s="528" t="n"/>
      <c r="F594" s="529" t="n"/>
      <c r="G594" s="530" t="inlineStr">
        <is>
          <t>7_100330601+7_100330593+7_100330591</t>
        </is>
      </c>
      <c r="H594" s="530" t="n"/>
      <c r="I594" s="446" t="inlineStr">
        <is>
          <t>тыс.т</t>
        </is>
      </c>
    </row>
    <row r="595" ht="20.1" customHeight="1" s="769">
      <c r="C595" s="431" t="inlineStr">
        <is>
          <t>стаб. газовый конденсат (Заполярное НГКМ, Ямбургское НГКМ)</t>
        </is>
      </c>
      <c r="D595" s="528" t="n"/>
      <c r="E595" s="528" t="n"/>
      <c r="F595" s="529" t="n"/>
      <c r="G595" s="530" t="inlineStr">
        <is>
          <t>7_100330601</t>
        </is>
      </c>
      <c r="H595" s="530" t="n"/>
      <c r="I595" s="909" t="inlineStr">
        <is>
          <t>тыс.т</t>
        </is>
      </c>
    </row>
    <row r="596" ht="20.1" customHeight="1" s="769">
      <c r="C596" s="430" t="inlineStr">
        <is>
          <t>нефть (Заполярное НГКМ, Ямбургское НГКМ)</t>
        </is>
      </c>
      <c r="D596" s="528" t="n"/>
      <c r="E596" s="528" t="n"/>
      <c r="F596" s="529" t="n"/>
      <c r="G596" s="530" t="inlineStr">
        <is>
          <t>7_100330593+7_100330591</t>
        </is>
      </c>
      <c r="H596" s="530" t="n"/>
      <c r="I596" s="909" t="inlineStr">
        <is>
          <t>тыс.т</t>
        </is>
      </c>
    </row>
    <row r="597" ht="20.1" customHeight="1" s="769">
      <c r="C597" s="424" t="inlineStr">
        <is>
          <t>Сервиснефтегаз</t>
        </is>
      </c>
      <c r="D597" s="528" t="n"/>
      <c r="E597" s="528" t="n"/>
      <c r="F597" s="529" t="n"/>
      <c r="G597" s="530" t="inlineStr">
        <is>
          <t>2_100332273</t>
        </is>
      </c>
      <c r="H597" s="530" t="n"/>
      <c r="I597" s="446" t="inlineStr">
        <is>
          <t>тыс.т</t>
        </is>
      </c>
    </row>
    <row r="598" ht="20.1" customHeight="1" s="769">
      <c r="C598" s="436" t="inlineStr">
        <is>
          <t>Оренбургский ГХК</t>
        </is>
      </c>
      <c r="D598" s="528" t="n"/>
      <c r="E598" s="528" t="n"/>
      <c r="F598" s="529" t="n"/>
      <c r="G598" s="530" t="inlineStr">
        <is>
          <t>2_100332273</t>
        </is>
      </c>
      <c r="H598" s="530" t="n"/>
      <c r="I598" s="906" t="inlineStr">
        <is>
          <t>тыс.т</t>
        </is>
      </c>
    </row>
    <row r="599" ht="20.1" customHeight="1" s="769">
      <c r="C599" s="424" t="inlineStr">
        <is>
          <t>Газпром добыча Надым</t>
        </is>
      </c>
      <c r="D599" s="528" t="n"/>
      <c r="E599" s="528" t="n"/>
      <c r="F599" s="529" t="n"/>
      <c r="G599" s="530" t="inlineStr">
        <is>
          <t>11_100330100</t>
        </is>
      </c>
      <c r="H599" s="530" t="n"/>
      <c r="I599" s="446" t="inlineStr">
        <is>
          <t>тыс. т</t>
        </is>
      </c>
    </row>
    <row r="600" ht="20.1" customHeight="1" s="769">
      <c r="C600" s="429" t="inlineStr">
        <is>
          <t>в т.ч. Медвежье НКГМ</t>
        </is>
      </c>
      <c r="D600" s="528" t="n"/>
      <c r="E600" s="528" t="n"/>
      <c r="F600" s="529" t="n"/>
      <c r="G600" s="530" t="inlineStr">
        <is>
          <t>11_100330702</t>
        </is>
      </c>
      <c r="H600" s="530" t="n"/>
      <c r="I600" s="909" t="inlineStr">
        <is>
          <t>тыс.т</t>
        </is>
      </c>
    </row>
    <row r="601" ht="20.1" customHeight="1" s="769">
      <c r="C601" s="429" t="inlineStr">
        <is>
          <t>в т.ч. Юбилейное НГКМ</t>
        </is>
      </c>
      <c r="D601" s="528" t="n"/>
      <c r="E601" s="528" t="n"/>
      <c r="F601" s="529" t="n"/>
      <c r="G601" s="530" t="inlineStr">
        <is>
          <t>11_100330703</t>
        </is>
      </c>
      <c r="H601" s="530" t="n"/>
      <c r="I601" s="909" t="inlineStr">
        <is>
          <t>тыс.т</t>
        </is>
      </c>
    </row>
    <row r="602" ht="20.1" customHeight="1" s="769">
      <c r="C602" s="429" t="inlineStr">
        <is>
          <t>в т.ч. Бованенковское НГКМ</t>
        </is>
      </c>
      <c r="D602" s="528" t="n"/>
      <c r="E602" s="528" t="n"/>
      <c r="F602" s="529" t="n"/>
      <c r="G602" s="530" t="inlineStr">
        <is>
          <t>11_100330704</t>
        </is>
      </c>
      <c r="H602" s="530" t="n"/>
      <c r="I602" s="909" t="inlineStr">
        <is>
          <t>тыс.т</t>
        </is>
      </c>
    </row>
    <row r="603" ht="20.1" customHeight="1" s="769">
      <c r="C603" s="429" t="inlineStr">
        <is>
          <t>в т.ч. Харасавейское ГКМ</t>
        </is>
      </c>
      <c r="D603" s="528" t="n"/>
      <c r="E603" s="528" t="n"/>
      <c r="F603" s="529" t="n"/>
      <c r="G603" s="530" t="inlineStr">
        <is>
          <t>11_100333688</t>
        </is>
      </c>
      <c r="H603" s="530" t="n"/>
      <c r="I603" s="909" t="inlineStr">
        <is>
          <t>тыс.т</t>
        </is>
      </c>
    </row>
    <row r="604" ht="20.1" customHeight="1" s="769">
      <c r="C604" s="424" t="inlineStr">
        <is>
          <t>Газпром добыча Ноябрьск</t>
        </is>
      </c>
      <c r="D604" s="528" t="n"/>
      <c r="E604" s="528" t="n"/>
      <c r="F604" s="529" t="n"/>
      <c r="G604" s="530" t="inlineStr">
        <is>
          <t>10_100330725+10_100330862+10_100336142</t>
        </is>
      </c>
      <c r="H604" s="530" t="n"/>
      <c r="I604" s="446" t="inlineStr">
        <is>
          <t>тыс. т</t>
        </is>
      </c>
    </row>
    <row r="605" ht="20.1" customHeight="1" s="769">
      <c r="C605" s="433" t="inlineStr">
        <is>
          <t>конденсат (Камчатское ГПУ -Кшукское ГКМ, Нижне-Квакчикское ГКМ)</t>
        </is>
      </c>
      <c r="D605" s="528" t="n"/>
      <c r="E605" s="528" t="n"/>
      <c r="F605" s="529" t="n"/>
      <c r="G605" s="530" t="inlineStr">
        <is>
          <t>10_100330725</t>
        </is>
      </c>
      <c r="H605" s="530" t="n"/>
      <c r="I605" s="909" t="inlineStr">
        <is>
          <t>тыс.т</t>
        </is>
      </c>
    </row>
    <row r="606" ht="20.1" customHeight="1" s="769">
      <c r="C606" s="430" t="inlineStr">
        <is>
          <t>нефть (Западно-Таркосалинское НГКМ)</t>
        </is>
      </c>
      <c r="D606" s="528" t="n"/>
      <c r="E606" s="528" t="n"/>
      <c r="F606" s="529" t="n"/>
      <c r="G606" s="530" t="inlineStr">
        <is>
          <t>10_100330862</t>
        </is>
      </c>
      <c r="H606" s="530" t="n"/>
      <c r="I606" s="909" t="inlineStr">
        <is>
          <t>тыс.т</t>
        </is>
      </c>
    </row>
    <row r="607" ht="20.1" customHeight="1" s="769">
      <c r="C607" s="429" t="inlineStr">
        <is>
          <t>НГКС (Тас-Юряхское НГКМ)</t>
        </is>
      </c>
      <c r="D607" s="528" t="n"/>
      <c r="E607" s="528" t="n"/>
      <c r="F607" s="529" t="n"/>
      <c r="G607" s="530" t="inlineStr">
        <is>
          <t>10_100336142</t>
        </is>
      </c>
      <c r="H607" s="530" t="n"/>
      <c r="I607" s="909" t="inlineStr">
        <is>
          <t>тыс.т</t>
        </is>
      </c>
    </row>
    <row r="608" ht="20.1" customHeight="1" s="769">
      <c r="C608" s="424" t="inlineStr">
        <is>
          <t>Газпром ГНП холдинг</t>
        </is>
      </c>
      <c r="D608" s="528" t="n"/>
      <c r="E608" s="528" t="n"/>
      <c r="F608" s="529" t="n"/>
      <c r="G608" s="530" t="inlineStr">
        <is>
          <t>3_100330582</t>
        </is>
      </c>
      <c r="H608" s="530" t="n"/>
      <c r="I608" s="446" t="inlineStr">
        <is>
          <t>тыс.т</t>
        </is>
      </c>
    </row>
    <row r="609" ht="20.1" customHeight="1" s="769">
      <c r="C609" s="436" t="inlineStr">
        <is>
          <t>Сосногорский ГПЗ</t>
        </is>
      </c>
      <c r="D609" s="528" t="n"/>
      <c r="E609" s="528" t="n"/>
      <c r="F609" s="529" t="n"/>
      <c r="G609" s="530" t="inlineStr">
        <is>
          <t>3_100330582</t>
        </is>
      </c>
      <c r="H609" s="530" t="n"/>
      <c r="I609" s="906" t="inlineStr">
        <is>
          <t>тыс.т</t>
        </is>
      </c>
    </row>
    <row r="610" ht="20.1" customHeight="1" s="769">
      <c r="C610" s="430" t="inlineStr">
        <is>
          <t>ЛУКОЙЛ-Коми</t>
        </is>
      </c>
      <c r="D610" s="528" t="n"/>
      <c r="E610" s="528" t="n"/>
      <c r="F610" s="529" t="n"/>
      <c r="G610" s="530" t="inlineStr">
        <is>
          <t>3_100330582</t>
        </is>
      </c>
      <c r="H610" s="530" t="n"/>
      <c r="I610" s="909" t="inlineStr">
        <is>
          <t>тыс.т</t>
        </is>
      </c>
    </row>
    <row r="611" ht="20.1" customHeight="1" s="769">
      <c r="B611" s="747" t="inlineStr">
        <is>
          <t>10.</t>
        </is>
      </c>
      <c r="C611" s="416" t="inlineStr">
        <is>
          <t>Бензин автомобильный-всего</t>
        </is>
      </c>
      <c r="D611" s="528" t="n"/>
      <c r="E611" s="528" t="n"/>
      <c r="F611" s="529" t="n"/>
      <c r="G611" s="530" t="inlineStr">
        <is>
          <t>1_100332018+1_100332019+1_100335688+0+0+4_100331906+4_100331907</t>
        </is>
      </c>
      <c r="H611" s="530" t="n"/>
      <c r="I611" s="446" t="inlineStr">
        <is>
          <t>тыс.т</t>
        </is>
      </c>
    </row>
    <row r="612" ht="20.1" customHeight="1" s="769">
      <c r="C612" s="424" t="inlineStr">
        <is>
          <t xml:space="preserve">   Газпром переработка</t>
        </is>
      </c>
      <c r="D612" s="528" t="n"/>
      <c r="E612" s="528" t="n"/>
      <c r="F612" s="529" t="n"/>
      <c r="G612" s="530" t="inlineStr">
        <is>
          <t>1_100332018+1_100332019+1_100335688+0+0+4_100331906+4_100331907</t>
        </is>
      </c>
      <c r="H612" s="530" t="n"/>
      <c r="I612" s="446" t="inlineStr">
        <is>
          <t>тыс.т</t>
        </is>
      </c>
    </row>
    <row r="613" ht="20.1" customHeight="1" s="769">
      <c r="C613" s="436" t="inlineStr">
        <is>
          <t>Астраханский ГПЗ</t>
        </is>
      </c>
      <c r="D613" s="528" t="n"/>
      <c r="E613" s="528" t="n"/>
      <c r="F613" s="529" t="n"/>
      <c r="G613" s="530" t="inlineStr">
        <is>
          <t>1_100332018+1_100332019+1_100335688+0+0</t>
        </is>
      </c>
      <c r="H613" s="530" t="n"/>
      <c r="I613" s="906" t="inlineStr">
        <is>
          <t>тыс.т</t>
        </is>
      </c>
    </row>
    <row r="614" ht="20.1" customHeight="1" s="769">
      <c r="C614" s="436" t="inlineStr">
        <is>
          <t xml:space="preserve">                Сургутский ЗСК</t>
        </is>
      </c>
      <c r="D614" s="528" t="n"/>
      <c r="E614" s="528" t="n"/>
      <c r="F614" s="529" t="n"/>
      <c r="G614" s="530" t="inlineStr">
        <is>
          <t>4_100331906+4_100331907</t>
        </is>
      </c>
      <c r="H614" s="530" t="n"/>
      <c r="I614" s="906" t="inlineStr">
        <is>
          <t>тыс.т</t>
        </is>
      </c>
    </row>
    <row r="615" ht="20.1" customHeight="1" s="769">
      <c r="B615" s="413" t="inlineStr">
        <is>
          <t>10.1.</t>
        </is>
      </c>
      <c r="C615" s="428" t="inlineStr">
        <is>
          <t>Газпром</t>
        </is>
      </c>
      <c r="D615" s="528" t="n"/>
      <c r="E615" s="528" t="n"/>
      <c r="F615" s="529" t="n"/>
      <c r="G615" s="530" t="n"/>
      <c r="H615" s="530" t="n"/>
      <c r="I615" s="446" t="n"/>
    </row>
    <row r="616" ht="20.1" customHeight="1" s="769">
      <c r="C616" s="424" t="inlineStr">
        <is>
          <t xml:space="preserve">   Газпром переработка</t>
        </is>
      </c>
      <c r="D616" s="528" t="n"/>
      <c r="E616" s="528" t="n"/>
      <c r="F616" s="529" t="n"/>
      <c r="G616" s="530" t="inlineStr">
        <is>
          <t>1_100332018+1_100332019+1_100335688+4_100331906+4_100331907</t>
        </is>
      </c>
      <c r="H616" s="530" t="n"/>
      <c r="I616" s="446" t="inlineStr">
        <is>
          <t>тыс.т</t>
        </is>
      </c>
    </row>
    <row r="617" ht="20.1" customHeight="1" s="769">
      <c r="C617" s="436" t="inlineStr">
        <is>
          <t>Астраханский ГПЗ</t>
        </is>
      </c>
      <c r="D617" s="528" t="n"/>
      <c r="E617" s="528" t="n"/>
      <c r="F617" s="529" t="n"/>
      <c r="G617" s="530" t="inlineStr">
        <is>
          <t>1_100332018+1_100332019+1_100335688</t>
        </is>
      </c>
      <c r="H617" s="530" t="n"/>
      <c r="I617" s="906" t="inlineStr">
        <is>
          <t>тыс.т</t>
        </is>
      </c>
    </row>
    <row r="618" ht="20.1" customHeight="1" s="769">
      <c r="C618" s="430" t="inlineStr">
        <is>
          <t>ОЧ-80</t>
        </is>
      </c>
      <c r="D618" s="528" t="n"/>
      <c r="E618" s="528" t="n"/>
      <c r="F618" s="529" t="n"/>
      <c r="G618" s="530" t="inlineStr">
        <is>
          <t>1_100335688</t>
        </is>
      </c>
      <c r="H618" s="530" t="n"/>
      <c r="I618" s="909" t="inlineStr">
        <is>
          <t>тыс.т</t>
        </is>
      </c>
    </row>
    <row r="619" ht="20.1" customHeight="1" s="769">
      <c r="C619" s="430" t="inlineStr">
        <is>
          <t>ОЧ-92</t>
        </is>
      </c>
      <c r="D619" s="528" t="n"/>
      <c r="E619" s="528" t="n"/>
      <c r="F619" s="529" t="n"/>
      <c r="G619" s="530" t="inlineStr">
        <is>
          <t>1_100332018</t>
        </is>
      </c>
      <c r="H619" s="530" t="n"/>
      <c r="I619" s="909" t="inlineStr">
        <is>
          <t>тыс.т</t>
        </is>
      </c>
    </row>
    <row r="620" ht="20.1" customHeight="1" s="769">
      <c r="C620" s="430" t="inlineStr">
        <is>
          <t xml:space="preserve">   ОЧ-95</t>
        </is>
      </c>
      <c r="D620" s="528" t="n"/>
      <c r="E620" s="528" t="n"/>
      <c r="F620" s="529" t="n"/>
      <c r="G620" s="530" t="inlineStr">
        <is>
          <t>1_100332019</t>
        </is>
      </c>
      <c r="H620" s="530" t="n"/>
      <c r="I620" s="909" t="inlineStr">
        <is>
          <t>тыс.т</t>
        </is>
      </c>
    </row>
    <row r="621" ht="20.1" customHeight="1" s="769">
      <c r="C621" s="436" t="inlineStr">
        <is>
          <t xml:space="preserve">                Сургутский ЗСК</t>
        </is>
      </c>
      <c r="D621" s="528" t="n"/>
      <c r="E621" s="528" t="n"/>
      <c r="F621" s="529" t="n"/>
      <c r="G621" s="530" t="inlineStr">
        <is>
          <t>4_100331906+4_100331907</t>
        </is>
      </c>
      <c r="H621" s="530" t="n"/>
      <c r="I621" s="906" t="inlineStr">
        <is>
          <t>тыс.т</t>
        </is>
      </c>
    </row>
    <row r="622" ht="20.1" customHeight="1" s="769">
      <c r="C622" s="430" t="inlineStr">
        <is>
          <t xml:space="preserve"> ОЧ-92</t>
        </is>
      </c>
      <c r="D622" s="528" t="n"/>
      <c r="E622" s="528" t="n"/>
      <c r="F622" s="529" t="n"/>
      <c r="G622" s="530" t="inlineStr">
        <is>
          <t>4_100331906</t>
        </is>
      </c>
      <c r="H622" s="530" t="n"/>
      <c r="I622" s="909" t="inlineStr">
        <is>
          <t>тыс.т</t>
        </is>
      </c>
    </row>
    <row r="623" ht="20.1" customHeight="1" s="769">
      <c r="C623" s="430" t="inlineStr">
        <is>
          <t xml:space="preserve">   ОЧ-95</t>
        </is>
      </c>
      <c r="D623" s="528" t="n"/>
      <c r="E623" s="528" t="n"/>
      <c r="F623" s="529" t="n"/>
      <c r="G623" s="530" t="inlineStr">
        <is>
          <t>4_100331907</t>
        </is>
      </c>
      <c r="H623" s="530" t="n"/>
      <c r="I623" s="909" t="inlineStr">
        <is>
          <t>тыс.т</t>
        </is>
      </c>
    </row>
    <row r="624" ht="20.1" customHeight="1" s="769">
      <c r="B624" s="413" t="inlineStr">
        <is>
          <t>10.2.</t>
        </is>
      </c>
      <c r="C624" s="428" t="inlineStr">
        <is>
          <t>Дочерние общества</t>
        </is>
      </c>
      <c r="D624" s="528" t="n"/>
      <c r="E624" s="528" t="n"/>
      <c r="F624" s="529" t="n"/>
      <c r="G624" s="530" t="inlineStr">
        <is>
          <t>0+0</t>
        </is>
      </c>
      <c r="H624" s="530" t="n"/>
      <c r="I624" s="446" t="inlineStr">
        <is>
          <t>тыс.т</t>
        </is>
      </c>
    </row>
    <row r="625" ht="20.1" customHeight="1" s="769">
      <c r="C625" s="424" t="inlineStr">
        <is>
          <t xml:space="preserve">   Газпром переработка</t>
        </is>
      </c>
      <c r="D625" s="528" t="n"/>
      <c r="E625" s="528" t="n"/>
      <c r="F625" s="529" t="n"/>
      <c r="G625" s="530" t="inlineStr">
        <is>
          <t>0+0</t>
        </is>
      </c>
      <c r="H625" s="530" t="n"/>
      <c r="I625" s="446" t="inlineStr">
        <is>
          <t>тыс.т</t>
        </is>
      </c>
    </row>
    <row r="626" ht="20.1" customHeight="1" s="769">
      <c r="C626" s="436" t="inlineStr">
        <is>
          <t>Астраханский ГПЗ</t>
        </is>
      </c>
      <c r="D626" s="528" t="n"/>
      <c r="E626" s="528" t="n"/>
      <c r="F626" s="529" t="n"/>
      <c r="G626" s="530" t="inlineStr">
        <is>
          <t>0+0</t>
        </is>
      </c>
      <c r="H626" s="530" t="n"/>
      <c r="I626" s="906" t="inlineStr">
        <is>
          <t>тыс.т</t>
        </is>
      </c>
    </row>
    <row r="627" ht="20.1" customHeight="1" s="769">
      <c r="C627" s="430" t="inlineStr">
        <is>
          <t>ОЧ-92</t>
        </is>
      </c>
      <c r="D627" s="528" t="n"/>
      <c r="E627" s="528" t="n"/>
      <c r="F627" s="529" t="n"/>
      <c r="G627" s="530" t="n">
        <v>0</v>
      </c>
      <c r="H627" s="530" t="n"/>
      <c r="I627" s="909" t="inlineStr">
        <is>
          <t>тыс.т</t>
        </is>
      </c>
    </row>
    <row r="628" ht="20.1" customHeight="1" s="769">
      <c r="C628" s="430" t="inlineStr">
        <is>
          <t>ОЧ-95</t>
        </is>
      </c>
      <c r="D628" s="528" t="n"/>
      <c r="E628" s="528" t="n"/>
      <c r="F628" s="529" t="n"/>
      <c r="G628" s="530" t="n">
        <v>0</v>
      </c>
      <c r="H628" s="530" t="n"/>
      <c r="I628" s="909" t="inlineStr">
        <is>
          <t>тыс.т</t>
        </is>
      </c>
    </row>
    <row r="629" ht="20.1" customHeight="1" s="769">
      <c r="B629" s="747" t="inlineStr">
        <is>
          <t>11.</t>
        </is>
      </c>
      <c r="C629" s="416" t="inlineStr">
        <is>
          <t>Топливо для реактивных двигателей марки ТС-1-всего</t>
        </is>
      </c>
      <c r="D629" s="528" t="n"/>
      <c r="E629" s="528" t="n"/>
      <c r="F629" s="529" t="n"/>
      <c r="G629" s="530" t="n"/>
      <c r="H629" s="530" t="n"/>
      <c r="I629" s="446" t="n"/>
    </row>
    <row r="630" ht="20.1" customHeight="1" s="769">
      <c r="C630" s="424" t="inlineStr">
        <is>
          <t xml:space="preserve">   Газпром переработка</t>
        </is>
      </c>
      <c r="D630" s="528" t="n"/>
      <c r="E630" s="528" t="n"/>
      <c r="F630" s="529" t="n"/>
      <c r="G630" s="530" t="inlineStr">
        <is>
          <t>4_100331909+4_100331910</t>
        </is>
      </c>
      <c r="H630" s="530" t="n"/>
      <c r="I630" s="446" t="inlineStr">
        <is>
          <t>тыс.т</t>
        </is>
      </c>
    </row>
    <row r="631" ht="20.1" customHeight="1" s="769">
      <c r="C631" s="436" t="inlineStr">
        <is>
          <t xml:space="preserve">               Уренгойский ЗПКТ</t>
        </is>
      </c>
      <c r="D631" s="528" t="n"/>
      <c r="E631" s="528" t="n"/>
      <c r="F631" s="529" t="n"/>
      <c r="G631" s="530" t="inlineStr">
        <is>
          <t>4_100331909</t>
        </is>
      </c>
      <c r="H631" s="530" t="n"/>
      <c r="I631" s="906" t="inlineStr">
        <is>
          <t>тыс.т</t>
        </is>
      </c>
    </row>
    <row r="632" ht="20.1" customHeight="1" s="769">
      <c r="C632" s="436" t="inlineStr">
        <is>
          <t xml:space="preserve">    Сургутский ЗСК</t>
        </is>
      </c>
      <c r="D632" s="528" t="n"/>
      <c r="E632" s="528" t="n"/>
      <c r="F632" s="529" t="n"/>
      <c r="G632" s="530" t="inlineStr">
        <is>
          <t>4_100331910</t>
        </is>
      </c>
      <c r="H632" s="530" t="n"/>
      <c r="I632" s="906" t="inlineStr">
        <is>
          <t>тыс.т</t>
        </is>
      </c>
    </row>
    <row r="633" ht="20.1" customHeight="1" s="769">
      <c r="B633" s="413" t="inlineStr">
        <is>
          <t>11.1.</t>
        </is>
      </c>
      <c r="C633" s="428" t="inlineStr">
        <is>
          <t>Газпром</t>
        </is>
      </c>
      <c r="D633" s="528" t="n"/>
      <c r="E633" s="528" t="n"/>
      <c r="F633" s="529" t="n"/>
      <c r="G633" s="530" t="inlineStr">
        <is>
          <t>4_100331909+4_100331910</t>
        </is>
      </c>
      <c r="H633" s="530" t="n"/>
      <c r="I633" s="446" t="inlineStr">
        <is>
          <t>тыс.т</t>
        </is>
      </c>
    </row>
    <row r="634" ht="20.1" customHeight="1" s="769">
      <c r="C634" s="424" t="inlineStr">
        <is>
          <t xml:space="preserve">   Газпром переработка</t>
        </is>
      </c>
      <c r="D634" s="528" t="n"/>
      <c r="E634" s="528" t="n"/>
      <c r="F634" s="529" t="n"/>
      <c r="G634" s="530" t="inlineStr">
        <is>
          <t>4_100331909+4_100331910</t>
        </is>
      </c>
      <c r="H634" s="530" t="n"/>
      <c r="I634" s="446" t="inlineStr">
        <is>
          <t>тыс.т</t>
        </is>
      </c>
    </row>
    <row r="635" ht="20.1" customHeight="1" s="769">
      <c r="C635" s="436" t="inlineStr">
        <is>
          <t>Уренгойский ЗПКТ</t>
        </is>
      </c>
      <c r="D635" s="528" t="n"/>
      <c r="E635" s="528" t="n"/>
      <c r="F635" s="529" t="n"/>
      <c r="G635" s="530" t="inlineStr">
        <is>
          <t>4_100331909</t>
        </is>
      </c>
      <c r="H635" s="530" t="n"/>
      <c r="I635" s="906" t="inlineStr">
        <is>
          <t>тыс.т</t>
        </is>
      </c>
    </row>
    <row r="636" ht="20.1" customHeight="1" s="769">
      <c r="C636" s="436" t="inlineStr">
        <is>
          <t xml:space="preserve">    Сургутский ЗСК</t>
        </is>
      </c>
      <c r="D636" s="528" t="n"/>
      <c r="E636" s="528" t="n"/>
      <c r="F636" s="529" t="n"/>
      <c r="G636" s="530" t="inlineStr">
        <is>
          <t>4_100331910</t>
        </is>
      </c>
      <c r="H636" s="530" t="n"/>
      <c r="I636" s="906" t="inlineStr">
        <is>
          <t>тыс.т</t>
        </is>
      </c>
    </row>
    <row r="637" ht="20.1" customHeight="1" s="769">
      <c r="B637" s="413" t="inlineStr">
        <is>
          <t>11.2.</t>
        </is>
      </c>
      <c r="C637" s="428" t="inlineStr">
        <is>
          <t>Дочерние общества</t>
        </is>
      </c>
      <c r="D637" s="528" t="n"/>
      <c r="E637" s="528" t="n"/>
      <c r="F637" s="529" t="n"/>
      <c r="G637" s="530" t="n">
        <v>0</v>
      </c>
      <c r="H637" s="530" t="n"/>
      <c r="I637" s="446" t="inlineStr">
        <is>
          <t>тыс.т</t>
        </is>
      </c>
    </row>
    <row r="638" ht="20.1" customHeight="1" s="769">
      <c r="B638" s="747" t="inlineStr">
        <is>
          <t>12.</t>
        </is>
      </c>
      <c r="C638" s="416" t="inlineStr">
        <is>
          <t>Дизельное топливо-всего</t>
        </is>
      </c>
      <c r="D638" s="528" t="n"/>
      <c r="E638" s="528" t="n"/>
      <c r="F638" s="529" t="n"/>
      <c r="G638" s="530" t="inlineStr">
        <is>
          <t>1_100332023+0+4_100331912+4_100331913+7_100330605</t>
        </is>
      </c>
      <c r="H638" s="530" t="n"/>
      <c r="I638" s="446" t="inlineStr">
        <is>
          <t>тыс.т</t>
        </is>
      </c>
    </row>
    <row r="639" ht="20.1" customHeight="1" s="769">
      <c r="C639" s="424" t="inlineStr">
        <is>
          <t xml:space="preserve">   Газпром переработка</t>
        </is>
      </c>
      <c r="D639" s="528" t="n"/>
      <c r="E639" s="528" t="n"/>
      <c r="F639" s="529" t="n"/>
      <c r="G639" s="530" t="inlineStr">
        <is>
          <t>1_100332023+0+4_100331912+4_100331913</t>
        </is>
      </c>
      <c r="H639" s="530" t="n"/>
      <c r="I639" s="446" t="inlineStr">
        <is>
          <t>тыс.т</t>
        </is>
      </c>
    </row>
    <row r="640" ht="20.1" customHeight="1" s="769">
      <c r="C640" s="436" t="inlineStr">
        <is>
          <t>Астраханский ГПЗ</t>
        </is>
      </c>
      <c r="D640" s="528" t="n"/>
      <c r="E640" s="528" t="n"/>
      <c r="F640" s="529" t="n"/>
      <c r="G640" s="530" t="inlineStr">
        <is>
          <t>1_100332023+0</t>
        </is>
      </c>
      <c r="H640" s="530" t="n"/>
      <c r="I640" s="906" t="inlineStr">
        <is>
          <t>тыс.т</t>
        </is>
      </c>
    </row>
    <row r="641" ht="20.1" customHeight="1" s="769">
      <c r="C641" s="436" t="inlineStr">
        <is>
          <t>Уренгойский ЗПКТ</t>
        </is>
      </c>
      <c r="D641" s="528" t="n"/>
      <c r="E641" s="528" t="n"/>
      <c r="F641" s="529" t="n"/>
      <c r="G641" s="530" t="inlineStr">
        <is>
          <t>4_100331912</t>
        </is>
      </c>
      <c r="H641" s="530" t="n"/>
      <c r="I641" s="906" t="inlineStr">
        <is>
          <t>тыс.т</t>
        </is>
      </c>
    </row>
    <row r="642" ht="20.1" customHeight="1" s="769">
      <c r="C642" s="436" t="inlineStr">
        <is>
          <t xml:space="preserve">                Сургутский ЗСК</t>
        </is>
      </c>
      <c r="D642" s="528" t="n"/>
      <c r="E642" s="528" t="n"/>
      <c r="F642" s="529" t="n"/>
      <c r="G642" s="530" t="inlineStr">
        <is>
          <t>4_100331913</t>
        </is>
      </c>
      <c r="H642" s="530" t="n"/>
      <c r="I642" s="906" t="inlineStr">
        <is>
          <t>тыс.т</t>
        </is>
      </c>
    </row>
    <row r="643" ht="20.1" customHeight="1" s="769">
      <c r="C643" s="424" t="inlineStr">
        <is>
          <t xml:space="preserve">   Газпром добыча Ямбург</t>
        </is>
      </c>
      <c r="D643" s="528" t="n"/>
      <c r="E643" s="528" t="n"/>
      <c r="F643" s="529" t="n"/>
      <c r="G643" s="530" t="inlineStr">
        <is>
          <t>7_100330605</t>
        </is>
      </c>
      <c r="H643" s="530" t="n"/>
      <c r="I643" s="446" t="inlineStr">
        <is>
          <t>тыс.т</t>
        </is>
      </c>
    </row>
    <row r="644" ht="20.1" customHeight="1" s="769">
      <c r="B644" s="413" t="inlineStr">
        <is>
          <t>12.1.</t>
        </is>
      </c>
      <c r="C644" s="428" t="inlineStr">
        <is>
          <t>Газпром</t>
        </is>
      </c>
      <c r="D644" s="528" t="n"/>
      <c r="E644" s="528" t="n"/>
      <c r="F644" s="529" t="n"/>
      <c r="G644" s="530" t="inlineStr">
        <is>
          <t>1_100332023+4_100331912+4_100331913</t>
        </is>
      </c>
      <c r="H644" s="530" t="n"/>
      <c r="I644" s="446" t="inlineStr">
        <is>
          <t>тыс.т</t>
        </is>
      </c>
    </row>
    <row r="645" ht="20.1" customHeight="1" s="769">
      <c r="C645" s="424" t="inlineStr">
        <is>
          <t xml:space="preserve">   Газпром переработка</t>
        </is>
      </c>
      <c r="D645" s="528" t="n"/>
      <c r="E645" s="528" t="n"/>
      <c r="F645" s="529" t="n"/>
      <c r="G645" s="530" t="inlineStr">
        <is>
          <t>1_100332023+4_100331912+4_100331913</t>
        </is>
      </c>
      <c r="H645" s="530" t="n"/>
      <c r="I645" s="446" t="inlineStr">
        <is>
          <t>тыс.т</t>
        </is>
      </c>
    </row>
    <row r="646" ht="20.1" customHeight="1" s="769">
      <c r="C646" s="436" t="inlineStr">
        <is>
          <t>Астраханский ГПЗ</t>
        </is>
      </c>
      <c r="D646" s="528" t="n"/>
      <c r="E646" s="528" t="n"/>
      <c r="F646" s="529" t="n"/>
      <c r="G646" s="530" t="inlineStr">
        <is>
          <t>1_100332023</t>
        </is>
      </c>
      <c r="H646" s="530" t="n"/>
      <c r="I646" s="906" t="inlineStr">
        <is>
          <t>тыс.т</t>
        </is>
      </c>
    </row>
    <row r="647" ht="20.1" customHeight="1" s="769">
      <c r="C647" s="436" t="inlineStr">
        <is>
          <t>Уренгойский ЗПКТ</t>
        </is>
      </c>
      <c r="D647" s="528" t="n"/>
      <c r="E647" s="528" t="n"/>
      <c r="F647" s="529" t="n"/>
      <c r="G647" s="530" t="inlineStr">
        <is>
          <t>4_100331912</t>
        </is>
      </c>
      <c r="H647" s="530" t="n"/>
      <c r="I647" s="906" t="inlineStr">
        <is>
          <t>тыс.т</t>
        </is>
      </c>
    </row>
    <row r="648" ht="20.1" customHeight="1" s="769">
      <c r="C648" s="436" t="inlineStr">
        <is>
          <t xml:space="preserve">                Сургутский ЗСК</t>
        </is>
      </c>
      <c r="D648" s="528" t="n"/>
      <c r="E648" s="528" t="n"/>
      <c r="F648" s="529" t="n"/>
      <c r="G648" s="530" t="inlineStr">
        <is>
          <t>4_100331913</t>
        </is>
      </c>
      <c r="H648" s="530" t="n"/>
      <c r="I648" s="906" t="inlineStr">
        <is>
          <t>тыс.т</t>
        </is>
      </c>
    </row>
    <row r="649" ht="20.1" customHeight="1" s="769">
      <c r="B649" s="413" t="inlineStr">
        <is>
          <t>12.2.</t>
        </is>
      </c>
      <c r="C649" s="428" t="inlineStr">
        <is>
          <t>Дочерние общества</t>
        </is>
      </c>
      <c r="D649" s="528" t="n"/>
      <c r="E649" s="528" t="n"/>
      <c r="F649" s="529" t="n"/>
      <c r="G649" s="530" t="inlineStr">
        <is>
          <t>0+7_100330605</t>
        </is>
      </c>
      <c r="H649" s="530" t="n"/>
      <c r="I649" s="446" t="inlineStr">
        <is>
          <t>тыс.т</t>
        </is>
      </c>
    </row>
    <row r="650" ht="20.1" customHeight="1" s="769">
      <c r="C650" s="424" t="inlineStr">
        <is>
          <t xml:space="preserve">   Газпром переработка</t>
        </is>
      </c>
      <c r="D650" s="528" t="n"/>
      <c r="E650" s="528" t="n"/>
      <c r="F650" s="529" t="n"/>
      <c r="G650" s="530" t="n">
        <v>0</v>
      </c>
      <c r="H650" s="530" t="n"/>
      <c r="I650" s="446" t="inlineStr">
        <is>
          <t>тыс.т</t>
        </is>
      </c>
    </row>
    <row r="651" ht="20.1" customHeight="1" s="769">
      <c r="C651" s="436" t="inlineStr">
        <is>
          <t>Астраханский ГПЗ</t>
        </is>
      </c>
      <c r="D651" s="528" t="n"/>
      <c r="E651" s="528" t="n"/>
      <c r="F651" s="529" t="n"/>
      <c r="G651" s="530" t="n">
        <v>0</v>
      </c>
      <c r="H651" s="530" t="n"/>
      <c r="I651" s="906" t="inlineStr">
        <is>
          <t>тыс.т</t>
        </is>
      </c>
    </row>
    <row r="652" ht="20.1" customHeight="1" s="769">
      <c r="C652" s="424" t="inlineStr">
        <is>
          <t xml:space="preserve">   Газпром добыча Ямбург</t>
        </is>
      </c>
      <c r="D652" s="528" t="n"/>
      <c r="E652" s="528" t="n"/>
      <c r="F652" s="529" t="n"/>
      <c r="G652" s="530" t="inlineStr">
        <is>
          <t>7_100330605</t>
        </is>
      </c>
      <c r="H652" s="530" t="n"/>
      <c r="I652" s="446" t="inlineStr">
        <is>
          <t>тыс.т</t>
        </is>
      </c>
    </row>
    <row r="653" ht="20.1" customHeight="1" s="769">
      <c r="B653" s="747" t="inlineStr">
        <is>
          <t>13.</t>
        </is>
      </c>
      <c r="C653" s="416" t="inlineStr">
        <is>
          <t>Мазут - всего</t>
        </is>
      </c>
      <c r="D653" s="528" t="n"/>
      <c r="E653" s="528" t="n"/>
      <c r="F653" s="529" t="n"/>
      <c r="G653" s="530" t="inlineStr">
        <is>
          <t>1_100332024</t>
        </is>
      </c>
      <c r="H653" s="530" t="n"/>
      <c r="I653" s="446" t="inlineStr">
        <is>
          <t>тыс.т</t>
        </is>
      </c>
    </row>
    <row r="654" ht="20.1" customHeight="1" s="769">
      <c r="C654" s="424" t="inlineStr">
        <is>
          <t xml:space="preserve">   Газпром переработка</t>
        </is>
      </c>
      <c r="D654" s="528" t="n"/>
      <c r="E654" s="528" t="n"/>
      <c r="F654" s="529" t="n"/>
      <c r="G654" s="530" t="inlineStr">
        <is>
          <t>1_100332024</t>
        </is>
      </c>
      <c r="H654" s="530" t="n"/>
      <c r="I654" s="446" t="inlineStr">
        <is>
          <t>тыс.т</t>
        </is>
      </c>
    </row>
    <row r="655" ht="20.1" customHeight="1" s="769">
      <c r="C655" s="436" t="inlineStr">
        <is>
          <t>Астраханский ГПЗ</t>
        </is>
      </c>
      <c r="D655" s="528" t="n"/>
      <c r="E655" s="528" t="n"/>
      <c r="F655" s="529" t="n"/>
      <c r="G655" s="530" t="inlineStr">
        <is>
          <t>1_100332024</t>
        </is>
      </c>
      <c r="H655" s="530" t="n"/>
      <c r="I655" s="906" t="inlineStr">
        <is>
          <t>тыс.т</t>
        </is>
      </c>
    </row>
    <row r="656" ht="20.1" customHeight="1" s="769">
      <c r="B656" s="413" t="inlineStr">
        <is>
          <t>13.1.</t>
        </is>
      </c>
      <c r="C656" s="428" t="inlineStr">
        <is>
          <t>Газпром</t>
        </is>
      </c>
      <c r="D656" s="528" t="n"/>
      <c r="E656" s="528" t="n"/>
      <c r="F656" s="529" t="n"/>
      <c r="G656" s="530" t="inlineStr">
        <is>
          <t>1_100332024</t>
        </is>
      </c>
      <c r="H656" s="530" t="n"/>
      <c r="I656" s="446" t="inlineStr">
        <is>
          <t>тыс.т</t>
        </is>
      </c>
    </row>
    <row r="657" ht="20.1" customHeight="1" s="769">
      <c r="C657" s="424" t="inlineStr">
        <is>
          <t xml:space="preserve">   Газпром переработка</t>
        </is>
      </c>
      <c r="D657" s="528" t="n"/>
      <c r="E657" s="528" t="n"/>
      <c r="F657" s="529" t="n"/>
      <c r="G657" s="530" t="inlineStr">
        <is>
          <t>1_100332024</t>
        </is>
      </c>
      <c r="H657" s="530" t="n"/>
      <c r="I657" s="446" t="inlineStr">
        <is>
          <t>тыс.т</t>
        </is>
      </c>
    </row>
    <row r="658" ht="20.1" customHeight="1" s="769">
      <c r="C658" s="436" t="inlineStr">
        <is>
          <t>Астраханский ГПЗ</t>
        </is>
      </c>
      <c r="D658" s="528" t="n"/>
      <c r="E658" s="528" t="n"/>
      <c r="F658" s="529" t="n"/>
      <c r="G658" s="530" t="inlineStr">
        <is>
          <t>1_100332024</t>
        </is>
      </c>
      <c r="H658" s="530" t="n"/>
      <c r="I658" s="906" t="inlineStr">
        <is>
          <t>тыс.т</t>
        </is>
      </c>
    </row>
    <row r="659" ht="20.1" customHeight="1" s="769">
      <c r="B659" s="413" t="inlineStr">
        <is>
          <t>13.2.</t>
        </is>
      </c>
      <c r="C659" s="428" t="inlineStr">
        <is>
          <t>Дочерние общества</t>
        </is>
      </c>
      <c r="D659" s="528" t="n"/>
      <c r="E659" s="528" t="n"/>
      <c r="F659" s="529" t="n"/>
      <c r="G659" s="530" t="n">
        <v>0</v>
      </c>
      <c r="H659" s="530" t="n"/>
      <c r="I659" s="446" t="inlineStr">
        <is>
          <t>тыс.т</t>
        </is>
      </c>
    </row>
    <row r="660" ht="20.1" customHeight="1" s="769">
      <c r="B660" s="747" t="inlineStr">
        <is>
          <t>14.</t>
        </is>
      </c>
      <c r="C660" s="416" t="inlineStr">
        <is>
          <t xml:space="preserve">Дистиллят газового конденсата легкий - всего  </t>
        </is>
      </c>
      <c r="D660" s="528" t="n"/>
      <c r="E660" s="528" t="n"/>
      <c r="F660" s="529" t="n"/>
      <c r="G660" s="530" t="inlineStr">
        <is>
          <t>1_100332020+0+4_100331916+0+4_100331917</t>
        </is>
      </c>
      <c r="H660" s="530" t="n"/>
      <c r="I660" s="446" t="inlineStr">
        <is>
          <t>тыс.т</t>
        </is>
      </c>
    </row>
    <row r="661" ht="20.1" customHeight="1" s="769">
      <c r="C661" s="424" t="inlineStr">
        <is>
          <t xml:space="preserve">   Газпром переработка</t>
        </is>
      </c>
      <c r="D661" s="528" t="n"/>
      <c r="E661" s="528" t="n"/>
      <c r="F661" s="529" t="n"/>
      <c r="G661" s="530" t="inlineStr">
        <is>
          <t>1_100332020+0+4_100331916+0+4_100331917</t>
        </is>
      </c>
      <c r="H661" s="530" t="n"/>
      <c r="I661" s="446" t="inlineStr">
        <is>
          <t>тыс.т</t>
        </is>
      </c>
    </row>
    <row r="662" ht="20.1" customHeight="1" s="769">
      <c r="C662" s="436" t="inlineStr">
        <is>
          <t>Астраханский ГПЗ</t>
        </is>
      </c>
      <c r="D662" s="528" t="n"/>
      <c r="E662" s="528" t="n"/>
      <c r="F662" s="529" t="n"/>
      <c r="G662" s="530" t="inlineStr">
        <is>
          <t>1_100332020+0</t>
        </is>
      </c>
      <c r="H662" s="530" t="n"/>
      <c r="I662" s="906" t="inlineStr">
        <is>
          <t>тыс.т</t>
        </is>
      </c>
    </row>
    <row r="663" ht="20.1" customHeight="1" s="769">
      <c r="C663" s="436" t="inlineStr">
        <is>
          <t>Уренгойский ЗПКТ</t>
        </is>
      </c>
      <c r="D663" s="528" t="n"/>
      <c r="E663" s="528" t="n"/>
      <c r="F663" s="529" t="n"/>
      <c r="G663" s="530" t="inlineStr">
        <is>
          <t>4_100331916+0</t>
        </is>
      </c>
      <c r="H663" s="530" t="n"/>
      <c r="I663" s="906" t="inlineStr">
        <is>
          <t>тыс.т</t>
        </is>
      </c>
    </row>
    <row r="664" ht="20.1" customHeight="1" s="769">
      <c r="C664" s="436" t="inlineStr">
        <is>
          <t xml:space="preserve">                Сургутский ЗСК</t>
        </is>
      </c>
      <c r="D664" s="528" t="n"/>
      <c r="E664" s="528" t="n"/>
      <c r="F664" s="529" t="n"/>
      <c r="G664" s="530" t="inlineStr">
        <is>
          <t>4_100331917</t>
        </is>
      </c>
      <c r="H664" s="530" t="n"/>
      <c r="I664" s="906" t="inlineStr">
        <is>
          <t>тыс.т</t>
        </is>
      </c>
    </row>
    <row r="665" ht="20.1" customHeight="1" s="769">
      <c r="B665" s="413" t="inlineStr">
        <is>
          <t>14.1.</t>
        </is>
      </c>
      <c r="C665" s="428" t="inlineStr">
        <is>
          <t>Газпром</t>
        </is>
      </c>
      <c r="D665" s="528" t="n"/>
      <c r="E665" s="528" t="n"/>
      <c r="F665" s="529" t="n"/>
      <c r="G665" s="530" t="inlineStr">
        <is>
          <t>1_100332020+4_100331916+4_100331917</t>
        </is>
      </c>
      <c r="H665" s="530" t="n"/>
      <c r="I665" s="446" t="inlineStr">
        <is>
          <t>тыс.т</t>
        </is>
      </c>
    </row>
    <row r="666" ht="20.1" customHeight="1" s="769">
      <c r="C666" s="424" t="inlineStr">
        <is>
          <t xml:space="preserve">   Газпром переработка</t>
        </is>
      </c>
      <c r="D666" s="528" t="n"/>
      <c r="E666" s="528" t="n"/>
      <c r="F666" s="529" t="n"/>
      <c r="G666" s="530" t="inlineStr">
        <is>
          <t>1_100332020+4_100331916+4_100331917</t>
        </is>
      </c>
      <c r="H666" s="530" t="n"/>
      <c r="I666" s="446" t="inlineStr">
        <is>
          <t>тыс.т</t>
        </is>
      </c>
    </row>
    <row r="667" ht="20.1" customHeight="1" s="769">
      <c r="C667" s="436" t="inlineStr">
        <is>
          <t>Астраханский ГПЗ</t>
        </is>
      </c>
      <c r="D667" s="528" t="n"/>
      <c r="E667" s="528" t="n"/>
      <c r="F667" s="529" t="n"/>
      <c r="G667" s="530" t="inlineStr">
        <is>
          <t>1_100332020</t>
        </is>
      </c>
      <c r="H667" s="530" t="n"/>
      <c r="I667" s="906" t="inlineStr">
        <is>
          <t>тыс.т</t>
        </is>
      </c>
    </row>
    <row r="668" ht="20.1" customHeight="1" s="769">
      <c r="C668" s="436" t="inlineStr">
        <is>
          <t>Уренгойский ЗПКТ</t>
        </is>
      </c>
      <c r="D668" s="528" t="n"/>
      <c r="E668" s="528" t="n"/>
      <c r="F668" s="529" t="n"/>
      <c r="G668" s="530" t="inlineStr">
        <is>
          <t>4_100331916</t>
        </is>
      </c>
      <c r="H668" s="530" t="n"/>
      <c r="I668" s="906" t="inlineStr">
        <is>
          <t>тыс.т</t>
        </is>
      </c>
    </row>
    <row r="669" ht="20.1" customHeight="1" s="769">
      <c r="C669" s="436" t="inlineStr">
        <is>
          <t xml:space="preserve">               Сургутский ЗСК</t>
        </is>
      </c>
      <c r="D669" s="528" t="n"/>
      <c r="E669" s="528" t="n"/>
      <c r="F669" s="529" t="n"/>
      <c r="G669" s="530" t="inlineStr">
        <is>
          <t>4_100331917</t>
        </is>
      </c>
      <c r="H669" s="530" t="n"/>
      <c r="I669" s="906" t="inlineStr">
        <is>
          <t>тыс.т</t>
        </is>
      </c>
    </row>
    <row r="670" ht="20.1" customHeight="1" s="769">
      <c r="B670" s="413" t="inlineStr">
        <is>
          <t>14.2.</t>
        </is>
      </c>
      <c r="C670" s="428" t="inlineStr">
        <is>
          <t>Дочерние общества</t>
        </is>
      </c>
      <c r="D670" s="528" t="n"/>
      <c r="E670" s="528" t="n"/>
      <c r="F670" s="529" t="n"/>
      <c r="G670" s="530" t="inlineStr">
        <is>
          <t>0+0</t>
        </is>
      </c>
      <c r="H670" s="530" t="n"/>
      <c r="I670" s="446" t="inlineStr">
        <is>
          <t>тыс.т</t>
        </is>
      </c>
    </row>
    <row r="671" ht="20.1" customHeight="1" s="769">
      <c r="C671" s="424" t="inlineStr">
        <is>
          <t xml:space="preserve">   Газпром добыча Уренгой</t>
        </is>
      </c>
      <c r="D671" s="528" t="n"/>
      <c r="E671" s="528" t="n"/>
      <c r="F671" s="529" t="n"/>
      <c r="G671" s="530" t="n">
        <v>0</v>
      </c>
      <c r="H671" s="530" t="n"/>
      <c r="I671" s="446" t="inlineStr">
        <is>
          <t>тыс.т</t>
        </is>
      </c>
    </row>
    <row r="672" ht="20.1" customHeight="1" s="769">
      <c r="C672" s="436" t="inlineStr">
        <is>
          <t>Уренгойский ЗПКТ</t>
        </is>
      </c>
      <c r="D672" s="528" t="n"/>
      <c r="E672" s="528" t="n"/>
      <c r="F672" s="529" t="n"/>
      <c r="G672" s="530" t="n">
        <v>0</v>
      </c>
      <c r="H672" s="530" t="n"/>
      <c r="I672" s="906" t="inlineStr">
        <is>
          <t>тыс.т</t>
        </is>
      </c>
    </row>
    <row r="673" ht="20.1" customHeight="1" s="769">
      <c r="C673" s="424" t="inlineStr">
        <is>
          <t xml:space="preserve">   Газпром переработка</t>
        </is>
      </c>
      <c r="D673" s="528" t="n"/>
      <c r="E673" s="528" t="n"/>
      <c r="F673" s="529" t="n"/>
      <c r="G673" s="530" t="n">
        <v>0</v>
      </c>
      <c r="H673" s="530" t="n"/>
      <c r="I673" s="446" t="inlineStr">
        <is>
          <t>тыс.т</t>
        </is>
      </c>
    </row>
    <row r="674" ht="20.1" customHeight="1" s="769">
      <c r="C674" s="436" t="inlineStr">
        <is>
          <t>Астраханский ГПЗ</t>
        </is>
      </c>
      <c r="D674" s="528" t="n"/>
      <c r="E674" s="528" t="n"/>
      <c r="F674" s="529" t="n"/>
      <c r="G674" s="530" t="n">
        <v>0</v>
      </c>
      <c r="H674" s="530" t="n"/>
      <c r="I674" s="906" t="inlineStr">
        <is>
          <t>тыс.т</t>
        </is>
      </c>
    </row>
    <row r="675" ht="20.1" customHeight="1" s="769">
      <c r="B675" s="747" t="inlineStr">
        <is>
          <t>15.</t>
        </is>
      </c>
      <c r="C675" s="416" t="inlineStr">
        <is>
          <t>Дистиллят газового конденсата средний - всего</t>
        </is>
      </c>
      <c r="D675" s="528" t="n"/>
      <c r="E675" s="528" t="n"/>
      <c r="F675" s="529" t="n"/>
      <c r="G675" s="530" t="inlineStr">
        <is>
          <t>1_100332021+0</t>
        </is>
      </c>
      <c r="H675" s="530" t="n"/>
      <c r="I675" s="446" t="inlineStr">
        <is>
          <t>тыс.т</t>
        </is>
      </c>
    </row>
    <row r="676" ht="20.1" customHeight="1" s="769">
      <c r="C676" s="424" t="inlineStr">
        <is>
          <t xml:space="preserve">   Газпром переработка</t>
        </is>
      </c>
      <c r="D676" s="528" t="n"/>
      <c r="E676" s="528" t="n"/>
      <c r="F676" s="529" t="n"/>
      <c r="G676" s="530" t="inlineStr">
        <is>
          <t>1_100332021+0</t>
        </is>
      </c>
      <c r="H676" s="530" t="n"/>
      <c r="I676" s="446" t="inlineStr">
        <is>
          <t>тыс.т</t>
        </is>
      </c>
    </row>
    <row r="677" ht="20.1" customHeight="1" s="769">
      <c r="C677" s="436" t="inlineStr">
        <is>
          <t>Астраханский ГПЗ</t>
        </is>
      </c>
      <c r="D677" s="528" t="n"/>
      <c r="E677" s="528" t="n"/>
      <c r="F677" s="529" t="n"/>
      <c r="G677" s="530" t="inlineStr">
        <is>
          <t>1_100332021+0</t>
        </is>
      </c>
      <c r="H677" s="530" t="n"/>
      <c r="I677" s="906" t="inlineStr">
        <is>
          <t>тыс.т</t>
        </is>
      </c>
    </row>
    <row r="678" ht="20.1" customHeight="1" s="769">
      <c r="B678" s="413" t="inlineStr">
        <is>
          <t>15.1.</t>
        </is>
      </c>
      <c r="C678" s="428" t="inlineStr">
        <is>
          <t>Газпром</t>
        </is>
      </c>
      <c r="D678" s="528" t="n"/>
      <c r="E678" s="528" t="n"/>
      <c r="F678" s="529" t="n"/>
      <c r="G678" s="530" t="inlineStr">
        <is>
          <t>1_100332021</t>
        </is>
      </c>
      <c r="H678" s="530" t="n"/>
      <c r="I678" s="446" t="inlineStr">
        <is>
          <t>тыс.т</t>
        </is>
      </c>
    </row>
    <row r="679" ht="20.1" customHeight="1" s="769">
      <c r="C679" s="424" t="inlineStr">
        <is>
          <t xml:space="preserve">   Газпром переработка</t>
        </is>
      </c>
      <c r="D679" s="528" t="n"/>
      <c r="E679" s="528" t="n"/>
      <c r="F679" s="529" t="n"/>
      <c r="G679" s="530" t="inlineStr">
        <is>
          <t>1_100332021</t>
        </is>
      </c>
      <c r="H679" s="530" t="n"/>
      <c r="I679" s="446" t="inlineStr">
        <is>
          <t>тыс.т</t>
        </is>
      </c>
    </row>
    <row r="680" ht="20.1" customHeight="1" s="769">
      <c r="C680" s="436" t="inlineStr">
        <is>
          <t>Астраханский ГПЗ</t>
        </is>
      </c>
      <c r="D680" s="528" t="n"/>
      <c r="E680" s="528" t="n"/>
      <c r="F680" s="529" t="n"/>
      <c r="G680" s="530" t="inlineStr">
        <is>
          <t>1_100332021</t>
        </is>
      </c>
      <c r="H680" s="530" t="n"/>
      <c r="I680" s="906" t="inlineStr">
        <is>
          <t>тыс.т</t>
        </is>
      </c>
    </row>
    <row r="681" ht="20.1" customHeight="1" s="769">
      <c r="B681" s="413" t="inlineStr">
        <is>
          <t>15.2.</t>
        </is>
      </c>
      <c r="C681" s="428" t="inlineStr">
        <is>
          <t>Дочерние общества</t>
        </is>
      </c>
      <c r="D681" s="528" t="n"/>
      <c r="E681" s="528" t="n"/>
      <c r="F681" s="529" t="n"/>
      <c r="G681" s="530" t="n">
        <v>0</v>
      </c>
      <c r="H681" s="530" t="n"/>
      <c r="I681" s="446" t="inlineStr">
        <is>
          <t>тыс.т</t>
        </is>
      </c>
    </row>
    <row r="682" ht="20.1" customHeight="1" s="769">
      <c r="C682" s="424" t="inlineStr">
        <is>
          <t xml:space="preserve">   Газпром переработка</t>
        </is>
      </c>
      <c r="D682" s="528" t="n"/>
      <c r="E682" s="528" t="n"/>
      <c r="F682" s="529" t="n"/>
      <c r="G682" s="530" t="n">
        <v>0</v>
      </c>
      <c r="H682" s="530" t="n"/>
      <c r="I682" s="446" t="inlineStr">
        <is>
          <t>тыс.т</t>
        </is>
      </c>
    </row>
    <row r="683" ht="20.1" customHeight="1" s="769">
      <c r="C683" s="436" t="inlineStr">
        <is>
          <t>Астраханский ГПЗ</t>
        </is>
      </c>
      <c r="D683" s="528" t="n"/>
      <c r="E683" s="528" t="n"/>
      <c r="F683" s="529" t="n"/>
      <c r="G683" s="530" t="n">
        <v>0</v>
      </c>
      <c r="H683" s="530" t="n"/>
      <c r="I683" s="906" t="inlineStr">
        <is>
          <t>тыс.т</t>
        </is>
      </c>
    </row>
    <row r="684" ht="20.1" customHeight="1" s="769">
      <c r="B684" s="747" t="inlineStr">
        <is>
          <t>16.</t>
        </is>
      </c>
      <c r="C684" s="416" t="inlineStr">
        <is>
          <t>Дистиллят газового конденсата тяжелый - всего</t>
        </is>
      </c>
      <c r="D684" s="528" t="n"/>
      <c r="E684" s="528" t="n"/>
      <c r="F684" s="529" t="n"/>
      <c r="G684" s="530" t="inlineStr">
        <is>
          <t>1_100332022+0</t>
        </is>
      </c>
      <c r="H684" s="530" t="n"/>
      <c r="I684" s="446" t="inlineStr">
        <is>
          <t>тыс.т</t>
        </is>
      </c>
    </row>
    <row r="685" ht="20.1" customHeight="1" s="769">
      <c r="C685" s="424" t="inlineStr">
        <is>
          <t xml:space="preserve">   Газпром переработка</t>
        </is>
      </c>
      <c r="D685" s="528" t="n"/>
      <c r="E685" s="528" t="n"/>
      <c r="F685" s="529" t="n"/>
      <c r="G685" s="530" t="inlineStr">
        <is>
          <t>1_100332022+0</t>
        </is>
      </c>
      <c r="H685" s="530" t="n"/>
      <c r="I685" s="446" t="inlineStr">
        <is>
          <t>тыс.т</t>
        </is>
      </c>
    </row>
    <row r="686" ht="20.1" customHeight="1" s="769">
      <c r="C686" s="436" t="inlineStr">
        <is>
          <t>Астраханский ГПЗ</t>
        </is>
      </c>
      <c r="D686" s="528" t="n"/>
      <c r="E686" s="528" t="n"/>
      <c r="F686" s="529" t="n"/>
      <c r="G686" s="530" t="inlineStr">
        <is>
          <t>1_100332022+0</t>
        </is>
      </c>
      <c r="H686" s="530" t="n"/>
      <c r="I686" s="906" t="inlineStr">
        <is>
          <t>тыс.т</t>
        </is>
      </c>
    </row>
    <row r="687" ht="20.1" customHeight="1" s="769">
      <c r="B687" s="413" t="inlineStr">
        <is>
          <t>16.1.</t>
        </is>
      </c>
      <c r="C687" s="428" t="inlineStr">
        <is>
          <t>Газпром</t>
        </is>
      </c>
      <c r="D687" s="528" t="n"/>
      <c r="E687" s="528" t="n"/>
      <c r="F687" s="529" t="n"/>
      <c r="G687" s="530" t="inlineStr">
        <is>
          <t>1_100332022</t>
        </is>
      </c>
      <c r="H687" s="530" t="n"/>
      <c r="I687" s="446" t="inlineStr">
        <is>
          <t>тыс.т</t>
        </is>
      </c>
    </row>
    <row r="688" ht="20.1" customHeight="1" s="769">
      <c r="C688" s="424" t="inlineStr">
        <is>
          <t xml:space="preserve">   Газпром переработка</t>
        </is>
      </c>
      <c r="D688" s="528" t="n"/>
      <c r="E688" s="528" t="n"/>
      <c r="F688" s="529" t="n"/>
      <c r="G688" s="530" t="inlineStr">
        <is>
          <t>1_100332022</t>
        </is>
      </c>
      <c r="H688" s="530" t="n"/>
      <c r="I688" s="446" t="inlineStr">
        <is>
          <t>тыс.т</t>
        </is>
      </c>
    </row>
    <row r="689" ht="20.1" customHeight="1" s="769">
      <c r="C689" s="436" t="inlineStr">
        <is>
          <t>Астраханский ГПЗ</t>
        </is>
      </c>
      <c r="D689" s="528" t="n"/>
      <c r="E689" s="528" t="n"/>
      <c r="F689" s="529" t="n"/>
      <c r="G689" s="530" t="inlineStr">
        <is>
          <t>1_100332022</t>
        </is>
      </c>
      <c r="H689" s="530" t="n"/>
      <c r="I689" s="906" t="inlineStr">
        <is>
          <t>тыс.т</t>
        </is>
      </c>
    </row>
    <row r="690" ht="20.1" customHeight="1" s="769">
      <c r="B690" s="413" t="inlineStr">
        <is>
          <t>16.2.</t>
        </is>
      </c>
      <c r="C690" s="428" t="inlineStr">
        <is>
          <t>Дочерние общества</t>
        </is>
      </c>
      <c r="D690" s="528" t="n"/>
      <c r="E690" s="528" t="n"/>
      <c r="F690" s="529" t="n"/>
      <c r="G690" s="530" t="n">
        <v>0</v>
      </c>
      <c r="H690" s="530" t="n"/>
      <c r="I690" s="446" t="inlineStr">
        <is>
          <t>тыс.т</t>
        </is>
      </c>
    </row>
    <row r="691" ht="20.1" customHeight="1" s="769">
      <c r="C691" s="424" t="inlineStr">
        <is>
          <t xml:space="preserve">   Газпром переработка</t>
        </is>
      </c>
      <c r="D691" s="528" t="n"/>
      <c r="E691" s="528" t="n"/>
      <c r="F691" s="529" t="n"/>
      <c r="G691" s="530" t="n">
        <v>0</v>
      </c>
      <c r="H691" s="530" t="n"/>
      <c r="I691" s="446" t="inlineStr">
        <is>
          <t>тыс.т</t>
        </is>
      </c>
    </row>
    <row r="692" ht="20.1" customHeight="1" s="769">
      <c r="C692" s="436" t="inlineStr">
        <is>
          <t>Астраханский ГПЗ</t>
        </is>
      </c>
      <c r="D692" s="528" t="n"/>
      <c r="E692" s="528" t="n"/>
      <c r="F692" s="529" t="n"/>
      <c r="G692" s="530" t="n">
        <v>0</v>
      </c>
      <c r="H692" s="530" t="n"/>
      <c r="I692" s="906" t="inlineStr">
        <is>
          <t>тыс.т</t>
        </is>
      </c>
    </row>
    <row r="693" ht="20.1" customHeight="1" s="769">
      <c r="B693" s="747" t="inlineStr">
        <is>
          <t>17.</t>
        </is>
      </c>
      <c r="C693" s="416" t="inlineStr">
        <is>
          <t>Этановая фракция-всего</t>
        </is>
      </c>
      <c r="D693" s="528" t="n"/>
      <c r="E693" s="528" t="n"/>
      <c r="F693" s="529" t="n"/>
      <c r="G693" s="530" t="inlineStr">
        <is>
          <t>2_100332242+2_100332243+2_100335151+14_100332362</t>
        </is>
      </c>
      <c r="H693" s="530" t="n"/>
      <c r="I693" s="446" t="inlineStr">
        <is>
          <t>тыс.т</t>
        </is>
      </c>
    </row>
    <row r="694" ht="20.1" customHeight="1" s="769">
      <c r="C694" s="424" t="inlineStr">
        <is>
          <t xml:space="preserve">   Газпром переработка</t>
        </is>
      </c>
      <c r="D694" s="528" t="n"/>
      <c r="E694" s="528" t="n"/>
      <c r="F694" s="529" t="n"/>
      <c r="G694" s="530" t="inlineStr">
        <is>
          <t>2_100332242+2_100332243+2_100335151</t>
        </is>
      </c>
      <c r="H694" s="530" t="n"/>
      <c r="I694" s="446" t="inlineStr">
        <is>
          <t>тыс.т</t>
        </is>
      </c>
    </row>
    <row r="695" ht="20.1" customHeight="1" s="769">
      <c r="C695" s="436" t="inlineStr">
        <is>
          <t>Оренбургский ГХК</t>
        </is>
      </c>
      <c r="D695" s="528" t="n"/>
      <c r="E695" s="528" t="n"/>
      <c r="F695" s="529" t="n"/>
      <c r="G695" s="530" t="inlineStr">
        <is>
          <t>2_100332242+2_100332243+2_100335151</t>
        </is>
      </c>
      <c r="H695" s="530" t="n"/>
      <c r="I695" s="446" t="inlineStr">
        <is>
          <t>тыс.т</t>
        </is>
      </c>
    </row>
    <row r="696" ht="20.1" customHeight="1" s="769">
      <c r="C696" s="424" t="inlineStr">
        <is>
          <t xml:space="preserve"> Газпром переработка Благовещенск</t>
        </is>
      </c>
      <c r="D696" s="528" t="n"/>
      <c r="E696" s="528" t="n"/>
      <c r="F696" s="529" t="n"/>
      <c r="G696" s="530" t="inlineStr">
        <is>
          <t>14_100332362</t>
        </is>
      </c>
      <c r="H696" s="530" t="n"/>
      <c r="I696" s="446" t="inlineStr">
        <is>
          <t>тыс.т</t>
        </is>
      </c>
    </row>
    <row r="697" ht="20.1" customHeight="1" s="769">
      <c r="C697" s="436" t="inlineStr">
        <is>
          <t xml:space="preserve"> Амурский ГПЗ</t>
        </is>
      </c>
      <c r="D697" s="528" t="n"/>
      <c r="E697" s="528" t="n"/>
      <c r="F697" s="529" t="n"/>
      <c r="G697" s="530" t="inlineStr">
        <is>
          <t>14_100332362</t>
        </is>
      </c>
      <c r="H697" s="530" t="n"/>
      <c r="I697" s="446" t="inlineStr">
        <is>
          <t>тыс.т</t>
        </is>
      </c>
    </row>
    <row r="698" ht="20.1" customHeight="1" s="769">
      <c r="B698" s="413" t="inlineStr">
        <is>
          <t>17.1.</t>
        </is>
      </c>
      <c r="C698" s="428" t="inlineStr">
        <is>
          <t>Газпром</t>
        </is>
      </c>
      <c r="D698" s="528" t="n"/>
      <c r="E698" s="528" t="n"/>
      <c r="F698" s="529" t="n"/>
      <c r="G698" s="530" t="inlineStr">
        <is>
          <t>14_100332362</t>
        </is>
      </c>
      <c r="H698" s="530" t="n"/>
      <c r="I698" s="446" t="inlineStr">
        <is>
          <t>тыс.т</t>
        </is>
      </c>
    </row>
    <row r="699" ht="20.1" customHeight="1" s="769">
      <c r="C699" s="424" t="inlineStr">
        <is>
          <t xml:space="preserve"> Газпром переработка Благовещенск</t>
        </is>
      </c>
      <c r="D699" s="528" t="n"/>
      <c r="E699" s="528" t="n"/>
      <c r="F699" s="529" t="n"/>
      <c r="G699" s="530" t="inlineStr">
        <is>
          <t>14_100332362</t>
        </is>
      </c>
      <c r="H699" s="530" t="n"/>
      <c r="I699" s="446" t="inlineStr">
        <is>
          <t>тыс.т</t>
        </is>
      </c>
    </row>
    <row r="700" ht="20.1" customHeight="1" s="769">
      <c r="C700" s="436" t="inlineStr">
        <is>
          <t xml:space="preserve"> Амурский ГПЗ</t>
        </is>
      </c>
      <c r="D700" s="528" t="n"/>
      <c r="E700" s="528" t="n"/>
      <c r="F700" s="529" t="n"/>
      <c r="G700" s="530" t="inlineStr">
        <is>
          <t>14_100332362</t>
        </is>
      </c>
      <c r="H700" s="530" t="n"/>
      <c r="I700" s="446" t="inlineStr">
        <is>
          <t>тыс.т</t>
        </is>
      </c>
    </row>
    <row r="701" ht="20.1" customHeight="1" s="769">
      <c r="B701" s="413" t="inlineStr">
        <is>
          <t>17.2.</t>
        </is>
      </c>
      <c r="C701" s="428" t="inlineStr">
        <is>
          <t>Дочерние общества</t>
        </is>
      </c>
      <c r="D701" s="528" t="n"/>
      <c r="E701" s="528" t="n"/>
      <c r="F701" s="529" t="n"/>
      <c r="G701" s="530" t="n"/>
      <c r="H701" s="530" t="n"/>
      <c r="I701" s="446" t="n"/>
    </row>
    <row r="702" ht="20.1" customHeight="1" s="769">
      <c r="C702" s="424" t="inlineStr">
        <is>
          <t xml:space="preserve">   Газпром переработка</t>
        </is>
      </c>
      <c r="D702" s="528" t="n"/>
      <c r="E702" s="528" t="n"/>
      <c r="F702" s="529" t="n"/>
      <c r="G702" s="530" t="inlineStr">
        <is>
          <t>2_100332242+2_100332243+2_100335151</t>
        </is>
      </c>
      <c r="H702" s="530" t="n"/>
      <c r="I702" s="446" t="inlineStr">
        <is>
          <t>тыс.т</t>
        </is>
      </c>
    </row>
    <row r="703" ht="20.1" customHeight="1" s="769">
      <c r="C703" s="436" t="inlineStr">
        <is>
          <t>Оренбургский ГХК</t>
        </is>
      </c>
      <c r="D703" s="528" t="n"/>
      <c r="E703" s="528" t="n"/>
      <c r="F703" s="529" t="n"/>
      <c r="G703" s="530" t="inlineStr">
        <is>
          <t>2_100332242+2_100332243+2_100335151</t>
        </is>
      </c>
      <c r="H703" s="530" t="n"/>
      <c r="I703" s="906" t="inlineStr">
        <is>
          <t>тыс.т</t>
        </is>
      </c>
    </row>
    <row r="704" ht="20.1" customHeight="1" s="769">
      <c r="C704" s="430" t="inlineStr">
        <is>
          <t>Газпром добыча Оренбург</t>
        </is>
      </c>
      <c r="D704" s="528" t="n"/>
      <c r="E704" s="528" t="n"/>
      <c r="F704" s="529" t="n"/>
      <c r="G704" s="530" t="inlineStr">
        <is>
          <t>2_100332242</t>
        </is>
      </c>
      <c r="H704" s="530" t="n"/>
      <c r="I704" s="446" t="inlineStr">
        <is>
          <t>тыс.т</t>
        </is>
      </c>
    </row>
    <row r="705" ht="20.1" customHeight="1" s="769">
      <c r="C705" s="430" t="inlineStr">
        <is>
          <t>Газпром нефть</t>
        </is>
      </c>
      <c r="D705" s="528" t="n"/>
      <c r="E705" s="528" t="n"/>
      <c r="F705" s="529" t="n"/>
      <c r="G705" s="530" t="inlineStr">
        <is>
          <t>2_100332243</t>
        </is>
      </c>
      <c r="H705" s="530" t="n"/>
      <c r="I705" s="446" t="inlineStr">
        <is>
          <t>тыс.т</t>
        </is>
      </c>
    </row>
    <row r="706" ht="20.1" customHeight="1" s="769">
      <c r="C706" s="908" t="inlineStr">
        <is>
          <t>прочие поставщики (ГПНЗ, УНГП, и.т.д.)</t>
        </is>
      </c>
      <c r="D706" s="528" t="n"/>
      <c r="E706" s="528" t="n"/>
      <c r="F706" s="529" t="n"/>
      <c r="G706" s="530" t="inlineStr">
        <is>
          <t>2_100335151</t>
        </is>
      </c>
      <c r="H706" s="530" t="n"/>
      <c r="I706" s="446" t="inlineStr">
        <is>
          <t>тыс.т</t>
        </is>
      </c>
    </row>
    <row r="707" ht="20.1" customHeight="1" s="769">
      <c r="B707" s="747" t="inlineStr">
        <is>
          <t>18.</t>
        </is>
      </c>
      <c r="C707" s="434" t="inlineStr">
        <is>
          <t>Гелий-всего</t>
        </is>
      </c>
      <c r="D707" s="528" t="n"/>
      <c r="E707" s="528" t="n"/>
      <c r="F707" s="529" t="n"/>
      <c r="G707" s="530" t="inlineStr">
        <is>
          <t>2_100332248+2_100332250+14_100332361+14_100335082</t>
        </is>
      </c>
      <c r="H707" s="530" t="n"/>
      <c r="I707" s="9" t="inlineStr">
        <is>
          <t>тыс. куб.м.</t>
        </is>
      </c>
    </row>
    <row r="708" ht="20.1" customHeight="1" s="769">
      <c r="C708" s="416" t="n"/>
      <c r="D708" s="528" t="n"/>
      <c r="E708" s="528" t="n"/>
      <c r="F708" s="529" t="n"/>
      <c r="G708" s="530" t="inlineStr">
        <is>
          <t>14_100332360+2_100335422+2_100332251+14_100335083</t>
        </is>
      </c>
      <c r="H708" s="530" t="n"/>
      <c r="I708" s="446" t="inlineStr">
        <is>
          <t>тонн</t>
        </is>
      </c>
    </row>
    <row r="709" ht="20.1" customHeight="1" s="769">
      <c r="C709" s="424" t="inlineStr">
        <is>
          <t xml:space="preserve">   Газпром переработка</t>
        </is>
      </c>
      <c r="D709" s="528" t="n"/>
      <c r="E709" s="528" t="n"/>
      <c r="F709" s="529" t="n"/>
      <c r="G709" s="530" t="inlineStr">
        <is>
          <t>2_100332248+2_100332250</t>
        </is>
      </c>
      <c r="H709" s="530" t="n"/>
      <c r="I709" s="446" t="inlineStr">
        <is>
          <t>тыс. куб.м.</t>
        </is>
      </c>
    </row>
    <row r="710" ht="20.1" customHeight="1" s="769">
      <c r="C710" s="435" t="inlineStr">
        <is>
          <t>Оренбургский ГХК</t>
        </is>
      </c>
      <c r="D710" s="528" t="n"/>
      <c r="E710" s="528" t="n"/>
      <c r="F710" s="529" t="n"/>
      <c r="G710" s="530" t="inlineStr">
        <is>
          <t>2_100332248+2_100332250</t>
        </is>
      </c>
      <c r="H710" s="530" t="n"/>
      <c r="I710" s="6" t="inlineStr">
        <is>
          <t>тыс. куб.м.</t>
        </is>
      </c>
    </row>
    <row r="711" ht="20.1" customHeight="1" s="769">
      <c r="C711" s="436" t="n"/>
      <c r="D711" s="528" t="n"/>
      <c r="E711" s="528" t="n"/>
      <c r="F711" s="529" t="n"/>
      <c r="G711" s="530" t="inlineStr">
        <is>
          <t>2_100335422+2_100332251</t>
        </is>
      </c>
      <c r="H711" s="530" t="n"/>
      <c r="I711" s="4" t="inlineStr">
        <is>
          <t>тонн</t>
        </is>
      </c>
    </row>
    <row r="712" ht="20.1" customHeight="1" s="769">
      <c r="C712" s="424" t="inlineStr">
        <is>
          <t>Газпром переработка Благовещенск</t>
        </is>
      </c>
      <c r="D712" s="528" t="n"/>
      <c r="E712" s="528" t="n"/>
      <c r="F712" s="529" t="n"/>
      <c r="G712" s="530" t="inlineStr">
        <is>
          <t>14_100332361+14_100335082</t>
        </is>
      </c>
      <c r="H712" s="530" t="n"/>
      <c r="I712" s="446" t="inlineStr">
        <is>
          <t>тыс. куб.м.</t>
        </is>
      </c>
    </row>
    <row r="713" ht="20.1" customHeight="1" s="769">
      <c r="C713" s="435" t="inlineStr">
        <is>
          <t xml:space="preserve"> Амурский ГПЗ </t>
        </is>
      </c>
      <c r="D713" s="528" t="n"/>
      <c r="E713" s="528" t="n"/>
      <c r="F713" s="529" t="n"/>
      <c r="G713" s="530" t="inlineStr">
        <is>
          <t>14_100332361+14_100335082</t>
        </is>
      </c>
      <c r="H713" s="530" t="n"/>
      <c r="I713" s="6" t="inlineStr">
        <is>
          <t>тыс. куб.м.</t>
        </is>
      </c>
    </row>
    <row r="714" ht="20.1" customHeight="1" s="769">
      <c r="C714" s="436" t="n"/>
      <c r="D714" s="528" t="n"/>
      <c r="E714" s="528" t="n"/>
      <c r="F714" s="529" t="n"/>
      <c r="G714" s="530" t="inlineStr">
        <is>
          <t>14_100332360+14_100335083</t>
        </is>
      </c>
      <c r="H714" s="530" t="n"/>
      <c r="I714" s="4" t="inlineStr">
        <is>
          <t>тонн</t>
        </is>
      </c>
    </row>
    <row r="715" ht="20.1" customHeight="1" s="769">
      <c r="B715" s="413" t="inlineStr">
        <is>
          <t>18.1.</t>
        </is>
      </c>
      <c r="C715" s="428" t="inlineStr">
        <is>
          <t>Газпром</t>
        </is>
      </c>
      <c r="D715" s="528" t="n"/>
      <c r="E715" s="528" t="n"/>
      <c r="F715" s="529" t="n"/>
      <c r="G715" s="530" t="inlineStr">
        <is>
          <t>14_100332361</t>
        </is>
      </c>
      <c r="H715" s="530" t="n"/>
      <c r="I715" s="446" t="inlineStr">
        <is>
          <t>тыс. куб.м.</t>
        </is>
      </c>
    </row>
    <row r="716" ht="20.1" customHeight="1" s="769">
      <c r="C716" s="424" t="inlineStr">
        <is>
          <t>Газпром переработка Благовещенск</t>
        </is>
      </c>
      <c r="D716" s="528" t="n"/>
      <c r="E716" s="528" t="n"/>
      <c r="F716" s="529" t="n"/>
      <c r="G716" s="530" t="inlineStr">
        <is>
          <t>14_100332361</t>
        </is>
      </c>
      <c r="H716" s="530" t="n"/>
      <c r="I716" s="446" t="inlineStr">
        <is>
          <t>тыс. куб.м.</t>
        </is>
      </c>
    </row>
    <row r="717" ht="20.1" customHeight="1" s="769">
      <c r="C717" s="436" t="inlineStr">
        <is>
          <t xml:space="preserve"> Амурский ГПЗ </t>
        </is>
      </c>
      <c r="D717" s="528" t="n"/>
      <c r="E717" s="528" t="n"/>
      <c r="F717" s="529" t="n"/>
      <c r="G717" s="530" t="inlineStr">
        <is>
          <t>14_100332361</t>
        </is>
      </c>
      <c r="H717" s="530" t="n"/>
      <c r="I717" s="906" t="inlineStr">
        <is>
          <t>тыс. куб.м.</t>
        </is>
      </c>
    </row>
    <row r="718" ht="20.1" customHeight="1" s="769">
      <c r="C718" s="430" t="inlineStr">
        <is>
          <t>жидкий</t>
        </is>
      </c>
      <c r="D718" s="528" t="n"/>
      <c r="E718" s="528" t="n"/>
      <c r="F718" s="529" t="n"/>
      <c r="G718" s="530" t="inlineStr">
        <is>
          <t>14_100332361</t>
        </is>
      </c>
      <c r="H718" s="530" t="n"/>
      <c r="I718" s="7" t="inlineStr">
        <is>
          <t>тыс. куб.м.</t>
        </is>
      </c>
    </row>
    <row r="719" ht="20.1" customHeight="1" s="769">
      <c r="C719" s="430" t="n"/>
      <c r="D719" s="528" t="n"/>
      <c r="E719" s="528" t="n"/>
      <c r="F719" s="529" t="n"/>
      <c r="G719" s="530" t="inlineStr">
        <is>
          <t>14_100332360</t>
        </is>
      </c>
      <c r="H719" s="530" t="n"/>
      <c r="I719" s="5" t="inlineStr">
        <is>
          <t>тонн</t>
        </is>
      </c>
    </row>
    <row r="720" ht="20.1" customHeight="1" s="769">
      <c r="B720" s="413" t="inlineStr">
        <is>
          <t>18.2.</t>
        </is>
      </c>
      <c r="C720" s="428" t="inlineStr">
        <is>
          <t>Дочерние общества</t>
        </is>
      </c>
      <c r="D720" s="528" t="n"/>
      <c r="E720" s="528" t="n"/>
      <c r="F720" s="529" t="n"/>
      <c r="G720" s="530" t="inlineStr">
        <is>
          <t>2_100332248+2_100332250+14_100335082</t>
        </is>
      </c>
      <c r="H720" s="530" t="n"/>
      <c r="I720" s="446" t="inlineStr">
        <is>
          <t>тыс. куб.м.</t>
        </is>
      </c>
    </row>
    <row r="721" ht="20.1" customHeight="1" s="769">
      <c r="C721" s="424" t="inlineStr">
        <is>
          <t xml:space="preserve">   Газпром переработка</t>
        </is>
      </c>
      <c r="D721" s="528" t="n"/>
      <c r="E721" s="528" t="n"/>
      <c r="F721" s="529" t="n"/>
      <c r="G721" s="530" t="inlineStr">
        <is>
          <t>2_100332248+2_100332250</t>
        </is>
      </c>
      <c r="H721" s="530" t="n"/>
      <c r="I721" s="446" t="inlineStr">
        <is>
          <t>тыс. куб.м.</t>
        </is>
      </c>
    </row>
    <row r="722" ht="20.1" customHeight="1" s="769">
      <c r="C722" s="436" t="inlineStr">
        <is>
          <t>Оренбургский ГХК</t>
        </is>
      </c>
      <c r="D722" s="528" t="n"/>
      <c r="E722" s="528" t="n"/>
      <c r="F722" s="529" t="n"/>
      <c r="G722" s="530" t="inlineStr">
        <is>
          <t>2_100332248+2_100332250</t>
        </is>
      </c>
      <c r="H722" s="530" t="n"/>
      <c r="I722" s="906" t="inlineStr">
        <is>
          <t>тыс. куб.м.</t>
        </is>
      </c>
    </row>
    <row r="723" ht="20.1" customHeight="1" s="769">
      <c r="C723" s="430" t="inlineStr">
        <is>
          <t>в т.ч. газообразный</t>
        </is>
      </c>
      <c r="D723" s="528" t="n"/>
      <c r="E723" s="528" t="n"/>
      <c r="F723" s="529" t="n"/>
      <c r="G723" s="530" t="inlineStr">
        <is>
          <t>2_100332248</t>
        </is>
      </c>
      <c r="H723" s="530" t="n"/>
      <c r="I723" s="7" t="inlineStr">
        <is>
          <t>тыс. куб.м.</t>
        </is>
      </c>
    </row>
    <row r="724" ht="20.1" customHeight="1" s="769">
      <c r="C724" s="430" t="n"/>
      <c r="D724" s="528" t="n"/>
      <c r="E724" s="528" t="n"/>
      <c r="F724" s="529" t="n"/>
      <c r="G724" s="530" t="inlineStr">
        <is>
          <t>2_100335422</t>
        </is>
      </c>
      <c r="H724" s="530" t="n"/>
      <c r="I724" s="5" t="inlineStr">
        <is>
          <t>тонн</t>
        </is>
      </c>
    </row>
    <row r="725" ht="20.1" customHeight="1" s="769">
      <c r="C725" s="430" t="inlineStr">
        <is>
          <t>в т.ч. собственная потребность ГПП</t>
        </is>
      </c>
      <c r="D725" s="528" t="n"/>
      <c r="E725" s="528" t="n"/>
      <c r="F725" s="529" t="n"/>
      <c r="G725" s="530" t="inlineStr">
        <is>
          <t>2_100332249</t>
        </is>
      </c>
      <c r="H725" s="530" t="n"/>
      <c r="I725" s="5" t="inlineStr">
        <is>
          <t>тыс. куб.м.</t>
        </is>
      </c>
    </row>
    <row r="726" ht="20.1" customHeight="1" s="769">
      <c r="C726" s="430" t="inlineStr">
        <is>
          <t xml:space="preserve"> собственная потребность ГДО</t>
        </is>
      </c>
      <c r="D726" s="528" t="n"/>
      <c r="E726" s="528" t="n"/>
      <c r="F726" s="529" t="n"/>
      <c r="G726" s="530" t="n">
        <v>0</v>
      </c>
      <c r="H726" s="530" t="n"/>
      <c r="I726" s="5" t="inlineStr">
        <is>
          <t>тыс. куб.м.</t>
        </is>
      </c>
    </row>
    <row r="727" ht="20.1" customHeight="1" s="769">
      <c r="C727" s="430" t="inlineStr">
        <is>
          <t>жидкий</t>
        </is>
      </c>
      <c r="D727" s="528" t="n"/>
      <c r="E727" s="528" t="n"/>
      <c r="F727" s="529" t="n"/>
      <c r="G727" s="530" t="inlineStr">
        <is>
          <t>2_100332250</t>
        </is>
      </c>
      <c r="H727" s="530" t="n"/>
      <c r="I727" s="7" t="inlineStr">
        <is>
          <t>тыс. куб.м.</t>
        </is>
      </c>
    </row>
    <row r="728" ht="20.1" customHeight="1" s="769">
      <c r="C728" s="430" t="n"/>
      <c r="D728" s="528" t="n"/>
      <c r="E728" s="528" t="n"/>
      <c r="F728" s="529" t="n"/>
      <c r="G728" s="530" t="inlineStr">
        <is>
          <t>2_100332251</t>
        </is>
      </c>
      <c r="H728" s="530" t="n"/>
      <c r="I728" s="5" t="inlineStr">
        <is>
          <t>тонн</t>
        </is>
      </c>
    </row>
    <row r="729" ht="20.1" customHeight="1" s="769">
      <c r="C729" s="424" t="inlineStr">
        <is>
          <t>Газпром переработка Благовещенск</t>
        </is>
      </c>
      <c r="D729" s="528" t="n"/>
      <c r="E729" s="528" t="n"/>
      <c r="F729" s="529" t="n"/>
      <c r="G729" s="530" t="inlineStr">
        <is>
          <t>14_100335082</t>
        </is>
      </c>
      <c r="H729" s="530" t="n"/>
      <c r="I729" s="446" t="inlineStr">
        <is>
          <t>тыс. куб.м.</t>
        </is>
      </c>
    </row>
    <row r="730" ht="20.1" customHeight="1" s="769">
      <c r="C730" s="436" t="inlineStr">
        <is>
          <t xml:space="preserve"> Амурский ГПЗ </t>
        </is>
      </c>
      <c r="D730" s="528" t="n"/>
      <c r="E730" s="528" t="n"/>
      <c r="F730" s="529" t="n"/>
      <c r="G730" s="530" t="inlineStr">
        <is>
          <t>14_100335082</t>
        </is>
      </c>
      <c r="H730" s="530" t="n"/>
      <c r="I730" s="906" t="inlineStr">
        <is>
          <t>тыс. куб.м.</t>
        </is>
      </c>
    </row>
    <row r="731" ht="20.1" customHeight="1" s="769">
      <c r="C731" s="430" t="inlineStr">
        <is>
          <t>жидкий</t>
        </is>
      </c>
      <c r="D731" s="528" t="n"/>
      <c r="E731" s="528" t="n"/>
      <c r="F731" s="529" t="n"/>
      <c r="G731" s="530" t="inlineStr">
        <is>
          <t>14_100335082</t>
        </is>
      </c>
      <c r="H731" s="530" t="n"/>
      <c r="I731" s="7" t="inlineStr">
        <is>
          <t>тыс. куб.м.</t>
        </is>
      </c>
    </row>
    <row r="732" ht="20.1" customHeight="1" s="769">
      <c r="C732" s="430" t="n"/>
      <c r="D732" s="528" t="n"/>
      <c r="E732" s="528" t="n"/>
      <c r="F732" s="529" t="n"/>
      <c r="G732" s="530" t="inlineStr">
        <is>
          <t>14_100335083</t>
        </is>
      </c>
      <c r="H732" s="530" t="n"/>
      <c r="I732" s="5" t="inlineStr">
        <is>
          <t>тонн</t>
        </is>
      </c>
    </row>
    <row r="733" ht="20.1" customHeight="1" s="769">
      <c r="B733" s="747" t="inlineStr">
        <is>
          <t>19.</t>
        </is>
      </c>
      <c r="C733" s="416" t="inlineStr">
        <is>
          <t>Одорант-всего</t>
        </is>
      </c>
      <c r="D733" s="528" t="n"/>
      <c r="E733" s="528" t="n"/>
      <c r="F733" s="529" t="n"/>
      <c r="G733" s="530" t="n"/>
      <c r="H733" s="530" t="n"/>
      <c r="I733" s="446" t="n"/>
    </row>
    <row r="734" ht="20.1" customHeight="1" s="769">
      <c r="C734" s="424" t="inlineStr">
        <is>
          <t xml:space="preserve">   Газпром переработка</t>
        </is>
      </c>
      <c r="D734" s="528" t="n"/>
      <c r="E734" s="528" t="n"/>
      <c r="F734" s="529" t="n"/>
      <c r="G734" s="530" t="inlineStr">
        <is>
          <t>2_100332239</t>
        </is>
      </c>
      <c r="H734" s="530" t="n"/>
      <c r="I734" s="446" t="inlineStr">
        <is>
          <t>тонн</t>
        </is>
      </c>
    </row>
    <row r="735" ht="20.1" customHeight="1" s="769">
      <c r="C735" s="436" t="inlineStr">
        <is>
          <t>Оренбургский ГХК</t>
        </is>
      </c>
      <c r="D735" s="528" t="n"/>
      <c r="E735" s="528" t="n"/>
      <c r="F735" s="529" t="n"/>
      <c r="G735" s="530" t="inlineStr">
        <is>
          <t>2_100332239</t>
        </is>
      </c>
      <c r="H735" s="530" t="n"/>
      <c r="I735" s="906" t="inlineStr">
        <is>
          <t>тонн</t>
        </is>
      </c>
    </row>
    <row r="736" ht="20.1" customHeight="1" s="769">
      <c r="B736" s="413" t="inlineStr">
        <is>
          <t>19.</t>
        </is>
      </c>
      <c r="C736" s="428" t="inlineStr">
        <is>
          <t>Газпром</t>
        </is>
      </c>
      <c r="D736" s="528" t="n"/>
      <c r="E736" s="528" t="n"/>
      <c r="F736" s="529" t="n"/>
      <c r="G736" s="530" t="n">
        <v>0</v>
      </c>
      <c r="H736" s="530" t="n"/>
      <c r="I736" s="446" t="inlineStr">
        <is>
          <t>тонн</t>
        </is>
      </c>
    </row>
    <row r="737" ht="20.1" customHeight="1" s="769">
      <c r="B737" s="413" t="inlineStr">
        <is>
          <t>19.2.</t>
        </is>
      </c>
      <c r="C737" s="428" t="inlineStr">
        <is>
          <t>Дочерние общества</t>
        </is>
      </c>
      <c r="D737" s="528" t="n"/>
      <c r="E737" s="528" t="n"/>
      <c r="F737" s="529" t="n"/>
      <c r="G737" s="530" t="inlineStr">
        <is>
          <t>2_100332239</t>
        </is>
      </c>
      <c r="H737" s="530" t="n"/>
      <c r="I737" s="446" t="inlineStr">
        <is>
          <t>тонн</t>
        </is>
      </c>
    </row>
    <row r="738" ht="20.1" customHeight="1" s="769">
      <c r="C738" s="424" t="inlineStr">
        <is>
          <t xml:space="preserve">   Газпром переработка</t>
        </is>
      </c>
      <c r="D738" s="528" t="n"/>
      <c r="E738" s="528" t="n"/>
      <c r="F738" s="529" t="n"/>
      <c r="G738" s="530" t="inlineStr">
        <is>
          <t>2_100332239</t>
        </is>
      </c>
      <c r="H738" s="530" t="n"/>
      <c r="I738" s="446" t="inlineStr">
        <is>
          <t>тонн</t>
        </is>
      </c>
    </row>
    <row r="739" ht="20.1" customHeight="1" s="769">
      <c r="C739" s="436" t="inlineStr">
        <is>
          <t>Оренбургский ГХК</t>
        </is>
      </c>
      <c r="D739" s="528" t="n"/>
      <c r="E739" s="528" t="n"/>
      <c r="F739" s="529" t="n"/>
      <c r="G739" s="530" t="inlineStr">
        <is>
          <t>2_100332239</t>
        </is>
      </c>
      <c r="H739" s="530" t="n"/>
      <c r="I739" s="906" t="inlineStr">
        <is>
          <t>тонн</t>
        </is>
      </c>
    </row>
    <row r="740" ht="20.1" customHeight="1" s="769">
      <c r="C740" s="430" t="inlineStr">
        <is>
          <t xml:space="preserve"> в т.ч. собственная потребность ГПП</t>
        </is>
      </c>
      <c r="D740" s="528" t="n"/>
      <c r="E740" s="528" t="n"/>
      <c r="F740" s="529" t="n"/>
      <c r="G740" s="530" t="n">
        <v>0</v>
      </c>
      <c r="H740" s="530" t="n"/>
      <c r="I740" s="909" t="inlineStr">
        <is>
          <t>тонн</t>
        </is>
      </c>
    </row>
    <row r="741" ht="20.1" customHeight="1" s="769">
      <c r="B741" s="747" t="inlineStr">
        <is>
          <t>20.</t>
        </is>
      </c>
      <c r="C741" s="416" t="inlineStr">
        <is>
          <t>Техуглерод-всего</t>
        </is>
      </c>
      <c r="D741" s="528" t="n"/>
      <c r="E741" s="528" t="n"/>
      <c r="F741" s="529" t="n"/>
      <c r="G741" s="530" t="n"/>
      <c r="H741" s="530" t="n"/>
      <c r="I741" s="446" t="n"/>
    </row>
    <row r="742" ht="20.1" customHeight="1" s="769">
      <c r="C742" s="424" t="inlineStr">
        <is>
          <t xml:space="preserve">   Газпром переработка</t>
        </is>
      </c>
      <c r="D742" s="528" t="n"/>
      <c r="E742" s="528" t="n"/>
      <c r="F742" s="529" t="n"/>
      <c r="G742" s="530" t="inlineStr">
        <is>
          <t>3_100330580+3_100330581</t>
        </is>
      </c>
      <c r="H742" s="530" t="n"/>
      <c r="I742" s="446" t="inlineStr">
        <is>
          <t>тонн</t>
        </is>
      </c>
    </row>
    <row r="743" ht="20.1" customHeight="1" s="769">
      <c r="C743" s="436" t="inlineStr">
        <is>
          <t xml:space="preserve">  Сосногорский ГПЗ </t>
        </is>
      </c>
      <c r="D743" s="528" t="n"/>
      <c r="E743" s="528" t="n"/>
      <c r="F743" s="529" t="n"/>
      <c r="G743" s="530" t="inlineStr">
        <is>
          <t>3_100330580+3_100330581</t>
        </is>
      </c>
      <c r="H743" s="530" t="n"/>
      <c r="I743" s="906" t="inlineStr">
        <is>
          <t>тонн</t>
        </is>
      </c>
    </row>
    <row r="744" ht="20.1" customHeight="1" s="769">
      <c r="B744" s="413" t="inlineStr">
        <is>
          <t>20.1.</t>
        </is>
      </c>
      <c r="C744" s="428" t="inlineStr">
        <is>
          <t>Газпром</t>
        </is>
      </c>
      <c r="D744" s="528" t="n"/>
      <c r="E744" s="528" t="n"/>
      <c r="F744" s="529" t="n"/>
      <c r="G744" s="530" t="n"/>
      <c r="H744" s="530" t="n"/>
      <c r="I744" s="446" t="n"/>
    </row>
    <row r="745" ht="20.1" customHeight="1" s="769">
      <c r="C745" s="424" t="inlineStr">
        <is>
          <t xml:space="preserve">   Газпром переработка</t>
        </is>
      </c>
      <c r="D745" s="528" t="n"/>
      <c r="E745" s="528" t="n"/>
      <c r="F745" s="529" t="n"/>
      <c r="G745" s="530" t="inlineStr">
        <is>
          <t>3_100330580+3_100330581</t>
        </is>
      </c>
      <c r="H745" s="530" t="n"/>
      <c r="I745" s="446" t="inlineStr">
        <is>
          <t>тонн</t>
        </is>
      </c>
    </row>
    <row r="746" ht="20.1" customHeight="1" s="769">
      <c r="C746" s="436" t="inlineStr">
        <is>
          <t xml:space="preserve">Сосногорский ГПЗ </t>
        </is>
      </c>
      <c r="D746" s="528" t="n"/>
      <c r="E746" s="528" t="n"/>
      <c r="F746" s="529" t="n"/>
      <c r="G746" s="530" t="inlineStr">
        <is>
          <t>3_100330580+3_100330581</t>
        </is>
      </c>
      <c r="H746" s="530" t="n"/>
      <c r="I746" s="906" t="inlineStr">
        <is>
          <t>тонн</t>
        </is>
      </c>
    </row>
    <row r="747" ht="20.1" customHeight="1" s="769">
      <c r="C747" s="430" t="inlineStr">
        <is>
          <t xml:space="preserve">   в т.ч. турбулентный (П-701)</t>
        </is>
      </c>
      <c r="D747" s="528" t="n"/>
      <c r="E747" s="528" t="n"/>
      <c r="F747" s="529" t="n"/>
      <c r="G747" s="530" t="inlineStr">
        <is>
          <t>3_100330580</t>
        </is>
      </c>
      <c r="H747" s="530" t="n"/>
      <c r="I747" s="909" t="inlineStr">
        <is>
          <t>тонн</t>
        </is>
      </c>
    </row>
    <row r="748" ht="20.1" customHeight="1" s="769">
      <c r="C748" s="430" t="inlineStr">
        <is>
          <t xml:space="preserve">   термический (Т-900)</t>
        </is>
      </c>
      <c r="D748" s="528" t="n"/>
      <c r="E748" s="528" t="n"/>
      <c r="F748" s="529" t="n"/>
      <c r="G748" s="530" t="inlineStr">
        <is>
          <t>3_100330581</t>
        </is>
      </c>
      <c r="H748" s="530" t="n"/>
      <c r="I748" s="909" t="inlineStr">
        <is>
          <t>тонн</t>
        </is>
      </c>
    </row>
    <row r="749" ht="20.1" customHeight="1" s="769">
      <c r="B749" s="413" t="inlineStr">
        <is>
          <t>20.2.</t>
        </is>
      </c>
      <c r="C749" s="428" t="inlineStr">
        <is>
          <t>Дочерние общества</t>
        </is>
      </c>
      <c r="D749" s="528" t="n"/>
      <c r="E749" s="528" t="n"/>
      <c r="F749" s="529" t="n"/>
      <c r="G749" s="530" t="n">
        <v>0</v>
      </c>
      <c r="H749" s="530" t="n"/>
      <c r="I749" s="446" t="inlineStr">
        <is>
          <t>тонн</t>
        </is>
      </c>
    </row>
    <row r="750" ht="20.1" customHeight="1" s="769">
      <c r="B750" s="747" t="inlineStr">
        <is>
          <t>21.</t>
        </is>
      </c>
      <c r="C750" s="416" t="inlineStr">
        <is>
          <t>Газ стабилизации на собств. нужды-всего</t>
        </is>
      </c>
      <c r="D750" s="528" t="n"/>
      <c r="E750" s="528" t="n"/>
      <c r="F750" s="529" t="n"/>
      <c r="G750" s="530" t="n"/>
      <c r="H750" s="530" t="n"/>
      <c r="I750" s="446" t="n"/>
    </row>
    <row r="751" ht="20.1" customHeight="1" s="769">
      <c r="C751" s="424" t="inlineStr">
        <is>
          <t>Газпром переработка</t>
        </is>
      </c>
      <c r="D751" s="528" t="n"/>
      <c r="E751" s="528" t="n"/>
      <c r="F751" s="529" t="n"/>
      <c r="G751" s="530" t="inlineStr">
        <is>
          <t>1_100332026</t>
        </is>
      </c>
      <c r="H751" s="530" t="n"/>
      <c r="I751" s="9" t="inlineStr">
        <is>
          <t>млн куб.м.</t>
        </is>
      </c>
    </row>
    <row r="752" ht="20.1" customHeight="1" s="769">
      <c r="C752" s="424" t="n"/>
      <c r="D752" s="528" t="n"/>
      <c r="E752" s="528" t="n"/>
      <c r="F752" s="529" t="n"/>
      <c r="G752" s="530" t="inlineStr">
        <is>
          <t>1_100332025</t>
        </is>
      </c>
      <c r="H752" s="530" t="n"/>
      <c r="I752" s="446" t="inlineStr">
        <is>
          <t>тыс.т</t>
        </is>
      </c>
    </row>
    <row r="753" ht="20.1" customHeight="1" s="769">
      <c r="C753" s="436" t="inlineStr">
        <is>
          <t>Астраханский ГПЗ</t>
        </is>
      </c>
      <c r="D753" s="528" t="n"/>
      <c r="E753" s="528" t="n"/>
      <c r="F753" s="529" t="n"/>
      <c r="G753" s="530" t="inlineStr">
        <is>
          <t>1_100332026</t>
        </is>
      </c>
      <c r="H753" s="530" t="n"/>
      <c r="I753" s="9" t="inlineStr">
        <is>
          <t>млн куб.м.</t>
        </is>
      </c>
    </row>
    <row r="754" ht="20.1" customHeight="1" s="769">
      <c r="C754" s="416" t="n"/>
      <c r="D754" s="528" t="n"/>
      <c r="E754" s="528" t="n"/>
      <c r="F754" s="529" t="n"/>
      <c r="G754" s="530" t="inlineStr">
        <is>
          <t>1_100332025</t>
        </is>
      </c>
      <c r="H754" s="530" t="n"/>
      <c r="I754" s="446" t="inlineStr">
        <is>
          <t>тыс.т</t>
        </is>
      </c>
    </row>
    <row r="755" ht="20.1" customHeight="1" s="769">
      <c r="B755" s="413" t="inlineStr">
        <is>
          <t>21.1.</t>
        </is>
      </c>
      <c r="C755" s="428" t="inlineStr">
        <is>
          <t>Газпром</t>
        </is>
      </c>
      <c r="D755" s="528" t="n"/>
      <c r="E755" s="528" t="n"/>
      <c r="F755" s="529" t="n"/>
      <c r="G755" s="530" t="n"/>
      <c r="H755" s="530" t="n"/>
      <c r="I755" s="446" t="n"/>
    </row>
    <row r="756" ht="20.1" customHeight="1" s="769">
      <c r="C756" s="424" t="inlineStr">
        <is>
          <t>Газпром переработка</t>
        </is>
      </c>
      <c r="D756" s="528" t="n"/>
      <c r="E756" s="528" t="n"/>
      <c r="F756" s="529" t="n"/>
      <c r="G756" s="530" t="inlineStr">
        <is>
          <t>1_100332026</t>
        </is>
      </c>
      <c r="H756" s="530" t="n"/>
      <c r="I756" s="9" t="inlineStr">
        <is>
          <t>млн куб.м.</t>
        </is>
      </c>
    </row>
    <row r="757" ht="20.1" customHeight="1" s="769">
      <c r="C757" s="424" t="n"/>
      <c r="D757" s="528" t="n"/>
      <c r="E757" s="528" t="n"/>
      <c r="F757" s="529" t="n"/>
      <c r="G757" s="530" t="inlineStr">
        <is>
          <t>1_100332025</t>
        </is>
      </c>
      <c r="H757" s="530" t="n"/>
      <c r="I757" s="446" t="inlineStr">
        <is>
          <t>тыс.т</t>
        </is>
      </c>
    </row>
    <row r="758" ht="20.1" customHeight="1" s="769">
      <c r="C758" s="436" t="inlineStr">
        <is>
          <t>Астраханский ГПЗ</t>
        </is>
      </c>
      <c r="D758" s="528" t="n"/>
      <c r="E758" s="528" t="n"/>
      <c r="F758" s="529" t="n"/>
      <c r="G758" s="530" t="inlineStr">
        <is>
          <t>1_100332026</t>
        </is>
      </c>
      <c r="H758" s="530" t="n"/>
      <c r="I758" s="6" t="inlineStr">
        <is>
          <t>млн куб.м.</t>
        </is>
      </c>
    </row>
    <row r="759" ht="20.1" customHeight="1" s="769">
      <c r="C759" s="416" t="n"/>
      <c r="D759" s="528" t="n"/>
      <c r="E759" s="528" t="n"/>
      <c r="F759" s="529" t="n"/>
      <c r="G759" s="530" t="inlineStr">
        <is>
          <t>1_100332025</t>
        </is>
      </c>
      <c r="H759" s="530" t="n"/>
      <c r="I759" s="4" t="inlineStr">
        <is>
          <t>тыс.т</t>
        </is>
      </c>
    </row>
    <row r="760" ht="20.1" customHeight="1" s="769">
      <c r="B760" s="413" t="inlineStr">
        <is>
          <t>21.2.</t>
        </is>
      </c>
      <c r="C760" s="428" t="inlineStr">
        <is>
          <t>Дочерние общества</t>
        </is>
      </c>
      <c r="D760" s="528" t="n"/>
      <c r="E760" s="528" t="n"/>
      <c r="F760" s="529" t="n"/>
      <c r="G760" s="530" t="n">
        <v>0</v>
      </c>
      <c r="H760" s="530" t="n"/>
      <c r="I760" s="9" t="inlineStr">
        <is>
          <t>млн куб.м.</t>
        </is>
      </c>
    </row>
    <row r="761" ht="20.1" customHeight="1" s="769">
      <c r="C761" s="416" t="n"/>
      <c r="D761" s="528" t="n"/>
      <c r="E761" s="528" t="n"/>
      <c r="F761" s="529" t="n"/>
      <c r="G761" s="530" t="n">
        <v>0</v>
      </c>
      <c r="H761" s="530" t="n"/>
      <c r="I761" s="446" t="inlineStr">
        <is>
          <t>тыс.т</t>
        </is>
      </c>
    </row>
    <row r="762" ht="20.1" customHeight="1" s="769">
      <c r="B762" s="747" t="inlineStr">
        <is>
          <t>22.</t>
        </is>
      </c>
      <c r="C762" s="416" t="inlineStr">
        <is>
          <t>Топливный газ-всего</t>
        </is>
      </c>
      <c r="D762" s="528" t="n"/>
      <c r="E762" s="528" t="n"/>
      <c r="F762" s="529" t="n"/>
      <c r="G762" s="530" t="inlineStr">
        <is>
          <t>2_100332171+2_100332173+2_100332177+2_100332179+2_100335141+14_100332368+14_100335465</t>
        </is>
      </c>
      <c r="H762" s="530" t="n"/>
      <c r="I762" s="9" t="inlineStr">
        <is>
          <t>млн куб.м.</t>
        </is>
      </c>
    </row>
    <row r="763" ht="20.1" customHeight="1" s="769">
      <c r="C763" s="460" t="n"/>
      <c r="D763" s="528" t="n"/>
      <c r="E763" s="528" t="n"/>
      <c r="F763" s="529" t="n"/>
      <c r="G763" s="530" t="inlineStr">
        <is>
          <t>2_100332170+2_100332172+2_100332176+2_100332178+2_100335140+14_100332367+14_100335464</t>
        </is>
      </c>
      <c r="H763" s="530" t="n"/>
      <c r="I763" s="446" t="inlineStr">
        <is>
          <t>тыс.т</t>
        </is>
      </c>
    </row>
    <row r="764" ht="20.1" customHeight="1" s="769">
      <c r="C764" s="424" t="inlineStr">
        <is>
          <t>Газпром переработка</t>
        </is>
      </c>
      <c r="D764" s="528" t="n"/>
      <c r="E764" s="528" t="n"/>
      <c r="F764" s="529" t="n"/>
      <c r="G764" s="530" t="inlineStr">
        <is>
          <t>2_100332171+2_100332173+2_100332177+2_100332179+2_100335141</t>
        </is>
      </c>
      <c r="H764" s="530" t="n"/>
      <c r="I764" s="9" t="inlineStr">
        <is>
          <t>млн куб.м.</t>
        </is>
      </c>
    </row>
    <row r="765" ht="20.1" customHeight="1" s="769">
      <c r="C765" s="424" t="n"/>
      <c r="D765" s="528" t="n"/>
      <c r="E765" s="528" t="n"/>
      <c r="F765" s="529" t="n"/>
      <c r="G765" s="530" t="inlineStr">
        <is>
          <t>2_100332170+2_100332172+2_100332176+2_100332178+2_100335140</t>
        </is>
      </c>
      <c r="H765" s="530" t="n"/>
      <c r="I765" s="446" t="inlineStr">
        <is>
          <t>тыс.т</t>
        </is>
      </c>
    </row>
    <row r="766" ht="20.1" customHeight="1" s="769">
      <c r="C766" s="436" t="inlineStr">
        <is>
          <t>Оренбургский ГХК</t>
        </is>
      </c>
      <c r="D766" s="528" t="n"/>
      <c r="E766" s="528" t="n"/>
      <c r="F766" s="529" t="n"/>
      <c r="G766" s="530" t="inlineStr">
        <is>
          <t>2_100332171+2_100332173+2_100332177+2_100332179+2_100335141</t>
        </is>
      </c>
      <c r="H766" s="530" t="n"/>
      <c r="I766" s="6" t="inlineStr">
        <is>
          <t>млн куб.м.</t>
        </is>
      </c>
    </row>
    <row r="767" ht="20.1" customHeight="1" s="769">
      <c r="C767" s="424" t="n"/>
      <c r="D767" s="528" t="n"/>
      <c r="E767" s="528" t="n"/>
      <c r="F767" s="529" t="n"/>
      <c r="G767" s="530" t="inlineStr">
        <is>
          <t>2_100332170+2_100332172+2_100332176+2_100332178+2_100335140</t>
        </is>
      </c>
      <c r="H767" s="530" t="n"/>
      <c r="I767" s="4" t="inlineStr">
        <is>
          <t>тыс.т</t>
        </is>
      </c>
    </row>
    <row r="768" ht="20.1" customHeight="1" s="769">
      <c r="C768" s="424" t="inlineStr">
        <is>
          <t xml:space="preserve"> Газпром переработка Благовещенск</t>
        </is>
      </c>
      <c r="D768" s="528" t="n"/>
      <c r="E768" s="528" t="n"/>
      <c r="F768" s="529" t="n"/>
      <c r="G768" s="530" t="inlineStr">
        <is>
          <t>14_100332368+14_100335465</t>
        </is>
      </c>
      <c r="H768" s="530" t="n"/>
      <c r="I768" s="9" t="inlineStr">
        <is>
          <t>млн куб.м.</t>
        </is>
      </c>
    </row>
    <row r="769" ht="20.1" customHeight="1" s="769">
      <c r="C769" s="424" t="n"/>
      <c r="D769" s="528" t="n"/>
      <c r="E769" s="528" t="n"/>
      <c r="F769" s="529" t="n"/>
      <c r="G769" s="530" t="inlineStr">
        <is>
          <t>14_100332367+14_100335464</t>
        </is>
      </c>
      <c r="H769" s="530" t="n"/>
      <c r="I769" s="446" t="inlineStr">
        <is>
          <t>тыс.т</t>
        </is>
      </c>
    </row>
    <row r="770" ht="20.1" customHeight="1" s="769">
      <c r="C770" s="436" t="inlineStr">
        <is>
          <t xml:space="preserve"> Амурский ГПЗ</t>
        </is>
      </c>
      <c r="D770" s="528" t="n"/>
      <c r="E770" s="528" t="n"/>
      <c r="F770" s="529" t="n"/>
      <c r="G770" s="530" t="inlineStr">
        <is>
          <t>14_100332368+14_100335465</t>
        </is>
      </c>
      <c r="H770" s="530" t="n"/>
      <c r="I770" s="6" t="inlineStr">
        <is>
          <t>млн куб.м.</t>
        </is>
      </c>
    </row>
    <row r="771" ht="20.1" customHeight="1" s="769">
      <c r="C771" s="436" t="n"/>
      <c r="D771" s="528" t="n"/>
      <c r="E771" s="528" t="n"/>
      <c r="F771" s="529" t="n"/>
      <c r="G771" s="530" t="inlineStr">
        <is>
          <t>14_100332367+14_100335464</t>
        </is>
      </c>
      <c r="H771" s="530" t="n"/>
      <c r="I771" s="4" t="inlineStr">
        <is>
          <t>тыс.т</t>
        </is>
      </c>
    </row>
    <row r="772" ht="20.1" customHeight="1" s="769">
      <c r="B772" s="413" t="inlineStr">
        <is>
          <t>22.1.</t>
        </is>
      </c>
      <c r="C772" s="428" t="inlineStr">
        <is>
          <t>Газпром</t>
        </is>
      </c>
      <c r="D772" s="528" t="n"/>
      <c r="E772" s="528" t="n"/>
      <c r="F772" s="529" t="n"/>
      <c r="G772" s="530" t="inlineStr">
        <is>
          <t>2_100332171+2_100332173+14_100332368</t>
        </is>
      </c>
      <c r="H772" s="530" t="n"/>
      <c r="I772" s="9" t="inlineStr">
        <is>
          <t>млн куб.м.</t>
        </is>
      </c>
    </row>
    <row r="773" ht="20.1" customHeight="1" s="769">
      <c r="C773" s="416" t="n"/>
      <c r="D773" s="528" t="n"/>
      <c r="E773" s="528" t="n"/>
      <c r="F773" s="529" t="n"/>
      <c r="G773" s="530" t="inlineStr">
        <is>
          <t>2_100332170+2_100332172+14_100332367</t>
        </is>
      </c>
      <c r="H773" s="530" t="n"/>
      <c r="I773" s="446" t="inlineStr">
        <is>
          <t>тыс.т</t>
        </is>
      </c>
    </row>
    <row r="774" ht="20.1" customHeight="1" s="769">
      <c r="C774" s="424" t="inlineStr">
        <is>
          <t>Газпром переработка</t>
        </is>
      </c>
      <c r="D774" s="528" t="n"/>
      <c r="E774" s="528" t="n"/>
      <c r="F774" s="529" t="n"/>
      <c r="G774" s="530" t="inlineStr">
        <is>
          <t>2_100332171+2_100332173</t>
        </is>
      </c>
      <c r="H774" s="530" t="n"/>
      <c r="I774" s="9" t="inlineStr">
        <is>
          <t>млн куб.м.</t>
        </is>
      </c>
    </row>
    <row r="775" ht="20.1" customHeight="1" s="769">
      <c r="C775" s="416" t="n"/>
      <c r="D775" s="528" t="n"/>
      <c r="E775" s="528" t="n"/>
      <c r="F775" s="529" t="n"/>
      <c r="G775" s="530" t="inlineStr">
        <is>
          <t>2_100332170+2_100332172</t>
        </is>
      </c>
      <c r="H775" s="530" t="n"/>
      <c r="I775" s="446" t="inlineStr">
        <is>
          <t>тыс.т</t>
        </is>
      </c>
    </row>
    <row r="776" ht="20.1" customHeight="1" s="769">
      <c r="C776" s="436" t="inlineStr">
        <is>
          <t>Оренбургский ГХК</t>
        </is>
      </c>
      <c r="D776" s="528" t="n"/>
      <c r="E776" s="528" t="n"/>
      <c r="F776" s="529" t="n"/>
      <c r="G776" s="530" t="inlineStr">
        <is>
          <t>2_100332171+2_100332173</t>
        </is>
      </c>
      <c r="H776" s="530" t="n"/>
      <c r="I776" s="6" t="inlineStr">
        <is>
          <t>млн куб.м.</t>
        </is>
      </c>
    </row>
    <row r="777" ht="20.1" customHeight="1" s="769">
      <c r="C777" s="424" t="n"/>
      <c r="D777" s="528" t="n"/>
      <c r="E777" s="528" t="n"/>
      <c r="F777" s="529" t="n"/>
      <c r="G777" s="530" t="inlineStr">
        <is>
          <t>2_100332170+2_100332172</t>
        </is>
      </c>
      <c r="H777" s="530" t="n"/>
      <c r="I777" s="5" t="inlineStr">
        <is>
          <t>тыс.т</t>
        </is>
      </c>
    </row>
    <row r="778" ht="20.1" customHeight="1" s="769">
      <c r="C778" s="430" t="inlineStr">
        <is>
          <t>Газпром добыча Оренбург</t>
        </is>
      </c>
      <c r="D778" s="528" t="n"/>
      <c r="E778" s="528" t="n"/>
      <c r="F778" s="529" t="n"/>
      <c r="G778" s="530" t="inlineStr">
        <is>
          <t>2_100332171</t>
        </is>
      </c>
      <c r="H778" s="530" t="n"/>
      <c r="I778" s="7" t="inlineStr">
        <is>
          <t>млн куб.м.</t>
        </is>
      </c>
    </row>
    <row r="779" ht="20.1" customHeight="1" s="769">
      <c r="C779" s="436" t="n"/>
      <c r="D779" s="528" t="n"/>
      <c r="E779" s="528" t="n"/>
      <c r="F779" s="529" t="n"/>
      <c r="G779" s="530" t="inlineStr">
        <is>
          <t>2_100332170</t>
        </is>
      </c>
      <c r="H779" s="530" t="n"/>
      <c r="I779" s="5" t="inlineStr">
        <is>
          <t>тыс.т</t>
        </is>
      </c>
    </row>
    <row r="780" ht="20.1" customHeight="1" s="769">
      <c r="C780" s="430" t="inlineStr">
        <is>
          <t>Газпром нефть</t>
        </is>
      </c>
      <c r="D780" s="528" t="n"/>
      <c r="E780" s="528" t="n"/>
      <c r="F780" s="529" t="n"/>
      <c r="G780" s="530" t="inlineStr">
        <is>
          <t>2_100332173</t>
        </is>
      </c>
      <c r="H780" s="530" t="n"/>
      <c r="I780" s="7" t="inlineStr">
        <is>
          <t>млн куб.м.</t>
        </is>
      </c>
    </row>
    <row r="781" ht="20.1" customHeight="1" s="769">
      <c r="C781" s="424" t="n"/>
      <c r="D781" s="528" t="n"/>
      <c r="E781" s="528" t="n"/>
      <c r="F781" s="529" t="n"/>
      <c r="G781" s="530" t="inlineStr">
        <is>
          <t>2_100332172</t>
        </is>
      </c>
      <c r="H781" s="530" t="n"/>
      <c r="I781" s="5" t="inlineStr">
        <is>
          <t>тыс.т</t>
        </is>
      </c>
    </row>
    <row r="782" ht="20.1" customHeight="1" s="769">
      <c r="C782" s="424" t="inlineStr">
        <is>
          <t xml:space="preserve"> Газпром переработка Благовещенск</t>
        </is>
      </c>
      <c r="D782" s="528" t="n"/>
      <c r="E782" s="528" t="n"/>
      <c r="F782" s="529" t="n"/>
      <c r="G782" s="530" t="inlineStr">
        <is>
          <t>14_100332368</t>
        </is>
      </c>
      <c r="H782" s="530" t="n"/>
      <c r="I782" s="9" t="inlineStr">
        <is>
          <t>млн куб.м.</t>
        </is>
      </c>
    </row>
    <row r="783" ht="20.1" customHeight="1" s="769">
      <c r="C783" s="424" t="n"/>
      <c r="D783" s="528" t="n"/>
      <c r="E783" s="528" t="n"/>
      <c r="F783" s="529" t="n"/>
      <c r="G783" s="530" t="inlineStr">
        <is>
          <t>14_100332367</t>
        </is>
      </c>
      <c r="H783" s="530" t="n"/>
      <c r="I783" s="446" t="inlineStr">
        <is>
          <t>тыс.т</t>
        </is>
      </c>
    </row>
    <row r="784" ht="20.1" customHeight="1" s="769">
      <c r="C784" s="436" t="inlineStr">
        <is>
          <t xml:space="preserve"> Амурский ГПЗ</t>
        </is>
      </c>
      <c r="D784" s="528" t="n"/>
      <c r="E784" s="528" t="n"/>
      <c r="F784" s="529" t="n"/>
      <c r="G784" s="530" t="inlineStr">
        <is>
          <t>14_100332368</t>
        </is>
      </c>
      <c r="H784" s="530" t="n"/>
      <c r="I784" s="6" t="inlineStr">
        <is>
          <t>млн куб.м.</t>
        </is>
      </c>
    </row>
    <row r="785" ht="20.1" customHeight="1" s="769">
      <c r="C785" s="436" t="n"/>
      <c r="D785" s="528" t="n"/>
      <c r="E785" s="528" t="n"/>
      <c r="F785" s="529" t="n"/>
      <c r="G785" s="530" t="inlineStr">
        <is>
          <t>14_100332367</t>
        </is>
      </c>
      <c r="H785" s="530" t="n"/>
      <c r="I785" s="4" t="inlineStr">
        <is>
          <t>тыс.т</t>
        </is>
      </c>
    </row>
    <row r="786" ht="20.1" customHeight="1" s="769">
      <c r="B786" s="413" t="inlineStr">
        <is>
          <t>22.</t>
        </is>
      </c>
      <c r="C786" s="428" t="inlineStr">
        <is>
          <t>Дочерние общества</t>
        </is>
      </c>
      <c r="D786" s="528" t="n"/>
      <c r="E786" s="528" t="n"/>
      <c r="F786" s="529" t="n"/>
      <c r="G786" s="530" t="inlineStr">
        <is>
          <t>2_100332177+2_100332179+2_100335141+14_100335465</t>
        </is>
      </c>
      <c r="H786" s="530" t="n"/>
      <c r="I786" s="9" t="inlineStr">
        <is>
          <t>млн куб.м.</t>
        </is>
      </c>
    </row>
    <row r="787" ht="20.1" customHeight="1" s="769">
      <c r="C787" s="416" t="n"/>
      <c r="D787" s="528" t="n"/>
      <c r="E787" s="528" t="n"/>
      <c r="F787" s="529" t="n"/>
      <c r="G787" s="530" t="inlineStr">
        <is>
          <t>2_100332176+2_100332178+2_100335140+14_100335464</t>
        </is>
      </c>
      <c r="H787" s="530" t="n"/>
      <c r="I787" s="446" t="inlineStr">
        <is>
          <t>тыс.т</t>
        </is>
      </c>
    </row>
    <row r="788" ht="20.1" customHeight="1" s="769">
      <c r="C788" s="424" t="inlineStr">
        <is>
          <t>Газпром переработка</t>
        </is>
      </c>
      <c r="D788" s="528" t="n"/>
      <c r="E788" s="528" t="n"/>
      <c r="F788" s="529" t="n"/>
      <c r="G788" s="530" t="inlineStr">
        <is>
          <t>2_100332177+2_100332179+2_100335141</t>
        </is>
      </c>
      <c r="H788" s="530" t="n"/>
      <c r="I788" s="9" t="inlineStr">
        <is>
          <t>млн куб.м.</t>
        </is>
      </c>
    </row>
    <row r="789" ht="20.1" customHeight="1" s="769">
      <c r="C789" s="416" t="n"/>
      <c r="D789" s="528" t="n"/>
      <c r="E789" s="528" t="n"/>
      <c r="F789" s="529" t="n"/>
      <c r="G789" s="530" t="inlineStr">
        <is>
          <t>2_100332176+2_100332178+2_100335140</t>
        </is>
      </c>
      <c r="H789" s="530" t="n"/>
      <c r="I789" s="446" t="inlineStr">
        <is>
          <t>тыс.т</t>
        </is>
      </c>
    </row>
    <row r="790" ht="20.1" customHeight="1" s="769">
      <c r="C790" s="436" t="inlineStr">
        <is>
          <t>Оренбургский ГХК</t>
        </is>
      </c>
      <c r="D790" s="528" t="n"/>
      <c r="E790" s="528" t="n"/>
      <c r="F790" s="529" t="n"/>
      <c r="G790" s="530" t="inlineStr">
        <is>
          <t>2_100332177+2_100332179+2_100335141</t>
        </is>
      </c>
      <c r="H790" s="530" t="n"/>
      <c r="I790" s="6" t="inlineStr">
        <is>
          <t>млн куб.м.</t>
        </is>
      </c>
    </row>
    <row r="791" ht="20.1" customHeight="1" s="769">
      <c r="C791" s="424" t="n"/>
      <c r="D791" s="528" t="n"/>
      <c r="E791" s="528" t="n"/>
      <c r="F791" s="529" t="n"/>
      <c r="G791" s="530" t="inlineStr">
        <is>
          <t>2_100332176+2_100332178+2_100335140</t>
        </is>
      </c>
      <c r="H791" s="530" t="n"/>
      <c r="I791" s="4" t="inlineStr">
        <is>
          <t>тыс.т</t>
        </is>
      </c>
    </row>
    <row r="792" ht="20.1" customHeight="1" s="769">
      <c r="C792" s="430" t="inlineStr">
        <is>
          <t>Газпром добыча Оренбург</t>
        </is>
      </c>
      <c r="D792" s="528" t="n"/>
      <c r="E792" s="528" t="n"/>
      <c r="F792" s="529" t="n"/>
      <c r="G792" s="530" t="inlineStr">
        <is>
          <t>2_100332177</t>
        </is>
      </c>
      <c r="H792" s="530" t="n"/>
      <c r="I792" s="7" t="inlineStr">
        <is>
          <t>млн куб.м.</t>
        </is>
      </c>
    </row>
    <row r="793" ht="20.1" customHeight="1" s="769">
      <c r="C793" s="430" t="n"/>
      <c r="D793" s="528" t="n"/>
      <c r="E793" s="528" t="n"/>
      <c r="F793" s="529" t="n"/>
      <c r="G793" s="530" t="inlineStr">
        <is>
          <t>2_100332176</t>
        </is>
      </c>
      <c r="H793" s="530" t="n"/>
      <c r="I793" s="5" t="inlineStr">
        <is>
          <t>тыс.т</t>
        </is>
      </c>
    </row>
    <row r="794" ht="20.1" customHeight="1" s="769">
      <c r="C794" s="430" t="inlineStr">
        <is>
          <t>Газпром нефть</t>
        </is>
      </c>
      <c r="D794" s="528" t="n"/>
      <c r="E794" s="528" t="n"/>
      <c r="F794" s="529" t="n"/>
      <c r="G794" s="530" t="inlineStr">
        <is>
          <t>2_100332179</t>
        </is>
      </c>
      <c r="H794" s="530" t="n"/>
      <c r="I794" s="7" t="inlineStr">
        <is>
          <t>млн куб.м.</t>
        </is>
      </c>
    </row>
    <row r="795" ht="20.1" customHeight="1" s="769">
      <c r="C795" s="437" t="n"/>
      <c r="D795" s="528" t="n"/>
      <c r="E795" s="528" t="n"/>
      <c r="F795" s="529" t="n"/>
      <c r="G795" s="530" t="inlineStr">
        <is>
          <t>2_100332178</t>
        </is>
      </c>
      <c r="H795" s="530" t="n"/>
      <c r="I795" s="5" t="inlineStr">
        <is>
          <t>тыс.т</t>
        </is>
      </c>
    </row>
    <row r="796" ht="20.1" customHeight="1" s="769">
      <c r="C796" s="908" t="inlineStr">
        <is>
          <t>прочие поставщики (ГПНЗ, УНГП, и.т.д.)</t>
        </is>
      </c>
      <c r="D796" s="528" t="n"/>
      <c r="E796" s="528" t="n"/>
      <c r="F796" s="529" t="n"/>
      <c r="G796" s="530" t="inlineStr">
        <is>
          <t>2_100335141</t>
        </is>
      </c>
      <c r="H796" s="530" t="n"/>
      <c r="I796" s="7" t="inlineStr">
        <is>
          <t>млн куб.м.</t>
        </is>
      </c>
    </row>
    <row r="797" ht="20.1" customHeight="1" s="769">
      <c r="C797" s="430" t="n"/>
      <c r="D797" s="528" t="n"/>
      <c r="E797" s="528" t="n"/>
      <c r="F797" s="529" t="n"/>
      <c r="G797" s="530" t="inlineStr">
        <is>
          <t>2_100335140</t>
        </is>
      </c>
      <c r="H797" s="530" t="n"/>
      <c r="I797" s="5" t="inlineStr">
        <is>
          <t>тыс.т</t>
        </is>
      </c>
    </row>
    <row r="798" ht="20.1" customHeight="1" s="769">
      <c r="C798" s="424" t="inlineStr">
        <is>
          <t xml:space="preserve"> Газпром переработка Благовещенск</t>
        </is>
      </c>
      <c r="D798" s="528" t="n"/>
      <c r="E798" s="528" t="n"/>
      <c r="F798" s="529" t="n"/>
      <c r="G798" s="530" t="inlineStr">
        <is>
          <t>14_100335465</t>
        </is>
      </c>
      <c r="H798" s="530" t="n"/>
      <c r="I798" s="9" t="inlineStr">
        <is>
          <t>млн куб.м.</t>
        </is>
      </c>
    </row>
    <row r="799" ht="20.1" customHeight="1" s="769">
      <c r="C799" s="424" t="n"/>
      <c r="D799" s="528" t="n"/>
      <c r="E799" s="528" t="n"/>
      <c r="F799" s="529" t="n"/>
      <c r="G799" s="530" t="inlineStr">
        <is>
          <t>14_100335464</t>
        </is>
      </c>
      <c r="H799" s="530" t="n"/>
      <c r="I799" s="446" t="inlineStr">
        <is>
          <t>тыс.т</t>
        </is>
      </c>
    </row>
    <row r="800" ht="20.1" customHeight="1" s="769">
      <c r="C800" s="436" t="inlineStr">
        <is>
          <t xml:space="preserve"> Амурский ГПЗ</t>
        </is>
      </c>
      <c r="D800" s="528" t="n"/>
      <c r="E800" s="528" t="n"/>
      <c r="F800" s="529" t="n"/>
      <c r="G800" s="530" t="inlineStr">
        <is>
          <t>14_100335465</t>
        </is>
      </c>
      <c r="H800" s="530" t="n"/>
      <c r="I800" s="6" t="inlineStr">
        <is>
          <t>млн куб.м.</t>
        </is>
      </c>
    </row>
    <row r="801" ht="20.1" customHeight="1" s="769">
      <c r="C801" s="436" t="n"/>
      <c r="D801" s="528" t="n"/>
      <c r="E801" s="528" t="n"/>
      <c r="F801" s="529" t="n"/>
      <c r="G801" s="530" t="inlineStr">
        <is>
          <t>14_100335464</t>
        </is>
      </c>
      <c r="H801" s="530" t="n"/>
      <c r="I801" s="4" t="inlineStr">
        <is>
          <t>тыс.т</t>
        </is>
      </c>
    </row>
    <row r="802" ht="20.1" customHeight="1" s="769">
      <c r="B802" s="747" t="inlineStr">
        <is>
          <t>23.</t>
        </is>
      </c>
      <c r="C802" s="416" t="inlineStr">
        <is>
          <t>Газ сбросной технологическийн на собств. нужды-всего</t>
        </is>
      </c>
      <c r="D802" s="528" t="n"/>
      <c r="E802" s="528" t="n"/>
      <c r="F802" s="529" t="n"/>
      <c r="G802" s="530" t="n"/>
      <c r="H802" s="530" t="n"/>
      <c r="I802" s="446" t="n"/>
    </row>
    <row r="803" ht="20.1" customHeight="1" s="769">
      <c r="C803" s="424" t="inlineStr">
        <is>
          <t xml:space="preserve">   Газпром переработка</t>
        </is>
      </c>
      <c r="D803" s="528" t="n"/>
      <c r="E803" s="528" t="n"/>
      <c r="F803" s="529" t="n"/>
      <c r="G803" s="530" t="inlineStr">
        <is>
          <t>4_100331879</t>
        </is>
      </c>
      <c r="H803" s="530" t="n"/>
      <c r="I803" s="9" t="inlineStr">
        <is>
          <t>млн куб.м.</t>
        </is>
      </c>
    </row>
    <row r="804" ht="20.1" customHeight="1" s="769">
      <c r="C804" s="424" t="n"/>
      <c r="D804" s="528" t="n"/>
      <c r="E804" s="528" t="n"/>
      <c r="F804" s="529" t="n"/>
      <c r="G804" s="530" t="inlineStr">
        <is>
          <t>4_100331878</t>
        </is>
      </c>
      <c r="H804" s="530" t="n"/>
      <c r="I804" s="446" t="inlineStr">
        <is>
          <t>тыс.т</t>
        </is>
      </c>
    </row>
    <row r="805" ht="20.1" customHeight="1" s="769">
      <c r="C805" s="436" t="inlineStr">
        <is>
          <t xml:space="preserve"> Сургутский ЗСК</t>
        </is>
      </c>
      <c r="D805" s="528" t="n"/>
      <c r="E805" s="528" t="n"/>
      <c r="F805" s="529" t="n"/>
      <c r="G805" s="530" t="inlineStr">
        <is>
          <t>4_100331879</t>
        </is>
      </c>
      <c r="H805" s="530" t="n"/>
      <c r="I805" s="6" t="inlineStr">
        <is>
          <t>млн куб.м.</t>
        </is>
      </c>
    </row>
    <row r="806" ht="20.1" customHeight="1" s="769">
      <c r="C806" s="416" t="n"/>
      <c r="D806" s="528" t="n"/>
      <c r="E806" s="528" t="n"/>
      <c r="F806" s="529" t="n"/>
      <c r="G806" s="530" t="inlineStr">
        <is>
          <t>4_100331878</t>
        </is>
      </c>
      <c r="H806" s="530" t="n"/>
      <c r="I806" s="4" t="inlineStr">
        <is>
          <t>тыс.т</t>
        </is>
      </c>
    </row>
    <row r="807" ht="20.1" customHeight="1" s="769">
      <c r="B807" s="413" t="inlineStr">
        <is>
          <t>23.1.</t>
        </is>
      </c>
      <c r="C807" s="428" t="inlineStr">
        <is>
          <t>Газпром</t>
        </is>
      </c>
      <c r="D807" s="528" t="n"/>
      <c r="E807" s="528" t="n"/>
      <c r="F807" s="529" t="n"/>
      <c r="G807" s="530" t="n"/>
      <c r="H807" s="530" t="n"/>
      <c r="I807" s="9" t="n"/>
    </row>
    <row r="808" ht="20.1" customHeight="1" s="769">
      <c r="C808" s="424" t="inlineStr">
        <is>
          <t xml:space="preserve">   Газпром переработка</t>
        </is>
      </c>
      <c r="D808" s="528" t="n"/>
      <c r="E808" s="528" t="n"/>
      <c r="F808" s="529" t="n"/>
      <c r="G808" s="530" t="inlineStr">
        <is>
          <t>4_100331879</t>
        </is>
      </c>
      <c r="H808" s="530" t="n"/>
      <c r="I808" s="9" t="inlineStr">
        <is>
          <t>млн куб.м.</t>
        </is>
      </c>
    </row>
    <row r="809" ht="20.1" customHeight="1" s="769">
      <c r="C809" s="424" t="n"/>
      <c r="D809" s="528" t="n"/>
      <c r="E809" s="528" t="n"/>
      <c r="F809" s="529" t="n"/>
      <c r="G809" s="530" t="inlineStr">
        <is>
          <t>4_100331878</t>
        </is>
      </c>
      <c r="H809" s="530" t="n"/>
      <c r="I809" s="446" t="inlineStr">
        <is>
          <t>тыс.т</t>
        </is>
      </c>
    </row>
    <row r="810" ht="20.1" customHeight="1" s="769">
      <c r="C810" s="436" t="inlineStr">
        <is>
          <t>Сургутский ЗСК</t>
        </is>
      </c>
      <c r="D810" s="528" t="n"/>
      <c r="E810" s="528" t="n"/>
      <c r="F810" s="529" t="n"/>
      <c r="G810" s="530" t="inlineStr">
        <is>
          <t>4_100331879</t>
        </is>
      </c>
      <c r="H810" s="530" t="n"/>
      <c r="I810" s="6" t="inlineStr">
        <is>
          <t>млн куб.м.</t>
        </is>
      </c>
    </row>
    <row r="811" ht="20.1" customHeight="1" s="769">
      <c r="C811" s="416" t="n"/>
      <c r="D811" s="528" t="n"/>
      <c r="E811" s="528" t="n"/>
      <c r="F811" s="529" t="n"/>
      <c r="G811" s="530" t="inlineStr">
        <is>
          <t>4_100331878</t>
        </is>
      </c>
      <c r="H811" s="530" t="n"/>
      <c r="I811" s="4" t="inlineStr">
        <is>
          <t>тыс.т</t>
        </is>
      </c>
    </row>
    <row r="812" ht="20.1" customHeight="1" s="769">
      <c r="B812" s="413" t="inlineStr">
        <is>
          <t>23.2.</t>
        </is>
      </c>
      <c r="C812" s="428" t="inlineStr">
        <is>
          <t>Дочерние общества</t>
        </is>
      </c>
      <c r="D812" s="528" t="n"/>
      <c r="E812" s="528" t="n"/>
      <c r="F812" s="529" t="n"/>
      <c r="G812" s="530" t="n">
        <v>0</v>
      </c>
      <c r="H812" s="530" t="n"/>
      <c r="I812" s="9" t="inlineStr">
        <is>
          <t>млн куб.м.</t>
        </is>
      </c>
    </row>
    <row r="813" ht="20.1" customHeight="1" s="769">
      <c r="C813" s="416" t="n"/>
      <c r="D813" s="528" t="n"/>
      <c r="E813" s="528" t="n"/>
      <c r="F813" s="529" t="n"/>
      <c r="G813" s="530" t="n">
        <v>0</v>
      </c>
      <c r="H813" s="530" t="n"/>
      <c r="I813" s="446" t="inlineStr">
        <is>
          <t>тыс.т</t>
        </is>
      </c>
    </row>
    <row r="814" ht="20.1" customHeight="1" s="769">
      <c r="B814" s="747" t="inlineStr">
        <is>
          <t>24.</t>
        </is>
      </c>
      <c r="C814" s="416" t="inlineStr">
        <is>
          <t>Газ деэтанизации и стабилизации-всего</t>
        </is>
      </c>
      <c r="D814" s="528" t="n"/>
      <c r="E814" s="528" t="n"/>
      <c r="F814" s="529" t="n"/>
      <c r="G814" s="530" t="inlineStr">
        <is>
          <t>7_100330612+10_100330726+0+12_100330680+13_100330680+0</t>
        </is>
      </c>
      <c r="H814" s="530" t="n"/>
      <c r="I814" s="9" t="inlineStr">
        <is>
          <t>млн куб.м.</t>
        </is>
      </c>
    </row>
    <row r="815" ht="20.1" customHeight="1" s="769">
      <c r="C815" s="416" t="n"/>
      <c r="D815" s="528" t="n"/>
      <c r="E815" s="528" t="n"/>
      <c r="F815" s="529" t="n"/>
      <c r="G815" s="530" t="inlineStr">
        <is>
          <t>7_100330611+10_100330727+0+12_100330679+13_100335781+0</t>
        </is>
      </c>
      <c r="H815" s="530" t="n"/>
      <c r="I815" s="446" t="inlineStr">
        <is>
          <t>тыс.т</t>
        </is>
      </c>
    </row>
    <row r="816" ht="20.1" customHeight="1" s="769">
      <c r="C816" s="424" t="inlineStr">
        <is>
          <t xml:space="preserve">   Газпром добыча Ямбург</t>
        </is>
      </c>
      <c r="D816" s="528" t="n"/>
      <c r="E816" s="528" t="n"/>
      <c r="F816" s="529" t="n"/>
      <c r="G816" s="530" t="inlineStr">
        <is>
          <t>7_100330612</t>
        </is>
      </c>
      <c r="H816" s="530" t="n"/>
      <c r="I816" s="9" t="inlineStr">
        <is>
          <t>млн куб.м.</t>
        </is>
      </c>
    </row>
    <row r="817" ht="20.1" customHeight="1" s="769">
      <c r="C817" s="416" t="n"/>
      <c r="D817" s="528" t="n"/>
      <c r="E817" s="528" t="n"/>
      <c r="F817" s="529" t="n"/>
      <c r="G817" s="530" t="inlineStr">
        <is>
          <t>7_100330611</t>
        </is>
      </c>
      <c r="H817" s="530" t="n"/>
      <c r="I817" s="446" t="inlineStr">
        <is>
          <t>тыс.т</t>
        </is>
      </c>
    </row>
    <row r="818" ht="20.1" customHeight="1" s="769">
      <c r="C818" s="424" t="inlineStr">
        <is>
          <t>Газпром добыча Ноябрьск</t>
        </is>
      </c>
      <c r="D818" s="528" t="n"/>
      <c r="E818" s="528" t="n"/>
      <c r="F818" s="529" t="n"/>
      <c r="G818" s="530" t="inlineStr">
        <is>
          <t>10_100330726+0</t>
        </is>
      </c>
      <c r="H818" s="530" t="n"/>
      <c r="I818" s="9" t="inlineStr">
        <is>
          <t>млн куб.м.</t>
        </is>
      </c>
    </row>
    <row r="819" ht="20.1" customHeight="1" s="769">
      <c r="C819" s="416" t="n"/>
      <c r="D819" s="528" t="n"/>
      <c r="E819" s="528" t="n"/>
      <c r="F819" s="529" t="n"/>
      <c r="G819" s="530" t="inlineStr">
        <is>
          <t>10_100330727+0</t>
        </is>
      </c>
      <c r="H819" s="530" t="n"/>
      <c r="I819" s="446" t="inlineStr">
        <is>
          <t>тыс.т</t>
        </is>
      </c>
    </row>
    <row r="820" ht="20.1" customHeight="1" s="769">
      <c r="C820" s="424" t="inlineStr">
        <is>
          <t>Газпром добыча Иркутск</t>
        </is>
      </c>
      <c r="D820" s="528" t="n"/>
      <c r="E820" s="528" t="n"/>
      <c r="F820" s="529" t="n"/>
      <c r="G820" s="530" t="inlineStr">
        <is>
          <t>12_100330680</t>
        </is>
      </c>
      <c r="H820" s="530" t="n"/>
      <c r="I820" s="9" t="inlineStr">
        <is>
          <t>млн куб.м.</t>
        </is>
      </c>
    </row>
    <row r="821" ht="20.1" customHeight="1" s="769">
      <c r="C821" s="416" t="n"/>
      <c r="D821" s="528" t="n"/>
      <c r="E821" s="528" t="n"/>
      <c r="F821" s="529" t="n"/>
      <c r="G821" s="530" t="inlineStr">
        <is>
          <t>12_100330679</t>
        </is>
      </c>
      <c r="H821" s="530" t="n"/>
      <c r="I821" s="446" t="inlineStr">
        <is>
          <t>тыс.т</t>
        </is>
      </c>
    </row>
    <row r="822" ht="20.1" customHeight="1" s="769">
      <c r="C822" s="904" t="inlineStr">
        <is>
          <t>Газпром добыча шельф Южно-Сахалинск</t>
        </is>
      </c>
      <c r="D822" s="528" t="n"/>
      <c r="E822" s="528" t="n"/>
      <c r="F822" s="529" t="n"/>
      <c r="G822" s="530" t="inlineStr">
        <is>
          <t>13_100330680</t>
        </is>
      </c>
      <c r="H822" s="530" t="n"/>
      <c r="I822" s="9" t="inlineStr">
        <is>
          <t>млн куб.м.</t>
        </is>
      </c>
    </row>
    <row r="823" ht="20.1" customHeight="1" s="769">
      <c r="C823" s="416" t="n"/>
      <c r="D823" s="528" t="n"/>
      <c r="E823" s="528" t="n"/>
      <c r="F823" s="529" t="n"/>
      <c r="G823" s="530" t="inlineStr">
        <is>
          <t>13_100335781</t>
        </is>
      </c>
      <c r="H823" s="530" t="n"/>
      <c r="I823" s="446" t="inlineStr">
        <is>
          <t>тыс.т</t>
        </is>
      </c>
    </row>
    <row r="824" ht="20.1" customHeight="1" s="769">
      <c r="C824" s="424" t="inlineStr">
        <is>
          <t>Газпром добыча Уренгой</t>
        </is>
      </c>
      <c r="D824" s="528" t="n"/>
      <c r="E824" s="528" t="n"/>
      <c r="F824" s="529" t="n"/>
      <c r="G824" s="530" t="n">
        <v>0</v>
      </c>
      <c r="H824" s="530" t="n"/>
      <c r="I824" s="9" t="inlineStr">
        <is>
          <t>млн куб.м.</t>
        </is>
      </c>
    </row>
    <row r="825" ht="20.1" customHeight="1" s="769">
      <c r="C825" s="463" t="n"/>
      <c r="D825" s="528" t="n"/>
      <c r="E825" s="528" t="n"/>
      <c r="F825" s="529" t="n"/>
      <c r="G825" s="530" t="n">
        <v>0</v>
      </c>
      <c r="H825" s="530" t="n"/>
      <c r="I825" s="446" t="inlineStr">
        <is>
          <t>тыс.т</t>
        </is>
      </c>
    </row>
    <row r="826" ht="20.1" customHeight="1" s="769">
      <c r="B826" s="413" t="inlineStr">
        <is>
          <t>24.1.</t>
        </is>
      </c>
      <c r="C826" s="428" t="inlineStr">
        <is>
          <t>Газпром</t>
        </is>
      </c>
      <c r="D826" s="528" t="n"/>
      <c r="E826" s="528" t="n"/>
      <c r="F826" s="529" t="n"/>
      <c r="G826" s="530" t="inlineStr">
        <is>
          <t>10_100330726+12_100330680+13_100330680</t>
        </is>
      </c>
      <c r="H826" s="530" t="n"/>
      <c r="I826" s="9" t="inlineStr">
        <is>
          <t>млн куб.м.</t>
        </is>
      </c>
    </row>
    <row r="827" ht="20.1" customHeight="1" s="769">
      <c r="C827" s="416" t="n"/>
      <c r="D827" s="528" t="n"/>
      <c r="E827" s="528" t="n"/>
      <c r="F827" s="529" t="n"/>
      <c r="G827" s="530" t="inlineStr">
        <is>
          <t>10_100330727+12_100330679+13_100335781</t>
        </is>
      </c>
      <c r="H827" s="530" t="n"/>
      <c r="I827" s="446" t="inlineStr">
        <is>
          <t>тыс.т</t>
        </is>
      </c>
    </row>
    <row r="828" ht="20.1" customHeight="1" s="769">
      <c r="C828" s="424" t="inlineStr">
        <is>
          <t>Газпром добыча Ноябрьск</t>
        </is>
      </c>
      <c r="D828" s="528" t="n"/>
      <c r="E828" s="528" t="n"/>
      <c r="F828" s="529" t="n"/>
      <c r="G828" s="530" t="inlineStr">
        <is>
          <t>10_100330726</t>
        </is>
      </c>
      <c r="H828" s="530" t="n"/>
      <c r="I828" s="9" t="inlineStr">
        <is>
          <t>млн куб.м.</t>
        </is>
      </c>
    </row>
    <row r="829" ht="20.1" customHeight="1" s="769">
      <c r="C829" s="416" t="n"/>
      <c r="D829" s="528" t="n"/>
      <c r="E829" s="528" t="n"/>
      <c r="F829" s="529" t="n"/>
      <c r="G829" s="530" t="inlineStr">
        <is>
          <t>10_100330727</t>
        </is>
      </c>
      <c r="H829" s="530" t="n"/>
      <c r="I829" s="446" t="inlineStr">
        <is>
          <t>тыс.т</t>
        </is>
      </c>
    </row>
    <row r="830" ht="20.1" customHeight="1" s="769">
      <c r="C830" s="424" t="inlineStr">
        <is>
          <t>Газпром добыча Иркутск</t>
        </is>
      </c>
      <c r="D830" s="528" t="n"/>
      <c r="E830" s="528" t="n"/>
      <c r="F830" s="529" t="n"/>
      <c r="G830" s="530" t="inlineStr">
        <is>
          <t>12_100330680</t>
        </is>
      </c>
      <c r="H830" s="530" t="n"/>
      <c r="I830" s="9" t="inlineStr">
        <is>
          <t>млн куб.м.</t>
        </is>
      </c>
    </row>
    <row r="831" ht="20.1" customHeight="1" s="769">
      <c r="C831" s="416" t="n"/>
      <c r="D831" s="528" t="n"/>
      <c r="E831" s="528" t="n"/>
      <c r="F831" s="529" t="n"/>
      <c r="G831" s="530" t="inlineStr">
        <is>
          <t>12_100330679</t>
        </is>
      </c>
      <c r="H831" s="530" t="n"/>
      <c r="I831" s="446" t="inlineStr">
        <is>
          <t>тыс.т</t>
        </is>
      </c>
    </row>
    <row r="832" ht="20.1" customHeight="1" s="769">
      <c r="C832" s="904" t="inlineStr">
        <is>
          <t>Газпром добыча шельф Южно-Сахалинск</t>
        </is>
      </c>
      <c r="D832" s="528" t="n"/>
      <c r="E832" s="528" t="n"/>
      <c r="F832" s="529" t="n"/>
      <c r="G832" s="530" t="inlineStr">
        <is>
          <t>13_100330680</t>
        </is>
      </c>
      <c r="H832" s="530" t="n"/>
      <c r="I832" s="9" t="inlineStr">
        <is>
          <t>млн куб.м.</t>
        </is>
      </c>
    </row>
    <row r="833" ht="20.1" customHeight="1" s="769">
      <c r="C833" s="416" t="n"/>
      <c r="D833" s="528" t="n"/>
      <c r="E833" s="528" t="n"/>
      <c r="F833" s="529" t="n"/>
      <c r="G833" s="530" t="inlineStr">
        <is>
          <t>13_100335781</t>
        </is>
      </c>
      <c r="H833" s="530" t="n"/>
      <c r="I833" s="446" t="inlineStr">
        <is>
          <t>тыс.т</t>
        </is>
      </c>
    </row>
    <row r="834" ht="20.1" customHeight="1" s="769">
      <c r="B834" s="413" t="inlineStr">
        <is>
          <t>24.2.</t>
        </is>
      </c>
      <c r="C834" s="428" t="inlineStr">
        <is>
          <t>Дочерние общества</t>
        </is>
      </c>
      <c r="D834" s="528" t="n"/>
      <c r="E834" s="528" t="n"/>
      <c r="F834" s="529" t="n"/>
      <c r="G834" s="530" t="inlineStr">
        <is>
          <t>7_100330612+0+0</t>
        </is>
      </c>
      <c r="H834" s="530" t="n"/>
      <c r="I834" s="9" t="inlineStr">
        <is>
          <t>млн куб.м.</t>
        </is>
      </c>
    </row>
    <row r="835" ht="20.1" customHeight="1" s="769">
      <c r="C835" s="416" t="n"/>
      <c r="D835" s="528" t="n"/>
      <c r="E835" s="528" t="n"/>
      <c r="F835" s="529" t="n"/>
      <c r="G835" s="530" t="inlineStr">
        <is>
          <t>7_100330611+0+0</t>
        </is>
      </c>
      <c r="H835" s="530" t="n"/>
      <c r="I835" s="446" t="inlineStr">
        <is>
          <t>тыс.т</t>
        </is>
      </c>
    </row>
    <row r="836" ht="20.1" customHeight="1" s="769">
      <c r="C836" s="424" t="inlineStr">
        <is>
          <t xml:space="preserve">   Газпром добыча Ямбург</t>
        </is>
      </c>
      <c r="D836" s="528" t="n"/>
      <c r="E836" s="528" t="n"/>
      <c r="F836" s="529" t="n"/>
      <c r="G836" s="530" t="inlineStr">
        <is>
          <t>7_100330612</t>
        </is>
      </c>
      <c r="H836" s="530" t="n"/>
      <c r="I836" s="9" t="inlineStr">
        <is>
          <t>млн куб.м.</t>
        </is>
      </c>
    </row>
    <row r="837" ht="20.1" customHeight="1" s="769">
      <c r="C837" s="416" t="n"/>
      <c r="D837" s="528" t="n"/>
      <c r="E837" s="528" t="n"/>
      <c r="F837" s="529" t="n"/>
      <c r="G837" s="530" t="inlineStr">
        <is>
          <t>7_100330611</t>
        </is>
      </c>
      <c r="H837" s="530" t="n"/>
      <c r="I837" s="446" t="inlineStr">
        <is>
          <t>тыс.т</t>
        </is>
      </c>
    </row>
    <row r="838" ht="20.1" customHeight="1" s="769">
      <c r="C838" s="420" t="inlineStr">
        <is>
          <t>Газпром добыча Ноябрьск (ДРОД )</t>
        </is>
      </c>
      <c r="D838" s="528" t="n"/>
      <c r="E838" s="528" t="n"/>
      <c r="F838" s="529" t="n"/>
      <c r="G838" s="530" t="n"/>
      <c r="H838" s="530" t="n"/>
      <c r="I838" s="446" t="inlineStr">
        <is>
          <t>млн куб.м.</t>
        </is>
      </c>
    </row>
    <row r="839" ht="20.1" customHeight="1" s="769">
      <c r="C839" s="415" t="n"/>
      <c r="D839" s="528" t="n"/>
      <c r="E839" s="528" t="n"/>
      <c r="F839" s="529" t="n"/>
      <c r="G839" s="530" t="n"/>
      <c r="H839" s="530" t="n"/>
      <c r="I839" s="446" t="inlineStr">
        <is>
          <t>тыс.т</t>
        </is>
      </c>
    </row>
    <row r="840" ht="20.1" customHeight="1" s="769">
      <c r="C840" s="420" t="inlineStr">
        <is>
          <t>Газпром добыча Уренгой (ДРОД )</t>
        </is>
      </c>
      <c r="D840" s="528" t="n"/>
      <c r="E840" s="528" t="n"/>
      <c r="F840" s="529" t="n"/>
      <c r="G840" s="530" t="n"/>
      <c r="H840" s="530" t="n"/>
      <c r="I840" s="9" t="inlineStr">
        <is>
          <t>млн куб.м.</t>
        </is>
      </c>
    </row>
    <row r="841" ht="20.1" customHeight="1" s="769">
      <c r="C841" s="463" t="n"/>
      <c r="D841" s="528" t="n"/>
      <c r="E841" s="528" t="n"/>
      <c r="F841" s="529" t="n"/>
      <c r="G841" s="530" t="n"/>
      <c r="H841" s="530" t="n"/>
      <c r="I841" s="446" t="inlineStr">
        <is>
          <t>тыс.т</t>
        </is>
      </c>
    </row>
    <row r="842" ht="20.1" customHeight="1" s="769">
      <c r="B842" s="747" t="inlineStr">
        <is>
          <t>25.</t>
        </is>
      </c>
      <c r="C842" s="416" t="inlineStr">
        <is>
          <t>Метанол - всего</t>
        </is>
      </c>
      <c r="D842" s="528" t="n"/>
      <c r="E842" s="528" t="n"/>
      <c r="F842" s="529" t="n"/>
      <c r="G842" s="530" t="inlineStr">
        <is>
          <t>4_100335444/$1000+0+4_100335445/$1000+3_100335432/$1000</t>
        </is>
      </c>
      <c r="H842" s="530" t="n"/>
      <c r="I842" s="446" t="inlineStr">
        <is>
          <t>тыс.т</t>
        </is>
      </c>
    </row>
    <row r="843" ht="20.1" customHeight="1" s="769">
      <c r="C843" s="424" t="inlineStr">
        <is>
          <t xml:space="preserve">   Газпром переработка</t>
        </is>
      </c>
      <c r="D843" s="528" t="n"/>
      <c r="E843" s="528" t="n"/>
      <c r="F843" s="529" t="n"/>
      <c r="G843" s="530" t="inlineStr">
        <is>
          <t>4_100335444/$1000+0+4_100335445/$1000+3_100335432/$1000</t>
        </is>
      </c>
      <c r="H843" s="530" t="n"/>
      <c r="I843" s="446" t="inlineStr">
        <is>
          <t>тыс.т</t>
        </is>
      </c>
    </row>
    <row r="844" ht="20.1" customHeight="1" s="769">
      <c r="C844" s="436" t="inlineStr">
        <is>
          <t>Уренгойский ЗПКТ</t>
        </is>
      </c>
      <c r="D844" s="528" t="n"/>
      <c r="E844" s="528" t="n"/>
      <c r="F844" s="529" t="n"/>
      <c r="G844" s="530" t="inlineStr">
        <is>
          <t>4_100335444/$1000+0</t>
        </is>
      </c>
      <c r="H844" s="530" t="n"/>
      <c r="I844" s="906" t="inlineStr">
        <is>
          <t>тыс.т</t>
        </is>
      </c>
    </row>
    <row r="845" ht="20.1" customHeight="1" s="769">
      <c r="C845" s="436" t="inlineStr">
        <is>
          <t xml:space="preserve">   Сургутский ЗСК</t>
        </is>
      </c>
      <c r="D845" s="528" t="n"/>
      <c r="E845" s="528" t="n"/>
      <c r="F845" s="529" t="n"/>
      <c r="G845" s="530" t="inlineStr">
        <is>
          <t>4_100335445/$1000</t>
        </is>
      </c>
      <c r="H845" s="530" t="n"/>
      <c r="I845" s="906" t="inlineStr">
        <is>
          <t>тыс.т</t>
        </is>
      </c>
    </row>
    <row r="846" ht="20.1" customHeight="1" s="769">
      <c r="C846" s="436" t="inlineStr">
        <is>
          <t>Сосногорский ГПЗ</t>
        </is>
      </c>
      <c r="D846" s="528" t="n"/>
      <c r="E846" s="528" t="n"/>
      <c r="F846" s="529" t="n"/>
      <c r="G846" s="530" t="inlineStr">
        <is>
          <t>3_100335432/$1000</t>
        </is>
      </c>
      <c r="H846" s="530" t="n"/>
      <c r="I846" s="906" t="inlineStr">
        <is>
          <t>тыс.т</t>
        </is>
      </c>
    </row>
    <row r="847" ht="20.1" customHeight="1" s="769">
      <c r="B847" s="413" t="inlineStr">
        <is>
          <t>25.1.</t>
        </is>
      </c>
      <c r="C847" s="428" t="inlineStr">
        <is>
          <t>Газпром</t>
        </is>
      </c>
      <c r="D847" s="528" t="n"/>
      <c r="E847" s="528" t="n"/>
      <c r="F847" s="529" t="n"/>
      <c r="G847" s="530" t="inlineStr">
        <is>
          <t>4_100335444/$1000+4_100335445/$1000+3_100335432/$1000</t>
        </is>
      </c>
      <c r="H847" s="530" t="n"/>
      <c r="I847" s="446" t="inlineStr">
        <is>
          <t>тыс.т</t>
        </is>
      </c>
    </row>
    <row r="848" ht="20.1" customHeight="1" s="769">
      <c r="C848" s="424" t="inlineStr">
        <is>
          <t xml:space="preserve">   Газпром переработка</t>
        </is>
      </c>
      <c r="D848" s="528" t="n"/>
      <c r="E848" s="528" t="n"/>
      <c r="F848" s="529" t="n"/>
      <c r="G848" s="530" t="inlineStr">
        <is>
          <t>4_100335444/$1000+4_100335445/$1000+3_100335432/$1000</t>
        </is>
      </c>
      <c r="H848" s="530" t="n"/>
      <c r="I848" s="446" t="inlineStr">
        <is>
          <t>тыс.т</t>
        </is>
      </c>
    </row>
    <row r="849" ht="20.1" customHeight="1" s="769">
      <c r="C849" s="436" t="inlineStr">
        <is>
          <t xml:space="preserve"> Уренгойский ЗПКТ</t>
        </is>
      </c>
      <c r="D849" s="528" t="n"/>
      <c r="E849" s="528" t="n"/>
      <c r="F849" s="529" t="n"/>
      <c r="G849" s="530" t="inlineStr">
        <is>
          <t>4_100335444/$1000</t>
        </is>
      </c>
      <c r="H849" s="530" t="n"/>
      <c r="I849" s="906" t="inlineStr">
        <is>
          <t>тыс.т</t>
        </is>
      </c>
    </row>
    <row r="850" ht="20.1" customHeight="1" s="769">
      <c r="C850" s="436" t="inlineStr">
        <is>
          <t xml:space="preserve">   Сургутский ЗСК</t>
        </is>
      </c>
      <c r="D850" s="528" t="n"/>
      <c r="E850" s="528" t="n"/>
      <c r="F850" s="529" t="n"/>
      <c r="G850" s="530" t="inlineStr">
        <is>
          <t>4_100335445/$1000</t>
        </is>
      </c>
      <c r="H850" s="530" t="n"/>
      <c r="I850" s="906" t="inlineStr">
        <is>
          <t>тыс.т</t>
        </is>
      </c>
    </row>
    <row r="851" ht="20.1" customHeight="1" s="769">
      <c r="C851" s="436" t="inlineStr">
        <is>
          <t>Сосногорский ГПЗ</t>
        </is>
      </c>
      <c r="D851" s="528" t="n"/>
      <c r="E851" s="528" t="n"/>
      <c r="F851" s="529" t="n"/>
      <c r="G851" s="530" t="inlineStr">
        <is>
          <t>3_100335432/$1000</t>
        </is>
      </c>
      <c r="H851" s="530" t="n"/>
      <c r="I851" s="906" t="inlineStr">
        <is>
          <t>тыс.т</t>
        </is>
      </c>
    </row>
    <row r="852" ht="20.1" customHeight="1" s="769">
      <c r="B852" s="413" t="inlineStr">
        <is>
          <t>25.2.</t>
        </is>
      </c>
      <c r="C852" s="428" t="inlineStr">
        <is>
          <t>Дочерние общества</t>
        </is>
      </c>
      <c r="D852" s="528" t="n"/>
      <c r="E852" s="528" t="n"/>
      <c r="F852" s="529" t="n"/>
      <c r="G852" s="530" t="n">
        <v>0</v>
      </c>
      <c r="H852" s="530" t="n"/>
      <c r="I852" s="446" t="inlineStr">
        <is>
          <t>тыс.т</t>
        </is>
      </c>
    </row>
    <row r="853" ht="20.1" customHeight="1" s="769">
      <c r="C853" s="424" t="inlineStr">
        <is>
          <t>Газпро добыча Уренгой</t>
        </is>
      </c>
      <c r="D853" s="528" t="n"/>
      <c r="E853" s="528" t="n"/>
      <c r="F853" s="529" t="n"/>
      <c r="G853" s="530" t="n">
        <v>0</v>
      </c>
      <c r="H853" s="530" t="n"/>
      <c r="I853" s="446" t="inlineStr">
        <is>
          <t>тыс.т</t>
        </is>
      </c>
    </row>
    <row r="854" ht="20.1" customHeight="1" s="769">
      <c r="C854" s="436" t="inlineStr">
        <is>
          <t xml:space="preserve"> Уренгойский ЗПКТ</t>
        </is>
      </c>
      <c r="D854" s="528" t="n"/>
      <c r="E854" s="528" t="n"/>
      <c r="F854" s="529" t="n"/>
      <c r="G854" s="530" t="n"/>
      <c r="H854" s="530" t="n"/>
      <c r="I854" s="906" t="inlineStr">
        <is>
          <t>тыс.т</t>
        </is>
      </c>
    </row>
    <row r="855" ht="20.1" customHeight="1" s="769">
      <c r="C855" s="438" t="inlineStr">
        <is>
          <t>Справочно:</t>
        </is>
      </c>
      <c r="D855" s="528" t="n"/>
      <c r="E855" s="528" t="n"/>
      <c r="F855" s="529" t="n"/>
      <c r="G855" s="530" t="n"/>
      <c r="H855" s="530" t="n"/>
      <c r="I855" s="446" t="n"/>
    </row>
    <row r="856" ht="20.1" customHeight="1" s="769">
      <c r="C856" s="416" t="inlineStr">
        <is>
          <t>Нефть</t>
        </is>
      </c>
      <c r="D856" s="528" t="n"/>
      <c r="E856" s="528" t="n"/>
      <c r="F856" s="529" t="n"/>
      <c r="G856" s="530" t="n"/>
      <c r="H856" s="530" t="n"/>
      <c r="I856" s="446" t="n"/>
    </row>
    <row r="857" ht="20.1" customHeight="1" s="769">
      <c r="C857" s="424" t="inlineStr">
        <is>
          <t>Поставка от добычи Газпром нефть (Царичанское НМ)</t>
        </is>
      </c>
      <c r="D857" s="528" t="n"/>
      <c r="E857" s="528" t="n"/>
      <c r="F857" s="529" t="n"/>
      <c r="G857" s="530" t="inlineStr">
        <is>
          <t>6_100332312</t>
        </is>
      </c>
      <c r="H857" s="530" t="n"/>
      <c r="I857" s="446" t="inlineStr">
        <is>
          <t>тыс.т</t>
        </is>
      </c>
    </row>
    <row r="858" ht="20.1" customHeight="1" s="769">
      <c r="C858" s="436" t="inlineStr">
        <is>
          <t>(транспортировка, собственность Газпром нефтехим Салават )</t>
        </is>
      </c>
      <c r="D858" s="528" t="n"/>
      <c r="E858" s="528" t="n"/>
      <c r="F858" s="529" t="n"/>
      <c r="G858" s="530" t="n"/>
      <c r="H858" s="530" t="n"/>
      <c r="I858" s="446" t="n"/>
    </row>
    <row r="859" ht="20.1" customHeight="1" s="769">
      <c r="C859" s="439" t="inlineStr">
        <is>
          <t xml:space="preserve"> * данные показатели принимаются по факту и используются при формировании договоров</t>
        </is>
      </c>
      <c r="D859" s="528" t="n"/>
      <c r="E859" s="528" t="n"/>
      <c r="F859" s="529" t="n"/>
      <c r="G859" s="530" t="n"/>
      <c r="H859" s="530" t="n"/>
      <c r="I859" s="440" t="n"/>
    </row>
    <row r="860" ht="20.1" customHeight="1" s="769">
      <c r="C860" s="460" t="n"/>
      <c r="D860" s="528" t="n"/>
      <c r="E860" s="528" t="n"/>
      <c r="F860" s="529" t="n"/>
      <c r="G860" s="530" t="n"/>
      <c r="H860" s="530" t="n"/>
      <c r="I860" s="440" t="n"/>
    </row>
    <row r="861" ht="20.1" customHeight="1" s="769">
      <c r="B861" s="416" t="inlineStr">
        <is>
          <t>Раздел 2. Прогнозные показатели по переработке углеводородного сырья и производству продукции других дочерних обществ</t>
        </is>
      </c>
      <c r="C861" s="416" t="n"/>
      <c r="D861" s="528" t="n"/>
      <c r="E861" s="528" t="n"/>
      <c r="F861" s="529" t="n"/>
      <c r="G861" s="530" t="n"/>
      <c r="H861" s="530" t="n"/>
      <c r="I861" s="416" t="n"/>
    </row>
    <row r="862" ht="20.1" customHeight="1" s="769">
      <c r="C862" s="416" t="inlineStr">
        <is>
          <t>ГРУППА ВОСТОКГАЗПРОМ</t>
        </is>
      </c>
      <c r="D862" s="528" t="n"/>
      <c r="E862" s="528" t="n"/>
      <c r="F862" s="529" t="n"/>
      <c r="G862" s="530" t="n"/>
      <c r="H862" s="530" t="n"/>
      <c r="I862" s="446" t="n"/>
    </row>
    <row r="863" ht="20.1" customHeight="1" s="769">
      <c r="B863" s="747" t="inlineStr">
        <is>
          <t>1.</t>
        </is>
      </c>
      <c r="C863" s="757" t="inlineStr">
        <is>
          <t xml:space="preserve">ПЕРЕРАБОТКА СЫРЬЯ </t>
        </is>
      </c>
      <c r="D863" s="528" t="n"/>
      <c r="E863" s="528" t="n"/>
      <c r="F863" s="529" t="n"/>
      <c r="G863" s="530" t="inlineStr">
        <is>
          <t>16_100336330</t>
        </is>
      </c>
      <c r="H863" s="530" t="n"/>
      <c r="I863" s="446" t="inlineStr">
        <is>
          <t>тыс.т.</t>
        </is>
      </c>
    </row>
    <row r="864" ht="34.5" customHeight="1" s="769">
      <c r="B864" s="747" t="inlineStr">
        <is>
          <t>1.1</t>
        </is>
      </c>
      <c r="C864" s="757" t="inlineStr">
        <is>
          <t>Переработка УВС от добычи АО "Газпром добыча Томск" всего:</t>
        </is>
      </c>
      <c r="D864" s="528" t="n"/>
      <c r="E864" s="528" t="n"/>
      <c r="F864" s="529" t="n"/>
      <c r="G864" s="530" t="inlineStr">
        <is>
          <t>16_100336331</t>
        </is>
      </c>
      <c r="H864" s="530" t="n"/>
      <c r="I864" s="446" t="inlineStr">
        <is>
          <t>тыс.т.</t>
        </is>
      </c>
    </row>
    <row r="865" ht="20.1" customHeight="1" s="769">
      <c r="C865" s="754" t="inlineStr">
        <is>
          <t>Попутный нефтяной газ</t>
        </is>
      </c>
      <c r="D865" s="528" t="n"/>
      <c r="E865" s="528" t="n"/>
      <c r="F865" s="529" t="n"/>
      <c r="G865" s="530" t="inlineStr">
        <is>
          <t>16_100332340</t>
        </is>
      </c>
      <c r="H865" s="530" t="n"/>
      <c r="I865" s="906" t="inlineStr">
        <is>
          <t>тыс.т.</t>
        </is>
      </c>
    </row>
    <row r="866" ht="20.1" customHeight="1" s="769">
      <c r="D866" s="528" t="n"/>
      <c r="E866" s="528" t="n"/>
      <c r="F866" s="529" t="n"/>
      <c r="G866" s="530" t="inlineStr">
        <is>
          <t>16_100330742</t>
        </is>
      </c>
      <c r="H866" s="530" t="n"/>
      <c r="I866" s="906" t="inlineStr">
        <is>
          <t>млн куб.м</t>
        </is>
      </c>
    </row>
    <row r="867" ht="20.1" customHeight="1" s="769">
      <c r="C867" s="754" t="inlineStr">
        <is>
          <t>Нестабильный газовый конденсат</t>
        </is>
      </c>
      <c r="D867" s="528" t="n"/>
      <c r="E867" s="528" t="n"/>
      <c r="F867" s="529" t="n"/>
      <c r="G867" s="530" t="inlineStr">
        <is>
          <t>16_100330865</t>
        </is>
      </c>
      <c r="H867" s="530" t="n"/>
      <c r="I867" s="906" t="inlineStr">
        <is>
          <t>тыс.т.</t>
        </is>
      </c>
    </row>
    <row r="868" ht="20.1" customHeight="1" s="769">
      <c r="C868" s="441" t="inlineStr">
        <is>
          <t>в т.ч. нестабильный газовый конденсат из СОГ</t>
        </is>
      </c>
      <c r="D868" s="528" t="n"/>
      <c r="E868" s="528" t="n"/>
      <c r="F868" s="529" t="n"/>
      <c r="G868" s="530" t="inlineStr">
        <is>
          <t>16_100337098</t>
        </is>
      </c>
      <c r="H868" s="530" t="n"/>
      <c r="I868" s="909" t="inlineStr">
        <is>
          <t>тыс.т.</t>
        </is>
      </c>
    </row>
    <row r="869" ht="20.1" customHeight="1" s="769">
      <c r="C869" s="754" t="inlineStr">
        <is>
          <t>Нефть</t>
        </is>
      </c>
      <c r="D869" s="528" t="n"/>
      <c r="E869" s="528" t="n"/>
      <c r="F869" s="529" t="n"/>
      <c r="G869" s="530" t="inlineStr">
        <is>
          <t>16_100336332</t>
        </is>
      </c>
      <c r="H869" s="530" t="n"/>
      <c r="I869" s="906" t="inlineStr">
        <is>
          <t>тыс.т.</t>
        </is>
      </c>
    </row>
    <row r="870" ht="20.1" customHeight="1" s="769">
      <c r="C870" s="441" t="inlineStr">
        <is>
          <t>в т.ч. нефть из ПНГ</t>
        </is>
      </c>
      <c r="D870" s="528" t="n"/>
      <c r="E870" s="528" t="n"/>
      <c r="F870" s="529" t="n"/>
      <c r="G870" s="530" t="inlineStr">
        <is>
          <t>16_100336333</t>
        </is>
      </c>
      <c r="H870" s="530" t="n"/>
      <c r="I870" s="909" t="inlineStr">
        <is>
          <t>тыс.т.</t>
        </is>
      </c>
    </row>
    <row r="871" ht="20.1" customHeight="1" s="769">
      <c r="C871" s="773" t="inlineStr">
        <is>
          <t>Справочно: СОГ на доппереработку с Казанского НГКМ на Мыльджинское НГКМ</t>
        </is>
      </c>
      <c r="D871" s="528" t="n"/>
      <c r="E871" s="528" t="n"/>
      <c r="F871" s="529" t="n"/>
      <c r="G871" s="530" t="inlineStr">
        <is>
          <t>16_100336369</t>
        </is>
      </c>
      <c r="H871" s="530" t="n"/>
      <c r="I871" s="909" t="inlineStr">
        <is>
          <t>тыс.т.</t>
        </is>
      </c>
    </row>
    <row r="872" ht="20.1" customHeight="1" s="769">
      <c r="D872" s="528" t="n"/>
      <c r="E872" s="528" t="n"/>
      <c r="F872" s="529" t="n"/>
      <c r="G872" s="530" t="inlineStr">
        <is>
          <t>16_100336370</t>
        </is>
      </c>
      <c r="H872" s="530" t="n"/>
      <c r="I872" s="909" t="inlineStr">
        <is>
          <t>млн куб.м</t>
        </is>
      </c>
    </row>
    <row r="873" ht="20.1" customHeight="1" s="769">
      <c r="B873" s="747" t="inlineStr">
        <is>
          <t>1.2</t>
        </is>
      </c>
      <c r="C873" s="757" t="inlineStr">
        <is>
          <t>Покупка сырья  ПАО "Газпром нефть"</t>
        </is>
      </c>
      <c r="D873" s="528" t="n"/>
      <c r="E873" s="528" t="n"/>
      <c r="F873" s="529" t="n"/>
      <c r="G873" s="530" t="inlineStr">
        <is>
          <t>16_100332993</t>
        </is>
      </c>
      <c r="H873" s="530" t="n"/>
      <c r="I873" s="446" t="inlineStr">
        <is>
          <t>тыс.т.</t>
        </is>
      </c>
    </row>
    <row r="874" ht="20.1" customHeight="1" s="769">
      <c r="D874" s="528" t="n"/>
      <c r="E874" s="528" t="n"/>
      <c r="F874" s="529" t="n"/>
      <c r="G874" s="530" t="inlineStr">
        <is>
          <t>16_100332994</t>
        </is>
      </c>
      <c r="H874" s="530" t="n"/>
      <c r="I874" s="929" t="inlineStr">
        <is>
          <t>млн куб.м</t>
        </is>
      </c>
    </row>
    <row r="875" ht="20.1" customHeight="1" s="769">
      <c r="C875" s="754" t="inlineStr">
        <is>
          <t>Попутный нефтяной газ</t>
        </is>
      </c>
      <c r="D875" s="528" t="n"/>
      <c r="E875" s="528" t="n"/>
      <c r="F875" s="529" t="n"/>
      <c r="G875" s="530" t="inlineStr">
        <is>
          <t>16_100336365</t>
        </is>
      </c>
      <c r="H875" s="530" t="n"/>
      <c r="I875" s="906" t="inlineStr">
        <is>
          <t>тыс.т.</t>
        </is>
      </c>
    </row>
    <row r="876" ht="20.1" customHeight="1" s="769">
      <c r="D876" s="528" t="n"/>
      <c r="E876" s="528" t="n"/>
      <c r="F876" s="529" t="n"/>
      <c r="G876" s="530" t="inlineStr">
        <is>
          <t>16_100336366</t>
        </is>
      </c>
      <c r="H876" s="530" t="n"/>
      <c r="I876" s="906" t="inlineStr">
        <is>
          <t>млн куб.м</t>
        </is>
      </c>
    </row>
    <row r="877" ht="20.1" customHeight="1" s="769">
      <c r="B877" s="747" t="inlineStr">
        <is>
          <t>1.3</t>
        </is>
      </c>
      <c r="C877" s="757" t="inlineStr">
        <is>
          <t>Прием сырья на процессинг от ПАО "Газпром нефть"</t>
        </is>
      </c>
      <c r="D877" s="528" t="n"/>
      <c r="E877" s="528" t="n"/>
      <c r="F877" s="529" t="n"/>
      <c r="G877" s="530" t="inlineStr">
        <is>
          <t>16_100332341</t>
        </is>
      </c>
      <c r="H877" s="530" t="n"/>
      <c r="I877" s="446" t="inlineStr">
        <is>
          <t>тыс.т.</t>
        </is>
      </c>
    </row>
    <row r="878" ht="20.1" customHeight="1" s="769">
      <c r="D878" s="528" t="n"/>
      <c r="E878" s="528" t="n"/>
      <c r="F878" s="529" t="n"/>
      <c r="G878" s="530" t="inlineStr">
        <is>
          <t>16_100330743</t>
        </is>
      </c>
      <c r="H878" s="530" t="n"/>
      <c r="I878" s="929" t="inlineStr">
        <is>
          <t>млн куб.м</t>
        </is>
      </c>
    </row>
    <row r="879" ht="20.1" customHeight="1" s="769">
      <c r="C879" s="754" t="inlineStr">
        <is>
          <t>Попутный нефтяной газ</t>
        </is>
      </c>
      <c r="D879" s="528" t="n"/>
      <c r="E879" s="528" t="n"/>
      <c r="F879" s="529" t="n"/>
      <c r="G879" s="530" t="inlineStr">
        <is>
          <t>16_100336367</t>
        </is>
      </c>
      <c r="H879" s="530" t="n"/>
      <c r="I879" s="906" t="inlineStr">
        <is>
          <t>тыс.т.</t>
        </is>
      </c>
    </row>
    <row r="880" ht="20.1" customHeight="1" s="769">
      <c r="D880" s="528" t="n"/>
      <c r="E880" s="528" t="n"/>
      <c r="F880" s="529" t="n"/>
      <c r="G880" s="530" t="inlineStr">
        <is>
          <t>16_100336368</t>
        </is>
      </c>
      <c r="H880" s="530" t="n"/>
      <c r="I880" s="906" t="inlineStr">
        <is>
          <t>млн куб.м</t>
        </is>
      </c>
    </row>
    <row r="881" ht="20.1" customHeight="1" s="769">
      <c r="B881" s="747" t="inlineStr">
        <is>
          <t>1.4</t>
        </is>
      </c>
      <c r="C881" s="757" t="inlineStr">
        <is>
          <t>Технологические нужды</t>
        </is>
      </c>
      <c r="D881" s="528" t="n"/>
      <c r="E881" s="528" t="n"/>
      <c r="F881" s="529" t="n"/>
      <c r="G881" s="530" t="inlineStr">
        <is>
          <t>16_100336334</t>
        </is>
      </c>
      <c r="H881" s="530" t="n"/>
      <c r="I881" s="446" t="inlineStr">
        <is>
          <t>тыс.т.</t>
        </is>
      </c>
    </row>
    <row r="882" ht="20.1" customHeight="1" s="769">
      <c r="C882" s="754" t="inlineStr">
        <is>
          <t>Потери при хранении в РВС</t>
        </is>
      </c>
      <c r="D882" s="528" t="n"/>
      <c r="E882" s="528" t="n"/>
      <c r="F882" s="529" t="n"/>
      <c r="G882" s="530" t="inlineStr">
        <is>
          <t>16_100336335</t>
        </is>
      </c>
      <c r="H882" s="530" t="n"/>
      <c r="I882" s="906" t="inlineStr">
        <is>
          <t>тыс.т.</t>
        </is>
      </c>
    </row>
    <row r="883" ht="20.1" customHeight="1" s="769">
      <c r="C883" s="754" t="inlineStr">
        <is>
          <t>СТН газа</t>
        </is>
      </c>
      <c r="D883" s="528" t="n"/>
      <c r="E883" s="528" t="n"/>
      <c r="F883" s="529" t="n"/>
      <c r="G883" s="530" t="inlineStr">
        <is>
          <t>16_100336336</t>
        </is>
      </c>
      <c r="H883" s="530" t="n"/>
      <c r="I883" s="906" t="inlineStr">
        <is>
          <t>тыс.т.</t>
        </is>
      </c>
    </row>
    <row r="884" ht="20.1" customHeight="1" s="769">
      <c r="D884" s="528" t="n"/>
      <c r="E884" s="528" t="n"/>
      <c r="F884" s="529" t="n"/>
      <c r="G884" s="530" t="inlineStr">
        <is>
          <t>16_100336337</t>
        </is>
      </c>
      <c r="H884" s="530" t="n"/>
      <c r="I884" s="906" t="inlineStr">
        <is>
          <t>млн куб.м</t>
        </is>
      </c>
    </row>
    <row r="885" ht="20.1" customHeight="1" s="769">
      <c r="B885" s="747" t="inlineStr">
        <is>
          <t>2</t>
        </is>
      </c>
      <c r="C885" s="757" t="inlineStr">
        <is>
          <t xml:space="preserve">ПРОДУКЦИЯ </t>
        </is>
      </c>
      <c r="D885" s="528" t="n"/>
      <c r="E885" s="528" t="n"/>
      <c r="F885" s="529" t="n"/>
      <c r="G885" s="530" t="inlineStr">
        <is>
          <t>16_100330049</t>
        </is>
      </c>
      <c r="H885" s="530" t="n"/>
      <c r="I885" s="446" t="inlineStr">
        <is>
          <t>тыс.т.</t>
        </is>
      </c>
    </row>
    <row r="886" ht="20.1" customHeight="1" s="769">
      <c r="B886" s="747" t="inlineStr">
        <is>
          <t>2.1</t>
        </is>
      </c>
      <c r="C886" s="757" t="inlineStr">
        <is>
          <t>Стабильный конденсат и нефть, всего:</t>
        </is>
      </c>
      <c r="D886" s="528" t="n"/>
      <c r="E886" s="528" t="n"/>
      <c r="F886" s="529" t="n"/>
      <c r="G886" s="530" t="inlineStr">
        <is>
          <t>16_100330745</t>
        </is>
      </c>
      <c r="H886" s="530" t="n"/>
      <c r="I886" s="446" t="inlineStr">
        <is>
          <t>тыс.т.</t>
        </is>
      </c>
    </row>
    <row r="887" ht="20.1" customHeight="1" s="769">
      <c r="C887" s="754" t="inlineStr">
        <is>
          <t>нефть  АО "Газпром добыча Томск"</t>
        </is>
      </c>
      <c r="D887" s="528" t="n"/>
      <c r="E887" s="528" t="n"/>
      <c r="F887" s="529" t="n"/>
      <c r="G887" s="530" t="inlineStr">
        <is>
          <t>16_100336338</t>
        </is>
      </c>
      <c r="H887" s="530" t="n"/>
      <c r="I887" s="906" t="inlineStr">
        <is>
          <t>тыс.т.</t>
        </is>
      </c>
    </row>
    <row r="888" ht="20.1" customHeight="1" s="769">
      <c r="C888" s="754" t="inlineStr">
        <is>
          <t>стабильный конденсат АО "Газпром добыча Томск"</t>
        </is>
      </c>
      <c r="D888" s="528" t="n"/>
      <c r="E888" s="528" t="n"/>
      <c r="F888" s="529" t="n"/>
      <c r="G888" s="530" t="inlineStr">
        <is>
          <t>16_100330746</t>
        </is>
      </c>
      <c r="H888" s="530" t="n"/>
      <c r="I888" s="906" t="inlineStr">
        <is>
          <t>тыс.т.</t>
        </is>
      </c>
    </row>
    <row r="889" ht="20.1" customHeight="1" s="769">
      <c r="C889" s="754" t="inlineStr">
        <is>
          <t>в т.ч. из сырья ПАО "Газпром нефть" (покупка газа)</t>
        </is>
      </c>
      <c r="D889" s="528" t="n"/>
      <c r="E889" s="528" t="n"/>
      <c r="F889" s="529" t="n"/>
      <c r="G889" s="530" t="inlineStr">
        <is>
          <t>16_100332995</t>
        </is>
      </c>
      <c r="H889" s="530" t="n"/>
      <c r="I889" s="906" t="inlineStr">
        <is>
          <t>тыс.т.</t>
        </is>
      </c>
    </row>
    <row r="890" ht="20.1" customHeight="1" s="769">
      <c r="C890" s="754" t="inlineStr">
        <is>
          <t>в т.ч. из сырья ПАО "Газпром нефть" (переработка газа)</t>
        </is>
      </c>
      <c r="D890" s="528" t="n"/>
      <c r="E890" s="528" t="n"/>
      <c r="F890" s="529" t="n"/>
      <c r="G890" s="530" t="inlineStr">
        <is>
          <t>16_100332899</t>
        </is>
      </c>
      <c r="H890" s="530" t="n"/>
      <c r="I890" s="906" t="inlineStr">
        <is>
          <t>тыс.т.</t>
        </is>
      </c>
    </row>
    <row r="891" ht="37.5" customHeight="1" s="769">
      <c r="B891" s="747" t="inlineStr">
        <is>
          <t>2.2</t>
        </is>
      </c>
      <c r="C891" s="767" t="inlineStr">
        <is>
          <t>Стабильный конденсат и нефть, товарные
 (собст. АО "Газпром добыча Томск")</t>
        </is>
      </c>
      <c r="D891" s="528" t="n"/>
      <c r="E891" s="528" t="n"/>
      <c r="F891" s="529" t="n"/>
      <c r="G891" s="530" t="inlineStr">
        <is>
          <t>16_100330747</t>
        </is>
      </c>
      <c r="H891" s="530" t="n"/>
      <c r="I891" s="825" t="inlineStr">
        <is>
          <t>тыс.т.</t>
        </is>
      </c>
    </row>
    <row r="892" ht="20.1" customHeight="1" s="769">
      <c r="C892" s="756" t="inlineStr">
        <is>
          <t>нефть  АО "Газпром добыча Томск"</t>
        </is>
      </c>
      <c r="D892" s="528" t="n"/>
      <c r="E892" s="528" t="n"/>
      <c r="F892" s="529" t="n"/>
      <c r="G892" s="530" t="inlineStr">
        <is>
          <t>16_100336339</t>
        </is>
      </c>
      <c r="H892" s="530" t="n"/>
      <c r="I892" s="906" t="inlineStr">
        <is>
          <t>тыс.т.</t>
        </is>
      </c>
    </row>
    <row r="893" ht="20.1" customHeight="1" s="769">
      <c r="C893" s="756" t="inlineStr">
        <is>
          <t>стабильный конденсат АО "Газпром добыча Томск"</t>
        </is>
      </c>
      <c r="D893" s="528" t="n"/>
      <c r="E893" s="528" t="n"/>
      <c r="F893" s="529" t="n"/>
      <c r="G893" s="530" t="inlineStr">
        <is>
          <t>16_100336340</t>
        </is>
      </c>
      <c r="H893" s="530" t="n"/>
      <c r="I893" s="906" t="inlineStr">
        <is>
          <t>тыс.т.</t>
        </is>
      </c>
    </row>
    <row r="894" ht="20.1" customHeight="1" s="769">
      <c r="C894" s="754" t="inlineStr">
        <is>
          <t>в т.ч. из сырья ПАО "Газпром нефть" (покупка газа)</t>
        </is>
      </c>
      <c r="D894" s="528" t="n"/>
      <c r="E894" s="528" t="n"/>
      <c r="F894" s="529" t="n"/>
      <c r="G894" s="530" t="inlineStr">
        <is>
          <t>16_100332996</t>
        </is>
      </c>
      <c r="H894" s="530" t="n"/>
      <c r="I894" s="906" t="inlineStr">
        <is>
          <t>тыс.т.</t>
        </is>
      </c>
    </row>
    <row r="895" ht="20.1" customHeight="1" s="769">
      <c r="C895" s="754" t="inlineStr">
        <is>
          <t>в т.ч. из сырья ПАО "Газпром нефть" (переработка газа)</t>
        </is>
      </c>
      <c r="D895" s="528" t="n"/>
      <c r="E895" s="528" t="n"/>
      <c r="F895" s="529" t="n"/>
      <c r="G895" s="530" t="inlineStr">
        <is>
          <t>16_100332900</t>
        </is>
      </c>
      <c r="H895" s="530" t="n"/>
      <c r="I895" s="906" t="inlineStr">
        <is>
          <t>тыс.т.</t>
        </is>
      </c>
    </row>
    <row r="896" ht="20.1" customHeight="1" s="769">
      <c r="B896" s="747" t="inlineStr">
        <is>
          <t>2.3</t>
        </is>
      </c>
      <c r="C896" s="757" t="inlineStr">
        <is>
          <t xml:space="preserve">ШФЛУ валовая </t>
        </is>
      </c>
      <c r="D896" s="528" t="n"/>
      <c r="E896" s="528" t="n"/>
      <c r="F896" s="529" t="n"/>
      <c r="G896" s="530" t="inlineStr">
        <is>
          <t>16_100332901</t>
        </is>
      </c>
      <c r="H896" s="530" t="n"/>
      <c r="I896" s="825" t="inlineStr">
        <is>
          <t>тыс.т.</t>
        </is>
      </c>
    </row>
    <row r="897" ht="20.1" customHeight="1" s="769">
      <c r="D897" s="528" t="n"/>
      <c r="E897" s="528" t="n"/>
      <c r="F897" s="529" t="n"/>
      <c r="G897" s="530" t="inlineStr">
        <is>
          <t>16_100336342</t>
        </is>
      </c>
      <c r="H897" s="530" t="n"/>
      <c r="I897" s="929" t="inlineStr">
        <is>
          <t>млн куб.м</t>
        </is>
      </c>
    </row>
    <row r="898" ht="20.1" customHeight="1" s="769">
      <c r="C898" s="754" t="inlineStr">
        <is>
          <t>в т.ч. из НГК</t>
        </is>
      </c>
      <c r="D898" s="528" t="n"/>
      <c r="E898" s="528" t="n"/>
      <c r="F898" s="529" t="n"/>
      <c r="G898" s="530" t="inlineStr">
        <is>
          <t>16_100336343</t>
        </is>
      </c>
      <c r="H898" s="530" t="n"/>
      <c r="I898" s="906" t="inlineStr">
        <is>
          <t>тыс.т.</t>
        </is>
      </c>
    </row>
    <row r="899" ht="20.1" customHeight="1" s="769">
      <c r="D899" s="528" t="n"/>
      <c r="E899" s="528" t="n"/>
      <c r="F899" s="529" t="n"/>
      <c r="G899" s="530" t="inlineStr">
        <is>
          <t>16_100336344</t>
        </is>
      </c>
      <c r="H899" s="530" t="n"/>
      <c r="I899" s="906" t="inlineStr">
        <is>
          <t>млн куб.м</t>
        </is>
      </c>
    </row>
    <row r="900" ht="20.1" customHeight="1" s="769">
      <c r="C900" s="754" t="inlineStr">
        <is>
          <t>в т.ч. из ПНГ</t>
        </is>
      </c>
      <c r="D900" s="528" t="n"/>
      <c r="E900" s="528" t="n"/>
      <c r="F900" s="529" t="n"/>
      <c r="G900" s="530" t="inlineStr">
        <is>
          <t>16_100336345</t>
        </is>
      </c>
      <c r="H900" s="530" t="n"/>
      <c r="I900" s="906" t="inlineStr">
        <is>
          <t>тыс.т.</t>
        </is>
      </c>
    </row>
    <row r="901" ht="20.1" customHeight="1" s="769">
      <c r="D901" s="528" t="n"/>
      <c r="E901" s="528" t="n"/>
      <c r="F901" s="529" t="n"/>
      <c r="G901" s="530" t="inlineStr">
        <is>
          <t>16_100336346</t>
        </is>
      </c>
      <c r="H901" s="530" t="n"/>
      <c r="I901" s="906" t="inlineStr">
        <is>
          <t>млн куб.м</t>
        </is>
      </c>
    </row>
    <row r="902" ht="20.1" customHeight="1" s="769">
      <c r="C902" s="754" t="inlineStr">
        <is>
          <t>в т.ч из сырья ПАО "Газпром нефть" (покупка газа)</t>
        </is>
      </c>
      <c r="D902" s="528" t="n"/>
      <c r="E902" s="528" t="n"/>
      <c r="F902" s="529" t="n"/>
      <c r="G902" s="530" t="inlineStr">
        <is>
          <t>16_100332997</t>
        </is>
      </c>
      <c r="H902" s="530" t="n"/>
      <c r="I902" s="906" t="inlineStr">
        <is>
          <t>тыс.т.</t>
        </is>
      </c>
    </row>
    <row r="903" ht="20.1" customHeight="1" s="769">
      <c r="D903" s="528" t="n"/>
      <c r="E903" s="528" t="n"/>
      <c r="F903" s="529" t="n"/>
      <c r="G903" s="530" t="inlineStr">
        <is>
          <t>16_100336348</t>
        </is>
      </c>
      <c r="H903" s="530" t="n"/>
      <c r="I903" s="906" t="inlineStr">
        <is>
          <t>млн куб.м</t>
        </is>
      </c>
    </row>
    <row r="904" ht="20.1" customHeight="1" s="769">
      <c r="C904" s="754" t="inlineStr">
        <is>
          <t>в т.ч. из сырья ПАО "Газпром нефть" (переработка газа)</t>
        </is>
      </c>
      <c r="D904" s="528" t="n"/>
      <c r="E904" s="528" t="n"/>
      <c r="F904" s="529" t="n"/>
      <c r="G904" s="530" t="inlineStr">
        <is>
          <t>16_100332902</t>
        </is>
      </c>
      <c r="H904" s="530" t="n"/>
      <c r="I904" s="906" t="inlineStr">
        <is>
          <t>тыс.т.</t>
        </is>
      </c>
    </row>
    <row r="905" ht="20.1" customHeight="1" s="769">
      <c r="D905" s="528" t="n"/>
      <c r="E905" s="528" t="n"/>
      <c r="F905" s="529" t="n"/>
      <c r="G905" s="530" t="inlineStr">
        <is>
          <t>16_100336347</t>
        </is>
      </c>
      <c r="H905" s="530" t="n"/>
      <c r="I905" s="906" t="inlineStr">
        <is>
          <t>млн куб.м</t>
        </is>
      </c>
    </row>
    <row r="906" ht="20.1" customHeight="1" s="769">
      <c r="B906" s="747" t="inlineStr">
        <is>
          <t>2.4</t>
        </is>
      </c>
      <c r="C906" s="757" t="inlineStr">
        <is>
          <t>ШФЛУ, товарная в газопровод 
(собст. АО "Газпром добыча Томск")</t>
        </is>
      </c>
      <c r="D906" s="528" t="n"/>
      <c r="E906" s="528" t="n"/>
      <c r="F906" s="529" t="n"/>
      <c r="G906" s="530" t="inlineStr">
        <is>
          <t>16_100332904</t>
        </is>
      </c>
      <c r="H906" s="530" t="n"/>
      <c r="I906" s="825" t="inlineStr">
        <is>
          <t>тыс.т.</t>
        </is>
      </c>
    </row>
    <row r="907" ht="20.1" customHeight="1" s="769">
      <c r="D907" s="528" t="n"/>
      <c r="E907" s="528" t="n"/>
      <c r="F907" s="529" t="n"/>
      <c r="G907" s="530" t="inlineStr">
        <is>
          <t>16_100332905</t>
        </is>
      </c>
      <c r="H907" s="530" t="n"/>
      <c r="I907" s="929" t="inlineStr">
        <is>
          <t>млн куб.м</t>
        </is>
      </c>
    </row>
    <row r="908" ht="20.1" customHeight="1" s="769">
      <c r="C908" s="754" t="inlineStr">
        <is>
          <t>в т.ч. из НГК</t>
        </is>
      </c>
      <c r="D908" s="528" t="n"/>
      <c r="E908" s="528" t="n"/>
      <c r="F908" s="529" t="n"/>
      <c r="G908" s="530" t="inlineStr">
        <is>
          <t>16_100336349</t>
        </is>
      </c>
      <c r="H908" s="530" t="n"/>
      <c r="I908" s="906" t="inlineStr">
        <is>
          <t>тыс.т.</t>
        </is>
      </c>
    </row>
    <row r="909" ht="20.1" customHeight="1" s="769">
      <c r="D909" s="528" t="n"/>
      <c r="E909" s="528" t="n"/>
      <c r="F909" s="529" t="n"/>
      <c r="G909" s="530" t="inlineStr">
        <is>
          <t>16_100336350</t>
        </is>
      </c>
      <c r="H909" s="530" t="n"/>
      <c r="I909" s="906" t="inlineStr">
        <is>
          <t>млн куб.м</t>
        </is>
      </c>
    </row>
    <row r="910" ht="20.1" customHeight="1" s="769">
      <c r="C910" s="754" t="inlineStr">
        <is>
          <t>в т.ч. из ПНГ</t>
        </is>
      </c>
      <c r="D910" s="528" t="n"/>
      <c r="E910" s="528" t="n"/>
      <c r="F910" s="529" t="n"/>
      <c r="G910" s="530" t="inlineStr">
        <is>
          <t>16_100336351</t>
        </is>
      </c>
      <c r="H910" s="530" t="n"/>
      <c r="I910" s="906" t="inlineStr">
        <is>
          <t>тыс.т.</t>
        </is>
      </c>
    </row>
    <row r="911" ht="20.1" customHeight="1" s="769">
      <c r="D911" s="528" t="n"/>
      <c r="E911" s="528" t="n"/>
      <c r="F911" s="529" t="n"/>
      <c r="G911" s="530" t="inlineStr">
        <is>
          <t>16_100336352</t>
        </is>
      </c>
      <c r="H911" s="530" t="n"/>
      <c r="I911" s="906" t="inlineStr">
        <is>
          <t>млн куб.м</t>
        </is>
      </c>
    </row>
    <row r="912" ht="20.1" customHeight="1" s="769">
      <c r="C912" s="754" t="inlineStr">
        <is>
          <t>в т.ч из сырья ПАО "Газпром нефть" (покупка газа)</t>
        </is>
      </c>
      <c r="D912" s="528" t="n"/>
      <c r="E912" s="528" t="n"/>
      <c r="F912" s="529" t="n"/>
      <c r="G912" s="530" t="inlineStr">
        <is>
          <t>16_100332999</t>
        </is>
      </c>
      <c r="H912" s="530" t="n"/>
      <c r="I912" s="906" t="inlineStr">
        <is>
          <t>тыс.т.</t>
        </is>
      </c>
    </row>
    <row r="913" ht="20.1" customHeight="1" s="769">
      <c r="D913" s="528" t="n"/>
      <c r="E913" s="528" t="n"/>
      <c r="F913" s="529" t="n"/>
      <c r="G913" s="530" t="inlineStr">
        <is>
          <t>16_100333000</t>
        </is>
      </c>
      <c r="H913" s="530" t="n"/>
      <c r="I913" s="906" t="inlineStr">
        <is>
          <t>млн куб.м</t>
        </is>
      </c>
    </row>
    <row r="914" ht="20.1" customHeight="1" s="769">
      <c r="C914" s="754" t="inlineStr">
        <is>
          <t>в т.ч. из сырья ПАО "Газпром нефть" (переработка газа)</t>
        </is>
      </c>
      <c r="D914" s="528" t="n"/>
      <c r="E914" s="528" t="n"/>
      <c r="F914" s="529" t="n"/>
      <c r="G914" s="530" t="inlineStr">
        <is>
          <t>16_100332934</t>
        </is>
      </c>
      <c r="H914" s="530" t="n"/>
      <c r="I914" s="906" t="inlineStr">
        <is>
          <t>тыс.т.</t>
        </is>
      </c>
    </row>
    <row r="915" ht="20.1" customHeight="1" s="769">
      <c r="D915" s="528" t="n"/>
      <c r="E915" s="528" t="n"/>
      <c r="F915" s="529" t="n"/>
      <c r="G915" s="530" t="inlineStr">
        <is>
          <t>16_100332935</t>
        </is>
      </c>
      <c r="H915" s="530" t="n"/>
      <c r="I915" s="906" t="inlineStr">
        <is>
          <t>млн куб.м</t>
        </is>
      </c>
    </row>
    <row r="916" ht="42.75" customHeight="1" s="769">
      <c r="B916" s="747" t="inlineStr">
        <is>
          <t>2.5</t>
        </is>
      </c>
      <c r="C916" s="757" t="inlineStr">
        <is>
          <t>Расход ШФЛУ на СТН (собст. АО "Газпром добыча Томск")</t>
        </is>
      </c>
      <c r="D916" s="528" t="n"/>
      <c r="E916" s="528" t="n"/>
      <c r="F916" s="529" t="n"/>
      <c r="G916" s="530" t="inlineStr">
        <is>
          <t>16_100336353</t>
        </is>
      </c>
      <c r="H916" s="530" t="n"/>
      <c r="I916" s="825" t="inlineStr">
        <is>
          <t>тыс.т.</t>
        </is>
      </c>
    </row>
    <row r="917" ht="39" customHeight="1" s="769">
      <c r="B917" s="747" t="inlineStr">
        <is>
          <t>2.6</t>
        </is>
      </c>
      <c r="C917" s="757" t="inlineStr">
        <is>
          <t>Газы углеводородные сжиженные (СПБТ) 
(собст. АО "Газпром добыча Томск")</t>
        </is>
      </c>
      <c r="D917" s="528" t="n"/>
      <c r="E917" s="528" t="n"/>
      <c r="F917" s="529" t="n"/>
      <c r="G917" s="530" t="inlineStr">
        <is>
          <t>16_100330748</t>
        </is>
      </c>
      <c r="H917" s="530" t="n"/>
      <c r="I917" s="825" t="inlineStr">
        <is>
          <t>тыс.т.</t>
        </is>
      </c>
    </row>
    <row r="918" ht="20.1" customHeight="1" s="769">
      <c r="C918" s="754" t="inlineStr">
        <is>
          <t>в т.ч. из НГК</t>
        </is>
      </c>
      <c r="D918" s="528" t="n"/>
      <c r="E918" s="528" t="n"/>
      <c r="F918" s="529" t="n"/>
      <c r="G918" s="530" t="inlineStr">
        <is>
          <t>16_100336354</t>
        </is>
      </c>
      <c r="H918" s="530" t="n"/>
      <c r="I918" s="906" t="inlineStr">
        <is>
          <t>тыс.т.</t>
        </is>
      </c>
    </row>
    <row r="919" ht="20.1" customHeight="1" s="769">
      <c r="C919" s="754" t="inlineStr">
        <is>
          <t>в т.ч. из ПНГ</t>
        </is>
      </c>
      <c r="D919" s="528" t="n"/>
      <c r="E919" s="528" t="n"/>
      <c r="F919" s="529" t="n"/>
      <c r="G919" s="530" t="inlineStr">
        <is>
          <t>16_100336355</t>
        </is>
      </c>
      <c r="H919" s="530" t="n"/>
      <c r="I919" s="906" t="inlineStr">
        <is>
          <t>тыс.т.</t>
        </is>
      </c>
    </row>
    <row r="920" ht="20.1" customHeight="1" s="769">
      <c r="C920" s="754" t="inlineStr">
        <is>
          <t>в т.ч. из сырья ПАО "Газпром нефть" (покупка газа)</t>
        </is>
      </c>
      <c r="D920" s="528" t="n"/>
      <c r="E920" s="528" t="n"/>
      <c r="F920" s="529" t="n"/>
      <c r="G920" s="530" t="inlineStr">
        <is>
          <t>16_100332998</t>
        </is>
      </c>
      <c r="H920" s="530" t="n"/>
      <c r="I920" s="906" t="inlineStr">
        <is>
          <t>тыс.т.</t>
        </is>
      </c>
    </row>
    <row r="921" ht="20.1" customHeight="1" s="769">
      <c r="C921" s="754" t="inlineStr">
        <is>
          <t>в т.ч. из сырья ПАО "Газпром нефть" (переработка газа)</t>
        </is>
      </c>
      <c r="D921" s="528" t="n"/>
      <c r="E921" s="528" t="n"/>
      <c r="F921" s="529" t="n"/>
      <c r="G921" s="530" t="inlineStr">
        <is>
          <t>16_100332903</t>
        </is>
      </c>
      <c r="H921" s="530" t="n"/>
      <c r="I921" s="906" t="inlineStr">
        <is>
          <t>тыс.т.</t>
        </is>
      </c>
    </row>
    <row r="922" ht="20.1" customHeight="1" s="769">
      <c r="B922" s="747" t="inlineStr">
        <is>
          <t>2.7</t>
        </is>
      </c>
      <c r="C922" s="757" t="inlineStr">
        <is>
          <t>Газ деэтанизации (в газопровод)</t>
        </is>
      </c>
      <c r="D922" s="528" t="n"/>
      <c r="E922" s="528" t="n"/>
      <c r="F922" s="529" t="n"/>
      <c r="G922" s="530" t="inlineStr">
        <is>
          <t>16_100330749</t>
        </is>
      </c>
      <c r="H922" s="530" t="n"/>
      <c r="I922" s="825" t="inlineStr">
        <is>
          <t>тыс.т.</t>
        </is>
      </c>
    </row>
    <row r="923" ht="20.1" customHeight="1" s="769">
      <c r="D923" s="528" t="n"/>
      <c r="E923" s="528" t="n"/>
      <c r="F923" s="529" t="n"/>
      <c r="G923" s="530" t="inlineStr">
        <is>
          <t>16_100330750</t>
        </is>
      </c>
      <c r="H923" s="530" t="n"/>
      <c r="I923" s="929" t="inlineStr">
        <is>
          <t>млн куб.м</t>
        </is>
      </c>
    </row>
    <row r="924" ht="20.1" customHeight="1" s="769">
      <c r="B924" s="747" t="inlineStr">
        <is>
          <t>2.7.1</t>
        </is>
      </c>
      <c r="C924" s="758" t="inlineStr">
        <is>
          <t>собственность АО "Газпром добыча Томск"</t>
        </is>
      </c>
      <c r="D924" s="528" t="n"/>
      <c r="E924" s="528" t="n"/>
      <c r="F924" s="529" t="n"/>
      <c r="G924" s="530" t="inlineStr">
        <is>
          <t>16_100336371</t>
        </is>
      </c>
      <c r="H924" s="530" t="n"/>
      <c r="I924" s="825" t="inlineStr">
        <is>
          <t>тыс.т.</t>
        </is>
      </c>
    </row>
    <row r="925" ht="20.1" customHeight="1" s="769">
      <c r="D925" s="528" t="n"/>
      <c r="E925" s="528" t="n"/>
      <c r="F925" s="529" t="n"/>
      <c r="G925" s="530" t="inlineStr">
        <is>
          <t>16_100336372</t>
        </is>
      </c>
      <c r="H925" s="530" t="n"/>
      <c r="I925" s="929" t="inlineStr">
        <is>
          <t>млн куб.м</t>
        </is>
      </c>
    </row>
    <row r="926" ht="20.1" customHeight="1" s="769">
      <c r="C926" s="756" t="inlineStr">
        <is>
          <t>в т.ч. из НГК</t>
        </is>
      </c>
      <c r="D926" s="528" t="n"/>
      <c r="E926" s="528" t="n"/>
      <c r="F926" s="529" t="n"/>
      <c r="G926" s="530" t="inlineStr">
        <is>
          <t>16_100336356</t>
        </is>
      </c>
      <c r="H926" s="530" t="n"/>
      <c r="I926" s="906" t="inlineStr">
        <is>
          <t>тыс.т.</t>
        </is>
      </c>
    </row>
    <row r="927" ht="20.1" customHeight="1" s="769">
      <c r="D927" s="528" t="n"/>
      <c r="E927" s="528" t="n"/>
      <c r="F927" s="529" t="n"/>
      <c r="G927" s="530" t="inlineStr">
        <is>
          <t>16_100336357</t>
        </is>
      </c>
      <c r="H927" s="530" t="n"/>
      <c r="I927" s="906" t="inlineStr">
        <is>
          <t>млн куб.м</t>
        </is>
      </c>
    </row>
    <row r="928" ht="20.1" customHeight="1" s="769">
      <c r="C928" s="756" t="inlineStr">
        <is>
          <t>в т.ч. из ПНГ</t>
        </is>
      </c>
      <c r="D928" s="528" t="n"/>
      <c r="E928" s="528" t="n"/>
      <c r="F928" s="529" t="n"/>
      <c r="G928" s="530" t="inlineStr">
        <is>
          <t>16_100336358</t>
        </is>
      </c>
      <c r="H928" s="530" t="n"/>
      <c r="I928" s="906" t="inlineStr">
        <is>
          <t>тыс.т.</t>
        </is>
      </c>
    </row>
    <row r="929" ht="20.1" customHeight="1" s="769">
      <c r="D929" s="528" t="n"/>
      <c r="E929" s="528" t="n"/>
      <c r="F929" s="529" t="n"/>
      <c r="G929" s="530" t="inlineStr">
        <is>
          <t>16_100336359</t>
        </is>
      </c>
      <c r="H929" s="530" t="n"/>
      <c r="I929" s="906" t="inlineStr">
        <is>
          <t>млн куб.м</t>
        </is>
      </c>
    </row>
    <row r="930" ht="20.1" customHeight="1" s="769">
      <c r="C930" s="756" t="inlineStr">
        <is>
          <t>в т.ч из сырья ПАО "Газпром нефть" (покупка газа)</t>
        </is>
      </c>
      <c r="D930" s="528" t="n"/>
      <c r="E930" s="528" t="n"/>
      <c r="F930" s="529" t="n"/>
      <c r="G930" s="530" t="inlineStr">
        <is>
          <t>16_100333001</t>
        </is>
      </c>
      <c r="H930" s="530" t="n"/>
      <c r="I930" s="825" t="inlineStr">
        <is>
          <t>тыс.т.</t>
        </is>
      </c>
    </row>
    <row r="931" ht="20.1" customHeight="1" s="769">
      <c r="D931" s="528" t="n"/>
      <c r="E931" s="528" t="n"/>
      <c r="F931" s="529" t="n"/>
      <c r="G931" s="530" t="inlineStr">
        <is>
          <t>16_100333002</t>
        </is>
      </c>
      <c r="H931" s="530" t="n"/>
      <c r="I931" s="906" t="inlineStr">
        <is>
          <t>млн куб.м</t>
        </is>
      </c>
    </row>
    <row r="932" ht="20.1" customHeight="1" s="769">
      <c r="B932" s="747" t="inlineStr">
        <is>
          <t>2.7.2</t>
        </is>
      </c>
      <c r="C932" s="758" t="inlineStr">
        <is>
          <t>собственность ПАО "Газпром нефть"</t>
        </is>
      </c>
      <c r="D932" s="528" t="n"/>
      <c r="E932" s="528" t="n"/>
      <c r="F932" s="529" t="n"/>
      <c r="G932" s="530" t="inlineStr">
        <is>
          <t>16_100336373</t>
        </is>
      </c>
      <c r="H932" s="530" t="n"/>
      <c r="I932" s="825" t="inlineStr">
        <is>
          <t>тыс.т.</t>
        </is>
      </c>
    </row>
    <row r="933" ht="20.1" customHeight="1" s="769">
      <c r="D933" s="528" t="n"/>
      <c r="E933" s="528" t="n"/>
      <c r="F933" s="529" t="n"/>
      <c r="G933" s="530" t="inlineStr">
        <is>
          <t>16_100336374</t>
        </is>
      </c>
      <c r="H933" s="530" t="n"/>
      <c r="I933" s="906" t="inlineStr">
        <is>
          <t>млн куб.м</t>
        </is>
      </c>
    </row>
    <row r="934" ht="20.1" customHeight="1" s="769">
      <c r="C934" s="756" t="inlineStr">
        <is>
          <t>в т.ч. из сырья ПАО "Газпром нефть" (переработка газа)</t>
        </is>
      </c>
      <c r="D934" s="528" t="n"/>
      <c r="E934" s="528" t="n"/>
      <c r="F934" s="529" t="n"/>
      <c r="G934" s="530" t="inlineStr">
        <is>
          <t>16_100332936</t>
        </is>
      </c>
      <c r="H934" s="530" t="n"/>
      <c r="I934" s="906" t="inlineStr">
        <is>
          <t>тыс.т.</t>
        </is>
      </c>
    </row>
    <row r="935" ht="20.1" customHeight="1" s="769">
      <c r="D935" s="528" t="n"/>
      <c r="E935" s="528" t="n"/>
      <c r="F935" s="529" t="n"/>
      <c r="G935" s="530" t="inlineStr">
        <is>
          <t>16_100332937</t>
        </is>
      </c>
      <c r="H935" s="530" t="n"/>
      <c r="I935" s="906" t="inlineStr">
        <is>
          <t>млн куб.м</t>
        </is>
      </c>
    </row>
    <row r="936" ht="20.1" customHeight="1" s="769">
      <c r="B936" s="747" t="inlineStr">
        <is>
          <t>2.8</t>
        </is>
      </c>
      <c r="C936" s="767" t="inlineStr">
        <is>
          <t>Газ горючий природный сухой отбензиненный, всего:</t>
        </is>
      </c>
      <c r="D936" s="528" t="n"/>
      <c r="E936" s="528" t="n"/>
      <c r="F936" s="529" t="n"/>
      <c r="G936" s="530" t="inlineStr">
        <is>
          <t>16_100332342</t>
        </is>
      </c>
      <c r="H936" s="530" t="n"/>
      <c r="I936" s="825" t="inlineStr">
        <is>
          <t>тыс.т.</t>
        </is>
      </c>
    </row>
    <row r="937" ht="20.1" customHeight="1" s="769">
      <c r="D937" s="528" t="n"/>
      <c r="E937" s="528" t="n"/>
      <c r="F937" s="529" t="n"/>
      <c r="G937" s="530" t="inlineStr">
        <is>
          <t>16_100330751</t>
        </is>
      </c>
      <c r="H937" s="530" t="n"/>
      <c r="I937" s="929" t="inlineStr">
        <is>
          <t>млн куб.м</t>
        </is>
      </c>
    </row>
    <row r="938" ht="20.1" customHeight="1" s="769">
      <c r="B938" s="747" t="inlineStr">
        <is>
          <t>2.8.1</t>
        </is>
      </c>
      <c r="C938" s="758" t="inlineStr">
        <is>
          <t>собственность АО "Газпром добыча Томск"</t>
        </is>
      </c>
      <c r="D938" s="528" t="n"/>
      <c r="E938" s="528" t="n"/>
      <c r="F938" s="529" t="n"/>
      <c r="G938" s="530" t="inlineStr">
        <is>
          <t>16_100336375</t>
        </is>
      </c>
      <c r="H938" s="530" t="n"/>
      <c r="I938" s="446" t="inlineStr">
        <is>
          <t>тыс.т.</t>
        </is>
      </c>
    </row>
    <row r="939" ht="20.1" customHeight="1" s="769">
      <c r="D939" s="528" t="n"/>
      <c r="E939" s="528" t="n"/>
      <c r="F939" s="529" t="n"/>
      <c r="G939" s="530" t="inlineStr">
        <is>
          <t>16_100336376</t>
        </is>
      </c>
      <c r="H939" s="530" t="n"/>
      <c r="I939" s="929" t="inlineStr">
        <is>
          <t>млн куб.м</t>
        </is>
      </c>
    </row>
    <row r="940" ht="20.1" customHeight="1" s="769">
      <c r="C940" s="754" t="inlineStr">
        <is>
          <t>в т.ч. из ПНГ</t>
        </is>
      </c>
      <c r="D940" s="528" t="n"/>
      <c r="E940" s="528" t="n"/>
      <c r="F940" s="529" t="n"/>
      <c r="G940" s="530" t="inlineStr">
        <is>
          <t>16_100336360</t>
        </is>
      </c>
      <c r="H940" s="530" t="n"/>
      <c r="I940" s="906" t="inlineStr">
        <is>
          <t>тыс.т.</t>
        </is>
      </c>
    </row>
    <row r="941" ht="20.1" customHeight="1" s="769">
      <c r="D941" s="528" t="n"/>
      <c r="E941" s="528" t="n"/>
      <c r="F941" s="529" t="n"/>
      <c r="G941" s="530" t="inlineStr">
        <is>
          <t>16_100336361</t>
        </is>
      </c>
      <c r="H941" s="530" t="n"/>
      <c r="I941" s="906" t="inlineStr">
        <is>
          <t>млн куб.м</t>
        </is>
      </c>
    </row>
    <row r="942" ht="20.1" customHeight="1" s="769">
      <c r="C942" s="754" t="inlineStr">
        <is>
          <t>в т.ч из сырья ПАО "Газпром нефть" (покупка газа)</t>
        </is>
      </c>
      <c r="D942" s="528" t="n"/>
      <c r="E942" s="528" t="n"/>
      <c r="F942" s="529" t="n"/>
      <c r="G942" s="530" t="inlineStr">
        <is>
          <t>16_100333003</t>
        </is>
      </c>
      <c r="H942" s="530" t="n"/>
      <c r="I942" s="906" t="inlineStr">
        <is>
          <t>тыс.т.</t>
        </is>
      </c>
    </row>
    <row r="943" ht="20.1" customHeight="1" s="769">
      <c r="D943" s="528" t="n"/>
      <c r="E943" s="528" t="n"/>
      <c r="F943" s="529" t="n"/>
      <c r="G943" s="530" t="inlineStr">
        <is>
          <t>16_100333004</t>
        </is>
      </c>
      <c r="H943" s="530" t="n"/>
      <c r="I943" s="906" t="inlineStr">
        <is>
          <t>млн куб.м</t>
        </is>
      </c>
    </row>
    <row r="944" ht="20.1" customHeight="1" s="769">
      <c r="B944" s="747" t="inlineStr">
        <is>
          <t>2.8.2</t>
        </is>
      </c>
      <c r="C944" s="758" t="inlineStr">
        <is>
          <t>собственность ПАО "Газпром нефть"</t>
        </is>
      </c>
      <c r="D944" s="528" t="n"/>
      <c r="E944" s="528" t="n"/>
      <c r="F944" s="529" t="n"/>
      <c r="G944" s="530" t="inlineStr">
        <is>
          <t>16_100336377</t>
        </is>
      </c>
      <c r="H944" s="530" t="n"/>
      <c r="I944" s="446" t="inlineStr">
        <is>
          <t>тыс.т.</t>
        </is>
      </c>
    </row>
    <row r="945" ht="20.1" customHeight="1" s="769">
      <c r="D945" s="528" t="n"/>
      <c r="E945" s="528" t="n"/>
      <c r="F945" s="529" t="n"/>
      <c r="G945" s="530" t="inlineStr">
        <is>
          <t>16_100336378</t>
        </is>
      </c>
      <c r="H945" s="530" t="n"/>
      <c r="I945" s="929" t="inlineStr">
        <is>
          <t>млн куб.м</t>
        </is>
      </c>
    </row>
    <row r="946" ht="20.1" customHeight="1" s="769">
      <c r="C946" s="754" t="inlineStr">
        <is>
          <t>в т.ч. из сырья ПАО "Газпром нефть" (переработка газа)</t>
        </is>
      </c>
      <c r="D946" s="528" t="n"/>
      <c r="E946" s="528" t="n"/>
      <c r="F946" s="529" t="n"/>
      <c r="G946" s="530" t="inlineStr">
        <is>
          <t>16_100332418</t>
        </is>
      </c>
      <c r="H946" s="530" t="n"/>
      <c r="I946" s="906" t="inlineStr">
        <is>
          <t>тыс.т.</t>
        </is>
      </c>
    </row>
    <row r="947" ht="20.1" customHeight="1" s="769">
      <c r="D947" s="528" t="n"/>
      <c r="E947" s="528" t="n"/>
      <c r="F947" s="529" t="n"/>
      <c r="G947" s="530" t="inlineStr">
        <is>
          <t>16_100330752</t>
        </is>
      </c>
      <c r="H947" s="530" t="n"/>
      <c r="I947" s="906" t="inlineStr">
        <is>
          <t>млн куб.м</t>
        </is>
      </c>
    </row>
    <row r="948" ht="20.1" customHeight="1" s="769">
      <c r="C948" s="442" t="n"/>
      <c r="D948" s="528" t="n"/>
      <c r="E948" s="528" t="n"/>
      <c r="F948" s="529" t="n"/>
      <c r="G948" s="530" t="n"/>
      <c r="H948" s="530" t="n"/>
      <c r="I948" s="440" t="n"/>
    </row>
    <row r="949" ht="20.1" customHeight="1" s="769">
      <c r="B949" s="443" t="n"/>
      <c r="C949" s="458" t="inlineStr">
        <is>
          <t>ООО "Газпром метанол"</t>
        </is>
      </c>
      <c r="D949" s="528" t="n"/>
      <c r="E949" s="528" t="n"/>
      <c r="F949" s="529" t="n"/>
      <c r="G949" s="530" t="n"/>
      <c r="H949" s="530" t="n"/>
      <c r="I949" s="15" t="n"/>
    </row>
    <row r="950" ht="20.1" customHeight="1" s="769">
      <c r="B950" s="443" t="inlineStr">
        <is>
          <t>1.</t>
        </is>
      </c>
      <c r="C950" s="758" t="inlineStr">
        <is>
          <t>CЫРЬЕ</t>
        </is>
      </c>
      <c r="D950" s="528" t="n"/>
      <c r="E950" s="528" t="n"/>
      <c r="F950" s="529" t="n"/>
      <c r="G950" s="530" t="n"/>
      <c r="H950" s="530" t="n"/>
      <c r="I950" s="903" t="n"/>
    </row>
    <row r="951" ht="33.75" customHeight="1" s="769">
      <c r="C951" s="756" t="inlineStr">
        <is>
          <t>Переработка природного газа 
(собственность ООО "Газпром метанол")</t>
        </is>
      </c>
      <c r="D951" s="528" t="n"/>
      <c r="E951" s="528" t="n"/>
      <c r="F951" s="529" t="n"/>
      <c r="G951" s="530" t="inlineStr">
        <is>
          <t>16_100330740</t>
        </is>
      </c>
      <c r="H951" s="530" t="n"/>
      <c r="I951" s="903" t="inlineStr">
        <is>
          <t>млн куб.м</t>
        </is>
      </c>
    </row>
    <row r="952" ht="20.1" customHeight="1" s="769">
      <c r="B952" s="443" t="inlineStr">
        <is>
          <t>2.</t>
        </is>
      </c>
      <c r="C952" s="758" t="inlineStr">
        <is>
          <t xml:space="preserve">ПРОДУКЦИЯ    </t>
        </is>
      </c>
      <c r="D952" s="528" t="n"/>
      <c r="E952" s="528" t="n"/>
      <c r="F952" s="529" t="n"/>
      <c r="G952" s="530" t="n"/>
      <c r="H952" s="530" t="n"/>
      <c r="I952" s="903" t="n"/>
    </row>
    <row r="953" ht="20.1" customHeight="1" s="769">
      <c r="C953" s="756" t="inlineStr">
        <is>
          <t>Метанол (собственность ООО "Газпром метанол")</t>
        </is>
      </c>
      <c r="D953" s="528" t="n"/>
      <c r="E953" s="528" t="n"/>
      <c r="F953" s="529" t="n"/>
      <c r="G953" s="530" t="inlineStr">
        <is>
          <t>16_100330753</t>
        </is>
      </c>
      <c r="H953" s="530" t="n"/>
      <c r="I953" s="446" t="inlineStr">
        <is>
          <t>тыс.т.</t>
        </is>
      </c>
    </row>
    <row r="954" ht="20.1" customHeight="1" s="769">
      <c r="C954" s="460" t="n"/>
      <c r="D954" s="528" t="n"/>
      <c r="E954" s="528" t="n"/>
      <c r="F954" s="529" t="n"/>
      <c r="G954" s="530" t="n"/>
      <c r="H954" s="530" t="n"/>
      <c r="I954" s="446" t="n"/>
    </row>
    <row r="955" ht="20.1" customHeight="1" s="769">
      <c r="B955" s="443" t="n"/>
      <c r="C955" s="758" t="inlineStr">
        <is>
          <t>ГРУППА ГАЗПРОМ НЕФТЬ</t>
        </is>
      </c>
      <c r="D955" s="528" t="n"/>
      <c r="E955" s="528" t="n"/>
      <c r="F955" s="529" t="n"/>
      <c r="G955" s="530" t="n"/>
      <c r="H955" s="530" t="n"/>
      <c r="I955" s="10" t="n"/>
    </row>
    <row r="956" ht="20.1" customHeight="1" s="769">
      <c r="B956" s="747" t="inlineStr">
        <is>
          <t>1.</t>
        </is>
      </c>
      <c r="C956" s="416" t="inlineStr">
        <is>
          <t>CЫРЬЕ</t>
        </is>
      </c>
      <c r="D956" s="528" t="n"/>
      <c r="E956" s="528" t="n"/>
      <c r="F956" s="529" t="n"/>
      <c r="G956" s="530" t="n"/>
      <c r="H956" s="530" t="n"/>
      <c r="I956" s="446" t="n"/>
    </row>
    <row r="957" ht="20.1" customHeight="1" s="769">
      <c r="B957" s="747" t="inlineStr">
        <is>
          <t>1.1</t>
        </is>
      </c>
      <c r="C957" s="758" t="inlineStr">
        <is>
          <t>Переработка сырья:</t>
        </is>
      </c>
      <c r="D957" s="528" t="n"/>
      <c r="E957" s="528" t="n"/>
      <c r="F957" s="529" t="n"/>
      <c r="G957" s="530" t="n"/>
      <c r="H957" s="530" t="n"/>
      <c r="I957" s="446" t="n"/>
    </row>
    <row r="958" ht="20.1" customHeight="1" s="769">
      <c r="C958" s="451" t="inlineStr">
        <is>
          <t>Омский НПЗ</t>
        </is>
      </c>
      <c r="D958" s="528" t="n"/>
      <c r="E958" s="528" t="n"/>
      <c r="F958" s="529" t="n"/>
      <c r="G958" s="530" t="inlineStr">
        <is>
          <t>18_100330758</t>
        </is>
      </c>
      <c r="H958" s="530" t="n"/>
      <c r="I958" s="906" t="inlineStr">
        <is>
          <t>тыс.т.</t>
        </is>
      </c>
    </row>
    <row r="959" ht="20.1" customHeight="1" s="769">
      <c r="C959" s="451" t="inlineStr">
        <is>
          <t>Московский НПЗ</t>
        </is>
      </c>
      <c r="D959" s="528" t="n"/>
      <c r="E959" s="528" t="n"/>
      <c r="F959" s="529" t="n"/>
      <c r="G959" s="530" t="inlineStr">
        <is>
          <t>18_100330759</t>
        </is>
      </c>
      <c r="H959" s="530" t="n"/>
      <c r="I959" s="906" t="inlineStr">
        <is>
          <t>тыс.т.</t>
        </is>
      </c>
    </row>
    <row r="960" ht="20.1" customHeight="1" s="769">
      <c r="C960" s="451" t="inlineStr">
        <is>
          <t>Славнефть-ЯНОС</t>
        </is>
      </c>
      <c r="D960" s="528" t="n"/>
      <c r="E960" s="528" t="n"/>
      <c r="F960" s="529" t="n"/>
      <c r="G960" s="530" t="inlineStr">
        <is>
          <t>18_100330760</t>
        </is>
      </c>
      <c r="H960" s="530" t="n"/>
      <c r="I960" s="906" t="inlineStr">
        <is>
          <t>тыс.т.</t>
        </is>
      </c>
    </row>
    <row r="961" ht="20.1" customHeight="1" s="769">
      <c r="B961" s="747" t="inlineStr">
        <is>
          <t>1.2</t>
        </is>
      </c>
      <c r="C961" s="758" t="inlineStr">
        <is>
          <t>Переработка газа:</t>
        </is>
      </c>
      <c r="D961" s="528" t="n"/>
      <c r="E961" s="528" t="n"/>
      <c r="F961" s="529" t="n"/>
      <c r="G961" s="530" t="n"/>
      <c r="H961" s="530" t="n"/>
      <c r="I961" s="446" t="n"/>
    </row>
    <row r="962" ht="20.1" customHeight="1" s="769">
      <c r="C962" s="451" t="inlineStr">
        <is>
          <t>Южно-Приобский ГПЗ</t>
        </is>
      </c>
      <c r="D962" s="528" t="n"/>
      <c r="E962" s="528" t="n"/>
      <c r="F962" s="529" t="n"/>
      <c r="G962" s="530" t="inlineStr">
        <is>
          <t>18_100335374</t>
        </is>
      </c>
      <c r="H962" s="530" t="n"/>
      <c r="I962" s="906" t="inlineStr">
        <is>
          <t>млн куб.м</t>
        </is>
      </c>
    </row>
    <row r="963" ht="20.1" customHeight="1" s="769">
      <c r="B963" s="747" t="inlineStr">
        <is>
          <t>2.</t>
        </is>
      </c>
      <c r="C963" s="448" t="inlineStr">
        <is>
          <t xml:space="preserve">ПРОДУКЦИЯ    </t>
        </is>
      </c>
      <c r="D963" s="528" t="n"/>
      <c r="E963" s="528" t="n"/>
      <c r="F963" s="529" t="n"/>
      <c r="G963" s="530" t="n"/>
      <c r="H963" s="530" t="n"/>
      <c r="I963" s="446" t="n"/>
    </row>
    <row r="964" ht="20.1" customHeight="1" s="769">
      <c r="C964" s="451" t="inlineStr">
        <is>
          <t>Омский НПЗ</t>
        </is>
      </c>
      <c r="D964" s="528" t="n"/>
      <c r="E964" s="528" t="n"/>
      <c r="F964" s="529" t="n"/>
      <c r="G964" s="530" t="inlineStr">
        <is>
          <t>18_100330761</t>
        </is>
      </c>
      <c r="H964" s="530" t="n"/>
      <c r="I964" s="906" t="inlineStr">
        <is>
          <t>тыс.т.</t>
        </is>
      </c>
    </row>
    <row r="965" ht="20.1" customHeight="1" s="769">
      <c r="C965" s="451" t="inlineStr">
        <is>
          <t>Московский НПЗ</t>
        </is>
      </c>
      <c r="D965" s="528" t="n"/>
      <c r="E965" s="528" t="n"/>
      <c r="F965" s="529" t="n"/>
      <c r="G965" s="530" t="inlineStr">
        <is>
          <t>18_100330762</t>
        </is>
      </c>
      <c r="H965" s="530" t="n"/>
      <c r="I965" s="906" t="inlineStr">
        <is>
          <t>тыс.т.</t>
        </is>
      </c>
    </row>
    <row r="966" ht="20.1" customHeight="1" s="769">
      <c r="C966" s="451" t="inlineStr">
        <is>
          <t>Славнефть-ЯНОС</t>
        </is>
      </c>
      <c r="D966" s="528" t="n"/>
      <c r="E966" s="528" t="n"/>
      <c r="F966" s="529" t="n"/>
      <c r="G966" s="530" t="inlineStr">
        <is>
          <t>18_100330763</t>
        </is>
      </c>
      <c r="H966" s="530" t="n"/>
      <c r="I966" s="906" t="inlineStr">
        <is>
          <t>тыс.т.</t>
        </is>
      </c>
    </row>
    <row r="967" ht="20.1" customHeight="1" s="769">
      <c r="B967" s="747" t="inlineStr">
        <is>
          <t>2.1</t>
        </is>
      </c>
      <c r="C967" s="448" t="inlineStr">
        <is>
          <t>Сухой газ:</t>
        </is>
      </c>
      <c r="D967" s="528" t="n"/>
      <c r="E967" s="528" t="n"/>
      <c r="F967" s="529" t="n"/>
      <c r="G967" s="530" t="n"/>
      <c r="H967" s="530" t="n"/>
      <c r="I967" s="906" t="n"/>
    </row>
    <row r="968" ht="20.1" customHeight="1" s="769">
      <c r="C968" s="451" t="inlineStr">
        <is>
          <t>Южно-Приобский ГПЗ</t>
        </is>
      </c>
      <c r="D968" s="528" t="n"/>
      <c r="E968" s="528" t="n"/>
      <c r="F968" s="529" t="n"/>
      <c r="G968" s="530" t="inlineStr">
        <is>
          <t>18_100335379</t>
        </is>
      </c>
      <c r="H968" s="530" t="n"/>
      <c r="I968" s="906" t="inlineStr">
        <is>
          <t>млн куб.м</t>
        </is>
      </c>
    </row>
    <row r="969" ht="20.1" customHeight="1" s="769">
      <c r="B969" s="747" t="inlineStr">
        <is>
          <t>2.2</t>
        </is>
      </c>
      <c r="C969" s="448" t="inlineStr">
        <is>
          <t>Широкая фракция легких углеводородов:</t>
        </is>
      </c>
      <c r="D969" s="528" t="n"/>
      <c r="E969" s="528" t="n"/>
      <c r="F969" s="529" t="n"/>
      <c r="G969" s="530" t="n"/>
      <c r="H969" s="530" t="n"/>
      <c r="I969" s="446" t="n"/>
    </row>
    <row r="970" ht="20.1" customHeight="1" s="769">
      <c r="C970" s="451" t="inlineStr">
        <is>
          <t>Южно-Приобский ГПЗ</t>
        </is>
      </c>
      <c r="D970" s="528" t="n"/>
      <c r="E970" s="528" t="n"/>
      <c r="F970" s="529" t="n"/>
      <c r="G970" s="530" t="inlineStr">
        <is>
          <t>18_100335381</t>
        </is>
      </c>
      <c r="H970" s="530" t="n"/>
      <c r="I970" s="906" t="inlineStr">
        <is>
          <t>тыс.т.</t>
        </is>
      </c>
    </row>
    <row r="971" ht="20.1" customHeight="1" s="769">
      <c r="B971" s="747" t="inlineStr">
        <is>
          <t>2.3</t>
        </is>
      </c>
      <c r="C971" s="448" t="inlineStr">
        <is>
          <t>Бензин автомобильный:</t>
        </is>
      </c>
      <c r="D971" s="528" t="n"/>
      <c r="E971" s="528" t="n"/>
      <c r="F971" s="529" t="n"/>
      <c r="G971" s="530" t="n"/>
      <c r="H971" s="530" t="n"/>
      <c r="I971" s="446" t="n"/>
    </row>
    <row r="972" ht="20.1" customHeight="1" s="769">
      <c r="C972" s="451" t="inlineStr">
        <is>
          <t>Омский НПЗ</t>
        </is>
      </c>
      <c r="D972" s="528" t="n"/>
      <c r="E972" s="528" t="n"/>
      <c r="F972" s="529" t="n"/>
      <c r="G972" s="530" t="inlineStr">
        <is>
          <t>18_100330764</t>
        </is>
      </c>
      <c r="H972" s="530" t="n"/>
      <c r="I972" s="906" t="inlineStr">
        <is>
          <t>тыс.т.</t>
        </is>
      </c>
    </row>
    <row r="973" ht="20.1" customHeight="1" s="769">
      <c r="C973" s="451" t="inlineStr">
        <is>
          <t>Московский НПЗ</t>
        </is>
      </c>
      <c r="D973" s="528" t="n"/>
      <c r="E973" s="528" t="n"/>
      <c r="F973" s="529" t="n"/>
      <c r="G973" s="530" t="inlineStr">
        <is>
          <t>18_100330765</t>
        </is>
      </c>
      <c r="H973" s="530" t="n"/>
      <c r="I973" s="906" t="inlineStr">
        <is>
          <t>тыс.т.</t>
        </is>
      </c>
    </row>
    <row r="974" ht="20.1" customHeight="1" s="769">
      <c r="C974" s="451" t="inlineStr">
        <is>
          <t>Славнефть-ЯНОС</t>
        </is>
      </c>
      <c r="D974" s="528" t="n"/>
      <c r="E974" s="528" t="n"/>
      <c r="F974" s="529" t="n"/>
      <c r="G974" s="530" t="inlineStr">
        <is>
          <t>18_100330766</t>
        </is>
      </c>
      <c r="H974" s="530" t="n"/>
      <c r="I974" s="906" t="inlineStr">
        <is>
          <t>тыс.т.</t>
        </is>
      </c>
    </row>
    <row r="975" ht="20.1" customHeight="1" s="769">
      <c r="B975" s="747" t="inlineStr">
        <is>
          <t>2.4</t>
        </is>
      </c>
      <c r="C975" s="448" t="inlineStr">
        <is>
          <t>Бензин технологический:</t>
        </is>
      </c>
      <c r="D975" s="528" t="n"/>
      <c r="E975" s="528" t="n"/>
      <c r="F975" s="529" t="n"/>
      <c r="G975" s="530" t="n"/>
      <c r="H975" s="530" t="n"/>
      <c r="I975" s="446" t="n"/>
    </row>
    <row r="976" ht="20.1" customHeight="1" s="769">
      <c r="C976" s="451" t="inlineStr">
        <is>
          <t>Омский НПЗ</t>
        </is>
      </c>
      <c r="D976" s="528" t="n"/>
      <c r="E976" s="528" t="n"/>
      <c r="F976" s="529" t="n"/>
      <c r="G976" s="530" t="inlineStr">
        <is>
          <t>18_100330768</t>
        </is>
      </c>
      <c r="H976" s="530" t="n"/>
      <c r="I976" s="906" t="inlineStr">
        <is>
          <t>тыс.т.</t>
        </is>
      </c>
    </row>
    <row r="977" ht="20.1" customHeight="1" s="769">
      <c r="C977" s="451" t="inlineStr">
        <is>
          <t>Московский НПЗ</t>
        </is>
      </c>
      <c r="D977" s="528" t="n"/>
      <c r="E977" s="528" t="n"/>
      <c r="F977" s="529" t="n"/>
      <c r="G977" s="530" t="inlineStr">
        <is>
          <t>18_100330769</t>
        </is>
      </c>
      <c r="H977" s="530" t="n"/>
      <c r="I977" s="906" t="inlineStr">
        <is>
          <t>тыс.т.</t>
        </is>
      </c>
    </row>
    <row r="978" ht="20.1" customHeight="1" s="769">
      <c r="C978" s="451" t="inlineStr">
        <is>
          <t>Славнефть-ЯНОС</t>
        </is>
      </c>
      <c r="D978" s="528" t="n"/>
      <c r="E978" s="528" t="n"/>
      <c r="F978" s="529" t="n"/>
      <c r="G978" s="530" t="inlineStr">
        <is>
          <t>18_100330770</t>
        </is>
      </c>
      <c r="H978" s="530" t="n"/>
      <c r="I978" s="906" t="inlineStr">
        <is>
          <t>тыс.т.</t>
        </is>
      </c>
    </row>
    <row r="979" ht="20.1" customHeight="1" s="769">
      <c r="B979" s="747" t="inlineStr">
        <is>
          <t>2.5</t>
        </is>
      </c>
      <c r="C979" s="448" t="inlineStr">
        <is>
          <t>Дизельное топливо:</t>
        </is>
      </c>
      <c r="D979" s="528" t="n"/>
      <c r="E979" s="528" t="n"/>
      <c r="F979" s="529" t="n"/>
      <c r="G979" s="530" t="n"/>
      <c r="H979" s="530" t="n"/>
      <c r="I979" s="446" t="n"/>
    </row>
    <row r="980" ht="20.1" customHeight="1" s="769">
      <c r="C980" s="451" t="inlineStr">
        <is>
          <t>Омский НПЗ</t>
        </is>
      </c>
      <c r="D980" s="528" t="n"/>
      <c r="E980" s="528" t="n"/>
      <c r="F980" s="529" t="n"/>
      <c r="G980" s="530" t="inlineStr">
        <is>
          <t>18_100330771</t>
        </is>
      </c>
      <c r="H980" s="530" t="n"/>
      <c r="I980" s="906" t="inlineStr">
        <is>
          <t>тыс.т.</t>
        </is>
      </c>
    </row>
    <row r="981" ht="20.1" customHeight="1" s="769">
      <c r="C981" s="451" t="inlineStr">
        <is>
          <t>Московский НПЗ</t>
        </is>
      </c>
      <c r="D981" s="528" t="n"/>
      <c r="E981" s="528" t="n"/>
      <c r="F981" s="529" t="n"/>
      <c r="G981" s="530" t="inlineStr">
        <is>
          <t>18_100330772</t>
        </is>
      </c>
      <c r="H981" s="530" t="n"/>
      <c r="I981" s="906" t="inlineStr">
        <is>
          <t>тыс.т.</t>
        </is>
      </c>
    </row>
    <row r="982" ht="20.1" customHeight="1" s="769">
      <c r="C982" s="451" t="inlineStr">
        <is>
          <t>Славнефть-ЯНОС</t>
        </is>
      </c>
      <c r="D982" s="528" t="n"/>
      <c r="E982" s="528" t="n"/>
      <c r="F982" s="529" t="n"/>
      <c r="G982" s="530" t="inlineStr">
        <is>
          <t>18_100330773</t>
        </is>
      </c>
      <c r="H982" s="530" t="n"/>
      <c r="I982" s="906" t="inlineStr">
        <is>
          <t>тыс.т.</t>
        </is>
      </c>
    </row>
    <row r="983" ht="20.1" customHeight="1" s="769">
      <c r="B983" s="747" t="inlineStr">
        <is>
          <t>2.6</t>
        </is>
      </c>
      <c r="C983" s="448" t="inlineStr">
        <is>
          <t>Мазут топочный:</t>
        </is>
      </c>
      <c r="D983" s="528" t="n"/>
      <c r="E983" s="528" t="n"/>
      <c r="F983" s="529" t="n"/>
      <c r="G983" s="530" t="n"/>
      <c r="H983" s="530" t="n"/>
      <c r="I983" s="446" t="n"/>
    </row>
    <row r="984" ht="20.1" customHeight="1" s="769">
      <c r="C984" s="451" t="inlineStr">
        <is>
          <t>Омский НПЗ</t>
        </is>
      </c>
      <c r="D984" s="528" t="n"/>
      <c r="E984" s="528" t="n"/>
      <c r="F984" s="529" t="n"/>
      <c r="G984" s="530" t="inlineStr">
        <is>
          <t>18_100330775</t>
        </is>
      </c>
      <c r="H984" s="530" t="n"/>
      <c r="I984" s="906" t="inlineStr">
        <is>
          <t>тыс.т.</t>
        </is>
      </c>
    </row>
    <row r="985" ht="20.1" customHeight="1" s="769">
      <c r="C985" s="451" t="inlineStr">
        <is>
          <t>Московский НПЗ</t>
        </is>
      </c>
      <c r="D985" s="528" t="n"/>
      <c r="E985" s="528" t="n"/>
      <c r="F985" s="529" t="n"/>
      <c r="G985" s="530" t="inlineStr">
        <is>
          <t>18_100330776</t>
        </is>
      </c>
      <c r="H985" s="530" t="n"/>
      <c r="I985" s="906" t="inlineStr">
        <is>
          <t>тыс.т.</t>
        </is>
      </c>
    </row>
    <row r="986" ht="20.1" customHeight="1" s="769">
      <c r="C986" s="451" t="inlineStr">
        <is>
          <t>Славнефть-ЯНОС</t>
        </is>
      </c>
      <c r="D986" s="528" t="n"/>
      <c r="E986" s="528" t="n"/>
      <c r="F986" s="529" t="n"/>
      <c r="G986" s="530" t="inlineStr">
        <is>
          <t>18_100330777</t>
        </is>
      </c>
      <c r="H986" s="530" t="n"/>
      <c r="I986" s="906" t="inlineStr">
        <is>
          <t>тыс.т.</t>
        </is>
      </c>
    </row>
    <row r="987" ht="20.1" customHeight="1" s="769">
      <c r="B987" s="747" t="inlineStr">
        <is>
          <t>2.7</t>
        </is>
      </c>
      <c r="C987" s="448" t="inlineStr">
        <is>
          <t>Авиакеросин:</t>
        </is>
      </c>
      <c r="D987" s="528" t="n"/>
      <c r="E987" s="528" t="n"/>
      <c r="F987" s="529" t="n"/>
      <c r="G987" s="530" t="n"/>
      <c r="H987" s="530" t="n"/>
      <c r="I987" s="446" t="n"/>
    </row>
    <row r="988" ht="20.1" customHeight="1" s="769">
      <c r="C988" s="451" t="inlineStr">
        <is>
          <t>Омский НПЗ</t>
        </is>
      </c>
      <c r="D988" s="528" t="n"/>
      <c r="E988" s="528" t="n"/>
      <c r="F988" s="529" t="n"/>
      <c r="G988" s="530" t="inlineStr">
        <is>
          <t>18_100330779</t>
        </is>
      </c>
      <c r="H988" s="530" t="n"/>
      <c r="I988" s="906" t="inlineStr">
        <is>
          <t>тыс.т.</t>
        </is>
      </c>
    </row>
    <row r="989" ht="20.1" customHeight="1" s="769">
      <c r="C989" s="451" t="inlineStr">
        <is>
          <t>Московский НПЗ</t>
        </is>
      </c>
      <c r="D989" s="528" t="n"/>
      <c r="E989" s="528" t="n"/>
      <c r="F989" s="529" t="n"/>
      <c r="G989" s="530" t="inlineStr">
        <is>
          <t>18_100330780</t>
        </is>
      </c>
      <c r="H989" s="530" t="n"/>
      <c r="I989" s="906" t="inlineStr">
        <is>
          <t>тыс.т.</t>
        </is>
      </c>
    </row>
    <row r="990" ht="20.1" customHeight="1" s="769">
      <c r="C990" s="451" t="inlineStr">
        <is>
          <t>Славнефть-ЯНОС</t>
        </is>
      </c>
      <c r="D990" s="528" t="n"/>
      <c r="E990" s="528" t="n"/>
      <c r="F990" s="529" t="n"/>
      <c r="G990" s="530" t="inlineStr">
        <is>
          <t>18_100330781</t>
        </is>
      </c>
      <c r="H990" s="530" t="n"/>
      <c r="I990" s="906" t="inlineStr">
        <is>
          <t>тыс.т.</t>
        </is>
      </c>
    </row>
    <row r="991" ht="20.1" customHeight="1" s="769">
      <c r="B991" s="747" t="inlineStr">
        <is>
          <t>2.8</t>
        </is>
      </c>
      <c r="C991" s="448" t="inlineStr">
        <is>
          <t>Судовое топливо:</t>
        </is>
      </c>
      <c r="D991" s="528" t="n"/>
      <c r="E991" s="528" t="n"/>
      <c r="F991" s="529" t="n"/>
      <c r="G991" s="530" t="n"/>
      <c r="H991" s="530" t="n"/>
      <c r="I991" s="446" t="n"/>
    </row>
    <row r="992" ht="20.1" customHeight="1" s="769">
      <c r="C992" s="451" t="inlineStr">
        <is>
          <t>Омский НПЗ</t>
        </is>
      </c>
      <c r="D992" s="528" t="n"/>
      <c r="E992" s="528" t="n"/>
      <c r="F992" s="529" t="n"/>
      <c r="G992" s="530" t="inlineStr">
        <is>
          <t>18_100335388</t>
        </is>
      </c>
      <c r="H992" s="530" t="n"/>
      <c r="I992" s="906" t="inlineStr">
        <is>
          <t>тыс.т.</t>
        </is>
      </c>
    </row>
    <row r="993" ht="20.1" customHeight="1" s="769">
      <c r="C993" s="451" t="inlineStr">
        <is>
          <t>Московский НПЗ</t>
        </is>
      </c>
      <c r="D993" s="528" t="n"/>
      <c r="E993" s="528" t="n"/>
      <c r="F993" s="529" t="n"/>
      <c r="G993" s="530" t="inlineStr">
        <is>
          <t>18_100335389</t>
        </is>
      </c>
      <c r="H993" s="530" t="n"/>
      <c r="I993" s="906" t="inlineStr">
        <is>
          <t>тыс.т.</t>
        </is>
      </c>
    </row>
    <row r="994" ht="20.1" customHeight="1" s="769">
      <c r="C994" s="451" t="inlineStr">
        <is>
          <t>Славнефть-ЯНОС</t>
        </is>
      </c>
      <c r="D994" s="528" t="n"/>
      <c r="E994" s="528" t="n"/>
      <c r="F994" s="529" t="n"/>
      <c r="G994" s="530" t="inlineStr">
        <is>
          <t>18_100335390</t>
        </is>
      </c>
      <c r="H994" s="530" t="n"/>
      <c r="I994" s="906" t="inlineStr">
        <is>
          <t>тыс.т.</t>
        </is>
      </c>
    </row>
    <row r="995" ht="20.1" customHeight="1" s="769">
      <c r="B995" s="747" t="inlineStr">
        <is>
          <t>2.9</t>
        </is>
      </c>
      <c r="C995" s="448" t="inlineStr">
        <is>
          <t>Масла:</t>
        </is>
      </c>
      <c r="D995" s="528" t="n"/>
      <c r="E995" s="528" t="n"/>
      <c r="F995" s="529" t="n"/>
      <c r="G995" s="530" t="n"/>
      <c r="H995" s="530" t="n"/>
      <c r="I995" s="446" t="n"/>
    </row>
    <row r="996" ht="20.1" customHeight="1" s="769">
      <c r="C996" s="451" t="inlineStr">
        <is>
          <t>Омский НПЗ</t>
        </is>
      </c>
      <c r="D996" s="528" t="n"/>
      <c r="E996" s="528" t="n"/>
      <c r="F996" s="529" t="n"/>
      <c r="G996" s="530" t="inlineStr">
        <is>
          <t>18_100335392</t>
        </is>
      </c>
      <c r="H996" s="530" t="n"/>
      <c r="I996" s="906" t="inlineStr">
        <is>
          <t>тыс.т.</t>
        </is>
      </c>
    </row>
    <row r="997" ht="20.1" customHeight="1" s="769">
      <c r="C997" s="451" t="inlineStr">
        <is>
          <t>Славнефть-ЯНОС</t>
        </is>
      </c>
      <c r="D997" s="528" t="n"/>
      <c r="E997" s="528" t="n"/>
      <c r="F997" s="529" t="n"/>
      <c r="G997" s="530" t="inlineStr">
        <is>
          <t>18_100330783</t>
        </is>
      </c>
      <c r="H997" s="530" t="n"/>
      <c r="I997" s="906" t="inlineStr">
        <is>
          <t>тыс.т.</t>
        </is>
      </c>
    </row>
    <row r="998" ht="20.1" customHeight="1" s="769">
      <c r="B998" s="747" t="inlineStr">
        <is>
          <t>2.10</t>
        </is>
      </c>
      <c r="C998" s="448" t="inlineStr">
        <is>
          <t>Газы углеводородные сжиженные:</t>
        </is>
      </c>
      <c r="D998" s="528" t="n"/>
      <c r="E998" s="528" t="n"/>
      <c r="F998" s="529" t="n"/>
      <c r="G998" s="530" t="n"/>
      <c r="H998" s="530" t="n"/>
      <c r="I998" s="446" t="n"/>
    </row>
    <row r="999" ht="20.1" customHeight="1" s="769">
      <c r="C999" s="451" t="inlineStr">
        <is>
          <t>Омский НПЗ</t>
        </is>
      </c>
      <c r="D999" s="528" t="n"/>
      <c r="E999" s="528" t="n"/>
      <c r="F999" s="529" t="n"/>
      <c r="G999" s="530" t="inlineStr">
        <is>
          <t>18_100330784</t>
        </is>
      </c>
      <c r="H999" s="530" t="n"/>
      <c r="I999" s="906" t="inlineStr">
        <is>
          <t>тыс.т.</t>
        </is>
      </c>
    </row>
    <row r="1000" ht="20.1" customHeight="1" s="769">
      <c r="C1000" s="451" t="inlineStr">
        <is>
          <t>Московский НПЗ</t>
        </is>
      </c>
      <c r="D1000" s="528" t="n"/>
      <c r="E1000" s="528" t="n"/>
      <c r="F1000" s="529" t="n"/>
      <c r="G1000" s="530" t="inlineStr">
        <is>
          <t>18_100330785</t>
        </is>
      </c>
      <c r="H1000" s="530" t="n"/>
      <c r="I1000" s="906" t="inlineStr">
        <is>
          <t>тыс.т.</t>
        </is>
      </c>
    </row>
    <row r="1001" ht="20.1" customHeight="1" s="769">
      <c r="C1001" s="451" t="inlineStr">
        <is>
          <t>Славнефть-ЯНОС</t>
        </is>
      </c>
      <c r="D1001" s="528" t="n"/>
      <c r="E1001" s="528" t="n"/>
      <c r="F1001" s="529" t="n"/>
      <c r="G1001" s="530" t="inlineStr">
        <is>
          <t>18_100330786</t>
        </is>
      </c>
      <c r="H1001" s="530" t="n"/>
      <c r="I1001" s="906" t="inlineStr">
        <is>
          <t>тыс.т.</t>
        </is>
      </c>
    </row>
    <row r="1002" ht="20.1" customHeight="1" s="769">
      <c r="B1002" s="747" t="inlineStr">
        <is>
          <t>2.11</t>
        </is>
      </c>
      <c r="C1002" s="448" t="inlineStr">
        <is>
          <t>Битумы:</t>
        </is>
      </c>
      <c r="D1002" s="528" t="n"/>
      <c r="E1002" s="528" t="n"/>
      <c r="F1002" s="529" t="n"/>
      <c r="G1002" s="530" t="n"/>
      <c r="H1002" s="530" t="n"/>
      <c r="I1002" s="446" t="n"/>
    </row>
    <row r="1003" ht="20.1" customHeight="1" s="769">
      <c r="C1003" s="451" t="inlineStr">
        <is>
          <t>Омский НПЗ</t>
        </is>
      </c>
      <c r="D1003" s="528" t="n"/>
      <c r="E1003" s="528" t="n"/>
      <c r="F1003" s="529" t="n"/>
      <c r="G1003" s="530" t="inlineStr">
        <is>
          <t>18_100335397</t>
        </is>
      </c>
      <c r="H1003" s="530" t="n"/>
      <c r="I1003" s="906" t="inlineStr">
        <is>
          <t>тыс.т.</t>
        </is>
      </c>
    </row>
    <row r="1004" ht="20.1" customHeight="1" s="769">
      <c r="C1004" s="451" t="inlineStr">
        <is>
          <t>Московский НПЗ</t>
        </is>
      </c>
      <c r="D1004" s="528" t="n"/>
      <c r="E1004" s="528" t="n"/>
      <c r="F1004" s="529" t="n"/>
      <c r="G1004" s="530" t="inlineStr">
        <is>
          <t>18_100335398</t>
        </is>
      </c>
      <c r="H1004" s="530" t="n"/>
      <c r="I1004" s="906" t="inlineStr">
        <is>
          <t>тыс.т.</t>
        </is>
      </c>
    </row>
    <row r="1005" ht="20.1" customHeight="1" s="769">
      <c r="C1005" s="451" t="inlineStr">
        <is>
          <t>Славнефть-ЯНОС</t>
        </is>
      </c>
      <c r="D1005" s="528" t="n"/>
      <c r="E1005" s="528" t="n"/>
      <c r="F1005" s="529" t="n"/>
      <c r="G1005" s="530" t="inlineStr">
        <is>
          <t>18_100335399</t>
        </is>
      </c>
      <c r="H1005" s="530" t="n"/>
      <c r="I1005" s="906" t="inlineStr">
        <is>
          <t>тыс.т.</t>
        </is>
      </c>
    </row>
    <row r="1006" ht="20.1" customHeight="1" s="769">
      <c r="B1006" s="747" t="inlineStr">
        <is>
          <t>2.12</t>
        </is>
      </c>
      <c r="C1006" s="448" t="inlineStr">
        <is>
          <t>Сера:</t>
        </is>
      </c>
      <c r="D1006" s="528" t="n"/>
      <c r="E1006" s="528" t="n"/>
      <c r="F1006" s="529" t="n"/>
      <c r="G1006" s="530" t="n"/>
      <c r="H1006" s="530" t="n"/>
      <c r="I1006" s="446" t="n"/>
    </row>
    <row r="1007" ht="20.1" customHeight="1" s="769">
      <c r="C1007" s="451" t="inlineStr">
        <is>
          <t>Омский НПЗ</t>
        </is>
      </c>
      <c r="D1007" s="528" t="n"/>
      <c r="E1007" s="528" t="n"/>
      <c r="F1007" s="529" t="n"/>
      <c r="G1007" s="530" t="inlineStr">
        <is>
          <t>18_100335402</t>
        </is>
      </c>
      <c r="H1007" s="530" t="n"/>
      <c r="I1007" s="906" t="inlineStr">
        <is>
          <t>тыс.т.</t>
        </is>
      </c>
    </row>
    <row r="1008" ht="20.1" customHeight="1" s="769">
      <c r="C1008" s="451" t="inlineStr">
        <is>
          <t>Московский НПЗ</t>
        </is>
      </c>
      <c r="D1008" s="528" t="n"/>
      <c r="E1008" s="528" t="n"/>
      <c r="F1008" s="529" t="n"/>
      <c r="G1008" s="530" t="inlineStr">
        <is>
          <t>18_100335403</t>
        </is>
      </c>
      <c r="H1008" s="530" t="n"/>
      <c r="I1008" s="906" t="inlineStr">
        <is>
          <t>тыс.т.</t>
        </is>
      </c>
    </row>
    <row r="1009" ht="20.1" customHeight="1" s="769">
      <c r="C1009" s="451" t="inlineStr">
        <is>
          <t>Славнефть-ЯНОС</t>
        </is>
      </c>
      <c r="D1009" s="528" t="n"/>
      <c r="E1009" s="528" t="n"/>
      <c r="F1009" s="529" t="n"/>
      <c r="G1009" s="530" t="inlineStr">
        <is>
          <t>18_100335404</t>
        </is>
      </c>
      <c r="H1009" s="530" t="n"/>
      <c r="I1009" s="906" t="inlineStr">
        <is>
          <t>тыс.т.</t>
        </is>
      </c>
    </row>
    <row r="1010" ht="20.1" customHeight="1" s="769">
      <c r="B1010" s="747" t="inlineStr">
        <is>
          <t>2.13</t>
        </is>
      </c>
      <c r="C1010" s="448" t="inlineStr">
        <is>
          <t>Прочие нефтепродукты:</t>
        </is>
      </c>
      <c r="D1010" s="528" t="n"/>
      <c r="E1010" s="528" t="n"/>
      <c r="F1010" s="529" t="n"/>
      <c r="G1010" s="530" t="n"/>
      <c r="H1010" s="530" t="n"/>
      <c r="I1010" s="446" t="n"/>
    </row>
    <row r="1011" ht="20.1" customHeight="1" s="769">
      <c r="C1011" s="451" t="inlineStr">
        <is>
          <t>Омский НПЗ</t>
        </is>
      </c>
      <c r="D1011" s="528" t="n"/>
      <c r="E1011" s="528" t="n"/>
      <c r="F1011" s="529" t="n"/>
      <c r="G1011" s="530" t="inlineStr">
        <is>
          <t>18_100330788</t>
        </is>
      </c>
      <c r="H1011" s="530" t="n"/>
      <c r="I1011" s="906" t="inlineStr">
        <is>
          <t>тыс.т.</t>
        </is>
      </c>
    </row>
    <row r="1012" ht="20.1" customHeight="1" s="769">
      <c r="C1012" s="451" t="inlineStr">
        <is>
          <t>Московский НПЗ</t>
        </is>
      </c>
      <c r="D1012" s="528" t="n"/>
      <c r="E1012" s="528" t="n"/>
      <c r="F1012" s="529" t="n"/>
      <c r="G1012" s="530" t="inlineStr">
        <is>
          <t>18_100330789</t>
        </is>
      </c>
      <c r="H1012" s="530" t="n"/>
      <c r="I1012" s="906" t="inlineStr">
        <is>
          <t>тыс.т.</t>
        </is>
      </c>
    </row>
    <row r="1013" ht="20.1" customHeight="1" s="769">
      <c r="C1013" s="451" t="inlineStr">
        <is>
          <t>Славнефть-ЯНОС</t>
        </is>
      </c>
      <c r="D1013" s="528" t="n"/>
      <c r="E1013" s="528" t="n"/>
      <c r="F1013" s="529" t="n"/>
      <c r="G1013" s="530" t="inlineStr">
        <is>
          <t>18_100330790</t>
        </is>
      </c>
      <c r="H1013" s="530" t="n"/>
      <c r="I1013" s="906" t="inlineStr">
        <is>
          <t>тыс.т.</t>
        </is>
      </c>
    </row>
    <row r="1014" ht="20.1" customHeight="1" s="769">
      <c r="C1014" s="460" t="n"/>
      <c r="D1014" s="528" t="n"/>
      <c r="E1014" s="528" t="n"/>
      <c r="F1014" s="529" t="n"/>
      <c r="G1014" s="530" t="n"/>
      <c r="H1014" s="530" t="n"/>
      <c r="I1014" s="446" t="n"/>
    </row>
    <row r="1015" ht="20.1" customHeight="1" s="769">
      <c r="C1015" s="444" t="inlineStr">
        <is>
          <t>Группа Газпром нефтехим Салават</t>
        </is>
      </c>
      <c r="D1015" s="528" t="n"/>
      <c r="E1015" s="528" t="n"/>
      <c r="F1015" s="529" t="n"/>
      <c r="G1015" s="530" t="n"/>
      <c r="H1015" s="530" t="n"/>
      <c r="I1015" s="446" t="n"/>
    </row>
    <row r="1016" ht="20.1" customHeight="1" s="769">
      <c r="C1016" s="758" t="inlineStr">
        <is>
          <t>НЕФТЕПЕРЕРАБАТЫВАЮЩИЙ ЗАВОД (НПЗ)</t>
        </is>
      </c>
      <c r="D1016" s="528" t="n"/>
      <c r="E1016" s="528" t="n"/>
      <c r="F1016" s="529" t="n"/>
      <c r="G1016" s="530" t="n"/>
      <c r="H1016" s="530" t="n"/>
      <c r="I1016" s="447" t="n"/>
    </row>
    <row r="1017" ht="30.75" customHeight="1" s="769">
      <c r="B1017" s="747" t="inlineStr">
        <is>
          <t>1.</t>
        </is>
      </c>
      <c r="C1017" s="757" t="inlineStr">
        <is>
          <t>ПОСТАВКА (ПОКУПКА) СЫРЬЯ  
ООО "ГАЗПРОМ НЕФТЕХИМ САЛАВАТ":</t>
        </is>
      </c>
      <c r="D1017" s="528" t="n"/>
      <c r="E1017" s="528" t="n"/>
      <c r="F1017" s="529" t="n"/>
      <c r="G1017" s="530" t="inlineStr">
        <is>
          <t>17_100335977</t>
        </is>
      </c>
      <c r="H1017" s="530" t="n"/>
      <c r="I1017" s="825" t="inlineStr">
        <is>
          <t>тыс.т.</t>
        </is>
      </c>
    </row>
    <row r="1018" ht="20.1" customHeight="1" s="769">
      <c r="B1018" s="747" t="inlineStr">
        <is>
          <t>1.1</t>
        </is>
      </c>
      <c r="C1018" s="448" t="inlineStr">
        <is>
          <t>Конденсат газовый стабильный</t>
        </is>
      </c>
      <c r="D1018" s="528" t="n"/>
      <c r="E1018" s="528" t="n"/>
      <c r="F1018" s="529" t="n"/>
      <c r="G1018" s="530" t="inlineStr">
        <is>
          <t>17_100335978</t>
        </is>
      </c>
      <c r="H1018" s="530" t="n"/>
      <c r="I1018" s="825" t="inlineStr">
        <is>
          <t>тыс.т.</t>
        </is>
      </c>
    </row>
    <row r="1019" ht="20.1" customHeight="1" s="769">
      <c r="C1019" s="448" t="inlineStr">
        <is>
          <t>ПАО "Газпром":</t>
        </is>
      </c>
      <c r="D1019" s="528" t="n"/>
      <c r="E1019" s="528" t="n"/>
      <c r="F1019" s="529" t="n"/>
      <c r="G1019" s="530" t="inlineStr">
        <is>
          <t>17_100335979</t>
        </is>
      </c>
      <c r="H1019" s="530" t="n"/>
      <c r="I1019" s="825" t="inlineStr">
        <is>
          <t>тыс.т.</t>
        </is>
      </c>
    </row>
    <row r="1020" ht="20.1" customHeight="1" s="769">
      <c r="C1020" s="449" t="inlineStr">
        <is>
          <t>Астраханский ГПЗ</t>
        </is>
      </c>
      <c r="D1020" s="528" t="n"/>
      <c r="E1020" s="528" t="n"/>
      <c r="F1020" s="529" t="n"/>
      <c r="G1020" s="530" t="inlineStr">
        <is>
          <t>17_100335980</t>
        </is>
      </c>
      <c r="H1020" s="530" t="n"/>
      <c r="I1020" s="906" t="inlineStr">
        <is>
          <t>тыс.т.</t>
        </is>
      </c>
    </row>
    <row r="1021" ht="20.1" customHeight="1" s="769">
      <c r="C1021" s="449" t="inlineStr">
        <is>
          <t>Сургутский ЗСК</t>
        </is>
      </c>
      <c r="D1021" s="528" t="n"/>
      <c r="E1021" s="528" t="n"/>
      <c r="F1021" s="529" t="n"/>
      <c r="G1021" s="530" t="inlineStr">
        <is>
          <t>17_100335981</t>
        </is>
      </c>
      <c r="H1021" s="530" t="n"/>
      <c r="I1021" s="906" t="inlineStr">
        <is>
          <t>тыс.т.</t>
        </is>
      </c>
    </row>
    <row r="1022" ht="20.1" customHeight="1" s="769">
      <c r="C1022" s="449" t="inlineStr">
        <is>
          <t>Сосногорский ГПЗ</t>
        </is>
      </c>
      <c r="D1022" s="528" t="n"/>
      <c r="E1022" s="528" t="n"/>
      <c r="F1022" s="529" t="n"/>
      <c r="G1022" s="530" t="inlineStr">
        <is>
          <t>17_100335982</t>
        </is>
      </c>
      <c r="H1022" s="530" t="n"/>
      <c r="I1022" s="906" t="inlineStr">
        <is>
          <t>тыс.т.</t>
        </is>
      </c>
    </row>
    <row r="1023" ht="20.1" customHeight="1" s="769">
      <c r="C1023" s="448" t="inlineStr">
        <is>
          <t>ООО "Газпром добыча Иркутск"</t>
        </is>
      </c>
      <c r="D1023" s="528" t="n"/>
      <c r="E1023" s="528" t="n"/>
      <c r="F1023" s="529" t="n"/>
      <c r="G1023" s="530" t="inlineStr">
        <is>
          <t>17_100335983</t>
        </is>
      </c>
      <c r="H1023" s="530" t="n"/>
      <c r="I1023" s="906" t="inlineStr">
        <is>
          <t>тыс.т.</t>
        </is>
      </c>
    </row>
    <row r="1024" ht="20.1" customHeight="1" s="769">
      <c r="C1024" s="448" t="inlineStr">
        <is>
          <t xml:space="preserve">ПАО "НОВАТЭК" </t>
        </is>
      </c>
      <c r="D1024" s="528" t="n"/>
      <c r="E1024" s="528" t="n"/>
      <c r="F1024" s="529" t="n"/>
      <c r="G1024" s="530" t="inlineStr">
        <is>
          <t>17_100335984</t>
        </is>
      </c>
      <c r="H1024" s="530" t="n"/>
      <c r="I1024" s="825" t="inlineStr">
        <is>
          <t>тыс.т.</t>
        </is>
      </c>
    </row>
    <row r="1025" ht="20.1" customHeight="1" s="769">
      <c r="C1025" s="448" t="inlineStr">
        <is>
          <t>Прочие поставщики</t>
        </is>
      </c>
      <c r="D1025" s="528" t="n"/>
      <c r="E1025" s="528" t="n"/>
      <c r="F1025" s="529" t="n"/>
      <c r="G1025" s="530" t="inlineStr">
        <is>
          <t>17_100335985</t>
        </is>
      </c>
      <c r="H1025" s="530" t="n"/>
      <c r="I1025" s="825" t="inlineStr">
        <is>
          <t>тыс.т.</t>
        </is>
      </c>
    </row>
    <row r="1026" ht="20.1" customHeight="1" s="769">
      <c r="B1026" s="747" t="inlineStr">
        <is>
          <t>1.2</t>
        </is>
      </c>
      <c r="C1026" s="448" t="inlineStr">
        <is>
          <t>Нефть</t>
        </is>
      </c>
      <c r="D1026" s="528" t="n"/>
      <c r="E1026" s="528" t="n"/>
      <c r="F1026" s="529" t="n"/>
      <c r="G1026" s="530" t="inlineStr">
        <is>
          <t>17_100335986</t>
        </is>
      </c>
      <c r="H1026" s="530" t="n"/>
      <c r="I1026" s="825" t="inlineStr">
        <is>
          <t>тыс.т.</t>
        </is>
      </c>
    </row>
    <row r="1027" ht="20.1" customHeight="1" s="769">
      <c r="C1027" s="448" t="inlineStr">
        <is>
          <t>ПАО "Газпром" (Оренбургский ГПЗ)</t>
        </is>
      </c>
      <c r="D1027" s="528" t="n"/>
      <c r="E1027" s="528" t="n"/>
      <c r="F1027" s="529" t="n"/>
      <c r="G1027" s="530" t="inlineStr">
        <is>
          <t>17_100335987</t>
        </is>
      </c>
      <c r="H1027" s="530" t="n"/>
      <c r="I1027" s="906" t="inlineStr">
        <is>
          <t>тыс.т.</t>
        </is>
      </c>
    </row>
    <row r="1028" ht="20.1" customHeight="1" s="769">
      <c r="C1028" s="448" t="inlineStr">
        <is>
          <t>ООО "Сервиснефтегаз" (Оренбургский ГПЗ)</t>
        </is>
      </c>
      <c r="D1028" s="528" t="n"/>
      <c r="E1028" s="528" t="n"/>
      <c r="F1028" s="529" t="n"/>
      <c r="G1028" s="530" t="inlineStr">
        <is>
          <t>17_100335989</t>
        </is>
      </c>
      <c r="H1028" s="530" t="n"/>
      <c r="I1028" s="906" t="inlineStr">
        <is>
          <t>тыс.т.</t>
        </is>
      </c>
    </row>
    <row r="1029" ht="20.1" customHeight="1" s="769">
      <c r="C1029" s="448" t="inlineStr">
        <is>
          <t>ТОО "КазРосГаз" (Оренбургский ГПЗ)</t>
        </is>
      </c>
      <c r="D1029" s="528" t="n"/>
      <c r="E1029" s="528" t="n"/>
      <c r="F1029" s="529" t="n"/>
      <c r="G1029" s="530" t="inlineStr">
        <is>
          <t>17_100335990</t>
        </is>
      </c>
      <c r="H1029" s="530" t="n"/>
      <c r="I1029" s="906" t="inlineStr">
        <is>
          <t>тыс.т.</t>
        </is>
      </c>
    </row>
    <row r="1030" ht="20.1" customHeight="1" s="769">
      <c r="C1030" s="448" t="inlineStr">
        <is>
          <t>ООО "ГПН-Трейд Оренбург" (Оренбургский ГПЗ)</t>
        </is>
      </c>
      <c r="D1030" s="528" t="n"/>
      <c r="E1030" s="528" t="n"/>
      <c r="F1030" s="529" t="n"/>
      <c r="G1030" s="530" t="inlineStr">
        <is>
          <t>17_100336105</t>
        </is>
      </c>
      <c r="H1030" s="530" t="n"/>
      <c r="I1030" s="906" t="inlineStr">
        <is>
          <t>тыс.т.</t>
        </is>
      </c>
    </row>
    <row r="1031" ht="20.1" customHeight="1" s="769">
      <c r="C1031" s="448" t="inlineStr">
        <is>
          <t>ООО "Газпром нефть Оренбург" Царичанская нефть</t>
        </is>
      </c>
      <c r="D1031" s="528" t="n"/>
      <c r="E1031" s="528" t="n"/>
      <c r="F1031" s="529" t="n"/>
      <c r="G1031" s="530" t="inlineStr">
        <is>
          <t>17_100335991</t>
        </is>
      </c>
      <c r="H1031" s="530" t="n"/>
      <c r="I1031" s="906" t="inlineStr">
        <is>
          <t>тыс.т.</t>
        </is>
      </c>
    </row>
    <row r="1032" ht="20.1" customHeight="1" s="769">
      <c r="C1032" s="448" t="inlineStr">
        <is>
          <t>ПАО "Газпром нефть и пр. Западно-Сибирская нефть</t>
        </is>
      </c>
      <c r="D1032" s="528" t="n"/>
      <c r="E1032" s="528" t="n"/>
      <c r="F1032" s="529" t="n"/>
      <c r="G1032" s="530" t="inlineStr">
        <is>
          <t>17_100335992</t>
        </is>
      </c>
      <c r="H1032" s="530" t="n"/>
      <c r="I1032" s="906" t="inlineStr">
        <is>
          <t>тыс.т.</t>
        </is>
      </c>
    </row>
    <row r="1033" ht="20.1" customHeight="1" s="769">
      <c r="C1033" s="448" t="inlineStr">
        <is>
          <t>Прочие поставщики</t>
        </is>
      </c>
      <c r="D1033" s="528" t="n"/>
      <c r="E1033" s="528" t="n"/>
      <c r="F1033" s="529" t="n"/>
      <c r="G1033" s="530" t="inlineStr">
        <is>
          <t>17_100335993</t>
        </is>
      </c>
      <c r="H1033" s="530" t="n"/>
      <c r="I1033" s="906" t="inlineStr">
        <is>
          <t>тыс.т.</t>
        </is>
      </c>
    </row>
    <row r="1034" ht="20.1" customHeight="1" s="769">
      <c r="B1034" s="747" t="inlineStr">
        <is>
          <t>1.3</t>
        </is>
      </c>
      <c r="C1034" s="448" t="inlineStr">
        <is>
          <t>Мазут</t>
        </is>
      </c>
      <c r="D1034" s="528" t="n"/>
      <c r="E1034" s="528" t="n"/>
      <c r="F1034" s="529" t="n"/>
      <c r="G1034" s="530" t="inlineStr">
        <is>
          <t>17_100335994</t>
        </is>
      </c>
      <c r="H1034" s="530" t="n"/>
      <c r="I1034" s="825" t="inlineStr">
        <is>
          <t>тыс.т.</t>
        </is>
      </c>
    </row>
    <row r="1035" ht="20.1" customHeight="1" s="769">
      <c r="C1035" s="449" t="inlineStr">
        <is>
          <t>ПАО "Газпром" (Астраханский ГПЗ)</t>
        </is>
      </c>
      <c r="D1035" s="528" t="n"/>
      <c r="E1035" s="528" t="n"/>
      <c r="F1035" s="529" t="n"/>
      <c r="G1035" s="530" t="inlineStr">
        <is>
          <t>17_100335995</t>
        </is>
      </c>
      <c r="H1035" s="530" t="n"/>
      <c r="I1035" s="906" t="inlineStr">
        <is>
          <t>тыс.т.</t>
        </is>
      </c>
    </row>
    <row r="1036" ht="20.1" customHeight="1" s="769">
      <c r="B1036" s="747" t="inlineStr">
        <is>
          <t>1.4</t>
        </is>
      </c>
      <c r="C1036" s="758" t="inlineStr">
        <is>
          <t>Прочее углеводородное сырье (вакуумный газойль)</t>
        </is>
      </c>
      <c r="D1036" s="528" t="n"/>
      <c r="E1036" s="528" t="n"/>
      <c r="F1036" s="529" t="n"/>
      <c r="G1036" s="530" t="inlineStr">
        <is>
          <t>17_100335997</t>
        </is>
      </c>
      <c r="H1036" s="530" t="n"/>
      <c r="I1036" s="825" t="inlineStr">
        <is>
          <t>тыс.т.</t>
        </is>
      </c>
    </row>
    <row r="1037" ht="31.5" customHeight="1" s="769">
      <c r="B1037" s="747" t="inlineStr">
        <is>
          <t>2.</t>
        </is>
      </c>
      <c r="C1037" s="757" t="inlineStr">
        <is>
          <t>ПЕРЕРАБОТКА СЫРЬЯ 
ООО "ГАЗПРОМ НЕФТЕХИМ САЛАВАТ":</t>
        </is>
      </c>
      <c r="D1037" s="528" t="n"/>
      <c r="E1037" s="528" t="n"/>
      <c r="F1037" s="529" t="n"/>
      <c r="G1037" s="530" t="inlineStr">
        <is>
          <t>17_100330802</t>
        </is>
      </c>
      <c r="H1037" s="530" t="n"/>
      <c r="I1037" s="825" t="inlineStr">
        <is>
          <t>тыс.т.</t>
        </is>
      </c>
    </row>
    <row r="1038" ht="20.1" customHeight="1" s="769">
      <c r="B1038" s="747" t="inlineStr">
        <is>
          <t>2.1</t>
        </is>
      </c>
      <c r="C1038" s="448" t="inlineStr">
        <is>
          <t>Конденсат газовый стабильный</t>
        </is>
      </c>
      <c r="D1038" s="528" t="n"/>
      <c r="E1038" s="528" t="n"/>
      <c r="F1038" s="529" t="n"/>
      <c r="G1038" s="530" t="inlineStr">
        <is>
          <t>17_100330804</t>
        </is>
      </c>
      <c r="H1038" s="530" t="n"/>
      <c r="I1038" s="825" t="inlineStr">
        <is>
          <t>тыс.т.</t>
        </is>
      </c>
    </row>
    <row r="1039" ht="20.1" customHeight="1" s="769">
      <c r="C1039" s="448" t="inlineStr">
        <is>
          <t>ПАО "Газпром":</t>
        </is>
      </c>
      <c r="D1039" s="528" t="n"/>
      <c r="E1039" s="528" t="n"/>
      <c r="F1039" s="529" t="n"/>
      <c r="G1039" s="530" t="inlineStr">
        <is>
          <t>17_100335998</t>
        </is>
      </c>
      <c r="H1039" s="530" t="n"/>
      <c r="I1039" s="906" t="inlineStr">
        <is>
          <t>тыс.т.</t>
        </is>
      </c>
    </row>
    <row r="1040" ht="20.1" customHeight="1" s="769">
      <c r="C1040" s="449" t="inlineStr">
        <is>
          <t xml:space="preserve"> Астраханский ГПЗ</t>
        </is>
      </c>
      <c r="D1040" s="528" t="n"/>
      <c r="E1040" s="528" t="n"/>
      <c r="F1040" s="529" t="n"/>
      <c r="G1040" s="530" t="inlineStr">
        <is>
          <t>17_100335999</t>
        </is>
      </c>
      <c r="H1040" s="530" t="n"/>
      <c r="I1040" s="906" t="inlineStr">
        <is>
          <t>тыс.т.</t>
        </is>
      </c>
    </row>
    <row r="1041" ht="20.1" customHeight="1" s="769">
      <c r="C1041" s="449" t="inlineStr">
        <is>
          <t xml:space="preserve"> Сургутский ЗСК</t>
        </is>
      </c>
      <c r="D1041" s="528" t="n"/>
      <c r="E1041" s="528" t="n"/>
      <c r="F1041" s="529" t="n"/>
      <c r="G1041" s="530" t="inlineStr">
        <is>
          <t>17_100336000</t>
        </is>
      </c>
      <c r="H1041" s="530" t="n"/>
      <c r="I1041" s="906" t="inlineStr">
        <is>
          <t>тыс.т.</t>
        </is>
      </c>
    </row>
    <row r="1042" ht="20.1" customHeight="1" s="769">
      <c r="C1042" s="449" t="inlineStr">
        <is>
          <t xml:space="preserve"> Сосногорский ГПЗ</t>
        </is>
      </c>
      <c r="D1042" s="528" t="n"/>
      <c r="E1042" s="528" t="n"/>
      <c r="F1042" s="529" t="n"/>
      <c r="G1042" s="530" t="inlineStr">
        <is>
          <t>17_100336001</t>
        </is>
      </c>
      <c r="H1042" s="530" t="n"/>
      <c r="I1042" s="906" t="inlineStr">
        <is>
          <t>тыс.т.</t>
        </is>
      </c>
    </row>
    <row r="1043" ht="20.1" customHeight="1" s="769">
      <c r="C1043" s="448" t="inlineStr">
        <is>
          <t>ООО "Газпром добыча Иркутск"</t>
        </is>
      </c>
      <c r="D1043" s="528" t="n"/>
      <c r="E1043" s="528" t="n"/>
      <c r="F1043" s="529" t="n"/>
      <c r="G1043" s="530" t="inlineStr">
        <is>
          <t>17_100336002</t>
        </is>
      </c>
      <c r="H1043" s="530" t="n"/>
      <c r="I1043" s="906" t="inlineStr">
        <is>
          <t>тыс.т.</t>
        </is>
      </c>
    </row>
    <row r="1044" ht="20.1" customHeight="1" s="769">
      <c r="C1044" s="448" t="inlineStr">
        <is>
          <t xml:space="preserve">ПАО "НОВАТЭК" </t>
        </is>
      </c>
      <c r="D1044" s="528" t="n"/>
      <c r="E1044" s="528" t="n"/>
      <c r="F1044" s="529" t="n"/>
      <c r="G1044" s="530" t="inlineStr">
        <is>
          <t>17_100336003</t>
        </is>
      </c>
      <c r="H1044" s="530" t="n"/>
      <c r="I1044" s="906" t="inlineStr">
        <is>
          <t>тыс.т.</t>
        </is>
      </c>
    </row>
    <row r="1045" ht="20.1" customHeight="1" s="769">
      <c r="C1045" s="448" t="inlineStr">
        <is>
          <t>Прочие поставщики</t>
        </is>
      </c>
      <c r="D1045" s="528" t="n"/>
      <c r="E1045" s="528" t="n"/>
      <c r="F1045" s="529" t="n"/>
      <c r="G1045" s="530" t="inlineStr">
        <is>
          <t>17_100336004</t>
        </is>
      </c>
      <c r="H1045" s="530" t="n"/>
      <c r="I1045" s="906" t="inlineStr">
        <is>
          <t>тыс.т.</t>
        </is>
      </c>
    </row>
    <row r="1046" ht="20.1" customHeight="1" s="769">
      <c r="B1046" s="747" t="inlineStr">
        <is>
          <t>2.2</t>
        </is>
      </c>
      <c r="C1046" s="448" t="inlineStr">
        <is>
          <t>Нефть</t>
        </is>
      </c>
      <c r="D1046" s="528" t="n"/>
      <c r="E1046" s="528" t="n"/>
      <c r="F1046" s="529" t="n"/>
      <c r="G1046" s="530" t="inlineStr">
        <is>
          <t>17_100330803</t>
        </is>
      </c>
      <c r="H1046" s="530" t="n"/>
      <c r="I1046" s="825" t="inlineStr">
        <is>
          <t>тыс.т.</t>
        </is>
      </c>
    </row>
    <row r="1047" ht="20.1" customHeight="1" s="769">
      <c r="C1047" s="448" t="inlineStr">
        <is>
          <t>ПАО "Газпром" (Оренбургский ГПЗ)</t>
        </is>
      </c>
      <c r="D1047" s="528" t="n"/>
      <c r="E1047" s="528" t="n"/>
      <c r="F1047" s="529" t="n"/>
      <c r="G1047" s="530" t="inlineStr">
        <is>
          <t>17_100336005</t>
        </is>
      </c>
      <c r="H1047" s="530" t="n"/>
      <c r="I1047" s="906" t="inlineStr">
        <is>
          <t>тыс.т.</t>
        </is>
      </c>
    </row>
    <row r="1048" ht="20.1" customHeight="1" s="769">
      <c r="C1048" s="448" t="inlineStr">
        <is>
          <t>ООО "Сервиснефтегаз" (Оренбургский ГПЗ)</t>
        </is>
      </c>
      <c r="D1048" s="528" t="n"/>
      <c r="E1048" s="528" t="n"/>
      <c r="F1048" s="529" t="n"/>
      <c r="G1048" s="530" t="inlineStr">
        <is>
          <t>17_100336007</t>
        </is>
      </c>
      <c r="H1048" s="530" t="n"/>
      <c r="I1048" s="906" t="inlineStr">
        <is>
          <t>тыс.т.</t>
        </is>
      </c>
    </row>
    <row r="1049" ht="20.1" customHeight="1" s="769">
      <c r="C1049" s="448" t="inlineStr">
        <is>
          <t>ТОО "КазРосГаз" (Оренбургский ГПЗ)</t>
        </is>
      </c>
      <c r="D1049" s="528" t="n"/>
      <c r="E1049" s="528" t="n"/>
      <c r="F1049" s="529" t="n"/>
      <c r="G1049" s="530" t="inlineStr">
        <is>
          <t>17_100336008</t>
        </is>
      </c>
      <c r="H1049" s="530" t="n"/>
      <c r="I1049" s="906" t="inlineStr">
        <is>
          <t>тыс.т.</t>
        </is>
      </c>
    </row>
    <row r="1050" ht="20.1" customHeight="1" s="769">
      <c r="C1050" s="448" t="inlineStr">
        <is>
          <t>ООО "ГПН-Трейд Оренбург" (Оренбургский ГПЗ)</t>
        </is>
      </c>
      <c r="D1050" s="528" t="n"/>
      <c r="E1050" s="528" t="n"/>
      <c r="F1050" s="529" t="n"/>
      <c r="G1050" s="530" t="inlineStr">
        <is>
          <t>17_100336106</t>
        </is>
      </c>
      <c r="H1050" s="530" t="n"/>
      <c r="I1050" s="906" t="inlineStr">
        <is>
          <t>тыс.т.</t>
        </is>
      </c>
    </row>
    <row r="1051" ht="20.1" customHeight="1" s="769">
      <c r="C1051" s="448" t="inlineStr">
        <is>
          <t>ООО "Газпром нефть Оренбург" Царичанская нефть</t>
        </is>
      </c>
      <c r="D1051" s="528" t="n"/>
      <c r="E1051" s="528" t="n"/>
      <c r="F1051" s="529" t="n"/>
      <c r="G1051" s="530" t="inlineStr">
        <is>
          <t>17_100336009</t>
        </is>
      </c>
      <c r="H1051" s="530" t="n"/>
      <c r="I1051" s="906" t="inlineStr">
        <is>
          <t>тыс.т.</t>
        </is>
      </c>
    </row>
    <row r="1052" ht="20.1" customHeight="1" s="769">
      <c r="C1052" s="448" t="inlineStr">
        <is>
          <t>ПАО "Газпром нефть и пр. Западно-Сибирская нефть</t>
        </is>
      </c>
      <c r="D1052" s="528" t="n"/>
      <c r="E1052" s="528" t="n"/>
      <c r="F1052" s="529" t="n"/>
      <c r="G1052" s="530" t="inlineStr">
        <is>
          <t>17_100336010</t>
        </is>
      </c>
      <c r="H1052" s="530" t="n"/>
      <c r="I1052" s="906" t="inlineStr">
        <is>
          <t>тыс.т.</t>
        </is>
      </c>
    </row>
    <row r="1053" ht="20.1" customHeight="1" s="769">
      <c r="B1053" s="747" t="inlineStr">
        <is>
          <t>2.3</t>
        </is>
      </c>
      <c r="C1053" s="448" t="inlineStr">
        <is>
          <t>Прочие поставщики</t>
        </is>
      </c>
      <c r="D1053" s="528" t="n"/>
      <c r="E1053" s="528" t="n"/>
      <c r="F1053" s="529" t="n"/>
      <c r="G1053" s="530" t="inlineStr">
        <is>
          <t>17_100336011</t>
        </is>
      </c>
      <c r="H1053" s="530" t="n"/>
      <c r="I1053" s="906" t="inlineStr">
        <is>
          <t>тыс.т.</t>
        </is>
      </c>
    </row>
    <row r="1054" ht="20.1" customHeight="1" s="769">
      <c r="B1054" s="747" t="inlineStr">
        <is>
          <t>2.4</t>
        </is>
      </c>
      <c r="C1054" s="448" t="inlineStr">
        <is>
          <t>Мазут</t>
        </is>
      </c>
      <c r="D1054" s="528" t="n"/>
      <c r="E1054" s="528" t="n"/>
      <c r="F1054" s="529" t="n"/>
      <c r="G1054" s="530" t="inlineStr">
        <is>
          <t>17_100330807</t>
        </is>
      </c>
      <c r="H1054" s="530" t="n"/>
      <c r="I1054" s="825" t="inlineStr">
        <is>
          <t>тыс.т.</t>
        </is>
      </c>
    </row>
    <row r="1055" ht="20.1" customHeight="1" s="769">
      <c r="C1055" s="450" t="inlineStr">
        <is>
          <t>ПАО "Газпром" (Астраханский ГПЗ)</t>
        </is>
      </c>
      <c r="D1055" s="528" t="n"/>
      <c r="E1055" s="528" t="n"/>
      <c r="F1055" s="529" t="n"/>
      <c r="G1055" s="530" t="inlineStr">
        <is>
          <t>17_100336012</t>
        </is>
      </c>
      <c r="H1055" s="530" t="n"/>
      <c r="I1055" s="906" t="inlineStr">
        <is>
          <t>тыс.т.</t>
        </is>
      </c>
    </row>
    <row r="1056" ht="20.1" customHeight="1" s="769">
      <c r="C1056" s="450" t="inlineStr">
        <is>
          <t>Астраханский ГПЗ</t>
        </is>
      </c>
      <c r="D1056" s="528" t="n"/>
      <c r="E1056" s="528" t="n"/>
      <c r="F1056" s="529" t="n"/>
      <c r="G1056" s="530" t="inlineStr">
        <is>
          <t>17_100336013</t>
        </is>
      </c>
      <c r="H1056" s="530" t="n"/>
      <c r="I1056" s="906" t="inlineStr">
        <is>
          <t>тыс.т.</t>
        </is>
      </c>
    </row>
    <row r="1057" ht="20.1" customHeight="1" s="769">
      <c r="B1057" s="747" t="inlineStr">
        <is>
          <t>2.5</t>
        </is>
      </c>
      <c r="C1057" s="758" t="inlineStr">
        <is>
          <t>Прочее углеводородное сырье (вакуумный газойль)</t>
        </is>
      </c>
      <c r="D1057" s="528" t="n"/>
      <c r="E1057" s="528" t="n"/>
      <c r="F1057" s="529" t="n"/>
      <c r="G1057" s="530" t="inlineStr">
        <is>
          <t>17_100336014</t>
        </is>
      </c>
      <c r="H1057" s="530" t="n"/>
      <c r="I1057" s="825" t="inlineStr">
        <is>
          <t>тыс.т.</t>
        </is>
      </c>
    </row>
    <row r="1058" ht="20.1" customHeight="1" s="769">
      <c r="B1058" s="747" t="inlineStr">
        <is>
          <t>2.6</t>
        </is>
      </c>
      <c r="C1058" s="767" t="inlineStr">
        <is>
          <t xml:space="preserve">Продукция (сырье) с завода "Мономер" </t>
        </is>
      </c>
      <c r="D1058" s="528" t="n"/>
      <c r="E1058" s="528" t="n"/>
      <c r="F1058" s="529" t="n"/>
      <c r="G1058" s="530" t="inlineStr">
        <is>
          <t>17_100336015</t>
        </is>
      </c>
      <c r="H1058" s="530" t="n"/>
      <c r="I1058" s="825" t="inlineStr">
        <is>
          <t>тыс.т.</t>
        </is>
      </c>
    </row>
    <row r="1059" ht="20.1" customHeight="1" s="769">
      <c r="B1059" s="747" t="inlineStr">
        <is>
          <t>2.7</t>
        </is>
      </c>
      <c r="C1059" s="758" t="inlineStr">
        <is>
          <t>Присадки (добавки)</t>
        </is>
      </c>
      <c r="D1059" s="528" t="n"/>
      <c r="E1059" s="528" t="n"/>
      <c r="F1059" s="529" t="n"/>
      <c r="G1059" s="530" t="inlineStr">
        <is>
          <t>17_100336016</t>
        </is>
      </c>
      <c r="H1059" s="530" t="n"/>
      <c r="I1059" s="825" t="inlineStr">
        <is>
          <t>тыс.т.</t>
        </is>
      </c>
    </row>
    <row r="1060" ht="20.1" customHeight="1" s="769">
      <c r="C1060" s="451" t="inlineStr">
        <is>
          <t xml:space="preserve"> в т.ч. МТБЭ</t>
        </is>
      </c>
      <c r="D1060" s="528" t="n"/>
      <c r="E1060" s="528" t="n"/>
      <c r="F1060" s="529" t="n"/>
      <c r="G1060" s="530" t="inlineStr">
        <is>
          <t>17_100330805</t>
        </is>
      </c>
      <c r="H1060" s="530" t="n"/>
      <c r="I1060" s="906" t="inlineStr">
        <is>
          <t>тыс.т.</t>
        </is>
      </c>
    </row>
    <row r="1061" ht="20.1" customHeight="1" s="769">
      <c r="B1061" s="747" t="inlineStr">
        <is>
          <t>2.8</t>
        </is>
      </c>
      <c r="C1061" s="758" t="inlineStr">
        <is>
          <t>Прочее сырье (ХОВ, природный газ)</t>
        </is>
      </c>
      <c r="D1061" s="528" t="n"/>
      <c r="E1061" s="528" t="n"/>
      <c r="F1061" s="529" t="n"/>
      <c r="G1061" s="530" t="inlineStr">
        <is>
          <t>17_100336017</t>
        </is>
      </c>
      <c r="H1061" s="530" t="n"/>
      <c r="I1061" s="825" t="inlineStr">
        <is>
          <t>тыс.т.</t>
        </is>
      </c>
    </row>
    <row r="1062" ht="20.1" customHeight="1" s="769">
      <c r="B1062" s="747" t="inlineStr">
        <is>
          <t>2.9</t>
        </is>
      </c>
      <c r="C1062" s="448" t="inlineStr">
        <is>
          <t>Продукция (сырье) со склада</t>
        </is>
      </c>
      <c r="D1062" s="528" t="n"/>
      <c r="E1062" s="528" t="n"/>
      <c r="F1062" s="529" t="n"/>
      <c r="G1062" s="530" t="inlineStr">
        <is>
          <t>17_100336018</t>
        </is>
      </c>
      <c r="H1062" s="530" t="n"/>
      <c r="I1062" s="825" t="inlineStr">
        <is>
          <t>тыс.т.</t>
        </is>
      </c>
    </row>
    <row r="1063" ht="20.1" customHeight="1" s="769">
      <c r="B1063" s="747" t="inlineStr">
        <is>
          <t>3.</t>
        </is>
      </c>
      <c r="C1063" s="757" t="inlineStr">
        <is>
          <t xml:space="preserve">ПРОДУКЦИЯ </t>
        </is>
      </c>
      <c r="D1063" s="528" t="n"/>
      <c r="E1063" s="528" t="n"/>
      <c r="F1063" s="529" t="n"/>
      <c r="G1063" s="530" t="n"/>
      <c r="H1063" s="530" t="n"/>
      <c r="I1063" s="825" t="n"/>
    </row>
    <row r="1064" ht="20.1" customHeight="1" s="769">
      <c r="B1064" s="747" t="inlineStr">
        <is>
          <t>3.1</t>
        </is>
      </c>
      <c r="C1064" s="757" t="inlineStr">
        <is>
          <t>Бензин автомобильный (товарный)</t>
        </is>
      </c>
      <c r="D1064" s="528" t="n"/>
      <c r="E1064" s="528" t="n"/>
      <c r="F1064" s="529" t="n"/>
      <c r="G1064" s="530" t="inlineStr">
        <is>
          <t>17_100330107</t>
        </is>
      </c>
      <c r="H1064" s="530" t="n"/>
      <c r="I1064" s="825" t="inlineStr">
        <is>
          <t>тыс.т.</t>
        </is>
      </c>
    </row>
    <row r="1065" ht="20.1" customHeight="1" s="769">
      <c r="C1065" s="452" t="inlineStr">
        <is>
          <t>Бензин с ОЧ 92 (К5)</t>
        </is>
      </c>
      <c r="D1065" s="528" t="n"/>
      <c r="E1065" s="528" t="n"/>
      <c r="F1065" s="529" t="n"/>
      <c r="G1065" s="530" t="inlineStr">
        <is>
          <t>17_100331906</t>
        </is>
      </c>
      <c r="H1065" s="530" t="n"/>
      <c r="I1065" s="906" t="inlineStr">
        <is>
          <t>тыс.т.</t>
        </is>
      </c>
    </row>
    <row r="1066" ht="20.1" customHeight="1" s="769">
      <c r="C1066" s="452" t="inlineStr">
        <is>
          <t>Бензин с ОЧ 95 (К5)</t>
        </is>
      </c>
      <c r="D1066" s="528" t="n"/>
      <c r="E1066" s="528" t="n"/>
      <c r="F1066" s="529" t="n"/>
      <c r="G1066" s="530" t="inlineStr">
        <is>
          <t>17_100331907</t>
        </is>
      </c>
      <c r="H1066" s="530" t="n"/>
      <c r="I1066" s="906" t="inlineStr">
        <is>
          <t>тыс.т.</t>
        </is>
      </c>
    </row>
    <row r="1067" ht="20.1" customHeight="1" s="769">
      <c r="B1067" s="747" t="inlineStr">
        <is>
          <t>3.2</t>
        </is>
      </c>
      <c r="C1067" s="757" t="inlineStr">
        <is>
          <t>Бензин на завод "Мономер"</t>
        </is>
      </c>
      <c r="D1067" s="528" t="n"/>
      <c r="E1067" s="528" t="n"/>
      <c r="F1067" s="529" t="n"/>
      <c r="G1067" s="530" t="inlineStr">
        <is>
          <t>17_100336019</t>
        </is>
      </c>
      <c r="H1067" s="530" t="n"/>
      <c r="I1067" s="825" t="inlineStr">
        <is>
          <t>тыс.т.</t>
        </is>
      </c>
    </row>
    <row r="1068" ht="20.1" customHeight="1" s="769">
      <c r="B1068" s="747" t="inlineStr">
        <is>
          <t>3.3</t>
        </is>
      </c>
      <c r="C1068" s="757" t="inlineStr">
        <is>
          <t>Дистиллят газового конденсата легкий (товарный)</t>
        </is>
      </c>
      <c r="D1068" s="528" t="n"/>
      <c r="E1068" s="528" t="n"/>
      <c r="F1068" s="529" t="n"/>
      <c r="G1068" s="530" t="inlineStr">
        <is>
          <t>17_100330815</t>
        </is>
      </c>
      <c r="H1068" s="530" t="n"/>
      <c r="I1068" s="825" t="inlineStr">
        <is>
          <t>тыс.т.</t>
        </is>
      </c>
    </row>
    <row r="1069" ht="20.1" customHeight="1" s="769">
      <c r="C1069" s="452" t="inlineStr">
        <is>
          <t>ДГКл марки А</t>
        </is>
      </c>
      <c r="D1069" s="528" t="n"/>
      <c r="E1069" s="528" t="n"/>
      <c r="F1069" s="529" t="n"/>
      <c r="G1069" s="530" t="inlineStr">
        <is>
          <t>17_100336020</t>
        </is>
      </c>
      <c r="H1069" s="530" t="n"/>
      <c r="I1069" s="906" t="inlineStr">
        <is>
          <t>тыс.т.</t>
        </is>
      </c>
    </row>
    <row r="1070" ht="20.1" customHeight="1" s="769">
      <c r="C1070" s="452" t="inlineStr">
        <is>
          <t>ДГКл марки Б</t>
        </is>
      </c>
      <c r="D1070" s="528" t="n"/>
      <c r="E1070" s="528" t="n"/>
      <c r="F1070" s="529" t="n"/>
      <c r="G1070" s="530" t="inlineStr">
        <is>
          <t>17_100336021</t>
        </is>
      </c>
      <c r="H1070" s="530" t="n"/>
      <c r="I1070" s="906" t="inlineStr">
        <is>
          <t>тыс.т.</t>
        </is>
      </c>
    </row>
    <row r="1071" ht="20.1" customHeight="1" s="769">
      <c r="B1071" s="747" t="inlineStr">
        <is>
          <t>3.4</t>
        </is>
      </c>
      <c r="C1071" s="757" t="inlineStr">
        <is>
          <t xml:space="preserve">Бензин технический (товарный) </t>
        </is>
      </c>
      <c r="D1071" s="528" t="n"/>
      <c r="E1071" s="528" t="n"/>
      <c r="F1071" s="529" t="n"/>
      <c r="G1071" s="530" t="inlineStr">
        <is>
          <t>17_100335765</t>
        </is>
      </c>
      <c r="H1071" s="530" t="n"/>
      <c r="I1071" s="825" t="inlineStr">
        <is>
          <t>тыс.т.</t>
        </is>
      </c>
    </row>
    <row r="1072" ht="20.1" customHeight="1" s="769">
      <c r="B1072" s="747" t="inlineStr">
        <is>
          <t>3.5</t>
        </is>
      </c>
      <c r="C1072" s="757" t="inlineStr">
        <is>
          <t>ШФЛУ</t>
        </is>
      </c>
      <c r="D1072" s="528" t="n"/>
      <c r="E1072" s="528" t="n"/>
      <c r="F1072" s="529" t="n"/>
      <c r="G1072" s="530" t="inlineStr">
        <is>
          <t>17_100330817</t>
        </is>
      </c>
      <c r="H1072" s="530" t="n"/>
      <c r="I1072" s="825" t="inlineStr">
        <is>
          <t>тыс.т.</t>
        </is>
      </c>
    </row>
    <row r="1073" ht="20.1" customHeight="1" s="769">
      <c r="C1073" s="452" t="inlineStr">
        <is>
          <t>в т.ч. товарная</t>
        </is>
      </c>
      <c r="D1073" s="528" t="n"/>
      <c r="E1073" s="528" t="n"/>
      <c r="F1073" s="529" t="n"/>
      <c r="G1073" s="530" t="inlineStr">
        <is>
          <t>17_100336022</t>
        </is>
      </c>
      <c r="H1073" s="530" t="n"/>
      <c r="I1073" s="906" t="inlineStr">
        <is>
          <t>тыс.т.</t>
        </is>
      </c>
    </row>
    <row r="1074" ht="20.1" customHeight="1" s="769">
      <c r="C1074" s="452" t="inlineStr">
        <is>
          <t>На завод "Мономер"</t>
        </is>
      </c>
      <c r="D1074" s="528" t="n"/>
      <c r="E1074" s="528" t="n"/>
      <c r="F1074" s="529" t="n"/>
      <c r="G1074" s="530" t="inlineStr">
        <is>
          <t>17_100336023</t>
        </is>
      </c>
      <c r="H1074" s="530" t="n"/>
      <c r="I1074" s="906" t="inlineStr">
        <is>
          <t>тыс.т.</t>
        </is>
      </c>
    </row>
    <row r="1075" ht="20.1" customHeight="1" s="769">
      <c r="B1075" s="747" t="inlineStr">
        <is>
          <t>3.6</t>
        </is>
      </c>
      <c r="C1075" s="757" t="inlineStr">
        <is>
          <t>Фракция изопентановая (товарная)</t>
        </is>
      </c>
      <c r="D1075" s="528" t="n"/>
      <c r="E1075" s="528" t="n"/>
      <c r="F1075" s="529" t="n"/>
      <c r="G1075" s="530" t="inlineStr">
        <is>
          <t>17_100330944</t>
        </is>
      </c>
      <c r="H1075" s="530" t="n"/>
      <c r="I1075" s="825" t="inlineStr">
        <is>
          <t>тыс.т.</t>
        </is>
      </c>
    </row>
    <row r="1076" ht="20.1" customHeight="1" s="769">
      <c r="B1076" s="747" t="inlineStr">
        <is>
          <t>3.7</t>
        </is>
      </c>
      <c r="C1076" s="757" t="inlineStr">
        <is>
          <t>Дизельное топливо (товарное)</t>
        </is>
      </c>
      <c r="D1076" s="528" t="n"/>
      <c r="E1076" s="528" t="n"/>
      <c r="F1076" s="529" t="n"/>
      <c r="G1076" s="530" t="inlineStr">
        <is>
          <t>17_100330123</t>
        </is>
      </c>
      <c r="H1076" s="530" t="n"/>
      <c r="I1076" s="825" t="inlineStr">
        <is>
          <t>тыс.т.</t>
        </is>
      </c>
    </row>
    <row r="1077" ht="20.1" customHeight="1" s="769">
      <c r="C1077" s="452" t="inlineStr">
        <is>
          <t>ДТ летнее</t>
        </is>
      </c>
      <c r="D1077" s="528" t="n"/>
      <c r="E1077" s="528" t="n"/>
      <c r="F1077" s="529" t="n"/>
      <c r="G1077" s="530" t="inlineStr">
        <is>
          <t>17_100330812</t>
        </is>
      </c>
      <c r="H1077" s="530" t="n"/>
      <c r="I1077" s="906" t="inlineStr">
        <is>
          <t>тыс.т.</t>
        </is>
      </c>
    </row>
    <row r="1078" ht="20.1" customHeight="1" s="769">
      <c r="C1078" s="452" t="inlineStr">
        <is>
          <t>ДТ зимнее</t>
        </is>
      </c>
      <c r="D1078" s="528" t="n"/>
      <c r="E1078" s="528" t="n"/>
      <c r="F1078" s="529" t="n"/>
      <c r="G1078" s="530" t="inlineStr">
        <is>
          <t>17_100330813</t>
        </is>
      </c>
      <c r="H1078" s="530" t="n"/>
      <c r="I1078" s="906" t="inlineStr">
        <is>
          <t>тыс.т.</t>
        </is>
      </c>
    </row>
    <row r="1079" ht="20.1" customHeight="1" s="769">
      <c r="C1079" s="452" t="inlineStr">
        <is>
          <t>ДТ арктическое</t>
        </is>
      </c>
      <c r="D1079" s="528" t="n"/>
      <c r="E1079" s="528" t="n"/>
      <c r="F1079" s="529" t="n"/>
      <c r="G1079" s="530" t="inlineStr">
        <is>
          <t>17_100330814</t>
        </is>
      </c>
      <c r="H1079" s="530" t="n"/>
      <c r="I1079" s="906" t="inlineStr">
        <is>
          <t>тыс.т.</t>
        </is>
      </c>
    </row>
    <row r="1080" ht="20.1" customHeight="1" s="769">
      <c r="B1080" s="747" t="inlineStr">
        <is>
          <t>3.8</t>
        </is>
      </c>
      <c r="C1080" s="757" t="inlineStr">
        <is>
          <t>Газойль (товарный)</t>
        </is>
      </c>
      <c r="D1080" s="528" t="n"/>
      <c r="E1080" s="528" t="n"/>
      <c r="F1080" s="529" t="n"/>
      <c r="G1080" s="530" t="inlineStr">
        <is>
          <t>17_100335767</t>
        </is>
      </c>
      <c r="H1080" s="530" t="n"/>
      <c r="I1080" s="825" t="inlineStr">
        <is>
          <t>тыс.т.</t>
        </is>
      </c>
    </row>
    <row r="1081" ht="20.1" customHeight="1" s="769">
      <c r="C1081" s="452" t="inlineStr">
        <is>
          <t>в т.ч. товарная</t>
        </is>
      </c>
      <c r="D1081" s="528" t="n"/>
      <c r="E1081" s="528" t="n"/>
      <c r="F1081" s="529" t="n"/>
      <c r="G1081" s="530" t="inlineStr">
        <is>
          <t>17_100337107</t>
        </is>
      </c>
      <c r="H1081" s="530" t="n"/>
      <c r="I1081" s="906" t="inlineStr">
        <is>
          <t>тыс.т.</t>
        </is>
      </c>
    </row>
    <row r="1082" ht="20.1" customHeight="1" s="769">
      <c r="C1082" s="452" t="inlineStr">
        <is>
          <t>На завод "Мономер"</t>
        </is>
      </c>
      <c r="D1082" s="528" t="n"/>
      <c r="E1082" s="528" t="n"/>
      <c r="F1082" s="529" t="n"/>
      <c r="G1082" s="530" t="inlineStr">
        <is>
          <t>17_100337108</t>
        </is>
      </c>
      <c r="H1082" s="530" t="n"/>
      <c r="I1082" s="906" t="inlineStr">
        <is>
          <t>тыс.т.</t>
        </is>
      </c>
    </row>
    <row r="1083" ht="20.1" customHeight="1" s="769">
      <c r="B1083" s="747" t="inlineStr">
        <is>
          <t>3.9</t>
        </is>
      </c>
      <c r="C1083" s="757" t="inlineStr">
        <is>
          <t>Топливо нефтяное АВТ</t>
        </is>
      </c>
      <c r="D1083" s="528" t="n"/>
      <c r="E1083" s="528" t="n"/>
      <c r="F1083" s="529" t="n"/>
      <c r="G1083" s="530" t="inlineStr">
        <is>
          <t>17_100330819</t>
        </is>
      </c>
      <c r="H1083" s="530" t="n"/>
      <c r="I1083" s="825" t="inlineStr">
        <is>
          <t>тыс.т.</t>
        </is>
      </c>
    </row>
    <row r="1084" ht="20.1" customHeight="1" s="769">
      <c r="C1084" s="452" t="inlineStr">
        <is>
          <t>в т.ч. товарный</t>
        </is>
      </c>
      <c r="D1084" s="528" t="n"/>
      <c r="E1084" s="528" t="n"/>
      <c r="F1084" s="529" t="n"/>
      <c r="G1084" s="530" t="inlineStr">
        <is>
          <t>17_100336024</t>
        </is>
      </c>
      <c r="H1084" s="530" t="n"/>
      <c r="I1084" s="906" t="inlineStr">
        <is>
          <t>тыс.т.</t>
        </is>
      </c>
    </row>
    <row r="1085" ht="20.1" customHeight="1" s="769">
      <c r="C1085" s="452" t="inlineStr">
        <is>
          <t>На завод "Мономер"</t>
        </is>
      </c>
      <c r="D1085" s="528" t="n"/>
      <c r="E1085" s="528" t="n"/>
      <c r="F1085" s="529" t="n"/>
      <c r="G1085" s="530" t="inlineStr">
        <is>
          <t>17_100336025</t>
        </is>
      </c>
      <c r="H1085" s="530" t="n"/>
      <c r="I1085" s="906" t="inlineStr">
        <is>
          <t>тыс.т.</t>
        </is>
      </c>
    </row>
    <row r="1086" ht="20.1" customHeight="1" s="769">
      <c r="B1086" s="747" t="inlineStr">
        <is>
          <t>3.10</t>
        </is>
      </c>
      <c r="C1086" s="757" t="inlineStr">
        <is>
          <t>Мазут топочный (товарный)</t>
        </is>
      </c>
      <c r="D1086" s="528" t="n"/>
      <c r="E1086" s="528" t="n"/>
      <c r="F1086" s="529" t="n"/>
      <c r="G1086" s="530" t="inlineStr">
        <is>
          <t>17_100330822</t>
        </is>
      </c>
      <c r="H1086" s="530" t="n"/>
      <c r="I1086" s="825" t="inlineStr">
        <is>
          <t>тыс.т.</t>
        </is>
      </c>
    </row>
    <row r="1087" ht="20.1" customHeight="1" s="769">
      <c r="B1087" s="747" t="inlineStr">
        <is>
          <t>3.11</t>
        </is>
      </c>
      <c r="C1087" s="757" t="inlineStr">
        <is>
          <t>Сырье для битума/гудрон (товарный)</t>
        </is>
      </c>
      <c r="D1087" s="528" t="n"/>
      <c r="E1087" s="528" t="n"/>
      <c r="F1087" s="529" t="n"/>
      <c r="G1087" s="530" t="inlineStr">
        <is>
          <t>17_100330820</t>
        </is>
      </c>
      <c r="H1087" s="530" t="n"/>
      <c r="I1087" s="825" t="inlineStr">
        <is>
          <t>тыс.т.</t>
        </is>
      </c>
    </row>
    <row r="1088" ht="20.1" customHeight="1" s="769">
      <c r="B1088" s="747" t="inlineStr">
        <is>
          <t>3.12</t>
        </is>
      </c>
      <c r="C1088" s="757" t="inlineStr">
        <is>
          <t>Нефтебитум дорожный (товарный)</t>
        </is>
      </c>
      <c r="D1088" s="528" t="n"/>
      <c r="E1088" s="528" t="n"/>
      <c r="F1088" s="529" t="n"/>
      <c r="G1088" s="530" t="inlineStr">
        <is>
          <t>17_100330821</t>
        </is>
      </c>
      <c r="H1088" s="530" t="n"/>
      <c r="I1088" s="825" t="inlineStr">
        <is>
          <t>тыс.т.</t>
        </is>
      </c>
    </row>
    <row r="1089" ht="20.1" customHeight="1" s="769">
      <c r="B1089" s="747" t="inlineStr">
        <is>
          <t>3.13</t>
        </is>
      </c>
      <c r="C1089" s="757" t="inlineStr">
        <is>
          <t>Толуол</t>
        </is>
      </c>
      <c r="D1089" s="528" t="n"/>
      <c r="E1089" s="528" t="n"/>
      <c r="F1089" s="529" t="n"/>
      <c r="G1089" s="530" t="inlineStr">
        <is>
          <t>17_100335766</t>
        </is>
      </c>
      <c r="H1089" s="530" t="n"/>
      <c r="I1089" s="825" t="inlineStr">
        <is>
          <t>тыс.т.</t>
        </is>
      </c>
    </row>
    <row r="1090" ht="20.1" customHeight="1" s="769">
      <c r="C1090" s="452" t="inlineStr">
        <is>
          <t>в т.ч. товарный</t>
        </is>
      </c>
      <c r="D1090" s="528" t="n"/>
      <c r="E1090" s="528" t="n"/>
      <c r="F1090" s="529" t="n"/>
      <c r="G1090" s="530" t="inlineStr">
        <is>
          <t>17_100336026</t>
        </is>
      </c>
      <c r="H1090" s="530" t="n"/>
      <c r="I1090" s="906" t="inlineStr">
        <is>
          <t>тыс.т.</t>
        </is>
      </c>
    </row>
    <row r="1091" ht="20.1" customHeight="1" s="769">
      <c r="C1091" s="452" t="inlineStr">
        <is>
          <t>На завод "Мономер"</t>
        </is>
      </c>
      <c r="D1091" s="528" t="n"/>
      <c r="E1091" s="528" t="n"/>
      <c r="F1091" s="529" t="n"/>
      <c r="G1091" s="530" t="inlineStr">
        <is>
          <t>17_100336027</t>
        </is>
      </c>
      <c r="H1091" s="530" t="n"/>
      <c r="I1091" s="906" t="inlineStr">
        <is>
          <t>тыс.т.</t>
        </is>
      </c>
    </row>
    <row r="1092" ht="20.1" customHeight="1" s="769">
      <c r="C1092" s="452" t="inlineStr">
        <is>
          <t>На ООО "Акрил-Салават"</t>
        </is>
      </c>
      <c r="D1092" s="528" t="n"/>
      <c r="E1092" s="528" t="n"/>
      <c r="F1092" s="529" t="n"/>
      <c r="G1092" s="530" t="inlineStr">
        <is>
          <t>17_100336028</t>
        </is>
      </c>
      <c r="H1092" s="530" t="n"/>
      <c r="I1092" s="906" t="inlineStr">
        <is>
          <t>тыс.т.</t>
        </is>
      </c>
    </row>
    <row r="1093" ht="20.1" customHeight="1" s="769">
      <c r="B1093" s="747" t="inlineStr">
        <is>
          <t>3.14</t>
        </is>
      </c>
      <c r="C1093" s="757" t="inlineStr">
        <is>
          <t>Бензол</t>
        </is>
      </c>
      <c r="D1093" s="528" t="n"/>
      <c r="E1093" s="528" t="n"/>
      <c r="F1093" s="529" t="n"/>
      <c r="G1093" s="530" t="inlineStr">
        <is>
          <t>17_100336029</t>
        </is>
      </c>
      <c r="H1093" s="530" t="n"/>
      <c r="I1093" s="825" t="inlineStr">
        <is>
          <t>тыс.т.</t>
        </is>
      </c>
    </row>
    <row r="1094" ht="20.1" customHeight="1" s="769">
      <c r="C1094" s="452" t="inlineStr">
        <is>
          <t>На завод "Мономер"</t>
        </is>
      </c>
      <c r="D1094" s="528" t="n"/>
      <c r="E1094" s="528" t="n"/>
      <c r="F1094" s="529" t="n"/>
      <c r="G1094" s="530" t="inlineStr">
        <is>
          <t>17_100336030</t>
        </is>
      </c>
      <c r="H1094" s="530" t="n"/>
      <c r="I1094" s="906" t="inlineStr">
        <is>
          <t>тыс.т.</t>
        </is>
      </c>
    </row>
    <row r="1095" ht="20.1" customHeight="1" s="769">
      <c r="B1095" s="747" t="inlineStr">
        <is>
          <t>3.15</t>
        </is>
      </c>
      <c r="C1095" s="757" t="inlineStr">
        <is>
          <t>Сольвент</t>
        </is>
      </c>
      <c r="D1095" s="528" t="n"/>
      <c r="E1095" s="528" t="n"/>
      <c r="F1095" s="529" t="n"/>
      <c r="G1095" s="530" t="inlineStr">
        <is>
          <t>17_100336031</t>
        </is>
      </c>
      <c r="H1095" s="530" t="n"/>
      <c r="I1095" s="825" t="inlineStr">
        <is>
          <t>тыс.т.</t>
        </is>
      </c>
    </row>
    <row r="1096" ht="20.1" customHeight="1" s="769">
      <c r="C1096" s="452" t="inlineStr">
        <is>
          <t>На завод "Мономер"</t>
        </is>
      </c>
      <c r="D1096" s="528" t="n"/>
      <c r="E1096" s="528" t="n"/>
      <c r="F1096" s="529" t="n"/>
      <c r="G1096" s="530" t="inlineStr">
        <is>
          <t>17_100336032</t>
        </is>
      </c>
      <c r="H1096" s="530" t="n"/>
      <c r="I1096" s="906" t="inlineStr">
        <is>
          <t>тыс.т.</t>
        </is>
      </c>
    </row>
    <row r="1097" ht="20.1" customHeight="1" s="769">
      <c r="B1097" s="747" t="inlineStr">
        <is>
          <t>3.16</t>
        </is>
      </c>
      <c r="C1097" s="757" t="inlineStr">
        <is>
          <t>Фракция пропан-пропиленовая ККФ</t>
        </is>
      </c>
      <c r="D1097" s="528" t="n"/>
      <c r="E1097" s="528" t="n"/>
      <c r="F1097" s="529" t="n"/>
      <c r="G1097" s="530" t="inlineStr">
        <is>
          <t>17_100335102</t>
        </is>
      </c>
      <c r="H1097" s="530" t="n"/>
      <c r="I1097" s="825" t="inlineStr">
        <is>
          <t>тыс.т.</t>
        </is>
      </c>
    </row>
    <row r="1098" ht="20.1" customHeight="1" s="769">
      <c r="C1098" s="452" t="inlineStr">
        <is>
          <t>в т.ч. товарный</t>
        </is>
      </c>
      <c r="D1098" s="528" t="n"/>
      <c r="E1098" s="528" t="n"/>
      <c r="F1098" s="529" t="n"/>
      <c r="G1098" s="530" t="inlineStr">
        <is>
          <t>17_100336033</t>
        </is>
      </c>
      <c r="H1098" s="530" t="n"/>
      <c r="I1098" s="906" t="inlineStr">
        <is>
          <t>тыс.т.</t>
        </is>
      </c>
    </row>
    <row r="1099" ht="20.1" customHeight="1" s="769">
      <c r="C1099" s="452" t="inlineStr">
        <is>
          <t>На завод "Мономер" (производство бутиловых спиртов)</t>
        </is>
      </c>
      <c r="D1099" s="528" t="n"/>
      <c r="E1099" s="528" t="n"/>
      <c r="F1099" s="529" t="n"/>
      <c r="G1099" s="530" t="inlineStr">
        <is>
          <t>17_100336034</t>
        </is>
      </c>
      <c r="H1099" s="530" t="n"/>
      <c r="I1099" s="906" t="inlineStr">
        <is>
          <t>тыс.т.</t>
        </is>
      </c>
    </row>
    <row r="1100" ht="20.1" customHeight="1" s="769">
      <c r="C1100" s="452" t="inlineStr">
        <is>
          <t>На завод "Мономер" (производство ЭП-355)</t>
        </is>
      </c>
      <c r="D1100" s="528" t="n"/>
      <c r="E1100" s="528" t="n"/>
      <c r="F1100" s="529" t="n"/>
      <c r="G1100" s="530" t="inlineStr">
        <is>
          <t>17_100336035</t>
        </is>
      </c>
      <c r="H1100" s="530" t="n"/>
      <c r="I1100" s="906" t="inlineStr">
        <is>
          <t>тыс.т.</t>
        </is>
      </c>
    </row>
    <row r="1101" ht="20.1" customHeight="1" s="769">
      <c r="B1101" s="747" t="inlineStr">
        <is>
          <t>3.17</t>
        </is>
      </c>
      <c r="C1101" s="757" t="inlineStr">
        <is>
          <t>Фракция бутан-бутиленовая ККФ</t>
        </is>
      </c>
      <c r="D1101" s="528" t="n"/>
      <c r="E1101" s="528" t="n"/>
      <c r="F1101" s="529" t="n"/>
      <c r="G1101" s="530" t="inlineStr">
        <is>
          <t>17_100335103</t>
        </is>
      </c>
      <c r="H1101" s="530" t="n"/>
      <c r="I1101" s="825" t="inlineStr">
        <is>
          <t>тыс.т.</t>
        </is>
      </c>
    </row>
    <row r="1102" ht="20.1" customHeight="1" s="769">
      <c r="C1102" s="452" t="inlineStr">
        <is>
          <t>в т.ч. товарный</t>
        </is>
      </c>
      <c r="D1102" s="528" t="n"/>
      <c r="E1102" s="528" t="n"/>
      <c r="F1102" s="529" t="n"/>
      <c r="G1102" s="530" t="inlineStr">
        <is>
          <t>17_100336036</t>
        </is>
      </c>
      <c r="H1102" s="530" t="n"/>
      <c r="I1102" s="906" t="inlineStr">
        <is>
          <t>тыс.т.</t>
        </is>
      </c>
    </row>
    <row r="1103" ht="20.1" customHeight="1" s="769">
      <c r="C1103" s="452" t="inlineStr">
        <is>
          <t xml:space="preserve">На завод "Мономер" </t>
        </is>
      </c>
      <c r="D1103" s="528" t="n"/>
      <c r="E1103" s="528" t="n"/>
      <c r="F1103" s="529" t="n"/>
      <c r="G1103" s="530" t="inlineStr">
        <is>
          <t>17_100336037</t>
        </is>
      </c>
      <c r="H1103" s="530" t="n"/>
      <c r="I1103" s="906" t="inlineStr">
        <is>
          <t>тыс.т.</t>
        </is>
      </c>
    </row>
    <row r="1104" ht="20.1" customHeight="1" s="769">
      <c r="B1104" s="747" t="inlineStr">
        <is>
          <t>3.18</t>
        </is>
      </c>
      <c r="C1104" s="767" t="inlineStr">
        <is>
          <t>Сероводород технический всего</t>
        </is>
      </c>
      <c r="D1104" s="528" t="n"/>
      <c r="E1104" s="528" t="n"/>
      <c r="F1104" s="529" t="n"/>
      <c r="G1104" s="530" t="inlineStr">
        <is>
          <t>17_100336038</t>
        </is>
      </c>
      <c r="H1104" s="530" t="n"/>
      <c r="I1104" s="825" t="inlineStr">
        <is>
          <t>тыс.т.</t>
        </is>
      </c>
    </row>
    <row r="1105" ht="20.1" customHeight="1" s="769">
      <c r="C1105" s="453" t="inlineStr">
        <is>
          <t>в т.ч. сера (товарная)</t>
        </is>
      </c>
      <c r="D1105" s="528" t="n"/>
      <c r="E1105" s="528" t="n"/>
      <c r="F1105" s="529" t="n"/>
      <c r="G1105" s="530" t="inlineStr">
        <is>
          <t>17_100330809</t>
        </is>
      </c>
      <c r="H1105" s="530" t="n"/>
      <c r="I1105" s="906" t="inlineStr">
        <is>
          <t>тыс.т.</t>
        </is>
      </c>
    </row>
    <row r="1106" ht="20.1" customHeight="1" s="769">
      <c r="B1106" s="747" t="inlineStr">
        <is>
          <t>3.19</t>
        </is>
      </c>
      <c r="C1106" s="757" t="inlineStr">
        <is>
          <t>Керосин гидроочищенный</t>
        </is>
      </c>
      <c r="D1106" s="528" t="n"/>
      <c r="E1106" s="528" t="n"/>
      <c r="F1106" s="529" t="n"/>
      <c r="G1106" s="530" t="inlineStr">
        <is>
          <t>17_100336039</t>
        </is>
      </c>
      <c r="H1106" s="530" t="n"/>
      <c r="I1106" s="825" t="inlineStr">
        <is>
          <t>тыс.т.</t>
        </is>
      </c>
    </row>
    <row r="1107" ht="20.1" customHeight="1" s="769">
      <c r="C1107" s="452" t="inlineStr">
        <is>
          <t>в т.ч. товарный</t>
        </is>
      </c>
      <c r="D1107" s="528" t="n"/>
      <c r="E1107" s="528" t="n"/>
      <c r="F1107" s="529" t="n"/>
      <c r="G1107" s="530" t="inlineStr">
        <is>
          <t>17_100336040</t>
        </is>
      </c>
      <c r="H1107" s="530" t="n"/>
      <c r="I1107" s="906" t="inlineStr">
        <is>
          <t>тыс.т.</t>
        </is>
      </c>
    </row>
    <row r="1108" ht="20.1" customHeight="1" s="769">
      <c r="B1108" s="747" t="inlineStr">
        <is>
          <t>3.20</t>
        </is>
      </c>
      <c r="C1108" s="757" t="inlineStr">
        <is>
          <t>Топливо на собственные нужды</t>
        </is>
      </c>
      <c r="D1108" s="528" t="n"/>
      <c r="E1108" s="528" t="n"/>
      <c r="F1108" s="529" t="n"/>
      <c r="G1108" s="530" t="inlineStr">
        <is>
          <t>17_100336041</t>
        </is>
      </c>
      <c r="H1108" s="530" t="n"/>
      <c r="I1108" s="825" t="inlineStr">
        <is>
          <t>тыс.т.</t>
        </is>
      </c>
    </row>
    <row r="1109" ht="20.1" customHeight="1" s="769">
      <c r="B1109" s="747" t="inlineStr">
        <is>
          <t>3.21</t>
        </is>
      </c>
      <c r="C1109" s="447" t="inlineStr">
        <is>
          <t>Продукция (сырье) переданная на склад</t>
        </is>
      </c>
      <c r="D1109" s="528" t="n"/>
      <c r="E1109" s="528" t="n"/>
      <c r="F1109" s="529" t="n"/>
      <c r="G1109" s="530" t="inlineStr">
        <is>
          <t>17_100336042</t>
        </is>
      </c>
      <c r="H1109" s="530" t="n"/>
      <c r="I1109" s="825" t="inlineStr">
        <is>
          <t>тыс.т.</t>
        </is>
      </c>
    </row>
    <row r="1110" ht="20.1" customHeight="1" s="769">
      <c r="C1110" s="454" t="n"/>
      <c r="D1110" s="528" t="n"/>
      <c r="E1110" s="528" t="n"/>
      <c r="F1110" s="529" t="n"/>
      <c r="G1110" s="530" t="n"/>
      <c r="H1110" s="530" t="n"/>
      <c r="I1110" s="446" t="n"/>
    </row>
    <row r="1111" ht="20.1" customHeight="1" s="769">
      <c r="C1111" s="758" t="inlineStr">
        <is>
          <t>ЗАВОД "МОНОМЕР"</t>
        </is>
      </c>
      <c r="D1111" s="528" t="n"/>
      <c r="E1111" s="528" t="n"/>
      <c r="F1111" s="529" t="n"/>
      <c r="G1111" s="530" t="n"/>
      <c r="H1111" s="530" t="n"/>
      <c r="I1111" s="447" t="n"/>
    </row>
    <row r="1112" ht="32.25" customHeight="1" s="769">
      <c r="B1112" s="747" t="inlineStr">
        <is>
          <t>1.</t>
        </is>
      </c>
      <c r="C1112" s="757" t="inlineStr">
        <is>
          <t>ПОСТАВКА (ПОКУПКА) СЫРЬЯ  
ООО "ГАЗПРОМ НЕФТЕХИМ САЛАВАТ":</t>
        </is>
      </c>
      <c r="D1112" s="528" t="n"/>
      <c r="E1112" s="528" t="n"/>
      <c r="F1112" s="529" t="n"/>
      <c r="G1112" s="530" t="inlineStr">
        <is>
          <t>17_100336045</t>
        </is>
      </c>
      <c r="H1112" s="530" t="n"/>
      <c r="I1112" s="825" t="inlineStr">
        <is>
          <t>тыс.т.</t>
        </is>
      </c>
    </row>
    <row r="1113" ht="20.1" customHeight="1" s="769">
      <c r="B1113" s="747" t="inlineStr">
        <is>
          <t>1.1</t>
        </is>
      </c>
      <c r="C1113" s="448" t="inlineStr">
        <is>
          <t>Бензин</t>
        </is>
      </c>
      <c r="D1113" s="528" t="n"/>
      <c r="E1113" s="528" t="n"/>
      <c r="F1113" s="529" t="n"/>
      <c r="G1113" s="530" t="inlineStr">
        <is>
          <t>17_100336046</t>
        </is>
      </c>
      <c r="H1113" s="530" t="n"/>
      <c r="I1113" s="825" t="inlineStr">
        <is>
          <t>тыс.т.</t>
        </is>
      </c>
    </row>
    <row r="1114" ht="20.1" customHeight="1" s="769">
      <c r="C1114" s="450" t="inlineStr">
        <is>
          <t>НПЗ ООО "Газпром нефтехим Салават"</t>
        </is>
      </c>
      <c r="D1114" s="528" t="n"/>
      <c r="E1114" s="528" t="n"/>
      <c r="F1114" s="529" t="n"/>
      <c r="G1114" s="530" t="inlineStr">
        <is>
          <t>17_100336047</t>
        </is>
      </c>
      <c r="H1114" s="530" t="n"/>
      <c r="I1114" s="906" t="inlineStr">
        <is>
          <t>тыс.т.</t>
        </is>
      </c>
    </row>
    <row r="1115" ht="20.1" customHeight="1" s="769">
      <c r="B1115" s="747" t="inlineStr">
        <is>
          <t>1.2</t>
        </is>
      </c>
      <c r="C1115" s="448" t="inlineStr">
        <is>
          <t>ШФЛУ</t>
        </is>
      </c>
      <c r="D1115" s="528" t="n"/>
      <c r="E1115" s="528" t="n"/>
      <c r="F1115" s="529" t="n"/>
      <c r="G1115" s="530" t="inlineStr">
        <is>
          <t>17_100330826</t>
        </is>
      </c>
      <c r="H1115" s="530" t="n"/>
      <c r="I1115" s="825" t="inlineStr">
        <is>
          <t>тыс.т.</t>
        </is>
      </c>
    </row>
    <row r="1116" ht="20.1" customHeight="1" s="769">
      <c r="C1116" s="448" t="inlineStr">
        <is>
          <t>ПАО "Газпром":</t>
        </is>
      </c>
      <c r="D1116" s="528" t="n"/>
      <c r="E1116" s="528" t="n"/>
      <c r="F1116" s="529" t="n"/>
      <c r="G1116" s="530" t="inlineStr">
        <is>
          <t>17_100336048</t>
        </is>
      </c>
      <c r="H1116" s="530" t="n"/>
      <c r="I1116" s="906" t="inlineStr">
        <is>
          <t>тыс.т.</t>
        </is>
      </c>
    </row>
    <row r="1117" ht="20.1" customHeight="1" s="769">
      <c r="C1117" s="449" t="inlineStr">
        <is>
          <t>Астраханский ГПЗ</t>
        </is>
      </c>
      <c r="D1117" s="528" t="n"/>
      <c r="E1117" s="528" t="n"/>
      <c r="F1117" s="529" t="n"/>
      <c r="G1117" s="530" t="inlineStr">
        <is>
          <t>17_100336049</t>
        </is>
      </c>
      <c r="H1117" s="530" t="n"/>
      <c r="I1117" s="906" t="inlineStr">
        <is>
          <t>тыс.т.</t>
        </is>
      </c>
    </row>
    <row r="1118" ht="20.1" customHeight="1" s="769">
      <c r="C1118" s="449" t="inlineStr">
        <is>
          <t>Оренбургский ГПЗ</t>
        </is>
      </c>
      <c r="D1118" s="528" t="n"/>
      <c r="E1118" s="528" t="n"/>
      <c r="F1118" s="529" t="n"/>
      <c r="G1118" s="530" t="inlineStr">
        <is>
          <t>17_100336050</t>
        </is>
      </c>
      <c r="H1118" s="530" t="n"/>
      <c r="I1118" s="906" t="inlineStr">
        <is>
          <t>тыс.т.</t>
        </is>
      </c>
    </row>
    <row r="1119" ht="20.1" customHeight="1" s="769">
      <c r="C1119" s="448" t="inlineStr">
        <is>
          <t>НПЗ ООО "Газпром нефтехим Салават"</t>
        </is>
      </c>
      <c r="D1119" s="528" t="n"/>
      <c r="E1119" s="528" t="n"/>
      <c r="F1119" s="529" t="n"/>
      <c r="G1119" s="530" t="inlineStr">
        <is>
          <t>17_100336051</t>
        </is>
      </c>
      <c r="H1119" s="530" t="n"/>
      <c r="I1119" s="906" t="inlineStr">
        <is>
          <t>тыс.т.</t>
        </is>
      </c>
    </row>
    <row r="1120" ht="20.1" customHeight="1" s="769">
      <c r="B1120" s="747" t="inlineStr">
        <is>
          <t>1.3</t>
        </is>
      </c>
      <c r="C1120" s="447" t="inlineStr">
        <is>
          <t>Газы углеводородные сжиженные</t>
        </is>
      </c>
      <c r="D1120" s="528" t="n"/>
      <c r="E1120" s="528" t="n"/>
      <c r="F1120" s="529" t="n"/>
      <c r="G1120" s="530" t="inlineStr">
        <is>
          <t>17_100336052</t>
        </is>
      </c>
      <c r="H1120" s="530" t="n"/>
      <c r="I1120" s="825" t="inlineStr">
        <is>
          <t>тыс.т.</t>
        </is>
      </c>
    </row>
    <row r="1121" ht="20.1" customHeight="1" s="769">
      <c r="C1121" s="450" t="inlineStr">
        <is>
          <t>Сургутский ЗСК</t>
        </is>
      </c>
      <c r="D1121" s="528" t="n"/>
      <c r="E1121" s="528" t="n"/>
      <c r="F1121" s="529" t="n"/>
      <c r="G1121" s="530" t="inlineStr">
        <is>
          <t>17_100336053</t>
        </is>
      </c>
      <c r="H1121" s="530" t="n"/>
      <c r="I1121" s="906" t="inlineStr">
        <is>
          <t>тыс.т.</t>
        </is>
      </c>
    </row>
    <row r="1122" ht="20.1" customHeight="1" s="769">
      <c r="B1122" s="747" t="inlineStr">
        <is>
          <t>1.4</t>
        </is>
      </c>
      <c r="C1122" s="448" t="inlineStr">
        <is>
          <t>Фракция этановая</t>
        </is>
      </c>
      <c r="D1122" s="528" t="n"/>
      <c r="E1122" s="528" t="n"/>
      <c r="F1122" s="529" t="n"/>
      <c r="G1122" s="530" t="inlineStr">
        <is>
          <t>17_100330827</t>
        </is>
      </c>
      <c r="H1122" s="530" t="n"/>
      <c r="I1122" s="825" t="inlineStr">
        <is>
          <t>тыс.т.</t>
        </is>
      </c>
    </row>
    <row r="1123" ht="20.1" customHeight="1" s="769">
      <c r="C1123" s="451" t="inlineStr">
        <is>
          <t>ПАО "Газпром":</t>
        </is>
      </c>
      <c r="D1123" s="528" t="n"/>
      <c r="E1123" s="528" t="n"/>
      <c r="F1123" s="529" t="n"/>
      <c r="G1123" s="530" t="inlineStr">
        <is>
          <t>17_100336054</t>
        </is>
      </c>
      <c r="H1123" s="530" t="n"/>
      <c r="I1123" s="906" t="inlineStr">
        <is>
          <t>тыс.т.</t>
        </is>
      </c>
    </row>
    <row r="1124" ht="20.1" customHeight="1" s="769">
      <c r="C1124" s="449" t="inlineStr">
        <is>
          <t>Оренбургский ГЗ</t>
        </is>
      </c>
      <c r="D1124" s="528" t="n"/>
      <c r="E1124" s="528" t="n"/>
      <c r="F1124" s="529" t="n"/>
      <c r="G1124" s="530" t="inlineStr">
        <is>
          <t>17_100336055</t>
        </is>
      </c>
      <c r="H1124" s="530" t="n"/>
      <c r="I1124" s="906" t="inlineStr">
        <is>
          <t>тыс.т.</t>
        </is>
      </c>
    </row>
    <row r="1125" ht="34.5" customHeight="1" s="769">
      <c r="B1125" s="747" t="inlineStr">
        <is>
          <t>1.5</t>
        </is>
      </c>
      <c r="C1125" s="455" t="inlineStr">
        <is>
          <t xml:space="preserve">Продукция (сырье) с НПЗ ООО "Газпром нефтехим Салават" </t>
        </is>
      </c>
      <c r="D1125" s="528" t="n"/>
      <c r="E1125" s="528" t="n"/>
      <c r="F1125" s="529" t="n"/>
      <c r="G1125" s="530" t="inlineStr">
        <is>
          <t>17_100336056</t>
        </is>
      </c>
      <c r="H1125" s="530" t="n"/>
      <c r="I1125" s="825" t="inlineStr">
        <is>
          <t>тыс.т.</t>
        </is>
      </c>
    </row>
    <row r="1126" ht="20.1" customHeight="1" s="769">
      <c r="B1126" s="747" t="inlineStr">
        <is>
          <t>1.6</t>
        </is>
      </c>
      <c r="C1126" s="448" t="inlineStr">
        <is>
          <t>Пропилен</t>
        </is>
      </c>
      <c r="D1126" s="528" t="n"/>
      <c r="E1126" s="528" t="n"/>
      <c r="F1126" s="529" t="n"/>
      <c r="G1126" s="530" t="inlineStr">
        <is>
          <t>17_100336057</t>
        </is>
      </c>
      <c r="H1126" s="530" t="n"/>
      <c r="I1126" s="825" t="inlineStr">
        <is>
          <t>тыс.т.</t>
        </is>
      </c>
    </row>
    <row r="1127" ht="20.1" customHeight="1" s="769">
      <c r="C1127" s="450" t="inlineStr">
        <is>
          <t>Пропилен покупной</t>
        </is>
      </c>
      <c r="D1127" s="528" t="n"/>
      <c r="E1127" s="528" t="n"/>
      <c r="F1127" s="529" t="n"/>
      <c r="G1127" s="530" t="inlineStr">
        <is>
          <t>17_100336058</t>
        </is>
      </c>
      <c r="H1127" s="530" t="n"/>
      <c r="I1127" s="906" t="inlineStr">
        <is>
          <t>тыс.т.</t>
        </is>
      </c>
    </row>
    <row r="1128" ht="20.1" customHeight="1" s="769">
      <c r="C1128" s="450" t="inlineStr">
        <is>
          <t>Завод "Мономер" ООО "Газпром нефтехим Салават"</t>
        </is>
      </c>
      <c r="D1128" s="528" t="n"/>
      <c r="E1128" s="528" t="n"/>
      <c r="F1128" s="529" t="n"/>
      <c r="G1128" s="530" t="inlineStr">
        <is>
          <t>17_100336059</t>
        </is>
      </c>
      <c r="H1128" s="530" t="n"/>
      <c r="I1128" s="906" t="inlineStr">
        <is>
          <t>тыс.т.</t>
        </is>
      </c>
    </row>
    <row r="1129" ht="20.1" customHeight="1" s="769">
      <c r="C1129" s="456" t="inlineStr">
        <is>
          <t>НПЗ ООО "Газпром нефтехим Салават" (ККФ)</t>
        </is>
      </c>
      <c r="D1129" s="528" t="n"/>
      <c r="E1129" s="528" t="n"/>
      <c r="F1129" s="529" t="n"/>
      <c r="G1129" s="530" t="inlineStr">
        <is>
          <t>17_100336060</t>
        </is>
      </c>
      <c r="H1129" s="530" t="n"/>
      <c r="I1129" s="906" t="inlineStr">
        <is>
          <t>тыс.т.</t>
        </is>
      </c>
    </row>
    <row r="1130" ht="20.1" customHeight="1" s="769">
      <c r="B1130" s="747" t="inlineStr">
        <is>
          <t>1.7</t>
        </is>
      </c>
      <c r="C1130" s="447" t="inlineStr">
        <is>
          <t>Ортоксилол</t>
        </is>
      </c>
      <c r="D1130" s="528" t="n"/>
      <c r="E1130" s="528" t="n"/>
      <c r="F1130" s="529" t="n"/>
      <c r="G1130" s="530" t="inlineStr">
        <is>
          <t>17_100336061</t>
        </is>
      </c>
      <c r="H1130" s="530" t="n"/>
      <c r="I1130" s="825" t="inlineStr">
        <is>
          <t>тыс.т.</t>
        </is>
      </c>
    </row>
    <row r="1131" ht="32.25" customHeight="1" s="769">
      <c r="B1131" s="747" t="inlineStr">
        <is>
          <t>2.</t>
        </is>
      </c>
      <c r="C1131" s="757" t="inlineStr">
        <is>
          <t>ПЕРЕРАБОТКА СЫРЬЯ 
ООО "ГАЗПРОМ НЕФТЕХИМ САЛАВАТ":</t>
        </is>
      </c>
      <c r="D1131" s="528" t="n"/>
      <c r="E1131" s="528" t="n"/>
      <c r="F1131" s="529" t="n"/>
      <c r="G1131" s="530" t="inlineStr">
        <is>
          <t>17_100330823</t>
        </is>
      </c>
      <c r="H1131" s="530" t="n"/>
      <c r="I1131" s="825" t="inlineStr">
        <is>
          <t>тыс.т.</t>
        </is>
      </c>
    </row>
    <row r="1132" ht="20.1" customHeight="1" s="769">
      <c r="B1132" s="747" t="inlineStr">
        <is>
          <t>2.1</t>
        </is>
      </c>
      <c r="C1132" s="448" t="inlineStr">
        <is>
          <t>Бензин</t>
        </is>
      </c>
      <c r="D1132" s="528" t="n"/>
      <c r="E1132" s="528" t="n"/>
      <c r="F1132" s="529" t="n"/>
      <c r="G1132" s="530" t="inlineStr">
        <is>
          <t>17_100330824</t>
        </is>
      </c>
      <c r="H1132" s="530" t="n"/>
      <c r="I1132" s="825" t="inlineStr">
        <is>
          <t>тыс.т.</t>
        </is>
      </c>
    </row>
    <row r="1133" ht="20.1" customHeight="1" s="769">
      <c r="C1133" s="450" t="inlineStr">
        <is>
          <t>НПЗ ООО "Газпром нефтехим Салават"</t>
        </is>
      </c>
      <c r="D1133" s="528" t="n"/>
      <c r="E1133" s="528" t="n"/>
      <c r="F1133" s="529" t="n"/>
      <c r="G1133" s="530" t="inlineStr">
        <is>
          <t>17_100336062</t>
        </is>
      </c>
      <c r="H1133" s="530" t="n"/>
      <c r="I1133" s="906" t="inlineStr">
        <is>
          <t>тыс.т.</t>
        </is>
      </c>
    </row>
    <row r="1134" ht="20.1" customHeight="1" s="769">
      <c r="B1134" s="747" t="inlineStr">
        <is>
          <t>2.2</t>
        </is>
      </c>
      <c r="C1134" s="448" t="inlineStr">
        <is>
          <t>ШФЛУ</t>
        </is>
      </c>
      <c r="D1134" s="528" t="n"/>
      <c r="E1134" s="528" t="n"/>
      <c r="F1134" s="529" t="n"/>
      <c r="G1134" s="530" t="inlineStr">
        <is>
          <t>17_100330825</t>
        </is>
      </c>
      <c r="H1134" s="530" t="n"/>
      <c r="I1134" s="825" t="inlineStr">
        <is>
          <t>тыс.т.</t>
        </is>
      </c>
    </row>
    <row r="1135" ht="20.1" customHeight="1" s="769">
      <c r="C1135" s="450" t="inlineStr">
        <is>
          <t>ПАО "Газпром"</t>
        </is>
      </c>
      <c r="D1135" s="528" t="n"/>
      <c r="E1135" s="528" t="n"/>
      <c r="F1135" s="529" t="n"/>
      <c r="G1135" s="530" t="inlineStr">
        <is>
          <t>17_100336063</t>
        </is>
      </c>
      <c r="H1135" s="530" t="n"/>
      <c r="I1135" s="906" t="inlineStr">
        <is>
          <t>тыс.т.</t>
        </is>
      </c>
    </row>
    <row r="1136" ht="20.1" customHeight="1" s="769">
      <c r="C1136" s="450" t="inlineStr">
        <is>
          <t>Астраханский ГПЗ</t>
        </is>
      </c>
      <c r="D1136" s="528" t="n"/>
      <c r="E1136" s="528" t="n"/>
      <c r="F1136" s="529" t="n"/>
      <c r="G1136" s="530" t="inlineStr">
        <is>
          <t>17_100336064</t>
        </is>
      </c>
      <c r="H1136" s="530" t="n"/>
      <c r="I1136" s="906" t="inlineStr">
        <is>
          <t>тыс.т.</t>
        </is>
      </c>
    </row>
    <row r="1137" ht="20.1" customHeight="1" s="769">
      <c r="C1137" s="450" t="inlineStr">
        <is>
          <t>Оренбургский ГПЗ</t>
        </is>
      </c>
      <c r="D1137" s="528" t="n"/>
      <c r="E1137" s="528" t="n"/>
      <c r="F1137" s="529" t="n"/>
      <c r="G1137" s="530" t="inlineStr">
        <is>
          <t>17_100336065</t>
        </is>
      </c>
      <c r="H1137" s="530" t="n"/>
      <c r="I1137" s="906" t="inlineStr">
        <is>
          <t>тыс.т.</t>
        </is>
      </c>
    </row>
    <row r="1138" ht="20.1" customHeight="1" s="769">
      <c r="C1138" s="456" t="inlineStr">
        <is>
          <t xml:space="preserve">        НПЗ ООО "Газпром нефтехим Салават"</t>
        </is>
      </c>
      <c r="D1138" s="528" t="n"/>
      <c r="E1138" s="528" t="n"/>
      <c r="F1138" s="529" t="n"/>
      <c r="G1138" s="530" t="inlineStr">
        <is>
          <t>17_100336066</t>
        </is>
      </c>
      <c r="H1138" s="530" t="n"/>
      <c r="I1138" s="825" t="inlineStr">
        <is>
          <t>тыс.т.</t>
        </is>
      </c>
    </row>
    <row r="1139" ht="20.1" customHeight="1" s="769">
      <c r="B1139" s="747" t="inlineStr">
        <is>
          <t>2.3</t>
        </is>
      </c>
      <c r="C1139" s="448" t="inlineStr">
        <is>
          <t>Газы углеводородные сжиженные</t>
        </is>
      </c>
      <c r="D1139" s="528" t="n"/>
      <c r="E1139" s="528" t="n"/>
      <c r="F1139" s="529" t="n"/>
      <c r="G1139" s="530" t="inlineStr">
        <is>
          <t>17_100336067</t>
        </is>
      </c>
      <c r="H1139" s="530" t="n"/>
      <c r="I1139" s="825" t="inlineStr">
        <is>
          <t>тыс.т.</t>
        </is>
      </c>
    </row>
    <row r="1140" ht="20.1" customHeight="1" s="769">
      <c r="C1140" s="450" t="inlineStr">
        <is>
          <t>Сургутский ЗСК</t>
        </is>
      </c>
      <c r="D1140" s="528" t="n"/>
      <c r="E1140" s="528" t="n"/>
      <c r="F1140" s="529" t="n"/>
      <c r="G1140" s="530" t="inlineStr">
        <is>
          <t>17_100336068</t>
        </is>
      </c>
      <c r="H1140" s="530" t="n"/>
      <c r="I1140" s="906" t="inlineStr">
        <is>
          <t>тыс.т.</t>
        </is>
      </c>
    </row>
    <row r="1141" ht="20.1" customHeight="1" s="769">
      <c r="B1141" s="747" t="inlineStr">
        <is>
          <t>2.4</t>
        </is>
      </c>
      <c r="C1141" s="448" t="inlineStr">
        <is>
          <t>Фракция этановая</t>
        </is>
      </c>
      <c r="D1141" s="528" t="n"/>
      <c r="E1141" s="528" t="n"/>
      <c r="F1141" s="529" t="n"/>
      <c r="G1141" s="530" t="inlineStr">
        <is>
          <t>17_100336069</t>
        </is>
      </c>
      <c r="H1141" s="530" t="n"/>
      <c r="I1141" s="825" t="inlineStr">
        <is>
          <t>тыс.т.</t>
        </is>
      </c>
    </row>
    <row r="1142" ht="20.1" customHeight="1" s="769">
      <c r="C1142" s="450" t="inlineStr">
        <is>
          <t>ПАО "Газпром"</t>
        </is>
      </c>
      <c r="D1142" s="528" t="n"/>
      <c r="E1142" s="528" t="n"/>
      <c r="F1142" s="529" t="n"/>
      <c r="G1142" s="530" t="inlineStr">
        <is>
          <t>17_100336070</t>
        </is>
      </c>
      <c r="H1142" s="530" t="n"/>
      <c r="I1142" s="906" t="inlineStr">
        <is>
          <t>тыс.т.</t>
        </is>
      </c>
    </row>
    <row r="1143" ht="20.1" customHeight="1" s="769">
      <c r="C1143" s="450" t="inlineStr">
        <is>
          <t>Оренбургский ГЗ</t>
        </is>
      </c>
      <c r="D1143" s="528" t="n"/>
      <c r="E1143" s="528" t="n"/>
      <c r="F1143" s="529" t="n"/>
      <c r="G1143" s="530" t="inlineStr">
        <is>
          <t>17_100336071</t>
        </is>
      </c>
      <c r="H1143" s="530" t="n"/>
      <c r="I1143" s="906" t="inlineStr">
        <is>
          <t>тыс.т.</t>
        </is>
      </c>
    </row>
    <row r="1144" ht="34.5" customHeight="1" s="769">
      <c r="B1144" s="747" t="inlineStr">
        <is>
          <t>2.5</t>
        </is>
      </c>
      <c r="C1144" s="757" t="inlineStr">
        <is>
          <t>Продукция (сырье) с НПЗ 
ООО "Газпром нефтехим Салават"</t>
        </is>
      </c>
      <c r="D1144" s="528" t="n"/>
      <c r="E1144" s="528" t="n"/>
      <c r="F1144" s="529" t="n"/>
      <c r="G1144" s="530" t="inlineStr">
        <is>
          <t>17_100336072</t>
        </is>
      </c>
      <c r="H1144" s="530" t="n"/>
      <c r="I1144" s="825" t="inlineStr">
        <is>
          <t>тыс.т.</t>
        </is>
      </c>
    </row>
    <row r="1145" ht="20.1" customHeight="1" s="769">
      <c r="B1145" s="747" t="inlineStr">
        <is>
          <t>2.6</t>
        </is>
      </c>
      <c r="C1145" s="448" t="inlineStr">
        <is>
          <t>Пропилен</t>
        </is>
      </c>
      <c r="D1145" s="528" t="n"/>
      <c r="E1145" s="528" t="n"/>
      <c r="F1145" s="529" t="n"/>
      <c r="G1145" s="530" t="inlineStr">
        <is>
          <t>17_100336073</t>
        </is>
      </c>
      <c r="H1145" s="530" t="n"/>
      <c r="I1145" s="825" t="inlineStr">
        <is>
          <t>тыс.т.</t>
        </is>
      </c>
    </row>
    <row r="1146" ht="20.1" customHeight="1" s="769">
      <c r="C1146" s="450" t="inlineStr">
        <is>
          <t>Пропилен покупной</t>
        </is>
      </c>
      <c r="D1146" s="528" t="n"/>
      <c r="E1146" s="528" t="n"/>
      <c r="F1146" s="529" t="n"/>
      <c r="G1146" s="530" t="inlineStr">
        <is>
          <t>17_100336074</t>
        </is>
      </c>
      <c r="H1146" s="530" t="n"/>
      <c r="I1146" s="906" t="inlineStr">
        <is>
          <t>тыс.т.</t>
        </is>
      </c>
    </row>
    <row r="1147" ht="20.1" customHeight="1" s="769">
      <c r="C1147" s="450" t="inlineStr">
        <is>
          <t>Завод "Мономер" ООО "Газпром нефтехим Салават"</t>
        </is>
      </c>
      <c r="D1147" s="528" t="n"/>
      <c r="E1147" s="528" t="n"/>
      <c r="F1147" s="529" t="n"/>
      <c r="G1147" s="530" t="inlineStr">
        <is>
          <t>17_100336075</t>
        </is>
      </c>
      <c r="H1147" s="530" t="n"/>
      <c r="I1147" s="906" t="inlineStr">
        <is>
          <t>тыс.т.</t>
        </is>
      </c>
    </row>
    <row r="1148" ht="20.1" customHeight="1" s="769">
      <c r="C1148" s="456" t="inlineStr">
        <is>
          <t>НПЗ ООО "Газпром нефтехим Салават" (ККФ)</t>
        </is>
      </c>
      <c r="D1148" s="528" t="n"/>
      <c r="E1148" s="528" t="n"/>
      <c r="F1148" s="529" t="n"/>
      <c r="G1148" s="530" t="inlineStr">
        <is>
          <t>17_100336076</t>
        </is>
      </c>
      <c r="H1148" s="530" t="n"/>
      <c r="I1148" s="906" t="inlineStr">
        <is>
          <t>тыс.т.</t>
        </is>
      </c>
    </row>
    <row r="1149" ht="20.1" customHeight="1" s="769">
      <c r="B1149" s="747" t="inlineStr">
        <is>
          <t>2.7</t>
        </is>
      </c>
      <c r="C1149" s="448" t="inlineStr">
        <is>
          <t>Ортоксилол</t>
        </is>
      </c>
      <c r="D1149" s="528" t="n"/>
      <c r="E1149" s="528" t="n"/>
      <c r="F1149" s="529" t="n"/>
      <c r="G1149" s="530" t="inlineStr">
        <is>
          <t>17_100336077</t>
        </is>
      </c>
      <c r="H1149" s="530" t="n"/>
      <c r="I1149" s="825" t="inlineStr">
        <is>
          <t>тыс.т.</t>
        </is>
      </c>
    </row>
    <row r="1150" ht="20.1" customHeight="1" s="769">
      <c r="B1150" s="747" t="inlineStr">
        <is>
          <t>2.8</t>
        </is>
      </c>
      <c r="C1150" s="448" t="inlineStr">
        <is>
          <t xml:space="preserve">Природный газ </t>
        </is>
      </c>
      <c r="D1150" s="528" t="n"/>
      <c r="E1150" s="528" t="n"/>
      <c r="F1150" s="529" t="n"/>
      <c r="G1150" s="530" t="inlineStr">
        <is>
          <t>17_100335597</t>
        </is>
      </c>
      <c r="H1150" s="530" t="n"/>
      <c r="I1150" s="825" t="inlineStr">
        <is>
          <t>млн.м3</t>
        </is>
      </c>
    </row>
    <row r="1151" ht="20.1" customHeight="1" s="769">
      <c r="B1151" s="747" t="inlineStr">
        <is>
          <t>3.</t>
        </is>
      </c>
      <c r="C1151" s="757" t="inlineStr">
        <is>
          <t xml:space="preserve">ПРОДУКЦИЯ </t>
        </is>
      </c>
      <c r="D1151" s="528" t="n"/>
      <c r="E1151" s="528" t="n"/>
      <c r="F1151" s="529" t="n"/>
      <c r="G1151" s="530" t="n"/>
      <c r="H1151" s="530" t="n"/>
      <c r="I1151" s="825" t="n"/>
    </row>
    <row r="1152" ht="20.1" customHeight="1" s="769">
      <c r="B1152" s="747" t="inlineStr">
        <is>
          <t>3.1</t>
        </is>
      </c>
      <c r="C1152" s="448" t="inlineStr">
        <is>
          <t xml:space="preserve">Этилен </t>
        </is>
      </c>
      <c r="D1152" s="528" t="n"/>
      <c r="E1152" s="528" t="n"/>
      <c r="F1152" s="529" t="n"/>
      <c r="G1152" s="530" t="inlineStr">
        <is>
          <t>17_100330831</t>
        </is>
      </c>
      <c r="H1152" s="530" t="n"/>
      <c r="I1152" s="825" t="inlineStr">
        <is>
          <t>тыс.т.</t>
        </is>
      </c>
    </row>
    <row r="1153" ht="20.1" customHeight="1" s="769">
      <c r="C1153" s="754" t="inlineStr">
        <is>
          <t>в т.ч. товарный</t>
        </is>
      </c>
      <c r="D1153" s="528" t="n"/>
      <c r="E1153" s="528" t="n"/>
      <c r="F1153" s="529" t="n"/>
      <c r="G1153" s="530" t="inlineStr">
        <is>
          <t>17_100330832</t>
        </is>
      </c>
      <c r="H1153" s="530" t="n"/>
      <c r="I1153" s="906" t="inlineStr">
        <is>
          <t>тыс.т.</t>
        </is>
      </c>
    </row>
    <row r="1154" ht="20.1" customHeight="1" s="769">
      <c r="B1154" s="747" t="inlineStr">
        <is>
          <t>3.2</t>
        </is>
      </c>
      <c r="C1154" s="448" t="inlineStr">
        <is>
          <t xml:space="preserve">Пропилен </t>
        </is>
      </c>
      <c r="D1154" s="528" t="n"/>
      <c r="E1154" s="528" t="n"/>
      <c r="F1154" s="529" t="n"/>
      <c r="G1154" s="530" t="inlineStr">
        <is>
          <t>17_100330833</t>
        </is>
      </c>
      <c r="H1154" s="530" t="n"/>
      <c r="I1154" s="825" t="inlineStr">
        <is>
          <t>тыс.т.</t>
        </is>
      </c>
    </row>
    <row r="1155" ht="20.1" customHeight="1" s="769">
      <c r="C1155" s="754" t="inlineStr">
        <is>
          <t>в т.ч. товарный</t>
        </is>
      </c>
      <c r="D1155" s="528" t="n"/>
      <c r="E1155" s="528" t="n"/>
      <c r="F1155" s="529" t="n"/>
      <c r="G1155" s="530" t="inlineStr">
        <is>
          <t>17_100332346</t>
        </is>
      </c>
      <c r="H1155" s="530" t="n"/>
      <c r="I1155" s="906" t="inlineStr">
        <is>
          <t>тыс.т.</t>
        </is>
      </c>
    </row>
    <row r="1156" ht="20.1" customHeight="1" s="769">
      <c r="C1156" s="754" t="inlineStr">
        <is>
          <t>На ООО "Акрил-Салават"</t>
        </is>
      </c>
      <c r="D1156" s="528" t="n"/>
      <c r="E1156" s="528" t="n"/>
      <c r="F1156" s="529" t="n"/>
      <c r="G1156" s="530" t="inlineStr">
        <is>
          <t>17_100336079</t>
        </is>
      </c>
      <c r="H1156" s="530" t="n"/>
      <c r="I1156" s="906" t="inlineStr">
        <is>
          <t>тыс.т.</t>
        </is>
      </c>
    </row>
    <row r="1157" ht="20.1" customHeight="1" s="769">
      <c r="B1157" s="747" t="inlineStr">
        <is>
          <t>3.3</t>
        </is>
      </c>
      <c r="C1157" s="448" t="inlineStr">
        <is>
          <t xml:space="preserve">Бутилен-бутадиеновая фракция </t>
        </is>
      </c>
      <c r="D1157" s="528" t="n"/>
      <c r="E1157" s="528" t="n"/>
      <c r="F1157" s="529" t="n"/>
      <c r="G1157" s="530" t="inlineStr">
        <is>
          <t>17_100330835</t>
        </is>
      </c>
      <c r="H1157" s="530" t="n"/>
      <c r="I1157" s="825" t="inlineStr">
        <is>
          <t>тыс.т.</t>
        </is>
      </c>
    </row>
    <row r="1158" ht="20.1" customHeight="1" s="769">
      <c r="C1158" s="754" t="inlineStr">
        <is>
          <t>в т.ч. товарный</t>
        </is>
      </c>
      <c r="D1158" s="528" t="n"/>
      <c r="E1158" s="528" t="n"/>
      <c r="F1158" s="529" t="n"/>
      <c r="G1158" s="530" t="inlineStr">
        <is>
          <t>17_100335105</t>
        </is>
      </c>
      <c r="H1158" s="530" t="n"/>
      <c r="I1158" s="906" t="inlineStr">
        <is>
          <t>тыс.т.</t>
        </is>
      </c>
    </row>
    <row r="1159" ht="20.1" customHeight="1" s="769">
      <c r="B1159" s="747" t="inlineStr">
        <is>
          <t>3.4</t>
        </is>
      </c>
      <c r="C1159" s="448" t="inlineStr">
        <is>
          <t xml:space="preserve">Тяжелая смола </t>
        </is>
      </c>
      <c r="D1159" s="528" t="n"/>
      <c r="E1159" s="528" t="n"/>
      <c r="F1159" s="529" t="n"/>
      <c r="G1159" s="530" t="inlineStr">
        <is>
          <t>17_100330836</t>
        </is>
      </c>
      <c r="H1159" s="530" t="n"/>
      <c r="I1159" s="825" t="inlineStr">
        <is>
          <t>тыс.т.</t>
        </is>
      </c>
    </row>
    <row r="1160" ht="20.1" customHeight="1" s="769">
      <c r="C1160" s="754" t="inlineStr">
        <is>
          <t>в т.ч. товарный</t>
        </is>
      </c>
      <c r="D1160" s="528" t="n"/>
      <c r="E1160" s="528" t="n"/>
      <c r="F1160" s="529" t="n"/>
      <c r="G1160" s="530" t="inlineStr">
        <is>
          <t>17_100335106</t>
        </is>
      </c>
      <c r="H1160" s="530" t="n"/>
      <c r="I1160" s="906" t="inlineStr">
        <is>
          <t>тыс.т.</t>
        </is>
      </c>
    </row>
    <row r="1161" ht="20.1" customHeight="1" s="769">
      <c r="B1161" s="747" t="inlineStr">
        <is>
          <t>3.5</t>
        </is>
      </c>
      <c r="C1161" s="448" t="inlineStr">
        <is>
          <t xml:space="preserve">Пироконденсат  </t>
        </is>
      </c>
      <c r="D1161" s="528" t="n"/>
      <c r="E1161" s="528" t="n"/>
      <c r="F1161" s="529" t="n"/>
      <c r="G1161" s="530" t="inlineStr">
        <is>
          <t>17_100332907</t>
        </is>
      </c>
      <c r="H1161" s="530" t="n"/>
      <c r="I1161" s="825" t="inlineStr">
        <is>
          <t>тыс.т.</t>
        </is>
      </c>
    </row>
    <row r="1162" ht="20.1" customHeight="1" s="769">
      <c r="C1162" s="754" t="inlineStr">
        <is>
          <t>в т.ч. товарный</t>
        </is>
      </c>
      <c r="D1162" s="528" t="n"/>
      <c r="E1162" s="528" t="n"/>
      <c r="F1162" s="529" t="n"/>
      <c r="G1162" s="530" t="inlineStr">
        <is>
          <t>17_100335107</t>
        </is>
      </c>
      <c r="H1162" s="530" t="n"/>
      <c r="I1162" s="906" t="inlineStr">
        <is>
          <t>тыс.т.</t>
        </is>
      </c>
    </row>
    <row r="1163" ht="20.1" customHeight="1" s="769">
      <c r="B1163" s="747" t="inlineStr">
        <is>
          <t>3.6</t>
        </is>
      </c>
      <c r="C1163" s="448" t="inlineStr">
        <is>
          <t xml:space="preserve">Бензол </t>
        </is>
      </c>
      <c r="D1163" s="528" t="n"/>
      <c r="E1163" s="528" t="n"/>
      <c r="F1163" s="529" t="n"/>
      <c r="G1163" s="530" t="inlineStr">
        <is>
          <t>17_100335108</t>
        </is>
      </c>
      <c r="H1163" s="530" t="n"/>
      <c r="I1163" s="825" t="inlineStr">
        <is>
          <t>тыс.т.</t>
        </is>
      </c>
    </row>
    <row r="1164" ht="20.1" customHeight="1" s="769">
      <c r="C1164" s="754" t="inlineStr">
        <is>
          <t>в т.ч. товарный</t>
        </is>
      </c>
      <c r="D1164" s="528" t="n"/>
      <c r="E1164" s="528" t="n"/>
      <c r="F1164" s="529" t="n"/>
      <c r="G1164" s="530" t="inlineStr">
        <is>
          <t>17_100335109</t>
        </is>
      </c>
      <c r="H1164" s="530" t="n"/>
      <c r="I1164" s="906" t="inlineStr">
        <is>
          <t>тыс.т.</t>
        </is>
      </c>
    </row>
    <row r="1165" ht="20.1" customHeight="1" s="769">
      <c r="B1165" s="747" t="inlineStr">
        <is>
          <t>3.7</t>
        </is>
      </c>
      <c r="C1165" s="448" t="inlineStr">
        <is>
          <t xml:space="preserve">Кубовый Остаток Ректификации Бензола </t>
        </is>
      </c>
      <c r="D1165" s="528" t="n"/>
      <c r="E1165" s="528" t="n"/>
      <c r="F1165" s="529" t="n"/>
      <c r="G1165" s="530" t="inlineStr">
        <is>
          <t>17_100336080</t>
        </is>
      </c>
      <c r="H1165" s="530" t="n"/>
      <c r="I1165" s="825" t="inlineStr">
        <is>
          <t>тыс.т.</t>
        </is>
      </c>
    </row>
    <row r="1166" ht="20.1" customHeight="1" s="769">
      <c r="C1166" s="754" t="inlineStr">
        <is>
          <t>в т.ч. товарный</t>
        </is>
      </c>
      <c r="D1166" s="528" t="n"/>
      <c r="E1166" s="528" t="n"/>
      <c r="F1166" s="529" t="n"/>
      <c r="G1166" s="530" t="inlineStr">
        <is>
          <t>17_100336081</t>
        </is>
      </c>
      <c r="H1166" s="530" t="n"/>
      <c r="I1166" s="906" t="inlineStr">
        <is>
          <t>тыс.т.</t>
        </is>
      </c>
    </row>
    <row r="1167" ht="20.1" customHeight="1" s="769">
      <c r="B1167" s="747" t="inlineStr">
        <is>
          <t>3.8</t>
        </is>
      </c>
      <c r="C1167" s="448" t="inlineStr">
        <is>
          <t xml:space="preserve">Стирол </t>
        </is>
      </c>
      <c r="D1167" s="528" t="n"/>
      <c r="E1167" s="528" t="n"/>
      <c r="F1167" s="529" t="n"/>
      <c r="G1167" s="530" t="inlineStr">
        <is>
          <t>17_100330837</t>
        </is>
      </c>
      <c r="H1167" s="530" t="n"/>
      <c r="I1167" s="825" t="inlineStr">
        <is>
          <t>тыс.т.</t>
        </is>
      </c>
    </row>
    <row r="1168" ht="20.1" customHeight="1" s="769">
      <c r="C1168" s="754" t="inlineStr">
        <is>
          <t>в т.ч. товарный</t>
        </is>
      </c>
      <c r="D1168" s="528" t="n"/>
      <c r="E1168" s="528" t="n"/>
      <c r="F1168" s="529" t="n"/>
      <c r="G1168" s="530" t="inlineStr">
        <is>
          <t>17_100330838</t>
        </is>
      </c>
      <c r="H1168" s="530" t="n"/>
      <c r="I1168" s="906" t="inlineStr">
        <is>
          <t>тыс.т.</t>
        </is>
      </c>
    </row>
    <row r="1169" ht="20.1" customHeight="1" s="769">
      <c r="B1169" s="747" t="inlineStr">
        <is>
          <t>3.9</t>
        </is>
      </c>
      <c r="C1169" s="448" t="inlineStr">
        <is>
          <t xml:space="preserve">Кубовый Остаток Ректификации Стирола </t>
        </is>
      </c>
      <c r="D1169" s="528" t="n"/>
      <c r="E1169" s="528" t="n"/>
      <c r="F1169" s="529" t="n"/>
      <c r="G1169" s="530" t="inlineStr">
        <is>
          <t>17_100336082</t>
        </is>
      </c>
      <c r="H1169" s="530" t="n"/>
      <c r="I1169" s="825" t="inlineStr">
        <is>
          <t>тыс.т.</t>
        </is>
      </c>
    </row>
    <row r="1170" ht="20.1" customHeight="1" s="769">
      <c r="C1170" s="754" t="inlineStr">
        <is>
          <t>в т.ч. товарный</t>
        </is>
      </c>
      <c r="D1170" s="528" t="n"/>
      <c r="E1170" s="528" t="n"/>
      <c r="F1170" s="529" t="n"/>
      <c r="G1170" s="530" t="inlineStr">
        <is>
          <t>17_100336083</t>
        </is>
      </c>
      <c r="H1170" s="530" t="n"/>
      <c r="I1170" s="906" t="inlineStr">
        <is>
          <t>тыс.т.</t>
        </is>
      </c>
    </row>
    <row r="1171" ht="20.1" customHeight="1" s="769">
      <c r="B1171" s="747" t="inlineStr">
        <is>
          <t>3.10</t>
        </is>
      </c>
      <c r="C1171" s="448" t="inlineStr">
        <is>
          <t xml:space="preserve">Этилбензол </t>
        </is>
      </c>
      <c r="D1171" s="528" t="n"/>
      <c r="E1171" s="528" t="n"/>
      <c r="F1171" s="529" t="n"/>
      <c r="G1171" s="530" t="inlineStr">
        <is>
          <t>17_100336084</t>
        </is>
      </c>
      <c r="H1171" s="530" t="n"/>
      <c r="I1171" s="825" t="inlineStr">
        <is>
          <t>тыс.т.</t>
        </is>
      </c>
    </row>
    <row r="1172" ht="20.1" customHeight="1" s="769">
      <c r="C1172" s="754" t="inlineStr">
        <is>
          <t>в т.ч. товарный</t>
        </is>
      </c>
      <c r="D1172" s="528" t="n"/>
      <c r="E1172" s="528" t="n"/>
      <c r="F1172" s="529" t="n"/>
      <c r="G1172" s="530" t="inlineStr">
        <is>
          <t>17_100336085</t>
        </is>
      </c>
      <c r="H1172" s="530" t="n"/>
      <c r="I1172" s="906" t="inlineStr">
        <is>
          <t>тыс.т.</t>
        </is>
      </c>
    </row>
    <row r="1173" ht="20.1" customHeight="1" s="769">
      <c r="B1173" s="747" t="inlineStr">
        <is>
          <t>3.11</t>
        </is>
      </c>
      <c r="C1173" s="448" t="inlineStr">
        <is>
          <t xml:space="preserve">Полиэтилен высокого давления </t>
        </is>
      </c>
      <c r="D1173" s="528" t="n"/>
      <c r="E1173" s="528" t="n"/>
      <c r="F1173" s="529" t="n"/>
      <c r="G1173" s="530" t="inlineStr">
        <is>
          <t>17_100330840</t>
        </is>
      </c>
      <c r="H1173" s="530" t="n"/>
      <c r="I1173" s="825" t="inlineStr">
        <is>
          <t>тыс.т.</t>
        </is>
      </c>
    </row>
    <row r="1174" ht="20.1" customHeight="1" s="769">
      <c r="C1174" s="754" t="inlineStr">
        <is>
          <t>в т.ч. товарный</t>
        </is>
      </c>
      <c r="D1174" s="528" t="n"/>
      <c r="E1174" s="528" t="n"/>
      <c r="F1174" s="529" t="n"/>
      <c r="G1174" s="530" t="inlineStr">
        <is>
          <t>17_100335112</t>
        </is>
      </c>
      <c r="H1174" s="530" t="n"/>
      <c r="I1174" s="906" t="inlineStr">
        <is>
          <t>тыс.т.</t>
        </is>
      </c>
    </row>
    <row r="1175" ht="20.1" customHeight="1" s="769">
      <c r="B1175" s="747" t="inlineStr">
        <is>
          <t>3.12</t>
        </is>
      </c>
      <c r="C1175" s="448" t="inlineStr">
        <is>
          <t xml:space="preserve">Полиэтилен низкого давления </t>
        </is>
      </c>
      <c r="D1175" s="528" t="n"/>
      <c r="E1175" s="528" t="n"/>
      <c r="F1175" s="529" t="n"/>
      <c r="G1175" s="530" t="inlineStr">
        <is>
          <t>17_100330841</t>
        </is>
      </c>
      <c r="H1175" s="530" t="n"/>
      <c r="I1175" s="825" t="inlineStr">
        <is>
          <t>тыс.т.</t>
        </is>
      </c>
    </row>
    <row r="1176" ht="20.1" customHeight="1" s="769">
      <c r="C1176" s="754" t="inlineStr">
        <is>
          <t>в т.ч. товарный</t>
        </is>
      </c>
      <c r="D1176" s="528" t="n"/>
      <c r="E1176" s="528" t="n"/>
      <c r="F1176" s="529" t="n"/>
      <c r="G1176" s="530" t="inlineStr">
        <is>
          <t>17_100335113</t>
        </is>
      </c>
      <c r="H1176" s="530" t="n"/>
      <c r="I1176" s="906" t="inlineStr">
        <is>
          <t>тыс.т.</t>
        </is>
      </c>
    </row>
    <row r="1177" ht="20.1" customHeight="1" s="769">
      <c r="B1177" s="747" t="inlineStr">
        <is>
          <t>3.13</t>
        </is>
      </c>
      <c r="C1177" s="448" t="inlineStr">
        <is>
          <t xml:space="preserve">Полистирол (ПСМ) </t>
        </is>
      </c>
      <c r="D1177" s="528" t="n"/>
      <c r="E1177" s="528" t="n"/>
      <c r="F1177" s="529" t="n"/>
      <c r="G1177" s="530" t="inlineStr">
        <is>
          <t>17_100330839</t>
        </is>
      </c>
      <c r="H1177" s="530" t="n"/>
      <c r="I1177" s="825" t="inlineStr">
        <is>
          <t>тыс.т.</t>
        </is>
      </c>
    </row>
    <row r="1178" ht="20.1" customHeight="1" s="769">
      <c r="C1178" s="754" t="inlineStr">
        <is>
          <t>в т.ч. товарный</t>
        </is>
      </c>
      <c r="D1178" s="528" t="n"/>
      <c r="E1178" s="528" t="n"/>
      <c r="F1178" s="529" t="n"/>
      <c r="G1178" s="530" t="inlineStr">
        <is>
          <t>17_100335111</t>
        </is>
      </c>
      <c r="H1178" s="530" t="n"/>
      <c r="I1178" s="906" t="inlineStr">
        <is>
          <t>тыс.т.</t>
        </is>
      </c>
    </row>
    <row r="1179" ht="20.1" customHeight="1" s="769">
      <c r="C1179" s="448" t="inlineStr">
        <is>
          <t xml:space="preserve">Нормальный  бутанол </t>
        </is>
      </c>
      <c r="D1179" s="528" t="n"/>
      <c r="E1179" s="528" t="n"/>
      <c r="F1179" s="529" t="n"/>
      <c r="G1179" s="530" t="inlineStr">
        <is>
          <t>17_100330842</t>
        </is>
      </c>
      <c r="H1179" s="530" t="n"/>
      <c r="I1179" s="825" t="inlineStr">
        <is>
          <t>тыс.т.</t>
        </is>
      </c>
    </row>
    <row r="1180" ht="20.1" customHeight="1" s="769">
      <c r="C1180" s="754" t="inlineStr">
        <is>
          <t>в т.ч. товарный</t>
        </is>
      </c>
      <c r="D1180" s="528" t="n"/>
      <c r="E1180" s="528" t="n"/>
      <c r="F1180" s="529" t="n"/>
      <c r="G1180" s="530" t="inlineStr">
        <is>
          <t>17_100330843</t>
        </is>
      </c>
      <c r="H1180" s="530" t="n"/>
      <c r="I1180" s="906" t="inlineStr">
        <is>
          <t>тыс.т.</t>
        </is>
      </c>
    </row>
    <row r="1181" ht="20.1" customHeight="1" s="769">
      <c r="C1181" s="754" t="inlineStr">
        <is>
          <t>На ООО "Акрил-Салават"</t>
        </is>
      </c>
      <c r="D1181" s="528" t="n"/>
      <c r="E1181" s="528" t="n"/>
      <c r="F1181" s="529" t="n"/>
      <c r="G1181" s="530" t="inlineStr">
        <is>
          <t>17_100336086</t>
        </is>
      </c>
      <c r="H1181" s="530" t="n"/>
      <c r="I1181" s="906" t="inlineStr">
        <is>
          <t>тыс.т.</t>
        </is>
      </c>
    </row>
    <row r="1182" ht="20.1" customHeight="1" s="769">
      <c r="C1182" s="754" t="inlineStr">
        <is>
          <t>На Дмитриевский хим.завод (производство бутилацетата)</t>
        </is>
      </c>
      <c r="D1182" s="528" t="n"/>
      <c r="E1182" s="528" t="n"/>
      <c r="F1182" s="529" t="n"/>
      <c r="G1182" s="530" t="inlineStr">
        <is>
          <t>17_100336087</t>
        </is>
      </c>
      <c r="H1182" s="530" t="n"/>
      <c r="I1182" s="906" t="inlineStr">
        <is>
          <t>тыс.т.</t>
        </is>
      </c>
    </row>
    <row r="1183" ht="20.1" customHeight="1" s="769">
      <c r="B1183" s="747" t="inlineStr">
        <is>
          <t>3.14</t>
        </is>
      </c>
      <c r="C1183" s="448" t="inlineStr">
        <is>
          <t xml:space="preserve">Изобутанол </t>
        </is>
      </c>
      <c r="D1183" s="528" t="n"/>
      <c r="E1183" s="528" t="n"/>
      <c r="F1183" s="529" t="n"/>
      <c r="G1183" s="530" t="inlineStr">
        <is>
          <t>17_100330844</t>
        </is>
      </c>
      <c r="H1183" s="530" t="n"/>
      <c r="I1183" s="825" t="inlineStr">
        <is>
          <t>тыс.т.</t>
        </is>
      </c>
    </row>
    <row r="1184" ht="20.1" customHeight="1" s="769">
      <c r="C1184" s="754" t="inlineStr">
        <is>
          <t>в т.ч. товарный</t>
        </is>
      </c>
      <c r="D1184" s="528" t="n"/>
      <c r="E1184" s="528" t="n"/>
      <c r="F1184" s="529" t="n"/>
      <c r="G1184" s="530" t="inlineStr">
        <is>
          <t>17_100330845</t>
        </is>
      </c>
      <c r="H1184" s="530" t="n"/>
      <c r="I1184" s="906" t="inlineStr">
        <is>
          <t>тыс.т.</t>
        </is>
      </c>
    </row>
    <row r="1185" ht="20.1" customHeight="1" s="769">
      <c r="C1185" s="754" t="inlineStr">
        <is>
          <t>На НПЗ</t>
        </is>
      </c>
      <c r="D1185" s="528" t="n"/>
      <c r="E1185" s="528" t="n"/>
      <c r="F1185" s="529" t="n"/>
      <c r="G1185" s="530" t="inlineStr">
        <is>
          <t>17_100336088</t>
        </is>
      </c>
      <c r="H1185" s="530" t="n"/>
      <c r="I1185" s="825" t="inlineStr">
        <is>
          <t>тыс.т.</t>
        </is>
      </c>
    </row>
    <row r="1186" ht="21.75" customHeight="1" s="769">
      <c r="B1186" s="747" t="inlineStr">
        <is>
          <t>3.15</t>
        </is>
      </c>
      <c r="C1186" s="757" t="inlineStr">
        <is>
          <t>Кубовый остаток бутиловых спиртов (КОБС)</t>
        </is>
      </c>
      <c r="D1186" s="528" t="n"/>
      <c r="E1186" s="528" t="n"/>
      <c r="F1186" s="529" t="n"/>
      <c r="G1186" s="530" t="inlineStr">
        <is>
          <t>17_100336089</t>
        </is>
      </c>
      <c r="H1186" s="530" t="n"/>
      <c r="I1186" s="825" t="inlineStr">
        <is>
          <t>тыс.т.</t>
        </is>
      </c>
    </row>
    <row r="1187" ht="20.1" customHeight="1" s="769">
      <c r="C1187" s="754" t="inlineStr">
        <is>
          <t>в т.ч. товарный</t>
        </is>
      </c>
      <c r="D1187" s="528" t="n"/>
      <c r="E1187" s="528" t="n"/>
      <c r="F1187" s="529" t="n"/>
      <c r="G1187" s="530" t="inlineStr">
        <is>
          <t>17_100336090</t>
        </is>
      </c>
      <c r="H1187" s="530" t="n"/>
      <c r="I1187" s="906" t="inlineStr">
        <is>
          <t>тыс.т.</t>
        </is>
      </c>
    </row>
    <row r="1188" ht="20.1" customHeight="1" s="769">
      <c r="C1188" s="754" t="inlineStr">
        <is>
          <t>На НПЗ</t>
        </is>
      </c>
      <c r="D1188" s="528" t="n"/>
      <c r="E1188" s="528" t="n"/>
      <c r="F1188" s="529" t="n"/>
      <c r="G1188" s="530" t="inlineStr">
        <is>
          <t>17_100336091</t>
        </is>
      </c>
      <c r="H1188" s="530" t="n"/>
      <c r="I1188" s="906" t="inlineStr">
        <is>
          <t>тыс.т.</t>
        </is>
      </c>
    </row>
    <row r="1189" ht="20.1" customHeight="1" s="769">
      <c r="B1189" s="747" t="inlineStr">
        <is>
          <t>3.16</t>
        </is>
      </c>
      <c r="C1189" s="448" t="inlineStr">
        <is>
          <t xml:space="preserve">Фталевый ангидрид </t>
        </is>
      </c>
      <c r="D1189" s="528" t="n"/>
      <c r="E1189" s="528" t="n"/>
      <c r="F1189" s="529" t="n"/>
      <c r="G1189" s="530" t="inlineStr">
        <is>
          <t>17_100336092</t>
        </is>
      </c>
      <c r="H1189" s="530" t="n"/>
      <c r="I1189" s="825" t="inlineStr">
        <is>
          <t>тыс.т.</t>
        </is>
      </c>
    </row>
    <row r="1190" ht="20.1" customHeight="1" s="769">
      <c r="C1190" s="754" t="inlineStr">
        <is>
          <t>в т.ч. товарный</t>
        </is>
      </c>
      <c r="D1190" s="528" t="n"/>
      <c r="E1190" s="528" t="n"/>
      <c r="F1190" s="529" t="n"/>
      <c r="G1190" s="530" t="inlineStr">
        <is>
          <t>17_100336093</t>
        </is>
      </c>
      <c r="H1190" s="530" t="n"/>
      <c r="I1190" s="906" t="inlineStr">
        <is>
          <t>тыс.т.</t>
        </is>
      </c>
    </row>
    <row r="1191" ht="20.1" customHeight="1" s="769">
      <c r="B1191" s="747" t="inlineStr">
        <is>
          <t>3.17</t>
        </is>
      </c>
      <c r="C1191" s="448" t="inlineStr">
        <is>
          <t>Эфирная головка</t>
        </is>
      </c>
      <c r="D1191" s="528" t="n"/>
      <c r="E1191" s="528" t="n"/>
      <c r="F1191" s="529" t="n"/>
      <c r="G1191" s="530" t="inlineStr">
        <is>
          <t>17_100336094</t>
        </is>
      </c>
      <c r="H1191" s="530" t="n"/>
      <c r="I1191" s="825" t="inlineStr">
        <is>
          <t>тыс.т.</t>
        </is>
      </c>
    </row>
    <row r="1192" ht="20.1" customHeight="1" s="769">
      <c r="C1192" s="754" t="inlineStr">
        <is>
          <t>в т.ч. товарный</t>
        </is>
      </c>
      <c r="D1192" s="528" t="n"/>
      <c r="E1192" s="528" t="n"/>
      <c r="F1192" s="529" t="n"/>
      <c r="G1192" s="530" t="inlineStr">
        <is>
          <t>17_100336095</t>
        </is>
      </c>
      <c r="H1192" s="530" t="n"/>
      <c r="I1192" s="906" t="inlineStr">
        <is>
          <t>тыс.т.</t>
        </is>
      </c>
    </row>
    <row r="1193" ht="20.1" customHeight="1" s="769">
      <c r="C1193" s="754" t="inlineStr">
        <is>
          <t>На НПЗ</t>
        </is>
      </c>
      <c r="D1193" s="528" t="n"/>
      <c r="E1193" s="528" t="n"/>
      <c r="F1193" s="529" t="n"/>
      <c r="G1193" s="530" t="inlineStr">
        <is>
          <t>17_100336096</t>
        </is>
      </c>
      <c r="H1193" s="530" t="n"/>
      <c r="I1193" s="906" t="inlineStr">
        <is>
          <t>тыс.т.</t>
        </is>
      </c>
    </row>
    <row r="1194" ht="20.1" customHeight="1" s="769">
      <c r="B1194" s="747" t="inlineStr">
        <is>
          <t>3.18</t>
        </is>
      </c>
      <c r="C1194" s="448" t="inlineStr">
        <is>
          <t xml:space="preserve">Пластификаторы </t>
        </is>
      </c>
      <c r="D1194" s="528" t="n"/>
      <c r="E1194" s="528" t="n"/>
      <c r="F1194" s="529" t="n"/>
      <c r="G1194" s="530" t="inlineStr">
        <is>
          <t>17_100330846</t>
        </is>
      </c>
      <c r="H1194" s="530" t="n"/>
      <c r="I1194" s="825" t="inlineStr">
        <is>
          <t>тыс.т.</t>
        </is>
      </c>
    </row>
    <row r="1195" ht="20.1" customHeight="1" s="769">
      <c r="C1195" s="754" t="inlineStr">
        <is>
          <t>в т.ч. товарный</t>
        </is>
      </c>
      <c r="D1195" s="528" t="n"/>
      <c r="E1195" s="528" t="n"/>
      <c r="F1195" s="529" t="n"/>
      <c r="G1195" s="530" t="inlineStr">
        <is>
          <t>17_100336097</t>
        </is>
      </c>
      <c r="H1195" s="530" t="n"/>
      <c r="I1195" s="906" t="inlineStr">
        <is>
          <t>тыс.т.</t>
        </is>
      </c>
    </row>
    <row r="1196" ht="20.1" customHeight="1" s="769">
      <c r="B1196" s="747" t="inlineStr">
        <is>
          <t>3.19</t>
        </is>
      </c>
      <c r="C1196" s="448" t="inlineStr">
        <is>
          <t xml:space="preserve">Дваэтилгексанол </t>
        </is>
      </c>
      <c r="D1196" s="528" t="n"/>
      <c r="E1196" s="528" t="n"/>
      <c r="F1196" s="529" t="n"/>
      <c r="G1196" s="530" t="inlineStr">
        <is>
          <t>17_100336098</t>
        </is>
      </c>
      <c r="H1196" s="530" t="n"/>
      <c r="I1196" s="825" t="inlineStr">
        <is>
          <t>тыс.т.</t>
        </is>
      </c>
    </row>
    <row r="1197" ht="20.1" customHeight="1" s="769">
      <c r="C1197" s="754" t="inlineStr">
        <is>
          <t>в т.ч. товарный</t>
        </is>
      </c>
      <c r="D1197" s="528" t="n"/>
      <c r="E1197" s="528" t="n"/>
      <c r="F1197" s="529" t="n"/>
      <c r="G1197" s="530" t="inlineStr">
        <is>
          <t>17_100336099</t>
        </is>
      </c>
      <c r="H1197" s="530" t="n"/>
      <c r="I1197" s="906" t="inlineStr">
        <is>
          <t>тыс.т.</t>
        </is>
      </c>
    </row>
    <row r="1198" ht="20.1" customHeight="1" s="769">
      <c r="B1198" s="747" t="inlineStr">
        <is>
          <t>3.20</t>
        </is>
      </c>
      <c r="C1198" s="757" t="inlineStr">
        <is>
          <t xml:space="preserve">Кубовый остаток от дваэтилгексанола (КОРДЭГ) </t>
        </is>
      </c>
      <c r="D1198" s="528" t="n"/>
      <c r="E1198" s="528" t="n"/>
      <c r="F1198" s="529" t="n"/>
      <c r="G1198" s="530" t="inlineStr">
        <is>
          <t>17_100336100</t>
        </is>
      </c>
      <c r="H1198" s="530" t="n"/>
      <c r="I1198" s="825" t="inlineStr">
        <is>
          <t>тыс.т.</t>
        </is>
      </c>
    </row>
    <row r="1199" ht="20.1" customHeight="1" s="769">
      <c r="C1199" s="754" t="inlineStr">
        <is>
          <t>в т.ч. товарный</t>
        </is>
      </c>
      <c r="D1199" s="528" t="n"/>
      <c r="E1199" s="528" t="n"/>
      <c r="F1199" s="529" t="n"/>
      <c r="G1199" s="530" t="inlineStr">
        <is>
          <t>17_100336101</t>
        </is>
      </c>
      <c r="H1199" s="530" t="n"/>
      <c r="I1199" s="906" t="inlineStr">
        <is>
          <t>тыс.т.</t>
        </is>
      </c>
    </row>
    <row r="1200" ht="20.1" customHeight="1" s="769">
      <c r="C1200" s="754" t="n"/>
      <c r="D1200" s="528" t="n"/>
      <c r="E1200" s="528" t="n"/>
      <c r="F1200" s="529" t="n"/>
      <c r="G1200" s="530" t="n"/>
      <c r="H1200" s="530" t="n"/>
      <c r="I1200" s="825" t="n"/>
    </row>
    <row r="1201" ht="20.1" customHeight="1" s="769">
      <c r="C1201" s="758" t="inlineStr">
        <is>
          <t>ГАЗОХИМИЧЕСКИЙ ЗАВОД (ГХЗ)</t>
        </is>
      </c>
      <c r="D1201" s="528" t="n"/>
      <c r="E1201" s="528" t="n"/>
      <c r="F1201" s="529" t="n"/>
      <c r="G1201" s="530" t="n"/>
      <c r="H1201" s="530" t="n"/>
      <c r="I1201" s="825" t="n"/>
    </row>
    <row r="1202" ht="20.1" customHeight="1" s="769">
      <c r="B1202" s="747" t="inlineStr">
        <is>
          <t>1.</t>
        </is>
      </c>
      <c r="C1202" s="757" t="inlineStr">
        <is>
          <t xml:space="preserve">ПЕРЕРАБОТКА СЫРЬЯ </t>
        </is>
      </c>
      <c r="D1202" s="528" t="n"/>
      <c r="E1202" s="528" t="n"/>
      <c r="F1202" s="529" t="n"/>
      <c r="G1202" s="530" t="n"/>
      <c r="H1202" s="530" t="n"/>
      <c r="I1202" s="825" t="n"/>
    </row>
    <row r="1203" ht="20.1" customHeight="1" s="769">
      <c r="B1203" s="747" t="inlineStr">
        <is>
          <t>1.1</t>
        </is>
      </c>
      <c r="C1203" s="448" t="inlineStr">
        <is>
          <t>Природный газ</t>
        </is>
      </c>
      <c r="D1203" s="528" t="n"/>
      <c r="E1203" s="528" t="n"/>
      <c r="F1203" s="529" t="n"/>
      <c r="G1203" s="530" t="inlineStr">
        <is>
          <t>17_100330794</t>
        </is>
      </c>
      <c r="H1203" s="530" t="n"/>
      <c r="I1203" s="825" t="inlineStr">
        <is>
          <t>млн.м3</t>
        </is>
      </c>
    </row>
    <row r="1204" ht="20.1" customHeight="1" s="769">
      <c r="B1204" s="747" t="inlineStr">
        <is>
          <t>2.</t>
        </is>
      </c>
      <c r="C1204" s="757" t="inlineStr">
        <is>
          <t xml:space="preserve">ПРОДУКЦИЯ </t>
        </is>
      </c>
      <c r="D1204" s="528" t="n"/>
      <c r="E1204" s="528" t="n"/>
      <c r="F1204" s="529" t="n"/>
      <c r="G1204" s="530" t="n"/>
      <c r="H1204" s="530" t="n"/>
      <c r="I1204" s="825" t="n"/>
    </row>
    <row r="1205" ht="20.1" customHeight="1" s="769">
      <c r="B1205" s="747" t="inlineStr">
        <is>
          <t>2.1</t>
        </is>
      </c>
      <c r="C1205" s="448" t="inlineStr">
        <is>
          <t xml:space="preserve">Аммиак </t>
        </is>
      </c>
      <c r="D1205" s="528" t="n"/>
      <c r="E1205" s="528" t="n"/>
      <c r="F1205" s="529" t="n"/>
      <c r="G1205" s="530" t="inlineStr">
        <is>
          <t>17_100330798</t>
        </is>
      </c>
      <c r="H1205" s="530" t="n"/>
      <c r="I1205" s="825" t="inlineStr">
        <is>
          <t>тыс.т.</t>
        </is>
      </c>
    </row>
    <row r="1206" ht="20.1" customHeight="1" s="769">
      <c r="C1206" s="754" t="inlineStr">
        <is>
          <t>в т.ч. товарный</t>
        </is>
      </c>
      <c r="D1206" s="528" t="n"/>
      <c r="E1206" s="528" t="n"/>
      <c r="F1206" s="529" t="n"/>
      <c r="G1206" s="530" t="inlineStr">
        <is>
          <t>17_100330799</t>
        </is>
      </c>
      <c r="H1206" s="530" t="n"/>
      <c r="I1206" s="906" t="inlineStr">
        <is>
          <t>тыс.т.</t>
        </is>
      </c>
    </row>
    <row r="1207" ht="20.1" customHeight="1" s="769">
      <c r="B1207" s="747" t="inlineStr">
        <is>
          <t>2.2</t>
        </is>
      </c>
      <c r="C1207" s="448" t="inlineStr">
        <is>
          <t xml:space="preserve">Карбамид </t>
        </is>
      </c>
      <c r="D1207" s="528" t="n"/>
      <c r="E1207" s="528" t="n"/>
      <c r="F1207" s="529" t="n"/>
      <c r="G1207" s="530" t="inlineStr">
        <is>
          <t>17_100330796</t>
        </is>
      </c>
      <c r="H1207" s="530" t="n"/>
      <c r="I1207" s="825" t="inlineStr">
        <is>
          <t>тыс.т.</t>
        </is>
      </c>
    </row>
    <row r="1208" ht="20.1" customHeight="1" s="769">
      <c r="C1208" s="754" t="inlineStr">
        <is>
          <t>в т.ч. товарный</t>
        </is>
      </c>
      <c r="D1208" s="528" t="n"/>
      <c r="E1208" s="528" t="n"/>
      <c r="F1208" s="529" t="n"/>
      <c r="G1208" s="530" t="inlineStr">
        <is>
          <t>17_100336102</t>
        </is>
      </c>
      <c r="H1208" s="530" t="n"/>
      <c r="I1208" s="906" t="inlineStr">
        <is>
          <t>тыс.т.</t>
        </is>
      </c>
    </row>
    <row r="1209" ht="20.1" customHeight="1" s="769">
      <c r="B1209" s="747" t="inlineStr">
        <is>
          <t>2.3</t>
        </is>
      </c>
      <c r="C1209" s="448" t="inlineStr">
        <is>
          <t xml:space="preserve">Аммиачная вода </t>
        </is>
      </c>
      <c r="D1209" s="528" t="n"/>
      <c r="E1209" s="528" t="n"/>
      <c r="F1209" s="529" t="n"/>
      <c r="G1209" s="530" t="inlineStr">
        <is>
          <t>17_100330800</t>
        </is>
      </c>
      <c r="H1209" s="530" t="n"/>
      <c r="I1209" s="825" t="inlineStr">
        <is>
          <t>тыс.т.</t>
        </is>
      </c>
    </row>
    <row r="1210" ht="20.1" customHeight="1" s="769">
      <c r="C1210" s="754" t="inlineStr">
        <is>
          <t>в т.ч. товарный</t>
        </is>
      </c>
      <c r="D1210" s="528" t="n"/>
      <c r="E1210" s="528" t="n"/>
      <c r="F1210" s="529" t="n"/>
      <c r="G1210" s="530" t="inlineStr">
        <is>
          <t>17_100336103</t>
        </is>
      </c>
      <c r="H1210" s="530" t="n"/>
      <c r="I1210" s="906" t="inlineStr">
        <is>
          <t>тыс.т.</t>
        </is>
      </c>
    </row>
    <row r="1211" ht="20.1" customHeight="1" s="769">
      <c r="C1211" s="754" t="n"/>
      <c r="D1211" s="528" t="n"/>
      <c r="E1211" s="528" t="n"/>
      <c r="F1211" s="529" t="n"/>
      <c r="G1211" s="530" t="n"/>
      <c r="H1211" s="530" t="n"/>
      <c r="I1211" s="825" t="n"/>
    </row>
    <row r="1212" ht="20.1" customHeight="1" s="769">
      <c r="C1212" s="758" t="inlineStr">
        <is>
          <t>ООО "АКРИЛ-САЛАВАТ"</t>
        </is>
      </c>
      <c r="D1212" s="528" t="n"/>
      <c r="E1212" s="528" t="n"/>
      <c r="F1212" s="529" t="n"/>
      <c r="G1212" s="530" t="n"/>
      <c r="H1212" s="530" t="n"/>
      <c r="I1212" s="825" t="n"/>
    </row>
    <row r="1213" ht="20.1" customHeight="1" s="769">
      <c r="B1213" s="747" t="inlineStr">
        <is>
          <t>1.</t>
        </is>
      </c>
      <c r="C1213" s="757" t="inlineStr">
        <is>
          <t xml:space="preserve">ПЕРЕРАБОТКА СЫРЬЯ </t>
        </is>
      </c>
      <c r="D1213" s="528" t="n"/>
      <c r="E1213" s="528" t="n"/>
      <c r="F1213" s="529" t="n"/>
      <c r="G1213" s="530" t="inlineStr">
        <is>
          <t>17_100332347</t>
        </is>
      </c>
      <c r="H1213" s="530" t="n"/>
      <c r="I1213" s="825" t="inlineStr">
        <is>
          <t>тыс.т.</t>
        </is>
      </c>
    </row>
    <row r="1214" ht="31.5" customHeight="1" s="769">
      <c r="B1214" s="747" t="inlineStr">
        <is>
          <t>1.1</t>
        </is>
      </c>
      <c r="C1214" s="767" t="inlineStr">
        <is>
          <t>Пропилен с завода "Мономер" 
ООО "Газпром нефтехим Салават"</t>
        </is>
      </c>
      <c r="D1214" s="528" t="n"/>
      <c r="E1214" s="528" t="n"/>
      <c r="F1214" s="529" t="n"/>
      <c r="G1214" s="530" t="inlineStr">
        <is>
          <t>17_100332348</t>
        </is>
      </c>
      <c r="H1214" s="530" t="n"/>
      <c r="I1214" s="825" t="inlineStr">
        <is>
          <t>тыс.т.</t>
        </is>
      </c>
    </row>
    <row r="1215" ht="33.75" customHeight="1" s="769">
      <c r="B1215" s="747" t="inlineStr">
        <is>
          <t>1.2</t>
        </is>
      </c>
      <c r="C1215" s="767" t="inlineStr">
        <is>
          <t>Бутанол с завода "Мономер" 
ООО "Газпром нефтехим Салават"</t>
        </is>
      </c>
      <c r="D1215" s="528" t="n"/>
      <c r="E1215" s="528" t="n"/>
      <c r="F1215" s="529" t="n"/>
      <c r="G1215" s="530" t="inlineStr">
        <is>
          <t>17_100332349</t>
        </is>
      </c>
      <c r="H1215" s="530" t="n"/>
      <c r="I1215" s="825" t="inlineStr">
        <is>
          <t>тыс.т.</t>
        </is>
      </c>
    </row>
    <row r="1216" ht="20.1" customHeight="1" s="769">
      <c r="B1216" s="747" t="inlineStr">
        <is>
          <t>2.</t>
        </is>
      </c>
      <c r="C1216" s="757" t="inlineStr">
        <is>
          <t xml:space="preserve">ПРОДУКЦИЯ </t>
        </is>
      </c>
      <c r="D1216" s="528" t="n"/>
      <c r="E1216" s="528" t="n"/>
      <c r="F1216" s="529" t="n"/>
      <c r="G1216" s="530" t="n"/>
      <c r="H1216" s="530" t="n"/>
      <c r="I1216" s="825" t="n"/>
    </row>
    <row r="1217" ht="20.1" customHeight="1" s="769">
      <c r="B1217" s="747" t="inlineStr">
        <is>
          <t>2.1</t>
        </is>
      </c>
      <c r="C1217" s="448" t="inlineStr">
        <is>
          <t>Бутилакрилат (товарный)</t>
        </is>
      </c>
      <c r="D1217" s="528" t="n"/>
      <c r="E1217" s="528" t="n"/>
      <c r="F1217" s="529" t="n"/>
      <c r="G1217" s="530" t="inlineStr">
        <is>
          <t>17_100332352</t>
        </is>
      </c>
      <c r="H1217" s="530" t="n"/>
      <c r="I1217" s="825" t="inlineStr">
        <is>
          <t>тыс.т.</t>
        </is>
      </c>
    </row>
    <row r="1218" ht="20.1" customHeight="1" s="769">
      <c r="B1218" s="747" t="inlineStr">
        <is>
          <t>2.2</t>
        </is>
      </c>
      <c r="C1218" s="448" t="inlineStr">
        <is>
          <t>Ледяная акриловая кислота (товарный)</t>
        </is>
      </c>
      <c r="D1218" s="528" t="n"/>
      <c r="E1218" s="528" t="n"/>
      <c r="F1218" s="529" t="n"/>
      <c r="G1218" s="530" t="inlineStr">
        <is>
          <t>17_100332353</t>
        </is>
      </c>
      <c r="H1218" s="530" t="n"/>
      <c r="I1218" s="825" t="inlineStr">
        <is>
          <t>тыс.т.</t>
        </is>
      </c>
    </row>
    <row r="1219" ht="20.1" customHeight="1" s="769">
      <c r="C1219" s="457" t="n"/>
      <c r="D1219" s="528" t="n"/>
      <c r="E1219" s="528" t="n"/>
      <c r="F1219" s="529" t="n"/>
      <c r="G1219" s="530" t="n"/>
      <c r="H1219" s="530" t="n"/>
      <c r="I1219" s="446" t="n"/>
    </row>
    <row r="1220" ht="20.1" customHeight="1" s="769">
      <c r="B1220" s="416" t="inlineStr">
        <is>
          <t>Раздел 3. Прогноз  переработки давальческого углеводородного сырья ассоциированных обществ  и совместных предприятий на предприятиях Группы Газпром</t>
        </is>
      </c>
      <c r="C1220" s="458" t="n"/>
      <c r="D1220" s="528" t="n"/>
      <c r="E1220" s="528" t="n"/>
      <c r="F1220" s="529" t="n"/>
      <c r="G1220" s="530" t="n"/>
      <c r="H1220" s="530" t="n"/>
      <c r="I1220" s="458" t="n"/>
    </row>
    <row r="1221" ht="20.1" customHeight="1" s="769">
      <c r="C1221" s="416" t="inlineStr">
        <is>
          <t>ТОО "КазРосГаз" (Оренбургский ГПЗ)</t>
        </is>
      </c>
      <c r="D1221" s="528" t="n"/>
      <c r="E1221" s="528" t="n"/>
      <c r="F1221" s="529" t="n"/>
      <c r="G1221" s="530" t="n"/>
      <c r="H1221" s="530" t="n"/>
      <c r="I1221" s="446" t="n"/>
    </row>
    <row r="1222" ht="20.1" customHeight="1" s="769">
      <c r="B1222" s="459" t="inlineStr">
        <is>
          <t>1.</t>
        </is>
      </c>
      <c r="C1222" s="459" t="inlineStr">
        <is>
          <t>CЫРЬЕ</t>
        </is>
      </c>
      <c r="D1222" s="528" t="n"/>
      <c r="E1222" s="528" t="n"/>
      <c r="F1222" s="529" t="n"/>
      <c r="G1222" s="530" t="n"/>
      <c r="H1222" s="530" t="n"/>
      <c r="I1222" s="446" t="n"/>
    </row>
    <row r="1223" ht="20.1" customHeight="1" s="769">
      <c r="B1223" s="747" t="inlineStr">
        <is>
          <t>1.1</t>
        </is>
      </c>
      <c r="C1223" s="918" t="inlineStr">
        <is>
          <t>Переработка газа на Оренбургском ГПЗ</t>
        </is>
      </c>
      <c r="D1223" s="528" t="n"/>
      <c r="E1223" s="528" t="n"/>
      <c r="F1223" s="529" t="n"/>
      <c r="G1223" s="530" t="inlineStr">
        <is>
          <t>2_100332046</t>
        </is>
      </c>
      <c r="H1223" s="530" t="n"/>
      <c r="I1223" s="446" t="inlineStr">
        <is>
          <t>млн куб. м</t>
        </is>
      </c>
    </row>
    <row r="1224" ht="20.1" customHeight="1" s="769">
      <c r="C1224" s="436" t="inlineStr">
        <is>
          <t xml:space="preserve">   ТОО "КазРосГаз"(газ КГКМ)</t>
        </is>
      </c>
      <c r="D1224" s="528" t="n"/>
      <c r="E1224" s="528" t="n"/>
      <c r="F1224" s="529" t="n"/>
      <c r="G1224" s="530" t="inlineStr">
        <is>
          <t>2_100332046</t>
        </is>
      </c>
      <c r="H1224" s="530" t="n"/>
      <c r="I1224" s="906" t="inlineStr">
        <is>
          <t>млн куб. м</t>
        </is>
      </c>
    </row>
    <row r="1225" ht="20.1" customHeight="1" s="769">
      <c r="C1225" s="436" t="inlineStr">
        <is>
          <t>в т.ч. на У-01 АО "ЮУПК"</t>
        </is>
      </c>
      <c r="D1225" s="528" t="n"/>
      <c r="E1225" s="528" t="n"/>
      <c r="F1225" s="529" t="n"/>
      <c r="G1225" s="530" t="inlineStr">
        <is>
          <t>2_100332048</t>
        </is>
      </c>
      <c r="H1225" s="530" t="n"/>
      <c r="I1225" s="906" t="inlineStr">
        <is>
          <t>млн куб. м</t>
        </is>
      </c>
    </row>
    <row r="1226" ht="20.1" customHeight="1" s="769">
      <c r="B1226" s="747" t="inlineStr">
        <is>
          <t>1.2</t>
        </is>
      </c>
      <c r="C1226" s="416" t="inlineStr">
        <is>
          <t>Переработка газа на Оренбургском гелиевом заводе:</t>
        </is>
      </c>
      <c r="D1226" s="528" t="n"/>
      <c r="E1226" s="528" t="n"/>
      <c r="F1226" s="529" t="n"/>
      <c r="G1226" s="530" t="inlineStr">
        <is>
          <t>2_100332058</t>
        </is>
      </c>
      <c r="H1226" s="530" t="n"/>
      <c r="I1226" s="446" t="inlineStr">
        <is>
          <t>млн куб. м</t>
        </is>
      </c>
    </row>
    <row r="1227" ht="20.1" customHeight="1" s="769">
      <c r="C1227" s="436" t="inlineStr">
        <is>
          <t xml:space="preserve">   ТОО "КазРосГаз"(газ КГКМ)</t>
        </is>
      </c>
      <c r="D1227" s="528" t="n"/>
      <c r="E1227" s="528" t="n"/>
      <c r="F1227" s="529" t="n"/>
      <c r="G1227" s="530" t="inlineStr">
        <is>
          <t>2_100332058</t>
        </is>
      </c>
      <c r="H1227" s="530" t="n"/>
      <c r="I1227" s="906" t="inlineStr">
        <is>
          <t>млн куб. м</t>
        </is>
      </c>
    </row>
    <row r="1228" ht="20.1" customHeight="1" s="769">
      <c r="B1228" s="459" t="n"/>
      <c r="C1228" s="459" t="inlineStr">
        <is>
          <t xml:space="preserve">ПРОДУКЦИЯ    </t>
        </is>
      </c>
      <c r="D1228" s="528" t="n"/>
      <c r="E1228" s="528" t="n"/>
      <c r="F1228" s="529" t="n"/>
      <c r="G1228" s="530" t="n"/>
      <c r="H1228" s="530" t="n"/>
      <c r="I1228" s="446" t="n"/>
    </row>
    <row r="1229" ht="20.1" customHeight="1" s="769">
      <c r="B1229" s="747" t="inlineStr">
        <is>
          <t>2.</t>
        </is>
      </c>
      <c r="C1229" s="416" t="inlineStr">
        <is>
          <t>Сера техническая</t>
        </is>
      </c>
      <c r="D1229" s="528" t="n"/>
      <c r="E1229" s="528" t="n"/>
      <c r="F1229" s="529" t="n"/>
      <c r="G1229" s="530" t="n"/>
      <c r="H1229" s="530" t="n"/>
      <c r="I1229" s="446" t="n"/>
    </row>
    <row r="1230" ht="20.1" customHeight="1" s="769">
      <c r="C1230" s="460" t="inlineStr">
        <is>
          <t>Оренбургский ГХК:</t>
        </is>
      </c>
      <c r="D1230" s="528" t="n"/>
      <c r="E1230" s="528" t="n"/>
      <c r="F1230" s="529" t="n"/>
      <c r="G1230" s="530" t="inlineStr">
        <is>
          <t>2_100332198</t>
        </is>
      </c>
      <c r="H1230" s="530" t="n"/>
      <c r="I1230" s="446" t="inlineStr">
        <is>
          <t>тыс.т</t>
        </is>
      </c>
    </row>
    <row r="1231" ht="20.1" customHeight="1" s="769">
      <c r="C1231" s="436" t="inlineStr">
        <is>
          <t xml:space="preserve">   ТОО "КазРосГаз"(из газа КГКМ)</t>
        </is>
      </c>
      <c r="D1231" s="528" t="n"/>
      <c r="E1231" s="528" t="n"/>
      <c r="F1231" s="529" t="n"/>
      <c r="G1231" s="530" t="inlineStr">
        <is>
          <t>2_100332198</t>
        </is>
      </c>
      <c r="H1231" s="530" t="n"/>
      <c r="I1231" s="906" t="inlineStr">
        <is>
          <t>тыс.т</t>
        </is>
      </c>
    </row>
    <row r="1232" ht="20.1" customHeight="1" s="769">
      <c r="B1232" s="747" t="inlineStr">
        <is>
          <t>2.1</t>
        </is>
      </c>
      <c r="C1232" s="416" t="inlineStr">
        <is>
          <t>Стабильный газовый конденсат и нефть товарные</t>
        </is>
      </c>
      <c r="D1232" s="528" t="n"/>
      <c r="E1232" s="528" t="n"/>
      <c r="F1232" s="529" t="n"/>
      <c r="G1232" s="530" t="n"/>
      <c r="H1232" s="530" t="n"/>
      <c r="I1232" s="446" t="n"/>
    </row>
    <row r="1233" ht="20.1" customHeight="1" s="769">
      <c r="C1233" s="460" t="inlineStr">
        <is>
          <t>Оренбургский ГХК:</t>
        </is>
      </c>
      <c r="D1233" s="528" t="n"/>
      <c r="E1233" s="528" t="n"/>
      <c r="F1233" s="529" t="n"/>
      <c r="G1233" s="530" t="inlineStr">
        <is>
          <t>2_100332259</t>
        </is>
      </c>
      <c r="H1233" s="530" t="n"/>
      <c r="I1233" s="446" t="inlineStr">
        <is>
          <t>тыс.т</t>
        </is>
      </c>
    </row>
    <row r="1234" ht="20.1" customHeight="1" s="769">
      <c r="C1234" s="436" t="inlineStr">
        <is>
          <t xml:space="preserve">   ТОО "КазРосГаз"(из газа КГКМ)</t>
        </is>
      </c>
      <c r="D1234" s="528" t="n"/>
      <c r="E1234" s="528" t="n"/>
      <c r="F1234" s="529" t="n"/>
      <c r="G1234" s="530" t="inlineStr">
        <is>
          <t>2_100332259</t>
        </is>
      </c>
      <c r="H1234" s="530" t="n"/>
      <c r="I1234" s="906" t="inlineStr">
        <is>
          <t>тыс.т</t>
        </is>
      </c>
    </row>
    <row r="1235" ht="20.1" customHeight="1" s="769">
      <c r="B1235" s="747" t="inlineStr">
        <is>
          <t>2.2</t>
        </is>
      </c>
      <c r="C1235" s="416" t="inlineStr">
        <is>
          <t xml:space="preserve">Газы углеводородные сжиженные  </t>
        </is>
      </c>
      <c r="D1235" s="528" t="n"/>
      <c r="E1235" s="528" t="n"/>
      <c r="F1235" s="529" t="n"/>
      <c r="G1235" s="530" t="n"/>
      <c r="H1235" s="530" t="n"/>
      <c r="I1235" s="446" t="n"/>
    </row>
    <row r="1236" ht="20.1" customHeight="1" s="769">
      <c r="C1236" s="460" t="inlineStr">
        <is>
          <t>Оренбургский ГХК:</t>
        </is>
      </c>
      <c r="D1236" s="528" t="n"/>
      <c r="E1236" s="528" t="n"/>
      <c r="F1236" s="529" t="n"/>
      <c r="G1236" s="530" t="inlineStr">
        <is>
          <t>2_100332227</t>
        </is>
      </c>
      <c r="H1236" s="530" t="n"/>
      <c r="I1236" s="446" t="inlineStr">
        <is>
          <t>тыс.т</t>
        </is>
      </c>
    </row>
    <row r="1237" ht="20.1" customHeight="1" s="769">
      <c r="C1237" s="436" t="inlineStr">
        <is>
          <t xml:space="preserve">   ТОО "КазРосГаз"(из газа КГКМ)</t>
        </is>
      </c>
      <c r="D1237" s="528" t="n"/>
      <c r="E1237" s="528" t="n"/>
      <c r="F1237" s="529" t="n"/>
      <c r="G1237" s="530" t="inlineStr">
        <is>
          <t>2_100332227</t>
        </is>
      </c>
      <c r="H1237" s="530" t="n"/>
      <c r="I1237" s="906" t="inlineStr">
        <is>
          <t>тыс.т</t>
        </is>
      </c>
    </row>
    <row r="1238" ht="20.1" customHeight="1" s="769">
      <c r="B1238" s="747" t="inlineStr">
        <is>
          <t>2.3</t>
        </is>
      </c>
      <c r="C1238" s="416" t="inlineStr">
        <is>
          <t>ШФЛУ</t>
        </is>
      </c>
      <c r="D1238" s="528" t="n"/>
      <c r="E1238" s="528" t="n"/>
      <c r="F1238" s="529" t="n"/>
      <c r="G1238" s="530" t="n"/>
      <c r="H1238" s="530" t="n"/>
      <c r="I1238" s="446" t="n"/>
    </row>
    <row r="1239" ht="20.1" customHeight="1" s="769">
      <c r="C1239" s="460" t="inlineStr">
        <is>
          <t>Оренбургский ГХК:</t>
        </is>
      </c>
      <c r="D1239" s="528" t="n"/>
      <c r="E1239" s="528" t="n"/>
      <c r="F1239" s="529" t="n"/>
      <c r="G1239" s="530" t="inlineStr">
        <is>
          <t>2_100336104</t>
        </is>
      </c>
      <c r="H1239" s="530" t="n"/>
      <c r="I1239" s="446" t="inlineStr">
        <is>
          <t>тыс.т</t>
        </is>
      </c>
    </row>
    <row r="1240" ht="20.1" customHeight="1" s="769">
      <c r="C1240" s="436" t="inlineStr">
        <is>
          <t xml:space="preserve">   ТОО "КазРосГаз"(из газа КГКМ)</t>
        </is>
      </c>
      <c r="D1240" s="528" t="n"/>
      <c r="E1240" s="528" t="n"/>
      <c r="F1240" s="529" t="n"/>
      <c r="G1240" s="530" t="inlineStr">
        <is>
          <t>2_100336104</t>
        </is>
      </c>
      <c r="H1240" s="530" t="n"/>
      <c r="I1240" s="906" t="inlineStr">
        <is>
          <t>тыс.т</t>
        </is>
      </c>
    </row>
    <row r="1241" ht="20.1" customHeight="1" s="769">
      <c r="B1241" s="747" t="inlineStr">
        <is>
          <t>2.4</t>
        </is>
      </c>
      <c r="C1241" s="416" t="inlineStr">
        <is>
          <t>Этановая фракция</t>
        </is>
      </c>
      <c r="D1241" s="528" t="n"/>
      <c r="E1241" s="528" t="n"/>
      <c r="F1241" s="529" t="n"/>
      <c r="G1241" s="530" t="n"/>
      <c r="H1241" s="530" t="n"/>
      <c r="I1241" s="446" t="n"/>
    </row>
    <row r="1242" ht="20.1" customHeight="1" s="769">
      <c r="C1242" s="460" t="inlineStr">
        <is>
          <t>Оренбургский ГХК:</t>
        </is>
      </c>
      <c r="D1242" s="528" t="n"/>
      <c r="E1242" s="528" t="n"/>
      <c r="F1242" s="529" t="n"/>
      <c r="G1242" s="530" t="inlineStr">
        <is>
          <t>2_100332244</t>
        </is>
      </c>
      <c r="H1242" s="530" t="n"/>
      <c r="I1242" s="446" t="inlineStr">
        <is>
          <t>тыс.т</t>
        </is>
      </c>
    </row>
    <row r="1243" ht="20.1" customHeight="1" s="769">
      <c r="C1243" s="436" t="inlineStr">
        <is>
          <t xml:space="preserve">   ТОО "КазРосГаз"(из газа КГКМ)</t>
        </is>
      </c>
      <c r="D1243" s="528" t="n"/>
      <c r="E1243" s="528" t="n"/>
      <c r="F1243" s="529" t="n"/>
      <c r="G1243" s="530" t="inlineStr">
        <is>
          <t>2_100332244</t>
        </is>
      </c>
      <c r="H1243" s="530" t="n"/>
      <c r="I1243" s="906" t="inlineStr">
        <is>
          <t>тыс.т</t>
        </is>
      </c>
    </row>
    <row r="1244" ht="20.1" customHeight="1" s="769">
      <c r="B1244" s="747" t="inlineStr">
        <is>
          <t>2.5</t>
        </is>
      </c>
      <c r="C1244" s="416" t="inlineStr">
        <is>
          <t xml:space="preserve">Топливный газ </t>
        </is>
      </c>
      <c r="D1244" s="528" t="n"/>
      <c r="E1244" s="528" t="n"/>
      <c r="F1244" s="529" t="n"/>
      <c r="G1244" s="530" t="n"/>
      <c r="H1244" s="530" t="n"/>
      <c r="I1244" s="446" t="n"/>
    </row>
    <row r="1245" ht="20.1" customHeight="1" s="769">
      <c r="C1245" s="460" t="inlineStr">
        <is>
          <t>Оренбургский ГХК:</t>
        </is>
      </c>
      <c r="D1245" s="528" t="n"/>
      <c r="E1245" s="528" t="n"/>
      <c r="F1245" s="529" t="n"/>
      <c r="G1245" s="530" t="inlineStr">
        <is>
          <t>2_100332185</t>
        </is>
      </c>
      <c r="H1245" s="530" t="n"/>
      <c r="I1245" s="446" t="inlineStr">
        <is>
          <t>млн куб. м</t>
        </is>
      </c>
    </row>
    <row r="1246" ht="20.1" customHeight="1" s="769">
      <c r="C1246" s="436" t="inlineStr">
        <is>
          <t xml:space="preserve">   ТОО "КазРосГаз"(из газа КГКМ)</t>
        </is>
      </c>
      <c r="D1246" s="528" t="n"/>
      <c r="E1246" s="528" t="n"/>
      <c r="F1246" s="529" t="n"/>
      <c r="G1246" s="530" t="inlineStr">
        <is>
          <t>2_100332185</t>
        </is>
      </c>
      <c r="H1246" s="530" t="n"/>
      <c r="I1246" s="906" t="inlineStr">
        <is>
          <t>млн куб. м</t>
        </is>
      </c>
    </row>
    <row r="1247" ht="20.1" customHeight="1" s="769">
      <c r="B1247" s="747" t="inlineStr">
        <is>
          <t>2.6</t>
        </is>
      </c>
      <c r="C1247" s="416" t="inlineStr">
        <is>
          <t xml:space="preserve">Пентан-гексановая фракция </t>
        </is>
      </c>
      <c r="D1247" s="528" t="n"/>
      <c r="E1247" s="528" t="n"/>
      <c r="F1247" s="529" t="n"/>
      <c r="G1247" s="530" t="n"/>
      <c r="H1247" s="530" t="n"/>
      <c r="I1247" s="446" t="n"/>
    </row>
    <row r="1248" ht="20.1" customHeight="1" s="769">
      <c r="C1248" s="460" t="inlineStr">
        <is>
          <t>Оренбургский ГХК:</t>
        </is>
      </c>
      <c r="D1248" s="528" t="n"/>
      <c r="E1248" s="528" t="n"/>
      <c r="F1248" s="529" t="n"/>
      <c r="G1248" s="530" t="inlineStr">
        <is>
          <t>2_100332236</t>
        </is>
      </c>
      <c r="H1248" s="530" t="n"/>
      <c r="I1248" s="446" t="inlineStr">
        <is>
          <t>тыс.т</t>
        </is>
      </c>
    </row>
    <row r="1249" ht="20.1" customHeight="1" s="769">
      <c r="C1249" s="436" t="inlineStr">
        <is>
          <t xml:space="preserve">   ТОО "КазРосГаз"(из газа КГКМ)</t>
        </is>
      </c>
      <c r="D1249" s="528" t="n"/>
      <c r="E1249" s="528" t="n"/>
      <c r="F1249" s="529" t="n"/>
      <c r="G1249" s="530" t="inlineStr">
        <is>
          <t>2_100332236</t>
        </is>
      </c>
      <c r="H1249" s="530" t="n"/>
      <c r="I1249" s="906" t="inlineStr">
        <is>
          <t>тыс.т</t>
        </is>
      </c>
    </row>
    <row r="1250" ht="20.1" customHeight="1" s="769">
      <c r="B1250" s="747" t="inlineStr">
        <is>
          <t>2.7</t>
        </is>
      </c>
      <c r="C1250" s="416" t="inlineStr">
        <is>
          <t xml:space="preserve">Сухой отбензиненный газ </t>
        </is>
      </c>
      <c r="D1250" s="528" t="n"/>
      <c r="E1250" s="528" t="n"/>
      <c r="F1250" s="529" t="n"/>
      <c r="G1250" s="530" t="n"/>
      <c r="H1250" s="530" t="n"/>
      <c r="I1250" s="446" t="n"/>
    </row>
    <row r="1251" ht="20.1" customHeight="1" s="769">
      <c r="C1251" s="460" t="inlineStr">
        <is>
          <t>Оренбургский ГХК:</t>
        </is>
      </c>
      <c r="D1251" s="528" t="n"/>
      <c r="E1251" s="528" t="n"/>
      <c r="F1251" s="529" t="n"/>
      <c r="G1251" s="530" t="inlineStr">
        <is>
          <t>2_100332119</t>
        </is>
      </c>
      <c r="H1251" s="530" t="n"/>
      <c r="I1251" s="446" t="inlineStr">
        <is>
          <t>млн куб. м</t>
        </is>
      </c>
    </row>
    <row r="1252" ht="20.1" customHeight="1" s="769">
      <c r="C1252" s="436" t="inlineStr">
        <is>
          <t xml:space="preserve">   ТОО "КазРосГаз"(из газа КГКМ)</t>
        </is>
      </c>
      <c r="D1252" s="528" t="n"/>
      <c r="E1252" s="528" t="n"/>
      <c r="F1252" s="529" t="n"/>
      <c r="G1252" s="530" t="inlineStr">
        <is>
          <t>2_100332119</t>
        </is>
      </c>
      <c r="H1252" s="530" t="n"/>
      <c r="I1252" s="906" t="inlineStr">
        <is>
          <t>млн куб. м</t>
        </is>
      </c>
    </row>
    <row r="1253" ht="18.75" customFormat="1" customHeight="1" s="795">
      <c r="B1253" s="461" t="n"/>
      <c r="C1253" s="325" t="n"/>
      <c r="D1253" s="325" t="n"/>
      <c r="E1253" s="325" t="n"/>
      <c r="F1253" s="325" t="n"/>
    </row>
    <row r="1254" ht="18.75" customFormat="1" customHeight="1" s="795">
      <c r="B1254" s="461" t="n"/>
      <c r="C1254" s="325" t="n"/>
      <c r="D1254" s="325" t="n"/>
      <c r="E1254" s="325" t="n"/>
      <c r="F1254" s="325" t="n"/>
    </row>
    <row r="1255" ht="18.75" customFormat="1" customHeight="1" s="795">
      <c r="B1255" s="461" t="n"/>
      <c r="C1255" s="462" t="n"/>
      <c r="D1255" s="462" t="n"/>
      <c r="E1255" s="462" t="n"/>
      <c r="F1255" s="462" t="n"/>
    </row>
    <row r="1256" ht="18.75" customFormat="1" customHeight="1" s="795">
      <c r="B1256" s="461" t="n"/>
      <c r="C1256" s="325" t="n"/>
      <c r="D1256" s="325" t="n"/>
      <c r="E1256" s="325" t="n"/>
      <c r="F1256" s="325" t="n"/>
    </row>
    <row r="1257" ht="18.75" customFormat="1" customHeight="1" s="795">
      <c r="B1257" s="461" t="n"/>
      <c r="C1257" s="325" t="n"/>
      <c r="D1257" s="325" t="n"/>
      <c r="E1257" s="325" t="n"/>
      <c r="F1257" s="325" t="n"/>
    </row>
    <row r="1258" ht="18.75" customFormat="1" customHeight="1" s="795">
      <c r="B1258" s="461" t="n"/>
      <c r="C1258" s="325" t="n"/>
      <c r="D1258" s="325" t="n"/>
      <c r="E1258" s="325" t="n"/>
      <c r="F1258" s="325" t="n"/>
    </row>
    <row r="1259" ht="18.75" customFormat="1" customHeight="1" s="795">
      <c r="B1259" s="461" t="n"/>
      <c r="C1259" s="325" t="n"/>
      <c r="D1259" s="325" t="n"/>
      <c r="E1259" s="325" t="n"/>
      <c r="F1259" s="325" t="n"/>
    </row>
    <row r="1260" ht="18.75" customFormat="1" customHeight="1" s="795">
      <c r="B1260" s="461" t="n"/>
      <c r="C1260" s="325" t="n"/>
      <c r="D1260" s="325" t="n"/>
      <c r="E1260" s="325" t="n"/>
      <c r="F1260" s="325" t="n"/>
    </row>
    <row r="1261" ht="18.75" customFormat="1" customHeight="1" s="795">
      <c r="B1261" s="461" t="n"/>
      <c r="C1261" s="325" t="n"/>
      <c r="D1261" s="325" t="n"/>
      <c r="E1261" s="325" t="n"/>
      <c r="F1261" s="325" t="n"/>
    </row>
    <row r="1262" ht="18.75" customFormat="1" customHeight="1" s="795">
      <c r="B1262" s="461" t="n"/>
      <c r="C1262" s="325" t="n"/>
      <c r="D1262" s="325" t="n"/>
      <c r="E1262" s="325" t="n"/>
      <c r="F1262" s="325" t="n"/>
    </row>
    <row r="1263" ht="18.75" customFormat="1" customHeight="1" s="795">
      <c r="B1263" s="461" t="n"/>
      <c r="C1263" s="325" t="n"/>
      <c r="D1263" s="325" t="n"/>
      <c r="E1263" s="325" t="n"/>
      <c r="F1263" s="325" t="n"/>
    </row>
    <row r="1264" ht="18.75" customFormat="1" customHeight="1" s="795">
      <c r="B1264" s="461" t="n"/>
      <c r="C1264" s="325" t="n"/>
      <c r="D1264" s="325" t="n"/>
      <c r="E1264" s="325" t="n"/>
      <c r="F1264" s="325" t="n"/>
    </row>
    <row r="1265" ht="18.75" customFormat="1" customHeight="1" s="795">
      <c r="B1265" s="461" t="n"/>
      <c r="C1265" s="325" t="n"/>
      <c r="D1265" s="325" t="n"/>
      <c r="E1265" s="325" t="n"/>
      <c r="F1265" s="325" t="n"/>
    </row>
    <row r="1266" ht="18.75" customFormat="1" customHeight="1" s="795">
      <c r="B1266" s="461" t="n"/>
      <c r="C1266" s="325" t="n"/>
      <c r="D1266" s="325" t="n"/>
      <c r="E1266" s="325" t="n"/>
      <c r="F1266" s="325" t="n"/>
    </row>
    <row r="1267" ht="18.75" customFormat="1" customHeight="1" s="795">
      <c r="B1267" s="461" t="n"/>
      <c r="C1267" s="325" t="n"/>
      <c r="D1267" s="325" t="n"/>
      <c r="E1267" s="325" t="n"/>
      <c r="F1267" s="325" t="n"/>
    </row>
    <row r="1268" ht="18.75" customFormat="1" customHeight="1" s="795">
      <c r="B1268" s="461" t="n"/>
      <c r="C1268" s="325" t="n"/>
      <c r="D1268" s="325" t="n"/>
      <c r="E1268" s="325" t="n"/>
      <c r="F1268" s="325" t="n"/>
    </row>
    <row r="1269" ht="18.75" customFormat="1" customHeight="1" s="795">
      <c r="B1269" s="461" t="n"/>
      <c r="C1269" s="325" t="n"/>
      <c r="D1269" s="325" t="n"/>
      <c r="E1269" s="325" t="n"/>
      <c r="F1269" s="325" t="n"/>
    </row>
    <row r="1270" ht="18.75" customFormat="1" customHeight="1" s="795">
      <c r="B1270" s="461" t="n"/>
      <c r="C1270" s="325" t="n"/>
      <c r="D1270" s="325" t="n"/>
      <c r="E1270" s="325" t="n"/>
      <c r="F1270" s="325" t="n"/>
    </row>
    <row r="1271" ht="18.75" customFormat="1" customHeight="1" s="795">
      <c r="B1271" s="461" t="n"/>
      <c r="C1271" s="325" t="n"/>
      <c r="D1271" s="325" t="n"/>
      <c r="E1271" s="325" t="n"/>
      <c r="F1271" s="325" t="n"/>
    </row>
    <row r="1272" ht="18.75" customFormat="1" customHeight="1" s="795">
      <c r="B1272" s="461" t="n"/>
      <c r="C1272" s="325" t="n"/>
      <c r="D1272" s="325" t="n"/>
      <c r="E1272" s="325" t="n"/>
      <c r="F1272" s="325" t="n"/>
    </row>
    <row r="1273" ht="18.75" customFormat="1" customHeight="1" s="795">
      <c r="B1273" s="461" t="n"/>
      <c r="C1273" s="325" t="n"/>
      <c r="D1273" s="325" t="n"/>
      <c r="E1273" s="325" t="n"/>
      <c r="F1273" s="325" t="n"/>
    </row>
    <row r="1274" ht="18.75" customFormat="1" customHeight="1" s="795">
      <c r="B1274" s="461" t="n"/>
      <c r="C1274" s="325" t="n"/>
      <c r="D1274" s="325" t="n"/>
      <c r="E1274" s="325" t="n"/>
      <c r="F1274" s="325" t="n"/>
    </row>
    <row r="1275" ht="18.75" customFormat="1" customHeight="1" s="795">
      <c r="B1275" s="461" t="n"/>
      <c r="C1275" s="325" t="n"/>
      <c r="D1275" s="325" t="n"/>
      <c r="E1275" s="325" t="n"/>
      <c r="F1275" s="325" t="n"/>
    </row>
    <row r="1276" ht="18.75" customFormat="1" customHeight="1" s="795">
      <c r="B1276" s="461" t="n"/>
      <c r="C1276" s="325" t="n"/>
      <c r="D1276" s="325" t="n"/>
      <c r="E1276" s="325" t="n"/>
      <c r="F1276" s="325" t="n"/>
    </row>
    <row r="1277" ht="18.75" customFormat="1" customHeight="1" s="795">
      <c r="B1277" s="461" t="n"/>
      <c r="C1277" s="325" t="n"/>
      <c r="D1277" s="325" t="n"/>
      <c r="E1277" s="325" t="n"/>
      <c r="F1277" s="325" t="n"/>
    </row>
    <row r="1278" ht="18.75" customFormat="1" customHeight="1" s="795">
      <c r="B1278" s="461" t="n"/>
      <c r="C1278" s="325" t="n"/>
      <c r="D1278" s="325" t="n"/>
      <c r="E1278" s="325" t="n"/>
      <c r="F1278" s="325" t="n"/>
    </row>
    <row r="1279" ht="18.75" customFormat="1" customHeight="1" s="795">
      <c r="B1279" s="461" t="n"/>
      <c r="C1279" s="325" t="n"/>
      <c r="D1279" s="325" t="n"/>
      <c r="E1279" s="325" t="n"/>
      <c r="F1279" s="325" t="n"/>
    </row>
    <row r="1280" ht="18.75" customFormat="1" customHeight="1" s="795">
      <c r="B1280" s="461" t="n"/>
      <c r="C1280" s="325" t="n"/>
      <c r="D1280" s="325" t="n"/>
      <c r="E1280" s="325" t="n"/>
      <c r="F1280" s="325" t="n"/>
    </row>
    <row r="1281" ht="18.75" customFormat="1" customHeight="1" s="795">
      <c r="B1281" s="461" t="n"/>
      <c r="C1281" s="325" t="n"/>
      <c r="D1281" s="325" t="n"/>
      <c r="E1281" s="325" t="n"/>
      <c r="F1281" s="325" t="n"/>
    </row>
    <row r="1282" ht="18.75" customFormat="1" customHeight="1" s="795">
      <c r="B1282" s="461" t="n"/>
      <c r="C1282" s="325" t="n"/>
      <c r="D1282" s="325" t="n"/>
      <c r="E1282" s="325" t="n"/>
      <c r="F1282" s="325" t="n"/>
    </row>
    <row r="1283" ht="18.75" customFormat="1" customHeight="1" s="795">
      <c r="B1283" s="461" t="n"/>
      <c r="C1283" s="325" t="n"/>
      <c r="D1283" s="325" t="n"/>
      <c r="E1283" s="325" t="n"/>
      <c r="F1283" s="325" t="n"/>
    </row>
    <row r="1284" ht="18.75" customFormat="1" customHeight="1" s="795">
      <c r="B1284" s="461" t="n"/>
      <c r="C1284" s="325" t="n"/>
      <c r="D1284" s="325" t="n"/>
      <c r="E1284" s="325" t="n"/>
      <c r="F1284" s="325" t="n"/>
    </row>
    <row r="1285" ht="18.75" customFormat="1" customHeight="1" s="795">
      <c r="B1285" s="461" t="n"/>
      <c r="C1285" s="325" t="n"/>
      <c r="D1285" s="325" t="n"/>
      <c r="E1285" s="325" t="n"/>
      <c r="F1285" s="325" t="n"/>
    </row>
    <row r="1286" ht="18.75" customFormat="1" customHeight="1" s="795">
      <c r="B1286" s="461" t="n"/>
      <c r="C1286" s="325" t="n"/>
      <c r="D1286" s="325" t="n"/>
      <c r="E1286" s="325" t="n"/>
      <c r="F1286" s="325" t="n"/>
    </row>
    <row r="1287" ht="18.75" customFormat="1" customHeight="1" s="795">
      <c r="B1287" s="461" t="n"/>
      <c r="C1287" s="325" t="n"/>
      <c r="D1287" s="325" t="n"/>
      <c r="E1287" s="325" t="n"/>
      <c r="F1287" s="325" t="n"/>
    </row>
    <row r="1288" ht="18.75" customFormat="1" customHeight="1" s="795">
      <c r="B1288" s="461" t="n"/>
      <c r="C1288" s="325" t="n"/>
      <c r="D1288" s="325" t="n"/>
      <c r="E1288" s="325" t="n"/>
      <c r="F1288" s="325" t="n"/>
    </row>
    <row r="1289" ht="18.75" customFormat="1" customHeight="1" s="795">
      <c r="B1289" s="461" t="n"/>
      <c r="C1289" s="325" t="n"/>
      <c r="D1289" s="325" t="n"/>
      <c r="E1289" s="325" t="n"/>
      <c r="F1289" s="325" t="n"/>
    </row>
    <row r="1290" ht="18.75" customFormat="1" customHeight="1" s="795">
      <c r="B1290" s="461" t="n"/>
      <c r="C1290" s="325" t="n"/>
      <c r="D1290" s="325" t="n"/>
      <c r="E1290" s="325" t="n"/>
      <c r="F1290" s="325" t="n"/>
    </row>
    <row r="1291" ht="18.75" customFormat="1" customHeight="1" s="795">
      <c r="B1291" s="461" t="n"/>
      <c r="C1291" s="325" t="n"/>
      <c r="D1291" s="325" t="n"/>
      <c r="E1291" s="325" t="n"/>
      <c r="F1291" s="325" t="n"/>
    </row>
    <row r="1292" ht="18.75" customFormat="1" customHeight="1" s="795">
      <c r="B1292" s="461" t="n"/>
      <c r="C1292" s="325" t="n"/>
      <c r="D1292" s="325" t="n"/>
      <c r="E1292" s="325" t="n"/>
      <c r="F1292" s="325" t="n"/>
    </row>
    <row r="1293" ht="18.75" customFormat="1" customHeight="1" s="795">
      <c r="B1293" s="461" t="n"/>
      <c r="C1293" s="325" t="n"/>
      <c r="D1293" s="325" t="n"/>
      <c r="E1293" s="325" t="n"/>
      <c r="F1293" s="325" t="n"/>
    </row>
    <row r="1294" ht="18.75" customFormat="1" customHeight="1" s="795">
      <c r="B1294" s="461" t="n"/>
      <c r="C1294" s="325" t="n"/>
      <c r="D1294" s="325" t="n"/>
      <c r="E1294" s="325" t="n"/>
      <c r="F1294" s="325" t="n"/>
    </row>
    <row r="1295" ht="18.75" customFormat="1" customHeight="1" s="795">
      <c r="B1295" s="461" t="n"/>
      <c r="C1295" s="325" t="n"/>
      <c r="D1295" s="325" t="n"/>
      <c r="E1295" s="325" t="n"/>
      <c r="F1295" s="325" t="n"/>
    </row>
    <row r="1296" ht="18.75" customFormat="1" customHeight="1" s="795">
      <c r="B1296" s="461" t="n"/>
      <c r="C1296" s="325" t="n"/>
      <c r="D1296" s="325" t="n"/>
      <c r="E1296" s="325" t="n"/>
      <c r="F1296" s="325" t="n"/>
    </row>
    <row r="1297" ht="18.75" customFormat="1" customHeight="1" s="795">
      <c r="B1297" s="461" t="n"/>
      <c r="C1297" s="325" t="n"/>
      <c r="D1297" s="325" t="n"/>
      <c r="E1297" s="325" t="n"/>
      <c r="F1297" s="325" t="n"/>
    </row>
    <row r="1298" ht="18.75" customFormat="1" customHeight="1" s="795">
      <c r="B1298" s="461" t="n"/>
      <c r="C1298" s="325" t="n"/>
      <c r="D1298" s="325" t="n"/>
      <c r="E1298" s="325" t="n"/>
      <c r="F1298" s="325" t="n"/>
    </row>
    <row r="1299" ht="18.75" customFormat="1" customHeight="1" s="795">
      <c r="B1299" s="461" t="n"/>
      <c r="C1299" s="325" t="n"/>
      <c r="D1299" s="325" t="n"/>
      <c r="E1299" s="325" t="n"/>
      <c r="F1299" s="325" t="n"/>
    </row>
    <row r="1300" ht="18.75" customFormat="1" customHeight="1" s="795">
      <c r="B1300" s="461" t="n"/>
      <c r="C1300" s="325" t="n"/>
      <c r="D1300" s="325" t="n"/>
      <c r="E1300" s="325" t="n"/>
      <c r="F1300" s="325" t="n"/>
    </row>
    <row r="1301" ht="18.75" customFormat="1" customHeight="1" s="795">
      <c r="B1301" s="461" t="n"/>
      <c r="C1301" s="325" t="n"/>
      <c r="D1301" s="325" t="n"/>
      <c r="E1301" s="325" t="n"/>
      <c r="F1301" s="325" t="n"/>
    </row>
    <row r="1302" ht="18.75" customFormat="1" customHeight="1" s="795">
      <c r="B1302" s="461" t="n"/>
      <c r="C1302" s="325" t="n"/>
      <c r="D1302" s="325" t="n"/>
      <c r="E1302" s="325" t="n"/>
      <c r="F1302" s="325" t="n"/>
    </row>
    <row r="1303" ht="18.75" customFormat="1" customHeight="1" s="795">
      <c r="B1303" s="461" t="n"/>
      <c r="C1303" s="325" t="n"/>
      <c r="D1303" s="325" t="n"/>
      <c r="E1303" s="325" t="n"/>
      <c r="F1303" s="325" t="n"/>
    </row>
    <row r="1304" ht="18.75" customFormat="1" customHeight="1" s="795">
      <c r="B1304" s="461" t="n"/>
      <c r="C1304" s="325" t="n"/>
      <c r="D1304" s="325" t="n"/>
      <c r="E1304" s="325" t="n"/>
      <c r="F1304" s="325" t="n"/>
    </row>
    <row r="1305" ht="18.75" customFormat="1" customHeight="1" s="795">
      <c r="B1305" s="461" t="n"/>
      <c r="C1305" s="325" t="n"/>
      <c r="D1305" s="325" t="n"/>
      <c r="E1305" s="325" t="n"/>
      <c r="F1305" s="325" t="n"/>
    </row>
    <row r="1306" ht="18.75" customFormat="1" customHeight="1" s="795">
      <c r="B1306" s="461" t="n"/>
      <c r="C1306" s="325" t="n"/>
      <c r="D1306" s="325" t="n"/>
      <c r="E1306" s="325" t="n"/>
      <c r="F1306" s="325" t="n"/>
    </row>
    <row r="1307" ht="18.75" customFormat="1" customHeight="1" s="795">
      <c r="B1307" s="461" t="n"/>
      <c r="C1307" s="325" t="n"/>
      <c r="D1307" s="325" t="n"/>
      <c r="E1307" s="325" t="n"/>
      <c r="F1307" s="325" t="n"/>
    </row>
    <row r="1308" ht="18.75" customFormat="1" customHeight="1" s="795">
      <c r="B1308" s="461" t="n"/>
      <c r="C1308" s="325" t="n"/>
      <c r="D1308" s="325" t="n"/>
      <c r="E1308" s="325" t="n"/>
      <c r="F1308" s="325" t="n"/>
    </row>
    <row r="1309" ht="18.75" customFormat="1" customHeight="1" s="795">
      <c r="B1309" s="461" t="n"/>
      <c r="C1309" s="325" t="n"/>
      <c r="D1309" s="325" t="n"/>
      <c r="E1309" s="325" t="n"/>
      <c r="F1309" s="325" t="n"/>
    </row>
    <row r="1310" ht="18.75" customFormat="1" customHeight="1" s="795">
      <c r="B1310" s="461" t="n"/>
      <c r="C1310" s="325" t="n"/>
      <c r="D1310" s="325" t="n"/>
      <c r="E1310" s="325" t="n"/>
      <c r="F1310" s="325" t="n"/>
    </row>
    <row r="1311" ht="18.75" customFormat="1" customHeight="1" s="795">
      <c r="B1311" s="461" t="n"/>
      <c r="C1311" s="325" t="n"/>
      <c r="D1311" s="325" t="n"/>
      <c r="E1311" s="325" t="n"/>
      <c r="F1311" s="325" t="n"/>
    </row>
    <row r="1312" ht="18.75" customFormat="1" customHeight="1" s="795">
      <c r="B1312" s="461" t="n"/>
      <c r="C1312" s="325" t="n"/>
      <c r="D1312" s="325" t="n"/>
      <c r="E1312" s="325" t="n"/>
      <c r="F1312" s="325" t="n"/>
    </row>
    <row r="1313" ht="18.75" customFormat="1" customHeight="1" s="795">
      <c r="B1313" s="461" t="n"/>
      <c r="C1313" s="325" t="n"/>
      <c r="D1313" s="325" t="n"/>
      <c r="E1313" s="325" t="n"/>
      <c r="F1313" s="325" t="n"/>
    </row>
    <row r="1314" ht="18.75" customFormat="1" customHeight="1" s="795">
      <c r="B1314" s="461" t="n"/>
      <c r="C1314" s="325" t="n"/>
      <c r="D1314" s="325" t="n"/>
      <c r="E1314" s="325" t="n"/>
      <c r="F1314" s="325" t="n"/>
    </row>
    <row r="1315" ht="18.75" customFormat="1" customHeight="1" s="795">
      <c r="B1315" s="461" t="n"/>
      <c r="C1315" s="325" t="n"/>
      <c r="D1315" s="325" t="n"/>
      <c r="E1315" s="325" t="n"/>
      <c r="F1315" s="325" t="n"/>
    </row>
    <row r="1316" ht="18.75" customFormat="1" customHeight="1" s="795">
      <c r="B1316" s="461" t="n"/>
      <c r="C1316" s="325" t="n"/>
      <c r="D1316" s="325" t="n"/>
      <c r="E1316" s="325" t="n"/>
      <c r="F1316" s="325" t="n"/>
    </row>
    <row r="1317" ht="18.75" customFormat="1" customHeight="1" s="795">
      <c r="B1317" s="461" t="n"/>
      <c r="C1317" s="325" t="n"/>
      <c r="D1317" s="325" t="n"/>
      <c r="E1317" s="325" t="n"/>
      <c r="F1317" s="325" t="n"/>
    </row>
    <row r="1318" ht="18.75" customFormat="1" customHeight="1" s="795">
      <c r="B1318" s="461" t="n"/>
      <c r="C1318" s="325" t="n"/>
      <c r="D1318" s="325" t="n"/>
      <c r="E1318" s="325" t="n"/>
      <c r="F1318" s="325" t="n"/>
    </row>
    <row r="1319" ht="18.75" customFormat="1" customHeight="1" s="795">
      <c r="B1319" s="461" t="n"/>
      <c r="C1319" s="325" t="n"/>
      <c r="D1319" s="325" t="n"/>
      <c r="E1319" s="325" t="n"/>
      <c r="F1319" s="325" t="n"/>
    </row>
    <row r="1320" ht="18.75" customFormat="1" customHeight="1" s="795">
      <c r="B1320" s="461" t="n"/>
      <c r="C1320" s="325" t="n"/>
      <c r="D1320" s="325" t="n"/>
      <c r="E1320" s="325" t="n"/>
      <c r="F1320" s="325" t="n"/>
    </row>
    <row r="1321" ht="18.75" customFormat="1" customHeight="1" s="795">
      <c r="B1321" s="461" t="n"/>
      <c r="C1321" s="325" t="n"/>
      <c r="D1321" s="325" t="n"/>
      <c r="E1321" s="325" t="n"/>
      <c r="F1321" s="325" t="n"/>
    </row>
    <row r="1322" ht="18.75" customFormat="1" customHeight="1" s="795">
      <c r="B1322" s="461" t="n"/>
      <c r="C1322" s="325" t="n"/>
      <c r="D1322" s="325" t="n"/>
      <c r="E1322" s="325" t="n"/>
      <c r="F1322" s="325" t="n"/>
    </row>
    <row r="1323" ht="18.75" customFormat="1" customHeight="1" s="795">
      <c r="B1323" s="461" t="n"/>
      <c r="C1323" s="325" t="n"/>
      <c r="D1323" s="325" t="n"/>
      <c r="E1323" s="325" t="n"/>
      <c r="F1323" s="325" t="n"/>
    </row>
    <row r="1324" ht="18.75" customFormat="1" customHeight="1" s="795">
      <c r="B1324" s="461" t="n"/>
      <c r="C1324" s="325" t="n"/>
      <c r="D1324" s="325" t="n"/>
      <c r="E1324" s="325" t="n"/>
      <c r="F1324" s="325" t="n"/>
    </row>
    <row r="1325" ht="18.75" customFormat="1" customHeight="1" s="795">
      <c r="B1325" s="461" t="n"/>
      <c r="C1325" s="325" t="n"/>
      <c r="D1325" s="325" t="n"/>
      <c r="E1325" s="325" t="n"/>
      <c r="F1325" s="325" t="n"/>
    </row>
    <row r="1326" ht="18.75" customFormat="1" customHeight="1" s="795">
      <c r="B1326" s="461" t="n"/>
      <c r="C1326" s="325" t="n"/>
      <c r="D1326" s="325" t="n"/>
      <c r="E1326" s="325" t="n"/>
      <c r="F1326" s="325" t="n"/>
    </row>
    <row r="1327" ht="18.75" customFormat="1" customHeight="1" s="795">
      <c r="B1327" s="461" t="n"/>
      <c r="C1327" s="325" t="n"/>
      <c r="D1327" s="325" t="n"/>
      <c r="E1327" s="325" t="n"/>
      <c r="F1327" s="325" t="n"/>
    </row>
    <row r="1328" ht="18.75" customFormat="1" customHeight="1" s="795">
      <c r="B1328" s="461" t="n"/>
      <c r="C1328" s="325" t="n"/>
      <c r="D1328" s="325" t="n"/>
      <c r="E1328" s="325" t="n"/>
      <c r="F1328" s="325" t="n"/>
    </row>
    <row r="1329" ht="18.75" customFormat="1" customHeight="1" s="795">
      <c r="B1329" s="461" t="n"/>
      <c r="C1329" s="325" t="n"/>
      <c r="D1329" s="325" t="n"/>
      <c r="E1329" s="325" t="n"/>
      <c r="F1329" s="325" t="n"/>
    </row>
    <row r="1330" ht="18.75" customFormat="1" customHeight="1" s="795">
      <c r="B1330" s="461" t="n"/>
      <c r="C1330" s="325" t="n"/>
      <c r="D1330" s="325" t="n"/>
      <c r="E1330" s="325" t="n"/>
      <c r="F1330" s="325" t="n"/>
    </row>
    <row r="1331" ht="18.75" customFormat="1" customHeight="1" s="795">
      <c r="B1331" s="461" t="n"/>
      <c r="C1331" s="325" t="n"/>
      <c r="D1331" s="325" t="n"/>
      <c r="E1331" s="325" t="n"/>
      <c r="F1331" s="325" t="n"/>
    </row>
    <row r="1332" ht="18.75" customFormat="1" customHeight="1" s="795">
      <c r="B1332" s="461" t="n"/>
      <c r="C1332" s="325" t="n"/>
      <c r="D1332" s="325" t="n"/>
      <c r="E1332" s="325" t="n"/>
      <c r="F1332" s="325" t="n"/>
    </row>
    <row r="1333" ht="18.75" customFormat="1" customHeight="1" s="795">
      <c r="B1333" s="461" t="n"/>
      <c r="C1333" s="325" t="n"/>
      <c r="D1333" s="325" t="n"/>
      <c r="E1333" s="325" t="n"/>
      <c r="F1333" s="325" t="n"/>
    </row>
    <row r="1334" ht="18.75" customFormat="1" customHeight="1" s="795">
      <c r="B1334" s="461" t="n"/>
      <c r="C1334" s="325" t="n"/>
      <c r="D1334" s="325" t="n"/>
      <c r="E1334" s="325" t="n"/>
      <c r="F1334" s="325" t="n"/>
    </row>
    <row r="1335" ht="18.75" customFormat="1" customHeight="1" s="795">
      <c r="B1335" s="461" t="n"/>
      <c r="C1335" s="325" t="n"/>
      <c r="D1335" s="325" t="n"/>
      <c r="E1335" s="325" t="n"/>
      <c r="F1335" s="325" t="n"/>
    </row>
    <row r="1336" ht="18.75" customFormat="1" customHeight="1" s="795">
      <c r="B1336" s="461" t="n"/>
      <c r="C1336" s="325" t="n"/>
      <c r="D1336" s="325" t="n"/>
      <c r="E1336" s="325" t="n"/>
      <c r="F1336" s="325" t="n"/>
    </row>
    <row r="1337" ht="18.75" customFormat="1" customHeight="1" s="795">
      <c r="B1337" s="461" t="n"/>
      <c r="C1337" s="325" t="n"/>
      <c r="D1337" s="325" t="n"/>
      <c r="E1337" s="325" t="n"/>
      <c r="F1337" s="325" t="n"/>
    </row>
    <row r="1338" ht="18.75" customFormat="1" customHeight="1" s="795">
      <c r="B1338" s="461" t="n"/>
      <c r="C1338" s="325" t="n"/>
      <c r="D1338" s="325" t="n"/>
      <c r="E1338" s="325" t="n"/>
      <c r="F1338" s="325" t="n"/>
    </row>
    <row r="1339" ht="18.75" customFormat="1" customHeight="1" s="795">
      <c r="B1339" s="461" t="n"/>
      <c r="C1339" s="325" t="n"/>
      <c r="D1339" s="325" t="n"/>
      <c r="E1339" s="325" t="n"/>
      <c r="F1339" s="325" t="n"/>
    </row>
    <row r="1340" ht="18.75" customFormat="1" customHeight="1" s="795">
      <c r="B1340" s="461" t="n"/>
      <c r="C1340" s="325" t="n"/>
      <c r="D1340" s="325" t="n"/>
      <c r="E1340" s="325" t="n"/>
      <c r="F1340" s="325" t="n"/>
    </row>
    <row r="1341" ht="18.75" customFormat="1" customHeight="1" s="795">
      <c r="B1341" s="461" t="n"/>
      <c r="C1341" s="325" t="n"/>
      <c r="D1341" s="325" t="n"/>
      <c r="E1341" s="325" t="n"/>
      <c r="F1341" s="325" t="n"/>
    </row>
    <row r="1342" ht="18.75" customFormat="1" customHeight="1" s="795">
      <c r="B1342" s="461" t="n"/>
      <c r="C1342" s="325" t="n"/>
      <c r="D1342" s="325" t="n"/>
      <c r="E1342" s="325" t="n"/>
      <c r="F1342" s="325" t="n"/>
    </row>
    <row r="1343" ht="18.75" customFormat="1" customHeight="1" s="795">
      <c r="B1343" s="461" t="n"/>
      <c r="C1343" s="325" t="n"/>
      <c r="D1343" s="325" t="n"/>
      <c r="E1343" s="325" t="n"/>
      <c r="F1343" s="325" t="n"/>
    </row>
    <row r="1344" ht="18.75" customFormat="1" customHeight="1" s="795">
      <c r="B1344" s="461" t="n"/>
      <c r="C1344" s="325" t="n"/>
      <c r="D1344" s="325" t="n"/>
      <c r="E1344" s="325" t="n"/>
      <c r="F1344" s="325" t="n"/>
    </row>
    <row r="1345" ht="18.75" customFormat="1" customHeight="1" s="795">
      <c r="B1345" s="461" t="n"/>
      <c r="C1345" s="325" t="n"/>
      <c r="D1345" s="325" t="n"/>
      <c r="E1345" s="325" t="n"/>
      <c r="F1345" s="325" t="n"/>
    </row>
    <row r="1346" ht="18.75" customFormat="1" customHeight="1" s="795">
      <c r="B1346" s="461" t="n"/>
      <c r="C1346" s="325" t="n"/>
      <c r="D1346" s="325" t="n"/>
      <c r="E1346" s="325" t="n"/>
      <c r="F1346" s="325" t="n"/>
    </row>
    <row r="1347" ht="18.75" customFormat="1" customHeight="1" s="795">
      <c r="B1347" s="461" t="n"/>
      <c r="C1347" s="325" t="n"/>
      <c r="D1347" s="325" t="n"/>
      <c r="E1347" s="325" t="n"/>
      <c r="F1347" s="325" t="n"/>
    </row>
    <row r="1348" ht="18.75" customFormat="1" customHeight="1" s="795">
      <c r="B1348" s="461" t="n"/>
      <c r="C1348" s="325" t="n"/>
      <c r="D1348" s="325" t="n"/>
      <c r="E1348" s="325" t="n"/>
      <c r="F1348" s="325" t="n"/>
    </row>
    <row r="1349" ht="18.75" customFormat="1" customHeight="1" s="795">
      <c r="B1349" s="461" t="n"/>
      <c r="C1349" s="325" t="n"/>
      <c r="D1349" s="325" t="n"/>
      <c r="E1349" s="325" t="n"/>
      <c r="F1349" s="325" t="n"/>
    </row>
    <row r="1350" ht="18.75" customFormat="1" customHeight="1" s="795">
      <c r="B1350" s="461" t="n"/>
      <c r="C1350" s="325" t="n"/>
      <c r="D1350" s="325" t="n"/>
      <c r="E1350" s="325" t="n"/>
      <c r="F1350" s="325" t="n"/>
    </row>
    <row r="1351" ht="18.75" customFormat="1" customHeight="1" s="795">
      <c r="B1351" s="461" t="n"/>
      <c r="C1351" s="325" t="n"/>
      <c r="D1351" s="325" t="n"/>
      <c r="E1351" s="325" t="n"/>
      <c r="F1351" s="325" t="n"/>
    </row>
    <row r="1352" ht="18.75" customFormat="1" customHeight="1" s="795">
      <c r="B1352" s="461" t="n"/>
      <c r="C1352" s="325" t="n"/>
      <c r="D1352" s="325" t="n"/>
      <c r="E1352" s="325" t="n"/>
      <c r="F1352" s="325" t="n"/>
    </row>
    <row r="1353" ht="18.75" customFormat="1" customHeight="1" s="795">
      <c r="B1353" s="461" t="n"/>
      <c r="C1353" s="325" t="n"/>
      <c r="D1353" s="325" t="n"/>
      <c r="E1353" s="325" t="n"/>
      <c r="F1353" s="325" t="n"/>
    </row>
    <row r="1354" ht="18.75" customFormat="1" customHeight="1" s="795">
      <c r="B1354" s="461" t="n"/>
      <c r="C1354" s="325" t="n"/>
      <c r="D1354" s="325" t="n"/>
      <c r="E1354" s="325" t="n"/>
      <c r="F1354" s="325" t="n"/>
    </row>
    <row r="1355" ht="18.75" customFormat="1" customHeight="1" s="795">
      <c r="B1355" s="461" t="n"/>
      <c r="C1355" s="325" t="n"/>
      <c r="D1355" s="325" t="n"/>
      <c r="E1355" s="325" t="n"/>
      <c r="F1355" s="325" t="n"/>
    </row>
    <row r="1356" ht="18.75" customFormat="1" customHeight="1" s="795">
      <c r="B1356" s="461" t="n"/>
      <c r="C1356" s="325" t="n"/>
      <c r="D1356" s="325" t="n"/>
      <c r="E1356" s="325" t="n"/>
      <c r="F1356" s="325" t="n"/>
    </row>
    <row r="1357" ht="18.75" customFormat="1" customHeight="1" s="795">
      <c r="B1357" s="461" t="n"/>
      <c r="C1357" s="325" t="n"/>
      <c r="D1357" s="325" t="n"/>
      <c r="E1357" s="325" t="n"/>
      <c r="F1357" s="325" t="n"/>
    </row>
    <row r="1358" ht="18.75" customFormat="1" customHeight="1" s="795">
      <c r="B1358" s="461" t="n"/>
      <c r="C1358" s="325" t="n"/>
      <c r="D1358" s="325" t="n"/>
      <c r="E1358" s="325" t="n"/>
      <c r="F1358" s="325" t="n"/>
    </row>
    <row r="1359" ht="18.75" customFormat="1" customHeight="1" s="795">
      <c r="B1359" s="461" t="n"/>
      <c r="C1359" s="325" t="n"/>
      <c r="D1359" s="325" t="n"/>
      <c r="E1359" s="325" t="n"/>
      <c r="F1359" s="325" t="n"/>
    </row>
    <row r="1360" ht="18.75" customFormat="1" customHeight="1" s="795">
      <c r="B1360" s="461" t="n"/>
      <c r="C1360" s="325" t="n"/>
      <c r="D1360" s="325" t="n"/>
      <c r="E1360" s="325" t="n"/>
      <c r="F1360" s="325" t="n"/>
    </row>
    <row r="1361" ht="18.75" customFormat="1" customHeight="1" s="795">
      <c r="B1361" s="461" t="n"/>
      <c r="C1361" s="325" t="n"/>
      <c r="D1361" s="325" t="n"/>
      <c r="E1361" s="325" t="n"/>
      <c r="F1361" s="325" t="n"/>
    </row>
    <row r="1362" ht="18.75" customFormat="1" customHeight="1" s="795">
      <c r="B1362" s="461" t="n"/>
      <c r="C1362" s="325" t="n"/>
      <c r="D1362" s="325" t="n"/>
      <c r="E1362" s="325" t="n"/>
      <c r="F1362" s="325" t="n"/>
    </row>
    <row r="1363" ht="18.75" customFormat="1" customHeight="1" s="795">
      <c r="B1363" s="461" t="n"/>
      <c r="C1363" s="325" t="n"/>
      <c r="D1363" s="325" t="n"/>
      <c r="E1363" s="325" t="n"/>
      <c r="F1363" s="325" t="n"/>
    </row>
    <row r="1364" ht="18.75" customFormat="1" customHeight="1" s="795">
      <c r="B1364" s="461" t="n"/>
      <c r="C1364" s="325" t="n"/>
      <c r="D1364" s="325" t="n"/>
      <c r="E1364" s="325" t="n"/>
      <c r="F1364" s="325" t="n"/>
    </row>
    <row r="1365" ht="18.75" customFormat="1" customHeight="1" s="795">
      <c r="B1365" s="461" t="n"/>
      <c r="C1365" s="325" t="n"/>
      <c r="D1365" s="325" t="n"/>
      <c r="E1365" s="325" t="n"/>
      <c r="F1365" s="325" t="n"/>
    </row>
    <row r="1366" ht="18.75" customFormat="1" customHeight="1" s="795">
      <c r="B1366" s="461" t="n"/>
      <c r="C1366" s="325" t="n"/>
      <c r="D1366" s="325" t="n"/>
      <c r="E1366" s="325" t="n"/>
      <c r="F1366" s="325" t="n"/>
    </row>
    <row r="1367" ht="18.75" customFormat="1" customHeight="1" s="795">
      <c r="B1367" s="461" t="n"/>
      <c r="C1367" s="325" t="n"/>
      <c r="D1367" s="325" t="n"/>
      <c r="E1367" s="325" t="n"/>
      <c r="F1367" s="325" t="n"/>
    </row>
    <row r="1368" ht="18.75" customFormat="1" customHeight="1" s="795">
      <c r="B1368" s="461" t="n"/>
      <c r="C1368" s="325" t="n"/>
      <c r="D1368" s="325" t="n"/>
      <c r="E1368" s="325" t="n"/>
      <c r="F1368" s="325" t="n"/>
    </row>
    <row r="1369" ht="18.75" customFormat="1" customHeight="1" s="795">
      <c r="B1369" s="461" t="n"/>
      <c r="C1369" s="325" t="n"/>
      <c r="D1369" s="325" t="n"/>
      <c r="E1369" s="325" t="n"/>
      <c r="F1369" s="325" t="n"/>
    </row>
    <row r="1370" ht="18.75" customFormat="1" customHeight="1" s="795">
      <c r="B1370" s="461" t="n"/>
      <c r="C1370" s="325" t="n"/>
      <c r="D1370" s="325" t="n"/>
      <c r="E1370" s="325" t="n"/>
      <c r="F1370" s="325" t="n"/>
    </row>
    <row r="1371" ht="18.75" customFormat="1" customHeight="1" s="795">
      <c r="B1371" s="461" t="n"/>
      <c r="C1371" s="325" t="n"/>
      <c r="D1371" s="325" t="n"/>
      <c r="E1371" s="325" t="n"/>
      <c r="F1371" s="325" t="n"/>
    </row>
    <row r="1372" ht="18.75" customFormat="1" customHeight="1" s="795">
      <c r="B1372" s="461" t="n"/>
      <c r="C1372" s="325" t="n"/>
      <c r="D1372" s="325" t="n"/>
      <c r="E1372" s="325" t="n"/>
      <c r="F1372" s="325" t="n"/>
    </row>
    <row r="1373" ht="18.75" customFormat="1" customHeight="1" s="795">
      <c r="B1373" s="461" t="n"/>
      <c r="C1373" s="325" t="n"/>
      <c r="D1373" s="325" t="n"/>
      <c r="E1373" s="325" t="n"/>
      <c r="F1373" s="325" t="n"/>
    </row>
    <row r="1374" ht="18.75" customFormat="1" customHeight="1" s="795">
      <c r="B1374" s="461" t="n"/>
      <c r="C1374" s="325" t="n"/>
      <c r="D1374" s="325" t="n"/>
      <c r="E1374" s="325" t="n"/>
      <c r="F1374" s="325" t="n"/>
    </row>
    <row r="1375" ht="18.75" customFormat="1" customHeight="1" s="795">
      <c r="B1375" s="461" t="n"/>
      <c r="C1375" s="325" t="n"/>
      <c r="D1375" s="325" t="n"/>
      <c r="E1375" s="325" t="n"/>
      <c r="F1375" s="325" t="n"/>
    </row>
    <row r="1376" ht="18.75" customFormat="1" customHeight="1" s="795">
      <c r="B1376" s="461" t="n"/>
      <c r="C1376" s="325" t="n"/>
      <c r="D1376" s="325" t="n"/>
      <c r="E1376" s="325" t="n"/>
      <c r="F1376" s="325" t="n"/>
    </row>
    <row r="1377" ht="18.75" customFormat="1" customHeight="1" s="795">
      <c r="B1377" s="461" t="n"/>
      <c r="C1377" s="325" t="n"/>
      <c r="D1377" s="325" t="n"/>
      <c r="E1377" s="325" t="n"/>
      <c r="F1377" s="325" t="n"/>
    </row>
    <row r="1378" ht="18.75" customFormat="1" customHeight="1" s="795">
      <c r="B1378" s="461" t="n"/>
      <c r="C1378" s="325" t="n"/>
      <c r="D1378" s="325" t="n"/>
      <c r="E1378" s="325" t="n"/>
      <c r="F1378" s="325" t="n"/>
    </row>
    <row r="1379" ht="18.75" customFormat="1" customHeight="1" s="795">
      <c r="B1379" s="461" t="n"/>
      <c r="C1379" s="325" t="n"/>
      <c r="D1379" s="325" t="n"/>
      <c r="E1379" s="325" t="n"/>
      <c r="F1379" s="325" t="n"/>
    </row>
    <row r="1380" ht="18.75" customFormat="1" customHeight="1" s="795">
      <c r="B1380" s="461" t="n"/>
      <c r="C1380" s="325" t="n"/>
      <c r="D1380" s="325" t="n"/>
      <c r="E1380" s="325" t="n"/>
      <c r="F1380" s="325" t="n"/>
    </row>
    <row r="1381" ht="18.75" customFormat="1" customHeight="1" s="795">
      <c r="B1381" s="461" t="n"/>
      <c r="C1381" s="325" t="n"/>
      <c r="D1381" s="325" t="n"/>
      <c r="E1381" s="325" t="n"/>
      <c r="F1381" s="325" t="n"/>
    </row>
    <row r="1382" ht="18.75" customFormat="1" customHeight="1" s="795">
      <c r="B1382" s="461" t="n"/>
      <c r="C1382" s="325" t="n"/>
      <c r="D1382" s="325" t="n"/>
      <c r="E1382" s="325" t="n"/>
      <c r="F1382" s="325" t="n"/>
    </row>
    <row r="1383" ht="18.75" customFormat="1" customHeight="1" s="795">
      <c r="B1383" s="461" t="n"/>
      <c r="C1383" s="325" t="n"/>
      <c r="D1383" s="325" t="n"/>
      <c r="E1383" s="325" t="n"/>
      <c r="F1383" s="325" t="n"/>
    </row>
    <row r="1384" ht="18.75" customFormat="1" customHeight="1" s="795">
      <c r="B1384" s="461" t="n"/>
      <c r="C1384" s="325" t="n"/>
      <c r="D1384" s="325" t="n"/>
      <c r="E1384" s="325" t="n"/>
      <c r="F1384" s="325" t="n"/>
    </row>
  </sheetData>
  <mergeCells count="49">
    <mergeCell ref="D7:D8"/>
    <mergeCell ref="C906:C907"/>
    <mergeCell ref="B938:B939"/>
    <mergeCell ref="C908:C909"/>
    <mergeCell ref="C926:C927"/>
    <mergeCell ref="B924:B925"/>
    <mergeCell ref="B873:B874"/>
    <mergeCell ref="F7:F8"/>
    <mergeCell ref="C946:C947"/>
    <mergeCell ref="C928:C929"/>
    <mergeCell ref="G7:G8"/>
    <mergeCell ref="C902:C903"/>
    <mergeCell ref="B906:B907"/>
    <mergeCell ref="C904:C905"/>
    <mergeCell ref="C944:C945"/>
    <mergeCell ref="B877:B878"/>
    <mergeCell ref="C924:C925"/>
    <mergeCell ref="C865:C866"/>
    <mergeCell ref="C930:C931"/>
    <mergeCell ref="B6:C8"/>
    <mergeCell ref="B932:B933"/>
    <mergeCell ref="B922:B923"/>
    <mergeCell ref="I6:I8"/>
    <mergeCell ref="C910:C911"/>
    <mergeCell ref="C912:C913"/>
    <mergeCell ref="E7:E8"/>
    <mergeCell ref="C896:C897"/>
    <mergeCell ref="C936:C937"/>
    <mergeCell ref="C932:C933"/>
    <mergeCell ref="C883:C884"/>
    <mergeCell ref="B896:B897"/>
    <mergeCell ref="C938:C939"/>
    <mergeCell ref="C922:C923"/>
    <mergeCell ref="C875:C876"/>
    <mergeCell ref="B944:B945"/>
    <mergeCell ref="C873:C874"/>
    <mergeCell ref="B3:I3"/>
    <mergeCell ref="C914:C915"/>
    <mergeCell ref="D6:H6"/>
    <mergeCell ref="B936:B937"/>
    <mergeCell ref="C898:C899"/>
    <mergeCell ref="C934:C935"/>
    <mergeCell ref="H7:H8"/>
    <mergeCell ref="C900:C901"/>
    <mergeCell ref="C940:C941"/>
    <mergeCell ref="C877:C878"/>
    <mergeCell ref="C871:C872"/>
    <mergeCell ref="C942:C943"/>
    <mergeCell ref="C879:C880"/>
  </mergeCells>
  <conditionalFormatting sqref="L10:L1252 M10:M1252 P10:P1252 Q10:Q1252 T10:T1252 U10:U1252 X10:X1252 Y10:Y1252 AB10:AB1252 AC10:AC1252 AF10:AF1252 AG10:AG1252 AJ10:AJ1252 AK10:AK1252 AN10:AN1252 AO10:AO1252 AR10:AR1252 AS10:AS1252 AV10:AV1252 AW10:AW1252 AZ10:AZ1252 BA10:BA1252 BD10:BD1252 BE10:BE1252 BH10:BH1252 BI10:BI1252 BL10:BL1252 BM10:BM1252 BP10:BP1252 BQ10:BQ1252 BT10:BT1252 BU10:BU1252 BX10:BX1252 BY10:BY1252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pageMargins left="0.7" right="0.7" top="0.75" bottom="0.75" header="0.3" footer="0.3"/>
  <pageSetup orientation="portrait" paperSize="8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Лист2">
    <outlinePr summaryBelow="1" summaryRight="1"/>
    <pageSetUpPr/>
  </sheetPr>
  <dimension ref="B3:I430"/>
  <sheetViews>
    <sheetView topLeftCell="B1" zoomScale="60" zoomScaleNormal="60" workbookViewId="0">
      <pane xSplit="8" ySplit="9" topLeftCell="J10" activePane="bottomRight" state="frozen"/>
      <selection activeCell="B1" sqref="B1"/>
      <selection pane="topRight" activeCell="J1" sqref="J1"/>
      <selection pane="bottomLeft" activeCell="B10" sqref="B10"/>
      <selection pane="bottomRight" activeCell="C29" sqref="C29"/>
    </sheetView>
  </sheetViews>
  <sheetFormatPr baseColWidth="8" defaultRowHeight="15"/>
  <cols>
    <col hidden="1" style="769" min="1" max="1"/>
    <col width="11.28515625" customWidth="1" style="769" min="2" max="2"/>
    <col width="88" customWidth="1" style="769" min="3" max="3"/>
    <col outlineLevel="1" width="24.85546875" customWidth="1" style="769" min="4" max="6"/>
    <col outlineLevel="1" width="22.42578125" customWidth="1" style="769" min="7" max="8"/>
    <col width="14.7109375" customWidth="1" style="769" min="9" max="9"/>
    <col width="8.43" customWidth="1" style="769" min="10" max="11"/>
    <col width="8.43" customWidth="1" style="769" min="11" max="11"/>
    <col width="8.43" customWidth="1" style="769" min="12" max="13"/>
    <col width="8.43" customWidth="1" style="769" min="13" max="13"/>
    <col width="8.43" customWidth="1" style="769" min="14" max="15"/>
    <col width="8.43" customWidth="1" style="769" min="15" max="15"/>
    <col width="8.43" customWidth="1" style="769" min="16" max="17"/>
    <col width="8.43" customWidth="1" style="769" min="17" max="17"/>
    <col width="8.43" customWidth="1" style="769" min="18" max="19"/>
    <col width="8.43" customWidth="1" style="769" min="19" max="19"/>
    <col width="8.43" customWidth="1" style="769" min="20" max="21"/>
    <col width="8.43" customWidth="1" style="769" min="21" max="21"/>
    <col width="8.43" customWidth="1" style="769" min="22" max="23"/>
    <col width="8.43" customWidth="1" style="769" min="23" max="23"/>
    <col width="8.43" customWidth="1" style="769" min="24" max="25"/>
    <col width="8.43" customWidth="1" style="769" min="25" max="25"/>
    <col width="8.43" customWidth="1" style="769" min="26" max="27"/>
    <col width="8.43" customWidth="1" style="769" min="27" max="27"/>
    <col width="8.43" customWidth="1" style="769" min="28" max="29"/>
    <col width="8.43" customWidth="1" style="769" min="29" max="29"/>
    <col width="8.43" customWidth="1" style="769" min="30" max="31"/>
    <col width="8.43" customWidth="1" style="769" min="31" max="31"/>
    <col width="8.43" customWidth="1" style="769" min="32" max="33"/>
    <col width="8.43" customWidth="1" style="769" min="33" max="33"/>
    <col width="8.43" customWidth="1" style="769" min="34" max="35"/>
    <col width="8.43" customWidth="1" style="769" min="35" max="35"/>
    <col width="8.43" customWidth="1" style="769" min="36" max="37"/>
    <col width="8.43" customWidth="1" style="769" min="37" max="37"/>
    <col width="8.43" customWidth="1" style="769" min="38" max="39"/>
    <col width="8.43" customWidth="1" style="769" min="39" max="39"/>
    <col width="8.43" customWidth="1" style="769" min="40" max="41"/>
    <col width="8.43" customWidth="1" style="769" min="41" max="41"/>
    <col width="8.43" customWidth="1" style="769" min="42" max="43"/>
    <col width="8.43" customWidth="1" style="769" min="43" max="43"/>
    <col width="8.43" customWidth="1" style="769" min="44" max="45"/>
    <col width="8.43" customWidth="1" style="769" min="45" max="45"/>
    <col width="8.43" customWidth="1" style="769" min="46" max="47"/>
    <col width="8.43" customWidth="1" style="769" min="47" max="47"/>
    <col width="8.43" customWidth="1" style="769" min="48" max="49"/>
    <col width="8.43" customWidth="1" style="769" min="49" max="49"/>
    <col width="8.43" customWidth="1" style="769" min="50" max="51"/>
    <col width="8.43" customWidth="1" style="769" min="51" max="51"/>
    <col width="8.43" customWidth="1" style="769" min="52" max="53"/>
    <col width="8.43" customWidth="1" style="769" min="53" max="53"/>
    <col width="8.43" customWidth="1" style="769" min="54" max="55"/>
    <col width="8.43" customWidth="1" style="769" min="55" max="55"/>
    <col width="8.43" customWidth="1" style="769" min="56" max="57"/>
    <col width="8.43" customWidth="1" style="769" min="57" max="57"/>
    <col width="8.43" customWidth="1" style="769" min="58" max="59"/>
    <col width="8.43" customWidth="1" style="769" min="59" max="59"/>
    <col width="8.43" customWidth="1" style="769" min="60" max="61"/>
    <col width="8.43" customWidth="1" style="769" min="61" max="61"/>
    <col width="8.43" customWidth="1" style="769" min="62" max="63"/>
    <col width="8.43" customWidth="1" style="769" min="63" max="63"/>
    <col width="8.43" customWidth="1" style="769" min="64" max="65"/>
    <col width="8.43" customWidth="1" style="769" min="65" max="65"/>
    <col width="8.43" customWidth="1" style="769" min="66" max="67"/>
    <col width="8.43" customWidth="1" style="769" min="67" max="67"/>
    <col width="8.43" customWidth="1" style="769" min="68" max="69"/>
    <col width="8.43" customWidth="1" style="769" min="69" max="69"/>
    <col width="8.43" customWidth="1" style="769" min="70" max="71"/>
    <col width="8.43" customWidth="1" style="769" min="71" max="71"/>
    <col width="8.43" customWidth="1" style="769" min="72" max="73"/>
    <col width="8.43" customWidth="1" style="769" min="73" max="73"/>
    <col width="8.43" customWidth="1" style="769" min="74" max="75"/>
    <col width="8.43" customWidth="1" style="769" min="75" max="75"/>
    <col width="8.43" customWidth="1" style="769" min="76" max="77"/>
    <col width="8.43" customWidth="1" style="769" min="77" max="77"/>
  </cols>
  <sheetData>
    <row r="3" ht="18.75" customHeight="1" s="769">
      <c r="B3" s="783" t="inlineStr">
        <is>
          <t>Баланс конденсата и нефти по Западной Сибири на _________ годы/год</t>
        </is>
      </c>
    </row>
    <row r="6" ht="20.1" customHeight="1" s="769">
      <c r="B6" s="930" t="inlineStr">
        <is>
          <t>№ п/п</t>
        </is>
      </c>
      <c r="C6" s="785" t="inlineStr">
        <is>
          <t>Показатели</t>
        </is>
      </c>
      <c r="D6" s="770" t="inlineStr">
        <is>
          <t>Внутренние настройки листа</t>
        </is>
      </c>
      <c r="E6" s="771" t="n"/>
      <c r="F6" s="771" t="n"/>
      <c r="G6" s="771" t="n"/>
      <c r="H6" s="772" t="n"/>
      <c r="I6" s="780" t="inlineStr">
        <is>
          <t>Ед. изм.</t>
        </is>
      </c>
    </row>
    <row r="7" ht="39.95" customHeight="1" s="769">
      <c r="B7" s="766" t="n"/>
      <c r="C7" s="766" t="n"/>
      <c r="D7" s="752" t="inlineStr">
        <is>
          <t>Ключ статьи</t>
        </is>
      </c>
      <c r="E7" s="752" t="inlineStr">
        <is>
          <t>Ключ спец</t>
        </is>
      </c>
      <c r="F7" s="752" t="inlineStr">
        <is>
          <t>Ключ ввод данных</t>
        </is>
      </c>
      <c r="G7" s="752" t="inlineStr">
        <is>
          <t>Формулы месяца</t>
        </is>
      </c>
      <c r="H7" s="752" t="inlineStr">
        <is>
          <t>Формулы % выхода</t>
        </is>
      </c>
      <c r="I7" s="766" t="n"/>
    </row>
    <row r="8" ht="20.1" customHeight="1" s="769">
      <c r="B8" s="751" t="n"/>
      <c r="C8" s="753" t="n"/>
      <c r="D8" s="753" t="n"/>
      <c r="E8" s="753" t="n"/>
      <c r="F8" s="753" t="n"/>
      <c r="G8" s="753" t="n"/>
      <c r="H8" s="753" t="n"/>
      <c r="I8" s="753" t="n"/>
    </row>
    <row r="9" hidden="1" ht="20.1" customHeight="1" s="769">
      <c r="B9" s="523" t="n"/>
      <c r="C9" s="524" t="n"/>
      <c r="D9" s="525" t="n"/>
      <c r="E9" s="525" t="n"/>
      <c r="F9" s="525" t="n"/>
      <c r="G9" s="525" t="n"/>
      <c r="H9" s="525" t="n"/>
      <c r="I9" s="525" t="n"/>
    </row>
    <row r="10" ht="25.5" customHeight="1" s="769">
      <c r="B10" s="778" t="inlineStr">
        <is>
          <t>I</t>
        </is>
      </c>
      <c r="C10" s="468" t="inlineStr">
        <is>
          <t>ДОБЫЧА</t>
        </is>
      </c>
      <c r="D10" s="528" t="n"/>
      <c r="E10" s="528" t="n"/>
      <c r="F10" s="529" t="n"/>
      <c r="G10" s="530" t="inlineStr">
        <is>
          <t>4_100331805-0+0+0+8_100330638+0+0+0+0+0+8_100330639+8_100330640+8_100330641+8_100330642+0+0+7_100330587+7_100330588+10_100330719+11_100330686+11_100330687+11_100330688+11_100333683+11_100335593+11_100335658+4_100331811+4_100331963+0+0+0+0+0+0+0+0+0+0+0+0+0+0+0+0+0+0+10_100330722+7_100330591+7_100330593</t>
        </is>
      </c>
      <c r="H10" s="530" t="n"/>
      <c r="I10" s="519" t="inlineStr">
        <is>
          <t xml:space="preserve"> тыс. т.</t>
        </is>
      </c>
    </row>
    <row r="11" ht="27.75" customHeight="1" s="769">
      <c r="B11" s="778" t="inlineStr">
        <is>
          <t>1</t>
        </is>
      </c>
      <c r="C11" s="469" t="inlineStr">
        <is>
          <t>Нестабильный газовый конденсат, в т.ч.</t>
        </is>
      </c>
      <c r="D11" s="528" t="n"/>
      <c r="E11" s="528" t="n"/>
      <c r="F11" s="529" t="n"/>
      <c r="G11" s="530" t="inlineStr">
        <is>
          <t>4_100331805-0+0+0+8_100330638+0+0+0+0+0+8_100330639+8_100330640+8_100330641+8_100330642+0+0+7_100330587+7_100330588+10_100330719+11_100330686+11_100330687+11_100330688+11_100333683+11_100335593+11_100335658+4_100331811</t>
        </is>
      </c>
      <c r="H11" s="530" t="n"/>
      <c r="I11" s="519" t="inlineStr">
        <is>
          <t xml:space="preserve"> тыс. т.</t>
        </is>
      </c>
    </row>
    <row r="12" ht="60" customHeight="1" s="769">
      <c r="B12" s="778" t="inlineStr">
        <is>
          <t>1.1.1</t>
        </is>
      </c>
      <c r="C12" s="784" t="inlineStr">
        <is>
          <t>ООО "Газпром добыча Уренгой"</t>
        </is>
      </c>
      <c r="D12" s="528" t="n"/>
      <c r="E12" s="528" t="n"/>
      <c r="F12" s="529" t="n"/>
      <c r="G12" s="530" t="inlineStr">
        <is>
          <t>4_100331805-0+0+0+8_100330638+0+0+0+0+0+8_100330639+8_100330640+8_100330641+8_100330642+0+0</t>
        </is>
      </c>
      <c r="H12" s="530" t="n"/>
      <c r="I12" s="519" t="inlineStr">
        <is>
          <t xml:space="preserve"> тыс. т.</t>
        </is>
      </c>
    </row>
    <row r="13" ht="18.75" customFormat="1" customHeight="1" s="673">
      <c r="B13" s="674" t="n"/>
      <c r="C13" s="675" t="n"/>
      <c r="D13" s="676" t="n"/>
      <c r="E13" s="676" t="n"/>
      <c r="F13" s="676" t="n"/>
      <c r="G13" s="677">
        <f>G14+G15/1000</f>
        <v/>
      </c>
      <c r="H13" s="677" t="n"/>
      <c r="I13" s="678" t="n"/>
    </row>
    <row r="14" ht="18.75" customHeight="1" s="769">
      <c r="B14" s="778" t="inlineStr">
        <is>
          <t>1.1.1.1</t>
        </is>
      </c>
      <c r="C14" s="471" t="inlineStr">
        <is>
          <t>Уренгойское НГКМ</t>
        </is>
      </c>
      <c r="D14" s="528" t="n"/>
      <c r="E14" s="528" t="n"/>
      <c r="F14" s="529" t="n"/>
      <c r="G14" s="530" t="inlineStr">
        <is>
          <t>4_100331805-0+0</t>
        </is>
      </c>
      <c r="H14" s="530" t="n"/>
      <c r="I14" s="519" t="inlineStr">
        <is>
          <t xml:space="preserve"> тыс. т.</t>
        </is>
      </c>
    </row>
    <row r="15" ht="18.75" customHeight="1" s="769">
      <c r="C15" s="484" t="inlineStr">
        <is>
          <t>в т.ч. газоконд. скважин</t>
        </is>
      </c>
      <c r="D15" s="528" t="n"/>
      <c r="E15" s="528" t="n"/>
      <c r="F15" s="529" t="n"/>
      <c r="G15" s="530" t="inlineStr">
        <is>
          <t>4_100331805-0</t>
        </is>
      </c>
      <c r="H15" s="530" t="n"/>
      <c r="I15" s="519" t="inlineStr">
        <is>
          <t xml:space="preserve"> тыс. т.</t>
        </is>
      </c>
    </row>
    <row r="16" ht="18.75" customHeight="1" s="769">
      <c r="C16" s="470" t="inlineStr">
        <is>
          <t>ПНГ из нефти</t>
        </is>
      </c>
      <c r="D16" s="528" t="n"/>
      <c r="E16" s="528" t="n"/>
      <c r="F16" s="529" t="n"/>
      <c r="G16" s="530" t="n">
        <v>0</v>
      </c>
      <c r="H16" s="530" t="n"/>
      <c r="I16" s="517" t="inlineStr">
        <is>
          <t xml:space="preserve"> тыс. т.</t>
        </is>
      </c>
    </row>
    <row r="17" ht="18.75" customHeight="1" s="769">
      <c r="B17" s="778" t="inlineStr">
        <is>
          <t>1.1.1.2</t>
        </is>
      </c>
      <c r="C17" s="471" t="inlineStr">
        <is>
          <t>Уренгойское НГКМ фаза 3 (ДРОД)</t>
        </is>
      </c>
      <c r="D17" s="528" t="n"/>
      <c r="E17" s="528" t="n"/>
      <c r="F17" s="529" t="n"/>
      <c r="G17" s="530" t="inlineStr">
        <is>
          <t>0+0</t>
        </is>
      </c>
      <c r="H17" s="530" t="n"/>
      <c r="I17" s="519" t="inlineStr">
        <is>
          <t xml:space="preserve"> тыс. т.</t>
        </is>
      </c>
    </row>
    <row r="18" ht="19.5" customHeight="1" s="769">
      <c r="B18" s="472" t="n"/>
      <c r="C18" s="473" t="inlineStr">
        <is>
          <t>Уренгойское НГКМ газоконд. скваж. (ДРОД)</t>
        </is>
      </c>
      <c r="D18" s="528" t="n"/>
      <c r="E18" s="528" t="n"/>
      <c r="F18" s="529" t="n"/>
      <c r="G18" s="530" t="n">
        <v>0</v>
      </c>
      <c r="H18" s="530" t="n"/>
      <c r="I18" s="517" t="inlineStr">
        <is>
          <t xml:space="preserve"> тыс. т.</t>
        </is>
      </c>
    </row>
    <row r="19" ht="19.5" customHeight="1" s="769">
      <c r="B19" s="472" t="n"/>
      <c r="C19" s="473" t="inlineStr">
        <is>
          <t>Уренгойское НГКМ конденсат (продукт переработки ПНГ)</t>
        </is>
      </c>
      <c r="D19" s="528" t="n"/>
      <c r="E19" s="528" t="n"/>
      <c r="F19" s="529" t="n"/>
      <c r="G19" s="530" t="n">
        <v>0</v>
      </c>
      <c r="H19" s="530" t="n"/>
      <c r="I19" s="517" t="inlineStr">
        <is>
          <t xml:space="preserve"> тыс. т.</t>
        </is>
      </c>
    </row>
    <row r="20" ht="18.75" customHeight="1" s="769">
      <c r="B20" s="483" t="n"/>
      <c r="C20" s="776" t="inlineStr">
        <is>
          <t>поставка НК в адрес ГПНЗ</t>
        </is>
      </c>
      <c r="D20" s="528" t="n"/>
      <c r="E20" s="528" t="n"/>
      <c r="F20" s="529" t="n"/>
      <c r="G20" s="530" t="n">
        <v>0</v>
      </c>
      <c r="H20" s="530" t="n"/>
      <c r="I20" s="519" t="inlineStr">
        <is>
          <t xml:space="preserve"> тыс. т.</t>
        </is>
      </c>
    </row>
    <row r="21" ht="18.75" customHeight="1" s="769">
      <c r="B21" s="483" t="n"/>
      <c r="C21" s="776" t="inlineStr">
        <is>
          <t>содержание ГВ</t>
        </is>
      </c>
      <c r="D21" s="528" t="n"/>
      <c r="E21" s="528" t="n"/>
      <c r="F21" s="529" t="n"/>
      <c r="G21" s="530" t="n">
        <v>0</v>
      </c>
      <c r="H21" s="530" t="n"/>
      <c r="I21" s="519" t="inlineStr">
        <is>
          <t xml:space="preserve"> тыс. т.</t>
        </is>
      </c>
    </row>
    <row r="22" ht="18.75" customHeight="1" s="769">
      <c r="B22" s="483" t="n"/>
      <c r="D22" s="528" t="n"/>
      <c r="E22" s="528" t="n"/>
      <c r="F22" s="529" t="n"/>
      <c r="G22" s="530" t="n">
        <v>0</v>
      </c>
      <c r="H22" s="530" t="n"/>
      <c r="I22" s="931" t="inlineStr">
        <is>
          <t>млн куб. м</t>
        </is>
      </c>
    </row>
    <row r="23" ht="18.75" customHeight="1" s="769">
      <c r="B23" s="483" t="n"/>
      <c r="C23" s="776" t="inlineStr">
        <is>
          <t>содержание ШФЛУ</t>
        </is>
      </c>
      <c r="D23" s="528" t="n"/>
      <c r="E23" s="528" t="n"/>
      <c r="F23" s="529" t="n"/>
      <c r="G23" s="530" t="n">
        <v>0</v>
      </c>
      <c r="H23" s="530" t="n"/>
      <c r="I23" s="519" t="inlineStr">
        <is>
          <t xml:space="preserve"> тыс. т.</t>
        </is>
      </c>
    </row>
    <row r="24" ht="18.75" customHeight="1" s="769">
      <c r="B24" s="483" t="n"/>
      <c r="C24" s="776" t="inlineStr">
        <is>
          <t>содержание СК</t>
        </is>
      </c>
      <c r="D24" s="528" t="n"/>
      <c r="E24" s="528" t="n"/>
      <c r="F24" s="529" t="n"/>
      <c r="G24" s="530" t="n">
        <v>0</v>
      </c>
      <c r="H24" s="530" t="n"/>
      <c r="I24" s="519" t="inlineStr">
        <is>
          <t xml:space="preserve"> тыс. т.</t>
        </is>
      </c>
    </row>
    <row r="25" ht="18.75" customHeight="1" s="769">
      <c r="B25" s="778" t="n"/>
      <c r="C25" s="776" t="inlineStr">
        <is>
          <t>НК, СК, ШФЛУ на УЗПКТ-СЗСК</t>
        </is>
      </c>
      <c r="D25" s="528" t="n"/>
      <c r="E25" s="528" t="n"/>
      <c r="F25" s="529" t="n"/>
      <c r="G25" s="530" t="inlineStr">
        <is>
          <t>0+0</t>
        </is>
      </c>
      <c r="H25" s="530" t="n"/>
      <c r="I25" s="519" t="inlineStr">
        <is>
          <t xml:space="preserve"> тыс. т.</t>
        </is>
      </c>
    </row>
    <row r="26" ht="18.75" customHeight="1" s="769">
      <c r="B26" s="483" t="n"/>
      <c r="C26" s="776" t="inlineStr">
        <is>
          <t>НК, СК в адрес ГПНЗ и трейдера:</t>
        </is>
      </c>
      <c r="D26" s="528" t="n"/>
      <c r="E26" s="528" t="n"/>
      <c r="F26" s="529" t="n"/>
      <c r="G26" s="530" t="n">
        <v>0</v>
      </c>
      <c r="H26" s="530" t="n"/>
      <c r="I26" s="519" t="inlineStr">
        <is>
          <t xml:space="preserve"> тыс. т.</t>
        </is>
      </c>
    </row>
    <row r="27" ht="18.75" customHeight="1" s="769">
      <c r="B27" s="778" t="n"/>
      <c r="C27" s="474" t="inlineStr">
        <is>
          <t>в т.ч. СК в адрес трейдера (альт.схема)</t>
        </is>
      </c>
      <c r="D27" s="528" t="n"/>
      <c r="E27" s="528" t="n"/>
      <c r="F27" s="529" t="n"/>
      <c r="G27" s="530" t="inlineStr">
        <is>
          <t>0-0</t>
        </is>
      </c>
      <c r="H27" s="530" t="n"/>
      <c r="I27" s="519" t="inlineStr">
        <is>
          <t xml:space="preserve"> тыс. т.</t>
        </is>
      </c>
    </row>
    <row r="28" ht="18.75" customHeight="1" s="769">
      <c r="B28" s="483" t="n"/>
      <c r="C28" s="474" t="inlineStr">
        <is>
          <t xml:space="preserve">в т.ч. НК, СК в адрес ГПНЗ (автовывоз)  </t>
        </is>
      </c>
      <c r="D28" s="528" t="n"/>
      <c r="E28" s="528" t="n"/>
      <c r="F28" s="529" t="n"/>
      <c r="G28" s="530" t="n">
        <v>0</v>
      </c>
      <c r="H28" s="530" t="n"/>
      <c r="I28" s="519" t="inlineStr">
        <is>
          <t xml:space="preserve"> тыс. т.</t>
        </is>
      </c>
    </row>
    <row r="29" ht="19.5" customHeight="1" s="769">
      <c r="B29" s="482" t="n"/>
      <c r="C29" s="478" t="inlineStr">
        <is>
          <t>проверка</t>
        </is>
      </c>
      <c r="D29" s="528" t="n"/>
      <c r="E29" s="528" t="n"/>
      <c r="F29" s="529" t="n"/>
      <c r="G29" s="530" t="inlineStr">
        <is>
          <t>0+0-0-0-0-0-(0+0-0)</t>
        </is>
      </c>
      <c r="H29" s="530" t="n"/>
      <c r="I29" s="518" t="inlineStr">
        <is>
          <t xml:space="preserve"> тыс. т.</t>
        </is>
      </c>
    </row>
    <row r="30" ht="18.75" customHeight="1" s="769">
      <c r="B30" s="778" t="inlineStr">
        <is>
          <t>1.1.1.3</t>
        </is>
      </c>
      <c r="C30" s="471" t="inlineStr">
        <is>
          <t>Ен-Яхинское НГКМ</t>
        </is>
      </c>
      <c r="D30" s="528" t="n"/>
      <c r="E30" s="528" t="n"/>
      <c r="F30" s="529" t="n"/>
      <c r="G30" s="530" t="inlineStr">
        <is>
          <t>8_100330638</t>
        </is>
      </c>
      <c r="H30" s="530" t="n"/>
      <c r="I30" s="519" t="inlineStr">
        <is>
          <t xml:space="preserve"> тыс. т.</t>
        </is>
      </c>
    </row>
    <row r="31" ht="18.75" customHeight="1" s="769">
      <c r="B31" s="778" t="inlineStr">
        <is>
          <t>1.1.1.4</t>
        </is>
      </c>
      <c r="C31" s="471" t="inlineStr">
        <is>
          <t>Ен-Яхинское НГКМ (ДРОД)</t>
        </is>
      </c>
      <c r="D31" s="528" t="n"/>
      <c r="E31" s="528" t="n"/>
      <c r="F31" s="529" t="n"/>
      <c r="G31" s="530" t="inlineStr">
        <is>
          <t>0+0</t>
        </is>
      </c>
      <c r="H31" s="530" t="n"/>
      <c r="I31" s="519" t="inlineStr">
        <is>
          <t xml:space="preserve"> тыс. т.</t>
        </is>
      </c>
    </row>
    <row r="32" ht="18.75" customHeight="1" s="769">
      <c r="B32" s="483" t="n"/>
      <c r="C32" s="776" t="inlineStr">
        <is>
          <t>Ен-Яхинское НГКМ газоконд. скваж. (ДРОД)</t>
        </is>
      </c>
      <c r="D32" s="528" t="n"/>
      <c r="E32" s="528" t="n"/>
      <c r="F32" s="529" t="n"/>
      <c r="G32" s="530" t="n">
        <v>0</v>
      </c>
      <c r="H32" s="530" t="n"/>
      <c r="I32" s="519" t="inlineStr">
        <is>
          <t xml:space="preserve"> тыс. т.</t>
        </is>
      </c>
    </row>
    <row r="33" ht="18.75" customHeight="1" s="769">
      <c r="B33" s="483" t="n"/>
      <c r="C33" s="776" t="inlineStr">
        <is>
          <t>Ен-Яхинское НГКМ нефтяной конденсат (продукт переработки ПНГ)</t>
        </is>
      </c>
      <c r="D33" s="528" t="n"/>
      <c r="E33" s="528" t="n"/>
      <c r="F33" s="529" t="n"/>
      <c r="G33" s="530" t="n">
        <v>0</v>
      </c>
      <c r="H33" s="530" t="n"/>
      <c r="I33" s="519" t="inlineStr">
        <is>
          <t xml:space="preserve"> тыс. т.</t>
        </is>
      </c>
    </row>
    <row r="34" ht="18.75" customHeight="1" s="769">
      <c r="B34" s="483" t="n"/>
      <c r="C34" s="776" t="inlineStr">
        <is>
          <t>поставка НК в адрес ГПНЗ</t>
        </is>
      </c>
      <c r="D34" s="528" t="n"/>
      <c r="E34" s="528" t="n"/>
      <c r="F34" s="529" t="n"/>
      <c r="G34" s="530" t="n">
        <v>0</v>
      </c>
      <c r="H34" s="530" t="n"/>
      <c r="I34" s="519" t="inlineStr">
        <is>
          <t xml:space="preserve"> тыс. т.</t>
        </is>
      </c>
    </row>
    <row r="35" ht="18.75" customHeight="1" s="769">
      <c r="B35" s="483" t="n"/>
      <c r="C35" s="776" t="inlineStr">
        <is>
          <t>содержание ГВ</t>
        </is>
      </c>
      <c r="D35" s="528" t="n"/>
      <c r="E35" s="528" t="n"/>
      <c r="F35" s="529" t="n"/>
      <c r="G35" s="530" t="n">
        <v>0</v>
      </c>
      <c r="H35" s="530" t="n"/>
      <c r="I35" s="519" t="inlineStr">
        <is>
          <t xml:space="preserve"> тыс. т.</t>
        </is>
      </c>
    </row>
    <row r="36" ht="18.75" customHeight="1" s="769">
      <c r="B36" s="483" t="n"/>
      <c r="D36" s="528" t="n"/>
      <c r="E36" s="528" t="n"/>
      <c r="F36" s="529" t="n"/>
      <c r="G36" s="530" t="n">
        <v>0</v>
      </c>
      <c r="H36" s="530" t="n"/>
      <c r="I36" s="931" t="inlineStr">
        <is>
          <t>млн куб. м</t>
        </is>
      </c>
    </row>
    <row r="37" ht="18.75" customHeight="1" s="769">
      <c r="B37" s="483" t="n"/>
      <c r="C37" s="776" t="inlineStr">
        <is>
          <t>содержание ШФЛУ</t>
        </is>
      </c>
      <c r="D37" s="528" t="n"/>
      <c r="E37" s="528" t="n"/>
      <c r="F37" s="529" t="n"/>
      <c r="G37" s="530" t="n">
        <v>0</v>
      </c>
      <c r="H37" s="530" t="n"/>
      <c r="I37" s="519" t="inlineStr">
        <is>
          <t xml:space="preserve"> тыс. т.</t>
        </is>
      </c>
    </row>
    <row r="38" ht="18.75" customHeight="1" s="769">
      <c r="B38" s="483" t="n"/>
      <c r="C38" s="776" t="inlineStr">
        <is>
          <t>содержание СК</t>
        </is>
      </c>
      <c r="D38" s="528" t="n"/>
      <c r="E38" s="528" t="n"/>
      <c r="F38" s="529" t="n"/>
      <c r="G38" s="530" t="n">
        <v>0</v>
      </c>
      <c r="H38" s="530" t="n"/>
      <c r="I38" s="519" t="inlineStr">
        <is>
          <t xml:space="preserve"> тыс. т.</t>
        </is>
      </c>
    </row>
    <row r="39" ht="18.75" customHeight="1" s="769">
      <c r="B39" s="483" t="n"/>
      <c r="C39" s="776" t="inlineStr">
        <is>
          <t>НК, СК, ШФЛУ на УЗПКТ-СЗСК</t>
        </is>
      </c>
      <c r="D39" s="528" t="n"/>
      <c r="E39" s="528" t="n"/>
      <c r="F39" s="529" t="n"/>
      <c r="G39" s="530" t="n">
        <v>0</v>
      </c>
      <c r="H39" s="530" t="n"/>
      <c r="I39" s="519" t="inlineStr">
        <is>
          <t xml:space="preserve"> тыс. т.</t>
        </is>
      </c>
    </row>
    <row r="40" ht="18.75" customHeight="1" s="769">
      <c r="B40" s="778" t="n"/>
      <c r="C40" s="776" t="inlineStr">
        <is>
          <t>НК, СК в адрес ГПНЗ и трейдера:</t>
        </is>
      </c>
      <c r="D40" s="528" t="n"/>
      <c r="E40" s="528" t="n"/>
      <c r="F40" s="529" t="n"/>
      <c r="G40" s="530" t="n">
        <v>0</v>
      </c>
      <c r="H40" s="530" t="n"/>
      <c r="I40" s="519" t="inlineStr">
        <is>
          <t xml:space="preserve"> тыс. т.</t>
        </is>
      </c>
    </row>
    <row r="41" ht="18.75" customHeight="1" s="769">
      <c r="B41" s="483" t="n"/>
      <c r="C41" s="474" t="inlineStr">
        <is>
          <t>в т.ч. СК в адрес трейдера (альт.схема)</t>
        </is>
      </c>
      <c r="D41" s="528" t="n"/>
      <c r="E41" s="528" t="n"/>
      <c r="F41" s="529" t="n"/>
      <c r="G41" s="530" t="n">
        <v>0</v>
      </c>
      <c r="H41" s="530" t="n"/>
      <c r="I41" s="519" t="inlineStr">
        <is>
          <t xml:space="preserve"> тыс. т.</t>
        </is>
      </c>
    </row>
    <row r="42" ht="18.75" customHeight="1" s="769">
      <c r="B42" s="483" t="n"/>
      <c r="C42" s="474" t="inlineStr">
        <is>
          <t xml:space="preserve">в т.ч. НК, СК в адрес ГПНЗ (автовывоз)  </t>
        </is>
      </c>
      <c r="D42" s="528" t="n"/>
      <c r="E42" s="528" t="n"/>
      <c r="F42" s="529" t="n"/>
      <c r="G42" s="530" t="n">
        <v>0</v>
      </c>
      <c r="H42" s="530" t="n"/>
      <c r="I42" s="519" t="inlineStr">
        <is>
          <t xml:space="preserve"> тыс. т.</t>
        </is>
      </c>
    </row>
    <row r="43" ht="19.5" customHeight="1" s="769">
      <c r="B43" s="482" t="n"/>
      <c r="C43" s="478" t="inlineStr">
        <is>
          <t>проверка</t>
        </is>
      </c>
      <c r="D43" s="528" t="n"/>
      <c r="E43" s="528" t="n"/>
      <c r="F43" s="529" t="n"/>
      <c r="G43" s="530" t="inlineStr">
        <is>
          <t>0+0-0-0-0-0-(0-0)</t>
        </is>
      </c>
      <c r="H43" s="530" t="n"/>
      <c r="I43" s="518" t="inlineStr">
        <is>
          <t xml:space="preserve"> тыс. т.</t>
        </is>
      </c>
    </row>
    <row r="44" ht="18.75" customHeight="1" s="769">
      <c r="B44" s="778" t="inlineStr">
        <is>
          <t>1.1.1.5</t>
        </is>
      </c>
      <c r="C44" s="471" t="inlineStr">
        <is>
          <t>Уренгойское НГКМ (Ачимовские отл. 1 уч.)</t>
        </is>
      </c>
      <c r="D44" s="528" t="n"/>
      <c r="E44" s="528" t="n"/>
      <c r="F44" s="529" t="n"/>
      <c r="G44" s="530" t="inlineStr">
        <is>
          <t>8_100330639</t>
        </is>
      </c>
      <c r="H44" s="530" t="n"/>
      <c r="I44" s="519" t="inlineStr">
        <is>
          <t xml:space="preserve"> тыс. т.</t>
        </is>
      </c>
    </row>
    <row r="45" ht="18.75" customHeight="1" s="769">
      <c r="B45" s="778" t="inlineStr">
        <is>
          <t>1.1.1.6</t>
        </is>
      </c>
      <c r="C45" s="471" t="inlineStr">
        <is>
          <t>Уренгойское НГКМ (Ачимовские отл. 2 уч.)</t>
        </is>
      </c>
      <c r="D45" s="528" t="n"/>
      <c r="E45" s="528" t="n"/>
      <c r="F45" s="529" t="n"/>
      <c r="G45" s="530" t="inlineStr">
        <is>
          <t>8_100330640</t>
        </is>
      </c>
      <c r="H45" s="530" t="n"/>
      <c r="I45" s="519" t="inlineStr">
        <is>
          <t xml:space="preserve"> тыс. т.</t>
        </is>
      </c>
    </row>
    <row r="46" ht="18.75" customHeight="1" s="769">
      <c r="B46" s="778" t="inlineStr">
        <is>
          <t>1.1.1.7</t>
        </is>
      </c>
      <c r="C46" s="471" t="inlineStr">
        <is>
          <t>Уренгойское НГКМ (Ачимовские отл. 3 уч.) (ДРОД)</t>
        </is>
      </c>
      <c r="D46" s="528" t="n"/>
      <c r="E46" s="528" t="n"/>
      <c r="F46" s="529" t="n"/>
      <c r="G46" s="530" t="n">
        <v>0</v>
      </c>
      <c r="H46" s="530" t="n"/>
      <c r="I46" s="519" t="inlineStr">
        <is>
          <t xml:space="preserve"> тыс. т.</t>
        </is>
      </c>
    </row>
    <row r="47" ht="18.75" customHeight="1" s="769">
      <c r="B47" s="483" t="n"/>
      <c r="C47" s="475" t="inlineStr">
        <is>
          <t>Ачимовские отл. 3 уч. газоконд. скваж. (ДРОД)</t>
        </is>
      </c>
      <c r="D47" s="528" t="n"/>
      <c r="E47" s="528" t="n"/>
      <c r="F47" s="529" t="n"/>
      <c r="G47" s="530" t="n">
        <v>0</v>
      </c>
      <c r="H47" s="530" t="n"/>
      <c r="I47" s="519" t="inlineStr">
        <is>
          <t xml:space="preserve"> тыс. т.</t>
        </is>
      </c>
    </row>
    <row r="48" ht="18.75" customHeight="1" s="769">
      <c r="B48" s="483" t="n"/>
      <c r="C48" s="475" t="inlineStr">
        <is>
          <t>Ачимовские отл. 3 уч. конденсат (продукт переработки ПНГ)</t>
        </is>
      </c>
      <c r="D48" s="528" t="n"/>
      <c r="E48" s="528" t="n"/>
      <c r="F48" s="529" t="n"/>
      <c r="G48" s="530" t="n">
        <v>0</v>
      </c>
      <c r="H48" s="530" t="n"/>
      <c r="I48" s="519" t="inlineStr">
        <is>
          <t xml:space="preserve"> тыс. т.</t>
        </is>
      </c>
    </row>
    <row r="49" ht="18.75" customHeight="1" s="769">
      <c r="B49" s="483" t="n"/>
      <c r="C49" s="475" t="inlineStr">
        <is>
          <t>поставка НК на УКПГ 1-АВ УЗПКТ-СЗСК</t>
        </is>
      </c>
      <c r="D49" s="528" t="n"/>
      <c r="E49" s="528" t="n"/>
      <c r="F49" s="529" t="n"/>
      <c r="G49" s="530" t="n">
        <v>0</v>
      </c>
      <c r="H49" s="530" t="n"/>
      <c r="I49" s="519" t="inlineStr">
        <is>
          <t xml:space="preserve"> тыс. т.</t>
        </is>
      </c>
    </row>
    <row r="50" ht="18.75" customHeight="1" s="769">
      <c r="B50" s="483" t="n"/>
      <c r="C50" s="776" t="inlineStr">
        <is>
          <t>содержание ГВ</t>
        </is>
      </c>
      <c r="D50" s="528" t="n"/>
      <c r="E50" s="528" t="n"/>
      <c r="F50" s="529" t="n"/>
      <c r="G50" s="530" t="n">
        <v>0</v>
      </c>
      <c r="H50" s="530" t="n"/>
      <c r="I50" s="519" t="inlineStr">
        <is>
          <t xml:space="preserve"> тыс. т.</t>
        </is>
      </c>
    </row>
    <row r="51" ht="18.75" customHeight="1" s="769">
      <c r="B51" s="483" t="n"/>
      <c r="D51" s="528" t="n"/>
      <c r="E51" s="528" t="n"/>
      <c r="F51" s="529" t="n"/>
      <c r="G51" s="530" t="n">
        <v>0</v>
      </c>
      <c r="H51" s="530" t="n"/>
      <c r="I51" s="931" t="inlineStr">
        <is>
          <t>млн куб. м</t>
        </is>
      </c>
    </row>
    <row r="52" ht="18.75" customHeight="1" s="769">
      <c r="B52" s="483" t="n"/>
      <c r="C52" s="776" t="inlineStr">
        <is>
          <t>содержание ШФЛУ</t>
        </is>
      </c>
      <c r="D52" s="528" t="n"/>
      <c r="E52" s="528" t="n"/>
      <c r="F52" s="529" t="n"/>
      <c r="G52" s="530" t="n">
        <v>0</v>
      </c>
      <c r="H52" s="530" t="n"/>
      <c r="I52" s="519" t="inlineStr">
        <is>
          <t xml:space="preserve"> тыс. т.</t>
        </is>
      </c>
    </row>
    <row r="53" ht="18.75" customHeight="1" s="769">
      <c r="B53" s="483" t="n"/>
      <c r="C53" s="776" t="inlineStr">
        <is>
          <t>содержание СК</t>
        </is>
      </c>
      <c r="D53" s="528" t="n"/>
      <c r="E53" s="528" t="n"/>
      <c r="F53" s="529" t="n"/>
      <c r="G53" s="530" t="n">
        <v>0</v>
      </c>
      <c r="H53" s="530" t="n"/>
      <c r="I53" s="519" t="inlineStr">
        <is>
          <t xml:space="preserve"> тыс. т.</t>
        </is>
      </c>
    </row>
    <row r="54" ht="18.75" customHeight="1" s="769">
      <c r="B54" s="483" t="n"/>
      <c r="C54" s="776" t="inlineStr">
        <is>
          <t>НК, СК, ШФЛУ на УЗПКТ-СЗСК</t>
        </is>
      </c>
      <c r="D54" s="528" t="n"/>
      <c r="E54" s="528" t="n"/>
      <c r="F54" s="529" t="n"/>
      <c r="G54" s="530" t="n">
        <v>0</v>
      </c>
      <c r="H54" s="530" t="n"/>
      <c r="I54" s="519" t="inlineStr">
        <is>
          <t xml:space="preserve"> тыс. т.</t>
        </is>
      </c>
    </row>
    <row r="55" ht="18.75" customHeight="1" s="769">
      <c r="B55" s="778" t="n"/>
      <c r="C55" s="776" t="inlineStr">
        <is>
          <t>НК, СК в адрес ГПНЗ и трейдера:</t>
        </is>
      </c>
      <c r="D55" s="528" t="n"/>
      <c r="E55" s="528" t="n"/>
      <c r="F55" s="529" t="n"/>
      <c r="G55" s="530" t="inlineStr">
        <is>
          <t>0+0</t>
        </is>
      </c>
      <c r="H55" s="530" t="n"/>
      <c r="I55" s="519" t="inlineStr">
        <is>
          <t xml:space="preserve"> тыс. т.</t>
        </is>
      </c>
    </row>
    <row r="56" ht="18.75" customHeight="1" s="769">
      <c r="B56" s="483" t="n"/>
      <c r="C56" s="474" t="inlineStr">
        <is>
          <t>в т.ч. СК в адрес трейдера (альт.схема)</t>
        </is>
      </c>
      <c r="D56" s="528" t="n"/>
      <c r="E56" s="528" t="n"/>
      <c r="F56" s="529" t="n"/>
      <c r="G56" s="530" t="n">
        <v>0</v>
      </c>
      <c r="H56" s="530" t="n"/>
      <c r="I56" s="519" t="inlineStr">
        <is>
          <t xml:space="preserve"> тыс. т.</t>
        </is>
      </c>
    </row>
    <row r="57" ht="18.75" customHeight="1" s="769">
      <c r="B57" s="483" t="n"/>
      <c r="C57" s="474" t="inlineStr">
        <is>
          <t xml:space="preserve">в т.ч. НК, СК в адрес ГПНЗ (автовывоз)  </t>
        </is>
      </c>
      <c r="D57" s="528" t="n"/>
      <c r="E57" s="528" t="n"/>
      <c r="F57" s="529" t="n"/>
      <c r="G57" s="530" t="inlineStr">
        <is>
          <t>0+0-0</t>
        </is>
      </c>
      <c r="H57" s="530" t="n"/>
      <c r="I57" s="519" t="inlineStr">
        <is>
          <t xml:space="preserve"> тыс. т.</t>
        </is>
      </c>
    </row>
    <row r="58" ht="19.5" customHeight="1" s="769">
      <c r="B58" s="482" t="n"/>
      <c r="C58" s="478" t="inlineStr">
        <is>
          <t>проверка</t>
        </is>
      </c>
      <c r="D58" s="528" t="n"/>
      <c r="E58" s="528" t="n"/>
      <c r="F58" s="529" t="n"/>
      <c r="G58" s="530" t="inlineStr">
        <is>
          <t>0-0-0-0-103-(0-0)</t>
        </is>
      </c>
      <c r="H58" s="530" t="n"/>
      <c r="I58" s="518" t="inlineStr">
        <is>
          <t xml:space="preserve"> тыс. т.</t>
        </is>
      </c>
    </row>
    <row r="59" ht="18.75" customHeight="1" s="769">
      <c r="B59" s="778" t="inlineStr">
        <is>
          <t>1.1.1.8</t>
        </is>
      </c>
      <c r="C59" s="476" t="inlineStr">
        <is>
          <t>Уренгойское НГКМ (Ачимовские отл. 4 уч.)</t>
        </is>
      </c>
      <c r="D59" s="528" t="n"/>
      <c r="E59" s="528" t="n"/>
      <c r="F59" s="529" t="n"/>
      <c r="G59" s="530" t="inlineStr">
        <is>
          <t>8_100330641</t>
        </is>
      </c>
      <c r="H59" s="530" t="n"/>
      <c r="I59" s="519" t="inlineStr">
        <is>
          <t xml:space="preserve"> тыс. т.</t>
        </is>
      </c>
    </row>
    <row r="60" ht="18.75" customHeight="1" s="769">
      <c r="B60" s="778" t="inlineStr">
        <is>
          <t>1.1.1.9</t>
        </is>
      </c>
      <c r="C60" s="476" t="inlineStr">
        <is>
          <t>Уренгойское НГКМ (Ачимовские отл. 5 уч.)</t>
        </is>
      </c>
      <c r="D60" s="528" t="n"/>
      <c r="E60" s="528" t="n"/>
      <c r="F60" s="529" t="n"/>
      <c r="G60" s="530" t="inlineStr">
        <is>
          <t>8_100330642</t>
        </is>
      </c>
      <c r="H60" s="530" t="n"/>
      <c r="I60" s="519" t="inlineStr">
        <is>
          <t xml:space="preserve"> тыс. т.</t>
        </is>
      </c>
    </row>
    <row r="61" ht="18.75" customHeight="1" s="769">
      <c r="B61" s="778" t="inlineStr">
        <is>
          <t>1.1.1.10</t>
        </is>
      </c>
      <c r="C61" s="476" t="inlineStr">
        <is>
          <t>Песцовое НГКМ (ДРОД)</t>
        </is>
      </c>
      <c r="D61" s="528" t="n"/>
      <c r="E61" s="528" t="n"/>
      <c r="F61" s="529" t="n"/>
      <c r="G61" s="530" t="inlineStr">
        <is>
          <t>0+0</t>
        </is>
      </c>
      <c r="H61" s="530" t="n"/>
      <c r="I61" s="519" t="inlineStr">
        <is>
          <t xml:space="preserve"> тыс. т.</t>
        </is>
      </c>
    </row>
    <row r="62" ht="18.75" customHeight="1" s="769">
      <c r="B62" s="483" t="n"/>
      <c r="C62" s="776" t="inlineStr">
        <is>
          <t>Песцовое НГКМ газоконд. скваж. (ДРОД)</t>
        </is>
      </c>
      <c r="D62" s="528" t="n"/>
      <c r="E62" s="528" t="n"/>
      <c r="F62" s="529" t="n"/>
      <c r="G62" s="530" t="n">
        <v>0</v>
      </c>
      <c r="H62" s="530" t="n"/>
      <c r="I62" s="519" t="inlineStr">
        <is>
          <t xml:space="preserve"> тыс. т.</t>
        </is>
      </c>
    </row>
    <row r="63" ht="18.75" customHeight="1" s="769">
      <c r="B63" s="483" t="n"/>
      <c r="C63" s="776" t="inlineStr">
        <is>
          <t>Песцовое НГКМ нефтяной конденсат (продукт переработки ПНГ)</t>
        </is>
      </c>
      <c r="D63" s="528" t="n"/>
      <c r="E63" s="528" t="n"/>
      <c r="F63" s="529" t="n"/>
      <c r="G63" s="530" t="n">
        <v>0</v>
      </c>
      <c r="H63" s="530" t="n"/>
      <c r="I63" s="519" t="inlineStr">
        <is>
          <t xml:space="preserve"> тыс. т.</t>
        </is>
      </c>
    </row>
    <row r="64" ht="18.75" customHeight="1" s="769">
      <c r="B64" s="483" t="n"/>
      <c r="C64" s="776" t="inlineStr">
        <is>
          <t>поставка НК в адрес ГПНЗ</t>
        </is>
      </c>
      <c r="D64" s="528" t="n"/>
      <c r="E64" s="528" t="n"/>
      <c r="F64" s="529" t="n"/>
      <c r="G64" s="530" t="n">
        <v>0</v>
      </c>
      <c r="H64" s="530" t="n"/>
      <c r="I64" s="519" t="inlineStr">
        <is>
          <t xml:space="preserve"> тыс. т.</t>
        </is>
      </c>
    </row>
    <row r="65" ht="18.75" customHeight="1" s="769">
      <c r="B65" s="483" t="n"/>
      <c r="C65" s="776" t="inlineStr">
        <is>
          <t>содержание ГВ</t>
        </is>
      </c>
      <c r="D65" s="528" t="n"/>
      <c r="E65" s="528" t="n"/>
      <c r="F65" s="529" t="n"/>
      <c r="G65" s="530" t="n">
        <v>0</v>
      </c>
      <c r="H65" s="530" t="n"/>
      <c r="I65" s="519" t="inlineStr">
        <is>
          <t xml:space="preserve"> тыс. т.</t>
        </is>
      </c>
    </row>
    <row r="66" ht="18.75" customHeight="1" s="769">
      <c r="B66" s="483" t="n"/>
      <c r="D66" s="528" t="n"/>
      <c r="E66" s="528" t="n"/>
      <c r="F66" s="529" t="n"/>
      <c r="G66" s="530" t="n">
        <v>0</v>
      </c>
      <c r="H66" s="530" t="n"/>
      <c r="I66" s="931" t="inlineStr">
        <is>
          <t>млн куб. м</t>
        </is>
      </c>
    </row>
    <row r="67" ht="18.75" customHeight="1" s="769">
      <c r="B67" s="483" t="n"/>
      <c r="C67" s="776" t="inlineStr">
        <is>
          <t>содержание ГВ (нефтяной конденсат, продукт переработки)</t>
        </is>
      </c>
      <c r="D67" s="528" t="n"/>
      <c r="E67" s="528" t="n"/>
      <c r="F67" s="529" t="n"/>
      <c r="G67" s="530" t="n">
        <v>0</v>
      </c>
      <c r="H67" s="530" t="n"/>
      <c r="I67" s="519" t="inlineStr">
        <is>
          <t xml:space="preserve"> тыс. т.</t>
        </is>
      </c>
    </row>
    <row r="68" ht="18.75" customHeight="1" s="769">
      <c r="B68" s="483" t="n"/>
      <c r="D68" s="528" t="n"/>
      <c r="E68" s="528" t="n"/>
      <c r="F68" s="529" t="n"/>
      <c r="G68" s="530" t="n">
        <v>0</v>
      </c>
      <c r="H68" s="530" t="n"/>
      <c r="I68" s="931" t="inlineStr">
        <is>
          <t>млн куб. м</t>
        </is>
      </c>
    </row>
    <row r="69" ht="18.75" customHeight="1" s="769">
      <c r="B69" s="483" t="n"/>
      <c r="C69" s="776" t="inlineStr">
        <is>
          <t>содержание ШФЛУ</t>
        </is>
      </c>
      <c r="D69" s="528" t="n"/>
      <c r="E69" s="528" t="n"/>
      <c r="F69" s="529" t="n"/>
      <c r="G69" s="530" t="n">
        <v>0</v>
      </c>
      <c r="H69" s="530" t="n"/>
      <c r="I69" s="519" t="inlineStr">
        <is>
          <t xml:space="preserve"> тыс. т.</t>
        </is>
      </c>
    </row>
    <row r="70" ht="18.75" customHeight="1" s="769">
      <c r="B70" s="483" t="n"/>
      <c r="C70" s="776" t="inlineStr">
        <is>
          <t>содержание ШФЛУ (нефтяной конденсат, продукт переработки)</t>
        </is>
      </c>
      <c r="D70" s="528" t="n"/>
      <c r="E70" s="528" t="n"/>
      <c r="F70" s="529" t="n"/>
      <c r="G70" s="530" t="n">
        <v>0</v>
      </c>
      <c r="H70" s="530" t="n"/>
      <c r="I70" s="519" t="inlineStr">
        <is>
          <t xml:space="preserve"> тыс. т.</t>
        </is>
      </c>
    </row>
    <row r="71" ht="18.75" customHeight="1" s="769">
      <c r="B71" s="778" t="n"/>
      <c r="C71" s="776" t="inlineStr">
        <is>
          <t>содержание СК</t>
        </is>
      </c>
      <c r="D71" s="528" t="n"/>
      <c r="E71" s="528" t="n"/>
      <c r="F71" s="529" t="n"/>
      <c r="G71" s="530" t="inlineStr">
        <is>
          <t>0-0-0</t>
        </is>
      </c>
      <c r="H71" s="530" t="n"/>
      <c r="I71" s="519" t="inlineStr">
        <is>
          <t xml:space="preserve"> тыс. т.</t>
        </is>
      </c>
    </row>
    <row r="72" ht="18.75" customHeight="1" s="769">
      <c r="B72" s="778" t="n"/>
      <c r="C72" s="776" t="inlineStr">
        <is>
          <t>содержание СК (нефтяной конденсат, продукт переработки)</t>
        </is>
      </c>
      <c r="D72" s="528" t="n"/>
      <c r="E72" s="528" t="n"/>
      <c r="F72" s="529" t="n"/>
      <c r="G72" s="530" t="inlineStr">
        <is>
          <t>0-0-0</t>
        </is>
      </c>
      <c r="H72" s="530" t="n"/>
      <c r="I72" s="519" t="inlineStr">
        <is>
          <t xml:space="preserve"> тыс. т.</t>
        </is>
      </c>
    </row>
    <row r="73" ht="18.75" customHeight="1" s="769">
      <c r="B73" s="778" t="n"/>
      <c r="C73" s="776" t="inlineStr">
        <is>
          <t>НК, СК, ШФЛУ на УЗПКТ-СЗСК</t>
        </is>
      </c>
      <c r="D73" s="528" t="n"/>
      <c r="E73" s="528" t="n"/>
      <c r="F73" s="529" t="n"/>
      <c r="G73" s="530" t="inlineStr">
        <is>
          <t>0+0</t>
        </is>
      </c>
      <c r="H73" s="530" t="n"/>
      <c r="I73" s="519" t="inlineStr">
        <is>
          <t xml:space="preserve"> тыс. т.</t>
        </is>
      </c>
    </row>
    <row r="74" ht="18.75" customHeight="1" s="769">
      <c r="B74" s="778" t="n"/>
      <c r="C74" s="776" t="inlineStr">
        <is>
          <t>НК, СК в адрес ГПНЗ и трейдера:</t>
        </is>
      </c>
      <c r="D74" s="528" t="n"/>
      <c r="E74" s="528" t="n"/>
      <c r="F74" s="529" t="n"/>
      <c r="G74" s="530" t="inlineStr">
        <is>
          <t>0-0-0+0+0-0-0</t>
        </is>
      </c>
      <c r="H74" s="530" t="n"/>
      <c r="I74" s="519" t="inlineStr">
        <is>
          <t xml:space="preserve"> тыс. т.</t>
        </is>
      </c>
    </row>
    <row r="75" ht="18.75" customHeight="1" s="769">
      <c r="B75" s="778" t="n"/>
      <c r="C75" s="474" t="inlineStr">
        <is>
          <t>в т.ч. СК в адрес трейдера (альт.схема)</t>
        </is>
      </c>
      <c r="D75" s="528" t="n"/>
      <c r="E75" s="528" t="n"/>
      <c r="F75" s="529" t="n"/>
      <c r="G75" s="530" t="inlineStr">
        <is>
          <t>0-0-0+0+0-0-0</t>
        </is>
      </c>
      <c r="H75" s="530" t="n"/>
      <c r="I75" s="519" t="inlineStr">
        <is>
          <t xml:space="preserve"> тыс. т.</t>
        </is>
      </c>
    </row>
    <row r="76" ht="18.75" customHeight="1" s="769">
      <c r="B76" s="483" t="n"/>
      <c r="C76" s="474" t="inlineStr">
        <is>
          <t xml:space="preserve">в т.ч. НК, СК в адрес ГПНЗ (автовывоз)  </t>
        </is>
      </c>
      <c r="D76" s="528" t="n"/>
      <c r="E76" s="528" t="n"/>
      <c r="F76" s="529" t="n"/>
      <c r="G76" s="530" t="n">
        <v>0</v>
      </c>
      <c r="H76" s="530" t="n"/>
      <c r="I76" s="519" t="inlineStr">
        <is>
          <t xml:space="preserve"> тыс. т.</t>
        </is>
      </c>
    </row>
    <row r="77" ht="24" customHeight="1" s="769">
      <c r="B77" s="477" t="n"/>
      <c r="C77" s="478" t="inlineStr">
        <is>
          <t>проверка</t>
        </is>
      </c>
      <c r="D77" s="528" t="n"/>
      <c r="E77" s="528" t="n"/>
      <c r="F77" s="529" t="n"/>
      <c r="G77" s="530" t="inlineStr">
        <is>
          <t>0+0-0-0-0-0-0-0-0-0-0-0-0-(0+0-0-0)</t>
        </is>
      </c>
      <c r="H77" s="530" t="n"/>
      <c r="I77" s="518" t="inlineStr">
        <is>
          <t xml:space="preserve"> тыс. т.</t>
        </is>
      </c>
    </row>
    <row r="78" ht="18.75" customHeight="1" s="769">
      <c r="B78" s="778" t="inlineStr">
        <is>
          <t>1.1.1.11</t>
        </is>
      </c>
      <c r="C78" s="476" t="inlineStr">
        <is>
          <t>Песцовое НГКМ (ачим) (ДРОД)</t>
        </is>
      </c>
      <c r="D78" s="528" t="n"/>
      <c r="E78" s="528" t="n"/>
      <c r="F78" s="529" t="n"/>
      <c r="G78" s="530" t="inlineStr">
        <is>
          <t>0+0</t>
        </is>
      </c>
      <c r="H78" s="530" t="n"/>
      <c r="I78" s="519" t="inlineStr">
        <is>
          <t xml:space="preserve"> тыс. т.</t>
        </is>
      </c>
    </row>
    <row r="79" ht="18.75" customHeight="1" s="769">
      <c r="B79" s="483" t="n"/>
      <c r="C79" s="776" t="inlineStr">
        <is>
          <t>Песцовое НГКМ газоконд. скваж. (ДРОД)</t>
        </is>
      </c>
      <c r="D79" s="528" t="n"/>
      <c r="E79" s="528" t="n"/>
      <c r="F79" s="529" t="n"/>
      <c r="G79" s="530" t="n">
        <v>0</v>
      </c>
      <c r="H79" s="530" t="n"/>
      <c r="I79" s="519" t="inlineStr">
        <is>
          <t xml:space="preserve"> тыс. т.</t>
        </is>
      </c>
    </row>
    <row r="80" ht="18.75" customHeight="1" s="769">
      <c r="B80" s="483" t="n"/>
      <c r="C80" s="776" t="inlineStr">
        <is>
          <t>Песцовое НГКМ нефтяной конденсат (продукт переработки ПНГ)</t>
        </is>
      </c>
      <c r="D80" s="528" t="n"/>
      <c r="E80" s="528" t="n"/>
      <c r="F80" s="529" t="n"/>
      <c r="G80" s="530" t="n">
        <v>0</v>
      </c>
      <c r="H80" s="530" t="n"/>
      <c r="I80" s="519" t="inlineStr">
        <is>
          <t xml:space="preserve"> тыс. т.</t>
        </is>
      </c>
    </row>
    <row r="81" ht="18.75" customHeight="1" s="769">
      <c r="B81" s="483" t="n"/>
      <c r="C81" s="776" t="inlineStr">
        <is>
          <t>поставка НК в адрес ГПНЗ</t>
        </is>
      </c>
      <c r="D81" s="528" t="n"/>
      <c r="E81" s="528" t="n"/>
      <c r="F81" s="529" t="n"/>
      <c r="G81" s="530" t="n">
        <v>0</v>
      </c>
      <c r="H81" s="530" t="n"/>
      <c r="I81" s="519" t="inlineStr">
        <is>
          <t xml:space="preserve"> тыс. т.</t>
        </is>
      </c>
    </row>
    <row r="82" ht="18.75" customHeight="1" s="769">
      <c r="B82" s="483" t="n"/>
      <c r="C82" s="776" t="inlineStr">
        <is>
          <t>содержание ГВ</t>
        </is>
      </c>
      <c r="D82" s="528" t="n"/>
      <c r="E82" s="528" t="n"/>
      <c r="F82" s="529" t="n"/>
      <c r="G82" s="530" t="n">
        <v>0</v>
      </c>
      <c r="H82" s="530" t="n"/>
      <c r="I82" s="519" t="inlineStr">
        <is>
          <t xml:space="preserve"> тыс. т.</t>
        </is>
      </c>
    </row>
    <row r="83" ht="18.75" customHeight="1" s="769">
      <c r="B83" s="483" t="n"/>
      <c r="D83" s="528" t="n"/>
      <c r="E83" s="528" t="n"/>
      <c r="F83" s="529" t="n"/>
      <c r="G83" s="530" t="n">
        <v>0</v>
      </c>
      <c r="H83" s="530" t="n"/>
      <c r="I83" s="931" t="inlineStr">
        <is>
          <t>млн куб. м</t>
        </is>
      </c>
    </row>
    <row r="84" ht="18.75" customHeight="1" s="769">
      <c r="B84" s="483" t="n"/>
      <c r="C84" s="776" t="inlineStr">
        <is>
          <t>содержание ШФЛУ</t>
        </is>
      </c>
      <c r="D84" s="528" t="n"/>
      <c r="E84" s="528" t="n"/>
      <c r="F84" s="529" t="n"/>
      <c r="G84" s="530" t="n">
        <v>0</v>
      </c>
      <c r="H84" s="530" t="n"/>
      <c r="I84" s="519" t="inlineStr">
        <is>
          <t xml:space="preserve"> тыс. т.</t>
        </is>
      </c>
    </row>
    <row r="85" ht="18.75" customHeight="1" s="769">
      <c r="B85" s="483" t="n"/>
      <c r="C85" s="776" t="inlineStr">
        <is>
          <t>содержание СК</t>
        </is>
      </c>
      <c r="D85" s="528" t="n"/>
      <c r="E85" s="528" t="n"/>
      <c r="F85" s="529" t="n"/>
      <c r="G85" s="530" t="n">
        <v>0</v>
      </c>
      <c r="H85" s="530" t="n"/>
      <c r="I85" s="519" t="inlineStr">
        <is>
          <t xml:space="preserve"> тыс. т.</t>
        </is>
      </c>
    </row>
    <row r="86" ht="18.75" customHeight="1" s="769">
      <c r="B86" s="778" t="n"/>
      <c r="C86" s="776" t="inlineStr">
        <is>
          <t>НК, СК, ШФЛУ на УЗПКТ-СЗСК</t>
        </is>
      </c>
      <c r="D86" s="528" t="n"/>
      <c r="E86" s="528" t="n"/>
      <c r="F86" s="529" t="n"/>
      <c r="G86" s="530" t="n">
        <v>0</v>
      </c>
      <c r="H86" s="530" t="n"/>
      <c r="I86" s="519" t="inlineStr">
        <is>
          <t xml:space="preserve"> тыс. т.</t>
        </is>
      </c>
    </row>
    <row r="87" ht="18.75" customHeight="1" s="769">
      <c r="B87" s="778" t="n"/>
      <c r="C87" s="776" t="inlineStr">
        <is>
          <t>НК, СК в адрес ГПНЗ и трейдера:</t>
        </is>
      </c>
      <c r="D87" s="528" t="n"/>
      <c r="E87" s="528" t="n"/>
      <c r="F87" s="529" t="n"/>
      <c r="G87" s="530" t="inlineStr">
        <is>
          <t>0+0</t>
        </is>
      </c>
      <c r="H87" s="530" t="n"/>
      <c r="I87" s="519" t="inlineStr">
        <is>
          <t xml:space="preserve"> тыс. т.</t>
        </is>
      </c>
    </row>
    <row r="88" ht="18.75" customHeight="1" s="769">
      <c r="B88" s="483" t="n"/>
      <c r="C88" s="474" t="inlineStr">
        <is>
          <t>в т.ч. СК в адрес трейдера (альт.схема)</t>
        </is>
      </c>
      <c r="D88" s="528" t="n"/>
      <c r="E88" s="528" t="n"/>
      <c r="F88" s="529" t="n"/>
      <c r="G88" s="530" t="n">
        <v>0</v>
      </c>
      <c r="H88" s="530" t="n"/>
      <c r="I88" s="519" t="inlineStr">
        <is>
          <t xml:space="preserve"> тыс. т.</t>
        </is>
      </c>
    </row>
    <row r="89" ht="18.75" customHeight="1" s="769">
      <c r="B89" s="483" t="n"/>
      <c r="C89" s="474" t="inlineStr">
        <is>
          <t xml:space="preserve">в т.ч. НК, СК в адрес ГПНЗ (автовывоз)  </t>
        </is>
      </c>
      <c r="D89" s="528" t="n"/>
      <c r="E89" s="528" t="n"/>
      <c r="F89" s="529" t="n"/>
      <c r="G89" s="530" t="n">
        <v>0</v>
      </c>
      <c r="H89" s="530" t="n"/>
      <c r="I89" s="519" t="inlineStr">
        <is>
          <t xml:space="preserve"> тыс. т.</t>
        </is>
      </c>
    </row>
    <row r="90" ht="18.75" customHeight="1" s="769">
      <c r="B90" s="477" t="n"/>
      <c r="C90" s="478" t="inlineStr">
        <is>
          <t>проверка</t>
        </is>
      </c>
      <c r="D90" s="528" t="n"/>
      <c r="E90" s="528" t="n"/>
      <c r="F90" s="529" t="n"/>
      <c r="G90" s="530" t="inlineStr">
        <is>
          <t>0+0-0-0-0-0-(0-0)</t>
        </is>
      </c>
      <c r="H90" s="530" t="n"/>
      <c r="I90" s="518" t="inlineStr">
        <is>
          <t xml:space="preserve"> тыс. т.</t>
        </is>
      </c>
    </row>
    <row r="91" ht="18.75" customHeight="1" s="769">
      <c r="B91" s="778" t="inlineStr">
        <is>
          <t>1.1.2</t>
        </is>
      </c>
      <c r="C91" s="479" t="inlineStr">
        <is>
          <t>ООО "Газпром добыча Ямбург"</t>
        </is>
      </c>
      <c r="D91" s="528" t="n"/>
      <c r="E91" s="528" t="n"/>
      <c r="F91" s="529" t="n"/>
      <c r="G91" s="530" t="inlineStr">
        <is>
          <t>7_100330587+7_100330588</t>
        </is>
      </c>
      <c r="H91" s="530" t="n"/>
      <c r="I91" s="519" t="inlineStr">
        <is>
          <t xml:space="preserve"> тыс. т.</t>
        </is>
      </c>
    </row>
    <row r="92" ht="18.75" customHeight="1" s="769">
      <c r="B92" s="778" t="n"/>
      <c r="C92" s="484" t="inlineStr">
        <is>
          <t>Заполярное НГКМ</t>
        </is>
      </c>
      <c r="D92" s="528" t="n"/>
      <c r="E92" s="528" t="n"/>
      <c r="F92" s="529" t="n"/>
      <c r="G92" s="530" t="inlineStr">
        <is>
          <t>7_100330587</t>
        </is>
      </c>
      <c r="H92" s="530" t="n"/>
      <c r="I92" s="519" t="inlineStr">
        <is>
          <t xml:space="preserve"> тыс. т.</t>
        </is>
      </c>
    </row>
    <row r="93" ht="18.75" customHeight="1" s="769">
      <c r="B93" s="778" t="n"/>
      <c r="C93" s="484" t="inlineStr">
        <is>
          <t>Ямбургское НГКМ</t>
        </is>
      </c>
      <c r="D93" s="528" t="n"/>
      <c r="E93" s="528" t="n"/>
      <c r="F93" s="529" t="n"/>
      <c r="G93" s="530" t="inlineStr">
        <is>
          <t>7_100330588</t>
        </is>
      </c>
      <c r="H93" s="530" t="n"/>
      <c r="I93" s="519" t="inlineStr">
        <is>
          <t xml:space="preserve"> тыс. т.</t>
        </is>
      </c>
    </row>
    <row r="94" ht="18.75" customHeight="1" s="769">
      <c r="B94" s="778" t="inlineStr">
        <is>
          <t>1.1.3</t>
        </is>
      </c>
      <c r="C94" s="479" t="inlineStr">
        <is>
          <t>ООО "Газпром добыча Ноябрьск"</t>
        </is>
      </c>
      <c r="D94" s="528" t="n"/>
      <c r="E94" s="528" t="n"/>
      <c r="F94" s="529" t="n"/>
      <c r="G94" s="530" t="inlineStr">
        <is>
          <t>10_100330719</t>
        </is>
      </c>
      <c r="H94" s="530" t="n"/>
      <c r="I94" s="519" t="inlineStr">
        <is>
          <t xml:space="preserve"> тыс. т.</t>
        </is>
      </c>
    </row>
    <row r="95" ht="18.75" customHeight="1" s="769">
      <c r="B95" s="778" t="n"/>
      <c r="C95" s="484" t="inlineStr">
        <is>
          <t>Западно-Таркосалинское НГКМ</t>
        </is>
      </c>
      <c r="D95" s="528" t="n"/>
      <c r="E95" s="528" t="n"/>
      <c r="F95" s="529" t="n"/>
      <c r="G95" s="530" t="inlineStr">
        <is>
          <t>10_100330719</t>
        </is>
      </c>
      <c r="H95" s="530" t="n"/>
      <c r="I95" s="519" t="inlineStr">
        <is>
          <t xml:space="preserve"> тыс. т.</t>
        </is>
      </c>
    </row>
    <row r="96" ht="18.75" customHeight="1" s="769">
      <c r="B96" s="778" t="n"/>
      <c r="C96" s="480" t="inlineStr">
        <is>
          <t>в т.ч. поставка на СЗСК</t>
        </is>
      </c>
      <c r="D96" s="528" t="n"/>
      <c r="E96" s="528" t="n"/>
      <c r="F96" s="529" t="n"/>
      <c r="G96" s="530" t="inlineStr">
        <is>
          <t>10_100330719</t>
        </is>
      </c>
      <c r="H96" s="530" t="n"/>
      <c r="I96" s="519" t="inlineStr">
        <is>
          <t xml:space="preserve"> тыс. т.</t>
        </is>
      </c>
    </row>
    <row r="97" ht="24" customHeight="1" s="769">
      <c r="B97" s="778" t="n"/>
      <c r="C97" s="480" t="inlineStr">
        <is>
          <t xml:space="preserve">в т.ч. поставка в систему трубопроводов ПАО "Транснефть" </t>
        </is>
      </c>
      <c r="D97" s="528" t="n"/>
      <c r="E97" s="528" t="n"/>
      <c r="F97" s="529" t="n"/>
      <c r="G97" s="530" t="inlineStr">
        <is>
          <t>10_100330719-10_100330719</t>
        </is>
      </c>
      <c r="H97" s="530" t="n"/>
      <c r="I97" s="519" t="inlineStr">
        <is>
          <t xml:space="preserve"> тыс. т.</t>
        </is>
      </c>
    </row>
    <row r="98" ht="48" customHeight="1" s="769">
      <c r="B98" s="778" t="inlineStr">
        <is>
          <t>1.1.4</t>
        </is>
      </c>
      <c r="C98" s="479" t="inlineStr">
        <is>
          <t xml:space="preserve">ООО "Газпром добыча Надым" </t>
        </is>
      </c>
      <c r="D98" s="528" t="n"/>
      <c r="E98" s="528" t="n"/>
      <c r="F98" s="529" t="n"/>
      <c r="G98" s="530" t="inlineStr">
        <is>
          <t>11_100330686+11_100330687+11_100330688+11_100333683+11_100335593+11_100335658</t>
        </is>
      </c>
      <c r="H98" s="530" t="n"/>
      <c r="I98" s="519" t="inlineStr">
        <is>
          <t xml:space="preserve"> тыс. т.</t>
        </is>
      </c>
    </row>
    <row r="99" ht="18.75" customHeight="1" s="769">
      <c r="B99" s="778" t="n"/>
      <c r="C99" s="484" t="inlineStr">
        <is>
          <t>Медвежье ГКМ (Ныдинская пл.)</t>
        </is>
      </c>
      <c r="D99" s="528" t="n"/>
      <c r="E99" s="528" t="n"/>
      <c r="F99" s="529" t="n"/>
      <c r="G99" s="530" t="inlineStr">
        <is>
          <t>11_100330686</t>
        </is>
      </c>
      <c r="H99" s="530" t="n"/>
      <c r="I99" s="519" t="inlineStr">
        <is>
          <t xml:space="preserve"> тыс. т.</t>
        </is>
      </c>
    </row>
    <row r="100" ht="18.75" customHeight="1" s="769">
      <c r="B100" s="778" t="n"/>
      <c r="C100" s="484" t="inlineStr">
        <is>
          <t>Юбилейное НГКМ</t>
        </is>
      </c>
      <c r="D100" s="528" t="n"/>
      <c r="E100" s="528" t="n"/>
      <c r="F100" s="529" t="n"/>
      <c r="G100" s="530" t="inlineStr">
        <is>
          <t>11_100330687</t>
        </is>
      </c>
      <c r="H100" s="530" t="n"/>
      <c r="I100" s="519" t="inlineStr">
        <is>
          <t xml:space="preserve"> тыс. т.</t>
        </is>
      </c>
    </row>
    <row r="101" ht="18.75" customHeight="1" s="769">
      <c r="B101" s="778" t="n"/>
      <c r="C101" s="484" t="inlineStr">
        <is>
          <t>Бованенковское НГКМ</t>
        </is>
      </c>
      <c r="D101" s="528" t="n"/>
      <c r="E101" s="528" t="n"/>
      <c r="F101" s="529" t="n"/>
      <c r="G101" s="530" t="inlineStr">
        <is>
          <t>11_100330688</t>
        </is>
      </c>
      <c r="H101" s="530" t="n"/>
      <c r="I101" s="519" t="inlineStr">
        <is>
          <t xml:space="preserve"> тыс. т.</t>
        </is>
      </c>
    </row>
    <row r="102" ht="18.75" customHeight="1" s="769">
      <c r="B102" s="778" t="n"/>
      <c r="C102" s="484" t="inlineStr">
        <is>
          <t>Харасавэйское ГКМ (апт)</t>
        </is>
      </c>
      <c r="D102" s="528" t="n"/>
      <c r="E102" s="528" t="n"/>
      <c r="F102" s="529" t="n"/>
      <c r="G102" s="530" t="inlineStr">
        <is>
          <t>11_100333683</t>
        </is>
      </c>
      <c r="H102" s="530" t="n"/>
      <c r="I102" s="519" t="inlineStr">
        <is>
          <t xml:space="preserve"> тыс. т.</t>
        </is>
      </c>
    </row>
    <row r="103" ht="18.75" customHeight="1" s="769">
      <c r="B103" s="778" t="n"/>
      <c r="C103" s="484" t="inlineStr">
        <is>
          <t>Бованенковское НГКМ (неоком-юра ДРОД)</t>
        </is>
      </c>
      <c r="D103" s="528" t="n"/>
      <c r="E103" s="528" t="n"/>
      <c r="F103" s="529" t="n"/>
      <c r="G103" s="530" t="inlineStr">
        <is>
          <t>11_100335593</t>
        </is>
      </c>
      <c r="H103" s="530" t="n"/>
      <c r="I103" s="519" t="inlineStr">
        <is>
          <t xml:space="preserve"> тыс. т.</t>
        </is>
      </c>
    </row>
    <row r="104" ht="18.75" customHeight="1" s="769">
      <c r="B104" s="778" t="n"/>
      <c r="C104" s="484" t="inlineStr">
        <is>
          <t>Харасавэйское ГКМ (неоком-юра ДРОД)</t>
        </is>
      </c>
      <c r="D104" s="528" t="n"/>
      <c r="E104" s="528" t="n"/>
      <c r="F104" s="529" t="n"/>
      <c r="G104" s="530" t="inlineStr">
        <is>
          <t>11_100335658</t>
        </is>
      </c>
      <c r="H104" s="530" t="n"/>
      <c r="I104" s="519" t="inlineStr">
        <is>
          <t xml:space="preserve"> тыс. т.</t>
        </is>
      </c>
    </row>
    <row r="105" ht="36" customHeight="1" s="769">
      <c r="B105" s="778" t="n"/>
      <c r="C105" s="481" t="inlineStr">
        <is>
          <t>Стабильный конденсат (товар)</t>
        </is>
      </c>
      <c r="D105" s="528" t="n"/>
      <c r="E105" s="528" t="n"/>
      <c r="F105" s="529" t="n"/>
      <c r="G105" s="530" t="inlineStr">
        <is>
          <t>11_100330693+11_100330694+11_100330695+11_100333685</t>
        </is>
      </c>
      <c r="H105" s="530" t="n"/>
      <c r="I105" s="519" t="inlineStr">
        <is>
          <t xml:space="preserve"> тыс. т.</t>
        </is>
      </c>
    </row>
    <row r="106" ht="18.75" customHeight="1" s="769">
      <c r="B106" s="778" t="n"/>
      <c r="C106" s="480" t="inlineStr">
        <is>
          <t>Медвежье ГКМ (Ныдинская пл.)</t>
        </is>
      </c>
      <c r="D106" s="528" t="n"/>
      <c r="E106" s="528" t="n"/>
      <c r="F106" s="529" t="n"/>
      <c r="G106" s="530" t="inlineStr">
        <is>
          <t>11_100330693</t>
        </is>
      </c>
      <c r="H106" s="530" t="n"/>
      <c r="I106" s="519" t="inlineStr">
        <is>
          <t xml:space="preserve"> тыс. т.</t>
        </is>
      </c>
    </row>
    <row r="107" ht="18.75" customHeight="1" s="769">
      <c r="B107" s="778" t="n"/>
      <c r="C107" s="480" t="inlineStr">
        <is>
          <t>Юбилейное НГКМ</t>
        </is>
      </c>
      <c r="D107" s="528" t="n"/>
      <c r="E107" s="528" t="n"/>
      <c r="F107" s="529" t="n"/>
      <c r="G107" s="530" t="inlineStr">
        <is>
          <t>11_100330694</t>
        </is>
      </c>
      <c r="H107" s="530" t="n"/>
      <c r="I107" s="519" t="inlineStr">
        <is>
          <t xml:space="preserve"> тыс. т.</t>
        </is>
      </c>
    </row>
    <row r="108" ht="18.75" customHeight="1" s="769">
      <c r="B108" s="778" t="n"/>
      <c r="C108" s="480" t="inlineStr">
        <is>
          <t>Бованенковское НГКМ</t>
        </is>
      </c>
      <c r="D108" s="528" t="n"/>
      <c r="E108" s="528" t="n"/>
      <c r="F108" s="529" t="n"/>
      <c r="G108" s="530" t="inlineStr">
        <is>
          <t>11_100330695</t>
        </is>
      </c>
      <c r="H108" s="530" t="n"/>
      <c r="I108" s="519" t="inlineStr">
        <is>
          <t xml:space="preserve"> тыс. т.</t>
        </is>
      </c>
    </row>
    <row r="109" ht="18.75" customHeight="1" s="769">
      <c r="B109" s="778" t="n"/>
      <c r="C109" s="480" t="inlineStr">
        <is>
          <t>Харасавэйское ГКМ (апт)</t>
        </is>
      </c>
      <c r="D109" s="528" t="n"/>
      <c r="E109" s="528" t="n"/>
      <c r="F109" s="529" t="n"/>
      <c r="G109" s="530" t="inlineStr">
        <is>
          <t>11_100333685</t>
        </is>
      </c>
      <c r="H109" s="530" t="n"/>
      <c r="I109" s="519" t="inlineStr">
        <is>
          <t xml:space="preserve"> тыс. т.</t>
        </is>
      </c>
    </row>
    <row r="110" ht="18.75" customHeight="1" s="769">
      <c r="B110" s="778" t="inlineStr">
        <is>
          <t>1.1.5</t>
        </is>
      </c>
      <c r="C110" s="479" t="inlineStr">
        <is>
          <t>АО "Сибнефтегаз"</t>
        </is>
      </c>
      <c r="D110" s="528" t="n"/>
      <c r="E110" s="528" t="n"/>
      <c r="F110" s="529" t="n"/>
      <c r="G110" s="530" t="inlineStr">
        <is>
          <t>4_100331811</t>
        </is>
      </c>
      <c r="H110" s="530" t="n"/>
      <c r="I110" s="519" t="inlineStr">
        <is>
          <t xml:space="preserve"> тыс. т.</t>
        </is>
      </c>
    </row>
    <row r="111" ht="18.75" customHeight="1" s="769">
      <c r="B111" s="778" t="n"/>
      <c r="C111" s="484" t="inlineStr">
        <is>
          <t>Береговое НГКМ</t>
        </is>
      </c>
      <c r="D111" s="528" t="n"/>
      <c r="E111" s="528" t="n"/>
      <c r="F111" s="529" t="n"/>
      <c r="G111" s="530" t="inlineStr">
        <is>
          <t>4_100331811</t>
        </is>
      </c>
      <c r="H111" s="530" t="n"/>
      <c r="I111" s="519" t="inlineStr">
        <is>
          <t xml:space="preserve"> тыс. т.</t>
        </is>
      </c>
    </row>
    <row r="112" ht="18.75" customHeight="1" s="769">
      <c r="B112" s="778" t="n"/>
      <c r="C112" s="480" t="inlineStr">
        <is>
          <t>в т.ч. поставка на УЗПКТ</t>
        </is>
      </c>
      <c r="D112" s="528" t="n"/>
      <c r="E112" s="528" t="n"/>
      <c r="F112" s="529" t="n"/>
      <c r="G112" s="530" t="inlineStr">
        <is>
          <t>4_100331811</t>
        </is>
      </c>
      <c r="H112" s="530" t="n"/>
      <c r="I112" s="519" t="inlineStr">
        <is>
          <t xml:space="preserve"> тыс. т.</t>
        </is>
      </c>
    </row>
    <row r="113" ht="48" customHeight="1" s="769">
      <c r="B113" s="778" t="inlineStr">
        <is>
          <t>1.2</t>
        </is>
      </c>
      <c r="C113" s="469" t="inlineStr">
        <is>
          <t>Нефть, в т.ч.</t>
        </is>
      </c>
      <c r="D113" s="528" t="n"/>
      <c r="E113" s="528" t="n"/>
      <c r="F113" s="529" t="n"/>
      <c r="G113" s="530" t="inlineStr">
        <is>
          <t>4_100331963+0+0+0+0+0+0+0+0+0+0+0+0+0+0+0+0+0+0+10_100330722+7_100330591+7_100330593</t>
        </is>
      </c>
      <c r="H113" s="530" t="n"/>
      <c r="I113" s="519" t="inlineStr">
        <is>
          <t xml:space="preserve"> тыс. т.</t>
        </is>
      </c>
    </row>
    <row r="114" ht="36" customHeight="1" s="769">
      <c r="B114" s="778" t="inlineStr">
        <is>
          <t>1.2.1</t>
        </is>
      </c>
      <c r="C114" s="784" t="inlineStr">
        <is>
          <t>ООО "Газпром добыча Уренгой"</t>
        </is>
      </c>
      <c r="D114" s="528" t="n"/>
      <c r="E114" s="528" t="n"/>
      <c r="F114" s="529" t="n"/>
      <c r="G114" s="530" t="inlineStr">
        <is>
          <t>4_100331963+0+0+0+0+0+0+0+0+0+0+0+0+0+0+0+0+0+0</t>
        </is>
      </c>
      <c r="H114" s="530" t="n"/>
      <c r="I114" s="519" t="inlineStr">
        <is>
          <t xml:space="preserve"> тыс. т.</t>
        </is>
      </c>
    </row>
    <row r="115" ht="18.75" customHeight="1" s="769">
      <c r="B115" s="483" t="inlineStr">
        <is>
          <t>1.2.1.1</t>
        </is>
      </c>
      <c r="C115" s="476" t="inlineStr">
        <is>
          <t xml:space="preserve">Уренгойское НГКМ </t>
        </is>
      </c>
      <c r="D115" s="528" t="n"/>
      <c r="E115" s="528" t="n"/>
      <c r="F115" s="529" t="n"/>
      <c r="G115" s="530" t="inlineStr">
        <is>
          <t>4_100331963+0</t>
        </is>
      </c>
      <c r="H115" s="530" t="n"/>
      <c r="I115" s="519" t="inlineStr">
        <is>
          <t xml:space="preserve"> тыс. т.</t>
        </is>
      </c>
    </row>
    <row r="116" ht="18.75" customHeight="1" s="769">
      <c r="B116" s="483" t="n"/>
      <c r="C116" s="480" t="inlineStr">
        <is>
          <t>в т.ч. собственные нужды</t>
        </is>
      </c>
      <c r="D116" s="528" t="n"/>
      <c r="E116" s="528" t="n"/>
      <c r="F116" s="529" t="n"/>
      <c r="G116" s="530" t="n">
        <v>0</v>
      </c>
      <c r="H116" s="530" t="n"/>
      <c r="I116" s="519" t="inlineStr">
        <is>
          <t xml:space="preserve"> тыс. т.</t>
        </is>
      </c>
    </row>
    <row r="117" ht="18.75" customHeight="1" s="769">
      <c r="B117" s="778" t="inlineStr">
        <is>
          <t>1.2.1.2</t>
        </is>
      </c>
      <c r="C117" s="476" t="inlineStr">
        <is>
          <t xml:space="preserve">Уренгойское НГКМ фаза 2 (ДРОД) </t>
        </is>
      </c>
      <c r="D117" s="528" t="n"/>
      <c r="E117" s="528" t="n"/>
      <c r="F117" s="529" t="n"/>
      <c r="G117" s="530" t="inlineStr">
        <is>
          <t>0+0+0</t>
        </is>
      </c>
      <c r="H117" s="530" t="n"/>
      <c r="I117" s="519" t="inlineStr">
        <is>
          <t xml:space="preserve"> тыс. т.</t>
        </is>
      </c>
    </row>
    <row r="118" ht="18.75" customHeight="1" s="769">
      <c r="B118" s="483" t="n"/>
      <c r="C118" s="484" t="inlineStr">
        <is>
          <t xml:space="preserve">на собственные нужды ГПНЗ (ДРОД) </t>
        </is>
      </c>
      <c r="D118" s="528" t="n"/>
      <c r="E118" s="528" t="n"/>
      <c r="F118" s="529" t="n"/>
      <c r="G118" s="530" t="n">
        <v>0</v>
      </c>
      <c r="H118" s="530" t="n"/>
      <c r="I118" s="519" t="inlineStr">
        <is>
          <t xml:space="preserve"> тыс. т.</t>
        </is>
      </c>
    </row>
    <row r="119" ht="18.75" customHeight="1" s="769">
      <c r="B119" s="483" t="n"/>
      <c r="C119" s="484" t="inlineStr">
        <is>
          <t>нефть в адрес ГПНЗ и трейдера:</t>
        </is>
      </c>
      <c r="D119" s="528" t="n"/>
      <c r="E119" s="528" t="n"/>
      <c r="F119" s="529" t="n"/>
      <c r="G119" s="530" t="n">
        <v>0</v>
      </c>
      <c r="H119" s="530" t="n"/>
      <c r="I119" s="519" t="inlineStr">
        <is>
          <t xml:space="preserve"> тыс. т.</t>
        </is>
      </c>
    </row>
    <row r="120" ht="18.75" customHeight="1" s="769">
      <c r="B120" s="483" t="n"/>
      <c r="C120" s="776" t="inlineStr">
        <is>
          <t>в т.ч. нефть в адрес трейдера (альт.схема)</t>
        </is>
      </c>
      <c r="D120" s="528" t="n"/>
      <c r="E120" s="528" t="n"/>
      <c r="F120" s="529" t="n"/>
      <c r="G120" s="530" t="n">
        <v>0</v>
      </c>
      <c r="H120" s="530" t="n"/>
      <c r="I120" s="519" t="inlineStr">
        <is>
          <t xml:space="preserve"> тыс. т.</t>
        </is>
      </c>
    </row>
    <row r="121" ht="18.75" customHeight="1" s="769">
      <c r="B121" s="778" t="n"/>
      <c r="C121" s="776" t="inlineStr">
        <is>
          <t xml:space="preserve">в т.ч. нефть в адрес ГПНЗ (автовывоз)  </t>
        </is>
      </c>
      <c r="D121" s="528" t="n"/>
      <c r="E121" s="528" t="n"/>
      <c r="F121" s="529" t="n"/>
      <c r="G121" s="530" t="inlineStr">
        <is>
          <t>0-0</t>
        </is>
      </c>
      <c r="H121" s="530" t="n"/>
      <c r="I121" s="519" t="inlineStr">
        <is>
          <t xml:space="preserve"> тыс. т.</t>
        </is>
      </c>
    </row>
    <row r="122" ht="18.75" customHeight="1" s="769">
      <c r="B122" s="483" t="n"/>
      <c r="C122" s="484" t="inlineStr">
        <is>
          <t>нефть в адрес ПАО "Газпром" на УЗПКТ-СЗСК</t>
        </is>
      </c>
      <c r="D122" s="528" t="n"/>
      <c r="E122" s="528" t="n"/>
      <c r="F122" s="529" t="n"/>
      <c r="G122" s="530" t="n">
        <v>0</v>
      </c>
      <c r="H122" s="530" t="n"/>
      <c r="I122" s="519" t="inlineStr">
        <is>
          <t xml:space="preserve"> тыс. т.</t>
        </is>
      </c>
    </row>
    <row r="123" ht="19.5" customHeight="1" s="769">
      <c r="B123" s="482" t="n"/>
      <c r="C123" s="478" t="inlineStr">
        <is>
          <t>проверка</t>
        </is>
      </c>
      <c r="D123" s="528" t="n"/>
      <c r="E123" s="528" t="n"/>
      <c r="F123" s="529" t="n"/>
      <c r="G123" s="530" t="inlineStr">
        <is>
          <t>0+0+0-0-0-0</t>
        </is>
      </c>
      <c r="H123" s="530" t="n"/>
      <c r="I123" s="518" t="inlineStr">
        <is>
          <t xml:space="preserve"> тыс. т.</t>
        </is>
      </c>
    </row>
    <row r="124" ht="18.75" customHeight="1" s="769">
      <c r="B124" s="778" t="inlineStr">
        <is>
          <t>1.2.1.3</t>
        </is>
      </c>
      <c r="C124" s="476" t="inlineStr">
        <is>
          <t xml:space="preserve">Ен-Яхинское НГКМ (ДРОД) </t>
        </is>
      </c>
      <c r="D124" s="528" t="n"/>
      <c r="E124" s="528" t="n"/>
      <c r="F124" s="529" t="n"/>
      <c r="G124" s="530" t="inlineStr">
        <is>
          <t>0+0+0+0</t>
        </is>
      </c>
      <c r="H124" s="530" t="n"/>
      <c r="I124" s="519" t="inlineStr">
        <is>
          <t xml:space="preserve"> тыс. т.</t>
        </is>
      </c>
    </row>
    <row r="125" ht="18.75" customHeight="1" s="769">
      <c r="B125" s="483" t="n"/>
      <c r="C125" s="484" t="inlineStr">
        <is>
          <t xml:space="preserve">на собственные нужды ГПНЗ (ДРОД) </t>
        </is>
      </c>
      <c r="D125" s="528" t="n"/>
      <c r="E125" s="528" t="n"/>
      <c r="F125" s="529" t="n"/>
      <c r="G125" s="530" t="n">
        <v>0</v>
      </c>
      <c r="H125" s="530" t="n"/>
      <c r="I125" s="519" t="n"/>
    </row>
    <row r="126" ht="18.75" customHeight="1" s="769">
      <c r="B126" s="778" t="n"/>
      <c r="C126" s="484" t="inlineStr">
        <is>
          <t>нефть в адрес ГПНЗ и трейдера:</t>
        </is>
      </c>
      <c r="D126" s="528" t="n"/>
      <c r="E126" s="528" t="n"/>
      <c r="F126" s="529" t="n"/>
      <c r="G126" s="530" t="inlineStr">
        <is>
          <t>0+0</t>
        </is>
      </c>
      <c r="H126" s="530" t="n"/>
      <c r="I126" s="519" t="inlineStr">
        <is>
          <t xml:space="preserve"> тыс. т.</t>
        </is>
      </c>
    </row>
    <row r="127" ht="18.75" customHeight="1" s="769">
      <c r="B127" s="483" t="n"/>
      <c r="C127" s="776" t="inlineStr">
        <is>
          <t>в т.ч. нефть в адрес трейдера (альт.схема)</t>
        </is>
      </c>
      <c r="D127" s="528" t="n"/>
      <c r="E127" s="528" t="n"/>
      <c r="F127" s="529" t="n"/>
      <c r="G127" s="530" t="n">
        <v>0</v>
      </c>
      <c r="H127" s="530" t="n"/>
      <c r="I127" s="519" t="inlineStr">
        <is>
          <t xml:space="preserve"> тыс. т.</t>
        </is>
      </c>
    </row>
    <row r="128" ht="18.75" customHeight="1" s="769">
      <c r="B128" s="483" t="n"/>
      <c r="C128" s="776" t="inlineStr">
        <is>
          <t xml:space="preserve">в т.ч. нефть в адрес ГПНЗ (автовывоз)  </t>
        </is>
      </c>
      <c r="D128" s="528" t="n"/>
      <c r="E128" s="528" t="n"/>
      <c r="F128" s="529" t="n"/>
      <c r="G128" s="530" t="n">
        <v>0</v>
      </c>
      <c r="H128" s="530" t="n"/>
      <c r="I128" s="519" t="inlineStr">
        <is>
          <t xml:space="preserve"> тыс. т.</t>
        </is>
      </c>
    </row>
    <row r="129" ht="18.75" customHeight="1" s="769">
      <c r="B129" s="483" t="n"/>
      <c r="C129" s="484" t="inlineStr">
        <is>
          <t>нефть в адрес ПАО "Газпром" на УЗПКТ-СЗСК</t>
        </is>
      </c>
      <c r="D129" s="528" t="n"/>
      <c r="E129" s="528" t="n"/>
      <c r="F129" s="529" t="n"/>
      <c r="G129" s="530" t="n">
        <v>0</v>
      </c>
      <c r="H129" s="530" t="n"/>
      <c r="I129" s="519" t="inlineStr">
        <is>
          <t xml:space="preserve"> тыс. т.</t>
        </is>
      </c>
    </row>
    <row r="130" ht="19.5" customHeight="1" s="769">
      <c r="B130" s="482" t="n"/>
      <c r="C130" s="478" t="inlineStr">
        <is>
          <t>проверка</t>
        </is>
      </c>
      <c r="D130" s="528" t="n"/>
      <c r="E130" s="528" t="n"/>
      <c r="F130" s="529" t="n"/>
      <c r="G130" s="530" t="inlineStr">
        <is>
          <t>0+0+0+0-0-0-0+0</t>
        </is>
      </c>
      <c r="H130" s="530" t="n"/>
      <c r="I130" s="518" t="inlineStr">
        <is>
          <t xml:space="preserve"> тыс. т.</t>
        </is>
      </c>
    </row>
    <row r="131" ht="18.75" customHeight="1" s="769">
      <c r="B131" s="778" t="inlineStr">
        <is>
          <t>1.2.1.4</t>
        </is>
      </c>
      <c r="C131" s="476" t="inlineStr">
        <is>
          <t xml:space="preserve">Песцовое НГКМ (ДРОД) </t>
        </is>
      </c>
      <c r="D131" s="528" t="n"/>
      <c r="E131" s="528" t="n"/>
      <c r="F131" s="529" t="n"/>
      <c r="G131" s="530" t="inlineStr">
        <is>
          <t>0+0+0+0</t>
        </is>
      </c>
      <c r="H131" s="530" t="n"/>
      <c r="I131" s="519" t="inlineStr">
        <is>
          <t xml:space="preserve"> тыс. т.</t>
        </is>
      </c>
    </row>
    <row r="132" ht="18.75" customHeight="1" s="769">
      <c r="B132" s="483" t="n"/>
      <c r="C132" s="484" t="inlineStr">
        <is>
          <t xml:space="preserve">на собственные нужды ГПНЗ (ДРОД) </t>
        </is>
      </c>
      <c r="D132" s="528" t="n"/>
      <c r="E132" s="528" t="n"/>
      <c r="F132" s="529" t="n"/>
      <c r="G132" s="530" t="n">
        <v>0</v>
      </c>
      <c r="H132" s="530" t="n"/>
      <c r="I132" s="519" t="inlineStr">
        <is>
          <t xml:space="preserve"> тыс. т.</t>
        </is>
      </c>
    </row>
    <row r="133" ht="18.75" customHeight="1" s="769">
      <c r="B133" s="778" t="n"/>
      <c r="C133" s="484" t="inlineStr">
        <is>
          <t>нефть в адрес ГПНЗ и трейдера:</t>
        </is>
      </c>
      <c r="D133" s="528" t="n"/>
      <c r="E133" s="528" t="n"/>
      <c r="F133" s="529" t="n"/>
      <c r="G133" s="530" t="inlineStr">
        <is>
          <t>0+0</t>
        </is>
      </c>
      <c r="H133" s="530" t="n"/>
      <c r="I133" s="519" t="inlineStr">
        <is>
          <t xml:space="preserve"> тыс. т.</t>
        </is>
      </c>
    </row>
    <row r="134" ht="18.75" customHeight="1" s="769">
      <c r="B134" s="483" t="n"/>
      <c r="C134" s="776" t="inlineStr">
        <is>
          <t>в т.ч. нефть в адрес трейдера (альт.схема)</t>
        </is>
      </c>
      <c r="D134" s="528" t="n"/>
      <c r="E134" s="528" t="n"/>
      <c r="F134" s="529" t="n"/>
      <c r="G134" s="530" t="n">
        <v>0</v>
      </c>
      <c r="H134" s="530" t="n"/>
      <c r="I134" s="519" t="inlineStr">
        <is>
          <t xml:space="preserve"> тыс. т.</t>
        </is>
      </c>
    </row>
    <row r="135" ht="18.75" customHeight="1" s="769">
      <c r="B135" s="483" t="n"/>
      <c r="C135" s="776" t="inlineStr">
        <is>
          <t xml:space="preserve">в т.ч. нефть в адрес ГПНЗ (автовывоз)  </t>
        </is>
      </c>
      <c r="D135" s="528" t="n"/>
      <c r="E135" s="528" t="n"/>
      <c r="F135" s="529" t="n"/>
      <c r="G135" s="530" t="n">
        <v>0</v>
      </c>
      <c r="H135" s="530" t="n"/>
      <c r="I135" s="519" t="inlineStr">
        <is>
          <t xml:space="preserve"> тыс. т.</t>
        </is>
      </c>
    </row>
    <row r="136" ht="18.75" customHeight="1" s="769">
      <c r="B136" s="483" t="n"/>
      <c r="C136" s="484" t="inlineStr">
        <is>
          <t>нефть в адрес ПАО "Газпром" на УЗПКТ-СЗСК</t>
        </is>
      </c>
      <c r="D136" s="528" t="n"/>
      <c r="E136" s="528" t="n"/>
      <c r="F136" s="529" t="n"/>
      <c r="G136" s="530" t="n">
        <v>0</v>
      </c>
      <c r="H136" s="530" t="n"/>
      <c r="I136" s="519" t="inlineStr">
        <is>
          <t xml:space="preserve"> тыс. т.</t>
        </is>
      </c>
    </row>
    <row r="137" ht="19.5" customHeight="1" s="769">
      <c r="B137" s="482" t="n"/>
      <c r="C137" s="478" t="inlineStr">
        <is>
          <t>проверка</t>
        </is>
      </c>
      <c r="D137" s="528" t="n"/>
      <c r="E137" s="528" t="n"/>
      <c r="F137" s="529" t="n"/>
      <c r="G137" s="530" t="inlineStr">
        <is>
          <t>0+0+0+0-0-0+0-0</t>
        </is>
      </c>
      <c r="H137" s="530" t="n"/>
      <c r="I137" s="518" t="inlineStr">
        <is>
          <t xml:space="preserve"> тыс. т.</t>
        </is>
      </c>
    </row>
    <row r="138" ht="18.75" customHeight="1" s="769">
      <c r="B138" s="483" t="inlineStr">
        <is>
          <t>1.2.1.5</t>
        </is>
      </c>
      <c r="C138" s="476" t="inlineStr">
        <is>
          <t>Уренгойское НГКМ фаза 5 (участок 4А, 5А)</t>
        </is>
      </c>
      <c r="D138" s="528" t="n"/>
      <c r="E138" s="528" t="n"/>
      <c r="F138" s="529" t="n"/>
      <c r="G138" s="530" t="n">
        <v>0</v>
      </c>
      <c r="H138" s="530" t="n"/>
      <c r="I138" s="519" t="inlineStr">
        <is>
          <t xml:space="preserve"> тыс. т.</t>
        </is>
      </c>
    </row>
    <row r="139" ht="18.75" customHeight="1" s="769">
      <c r="B139" s="483" t="n"/>
      <c r="C139" s="484" t="inlineStr">
        <is>
          <t xml:space="preserve">на собственные нужды ГПНЗ (ДРОД) </t>
        </is>
      </c>
      <c r="D139" s="528" t="n"/>
      <c r="E139" s="528" t="n"/>
      <c r="F139" s="529" t="n"/>
      <c r="G139" s="530" t="n">
        <v>0</v>
      </c>
      <c r="H139" s="530" t="n"/>
      <c r="I139" s="519" t="inlineStr">
        <is>
          <t xml:space="preserve"> тыс. т.</t>
        </is>
      </c>
    </row>
    <row r="140" ht="18.75" customHeight="1" s="769">
      <c r="B140" s="483" t="n"/>
      <c r="C140" s="484" t="inlineStr">
        <is>
          <t>нефть в адрес ГПНЗ и трейдера:</t>
        </is>
      </c>
      <c r="D140" s="528" t="n"/>
      <c r="E140" s="528" t="n"/>
      <c r="F140" s="529" t="n"/>
      <c r="G140" s="530" t="n">
        <v>0</v>
      </c>
      <c r="H140" s="530" t="n"/>
      <c r="I140" s="519" t="inlineStr">
        <is>
          <t xml:space="preserve"> тыс. т.</t>
        </is>
      </c>
    </row>
    <row r="141" ht="18.75" customHeight="1" s="769">
      <c r="B141" s="483" t="n"/>
      <c r="C141" s="776" t="inlineStr">
        <is>
          <t>в т.ч. нефть в адрес трейдера (альт.схема)</t>
        </is>
      </c>
      <c r="D141" s="528" t="n"/>
      <c r="E141" s="528" t="n"/>
      <c r="F141" s="529" t="n"/>
      <c r="G141" s="530" t="n">
        <v>0</v>
      </c>
      <c r="H141" s="530" t="n"/>
      <c r="I141" s="519" t="inlineStr">
        <is>
          <t xml:space="preserve"> тыс. т.</t>
        </is>
      </c>
    </row>
    <row r="142" ht="18.75" customHeight="1" s="769">
      <c r="B142" s="483" t="n"/>
      <c r="C142" s="776" t="inlineStr">
        <is>
          <t xml:space="preserve">в т.ч. нефть в адрес ГПНЗ (автовывоз)  </t>
        </is>
      </c>
      <c r="D142" s="528" t="n"/>
      <c r="E142" s="528" t="n"/>
      <c r="F142" s="529" t="n"/>
      <c r="G142" s="530" t="n">
        <v>0</v>
      </c>
      <c r="H142" s="530" t="n"/>
      <c r="I142" s="519" t="inlineStr">
        <is>
          <t xml:space="preserve"> тыс. т.</t>
        </is>
      </c>
    </row>
    <row r="143" ht="18.75" customHeight="1" s="769">
      <c r="B143" s="483" t="n"/>
      <c r="C143" s="484" t="inlineStr">
        <is>
          <t>нефть в адрес ПАО "Газпром" на УЗПКТ-СЗСК</t>
        </is>
      </c>
      <c r="D143" s="528" t="n"/>
      <c r="E143" s="528" t="n"/>
      <c r="F143" s="529" t="n"/>
      <c r="G143" s="530" t="n">
        <v>0</v>
      </c>
      <c r="H143" s="530" t="n"/>
      <c r="I143" s="519" t="inlineStr">
        <is>
          <t xml:space="preserve"> тыс. т.</t>
        </is>
      </c>
    </row>
    <row r="144" ht="19.5" customHeight="1" s="769">
      <c r="B144" s="482" t="n"/>
      <c r="C144" s="478" t="inlineStr">
        <is>
          <t>проверка</t>
        </is>
      </c>
      <c r="D144" s="528" t="n"/>
      <c r="E144" s="528" t="n"/>
      <c r="F144" s="529" t="n"/>
      <c r="G144" s="530" t="n">
        <v>0</v>
      </c>
      <c r="H144" s="530" t="n"/>
      <c r="I144" s="518" t="inlineStr">
        <is>
          <t xml:space="preserve"> тыс. т.</t>
        </is>
      </c>
    </row>
    <row r="145" ht="18.75" customHeight="1" s="769">
      <c r="B145" s="778" t="inlineStr">
        <is>
          <t>1.2.1.6</t>
        </is>
      </c>
      <c r="C145" s="476" t="inlineStr">
        <is>
          <t>Уренгойское НГКМ фаза 4 (участок 6А ) (ДРОД)</t>
        </is>
      </c>
      <c r="D145" s="528" t="n"/>
      <c r="E145" s="528" t="n"/>
      <c r="F145" s="529" t="n"/>
      <c r="G145" s="530" t="inlineStr">
        <is>
          <t>0+0+0+0</t>
        </is>
      </c>
      <c r="H145" s="530" t="n"/>
      <c r="I145" s="519" t="inlineStr">
        <is>
          <t xml:space="preserve"> тыс. т.</t>
        </is>
      </c>
    </row>
    <row r="146" ht="18.75" customHeight="1" s="769">
      <c r="B146" s="483" t="n"/>
      <c r="C146" s="484" t="inlineStr">
        <is>
          <t xml:space="preserve">на собственные нужды ГПНЗ (ДРОД) </t>
        </is>
      </c>
      <c r="D146" s="528" t="n"/>
      <c r="E146" s="528" t="n"/>
      <c r="F146" s="529" t="n"/>
      <c r="G146" s="530" t="n">
        <v>0</v>
      </c>
      <c r="H146" s="530" t="n"/>
      <c r="I146" s="519" t="inlineStr">
        <is>
          <t xml:space="preserve"> тыс. т.</t>
        </is>
      </c>
    </row>
    <row r="147" ht="18.75" customHeight="1" s="769">
      <c r="B147" s="778" t="n"/>
      <c r="C147" s="484" t="inlineStr">
        <is>
          <t>нефть в адрес ГПНЗ и трейдера:</t>
        </is>
      </c>
      <c r="D147" s="528" t="n"/>
      <c r="E147" s="528" t="n"/>
      <c r="F147" s="529" t="n"/>
      <c r="G147" s="530" t="inlineStr">
        <is>
          <t>0+0</t>
        </is>
      </c>
      <c r="H147" s="530" t="n"/>
      <c r="I147" s="519" t="inlineStr">
        <is>
          <t xml:space="preserve"> тыс. т.</t>
        </is>
      </c>
    </row>
    <row r="148" ht="18.75" customHeight="1" s="769">
      <c r="B148" s="483" t="n"/>
      <c r="C148" s="776" t="inlineStr">
        <is>
          <t>в т.ч. нефть в адрес трейдера (альт.схема)</t>
        </is>
      </c>
      <c r="D148" s="528" t="n"/>
      <c r="E148" s="528" t="n"/>
      <c r="F148" s="529" t="n"/>
      <c r="G148" s="530" t="n">
        <v>0</v>
      </c>
      <c r="H148" s="530" t="n"/>
      <c r="I148" s="519" t="inlineStr">
        <is>
          <t xml:space="preserve"> тыс. т.</t>
        </is>
      </c>
    </row>
    <row r="149" ht="18.75" customHeight="1" s="769">
      <c r="B149" s="483" t="n"/>
      <c r="C149" s="776" t="inlineStr">
        <is>
          <t xml:space="preserve">в т.ч. нефть в адрес ГПНЗ (автовывоз)  </t>
        </is>
      </c>
      <c r="D149" s="528" t="n"/>
      <c r="E149" s="528" t="n"/>
      <c r="F149" s="529" t="n"/>
      <c r="G149" s="530" t="n">
        <v>0</v>
      </c>
      <c r="H149" s="530" t="n"/>
      <c r="I149" s="519" t="inlineStr">
        <is>
          <t xml:space="preserve"> тыс. т.</t>
        </is>
      </c>
    </row>
    <row r="150" ht="18.75" customHeight="1" s="769">
      <c r="B150" s="483" t="n"/>
      <c r="C150" s="484" t="inlineStr">
        <is>
          <t>нефть в адрес ПАО "Газпром" на УЗПКТ-СЗСК</t>
        </is>
      </c>
      <c r="D150" s="528" t="n"/>
      <c r="E150" s="528" t="n"/>
      <c r="F150" s="529" t="n"/>
      <c r="G150" s="530" t="n">
        <v>0</v>
      </c>
      <c r="H150" s="530" t="n"/>
      <c r="I150" s="519" t="inlineStr">
        <is>
          <t xml:space="preserve"> тыс. т.</t>
        </is>
      </c>
    </row>
    <row r="151" ht="19.5" customHeight="1" s="769">
      <c r="B151" s="482" t="n"/>
      <c r="C151" s="478" t="inlineStr">
        <is>
          <t>проверка</t>
        </is>
      </c>
      <c r="D151" s="528" t="n"/>
      <c r="E151" s="528" t="n"/>
      <c r="F151" s="529" t="n"/>
      <c r="G151" s="530" t="inlineStr">
        <is>
          <t>0+0+0+0-0-0+0-0</t>
        </is>
      </c>
      <c r="H151" s="530" t="n"/>
      <c r="I151" s="518" t="inlineStr">
        <is>
          <t xml:space="preserve"> тыс. т.</t>
        </is>
      </c>
    </row>
    <row r="152" ht="18.75" customHeight="1" s="769">
      <c r="B152" s="778" t="inlineStr">
        <is>
          <t>1.2.2</t>
        </is>
      </c>
      <c r="C152" s="784" t="inlineStr">
        <is>
          <t xml:space="preserve">ООО "Газпром добыча Ямбург" </t>
        </is>
      </c>
      <c r="D152" s="528" t="n"/>
      <c r="E152" s="528" t="n"/>
      <c r="F152" s="529" t="n"/>
      <c r="G152" s="530" t="inlineStr">
        <is>
          <t>7_100330591+7_100330593</t>
        </is>
      </c>
      <c r="H152" s="530" t="n"/>
      <c r="I152" s="519" t="inlineStr">
        <is>
          <t xml:space="preserve"> тыс. т.</t>
        </is>
      </c>
    </row>
    <row r="153" ht="18.75" customHeight="1" s="769">
      <c r="B153" s="778" t="n"/>
      <c r="C153" s="484" t="inlineStr">
        <is>
          <t>Ямбургское НГКМ</t>
        </is>
      </c>
      <c r="D153" s="528" t="n"/>
      <c r="E153" s="528" t="n"/>
      <c r="F153" s="529" t="n"/>
      <c r="G153" s="530" t="inlineStr">
        <is>
          <t>7_100330593</t>
        </is>
      </c>
      <c r="H153" s="530" t="n"/>
      <c r="I153" s="519" t="inlineStr">
        <is>
          <t xml:space="preserve"> тыс. т.</t>
        </is>
      </c>
    </row>
    <row r="154" ht="18.75" customHeight="1" s="769">
      <c r="B154" s="778" t="n"/>
      <c r="C154" s="484" t="inlineStr">
        <is>
          <t>Заполярное НГКМ</t>
        </is>
      </c>
      <c r="D154" s="528" t="n"/>
      <c r="E154" s="528" t="n"/>
      <c r="F154" s="529" t="n"/>
      <c r="G154" s="530" t="inlineStr">
        <is>
          <t>7_100330591</t>
        </is>
      </c>
      <c r="H154" s="530" t="n"/>
      <c r="I154" s="519" t="inlineStr">
        <is>
          <t xml:space="preserve"> тыс. т.</t>
        </is>
      </c>
    </row>
    <row r="155" ht="18.75" customHeight="1" s="769">
      <c r="B155" s="778" t="n"/>
      <c r="C155" s="932" t="inlineStr">
        <is>
          <t>поставка потребителям (ДРОД)</t>
        </is>
      </c>
      <c r="D155" s="528" t="n"/>
      <c r="E155" s="528" t="n"/>
      <c r="F155" s="529" t="n"/>
      <c r="G155" s="530" t="inlineStr">
        <is>
          <t>7_100330591+7_100330593</t>
        </is>
      </c>
      <c r="H155" s="530" t="n"/>
      <c r="I155" s="519" t="inlineStr">
        <is>
          <t xml:space="preserve"> тыс. т.</t>
        </is>
      </c>
    </row>
    <row r="156" ht="24" customHeight="1" s="769">
      <c r="B156" s="778" t="n"/>
      <c r="C156" s="933" t="inlineStr">
        <is>
          <t>поставка в систему трубопроводов ПАО "Транснефть"</t>
        </is>
      </c>
      <c r="D156" s="528" t="n"/>
      <c r="E156" s="528" t="n"/>
      <c r="F156" s="529" t="n"/>
      <c r="G156" s="530" t="inlineStr">
        <is>
          <t>7_100330591+7_100330593-7_100330591+7_100330593</t>
        </is>
      </c>
      <c r="H156" s="530" t="n"/>
      <c r="I156" s="519" t="inlineStr">
        <is>
          <t xml:space="preserve"> тыс. т.</t>
        </is>
      </c>
    </row>
    <row r="157" ht="18.75" customHeight="1" s="769">
      <c r="B157" s="778" t="inlineStr">
        <is>
          <t>1.2.3</t>
        </is>
      </c>
      <c r="C157" s="784" t="inlineStr">
        <is>
          <t xml:space="preserve">ООО "Газпром добыча Ноябрьск" </t>
        </is>
      </c>
      <c r="D157" s="528" t="n"/>
      <c r="E157" s="528" t="n"/>
      <c r="F157" s="529" t="n"/>
      <c r="G157" s="530" t="inlineStr">
        <is>
          <t>10_100330722</t>
        </is>
      </c>
      <c r="H157" s="530" t="n"/>
      <c r="I157" s="519" t="inlineStr">
        <is>
          <t xml:space="preserve"> тыс. т.</t>
        </is>
      </c>
    </row>
    <row r="158" ht="18.75" customHeight="1" s="769">
      <c r="B158" s="778" t="n"/>
      <c r="C158" s="484" t="inlineStr">
        <is>
          <t>Западно-Таркосалинское НГКМ</t>
        </is>
      </c>
      <c r="D158" s="528" t="n"/>
      <c r="E158" s="528" t="n"/>
      <c r="F158" s="529" t="n"/>
      <c r="G158" s="530" t="inlineStr">
        <is>
          <t>10_100330722</t>
        </is>
      </c>
      <c r="H158" s="530" t="n"/>
      <c r="I158" s="519" t="inlineStr">
        <is>
          <t xml:space="preserve"> тыс. т.</t>
        </is>
      </c>
    </row>
    <row r="159" ht="18.75" customHeight="1" s="769">
      <c r="B159" s="483" t="n"/>
      <c r="C159" s="480" t="inlineStr">
        <is>
          <t>собственные нужды</t>
        </is>
      </c>
      <c r="D159" s="528" t="n"/>
      <c r="E159" s="528" t="n"/>
      <c r="F159" s="529" t="n"/>
      <c r="G159" s="530" t="n">
        <v>0</v>
      </c>
      <c r="H159" s="530" t="n"/>
      <c r="I159" s="519" t="inlineStr">
        <is>
          <t xml:space="preserve"> тыс. т.</t>
        </is>
      </c>
    </row>
    <row r="160" ht="18.75" customHeight="1" s="769">
      <c r="B160" s="483" t="n"/>
      <c r="C160" s="480" t="inlineStr">
        <is>
          <t>поставка на СЗСК</t>
        </is>
      </c>
      <c r="D160" s="528" t="n"/>
      <c r="E160" s="528" t="n"/>
      <c r="F160" s="529" t="n"/>
      <c r="G160" s="530" t="n">
        <v>0</v>
      </c>
      <c r="H160" s="530" t="n"/>
      <c r="I160" s="519" t="inlineStr">
        <is>
          <t xml:space="preserve"> тыс. т.</t>
        </is>
      </c>
    </row>
    <row r="161" ht="18.75" customHeight="1" s="769">
      <c r="B161" s="778" t="n"/>
      <c r="C161" s="480" t="inlineStr">
        <is>
          <t>поставка потребителям (ДРОД)</t>
        </is>
      </c>
      <c r="D161" s="528" t="n"/>
      <c r="E161" s="528" t="n"/>
      <c r="F161" s="529" t="n"/>
      <c r="G161" s="530" t="inlineStr">
        <is>
          <t>10_100330722-0-0</t>
        </is>
      </c>
      <c r="H161" s="530" t="n"/>
      <c r="I161" s="519" t="inlineStr">
        <is>
          <t xml:space="preserve"> тыс. т.</t>
        </is>
      </c>
    </row>
    <row r="162" ht="18.75" customHeight="1" s="769">
      <c r="B162" s="778" t="n"/>
      <c r="C162" s="784" t="inlineStr">
        <is>
          <t>Справочно:</t>
        </is>
      </c>
      <c r="D162" s="528" t="n"/>
      <c r="E162" s="528" t="n"/>
      <c r="F162" s="529" t="n"/>
      <c r="G162" s="530" t="n"/>
      <c r="H162" s="530" t="n"/>
      <c r="I162" s="519" t="n"/>
    </row>
    <row r="163" ht="144" customHeight="1" s="769">
      <c r="B163" s="778" t="n"/>
      <c r="C163" s="479" t="inlineStr">
        <is>
          <t>Поставка сырья с учетом ДРОД, всего:</t>
        </is>
      </c>
      <c r="D163" s="528" t="n"/>
      <c r="E163" s="528" t="n"/>
      <c r="F163" s="529" t="n"/>
      <c r="G163" s="530" t="inlineStr">
        <is>
          <t>4_100331805-0+0+0+8_100330638+0+0+8_100330641+8_100330642+0+0+0+8_100330639+8_100330640+0+7_100330587+7_100330588-7_100330594+7_100330623+10_100330719+4_100331811+4_100331963+0-0-0+0-0+0+0-0-0+0+0-0-0+0+0+0+0+0+0+0+0+0+0+0-0+0+0</t>
        </is>
      </c>
      <c r="H163" s="530" t="n"/>
      <c r="I163" s="519" t="inlineStr">
        <is>
          <t xml:space="preserve"> тыс. т.</t>
        </is>
      </c>
    </row>
    <row r="164" ht="108" customHeight="1" s="769">
      <c r="B164" s="778" t="n"/>
      <c r="C164" s="514" t="inlineStr">
        <is>
          <t>Комплекс Уренгойский ЗПКТ-Сургутский ЗСК и привлеченные мощности:</t>
        </is>
      </c>
      <c r="D164" s="528" t="n"/>
      <c r="E164" s="528" t="n"/>
      <c r="F164" s="529" t="n"/>
      <c r="G164" s="530" t="inlineStr">
        <is>
          <t>4_100331805-0+0+0+8_100330638+0+0+8_100330641+8_100330642+0+0+0+8_100330639+8_100330640+0+7_100330587+7_100330588-7_100330594+7_100330623+10_100330719+4_100331811+4_100331963+0-0-0</t>
        </is>
      </c>
      <c r="H164" s="530" t="n"/>
      <c r="I164" s="519" t="inlineStr">
        <is>
          <t xml:space="preserve"> тыс. т.</t>
        </is>
      </c>
    </row>
    <row r="165" ht="108" customHeight="1" s="769">
      <c r="B165" s="778" t="n"/>
      <c r="C165" s="485" t="inlineStr">
        <is>
          <t>нестабильного газового конденсата</t>
        </is>
      </c>
      <c r="D165" s="528" t="n"/>
      <c r="E165" s="528" t="n"/>
      <c r="F165" s="529" t="n"/>
      <c r="G165" s="530" t="inlineStr">
        <is>
          <t>4_100331805-0+0+0+8_100330638+0+0+8_100330641+8_100330642+0+0+0+8_100330639+8_100330640+0+7_100330587+7_100330588-7_100330594+7_100330623+10_100330719+4_100331811</t>
        </is>
      </c>
      <c r="H165" s="530" t="n"/>
      <c r="I165" s="519" t="inlineStr">
        <is>
          <t xml:space="preserve"> тыс. т.</t>
        </is>
      </c>
    </row>
    <row r="166" ht="60" customHeight="1" s="769">
      <c r="B166" s="778" t="n"/>
      <c r="C166" s="476" t="inlineStr">
        <is>
          <t>ООО "Газпром добыча Уренгой"</t>
        </is>
      </c>
      <c r="D166" s="528" t="n"/>
      <c r="E166" s="528" t="n"/>
      <c r="F166" s="529" t="n"/>
      <c r="G166" s="530" t="inlineStr">
        <is>
          <t>4_100331805-0+0+0+8_100330638+0+0+8_100330641+8_100330642+0+0+0+8_100330639+8_100330640+0</t>
        </is>
      </c>
      <c r="H166" s="530" t="n"/>
      <c r="I166" s="519" t="inlineStr">
        <is>
          <t xml:space="preserve"> тыс. т.</t>
        </is>
      </c>
    </row>
    <row r="167" ht="18.75" customHeight="1" s="769">
      <c r="B167" s="778" t="n"/>
      <c r="C167" s="934" t="inlineStr">
        <is>
          <t>в т.ч. поставка ДРОД</t>
        </is>
      </c>
      <c r="D167" s="528" t="n"/>
      <c r="E167" s="528" t="n"/>
      <c r="F167" s="529" t="n"/>
      <c r="G167" s="530" t="inlineStr">
        <is>
          <t>0+0+0+0+0+0+0</t>
        </is>
      </c>
      <c r="H167" s="530" t="n"/>
      <c r="I167" s="519" t="inlineStr">
        <is>
          <t xml:space="preserve"> тыс. т.</t>
        </is>
      </c>
    </row>
    <row r="168" ht="24" customHeight="1" s="769">
      <c r="B168" s="778" t="n"/>
      <c r="C168" s="476" t="inlineStr">
        <is>
          <t>ООО "Газпром добыча Ямбург"</t>
        </is>
      </c>
      <c r="D168" s="528" t="n"/>
      <c r="E168" s="528" t="n"/>
      <c r="F168" s="529" t="n"/>
      <c r="G168" s="530" t="inlineStr">
        <is>
          <t>7_100330587+7_100330588-7_100330594+7_100330623</t>
        </is>
      </c>
      <c r="H168" s="530" t="n"/>
      <c r="I168" s="519" t="inlineStr">
        <is>
          <t xml:space="preserve"> тыс. т.</t>
        </is>
      </c>
    </row>
    <row r="169" ht="18.75" customHeight="1" s="769">
      <c r="B169" s="778" t="n"/>
      <c r="C169" s="934" t="inlineStr">
        <is>
          <t>Заполярное НГКМ</t>
        </is>
      </c>
      <c r="D169" s="528" t="n"/>
      <c r="E169" s="528" t="n"/>
      <c r="F169" s="529" t="n"/>
      <c r="G169" s="530" t="inlineStr">
        <is>
          <t>7_100330894</t>
        </is>
      </c>
      <c r="H169" s="530" t="n"/>
      <c r="I169" s="519" t="inlineStr">
        <is>
          <t xml:space="preserve"> тыс. т.</t>
        </is>
      </c>
    </row>
    <row r="170" ht="18.75" customHeight="1" s="769">
      <c r="B170" s="778" t="n"/>
      <c r="C170" s="934" t="inlineStr">
        <is>
          <t>Ямбургское НГКМ</t>
        </is>
      </c>
      <c r="D170" s="528" t="n"/>
      <c r="E170" s="528" t="n"/>
      <c r="F170" s="529" t="n"/>
      <c r="G170" s="530" t="inlineStr">
        <is>
          <t>7_100330895</t>
        </is>
      </c>
      <c r="H170" s="530" t="n"/>
      <c r="I170" s="519" t="inlineStr">
        <is>
          <t xml:space="preserve"> тыс. т.</t>
        </is>
      </c>
    </row>
    <row r="171" ht="18.75" customHeight="1" s="769">
      <c r="B171" s="778" t="n"/>
      <c r="C171" s="476" t="inlineStr">
        <is>
          <t>ООО "Газпром добыча Ноябрьск"</t>
        </is>
      </c>
      <c r="D171" s="528" t="n"/>
      <c r="E171" s="528" t="n"/>
      <c r="F171" s="529" t="n"/>
      <c r="G171" s="530" t="inlineStr">
        <is>
          <t>10_100330719</t>
        </is>
      </c>
      <c r="H171" s="530" t="n"/>
      <c r="I171" s="519" t="inlineStr">
        <is>
          <t xml:space="preserve"> тыс. т.</t>
        </is>
      </c>
    </row>
    <row r="172" ht="18.75" customHeight="1" s="769">
      <c r="B172" s="778" t="n"/>
      <c r="C172" s="476" t="inlineStr">
        <is>
          <t>АО "Сибнефтегаз"</t>
        </is>
      </c>
      <c r="D172" s="528" t="n"/>
      <c r="E172" s="528" t="n"/>
      <c r="F172" s="529" t="n"/>
      <c r="G172" s="530" t="inlineStr">
        <is>
          <t>4_100331811</t>
        </is>
      </c>
      <c r="H172" s="530" t="n"/>
      <c r="I172" s="519" t="inlineStr">
        <is>
          <t xml:space="preserve"> тыс. т.</t>
        </is>
      </c>
    </row>
    <row r="173" ht="18.75" customHeight="1" s="769">
      <c r="B173" s="778" t="n"/>
      <c r="C173" s="485" t="inlineStr">
        <is>
          <t>нефть</t>
        </is>
      </c>
      <c r="D173" s="528" t="n"/>
      <c r="E173" s="528" t="n"/>
      <c r="F173" s="529" t="n"/>
      <c r="G173" s="530" t="inlineStr">
        <is>
          <t>4_100331963+0-0-0</t>
        </is>
      </c>
      <c r="H173" s="530" t="n"/>
      <c r="I173" s="519" t="inlineStr">
        <is>
          <t xml:space="preserve"> тыс. т.</t>
        </is>
      </c>
    </row>
    <row r="174" ht="37.5" customHeight="1" s="769">
      <c r="B174" s="778" t="n"/>
      <c r="C174" s="514" t="inlineStr">
        <is>
          <t>В адрес независимого трейдера (альтернативная схема) из объемов по ДРОД:</t>
        </is>
      </c>
      <c r="D174" s="528" t="n"/>
      <c r="E174" s="528" t="n"/>
      <c r="F174" s="529" t="n"/>
      <c r="G174" s="530" t="inlineStr">
        <is>
          <t>0-0+0+0-0-0+0+0-0-0+0+0+0+0+0</t>
        </is>
      </c>
      <c r="H174" s="530" t="n"/>
      <c r="I174" s="519" t="inlineStr">
        <is>
          <t xml:space="preserve"> тыс. т.</t>
        </is>
      </c>
    </row>
    <row r="175" ht="18.75" customHeight="1" s="769">
      <c r="B175" s="778" t="n"/>
      <c r="C175" s="485" t="inlineStr">
        <is>
          <t>нестабильного газового конденсата</t>
        </is>
      </c>
      <c r="D175" s="528" t="n"/>
      <c r="E175" s="528" t="n"/>
      <c r="F175" s="529" t="n"/>
      <c r="G175" s="530" t="inlineStr">
        <is>
          <t>0-0+0+0-0-0+0+0-0-0+0</t>
        </is>
      </c>
      <c r="H175" s="530" t="n"/>
      <c r="I175" s="519" t="inlineStr">
        <is>
          <t xml:space="preserve"> тыс. т.</t>
        </is>
      </c>
    </row>
    <row r="176" ht="18.75" customHeight="1" s="769">
      <c r="B176" s="778" t="n"/>
      <c r="C176" s="485" t="inlineStr">
        <is>
          <t>нефть</t>
        </is>
      </c>
      <c r="D176" s="528" t="n"/>
      <c r="E176" s="528" t="n"/>
      <c r="F176" s="529" t="n"/>
      <c r="G176" s="530" t="inlineStr">
        <is>
          <t>0+0+0+0</t>
        </is>
      </c>
      <c r="H176" s="530" t="n"/>
      <c r="I176" s="519" t="inlineStr">
        <is>
          <t xml:space="preserve"> тыс. т.</t>
        </is>
      </c>
    </row>
    <row r="177" ht="37.5" customHeight="1" s="769">
      <c r="B177" s="778" t="n"/>
      <c r="C177" s="514" t="inlineStr">
        <is>
          <t>В адрес ООО "Газпром нефть Заполярье" (автовывоз) из объемов по ДРОД:</t>
        </is>
      </c>
      <c r="D177" s="528" t="n"/>
      <c r="E177" s="528" t="n"/>
      <c r="F177" s="529" t="n"/>
      <c r="G177" s="530" t="inlineStr">
        <is>
          <t>0+0+0+0+0+0-0+0+0</t>
        </is>
      </c>
      <c r="H177" s="530" t="n"/>
      <c r="I177" s="519" t="inlineStr">
        <is>
          <t xml:space="preserve"> тыс. т.</t>
        </is>
      </c>
    </row>
    <row r="178" ht="18.75" customHeight="1" s="769">
      <c r="B178" s="778" t="n"/>
      <c r="C178" s="485" t="inlineStr">
        <is>
          <t>нестабильного газового конденсата</t>
        </is>
      </c>
      <c r="D178" s="528" t="n"/>
      <c r="E178" s="528" t="n"/>
      <c r="F178" s="529" t="n"/>
      <c r="G178" s="530" t="inlineStr">
        <is>
          <t>0+0+0+0+0</t>
        </is>
      </c>
      <c r="H178" s="530" t="n"/>
      <c r="I178" s="519" t="inlineStr">
        <is>
          <t xml:space="preserve"> тыс. т.</t>
        </is>
      </c>
    </row>
    <row r="179" ht="18.75" customHeight="1" s="769">
      <c r="B179" s="778" t="n"/>
      <c r="C179" s="485" t="inlineStr">
        <is>
          <t>нефть</t>
        </is>
      </c>
      <c r="D179" s="528" t="n"/>
      <c r="E179" s="528" t="n"/>
      <c r="F179" s="529" t="n"/>
      <c r="G179" s="530" t="inlineStr">
        <is>
          <t>0-0+0+0</t>
        </is>
      </c>
      <c r="H179" s="530" t="n"/>
      <c r="I179" s="519" t="inlineStr">
        <is>
          <t xml:space="preserve"> тыс. т.</t>
        </is>
      </c>
    </row>
    <row r="180" ht="408" customHeight="1" s="769">
      <c r="B180" s="482" t="n"/>
      <c r="C180" s="478" t="inlineStr">
        <is>
          <t>проверка</t>
        </is>
      </c>
      <c r="D180" s="528" t="n"/>
      <c r="E180" s="528" t="n"/>
      <c r="F180" s="529" t="n"/>
      <c r="G180" s="530" t="inlineStr">
        <is>
          <t>4_100331805-0+0+0+8_100330638+0+0+0+0+0+8_100330639+8_100330640+8_100330641+8_100330642+0+0+7_100330587+7_100330588+10_100330719+11_100330686+11_100330687+11_100330688+11_100333683+11_100335593+11_100335658+4_100331811+4_100331963+0+0+0+0+0+0+0+0+0+0+0+0+0+0+0+0+0+0+10_100330722+7_100330591+7_100330593-4_100331805-0+0+0+8_100330638+0+0+8_100330641+8_100330642+0+0+0+8_100330639+8_100330640+0+7_100330587+7_100330588-7_100330594+7_100330623+10_100330719+4_100331811+4_100331963+0-0-0+0-0+0+0-0-0+0+0-0-0+0+0+0+0+0+0+0+0+0+0+0-0+0+0-0-0-0-0-0-11_100330686+11_100330687+11_100330688+11_100333683+11_100335593+11_100335658-10_100330722+7_100330623-7_100330594-0-7_100330591+7_100330593-0</t>
        </is>
      </c>
      <c r="H180" s="530" t="n"/>
      <c r="I180" s="518" t="inlineStr">
        <is>
          <t xml:space="preserve"> тыс. т.</t>
        </is>
      </c>
    </row>
    <row r="181" ht="18.75" customHeight="1" s="769">
      <c r="B181" s="778" t="n"/>
      <c r="C181" s="934" t="n"/>
      <c r="D181" s="528" t="n"/>
      <c r="E181" s="528" t="n"/>
      <c r="F181" s="529" t="n"/>
      <c r="G181" s="530" t="n"/>
      <c r="H181" s="530" t="n"/>
      <c r="I181" s="519" t="n"/>
    </row>
    <row r="182" ht="18.75" customHeight="1" s="769">
      <c r="B182" s="778" t="inlineStr">
        <is>
          <t>II</t>
        </is>
      </c>
      <c r="C182" s="486" t="inlineStr">
        <is>
          <t>ПЕРЕРАБОТКА СЫРЬЯ И ПРОИЗВОДСТВО ПРОДУКЦИИ</t>
        </is>
      </c>
      <c r="D182" s="528" t="n"/>
      <c r="E182" s="528" t="n"/>
      <c r="F182" s="529" t="n"/>
      <c r="G182" s="530" t="n"/>
      <c r="H182" s="530" t="n"/>
      <c r="I182" s="519" t="n"/>
    </row>
    <row r="183" ht="18.75" customHeight="1" s="769">
      <c r="B183" s="778" t="n"/>
      <c r="C183" s="487" t="n"/>
      <c r="D183" s="528" t="n"/>
      <c r="E183" s="528" t="n"/>
      <c r="F183" s="529" t="n"/>
      <c r="G183" s="530" t="n"/>
      <c r="H183" s="530" t="n"/>
      <c r="I183" s="520" t="n"/>
    </row>
    <row r="184" ht="18.75" customHeight="1" s="769">
      <c r="B184" s="778" t="inlineStr">
        <is>
          <t>1</t>
        </is>
      </c>
      <c r="C184" s="784" t="inlineStr">
        <is>
          <t>ООО "Газпром добыча Ямбург"</t>
        </is>
      </c>
      <c r="D184" s="528" t="n"/>
      <c r="E184" s="528" t="n"/>
      <c r="F184" s="529" t="n"/>
      <c r="G184" s="530" t="n"/>
      <c r="H184" s="530" t="n"/>
      <c r="I184" s="519" t="n"/>
    </row>
    <row r="185" ht="37.5" customHeight="1" s="769">
      <c r="B185" s="778" t="inlineStr">
        <is>
          <t>1.1</t>
        </is>
      </c>
      <c r="C185" s="775" t="inlineStr">
        <is>
          <t>ПЕРЕРАБОТКА НЕСТАБИЛЬНОГО ГАЗОВОГО КОНДЕНСАТА, ВСЕГО:</t>
        </is>
      </c>
      <c r="D185" s="528" t="n"/>
      <c r="E185" s="528" t="n"/>
      <c r="F185" s="529" t="n"/>
      <c r="G185" s="530" t="inlineStr">
        <is>
          <t>7_100330594</t>
        </is>
      </c>
      <c r="H185" s="530" t="n"/>
      <c r="I185" s="519" t="inlineStr">
        <is>
          <t xml:space="preserve"> тыс. т.</t>
        </is>
      </c>
    </row>
    <row r="186" ht="18.75" customHeight="1" s="769">
      <c r="B186" s="778" t="inlineStr">
        <is>
          <t>1.2</t>
        </is>
      </c>
      <c r="C186" s="784" t="inlineStr">
        <is>
          <t>ПОТЕРИ СЫРЬЯ ПРИ ПЕРЕРАБОТКЕ, ВСЕГО:</t>
        </is>
      </c>
      <c r="D186" s="528" t="n"/>
      <c r="E186" s="528" t="n"/>
      <c r="F186" s="529" t="n"/>
      <c r="G186" s="530" t="inlineStr">
        <is>
          <t>7_100330598</t>
        </is>
      </c>
      <c r="H186" s="530" t="n"/>
      <c r="I186" s="519" t="inlineStr">
        <is>
          <t xml:space="preserve"> тыс. т.</t>
        </is>
      </c>
    </row>
    <row r="187" ht="18.75" customHeight="1" s="769">
      <c r="B187" s="778" t="inlineStr">
        <is>
          <t>1.3</t>
        </is>
      </c>
      <c r="C187" s="784" t="inlineStr">
        <is>
          <t>ПРОИЗВОДСТВО ПРОДУКЦИИ УМПТ-15 и УМПТ-1, ВСЕГО:</t>
        </is>
      </c>
      <c r="D187" s="528" t="n"/>
      <c r="E187" s="528" t="n"/>
      <c r="F187" s="529" t="n"/>
      <c r="G187" s="530" t="inlineStr">
        <is>
          <t>7_100330049</t>
        </is>
      </c>
      <c r="H187" s="530" t="n"/>
      <c r="I187" s="519" t="inlineStr">
        <is>
          <t xml:space="preserve"> тыс. т.</t>
        </is>
      </c>
    </row>
    <row r="188" ht="18.75" customHeight="1" s="769">
      <c r="B188" s="778" t="inlineStr">
        <is>
          <t>1.3.1</t>
        </is>
      </c>
      <c r="C188" s="784" t="inlineStr">
        <is>
          <t>Стабильный газовый конденсат</t>
        </is>
      </c>
      <c r="D188" s="528" t="n"/>
      <c r="E188" s="528" t="n"/>
      <c r="F188" s="529" t="n"/>
      <c r="G188" s="530" t="inlineStr">
        <is>
          <t>7_100330601</t>
        </is>
      </c>
      <c r="H188" s="530" t="n"/>
      <c r="I188" s="519" t="inlineStr">
        <is>
          <t xml:space="preserve"> тыс. т.</t>
        </is>
      </c>
    </row>
    <row r="189" ht="18.75" customHeight="1" s="769">
      <c r="B189" s="488" t="n"/>
      <c r="C189" s="489" t="inlineStr">
        <is>
          <t>в т.ч. на собственные нужды</t>
        </is>
      </c>
      <c r="D189" s="528" t="n"/>
      <c r="E189" s="528" t="n"/>
      <c r="F189" s="529" t="n"/>
      <c r="G189" s="530" t="inlineStr">
        <is>
          <t>7_100330604</t>
        </is>
      </c>
      <c r="H189" s="530" t="n"/>
      <c r="I189" s="519" t="inlineStr">
        <is>
          <t xml:space="preserve"> тыс. т.</t>
        </is>
      </c>
    </row>
    <row r="190" ht="18.75" customHeight="1" s="769">
      <c r="B190" s="778" t="n"/>
      <c r="C190" s="775" t="inlineStr">
        <is>
          <t>Справочно:</t>
        </is>
      </c>
      <c r="D190" s="528" t="n"/>
      <c r="E190" s="528" t="n"/>
      <c r="F190" s="529" t="n"/>
      <c r="G190" s="530" t="n"/>
      <c r="H190" s="530" t="n"/>
      <c r="I190" s="519" t="inlineStr">
        <is>
          <t xml:space="preserve"> тыс. т.</t>
        </is>
      </c>
    </row>
    <row r="191" ht="18.75" customHeight="1" s="769">
      <c r="B191" s="488" t="n"/>
      <c r="C191" s="380" t="inlineStr">
        <is>
          <t>СК валовый</t>
        </is>
      </c>
      <c r="D191" s="528" t="n"/>
      <c r="E191" s="528" t="n"/>
      <c r="F191" s="529" t="n"/>
      <c r="G191" s="530" t="inlineStr">
        <is>
          <t>7_100330626</t>
        </is>
      </c>
      <c r="H191" s="530" t="n"/>
      <c r="I191" s="519" t="inlineStr">
        <is>
          <t xml:space="preserve"> тыс. т.</t>
        </is>
      </c>
    </row>
    <row r="192" ht="18.75" customHeight="1" s="769">
      <c r="B192" s="488" t="n"/>
      <c r="C192" s="380" t="inlineStr">
        <is>
          <t>СК первичная переработка</t>
        </is>
      </c>
      <c r="D192" s="528" t="n"/>
      <c r="E192" s="528" t="n"/>
      <c r="F192" s="529" t="n"/>
      <c r="G192" s="530" t="inlineStr">
        <is>
          <t>7_100330629</t>
        </is>
      </c>
      <c r="H192" s="530" t="n"/>
      <c r="I192" s="519" t="inlineStr">
        <is>
          <t xml:space="preserve"> тыс. т.</t>
        </is>
      </c>
    </row>
    <row r="193" ht="18.75" customHeight="1" s="769">
      <c r="B193" s="778" t="inlineStr">
        <is>
          <t>1.3.2</t>
        </is>
      </c>
      <c r="C193" s="784" t="inlineStr">
        <is>
          <t>Фракция пропан-бутановая</t>
        </is>
      </c>
      <c r="D193" s="528" t="n"/>
      <c r="E193" s="528" t="n"/>
      <c r="F193" s="529" t="n"/>
      <c r="G193" s="530" t="inlineStr">
        <is>
          <t>7_100330609</t>
        </is>
      </c>
      <c r="H193" s="530" t="n"/>
      <c r="I193" s="519" t="inlineStr">
        <is>
          <t xml:space="preserve"> тыс. т.</t>
        </is>
      </c>
    </row>
    <row r="194" ht="18.75" customHeight="1" s="769">
      <c r="B194" s="778" t="inlineStr">
        <is>
          <t>1.3.3</t>
        </is>
      </c>
      <c r="C194" s="784" t="inlineStr">
        <is>
          <t>Дизельное топливо</t>
        </is>
      </c>
      <c r="D194" s="528" t="n"/>
      <c r="E194" s="528" t="n"/>
      <c r="F194" s="529" t="n"/>
      <c r="G194" s="530" t="inlineStr">
        <is>
          <t>7_100330605</t>
        </is>
      </c>
      <c r="H194" s="530" t="n"/>
      <c r="I194" s="519" t="inlineStr">
        <is>
          <t xml:space="preserve"> тыс. т.</t>
        </is>
      </c>
    </row>
    <row r="195" ht="18.75" customHeight="1" s="769">
      <c r="B195" s="488" t="n"/>
      <c r="C195" s="489" t="inlineStr">
        <is>
          <t>в т.ч. на собственные нужды</t>
        </is>
      </c>
      <c r="D195" s="528" t="n"/>
      <c r="E195" s="528" t="n"/>
      <c r="F195" s="529" t="n"/>
      <c r="G195" s="530" t="inlineStr">
        <is>
          <t>7_100336116</t>
        </is>
      </c>
      <c r="H195" s="530" t="n"/>
      <c r="I195" s="519" t="inlineStr">
        <is>
          <t xml:space="preserve"> тыс. т.</t>
        </is>
      </c>
    </row>
    <row r="196" ht="18.75" customHeight="1" s="769">
      <c r="B196" s="778" t="inlineStr">
        <is>
          <t>1.3.4</t>
        </is>
      </c>
      <c r="C196" s="784" t="inlineStr">
        <is>
          <t xml:space="preserve">Газы деэтанизации и стабилизации на собственные нужды </t>
        </is>
      </c>
      <c r="D196" s="528" t="n"/>
      <c r="E196" s="528" t="n"/>
      <c r="F196" s="529" t="n"/>
      <c r="G196" s="530" t="inlineStr">
        <is>
          <t>7_100330611</t>
        </is>
      </c>
      <c r="H196" s="530" t="n"/>
      <c r="I196" s="519" t="inlineStr">
        <is>
          <t xml:space="preserve"> тыс. т.</t>
        </is>
      </c>
    </row>
    <row r="197" ht="18.75" customHeight="1" s="769">
      <c r="B197" s="778" t="n"/>
      <c r="D197" s="528" t="n"/>
      <c r="E197" s="528" t="n"/>
      <c r="F197" s="529" t="n"/>
      <c r="G197" s="530" t="inlineStr">
        <is>
          <t>7_100330612</t>
        </is>
      </c>
      <c r="H197" s="530" t="n"/>
      <c r="I197" s="519" t="inlineStr">
        <is>
          <t>млн куб. м</t>
        </is>
      </c>
    </row>
    <row r="198" ht="18.75" customHeight="1" s="769">
      <c r="B198" s="778" t="inlineStr">
        <is>
          <t>1.3.5</t>
        </is>
      </c>
      <c r="C198" s="784" t="inlineStr">
        <is>
          <t>Возврат в нестабильный конденсат</t>
        </is>
      </c>
      <c r="D198" s="528" t="n"/>
      <c r="E198" s="528" t="n"/>
      <c r="F198" s="529" t="n"/>
      <c r="G198" s="530" t="inlineStr">
        <is>
          <t>7_100330623</t>
        </is>
      </c>
      <c r="H198" s="530" t="n"/>
      <c r="I198" s="519" t="inlineStr">
        <is>
          <t xml:space="preserve"> тыс. т.</t>
        </is>
      </c>
    </row>
    <row r="199" ht="18.75" customHeight="1" s="769">
      <c r="B199" s="778" t="n"/>
      <c r="C199" s="490" t="n"/>
      <c r="D199" s="528" t="n"/>
      <c r="E199" s="528" t="n"/>
      <c r="F199" s="529" t="n"/>
      <c r="G199" s="530" t="n"/>
      <c r="H199" s="530" t="n"/>
      <c r="I199" s="519" t="n"/>
    </row>
    <row r="200" ht="18.75" customHeight="1" s="769">
      <c r="B200" s="778" t="inlineStr">
        <is>
          <t>2</t>
        </is>
      </c>
      <c r="C200" s="784" t="inlineStr">
        <is>
          <t>ООО "Газпром переработка"</t>
        </is>
      </c>
      <c r="D200" s="528" t="n"/>
      <c r="E200" s="528" t="n"/>
      <c r="F200" s="529" t="n"/>
      <c r="G200" s="530" t="n"/>
      <c r="H200" s="530" t="n"/>
      <c r="I200" s="519" t="inlineStr">
        <is>
          <t xml:space="preserve"> </t>
        </is>
      </c>
    </row>
    <row r="201" ht="37.5" customHeight="1" s="769">
      <c r="B201" s="778" t="n"/>
      <c r="C201" s="775" t="inlineStr">
        <is>
          <t>Комплекс Уренгойский ЗПКТ-Сургутский ЗСК с уч. привлеченных мощностей</t>
        </is>
      </c>
      <c r="D201" s="528" t="n"/>
      <c r="E201" s="528" t="n"/>
      <c r="F201" s="529" t="n"/>
      <c r="G201" s="530" t="n"/>
      <c r="H201" s="530" t="n"/>
      <c r="I201" s="931" t="n"/>
    </row>
    <row r="202" ht="144" customHeight="1" s="769">
      <c r="B202" s="778" t="n"/>
      <c r="C202" s="514" t="inlineStr">
        <is>
          <t>ПОСТАВКА УГЛЕВОДОРОДНОГО СЫРЬЯ НА ЗАВОДЫ, ВСЕГО:</t>
        </is>
      </c>
      <c r="D202" s="528" t="n"/>
      <c r="E202" s="528" t="n"/>
      <c r="F202" s="529" t="n"/>
      <c r="G202" s="530" t="inlineStr">
        <is>
          <t>7_100330587+7_100330588-7_100330594+7_100330623+4_100331805-0+0+0+0+8_100330638+0+8_100330639+8_100330640+0+0+0+0+8_100330641+8_100330642+4_100331811+10_100330719+4_100333682+4_100331815+4_100331963+0-0-0-4_100331815+4_100333678+4_100335034</t>
        </is>
      </c>
      <c r="H202" s="530" t="n"/>
      <c r="I202" s="521" t="inlineStr">
        <is>
          <t xml:space="preserve"> тыс. т.</t>
        </is>
      </c>
    </row>
    <row r="203" ht="96" customHeight="1" s="769">
      <c r="B203" s="491" t="inlineStr">
        <is>
          <t>2.1</t>
        </is>
      </c>
      <c r="C203" s="492" t="inlineStr">
        <is>
          <t>ПОСТАВКА НЕСТАБИЛЬНОГО ГАЗОВОГО КОНДЕНСАТА, ВСЕГО:</t>
        </is>
      </c>
      <c r="D203" s="528" t="n"/>
      <c r="E203" s="528" t="n"/>
      <c r="F203" s="529" t="n"/>
      <c r="G203" s="530" t="inlineStr">
        <is>
          <t>7_100330587+7_100330588-7_100330594+7_100330623+4_100331805-0+0+0+0+8_100330638+0+8_100330639+8_100330640+0+0+0+0+8_100330641+8_100330642+4_100331811+10_100330719+4_100333682</t>
        </is>
      </c>
      <c r="H203" s="530" t="n"/>
      <c r="I203" s="521" t="inlineStr">
        <is>
          <t xml:space="preserve"> тыс. т.</t>
        </is>
      </c>
    </row>
    <row r="204" ht="96" customHeight="1" s="769">
      <c r="B204" s="491" t="inlineStr">
        <is>
          <t>2.1.1</t>
        </is>
      </c>
      <c r="C204" s="493" t="inlineStr">
        <is>
          <t>ПАО "ГАЗПРОМ":</t>
        </is>
      </c>
      <c r="D204" s="528" t="n"/>
      <c r="E204" s="528" t="n"/>
      <c r="F204" s="529" t="n"/>
      <c r="G204" s="530" t="inlineStr">
        <is>
          <t>7_100330587+7_100330588-7_100330594+7_100330623+4_100331805-0+0+0+0+8_100330638+0+8_100330639+8_100330640+0+0+0+0+8_100330641+8_100330642+4_100331811+10_100330719</t>
        </is>
      </c>
      <c r="H204" s="530" t="n"/>
      <c r="I204" s="521" t="inlineStr">
        <is>
          <t xml:space="preserve"> тыс. т.</t>
        </is>
      </c>
    </row>
    <row r="205" ht="24" customHeight="1" s="769">
      <c r="B205" s="491" t="inlineStr">
        <is>
          <t>2.1.1.1</t>
        </is>
      </c>
      <c r="C205" s="494" t="inlineStr">
        <is>
          <t>ООО "Газпром добыча Ямбург"</t>
        </is>
      </c>
      <c r="D205" s="528" t="n"/>
      <c r="E205" s="528" t="n"/>
      <c r="F205" s="529" t="n"/>
      <c r="G205" s="530" t="inlineStr">
        <is>
          <t>7_100330587+7_100330588-7_100330594+7_100330623</t>
        </is>
      </c>
      <c r="H205" s="530" t="n"/>
      <c r="I205" s="521" t="inlineStr">
        <is>
          <t xml:space="preserve"> тыс. т.</t>
        </is>
      </c>
    </row>
    <row r="206" ht="18.75" customHeight="1" s="769">
      <c r="B206" s="491" t="n"/>
      <c r="C206" s="495" t="inlineStr">
        <is>
          <t>Заполярное НГКМ</t>
        </is>
      </c>
      <c r="D206" s="528" t="n"/>
      <c r="E206" s="528" t="n"/>
      <c r="F206" s="529" t="n"/>
      <c r="G206" s="530" t="inlineStr">
        <is>
          <t>4_100331802</t>
        </is>
      </c>
      <c r="H206" s="530" t="n"/>
      <c r="I206" s="521" t="inlineStr">
        <is>
          <t xml:space="preserve"> тыс. т.</t>
        </is>
      </c>
    </row>
    <row r="207" ht="18.75" customHeight="1" s="769">
      <c r="B207" s="491" t="n"/>
      <c r="C207" s="495" t="inlineStr">
        <is>
          <t xml:space="preserve">Ямбургское НГКМ </t>
        </is>
      </c>
      <c r="D207" s="528" t="n"/>
      <c r="E207" s="528" t="n"/>
      <c r="F207" s="529" t="n"/>
      <c r="G207" s="530" t="inlineStr">
        <is>
          <t>4_100331803</t>
        </is>
      </c>
      <c r="H207" s="530" t="n"/>
      <c r="I207" s="521" t="inlineStr">
        <is>
          <t xml:space="preserve"> тыс. т.</t>
        </is>
      </c>
    </row>
    <row r="208" ht="18.75" customHeight="1" s="769">
      <c r="B208" s="491" t="n"/>
      <c r="C208" s="489" t="inlineStr">
        <is>
          <t>в т.ч. на мощностях  ПАО "НОВАТЭК"</t>
        </is>
      </c>
      <c r="D208" s="528" t="n"/>
      <c r="E208" s="528" t="n"/>
      <c r="F208" s="529" t="n"/>
      <c r="G208" s="530" t="inlineStr">
        <is>
          <t>4_100335352</t>
        </is>
      </c>
      <c r="H208" s="530" t="n"/>
      <c r="I208" s="521" t="inlineStr">
        <is>
          <t xml:space="preserve"> тыс. т.</t>
        </is>
      </c>
    </row>
    <row r="209" ht="48" customHeight="1" s="769">
      <c r="B209" s="491" t="inlineStr">
        <is>
          <t>2.1.1.2</t>
        </is>
      </c>
      <c r="C209" s="494" t="inlineStr">
        <is>
          <t>ООО "Газпром добыча Уренгой"</t>
        </is>
      </c>
      <c r="D209" s="528" t="n"/>
      <c r="E209" s="528" t="n"/>
      <c r="F209" s="529" t="n"/>
      <c r="G209" s="530" t="inlineStr">
        <is>
          <t>4_100331805-0+0+0+0+8_100330638+0+8_100330639+8_100330640+0+0+0+0</t>
        </is>
      </c>
      <c r="H209" s="530" t="n"/>
      <c r="I209" s="521" t="inlineStr">
        <is>
          <t xml:space="preserve"> тыс. т.</t>
        </is>
      </c>
    </row>
    <row r="210" ht="18.75" customHeight="1" s="769">
      <c r="B210" s="491" t="n"/>
      <c r="C210" s="495" t="inlineStr">
        <is>
          <t>Уренгойское НГКМ</t>
        </is>
      </c>
      <c r="D210" s="528" t="n"/>
      <c r="E210" s="528" t="n"/>
      <c r="F210" s="529" t="n"/>
      <c r="G210" s="530" t="inlineStr">
        <is>
          <t>4_100331805-0+0</t>
        </is>
      </c>
      <c r="H210" s="530" t="n"/>
      <c r="I210" s="521" t="inlineStr">
        <is>
          <t xml:space="preserve"> тыс. т.</t>
        </is>
      </c>
    </row>
    <row r="211" ht="18.75" customHeight="1" s="769">
      <c r="B211" s="491" t="n"/>
      <c r="C211" s="489" t="inlineStr">
        <is>
          <t>в т.ч. поставка на СЗСК</t>
        </is>
      </c>
      <c r="D211" s="528" t="n"/>
      <c r="E211" s="528" t="n"/>
      <c r="F211" s="529" t="n"/>
      <c r="G211" s="530" t="inlineStr">
        <is>
          <t>4_100335334</t>
        </is>
      </c>
      <c r="H211" s="530" t="n"/>
      <c r="I211" s="521" t="inlineStr">
        <is>
          <t xml:space="preserve"> тыс. т.</t>
        </is>
      </c>
    </row>
    <row r="212" ht="18.75" customHeight="1" s="769">
      <c r="B212" s="491" t="n"/>
      <c r="C212" s="495" t="inlineStr">
        <is>
          <t>C5+ от подготовки газа деэтанизации</t>
        </is>
      </c>
      <c r="D212" s="528" t="n"/>
      <c r="E212" s="528" t="n"/>
      <c r="F212" s="529" t="n"/>
      <c r="G212" s="530" t="n"/>
      <c r="H212" s="530" t="n"/>
      <c r="I212" s="521" t="n"/>
    </row>
    <row r="213" ht="18.75" customHeight="1" s="769">
      <c r="B213" s="491" t="n"/>
      <c r="C213" s="495" t="inlineStr">
        <is>
          <t>Уренгойское НГКМ фаза 3 (ДРОД)</t>
        </is>
      </c>
      <c r="D213" s="528" t="n"/>
      <c r="E213" s="528" t="n"/>
      <c r="F213" s="529" t="n"/>
      <c r="G213" s="530" t="inlineStr">
        <is>
          <t>0+0</t>
        </is>
      </c>
      <c r="H213" s="530" t="n"/>
      <c r="I213" s="521" t="inlineStr">
        <is>
          <t xml:space="preserve"> тыс. т.</t>
        </is>
      </c>
    </row>
    <row r="214" ht="18.75" customHeight="1" s="769">
      <c r="B214" s="491" t="n"/>
      <c r="C214" s="495" t="inlineStr">
        <is>
          <t>Ен-Яхинское НГКМ</t>
        </is>
      </c>
      <c r="D214" s="528" t="n"/>
      <c r="E214" s="528" t="n"/>
      <c r="F214" s="529" t="n"/>
      <c r="G214" s="530" t="inlineStr">
        <is>
          <t>8_100330638</t>
        </is>
      </c>
      <c r="H214" s="530" t="n"/>
      <c r="I214" s="521" t="inlineStr">
        <is>
          <t xml:space="preserve"> тыс. т.</t>
        </is>
      </c>
    </row>
    <row r="215" ht="18.75" customHeight="1" s="769">
      <c r="B215" s="491" t="n"/>
      <c r="C215" s="489" t="inlineStr">
        <is>
          <t>в т.ч. на мощностях  ПАО "НОВАТЭК"</t>
        </is>
      </c>
      <c r="D215" s="528" t="n"/>
      <c r="E215" s="528" t="n"/>
      <c r="F215" s="529" t="n"/>
      <c r="G215" s="530" t="inlineStr">
        <is>
          <t>4_100335353</t>
        </is>
      </c>
      <c r="H215" s="530" t="n"/>
      <c r="I215" s="521" t="inlineStr">
        <is>
          <t xml:space="preserve"> тыс. т.</t>
        </is>
      </c>
    </row>
    <row r="216" ht="18.75" customHeight="1" s="769">
      <c r="B216" s="491" t="n"/>
      <c r="C216" s="495" t="inlineStr">
        <is>
          <t>Ен-Яхинское НГКМ (ДРОД)</t>
        </is>
      </c>
      <c r="D216" s="528" t="n"/>
      <c r="E216" s="528" t="n"/>
      <c r="F216" s="529" t="n"/>
      <c r="G216" s="530" t="n">
        <v>0</v>
      </c>
      <c r="H216" s="530" t="n"/>
      <c r="I216" s="521" t="inlineStr">
        <is>
          <t xml:space="preserve"> тыс. т.</t>
        </is>
      </c>
    </row>
    <row r="217" ht="18.75" customHeight="1" s="769">
      <c r="B217" s="491" t="n"/>
      <c r="C217" s="495" t="inlineStr">
        <is>
          <t>Ачимовские отл. 1 уч.</t>
        </is>
      </c>
      <c r="D217" s="528" t="n"/>
      <c r="E217" s="528" t="n"/>
      <c r="F217" s="529" t="n"/>
      <c r="G217" s="530" t="inlineStr">
        <is>
          <t>8_100330639</t>
        </is>
      </c>
      <c r="H217" s="530" t="n"/>
      <c r="I217" s="521" t="inlineStr">
        <is>
          <t xml:space="preserve"> тыс. т.</t>
        </is>
      </c>
    </row>
    <row r="218" ht="18.75" customHeight="1" s="769">
      <c r="B218" s="491" t="n"/>
      <c r="C218" s="495" t="inlineStr">
        <is>
          <t>Ачимовские отл. 2 уч.</t>
        </is>
      </c>
      <c r="D218" s="528" t="n"/>
      <c r="E218" s="528" t="n"/>
      <c r="F218" s="529" t="n"/>
      <c r="G218" s="530" t="inlineStr">
        <is>
          <t>8_100330640</t>
        </is>
      </c>
      <c r="H218" s="530" t="n"/>
      <c r="I218" s="521" t="inlineStr">
        <is>
          <t xml:space="preserve"> тыс. т.</t>
        </is>
      </c>
    </row>
    <row r="219" ht="18.75" customHeight="1" s="769">
      <c r="B219" s="491" t="n"/>
      <c r="C219" s="495" t="inlineStr">
        <is>
          <t>Ачимовские отл. 3 уч. (ДРОД)</t>
        </is>
      </c>
      <c r="D219" s="528" t="n"/>
      <c r="E219" s="528" t="n"/>
      <c r="F219" s="529" t="n"/>
      <c r="G219" s="530" t="n">
        <v>0</v>
      </c>
      <c r="H219" s="530" t="n"/>
      <c r="I219" s="521" t="inlineStr">
        <is>
          <t xml:space="preserve"> тыс. т.</t>
        </is>
      </c>
    </row>
    <row r="220" ht="18.75" customHeight="1" s="769">
      <c r="B220" s="491" t="n"/>
      <c r="C220" s="489" t="inlineStr">
        <is>
          <t>в т.ч. поставка на СЗСК</t>
        </is>
      </c>
      <c r="D220" s="528" t="n"/>
      <c r="E220" s="528" t="n"/>
      <c r="F220" s="529" t="n"/>
      <c r="G220" s="530" t="inlineStr">
        <is>
          <t>4_100335858</t>
        </is>
      </c>
      <c r="H220" s="530" t="n"/>
      <c r="I220" s="521" t="inlineStr">
        <is>
          <t xml:space="preserve"> тыс. т.</t>
        </is>
      </c>
    </row>
    <row r="221" ht="18.75" customHeight="1" s="769">
      <c r="B221" s="491" t="n"/>
      <c r="C221" s="495" t="inlineStr">
        <is>
          <t>Песцовое НГКМ (ДРОД)</t>
        </is>
      </c>
      <c r="D221" s="528" t="n"/>
      <c r="E221" s="528" t="n"/>
      <c r="F221" s="529" t="n"/>
      <c r="G221" s="530" t="inlineStr">
        <is>
          <t>0+0</t>
        </is>
      </c>
      <c r="H221" s="530" t="n"/>
      <c r="I221" s="521" t="inlineStr">
        <is>
          <t xml:space="preserve"> тыс. т.</t>
        </is>
      </c>
    </row>
    <row r="222" ht="18.75" customHeight="1" s="769">
      <c r="B222" s="491" t="n"/>
      <c r="C222" s="495" t="inlineStr">
        <is>
          <t>Песцовое НГКМ (ачим) (ДРОД)</t>
        </is>
      </c>
      <c r="D222" s="528" t="n"/>
      <c r="E222" s="528" t="n"/>
      <c r="F222" s="529" t="n"/>
      <c r="G222" s="530" t="n">
        <v>0</v>
      </c>
      <c r="H222" s="530" t="n"/>
      <c r="I222" s="521" t="inlineStr">
        <is>
          <t xml:space="preserve"> тыс. т.</t>
        </is>
      </c>
    </row>
    <row r="223" ht="18.75" customHeight="1" s="769">
      <c r="B223" s="491" t="inlineStr">
        <is>
          <t>2.1.1.3</t>
        </is>
      </c>
      <c r="C223" s="494" t="inlineStr">
        <is>
          <t>АО "Ачим сбыт"</t>
        </is>
      </c>
      <c r="D223" s="528" t="n"/>
      <c r="E223" s="528" t="n"/>
      <c r="F223" s="529" t="n"/>
      <c r="G223" s="530" t="inlineStr">
        <is>
          <t>8_100330641+8_100330642</t>
        </is>
      </c>
      <c r="H223" s="530" t="n"/>
      <c r="I223" s="521" t="inlineStr">
        <is>
          <t xml:space="preserve"> тыс. т.</t>
        </is>
      </c>
    </row>
    <row r="224" ht="18.75" customHeight="1" s="769">
      <c r="B224" s="491" t="n"/>
      <c r="C224" s="495" t="inlineStr">
        <is>
          <t>Ачимовские отл. 4 уч.</t>
        </is>
      </c>
      <c r="D224" s="528" t="n"/>
      <c r="E224" s="528" t="n"/>
      <c r="F224" s="529" t="n"/>
      <c r="G224" s="530" t="inlineStr">
        <is>
          <t>8_100330641</t>
        </is>
      </c>
      <c r="H224" s="530" t="n"/>
      <c r="I224" s="521" t="inlineStr">
        <is>
          <t xml:space="preserve"> тыс. т.</t>
        </is>
      </c>
    </row>
    <row r="225" ht="18.75" customHeight="1" s="769">
      <c r="B225" s="491" t="n"/>
      <c r="C225" s="495" t="inlineStr">
        <is>
          <t>Ачимовские отл. 5 уч.</t>
        </is>
      </c>
      <c r="D225" s="528" t="n"/>
      <c r="E225" s="528" t="n"/>
      <c r="F225" s="529" t="n"/>
      <c r="G225" s="530" t="inlineStr">
        <is>
          <t>8_100330642</t>
        </is>
      </c>
      <c r="H225" s="530" t="n"/>
      <c r="I225" s="521" t="inlineStr">
        <is>
          <t xml:space="preserve"> тыс. т.</t>
        </is>
      </c>
    </row>
    <row r="226" ht="18.75" customHeight="1" s="769">
      <c r="B226" s="491" t="inlineStr">
        <is>
          <t>2.1.1.4</t>
        </is>
      </c>
      <c r="C226" s="494" t="inlineStr">
        <is>
          <t>АО "Сибнефтегаз"</t>
        </is>
      </c>
      <c r="D226" s="528" t="n"/>
      <c r="E226" s="528" t="n"/>
      <c r="F226" s="529" t="n"/>
      <c r="G226" s="530" t="inlineStr">
        <is>
          <t>4_100331811</t>
        </is>
      </c>
      <c r="H226" s="530" t="n"/>
      <c r="I226" s="521" t="inlineStr">
        <is>
          <t xml:space="preserve"> тыс. т.</t>
        </is>
      </c>
    </row>
    <row r="227" ht="18.75" customHeight="1" s="769">
      <c r="B227" s="491" t="n"/>
      <c r="C227" s="495" t="inlineStr">
        <is>
          <t>Береговое НГКМ</t>
        </is>
      </c>
      <c r="D227" s="528" t="n"/>
      <c r="E227" s="528" t="n"/>
      <c r="F227" s="529" t="n"/>
      <c r="G227" s="530" t="inlineStr">
        <is>
          <t>4_100331811</t>
        </is>
      </c>
      <c r="H227" s="530" t="n"/>
      <c r="I227" s="521" t="inlineStr">
        <is>
          <t xml:space="preserve"> тыс. т.</t>
        </is>
      </c>
    </row>
    <row r="228" ht="18.75" customHeight="1" s="769">
      <c r="B228" s="491" t="inlineStr">
        <is>
          <t>2.1.1.5</t>
        </is>
      </c>
      <c r="C228" s="494" t="inlineStr">
        <is>
          <t>ООО "Газпром добыча Ноябрьск"</t>
        </is>
      </c>
      <c r="D228" s="528" t="n"/>
      <c r="E228" s="528" t="n"/>
      <c r="F228" s="529" t="n"/>
      <c r="G228" s="530" t="inlineStr">
        <is>
          <t>10_100330719</t>
        </is>
      </c>
      <c r="H228" s="530" t="n"/>
      <c r="I228" s="521" t="inlineStr">
        <is>
          <t xml:space="preserve"> тыс. т.</t>
        </is>
      </c>
    </row>
    <row r="229" ht="18.75" customHeight="1" s="769">
      <c r="B229" s="491" t="n"/>
      <c r="C229" s="495" t="inlineStr">
        <is>
          <t>Западно-Таркосалинское НГКМ</t>
        </is>
      </c>
      <c r="D229" s="528" t="n"/>
      <c r="E229" s="528" t="n"/>
      <c r="F229" s="529" t="n"/>
      <c r="G229" s="530" t="inlineStr">
        <is>
          <t>10_100330719</t>
        </is>
      </c>
      <c r="H229" s="530" t="n"/>
      <c r="I229" s="521" t="inlineStr">
        <is>
          <t xml:space="preserve"> тыс. т.</t>
        </is>
      </c>
    </row>
    <row r="230" ht="18.75" customHeight="1" s="769">
      <c r="B230" s="491" t="n"/>
      <c r="C230" s="489" t="inlineStr">
        <is>
          <t>в т.ч. поставка на СЗСК</t>
        </is>
      </c>
      <c r="D230" s="528" t="n"/>
      <c r="E230" s="528" t="n"/>
      <c r="F230" s="529" t="n"/>
      <c r="G230" s="530" t="inlineStr">
        <is>
          <t>10_100330719</t>
        </is>
      </c>
      <c r="H230" s="530" t="n"/>
      <c r="I230" s="521" t="inlineStr">
        <is>
          <t xml:space="preserve"> тыс. т.</t>
        </is>
      </c>
    </row>
    <row r="231" ht="18.75" customHeight="1" s="769">
      <c r="B231" s="491" t="inlineStr">
        <is>
          <t>2.1.2</t>
        </is>
      </c>
      <c r="C231" s="493" t="inlineStr">
        <is>
          <t xml:space="preserve">ООО "ГАЗПРОМ ПЕРЕРАБОТКА" </t>
        </is>
      </c>
      <c r="D231" s="528" t="n"/>
      <c r="E231" s="528" t="n"/>
      <c r="F231" s="529" t="n"/>
      <c r="G231" s="530" t="inlineStr">
        <is>
          <t>4_100333682</t>
        </is>
      </c>
      <c r="H231" s="530" t="n"/>
      <c r="I231" s="521" t="inlineStr">
        <is>
          <t xml:space="preserve"> тыс. т.</t>
        </is>
      </c>
    </row>
    <row r="232" ht="48" customHeight="1" s="769">
      <c r="B232" s="778" t="inlineStr">
        <is>
          <t>2.2</t>
        </is>
      </c>
      <c r="C232" s="492" t="inlineStr">
        <is>
          <t>ПОСТАВКА НЕФТИ, ВСЕГО:</t>
        </is>
      </c>
      <c r="D232" s="528" t="n"/>
      <c r="E232" s="528" t="n"/>
      <c r="F232" s="529" t="n"/>
      <c r="G232" s="530" t="inlineStr">
        <is>
          <t>4_100331815+4_100331963+0-0-0-4_100331815+4_100333678+4_100335034</t>
        </is>
      </c>
      <c r="H232" s="530" t="n"/>
      <c r="I232" s="931" t="inlineStr">
        <is>
          <t xml:space="preserve"> тыс. т.</t>
        </is>
      </c>
    </row>
    <row r="233" ht="24" customHeight="1" s="769">
      <c r="B233" s="778" t="inlineStr">
        <is>
          <t>2.2.1</t>
        </is>
      </c>
      <c r="C233" s="493" t="inlineStr">
        <is>
          <t>ПАО "ГАЗПРОМ":</t>
        </is>
      </c>
      <c r="D233" s="528" t="n"/>
      <c r="E233" s="528" t="n"/>
      <c r="F233" s="529" t="n"/>
      <c r="G233" s="530" t="inlineStr">
        <is>
          <t>4_100331815+4_100331963+0-0-0-4_100331815</t>
        </is>
      </c>
      <c r="H233" s="530" t="n"/>
      <c r="I233" s="931" t="inlineStr">
        <is>
          <t xml:space="preserve"> тыс. т.</t>
        </is>
      </c>
    </row>
    <row r="234" ht="24" customHeight="1" s="769">
      <c r="B234" s="778" t="n"/>
      <c r="C234" s="494" t="inlineStr">
        <is>
          <t>ООО "Газпром добыча Уренгой"</t>
        </is>
      </c>
      <c r="D234" s="528" t="n"/>
      <c r="E234" s="528" t="n"/>
      <c r="F234" s="529" t="n"/>
      <c r="G234" s="530" t="inlineStr">
        <is>
          <t>4_100331815+4_100331963+0-0-0-4_100331815</t>
        </is>
      </c>
      <c r="H234" s="530" t="n"/>
      <c r="I234" s="931" t="inlineStr">
        <is>
          <t xml:space="preserve"> тыс. т.</t>
        </is>
      </c>
    </row>
    <row r="235" ht="24" customHeight="1" s="769">
      <c r="B235" s="778" t="n"/>
      <c r="C235" s="496" t="inlineStr">
        <is>
          <t>Уренгойское НГКМ</t>
        </is>
      </c>
      <c r="D235" s="528" t="n"/>
      <c r="E235" s="528" t="n"/>
      <c r="F235" s="529" t="n"/>
      <c r="G235" s="530" t="inlineStr">
        <is>
          <t>4_100331815+4_100331963+0-0-0-4_100331815</t>
        </is>
      </c>
      <c r="H235" s="530" t="n"/>
      <c r="I235" s="931" t="inlineStr">
        <is>
          <t xml:space="preserve"> тыс. т.</t>
        </is>
      </c>
    </row>
    <row r="236" ht="18.75" customHeight="1" s="769">
      <c r="B236" s="778" t="n"/>
      <c r="C236" s="489" t="inlineStr">
        <is>
          <t>в т.ч. поставка на СЗСК</t>
        </is>
      </c>
      <c r="D236" s="528" t="n"/>
      <c r="E236" s="528" t="n"/>
      <c r="F236" s="529" t="n"/>
      <c r="G236" s="530" t="inlineStr">
        <is>
          <t>4_100331815</t>
        </is>
      </c>
      <c r="H236" s="530" t="n"/>
      <c r="I236" s="931" t="inlineStr">
        <is>
          <t xml:space="preserve"> тыс. т.</t>
        </is>
      </c>
    </row>
    <row r="237" ht="24" customHeight="1" s="769">
      <c r="B237" s="778" t="n"/>
      <c r="C237" s="497" t="inlineStr">
        <is>
          <t>в т.ч нефть на УЗПКТ (НПС)</t>
        </is>
      </c>
      <c r="D237" s="528" t="n"/>
      <c r="E237" s="528" t="n"/>
      <c r="F237" s="529" t="n"/>
      <c r="G237" s="530" t="inlineStr">
        <is>
          <t>4_100331963+0-0-0-4_100331815</t>
        </is>
      </c>
      <c r="H237" s="530" t="n"/>
      <c r="I237" s="931" t="inlineStr">
        <is>
          <t xml:space="preserve"> тыс. т.</t>
        </is>
      </c>
    </row>
    <row r="238" ht="18.75" customHeight="1" s="769">
      <c r="B238" s="778" t="inlineStr">
        <is>
          <t>2.2.2</t>
        </is>
      </c>
      <c r="C238" s="493" t="inlineStr">
        <is>
          <t xml:space="preserve">ООО "ГАЗПРОМ ПЕРЕРАБОТКА" </t>
        </is>
      </c>
      <c r="D238" s="528" t="n"/>
      <c r="E238" s="528" t="n"/>
      <c r="F238" s="529" t="n"/>
      <c r="G238" s="530" t="inlineStr">
        <is>
          <t>4_100333678</t>
        </is>
      </c>
      <c r="H238" s="530" t="n"/>
      <c r="I238" s="931" t="inlineStr">
        <is>
          <t xml:space="preserve"> тыс. т.</t>
        </is>
      </c>
    </row>
    <row r="239" ht="18.75" customHeight="1" s="769">
      <c r="B239" s="778" t="inlineStr">
        <is>
          <t>2.2.3</t>
        </is>
      </c>
      <c r="C239" s="493" t="inlineStr">
        <is>
          <t>ООО "ГАЗПРОМ ДОБЫЧА УРЕНГОЙ"</t>
        </is>
      </c>
      <c r="D239" s="528" t="n"/>
      <c r="E239" s="528" t="n"/>
      <c r="F239" s="529" t="n"/>
      <c r="G239" s="530" t="inlineStr">
        <is>
          <t>4_100335034</t>
        </is>
      </c>
      <c r="H239" s="530" t="n"/>
      <c r="I239" s="931" t="inlineStr">
        <is>
          <t xml:space="preserve"> тыс. т.</t>
        </is>
      </c>
    </row>
    <row r="240" ht="18.75" customHeight="1" s="769">
      <c r="B240" s="778" t="n"/>
      <c r="C240" s="775" t="inlineStr">
        <is>
          <t>Справочно:</t>
        </is>
      </c>
      <c r="D240" s="528" t="n"/>
      <c r="E240" s="528" t="n"/>
      <c r="F240" s="529" t="n"/>
      <c r="G240" s="530" t="n"/>
      <c r="H240" s="530" t="n"/>
      <c r="I240" s="931" t="n"/>
    </row>
    <row r="241" ht="36" customHeight="1" s="769">
      <c r="B241" s="778" t="n"/>
      <c r="C241" s="493" t="inlineStr">
        <is>
          <t>Ачимовские отложения всего (без ДРОД)</t>
        </is>
      </c>
      <c r="D241" s="528" t="n"/>
      <c r="E241" s="528" t="n"/>
      <c r="F241" s="529" t="n"/>
      <c r="G241" s="530" t="inlineStr">
        <is>
          <t>8_100330639+8_100330640+8_100330641+8_100330642</t>
        </is>
      </c>
      <c r="H241" s="530" t="n"/>
      <c r="I241" s="931" t="inlineStr">
        <is>
          <t xml:space="preserve"> тыс. т.</t>
        </is>
      </c>
    </row>
    <row r="242" ht="18.75" customHeight="1" s="769">
      <c r="B242" s="778" t="n"/>
      <c r="C242" s="496" t="inlineStr">
        <is>
          <t xml:space="preserve"> в т.ч. на мощности мобильных установок на процессинг</t>
        </is>
      </c>
      <c r="D242" s="528" t="n"/>
      <c r="E242" s="528" t="n"/>
      <c r="F242" s="529" t="n"/>
      <c r="G242" s="530" t="inlineStr">
        <is>
          <t>4_100335355</t>
        </is>
      </c>
      <c r="H242" s="530" t="n"/>
      <c r="I242" s="931" t="inlineStr">
        <is>
          <t xml:space="preserve"> тыс. т.</t>
        </is>
      </c>
    </row>
    <row r="243" ht="120" customHeight="1" s="769">
      <c r="B243" s="491" t="inlineStr">
        <is>
          <t>2.3</t>
        </is>
      </c>
      <c r="C243" s="514" t="inlineStr">
        <is>
          <t>ПЕРЕРАБОТКА УГЛЕВОДОРОДНОГО СЫРЬЯ ПАО "ГАЗПРОМ":</t>
        </is>
      </c>
      <c r="D243" s="528" t="n"/>
      <c r="E243" s="528" t="n"/>
      <c r="F243" s="529" t="n"/>
      <c r="G243" s="530" t="inlineStr">
        <is>
          <t>4_100331802+4_100331803-4_100331822+4_100331823+4_100331805-0+0+0+0+8_100330638-4_100335353+0+8_100330639+8_100330640+0+0+0+0+8_100330641+8_100330642+4_100331811+10_100330719+4_100331815+4_100331963+0-0-0-4_100331815</t>
        </is>
      </c>
      <c r="H243" s="530" t="n"/>
      <c r="I243" s="521" t="inlineStr">
        <is>
          <t xml:space="preserve"> тыс. т.</t>
        </is>
      </c>
    </row>
    <row r="244" ht="108" customHeight="1" s="769">
      <c r="B244" s="778" t="inlineStr">
        <is>
          <t>2.3.1</t>
        </is>
      </c>
      <c r="C244" s="775" t="inlineStr">
        <is>
          <t>ПЕРЕРАБОТКА НЕСТАБИЛЬНОГО ГАЗОВОГО КОНДЕНСАТА, 
ПАО "ГАЗПРОМ" ВСЕГО:</t>
        </is>
      </c>
      <c r="D244" s="528" t="n"/>
      <c r="E244" s="528" t="n"/>
      <c r="F244" s="529" t="n"/>
      <c r="G244" s="530" t="inlineStr">
        <is>
          <t>4_100331802+4_100331803-4_100331822+4_100331823+4_100331805-0+0+0+0+8_100330638-4_100335353+0+8_100330639+8_100330640+0+0+0+0+8_100330641+8_100330642+4_100331811+10_100330719</t>
        </is>
      </c>
      <c r="H244" s="530" t="n"/>
      <c r="I244" s="521" t="inlineStr">
        <is>
          <t xml:space="preserve"> тыс. т.</t>
        </is>
      </c>
    </row>
    <row r="245" ht="24" customHeight="1" s="769">
      <c r="B245" s="778" t="inlineStr">
        <is>
          <t>2.3.1.1</t>
        </is>
      </c>
      <c r="C245" s="494" t="inlineStr">
        <is>
          <t>ООО "Газпром добыча Ямбург"</t>
        </is>
      </c>
      <c r="D245" s="528" t="n"/>
      <c r="E245" s="528" t="n"/>
      <c r="F245" s="529" t="n"/>
      <c r="G245" s="530" t="inlineStr">
        <is>
          <t>4_100331802+4_100331803-4_100331822+4_100331823</t>
        </is>
      </c>
      <c r="H245" s="530" t="n"/>
      <c r="I245" s="521" t="inlineStr">
        <is>
          <t xml:space="preserve"> тыс. т.</t>
        </is>
      </c>
    </row>
    <row r="246" ht="18.75" customHeight="1" s="769">
      <c r="B246" s="778" t="n"/>
      <c r="C246" s="495" t="inlineStr">
        <is>
          <t xml:space="preserve">Заполярное НГКМ </t>
        </is>
      </c>
      <c r="D246" s="528" t="n"/>
      <c r="E246" s="528" t="n"/>
      <c r="F246" s="529" t="n"/>
      <c r="G246" s="530" t="inlineStr">
        <is>
          <t>4_100331802</t>
        </is>
      </c>
      <c r="H246" s="530" t="n"/>
      <c r="I246" s="521" t="inlineStr">
        <is>
          <t xml:space="preserve"> тыс. т.</t>
        </is>
      </c>
    </row>
    <row r="247" ht="24" customHeight="1" s="769">
      <c r="B247" s="778" t="n"/>
      <c r="C247" s="496" t="inlineStr">
        <is>
          <t>Ямбургское НГКМ</t>
        </is>
      </c>
      <c r="D247" s="528" t="n"/>
      <c r="E247" s="528" t="n"/>
      <c r="F247" s="529" t="n"/>
      <c r="G247" s="530" t="inlineStr">
        <is>
          <t>4_100331803-4_100331822+4_100331823</t>
        </is>
      </c>
      <c r="H247" s="530" t="n"/>
      <c r="I247" s="521" t="inlineStr">
        <is>
          <t xml:space="preserve"> тыс. т.</t>
        </is>
      </c>
    </row>
    <row r="248" ht="48" customHeight="1" s="769">
      <c r="B248" s="778" t="inlineStr">
        <is>
          <t>2.3.1.2</t>
        </is>
      </c>
      <c r="C248" s="494" t="inlineStr">
        <is>
          <t>ООО "Газпром добыча Уренгой"</t>
        </is>
      </c>
      <c r="D248" s="528" t="n"/>
      <c r="E248" s="528" t="n"/>
      <c r="F248" s="529" t="n"/>
      <c r="G248" s="530" t="inlineStr">
        <is>
          <t>4_100331805-0+0+0+0+8_100330638-4_100335353+0+8_100330639+8_100330640+0+0+0+0</t>
        </is>
      </c>
      <c r="H248" s="530" t="n"/>
      <c r="I248" s="521" t="inlineStr">
        <is>
          <t xml:space="preserve"> тыс. т.</t>
        </is>
      </c>
    </row>
    <row r="249" ht="18.75" customHeight="1" s="769">
      <c r="B249" s="778" t="n"/>
      <c r="C249" s="495" t="inlineStr">
        <is>
          <t>Уренгойское НГКМ</t>
        </is>
      </c>
      <c r="D249" s="528" t="n"/>
      <c r="E249" s="528" t="n"/>
      <c r="F249" s="529" t="n"/>
      <c r="G249" s="530" t="inlineStr">
        <is>
          <t>4_100331805-0+0</t>
        </is>
      </c>
      <c r="H249" s="530" t="n"/>
      <c r="I249" s="521" t="inlineStr">
        <is>
          <t xml:space="preserve"> тыс. т.</t>
        </is>
      </c>
    </row>
    <row r="250" ht="18.75" customHeight="1" s="769">
      <c r="B250" s="778" t="n"/>
      <c r="C250" s="496" t="inlineStr">
        <is>
          <t>Уренгойское НГКМ фаза 3 (ДРОД)</t>
        </is>
      </c>
      <c r="D250" s="528" t="n"/>
      <c r="E250" s="528" t="n"/>
      <c r="F250" s="529" t="n"/>
      <c r="G250" s="530" t="inlineStr">
        <is>
          <t>0+0</t>
        </is>
      </c>
      <c r="H250" s="530" t="n"/>
      <c r="I250" s="931" t="inlineStr">
        <is>
          <t xml:space="preserve"> тыс. т.</t>
        </is>
      </c>
    </row>
    <row r="251" ht="18.75" customHeight="1" s="769">
      <c r="B251" s="778" t="n"/>
      <c r="C251" s="495" t="inlineStr">
        <is>
          <t>Ен-Яхинское НГКМ</t>
        </is>
      </c>
      <c r="D251" s="528" t="n"/>
      <c r="E251" s="528" t="n"/>
      <c r="F251" s="529" t="n"/>
      <c r="G251" s="530" t="inlineStr">
        <is>
          <t>8_100330638-4_100335353</t>
        </is>
      </c>
      <c r="H251" s="530" t="n"/>
      <c r="I251" s="521" t="inlineStr">
        <is>
          <t xml:space="preserve"> тыс. т.</t>
        </is>
      </c>
    </row>
    <row r="252" ht="18.75" customHeight="1" s="769">
      <c r="B252" s="778" t="n"/>
      <c r="C252" s="496" t="inlineStr">
        <is>
          <t>Ен-Яхинское НГКМ (ДРОД)</t>
        </is>
      </c>
      <c r="D252" s="528" t="n"/>
      <c r="E252" s="528" t="n"/>
      <c r="F252" s="529" t="n"/>
      <c r="G252" s="530" t="n">
        <v>0</v>
      </c>
      <c r="H252" s="530" t="n"/>
      <c r="I252" s="521" t="inlineStr">
        <is>
          <t xml:space="preserve"> тыс. т.</t>
        </is>
      </c>
    </row>
    <row r="253" ht="18.75" customHeight="1" s="769">
      <c r="B253" s="778" t="n"/>
      <c r="C253" s="495" t="inlineStr">
        <is>
          <t>Ачимовские отл. 1 уч.</t>
        </is>
      </c>
      <c r="D253" s="528" t="n"/>
      <c r="E253" s="528" t="n"/>
      <c r="F253" s="529" t="n"/>
      <c r="G253" s="530" t="inlineStr">
        <is>
          <t>8_100330639</t>
        </is>
      </c>
      <c r="H253" s="530" t="n"/>
      <c r="I253" s="521" t="inlineStr">
        <is>
          <t xml:space="preserve"> тыс. т.</t>
        </is>
      </c>
    </row>
    <row r="254" ht="18.75" customHeight="1" s="769">
      <c r="B254" s="778" t="n"/>
      <c r="C254" s="496" t="inlineStr">
        <is>
          <t>Ачимовские отл. 2 уч.</t>
        </is>
      </c>
      <c r="D254" s="528" t="n"/>
      <c r="E254" s="528" t="n"/>
      <c r="F254" s="529" t="n"/>
      <c r="G254" s="530" t="inlineStr">
        <is>
          <t>8_100330640</t>
        </is>
      </c>
      <c r="H254" s="530" t="n"/>
      <c r="I254" s="521" t="inlineStr">
        <is>
          <t xml:space="preserve"> тыс. т.</t>
        </is>
      </c>
    </row>
    <row r="255" ht="18.75" customHeight="1" s="769">
      <c r="B255" s="778" t="n"/>
      <c r="C255" s="495" t="inlineStr">
        <is>
          <t>Ачимовские отл. 3 уч. (ДРОД)</t>
        </is>
      </c>
      <c r="D255" s="528" t="n"/>
      <c r="E255" s="528" t="n"/>
      <c r="F255" s="529" t="n"/>
      <c r="G255" s="530" t="n">
        <v>0</v>
      </c>
      <c r="H255" s="530" t="n"/>
      <c r="I255" s="521" t="inlineStr">
        <is>
          <t xml:space="preserve"> тыс. т.</t>
        </is>
      </c>
    </row>
    <row r="256" ht="18.75" customHeight="1" s="769">
      <c r="B256" s="778" t="n"/>
      <c r="C256" s="496" t="inlineStr">
        <is>
          <t>Песцовое НГКМ (ДРОД)</t>
        </is>
      </c>
      <c r="D256" s="528" t="n"/>
      <c r="E256" s="528" t="n"/>
      <c r="F256" s="529" t="n"/>
      <c r="G256" s="530" t="inlineStr">
        <is>
          <t>0+0</t>
        </is>
      </c>
      <c r="H256" s="530" t="n"/>
      <c r="I256" s="521" t="inlineStr">
        <is>
          <t xml:space="preserve"> тыс. т.</t>
        </is>
      </c>
    </row>
    <row r="257" ht="18.75" customHeight="1" s="769">
      <c r="B257" s="778" t="n"/>
      <c r="C257" s="495" t="inlineStr">
        <is>
          <t>Песцовое НГКМ (ачим) (ДРОД)</t>
        </is>
      </c>
      <c r="D257" s="528" t="n"/>
      <c r="E257" s="528" t="n"/>
      <c r="F257" s="529" t="n"/>
      <c r="G257" s="530" t="n">
        <v>0</v>
      </c>
      <c r="H257" s="530" t="n"/>
      <c r="I257" s="521" t="inlineStr">
        <is>
          <t xml:space="preserve"> тыс. т.</t>
        </is>
      </c>
    </row>
    <row r="258" ht="18.75" customHeight="1" s="769">
      <c r="B258" s="778" t="inlineStr">
        <is>
          <t>2.3.1.3</t>
        </is>
      </c>
      <c r="C258" s="494" t="inlineStr">
        <is>
          <t>АО "Ачим сбыт"</t>
        </is>
      </c>
      <c r="D258" s="528" t="n"/>
      <c r="E258" s="528" t="n"/>
      <c r="F258" s="529" t="n"/>
      <c r="G258" s="530" t="inlineStr">
        <is>
          <t>8_100330641+8_100330642</t>
        </is>
      </c>
      <c r="H258" s="530" t="n"/>
      <c r="I258" s="521" t="inlineStr">
        <is>
          <t xml:space="preserve"> тыс. т.</t>
        </is>
      </c>
    </row>
    <row r="259" ht="18.75" customHeight="1" s="769">
      <c r="B259" s="778" t="n"/>
      <c r="C259" s="495" t="inlineStr">
        <is>
          <t>Ачимовские отл. 4 уч.</t>
        </is>
      </c>
      <c r="D259" s="528" t="n"/>
      <c r="E259" s="528" t="n"/>
      <c r="F259" s="529" t="n"/>
      <c r="G259" s="530" t="inlineStr">
        <is>
          <t>8_100330641</t>
        </is>
      </c>
      <c r="H259" s="530" t="n"/>
      <c r="I259" s="521" t="inlineStr">
        <is>
          <t xml:space="preserve"> тыс. т.</t>
        </is>
      </c>
    </row>
    <row r="260" ht="18.75" customHeight="1" s="769">
      <c r="B260" s="778" t="n"/>
      <c r="C260" s="495" t="inlineStr">
        <is>
          <t>Ачимовские отл. 5 уч.</t>
        </is>
      </c>
      <c r="D260" s="528" t="n"/>
      <c r="E260" s="528" t="n"/>
      <c r="F260" s="529" t="n"/>
      <c r="G260" s="530" t="inlineStr">
        <is>
          <t>8_100330642</t>
        </is>
      </c>
      <c r="H260" s="530" t="n"/>
      <c r="I260" s="521" t="inlineStr">
        <is>
          <t xml:space="preserve"> тыс. т.</t>
        </is>
      </c>
    </row>
    <row r="261" ht="18.75" customHeight="1" s="769">
      <c r="B261" s="778" t="inlineStr">
        <is>
          <t>2.3.1.4</t>
        </is>
      </c>
      <c r="C261" s="494" t="inlineStr">
        <is>
          <t>АО "Сибнефтегаз"</t>
        </is>
      </c>
      <c r="D261" s="528" t="n"/>
      <c r="E261" s="528" t="n"/>
      <c r="F261" s="529" t="n"/>
      <c r="G261" s="530" t="inlineStr">
        <is>
          <t>4_100331811</t>
        </is>
      </c>
      <c r="H261" s="530" t="n"/>
      <c r="I261" s="521" t="inlineStr">
        <is>
          <t xml:space="preserve"> тыс. т.</t>
        </is>
      </c>
    </row>
    <row r="262" ht="18.75" customHeight="1" s="769">
      <c r="B262" s="778" t="n"/>
      <c r="C262" s="495" t="inlineStr">
        <is>
          <t>Береговое НГКМ</t>
        </is>
      </c>
      <c r="D262" s="528" t="n"/>
      <c r="E262" s="528" t="n"/>
      <c r="F262" s="529" t="n"/>
      <c r="G262" s="530" t="inlineStr">
        <is>
          <t>4_100331811</t>
        </is>
      </c>
      <c r="H262" s="530" t="n"/>
      <c r="I262" s="521" t="inlineStr">
        <is>
          <t xml:space="preserve"> тыс. т.</t>
        </is>
      </c>
    </row>
    <row r="263" ht="18.75" customHeight="1" s="769">
      <c r="B263" s="778" t="inlineStr">
        <is>
          <t>2.3.1.5</t>
        </is>
      </c>
      <c r="C263" s="494" t="inlineStr">
        <is>
          <t>ООО "Газпром добыча Ноябрьск"</t>
        </is>
      </c>
      <c r="D263" s="528" t="n"/>
      <c r="E263" s="528" t="n"/>
      <c r="F263" s="529" t="n"/>
      <c r="G263" s="530" t="inlineStr">
        <is>
          <t>10_100330719</t>
        </is>
      </c>
      <c r="H263" s="530" t="n"/>
      <c r="I263" s="521" t="inlineStr">
        <is>
          <t xml:space="preserve"> тыс. т.</t>
        </is>
      </c>
    </row>
    <row r="264" ht="18.75" customHeight="1" s="769">
      <c r="B264" s="778" t="n"/>
      <c r="C264" s="495" t="inlineStr">
        <is>
          <t>Западно-Таркосалинское НГКМ</t>
        </is>
      </c>
      <c r="D264" s="528" t="n"/>
      <c r="E264" s="528" t="n"/>
      <c r="F264" s="529" t="n"/>
      <c r="G264" s="530" t="inlineStr">
        <is>
          <t>10_100330719</t>
        </is>
      </c>
      <c r="H264" s="530" t="n"/>
      <c r="I264" s="521" t="inlineStr">
        <is>
          <t xml:space="preserve"> тыс. т.</t>
        </is>
      </c>
    </row>
    <row r="265" ht="24" customHeight="1" s="769">
      <c r="B265" s="778" t="inlineStr">
        <is>
          <t>2.3.2</t>
        </is>
      </c>
      <c r="C265" s="775" t="inlineStr">
        <is>
          <t>ПЕРЕРАБОТКА НЕФТИ, ПАО "Газпром"</t>
        </is>
      </c>
      <c r="D265" s="528" t="n"/>
      <c r="E265" s="528" t="n"/>
      <c r="F265" s="529" t="n"/>
      <c r="G265" s="530" t="inlineStr">
        <is>
          <t>4_100331815+4_100331963+0-0-0-4_100331815</t>
        </is>
      </c>
      <c r="H265" s="530" t="n"/>
      <c r="I265" s="521" t="inlineStr">
        <is>
          <t xml:space="preserve"> тыс. т.</t>
        </is>
      </c>
    </row>
    <row r="266" ht="18.75" customHeight="1" s="769">
      <c r="B266" s="778" t="inlineStr">
        <is>
          <t>2.4</t>
        </is>
      </c>
      <c r="C266" s="775" t="inlineStr">
        <is>
          <t>ПРИСАДКИ (ДОБАВКИ), ВСЕГО:</t>
        </is>
      </c>
      <c r="D266" s="528" t="n"/>
      <c r="E266" s="528" t="n"/>
      <c r="F266" s="529" t="n"/>
      <c r="G266" s="530" t="inlineStr">
        <is>
          <t>4_100331848+4_100331849</t>
        </is>
      </c>
      <c r="H266" s="530" t="n"/>
      <c r="I266" s="521" t="inlineStr">
        <is>
          <t xml:space="preserve"> тыс. т.</t>
        </is>
      </c>
    </row>
    <row r="267" ht="18.75" customHeight="1" s="769">
      <c r="B267" s="778" t="n"/>
      <c r="C267" s="774" t="inlineStr">
        <is>
          <t>УЗПКТ</t>
        </is>
      </c>
      <c r="D267" s="528" t="n"/>
      <c r="E267" s="528" t="n"/>
      <c r="F267" s="529" t="n"/>
      <c r="G267" s="530" t="inlineStr">
        <is>
          <t>4_100331848</t>
        </is>
      </c>
      <c r="H267" s="530" t="n"/>
      <c r="I267" s="521" t="inlineStr">
        <is>
          <t xml:space="preserve"> тыс. т.</t>
        </is>
      </c>
    </row>
    <row r="268" ht="18.75" customHeight="1" s="769">
      <c r="B268" s="778" t="n"/>
      <c r="C268" s="774" t="inlineStr">
        <is>
          <t>СЗСК</t>
        </is>
      </c>
      <c r="D268" s="528" t="n"/>
      <c r="E268" s="528" t="n"/>
      <c r="F268" s="529" t="n"/>
      <c r="G268" s="530" t="inlineStr">
        <is>
          <t>4_100331849</t>
        </is>
      </c>
      <c r="H268" s="530" t="n"/>
      <c r="I268" s="521" t="inlineStr">
        <is>
          <t xml:space="preserve"> тыс. т.</t>
        </is>
      </c>
    </row>
    <row r="269" ht="18.75" customHeight="1" s="769">
      <c r="B269" s="778" t="n"/>
      <c r="C269" s="495" t="inlineStr">
        <is>
          <t>в т.ч. МТБЭ</t>
        </is>
      </c>
      <c r="D269" s="528" t="n"/>
      <c r="E269" s="528" t="n"/>
      <c r="F269" s="529" t="n"/>
      <c r="G269" s="530" t="inlineStr">
        <is>
          <t>4_100335042</t>
        </is>
      </c>
      <c r="H269" s="530" t="n"/>
      <c r="I269" s="521" t="inlineStr">
        <is>
          <t xml:space="preserve"> тыс. т.</t>
        </is>
      </c>
    </row>
    <row r="270" ht="396" customHeight="1" s="769">
      <c r="B270" s="778" t="inlineStr">
        <is>
          <t>2.5</t>
        </is>
      </c>
      <c r="C270" s="775" t="inlineStr">
        <is>
          <t>ПОТЕРИ СЫРЬЯ ПРИ ПЕРЕРАБОТКЕ, ВСЕГО:</t>
        </is>
      </c>
      <c r="D270" s="528" t="n"/>
      <c r="E270" s="528" t="n"/>
      <c r="F270" s="529" t="n"/>
      <c r="G270" s="530" t="inlineStr">
        <is>
          <t>4_100331840+4_100331841+4_100331815+4_100331963+0-0-0-4_100331815+4_100331848-4_100331856+4_100331858+4_100331870+4_100331888+4_100332910+4_100335420+4_100331909+4_100331912+4_100331916+4_100331921+4_100335091+4_100335092+4_100335444/$1000+4_100331942+4_100331945+4_100335044+4_100331947+4_100331945+4_100335044+4_100331947+4_100335359+4_100335360-4_100331824+4_100331825+4_100331838+10_100330719+4_100335334+4_100335858+4_100335334+4_100331849-4_100331878+4_100332911+4_100332912+4_100332913+4_100331904+4_100331906+4_100331907+4_100331910+4_100331913+4_100331917+4_100331922+4_100331925+4_100335445/$1000+4_100331943+4_100331889+4_100335357-4_100335365+4_100335359+4_100335358-4_100335367+4_100335360</t>
        </is>
      </c>
      <c r="H270" s="530" t="n"/>
      <c r="I270" s="521" t="inlineStr">
        <is>
          <t xml:space="preserve"> тыс. т.</t>
        </is>
      </c>
    </row>
    <row r="271" ht="168" customHeight="1" s="769">
      <c r="B271" s="778" t="n"/>
      <c r="C271" s="774" t="inlineStr">
        <is>
          <t>УЗПКТ</t>
        </is>
      </c>
      <c r="D271" s="528" t="n"/>
      <c r="E271" s="528" t="n"/>
      <c r="F271" s="529" t="n"/>
      <c r="G271" s="530" t="inlineStr">
        <is>
          <t>4_100331840+4_100331841+4_100331815+4_100331963+0-0-0-4_100331815+4_100331848-4_100331856+4_100331858+4_100331870+4_100331888+4_100332910+4_100335420+4_100331909+4_100331912+4_100331916+4_100331921+4_100335091+4_100335092+4_100335444/$1000+4_100331942+4_100331945+4_100335044+4_100331947</t>
        </is>
      </c>
      <c r="H271" s="530" t="n"/>
      <c r="I271" s="521" t="inlineStr">
        <is>
          <t xml:space="preserve"> тыс. т.</t>
        </is>
      </c>
    </row>
    <row r="272" ht="192" customHeight="1" s="769">
      <c r="B272" s="778" t="n"/>
      <c r="C272" s="774" t="inlineStr">
        <is>
          <t>СЗСК</t>
        </is>
      </c>
      <c r="D272" s="528" t="n"/>
      <c r="E272" s="528" t="n"/>
      <c r="F272" s="529" t="n"/>
      <c r="G272" s="530" t="inlineStr">
        <is>
          <t>4_100331945+4_100335044+4_100331947+4_100335359+4_100335360-4_100331824+4_100331825+4_100331838+10_100330719+4_100335334+4_100335858+4_100335334+4_100331849-4_100331878+4_100332911+4_100332912+4_100332913+4_100331904+4_100331906+4_100331907+4_100331910+4_100331913+4_100331917+4_100331922+4_100331925+4_100335445/$1000+4_100331943+4_100331889</t>
        </is>
      </c>
      <c r="H272" s="530" t="n"/>
      <c r="I272" s="521" t="inlineStr">
        <is>
          <t xml:space="preserve"> тыс. т.</t>
        </is>
      </c>
    </row>
    <row r="273" ht="24" customHeight="1" s="769">
      <c r="B273" s="778" t="n"/>
      <c r="C273" s="786" t="inlineStr">
        <is>
          <t>На мощностях  ПАО "НОВАТЭК"</t>
        </is>
      </c>
      <c r="D273" s="528" t="n"/>
      <c r="E273" s="528" t="n"/>
      <c r="F273" s="529" t="n"/>
      <c r="G273" s="530" t="inlineStr">
        <is>
          <t>4_100335357-4_100335365+4_100335359</t>
        </is>
      </c>
      <c r="H273" s="530" t="n"/>
      <c r="I273" s="521" t="inlineStr">
        <is>
          <t xml:space="preserve"> тыс. т.</t>
        </is>
      </c>
    </row>
    <row r="274" ht="24" customHeight="1" s="769">
      <c r="B274" s="778" t="n"/>
      <c r="C274" s="786" t="inlineStr">
        <is>
          <t>На мощностях УДК(м)</t>
        </is>
      </c>
      <c r="D274" s="528" t="n"/>
      <c r="E274" s="528" t="n"/>
      <c r="F274" s="529" t="n"/>
      <c r="G274" s="530" t="inlineStr">
        <is>
          <t>4_100335358-4_100335367+4_100335360</t>
        </is>
      </c>
      <c r="H274" s="530" t="n"/>
      <c r="I274" s="521" t="inlineStr">
        <is>
          <t xml:space="preserve"> тыс. т.</t>
        </is>
      </c>
    </row>
    <row r="275" ht="240" customHeight="1" s="769">
      <c r="B275" s="491" t="inlineStr">
        <is>
          <t>2.6</t>
        </is>
      </c>
      <c r="C275" s="775" t="inlineStr">
        <is>
          <t>ПРОИЗВОДСТВО ПРОДУКЦИИ ПАО "ГАЗПРОМ", ВСЕГО:</t>
        </is>
      </c>
      <c r="D275" s="528" t="n"/>
      <c r="E275" s="528" t="n"/>
      <c r="F275" s="529" t="n"/>
      <c r="G275" s="530" t="inlineStr">
        <is>
          <t>4_100331856+4_100331858+4_100331870+4_100331888+4_100332910+4_100335420+4_100331909+4_100331912+4_100331916+4_100331921+4_100335091+4_100335092+4_100335444/$1000+4_100331942+4_100331945+4_100335044+4_100331947+4_100331878+4_100332911+4_100332912+4_100332913+4_100331904+4_100331906+4_100331907+4_100331910+4_100331913+4_100331917+4_100331922+4_100331925+4_100335445/$1000+4_100331943+4_100331889+4_100335365+4_100335359+4_100335367+4_100335360</t>
        </is>
      </c>
      <c r="H275" s="530" t="n"/>
      <c r="I275" s="521" t="inlineStr">
        <is>
          <t xml:space="preserve"> тыс. т.</t>
        </is>
      </c>
    </row>
    <row r="276" ht="120" customHeight="1" s="769">
      <c r="B276" s="491" t="n"/>
      <c r="C276" s="786" t="inlineStr">
        <is>
          <t>УЗПКТ</t>
        </is>
      </c>
      <c r="D276" s="528" t="n"/>
      <c r="E276" s="528" t="n"/>
      <c r="F276" s="529" t="n"/>
      <c r="G276" s="530" t="inlineStr">
        <is>
          <t>4_100331856+4_100331858+4_100331870+4_100331888+4_100332910+4_100335420+4_100331909+4_100331912+4_100331916+4_100331921+4_100335091+4_100335092+4_100335444/$1000+4_100331942+4_100331945+4_100335044+4_100331947</t>
        </is>
      </c>
      <c r="H276" s="530" t="n"/>
      <c r="I276" s="521" t="inlineStr">
        <is>
          <t xml:space="preserve"> тыс. т.</t>
        </is>
      </c>
    </row>
    <row r="277" ht="96" customHeight="1" s="769">
      <c r="B277" s="491" t="n"/>
      <c r="C277" s="786" t="inlineStr">
        <is>
          <t>СЗСК</t>
        </is>
      </c>
      <c r="D277" s="528" t="n"/>
      <c r="E277" s="528" t="n"/>
      <c r="F277" s="529" t="n"/>
      <c r="G277" s="530" t="inlineStr">
        <is>
          <t>4_100331878+4_100332911+4_100332912+4_100332913+4_100331904+4_100331906+4_100331907+4_100331910+4_100331913+4_100331917+4_100331922+4_100331925+4_100335445/$1000+4_100331943+4_100331889</t>
        </is>
      </c>
      <c r="H277" s="530" t="n"/>
      <c r="I277" s="931" t="inlineStr">
        <is>
          <t xml:space="preserve"> тыс. т.</t>
        </is>
      </c>
    </row>
    <row r="278" ht="18.75" customHeight="1" s="769">
      <c r="B278" s="491" t="n"/>
      <c r="C278" s="786" t="inlineStr">
        <is>
          <t>На мощностях  ПАО "НОВАТЭК"</t>
        </is>
      </c>
      <c r="D278" s="528" t="n"/>
      <c r="E278" s="528" t="n"/>
      <c r="F278" s="529" t="n"/>
      <c r="G278" s="530" t="inlineStr">
        <is>
          <t>4_100335365+4_100335359</t>
        </is>
      </c>
      <c r="H278" s="530" t="n"/>
      <c r="I278" s="931" t="inlineStr">
        <is>
          <t xml:space="preserve"> тыс. т.</t>
        </is>
      </c>
    </row>
    <row r="279" ht="18.75" customHeight="1" s="769">
      <c r="B279" s="491" t="n"/>
      <c r="C279" s="786" t="inlineStr">
        <is>
          <t>На мощностях УДК(м)</t>
        </is>
      </c>
      <c r="D279" s="528" t="n"/>
      <c r="E279" s="528" t="n"/>
      <c r="F279" s="529" t="n"/>
      <c r="G279" s="530" t="inlineStr">
        <is>
          <t>4_100335367+4_100335360</t>
        </is>
      </c>
      <c r="H279" s="530" t="n"/>
      <c r="I279" s="931" t="inlineStr">
        <is>
          <t xml:space="preserve"> тыс. т.</t>
        </is>
      </c>
    </row>
    <row r="280" ht="24" customHeight="1" s="769">
      <c r="B280" s="778" t="inlineStr">
        <is>
          <t>2.6.1</t>
        </is>
      </c>
      <c r="C280" s="779" t="inlineStr">
        <is>
          <t>ГАЗ ДЕЭТАНИЗАЦИИ, ВСЕГО:</t>
        </is>
      </c>
      <c r="D280" s="528" t="n"/>
      <c r="E280" s="528" t="n"/>
      <c r="F280" s="529" t="n"/>
      <c r="G280" s="530" t="inlineStr">
        <is>
          <t>4_100331856+4_100331858+4_100335367</t>
        </is>
      </c>
      <c r="H280" s="530" t="n"/>
      <c r="I280" s="869" t="inlineStr">
        <is>
          <t>тыс.т.</t>
        </is>
      </c>
    </row>
    <row r="281" ht="24" customHeight="1" s="769">
      <c r="B281" s="778" t="n"/>
      <c r="D281" s="528" t="n"/>
      <c r="E281" s="528" t="n"/>
      <c r="F281" s="529" t="n"/>
      <c r="G281" s="530" t="inlineStr">
        <is>
          <t>4_100331857+4_100331859+4_100335368</t>
        </is>
      </c>
      <c r="H281" s="530" t="n"/>
      <c r="I281" s="935" t="inlineStr">
        <is>
          <t>млн куб.м</t>
        </is>
      </c>
    </row>
    <row r="282" ht="18.75" customHeight="1" s="769">
      <c r="B282" s="778" t="n"/>
      <c r="C282" s="786" t="inlineStr">
        <is>
          <t>УЗПКТ в адрес ООО "Газпром добыча Уренгой"</t>
        </is>
      </c>
      <c r="D282" s="528" t="n"/>
      <c r="E282" s="528" t="n"/>
      <c r="F282" s="529" t="n"/>
      <c r="G282" s="530" t="inlineStr">
        <is>
          <t>4_100331856</t>
        </is>
      </c>
      <c r="H282" s="530" t="n"/>
      <c r="I282" s="869" t="inlineStr">
        <is>
          <t>тыс.т.</t>
        </is>
      </c>
    </row>
    <row r="283" ht="18.75" customHeight="1" s="769">
      <c r="B283" s="778" t="n"/>
      <c r="D283" s="528" t="n"/>
      <c r="E283" s="528" t="n"/>
      <c r="F283" s="529" t="n"/>
      <c r="G283" s="530" t="inlineStr">
        <is>
          <t>4_100331857</t>
        </is>
      </c>
      <c r="H283" s="530" t="n"/>
      <c r="I283" s="935" t="inlineStr">
        <is>
          <t>млн куб.м</t>
        </is>
      </c>
    </row>
    <row r="284" ht="18.75" customHeight="1" s="769">
      <c r="B284" s="778" t="n"/>
      <c r="C284" s="774" t="inlineStr">
        <is>
          <t>УЗПКТ на СТН ООО "Газпром переработка"</t>
        </is>
      </c>
      <c r="D284" s="528" t="n"/>
      <c r="E284" s="528" t="n"/>
      <c r="F284" s="529" t="n"/>
      <c r="G284" s="530" t="inlineStr">
        <is>
          <t>4_100331858</t>
        </is>
      </c>
      <c r="H284" s="530" t="n"/>
      <c r="I284" s="869" t="inlineStr">
        <is>
          <t>тыс.т.</t>
        </is>
      </c>
    </row>
    <row r="285" ht="18.75" customHeight="1" s="769">
      <c r="B285" s="778" t="n"/>
      <c r="D285" s="528" t="n"/>
      <c r="E285" s="528" t="n"/>
      <c r="F285" s="529" t="n"/>
      <c r="G285" s="530" t="inlineStr">
        <is>
          <t>4_100331859</t>
        </is>
      </c>
      <c r="H285" s="530" t="n"/>
      <c r="I285" s="935" t="inlineStr">
        <is>
          <t>млн куб.м</t>
        </is>
      </c>
    </row>
    <row r="286" ht="18.75" customHeight="1" s="769">
      <c r="B286" s="778" t="n"/>
      <c r="C286" s="774" t="inlineStr">
        <is>
          <t>УЗПКТ на подготовку на мощностях ГДУ,</t>
        </is>
      </c>
      <c r="D286" s="528" t="n"/>
      <c r="E286" s="528" t="n"/>
      <c r="F286" s="529" t="n"/>
      <c r="G286" s="530" t="inlineStr">
        <is>
          <t>4_100337118</t>
        </is>
      </c>
      <c r="H286" s="530" t="n"/>
      <c r="I286" s="869" t="inlineStr">
        <is>
          <t>тыс.т.</t>
        </is>
      </c>
    </row>
    <row r="287" ht="18.75" customHeight="1" s="769">
      <c r="B287" s="778" t="n"/>
      <c r="D287" s="528" t="n"/>
      <c r="E287" s="528" t="n"/>
      <c r="F287" s="529" t="n"/>
      <c r="G287" s="530" t="inlineStr">
        <is>
          <t>4_100337119</t>
        </is>
      </c>
      <c r="H287" s="530" t="n"/>
      <c r="I287" s="935" t="inlineStr">
        <is>
          <t>млн куб.м</t>
        </is>
      </c>
    </row>
    <row r="288" ht="18.75" customHeight="1" s="769">
      <c r="B288" s="778" t="n"/>
      <c r="C288" s="774" t="inlineStr">
        <is>
          <t>УЗПКТ на Новоуренгойский ГХК</t>
        </is>
      </c>
      <c r="D288" s="528" t="n"/>
      <c r="E288" s="528" t="n"/>
      <c r="F288" s="529" t="n"/>
      <c r="G288" s="530" t="inlineStr">
        <is>
          <t>4_100337120</t>
        </is>
      </c>
      <c r="H288" s="530" t="n"/>
      <c r="I288" s="869" t="inlineStr">
        <is>
          <t>тыс.т.</t>
        </is>
      </c>
    </row>
    <row r="289" ht="18.75" customHeight="1" s="769">
      <c r="B289" s="778" t="n"/>
      <c r="D289" s="528" t="n"/>
      <c r="E289" s="528" t="n"/>
      <c r="F289" s="529" t="n"/>
      <c r="G289" s="530" t="inlineStr">
        <is>
          <t>4_100337121</t>
        </is>
      </c>
      <c r="H289" s="530" t="n"/>
      <c r="I289" s="935" t="inlineStr">
        <is>
          <t>млн куб.м</t>
        </is>
      </c>
    </row>
    <row r="290" ht="18.75" customHeight="1" s="769">
      <c r="B290" s="778" t="n"/>
      <c r="C290" s="774" t="inlineStr">
        <is>
          <t>На мощностях УДК(м) на СТН</t>
        </is>
      </c>
      <c r="D290" s="528" t="n"/>
      <c r="E290" s="528" t="n"/>
      <c r="F290" s="529" t="n"/>
      <c r="G290" s="530" t="inlineStr">
        <is>
          <t>4_100335367</t>
        </is>
      </c>
      <c r="H290" s="530" t="n"/>
      <c r="I290" s="869" t="inlineStr">
        <is>
          <t>тыс.т.</t>
        </is>
      </c>
    </row>
    <row r="291" ht="18.75" customHeight="1" s="769">
      <c r="B291" s="778" t="n"/>
      <c r="D291" s="528" t="n"/>
      <c r="E291" s="528" t="n"/>
      <c r="F291" s="529" t="n"/>
      <c r="G291" s="530" t="inlineStr">
        <is>
          <t>4_100335368</t>
        </is>
      </c>
      <c r="H291" s="530" t="n"/>
      <c r="I291" s="935" t="inlineStr">
        <is>
          <t>млн куб.м</t>
        </is>
      </c>
    </row>
    <row r="292" ht="18.75" customHeight="1" s="769">
      <c r="B292" s="778" t="n"/>
      <c r="C292" s="775" t="inlineStr">
        <is>
          <t>Справочно:</t>
        </is>
      </c>
      <c r="D292" s="528" t="n"/>
      <c r="E292" s="528" t="n"/>
      <c r="F292" s="529" t="n"/>
      <c r="G292" s="530" t="n"/>
      <c r="H292" s="530" t="n"/>
      <c r="I292" s="931" t="n"/>
    </row>
    <row r="293" ht="18.75" customHeight="1" s="769">
      <c r="B293" s="778" t="n"/>
      <c r="C293" s="775" t="inlineStr">
        <is>
          <t>Газ деэтанизации валовая выработка, всего:</t>
        </is>
      </c>
      <c r="D293" s="528" t="n"/>
      <c r="E293" s="528" t="n"/>
      <c r="F293" s="529" t="n"/>
      <c r="G293" s="530" t="inlineStr">
        <is>
          <t>4_100331860+4_100335879</t>
        </is>
      </c>
      <c r="H293" s="530" t="n"/>
      <c r="I293" s="869" t="inlineStr">
        <is>
          <t>тыс.т.</t>
        </is>
      </c>
    </row>
    <row r="294" ht="18.75" customHeight="1" s="769">
      <c r="B294" s="778" t="n"/>
      <c r="D294" s="528" t="n"/>
      <c r="E294" s="528" t="n"/>
      <c r="F294" s="529" t="n"/>
      <c r="G294" s="530" t="inlineStr">
        <is>
          <t>4_100331861+4_100335880</t>
        </is>
      </c>
      <c r="H294" s="530" t="n"/>
      <c r="I294" s="935" t="inlineStr">
        <is>
          <t>млн куб.м</t>
        </is>
      </c>
    </row>
    <row r="295" ht="18.75" customHeight="1" s="769">
      <c r="B295" s="778" t="n"/>
      <c r="C295" s="774" t="inlineStr">
        <is>
          <t>УЗПКТ</t>
        </is>
      </c>
      <c r="D295" s="528" t="n"/>
      <c r="E295" s="528" t="n"/>
      <c r="F295" s="529" t="n"/>
      <c r="G295" s="530" t="inlineStr">
        <is>
          <t>4_100331860</t>
        </is>
      </c>
      <c r="H295" s="530" t="n"/>
      <c r="I295" s="869" t="inlineStr">
        <is>
          <t>тыс.т.</t>
        </is>
      </c>
    </row>
    <row r="296" ht="18.75" customHeight="1" s="769">
      <c r="B296" s="778" t="n"/>
      <c r="D296" s="528" t="n"/>
      <c r="E296" s="528" t="n"/>
      <c r="F296" s="529" t="n"/>
      <c r="G296" s="530" t="inlineStr">
        <is>
          <t>4_100331861</t>
        </is>
      </c>
      <c r="H296" s="530" t="n"/>
      <c r="I296" s="935" t="inlineStr">
        <is>
          <t>млн куб.м</t>
        </is>
      </c>
    </row>
    <row r="297" ht="18.75" customHeight="1" s="769">
      <c r="B297" s="778" t="n"/>
      <c r="C297" s="774" t="inlineStr">
        <is>
          <t>На мощностях УДК(м)</t>
        </is>
      </c>
      <c r="D297" s="528" t="n"/>
      <c r="E297" s="528" t="n"/>
      <c r="F297" s="529" t="n"/>
      <c r="G297" s="530" t="inlineStr">
        <is>
          <t>4_100335879</t>
        </is>
      </c>
      <c r="H297" s="530" t="n"/>
      <c r="I297" s="869" t="inlineStr">
        <is>
          <t>тыс.т.</t>
        </is>
      </c>
    </row>
    <row r="298" ht="18.75" customHeight="1" s="769">
      <c r="B298" s="778" t="n"/>
      <c r="D298" s="528" t="n"/>
      <c r="E298" s="528" t="n"/>
      <c r="F298" s="529" t="n"/>
      <c r="G298" s="530" t="inlineStr">
        <is>
          <t>4_100335880</t>
        </is>
      </c>
      <c r="H298" s="530" t="n"/>
      <c r="I298" s="935" t="inlineStr">
        <is>
          <t>млн куб.м</t>
        </is>
      </c>
    </row>
    <row r="299" ht="18.75" customHeight="1" s="769">
      <c r="B299" s="778" t="n"/>
      <c r="C299" s="775" t="inlineStr">
        <is>
          <t>Газ деэтанизации на переработку, всего:</t>
        </is>
      </c>
      <c r="D299" s="528" t="n"/>
      <c r="E299" s="528" t="n"/>
      <c r="F299" s="529" t="n"/>
      <c r="G299" s="530" t="inlineStr">
        <is>
          <t>4_100335881</t>
        </is>
      </c>
      <c r="H299" s="530" t="n"/>
      <c r="I299" s="869" t="inlineStr">
        <is>
          <t>тыс.т.</t>
        </is>
      </c>
    </row>
    <row r="300" ht="18.75" customHeight="1" s="769">
      <c r="B300" s="778" t="n"/>
      <c r="D300" s="528" t="n"/>
      <c r="E300" s="528" t="n"/>
      <c r="F300" s="529" t="n"/>
      <c r="G300" s="530" t="inlineStr">
        <is>
          <t>4_100335882</t>
        </is>
      </c>
      <c r="H300" s="530" t="n"/>
      <c r="I300" s="935" t="inlineStr">
        <is>
          <t>млн куб.м</t>
        </is>
      </c>
    </row>
    <row r="301" ht="18.75" customHeight="1" s="769">
      <c r="B301" s="778" t="n"/>
      <c r="C301" s="774" t="inlineStr">
        <is>
          <t>УЗПКТ</t>
        </is>
      </c>
      <c r="D301" s="528" t="n"/>
      <c r="E301" s="528" t="n"/>
      <c r="F301" s="529" t="n"/>
      <c r="G301" s="530" t="inlineStr">
        <is>
          <t>4_100335881</t>
        </is>
      </c>
      <c r="H301" s="530" t="n"/>
      <c r="I301" s="869" t="inlineStr">
        <is>
          <t>тыс.т.</t>
        </is>
      </c>
    </row>
    <row r="302" ht="18.75" customHeight="1" s="769">
      <c r="B302" s="778" t="n"/>
      <c r="D302" s="528" t="n"/>
      <c r="E302" s="528" t="n"/>
      <c r="F302" s="529" t="n"/>
      <c r="G302" s="530" t="inlineStr">
        <is>
          <t>4_100335882</t>
        </is>
      </c>
      <c r="H302" s="530" t="n"/>
      <c r="I302" s="935" t="inlineStr">
        <is>
          <t>млн куб.м</t>
        </is>
      </c>
    </row>
    <row r="303" ht="18.75" customHeight="1" s="769">
      <c r="B303" s="778" t="inlineStr">
        <is>
          <t>2.6.2</t>
        </is>
      </c>
      <c r="C303" s="782" t="inlineStr">
        <is>
          <t>ГАЗ ГОРЮЧИЙ ПРИРОДНЫЙ, ВСЕГО:</t>
        </is>
      </c>
      <c r="D303" s="528" t="n"/>
      <c r="E303" s="528" t="n"/>
      <c r="F303" s="529" t="n"/>
      <c r="G303" s="530" t="inlineStr">
        <is>
          <t>4_100331870+4_100335365</t>
        </is>
      </c>
      <c r="H303" s="530" t="n"/>
      <c r="I303" s="869" t="inlineStr">
        <is>
          <t>тыс.т.</t>
        </is>
      </c>
    </row>
    <row r="304" ht="18.75" customHeight="1" s="769">
      <c r="B304" s="778" t="n"/>
      <c r="D304" s="528" t="n"/>
      <c r="E304" s="528" t="n"/>
      <c r="F304" s="529" t="n"/>
      <c r="G304" s="530" t="inlineStr">
        <is>
          <t>4_100331871+4_100335366</t>
        </is>
      </c>
      <c r="H304" s="530" t="n"/>
      <c r="I304" s="935" t="inlineStr">
        <is>
          <t>млн куб.м</t>
        </is>
      </c>
    </row>
    <row r="305" ht="18.75" customHeight="1" s="769">
      <c r="B305" s="778" t="n"/>
      <c r="C305" s="774" t="inlineStr">
        <is>
          <t>УЗПКТ</t>
        </is>
      </c>
      <c r="D305" s="528" t="n"/>
      <c r="E305" s="528" t="n"/>
      <c r="F305" s="529" t="n"/>
      <c r="G305" s="530" t="inlineStr">
        <is>
          <t>4_100331870</t>
        </is>
      </c>
      <c r="H305" s="530" t="n"/>
      <c r="I305" s="869" t="inlineStr">
        <is>
          <t>тыс.т.</t>
        </is>
      </c>
    </row>
    <row r="306" ht="18.75" customHeight="1" s="769">
      <c r="B306" s="778" t="n"/>
      <c r="D306" s="528" t="n"/>
      <c r="E306" s="528" t="n"/>
      <c r="F306" s="529" t="n"/>
      <c r="G306" s="530" t="inlineStr">
        <is>
          <t>4_100331871</t>
        </is>
      </c>
      <c r="H306" s="530" t="n"/>
      <c r="I306" s="935" t="inlineStr">
        <is>
          <t>млн куб.м</t>
        </is>
      </c>
    </row>
    <row r="307" ht="18.75" customHeight="1" s="769">
      <c r="B307" s="778" t="n"/>
      <c r="C307" s="774" t="inlineStr">
        <is>
          <t>На мощностях  ПАО "НОВАТЭК"</t>
        </is>
      </c>
      <c r="D307" s="528" t="n"/>
      <c r="E307" s="528" t="n"/>
      <c r="F307" s="529" t="n"/>
      <c r="G307" s="530" t="inlineStr">
        <is>
          <t>4_100335365</t>
        </is>
      </c>
      <c r="H307" s="530" t="n"/>
      <c r="I307" s="869" t="inlineStr">
        <is>
          <t>тыс.т.</t>
        </is>
      </c>
    </row>
    <row r="308" ht="18.75" customHeight="1" s="769">
      <c r="B308" s="778" t="n"/>
      <c r="D308" s="528" t="n"/>
      <c r="E308" s="528" t="n"/>
      <c r="F308" s="529" t="n"/>
      <c r="G308" s="530" t="inlineStr">
        <is>
          <t>4_100335366</t>
        </is>
      </c>
      <c r="H308" s="530" t="n"/>
      <c r="I308" s="935" t="inlineStr">
        <is>
          <t>млн куб.м</t>
        </is>
      </c>
    </row>
    <row r="309" ht="18.75" customHeight="1" s="769">
      <c r="B309" s="778" t="inlineStr">
        <is>
          <t>2.6.3</t>
        </is>
      </c>
      <c r="C309" s="782" t="inlineStr">
        <is>
          <t xml:space="preserve"> ГАЗ СБРОСНОЙ, ВСЕГО:</t>
        </is>
      </c>
      <c r="D309" s="528" t="n"/>
      <c r="E309" s="528" t="n"/>
      <c r="F309" s="529" t="n"/>
      <c r="G309" s="530" t="inlineStr">
        <is>
          <t>4_100331878</t>
        </is>
      </c>
      <c r="H309" s="530" t="n"/>
      <c r="I309" s="869" t="inlineStr">
        <is>
          <t>тыс.т.</t>
        </is>
      </c>
    </row>
    <row r="310" ht="18.75" customHeight="1" s="769">
      <c r="B310" s="778" t="n"/>
      <c r="D310" s="528" t="n"/>
      <c r="E310" s="528" t="n"/>
      <c r="F310" s="529" t="n"/>
      <c r="G310" s="530" t="inlineStr">
        <is>
          <t>4_100331879</t>
        </is>
      </c>
      <c r="H310" s="530" t="n"/>
      <c r="I310" s="935" t="inlineStr">
        <is>
          <t>млн куб.м</t>
        </is>
      </c>
    </row>
    <row r="311" ht="18.75" customHeight="1" s="769">
      <c r="B311" s="778" t="n"/>
      <c r="C311" s="774" t="inlineStr">
        <is>
          <t>СЗСК НА СТН ООО "Газпром переработка"</t>
        </is>
      </c>
      <c r="D311" s="528" t="n"/>
      <c r="E311" s="528" t="n"/>
      <c r="F311" s="529" t="n"/>
      <c r="G311" s="530" t="inlineStr">
        <is>
          <t>4_100331878</t>
        </is>
      </c>
      <c r="H311" s="530" t="n"/>
      <c r="I311" s="869" t="inlineStr">
        <is>
          <t>тыс.т.</t>
        </is>
      </c>
    </row>
    <row r="312" ht="18.75" customHeight="1" s="769">
      <c r="B312" s="778" t="n"/>
      <c r="D312" s="528" t="n"/>
      <c r="E312" s="528" t="n"/>
      <c r="F312" s="529" t="n"/>
      <c r="G312" s="530" t="inlineStr">
        <is>
          <t>4_100331879</t>
        </is>
      </c>
      <c r="H312" s="530" t="n"/>
      <c r="I312" s="935" t="inlineStr">
        <is>
          <t>млн куб.м</t>
        </is>
      </c>
    </row>
    <row r="313" ht="18.75" customHeight="1" s="769">
      <c r="B313" s="778" t="n"/>
      <c r="C313" s="775" t="inlineStr">
        <is>
          <t>Справочно:</t>
        </is>
      </c>
      <c r="D313" s="528" t="n"/>
      <c r="E313" s="528" t="n"/>
      <c r="F313" s="529" t="n"/>
      <c r="G313" s="530" t="n"/>
      <c r="H313" s="530" t="n"/>
      <c r="I313" s="935" t="n"/>
    </row>
    <row r="314" ht="18.75" customHeight="1" s="769">
      <c r="B314" s="778" t="n"/>
      <c r="C314" s="777" t="inlineStr">
        <is>
          <t>СЗСК валовая выработка</t>
        </is>
      </c>
      <c r="D314" s="528" t="n"/>
      <c r="E314" s="528" t="n"/>
      <c r="F314" s="529" t="n"/>
      <c r="G314" s="530" t="inlineStr">
        <is>
          <t>4_100331882</t>
        </is>
      </c>
      <c r="H314" s="530" t="n"/>
      <c r="I314" s="869" t="inlineStr">
        <is>
          <t>тыс.т.</t>
        </is>
      </c>
    </row>
    <row r="315" ht="18.75" customHeight="1" s="769">
      <c r="B315" s="778" t="n"/>
      <c r="D315" s="528" t="n"/>
      <c r="E315" s="528" t="n"/>
      <c r="F315" s="529" t="n"/>
      <c r="G315" s="530" t="inlineStr">
        <is>
          <t>4_100331883</t>
        </is>
      </c>
      <c r="H315" s="530" t="n"/>
      <c r="I315" s="869" t="inlineStr">
        <is>
          <t>тыс.т.</t>
        </is>
      </c>
    </row>
    <row r="316" ht="18.75" customHeight="1" s="769">
      <c r="B316" s="778" t="n"/>
      <c r="C316" s="777" t="inlineStr">
        <is>
          <t>СЗСК на переработку</t>
        </is>
      </c>
      <c r="D316" s="528" t="n"/>
      <c r="E316" s="528" t="n"/>
      <c r="F316" s="529" t="n"/>
      <c r="G316" s="530" t="inlineStr">
        <is>
          <t>4_100331884</t>
        </is>
      </c>
      <c r="H316" s="530" t="n"/>
      <c r="I316" s="869" t="inlineStr">
        <is>
          <t>тыс.т.</t>
        </is>
      </c>
    </row>
    <row r="317" ht="18.75" customHeight="1" s="769">
      <c r="B317" s="778" t="n"/>
      <c r="D317" s="528" t="n"/>
      <c r="E317" s="528" t="n"/>
      <c r="F317" s="529" t="n"/>
      <c r="G317" s="530" t="inlineStr">
        <is>
          <t>4_100331885</t>
        </is>
      </c>
      <c r="H317" s="530" t="n"/>
      <c r="I317" s="869" t="inlineStr">
        <is>
          <t>тыс.т.</t>
        </is>
      </c>
    </row>
    <row r="318" ht="18.75" customHeight="1" s="769">
      <c r="B318" s="778" t="inlineStr">
        <is>
          <t>2.6.4</t>
        </is>
      </c>
      <c r="C318" s="498" t="inlineStr">
        <is>
          <t>ШФЛУ ТОВАРНАЯ, ВСЕГО:</t>
        </is>
      </c>
      <c r="D318" s="528" t="n"/>
      <c r="E318" s="528" t="n"/>
      <c r="F318" s="529" t="n"/>
      <c r="G318" s="530" t="inlineStr">
        <is>
          <t>4_100331888+4_100331889</t>
        </is>
      </c>
      <c r="H318" s="530" t="n"/>
      <c r="I318" s="869" t="inlineStr">
        <is>
          <t>тыс.т.</t>
        </is>
      </c>
    </row>
    <row r="319" ht="18.75" customHeight="1" s="769">
      <c r="B319" s="778" t="n"/>
      <c r="C319" s="786" t="inlineStr">
        <is>
          <t>УЗПКТ</t>
        </is>
      </c>
      <c r="D319" s="528" t="n"/>
      <c r="E319" s="528" t="n"/>
      <c r="F319" s="529" t="n"/>
      <c r="G319" s="530" t="inlineStr">
        <is>
          <t>4_100331888</t>
        </is>
      </c>
      <c r="H319" s="530" t="n"/>
      <c r="I319" s="869" t="inlineStr">
        <is>
          <t>тыс.т.</t>
        </is>
      </c>
    </row>
    <row r="320" ht="18.75" customHeight="1" s="769">
      <c r="B320" s="778" t="n"/>
      <c r="C320" s="786" t="inlineStr">
        <is>
          <t>СЗСК</t>
        </is>
      </c>
      <c r="D320" s="528" t="n"/>
      <c r="E320" s="528" t="n"/>
      <c r="F320" s="529" t="n"/>
      <c r="G320" s="530" t="inlineStr">
        <is>
          <t>4_100331889</t>
        </is>
      </c>
      <c r="H320" s="530" t="n"/>
      <c r="I320" s="869" t="inlineStr">
        <is>
          <t>тыс.т.</t>
        </is>
      </c>
    </row>
    <row r="321" ht="19.5" customHeight="1" s="769">
      <c r="B321" s="778" t="n"/>
      <c r="C321" s="499" t="inlineStr">
        <is>
          <t>Справочно:</t>
        </is>
      </c>
      <c r="D321" s="528" t="n"/>
      <c r="E321" s="528" t="n"/>
      <c r="F321" s="529" t="n"/>
      <c r="G321" s="530" t="n"/>
      <c r="H321" s="530" t="n"/>
      <c r="I321" s="869" t="n"/>
    </row>
    <row r="322" ht="19.5" customHeight="1" s="769">
      <c r="B322" s="778" t="n"/>
      <c r="C322" s="500" t="inlineStr">
        <is>
          <t>ШФЛУ валовая выработка, всего:</t>
        </is>
      </c>
      <c r="D322" s="528" t="n"/>
      <c r="E322" s="528" t="n"/>
      <c r="F322" s="529" t="n"/>
      <c r="G322" s="530" t="inlineStr">
        <is>
          <t>4_100331893+4_100331894</t>
        </is>
      </c>
      <c r="H322" s="530" t="n"/>
      <c r="I322" s="869" t="inlineStr">
        <is>
          <t>тыс.т.</t>
        </is>
      </c>
    </row>
    <row r="323" ht="18.75" customHeight="1" s="769">
      <c r="B323" s="778" t="n"/>
      <c r="C323" s="380" t="inlineStr">
        <is>
          <t>УЗПКТ</t>
        </is>
      </c>
      <c r="D323" s="528" t="n"/>
      <c r="E323" s="528" t="n"/>
      <c r="F323" s="529" t="n"/>
      <c r="G323" s="530" t="inlineStr">
        <is>
          <t>4_100331893</t>
        </is>
      </c>
      <c r="H323" s="530" t="n"/>
      <c r="I323" s="869" t="inlineStr">
        <is>
          <t>тыс.т.</t>
        </is>
      </c>
    </row>
    <row r="324" ht="18.75" customHeight="1" s="769">
      <c r="B324" s="778" t="n"/>
      <c r="C324" s="380" t="inlineStr">
        <is>
          <t>СЗСК</t>
        </is>
      </c>
      <c r="D324" s="528" t="n"/>
      <c r="E324" s="528" t="n"/>
      <c r="F324" s="529" t="n"/>
      <c r="G324" s="530" t="inlineStr">
        <is>
          <t>4_100331894</t>
        </is>
      </c>
      <c r="H324" s="530" t="n"/>
      <c r="I324" s="869" t="inlineStr">
        <is>
          <t>тыс.т.</t>
        </is>
      </c>
    </row>
    <row r="325" ht="19.5" customHeight="1" s="769">
      <c r="B325" s="778" t="n"/>
      <c r="C325" s="500" t="inlineStr">
        <is>
          <t>ШФЛУ на переработку, всего:</t>
        </is>
      </c>
      <c r="D325" s="528" t="n"/>
      <c r="E325" s="528" t="n"/>
      <c r="F325" s="529" t="n"/>
      <c r="G325" s="530" t="inlineStr">
        <is>
          <t>4_100331896+4_100331897</t>
        </is>
      </c>
      <c r="H325" s="530" t="n"/>
      <c r="I325" s="869" t="inlineStr">
        <is>
          <t>тыс.т.</t>
        </is>
      </c>
    </row>
    <row r="326" ht="18.75" customHeight="1" s="769">
      <c r="B326" s="778" t="n"/>
      <c r="C326" s="380" t="inlineStr">
        <is>
          <t>УЗПКТ</t>
        </is>
      </c>
      <c r="D326" s="528" t="n"/>
      <c r="E326" s="528" t="n"/>
      <c r="F326" s="529" t="n"/>
      <c r="G326" s="530" t="inlineStr">
        <is>
          <t>4_100331896</t>
        </is>
      </c>
      <c r="H326" s="530" t="n"/>
      <c r="I326" s="869" t="inlineStr">
        <is>
          <t>тыс.т.</t>
        </is>
      </c>
    </row>
    <row r="327" ht="18.75" customHeight="1" s="769">
      <c r="B327" s="778" t="n"/>
      <c r="C327" s="501" t="inlineStr">
        <is>
          <t>в т.ч. по договору переработки</t>
        </is>
      </c>
      <c r="D327" s="528" t="n"/>
      <c r="E327" s="528" t="n"/>
      <c r="F327" s="529" t="n"/>
      <c r="G327" s="530" t="n"/>
      <c r="H327" s="530" t="n"/>
      <c r="I327" s="869" t="inlineStr">
        <is>
          <t>тыс.т.</t>
        </is>
      </c>
    </row>
    <row r="328" ht="18.75" customHeight="1" s="769">
      <c r="B328" s="778" t="n"/>
      <c r="C328" s="380" t="inlineStr">
        <is>
          <t>СЗСК</t>
        </is>
      </c>
      <c r="D328" s="528" t="n"/>
      <c r="E328" s="528" t="n"/>
      <c r="F328" s="529" t="n"/>
      <c r="G328" s="530" t="inlineStr">
        <is>
          <t>4_100331897</t>
        </is>
      </c>
      <c r="H328" s="530" t="n"/>
      <c r="I328" s="869" t="inlineStr">
        <is>
          <t>тыс.т.</t>
        </is>
      </c>
    </row>
    <row r="329" ht="18.75" customHeight="1" s="769">
      <c r="B329" s="778" t="n"/>
      <c r="C329" s="501" t="inlineStr">
        <is>
          <t>в т.ч. по договору переработки</t>
        </is>
      </c>
      <c r="D329" s="528" t="n"/>
      <c r="E329" s="528" t="n"/>
      <c r="F329" s="529" t="n"/>
      <c r="G329" s="530" t="n"/>
      <c r="H329" s="530" t="n"/>
      <c r="I329" s="869" t="inlineStr">
        <is>
          <t>тыс.т.</t>
        </is>
      </c>
    </row>
    <row r="330" ht="36" customHeight="1" s="769">
      <c r="B330" s="778" t="inlineStr">
        <is>
          <t>2.6.5</t>
        </is>
      </c>
      <c r="C330" s="498" t="inlineStr">
        <is>
          <t>ГАЗЫ УГЛЕВОДОРОДНЫЕ СЖИЖЕННЫЕ, ВСЕГО:</t>
        </is>
      </c>
      <c r="D330" s="528" t="n"/>
      <c r="E330" s="528" t="n"/>
      <c r="F330" s="529" t="n"/>
      <c r="G330" s="530" t="inlineStr">
        <is>
          <t>4_100332910+4_100335420+4_100332911+4_100332912+4_100332913</t>
        </is>
      </c>
      <c r="H330" s="530" t="n"/>
      <c r="I330" s="931" t="inlineStr">
        <is>
          <t xml:space="preserve"> тыс. т.</t>
        </is>
      </c>
    </row>
    <row r="331" ht="18.75" customHeight="1" s="769">
      <c r="B331" s="778" t="n"/>
      <c r="C331" s="786" t="inlineStr">
        <is>
          <t>УЗПКТ</t>
        </is>
      </c>
      <c r="D331" s="528" t="n"/>
      <c r="E331" s="528" t="n"/>
      <c r="F331" s="529" t="n"/>
      <c r="G331" s="530" t="inlineStr">
        <is>
          <t>4_100332910+4_100335420</t>
        </is>
      </c>
      <c r="H331" s="530" t="n"/>
      <c r="I331" s="931" t="inlineStr">
        <is>
          <t xml:space="preserve"> тыс. т.</t>
        </is>
      </c>
    </row>
    <row r="332" ht="18.75" customHeight="1" s="769">
      <c r="B332" s="778" t="n"/>
      <c r="C332" s="502" t="inlineStr">
        <is>
          <t>фракция пропановая</t>
        </is>
      </c>
      <c r="D332" s="528" t="n"/>
      <c r="E332" s="528" t="n"/>
      <c r="F332" s="529" t="n"/>
      <c r="G332" s="530" t="inlineStr">
        <is>
          <t>4_100332910</t>
        </is>
      </c>
      <c r="H332" s="530" t="n"/>
      <c r="I332" s="931" t="inlineStr">
        <is>
          <t xml:space="preserve"> тыс. т.</t>
        </is>
      </c>
    </row>
    <row r="333" ht="18.75" customHeight="1" s="769">
      <c r="B333" s="778" t="n"/>
      <c r="C333" s="502" t="inlineStr">
        <is>
          <t>ПБТ/ПБА</t>
        </is>
      </c>
      <c r="D333" s="528" t="n"/>
      <c r="E333" s="528" t="n"/>
      <c r="F333" s="529" t="n"/>
      <c r="G333" s="530" t="inlineStr">
        <is>
          <t>4_100335420</t>
        </is>
      </c>
      <c r="H333" s="530" t="n"/>
      <c r="I333" s="931" t="inlineStr">
        <is>
          <t xml:space="preserve"> тыс. т.</t>
        </is>
      </c>
    </row>
    <row r="334" ht="24" customHeight="1" s="769">
      <c r="B334" s="778" t="n"/>
      <c r="C334" s="786" t="inlineStr">
        <is>
          <t>СЗСК</t>
        </is>
      </c>
      <c r="D334" s="528" t="n"/>
      <c r="E334" s="528" t="n"/>
      <c r="F334" s="529" t="n"/>
      <c r="G334" s="530" t="inlineStr">
        <is>
          <t>4_100332911+4_100332912+4_100332913</t>
        </is>
      </c>
      <c r="H334" s="530" t="n"/>
      <c r="I334" s="931" t="inlineStr">
        <is>
          <t xml:space="preserve"> тыс. т.</t>
        </is>
      </c>
    </row>
    <row r="335" ht="18.75" customHeight="1" s="769">
      <c r="B335" s="778" t="n"/>
      <c r="C335" s="502" t="inlineStr">
        <is>
          <t>ПБА/ПБТ</t>
        </is>
      </c>
      <c r="D335" s="528" t="n"/>
      <c r="E335" s="528" t="n"/>
      <c r="F335" s="529" t="n"/>
      <c r="G335" s="530" t="inlineStr">
        <is>
          <t>4_100332911</t>
        </is>
      </c>
      <c r="H335" s="530" t="n"/>
      <c r="I335" s="931" t="inlineStr">
        <is>
          <t xml:space="preserve"> тыс. т.</t>
        </is>
      </c>
    </row>
    <row r="336" ht="18.75" customHeight="1" s="769">
      <c r="B336" s="778" t="n"/>
      <c r="C336" s="502" t="inlineStr">
        <is>
          <t>пропан</t>
        </is>
      </c>
      <c r="D336" s="528" t="n"/>
      <c r="E336" s="528" t="n"/>
      <c r="F336" s="529" t="n"/>
      <c r="G336" s="530" t="inlineStr">
        <is>
          <t>4_100332912</t>
        </is>
      </c>
      <c r="H336" s="530" t="n"/>
      <c r="I336" s="931" t="inlineStr">
        <is>
          <t xml:space="preserve"> тыс. т.</t>
        </is>
      </c>
    </row>
    <row r="337" ht="18.75" customHeight="1" s="769">
      <c r="B337" s="778" t="n"/>
      <c r="C337" s="502" t="inlineStr">
        <is>
          <t>бутан</t>
        </is>
      </c>
      <c r="D337" s="528" t="n"/>
      <c r="E337" s="528" t="n"/>
      <c r="F337" s="529" t="n"/>
      <c r="G337" s="530" t="inlineStr">
        <is>
          <t>4_100332913</t>
        </is>
      </c>
      <c r="H337" s="530" t="n"/>
      <c r="I337" s="931" t="inlineStr">
        <is>
          <t xml:space="preserve"> тыс. т.</t>
        </is>
      </c>
    </row>
    <row r="338" ht="18.75" customHeight="1" s="769">
      <c r="B338" s="778" t="inlineStr">
        <is>
          <t>2.6.6</t>
        </is>
      </c>
      <c r="C338" s="498" t="inlineStr">
        <is>
          <t>УГЛЕВОДОРОДНАЯ ФРАКЦИЯ/ПГФ СЗСК</t>
        </is>
      </c>
      <c r="D338" s="528" t="n"/>
      <c r="E338" s="528" t="n"/>
      <c r="F338" s="529" t="n"/>
      <c r="G338" s="530" t="inlineStr">
        <is>
          <t>4_100331904</t>
        </is>
      </c>
      <c r="H338" s="530" t="n"/>
      <c r="I338" s="931" t="inlineStr">
        <is>
          <t xml:space="preserve"> тыс. т.</t>
        </is>
      </c>
    </row>
    <row r="339" ht="18.75" customHeight="1" s="769">
      <c r="B339" s="778" t="inlineStr">
        <is>
          <t>2.6.7</t>
        </is>
      </c>
      <c r="C339" s="498" t="inlineStr">
        <is>
          <t>АВТОМОБИЛЬНЫЙ БЕНЗИН СЗСК, ВСЕГО:</t>
        </is>
      </c>
      <c r="D339" s="528" t="n"/>
      <c r="E339" s="528" t="n"/>
      <c r="F339" s="529" t="n"/>
      <c r="G339" s="530" t="inlineStr">
        <is>
          <t>4_100331906+4_100331907</t>
        </is>
      </c>
      <c r="H339" s="530" t="n"/>
      <c r="I339" s="931" t="inlineStr">
        <is>
          <t xml:space="preserve"> тыс. т.</t>
        </is>
      </c>
    </row>
    <row r="340" ht="18.75" customHeight="1" s="769">
      <c r="B340" s="778" t="n"/>
      <c r="C340" s="786" t="inlineStr">
        <is>
          <t>ОЧ-92</t>
        </is>
      </c>
      <c r="D340" s="528" t="n"/>
      <c r="E340" s="528" t="n"/>
      <c r="F340" s="529" t="n"/>
      <c r="G340" s="530" t="inlineStr">
        <is>
          <t>4_100331906</t>
        </is>
      </c>
      <c r="H340" s="530" t="n"/>
      <c r="I340" s="931" t="inlineStr">
        <is>
          <t xml:space="preserve"> тыс. т.</t>
        </is>
      </c>
    </row>
    <row r="341" ht="18.75" customHeight="1" s="769">
      <c r="B341" s="778" t="n"/>
      <c r="C341" s="786" t="inlineStr">
        <is>
          <t>ОЧ-95</t>
        </is>
      </c>
      <c r="D341" s="528" t="n"/>
      <c r="E341" s="528" t="n"/>
      <c r="F341" s="529" t="n"/>
      <c r="G341" s="530" t="inlineStr">
        <is>
          <t>4_100331907</t>
        </is>
      </c>
      <c r="H341" s="530" t="n"/>
      <c r="I341" s="931" t="inlineStr">
        <is>
          <t xml:space="preserve"> тыс. т.</t>
        </is>
      </c>
    </row>
    <row r="342" ht="18.75" customHeight="1" s="769">
      <c r="B342" s="778" t="inlineStr">
        <is>
          <t>2.6.8</t>
        </is>
      </c>
      <c r="C342" s="779" t="inlineStr">
        <is>
          <t>ТОПЛИВО ДЛЯ РЕАКТИВНЫХ ДВИГАТЕЛЕЙ, ВСЕГО:</t>
        </is>
      </c>
      <c r="D342" s="528" t="n"/>
      <c r="E342" s="528" t="n"/>
      <c r="F342" s="529" t="n"/>
      <c r="G342" s="530" t="inlineStr">
        <is>
          <t>4_100331909+4_100331910</t>
        </is>
      </c>
      <c r="H342" s="530" t="n"/>
      <c r="I342" s="931" t="inlineStr">
        <is>
          <t xml:space="preserve"> тыс. т.</t>
        </is>
      </c>
    </row>
    <row r="343" ht="18.75" customHeight="1" s="769">
      <c r="B343" s="778" t="n"/>
      <c r="C343" s="786" t="inlineStr">
        <is>
          <t>УЗПКТ</t>
        </is>
      </c>
      <c r="D343" s="528" t="n"/>
      <c r="E343" s="528" t="n"/>
      <c r="F343" s="529" t="n"/>
      <c r="G343" s="530" t="inlineStr">
        <is>
          <t>4_100331909</t>
        </is>
      </c>
      <c r="H343" s="530" t="n"/>
      <c r="I343" s="931" t="inlineStr">
        <is>
          <t xml:space="preserve"> тыс. т.</t>
        </is>
      </c>
    </row>
    <row r="344" ht="18.75" customHeight="1" s="769">
      <c r="B344" s="778" t="n"/>
      <c r="C344" s="786" t="inlineStr">
        <is>
          <t>СЗСК</t>
        </is>
      </c>
      <c r="D344" s="528" t="n"/>
      <c r="E344" s="528" t="n"/>
      <c r="F344" s="529" t="n"/>
      <c r="G344" s="530" t="inlineStr">
        <is>
          <t>4_100331910</t>
        </is>
      </c>
      <c r="H344" s="530" t="n"/>
      <c r="I344" s="931" t="inlineStr">
        <is>
          <t xml:space="preserve"> тыс. т.</t>
        </is>
      </c>
    </row>
    <row r="345" ht="18.75" customHeight="1" s="769">
      <c r="B345" s="778" t="inlineStr">
        <is>
          <t>2.6.9</t>
        </is>
      </c>
      <c r="C345" s="498" t="inlineStr">
        <is>
          <t>ДИЗЕЛЬНОЕ ТОПЛИВО, ВСЕГО:</t>
        </is>
      </c>
      <c r="D345" s="528" t="n"/>
      <c r="E345" s="528" t="n"/>
      <c r="F345" s="529" t="n"/>
      <c r="G345" s="530" t="inlineStr">
        <is>
          <t>4_100331912+4_100331913</t>
        </is>
      </c>
      <c r="H345" s="530" t="n"/>
      <c r="I345" s="931" t="inlineStr">
        <is>
          <t xml:space="preserve"> тыс. т.</t>
        </is>
      </c>
    </row>
    <row r="346" ht="18.75" customHeight="1" s="769">
      <c r="B346" s="778" t="n"/>
      <c r="C346" s="786" t="inlineStr">
        <is>
          <t>УЗПКТ</t>
        </is>
      </c>
      <c r="D346" s="528" t="n"/>
      <c r="E346" s="528" t="n"/>
      <c r="F346" s="529" t="n"/>
      <c r="G346" s="530" t="inlineStr">
        <is>
          <t>4_100331912</t>
        </is>
      </c>
      <c r="H346" s="530" t="n"/>
      <c r="I346" s="931" t="inlineStr">
        <is>
          <t xml:space="preserve"> тыс. т.</t>
        </is>
      </c>
    </row>
    <row r="347" ht="18.75" customHeight="1" s="769">
      <c r="B347" s="778" t="n"/>
      <c r="C347" s="786" t="inlineStr">
        <is>
          <t>СЗСК</t>
        </is>
      </c>
      <c r="D347" s="528" t="n"/>
      <c r="E347" s="528" t="n"/>
      <c r="F347" s="529" t="n"/>
      <c r="G347" s="530" t="inlineStr">
        <is>
          <t>4_100331913</t>
        </is>
      </c>
      <c r="H347" s="530" t="n"/>
      <c r="I347" s="931" t="inlineStr">
        <is>
          <t xml:space="preserve"> тыс. т.</t>
        </is>
      </c>
    </row>
    <row r="348" ht="18.75" customHeight="1" s="769">
      <c r="B348" s="778" t="inlineStr">
        <is>
          <t>2.6.10</t>
        </is>
      </c>
      <c r="C348" s="498" t="inlineStr">
        <is>
          <t xml:space="preserve">ДИСТИЛЛЯТ ГАЗОВОГО КОНДЕНСАТА ЛЕГКИЙ, ВСЕГО: </t>
        </is>
      </c>
      <c r="D348" s="528" t="n"/>
      <c r="E348" s="528" t="n"/>
      <c r="F348" s="529" t="n"/>
      <c r="G348" s="530" t="inlineStr">
        <is>
          <t>4_100331916+4_100331917</t>
        </is>
      </c>
      <c r="H348" s="530" t="n"/>
      <c r="I348" s="931" t="inlineStr">
        <is>
          <t xml:space="preserve"> тыс. т.</t>
        </is>
      </c>
    </row>
    <row r="349" ht="18.75" customHeight="1" s="769">
      <c r="B349" s="778" t="n"/>
      <c r="C349" s="786" t="inlineStr">
        <is>
          <t>УЗПКТ</t>
        </is>
      </c>
      <c r="D349" s="528" t="n"/>
      <c r="E349" s="528" t="n"/>
      <c r="F349" s="529" t="n"/>
      <c r="G349" s="530" t="inlineStr">
        <is>
          <t>4_100331916</t>
        </is>
      </c>
      <c r="H349" s="530" t="n"/>
      <c r="I349" s="931" t="inlineStr">
        <is>
          <t xml:space="preserve"> тыс. т.</t>
        </is>
      </c>
    </row>
    <row r="350" ht="18.75" customHeight="1" s="769">
      <c r="B350" s="778" t="n"/>
      <c r="C350" s="503" t="inlineStr">
        <is>
          <t>в т.ч. с УПГД</t>
        </is>
      </c>
      <c r="D350" s="528" t="n"/>
      <c r="E350" s="528" t="n"/>
      <c r="F350" s="529" t="n"/>
      <c r="G350" s="530" t="inlineStr">
        <is>
          <t>4_100335043</t>
        </is>
      </c>
      <c r="H350" s="530" t="n"/>
      <c r="I350" s="931" t="inlineStr">
        <is>
          <t xml:space="preserve"> тыс. т.</t>
        </is>
      </c>
    </row>
    <row r="351" ht="18.75" customHeight="1" s="769">
      <c r="B351" s="778" t="n"/>
      <c r="C351" s="786" t="inlineStr">
        <is>
          <t>СЗСК</t>
        </is>
      </c>
      <c r="D351" s="528" t="n"/>
      <c r="E351" s="528" t="n"/>
      <c r="F351" s="529" t="n"/>
      <c r="G351" s="530" t="inlineStr">
        <is>
          <t>4_100331917</t>
        </is>
      </c>
      <c r="H351" s="530" t="n"/>
      <c r="I351" s="931" t="inlineStr">
        <is>
          <t xml:space="preserve"> тыс. т.</t>
        </is>
      </c>
    </row>
    <row r="352" ht="18.75" customHeight="1" s="769">
      <c r="B352" s="778" t="inlineStr">
        <is>
          <t>2.6.11</t>
        </is>
      </c>
      <c r="C352" s="498" t="inlineStr">
        <is>
          <t>СТАБИЛЬНЫЙ КОНДЕНСАТ ТОВАРНЫЙ, ВСЕГО:</t>
        </is>
      </c>
      <c r="D352" s="528" t="n"/>
      <c r="E352" s="528" t="n"/>
      <c r="F352" s="529" t="n"/>
      <c r="G352" s="530" t="inlineStr">
        <is>
          <t>4_100331921+4_100331922</t>
        </is>
      </c>
      <c r="H352" s="530" t="n"/>
      <c r="I352" s="931" t="inlineStr">
        <is>
          <t xml:space="preserve"> тыс. т.</t>
        </is>
      </c>
    </row>
    <row r="353" ht="18.75" customHeight="1" s="769">
      <c r="B353" s="778" t="n"/>
      <c r="C353" s="786" t="inlineStr">
        <is>
          <t>УЗПКТ</t>
        </is>
      </c>
      <c r="D353" s="528" t="n"/>
      <c r="E353" s="528" t="n"/>
      <c r="F353" s="529" t="n"/>
      <c r="G353" s="530" t="inlineStr">
        <is>
          <t>4_100331921</t>
        </is>
      </c>
      <c r="H353" s="530" t="n"/>
      <c r="I353" s="931" t="inlineStr">
        <is>
          <t xml:space="preserve"> тыс. т.</t>
        </is>
      </c>
    </row>
    <row r="354" ht="18.75" customHeight="1" s="769">
      <c r="B354" s="778" t="n"/>
      <c r="C354" s="786" t="inlineStr">
        <is>
          <t>СЗСК</t>
        </is>
      </c>
      <c r="D354" s="528" t="n"/>
      <c r="E354" s="528" t="n"/>
      <c r="F354" s="529" t="n"/>
      <c r="G354" s="530" t="inlineStr">
        <is>
          <t>4_100331922</t>
        </is>
      </c>
      <c r="H354" s="530" t="n"/>
      <c r="I354" s="931" t="inlineStr">
        <is>
          <t xml:space="preserve"> тыс. т.</t>
        </is>
      </c>
    </row>
    <row r="355" ht="24" customHeight="1" s="769">
      <c r="B355" s="778" t="inlineStr">
        <is>
          <t>2.6.12</t>
        </is>
      </c>
      <c r="C355" s="504" t="inlineStr">
        <is>
          <t xml:space="preserve">  СТАБИЛЬНЫЙ КОНДЕНСАТ (НЕФТЬ), ВСЕГО: </t>
        </is>
      </c>
      <c r="D355" s="528" t="n"/>
      <c r="E355" s="528" t="n"/>
      <c r="F355" s="529" t="n"/>
      <c r="G355" s="530" t="inlineStr">
        <is>
          <t>4_100335091+4_100335092+4_100331925</t>
        </is>
      </c>
      <c r="H355" s="530" t="n"/>
      <c r="I355" s="521" t="inlineStr">
        <is>
          <t xml:space="preserve"> тыс. т.</t>
        </is>
      </c>
    </row>
    <row r="356" ht="18.75" customHeight="1" s="769">
      <c r="B356" s="778" t="n"/>
      <c r="C356" s="786" t="inlineStr">
        <is>
          <t>УЗПКТ</t>
        </is>
      </c>
      <c r="D356" s="528" t="n"/>
      <c r="E356" s="528" t="n"/>
      <c r="F356" s="529" t="n"/>
      <c r="G356" s="530" t="inlineStr">
        <is>
          <t>4_100335091+4_100335092</t>
        </is>
      </c>
      <c r="H356" s="530" t="n"/>
      <c r="I356" s="521" t="inlineStr">
        <is>
          <t xml:space="preserve"> тыс. т.</t>
        </is>
      </c>
    </row>
    <row r="357" ht="18.75" customHeight="1" s="769">
      <c r="B357" s="778" t="n"/>
      <c r="C357" s="502" t="inlineStr">
        <is>
          <t>УСК-НПТР</t>
        </is>
      </c>
      <c r="D357" s="528" t="n"/>
      <c r="E357" s="528" t="n"/>
      <c r="F357" s="529" t="n"/>
      <c r="G357" s="530" t="inlineStr">
        <is>
          <t>4_100335091</t>
        </is>
      </c>
      <c r="H357" s="530" t="n"/>
      <c r="I357" s="931" t="inlineStr">
        <is>
          <t xml:space="preserve"> тыс. т.</t>
        </is>
      </c>
    </row>
    <row r="358" ht="18.75" customHeight="1" s="769">
      <c r="B358" s="778" t="n"/>
      <c r="C358" s="502" t="inlineStr">
        <is>
          <t>нефть на УЗПКТ (НПС)</t>
        </is>
      </c>
      <c r="D358" s="528" t="n"/>
      <c r="E358" s="528" t="n"/>
      <c r="F358" s="529" t="n"/>
      <c r="G358" s="530" t="inlineStr">
        <is>
          <t>4_100335092</t>
        </is>
      </c>
      <c r="H358" s="530" t="n"/>
      <c r="I358" s="931" t="inlineStr">
        <is>
          <t xml:space="preserve"> тыс. т.</t>
        </is>
      </c>
    </row>
    <row r="359" ht="18.75" customHeight="1" s="769">
      <c r="B359" s="778" t="n"/>
      <c r="C359" s="786" t="inlineStr">
        <is>
          <t>СЗСК</t>
        </is>
      </c>
      <c r="D359" s="528" t="n"/>
      <c r="E359" s="528" t="n"/>
      <c r="F359" s="529" t="n"/>
      <c r="G359" s="530" t="inlineStr">
        <is>
          <t>4_100331925</t>
        </is>
      </c>
      <c r="H359" s="530" t="n"/>
      <c r="I359" s="931" t="inlineStr">
        <is>
          <t xml:space="preserve"> тыс. т.</t>
        </is>
      </c>
    </row>
    <row r="360" ht="19.5" customHeight="1" s="769">
      <c r="B360" s="778" t="n"/>
      <c r="C360" s="505" t="inlineStr">
        <is>
          <t>Справочно:</t>
        </is>
      </c>
      <c r="D360" s="528" t="n"/>
      <c r="E360" s="528" t="n"/>
      <c r="F360" s="529" t="n"/>
      <c r="G360" s="530" t="n"/>
      <c r="H360" s="530" t="n"/>
      <c r="I360" s="931" t="n"/>
    </row>
    <row r="361" ht="36" customHeight="1" s="769">
      <c r="B361" s="778" t="n"/>
      <c r="C361" s="500" t="inlineStr">
        <is>
          <t>Стабильный конденсат (нефть) валовый,  всего:</t>
        </is>
      </c>
      <c r="D361" s="528" t="n"/>
      <c r="E361" s="528" t="n"/>
      <c r="F361" s="529" t="n"/>
      <c r="G361" s="530" t="inlineStr">
        <is>
          <t>4_100331927+4_100331928+4_100335100+4_100331929</t>
        </is>
      </c>
      <c r="H361" s="530" t="n"/>
      <c r="I361" s="931" t="inlineStr">
        <is>
          <t xml:space="preserve"> тыс. т.</t>
        </is>
      </c>
    </row>
    <row r="362" ht="24" customHeight="1" s="769">
      <c r="B362" s="778" t="n"/>
      <c r="C362" s="777" t="inlineStr">
        <is>
          <t>УЗПКТ</t>
        </is>
      </c>
      <c r="D362" s="528" t="n"/>
      <c r="E362" s="528" t="n"/>
      <c r="F362" s="529" t="n"/>
      <c r="G362" s="530" t="inlineStr">
        <is>
          <t>4_100331927+4_100331928+4_100335100</t>
        </is>
      </c>
      <c r="H362" s="530" t="n"/>
      <c r="I362" s="931" t="inlineStr">
        <is>
          <t xml:space="preserve"> тыс. т.</t>
        </is>
      </c>
    </row>
    <row r="363" ht="18.75" customHeight="1" s="769">
      <c r="B363" s="778" t="n"/>
      <c r="C363" s="506" t="inlineStr">
        <is>
          <t>УЗПКТ (с УДК/УСК)</t>
        </is>
      </c>
      <c r="D363" s="528" t="n"/>
      <c r="E363" s="528" t="n"/>
      <c r="F363" s="529" t="n"/>
      <c r="G363" s="530" t="inlineStr">
        <is>
          <t>4_100331927</t>
        </is>
      </c>
      <c r="H363" s="530" t="n"/>
      <c r="I363" s="931" t="inlineStr">
        <is>
          <t xml:space="preserve"> тыс. т.</t>
        </is>
      </c>
    </row>
    <row r="364" ht="18.75" customHeight="1" s="769">
      <c r="B364" s="778" t="n"/>
      <c r="C364" s="506" t="inlineStr">
        <is>
          <t>УЗПКТ (с УСК-НПТР)</t>
        </is>
      </c>
      <c r="D364" s="528" t="n"/>
      <c r="E364" s="528" t="n"/>
      <c r="F364" s="529" t="n"/>
      <c r="G364" s="530" t="inlineStr">
        <is>
          <t>4_100331928</t>
        </is>
      </c>
      <c r="H364" s="530" t="n"/>
      <c r="I364" s="931" t="inlineStr">
        <is>
          <t xml:space="preserve"> тыс. т.</t>
        </is>
      </c>
    </row>
    <row r="365" ht="18.75" customHeight="1" s="769">
      <c r="B365" s="778" t="n"/>
      <c r="C365" s="506" t="inlineStr">
        <is>
          <t>нефть на УЗПКТ (НПС)</t>
        </is>
      </c>
      <c r="D365" s="528" t="n"/>
      <c r="E365" s="528" t="n"/>
      <c r="F365" s="529" t="n"/>
      <c r="G365" s="530" t="inlineStr">
        <is>
          <t>4_100335100</t>
        </is>
      </c>
      <c r="H365" s="530" t="n"/>
      <c r="I365" s="931" t="inlineStr">
        <is>
          <t xml:space="preserve"> тыс. т.</t>
        </is>
      </c>
    </row>
    <row r="366" ht="18.75" customHeight="1" s="769">
      <c r="B366" s="778" t="n"/>
      <c r="C366" s="777" t="inlineStr">
        <is>
          <t>СЗСК</t>
        </is>
      </c>
      <c r="D366" s="528" t="n"/>
      <c r="E366" s="528" t="n"/>
      <c r="F366" s="529" t="n"/>
      <c r="G366" s="530" t="inlineStr">
        <is>
          <t>4_100331929</t>
        </is>
      </c>
      <c r="H366" s="530" t="n"/>
      <c r="I366" s="931" t="inlineStr">
        <is>
          <t xml:space="preserve"> тыс. т.</t>
        </is>
      </c>
    </row>
    <row r="367" ht="19.5" customHeight="1" s="769">
      <c r="B367" s="778" t="n"/>
      <c r="C367" s="500" t="inlineStr">
        <is>
          <t>Стабильный конденсат на первичную переработку, всего:</t>
        </is>
      </c>
      <c r="D367" s="528" t="n"/>
      <c r="E367" s="528" t="n"/>
      <c r="F367" s="529" t="n"/>
      <c r="G367" s="530" t="inlineStr">
        <is>
          <t>4_100331931+4_100331932</t>
        </is>
      </c>
      <c r="H367" s="530" t="n"/>
      <c r="I367" s="931" t="inlineStr">
        <is>
          <t xml:space="preserve"> тыс. т.</t>
        </is>
      </c>
    </row>
    <row r="368" ht="18.75" customHeight="1" s="769">
      <c r="B368" s="778" t="n"/>
      <c r="C368" s="777" t="inlineStr">
        <is>
          <t>УЗПКТ</t>
        </is>
      </c>
      <c r="D368" s="528" t="n"/>
      <c r="E368" s="528" t="n"/>
      <c r="F368" s="529" t="n"/>
      <c r="G368" s="530" t="inlineStr">
        <is>
          <t>4_100331931</t>
        </is>
      </c>
      <c r="H368" s="530" t="n"/>
      <c r="I368" s="931" t="inlineStr">
        <is>
          <t xml:space="preserve"> тыс. т.</t>
        </is>
      </c>
    </row>
    <row r="369" ht="18.75" customHeight="1" s="769">
      <c r="B369" s="778" t="n"/>
      <c r="C369" s="777" t="inlineStr">
        <is>
          <t>СЗСК</t>
        </is>
      </c>
      <c r="D369" s="528" t="n"/>
      <c r="E369" s="528" t="n"/>
      <c r="F369" s="529" t="n"/>
      <c r="G369" s="530" t="inlineStr">
        <is>
          <t>4_100331932</t>
        </is>
      </c>
      <c r="H369" s="530" t="n"/>
      <c r="I369" s="931" t="inlineStr">
        <is>
          <t xml:space="preserve"> тыс. т.</t>
        </is>
      </c>
    </row>
    <row r="370" ht="39" customHeight="1" s="769">
      <c r="B370" s="778" t="n"/>
      <c r="C370" s="507" t="inlineStr">
        <is>
          <t>Стабильный конденсат на переработку (нефтяное сырье), всего:</t>
        </is>
      </c>
      <c r="D370" s="528" t="n"/>
      <c r="E370" s="528" t="n"/>
      <c r="F370" s="529" t="n"/>
      <c r="G370" s="530" t="inlineStr">
        <is>
          <t>4_100331934+4_100331935</t>
        </is>
      </c>
      <c r="H370" s="530" t="n"/>
      <c r="I370" s="931" t="inlineStr">
        <is>
          <t xml:space="preserve"> тыс. т.</t>
        </is>
      </c>
    </row>
    <row r="371" ht="18.75" customHeight="1" s="769">
      <c r="B371" s="778" t="n"/>
      <c r="C371" s="380" t="inlineStr">
        <is>
          <t>УЗПКТ</t>
        </is>
      </c>
      <c r="D371" s="528" t="n"/>
      <c r="E371" s="528" t="n"/>
      <c r="F371" s="529" t="n"/>
      <c r="G371" s="530" t="inlineStr">
        <is>
          <t>4_100331934</t>
        </is>
      </c>
      <c r="H371" s="530" t="n"/>
      <c r="I371" s="931" t="inlineStr">
        <is>
          <t xml:space="preserve"> тыс. т.</t>
        </is>
      </c>
    </row>
    <row r="372" ht="18.75" customHeight="1" s="769">
      <c r="B372" s="778" t="n"/>
      <c r="C372" s="501" t="inlineStr">
        <is>
          <t>в т.ч. по договору переработки</t>
        </is>
      </c>
      <c r="D372" s="528" t="n"/>
      <c r="E372" s="528" t="n"/>
      <c r="F372" s="529" t="n"/>
      <c r="G372" s="530" t="n"/>
      <c r="H372" s="530" t="n"/>
      <c r="I372" s="931" t="inlineStr">
        <is>
          <t xml:space="preserve"> тыс. т.</t>
        </is>
      </c>
    </row>
    <row r="373" ht="18.75" customHeight="1" s="769">
      <c r="B373" s="778" t="n"/>
      <c r="C373" s="380" t="inlineStr">
        <is>
          <t>СЗСК</t>
        </is>
      </c>
      <c r="D373" s="528" t="n"/>
      <c r="E373" s="528" t="n"/>
      <c r="F373" s="529" t="n"/>
      <c r="G373" s="530" t="inlineStr">
        <is>
          <t>4_100331935</t>
        </is>
      </c>
      <c r="H373" s="530" t="n"/>
      <c r="I373" s="931" t="inlineStr">
        <is>
          <t xml:space="preserve"> тыс. т.</t>
        </is>
      </c>
    </row>
    <row r="374" ht="18.75" customHeight="1" s="769">
      <c r="B374" s="778" t="n"/>
      <c r="C374" s="501" t="inlineStr">
        <is>
          <t>в т.ч. по договору переработки</t>
        </is>
      </c>
      <c r="D374" s="528" t="n"/>
      <c r="E374" s="528" t="n"/>
      <c r="F374" s="529" t="n"/>
      <c r="G374" s="530" t="n"/>
      <c r="H374" s="530" t="n"/>
      <c r="I374" s="931" t="inlineStr">
        <is>
          <t xml:space="preserve"> тыс. т.</t>
        </is>
      </c>
    </row>
    <row r="375" ht="19.5" customHeight="1" s="769">
      <c r="B375" s="778" t="n"/>
      <c r="C375" s="500" t="inlineStr">
        <is>
          <t>Стабильный конденсат на смешение</t>
        </is>
      </c>
      <c r="D375" s="528" t="n"/>
      <c r="E375" s="528" t="n"/>
      <c r="F375" s="529" t="n"/>
      <c r="G375" s="530" t="n"/>
      <c r="H375" s="530" t="n"/>
      <c r="I375" s="931" t="inlineStr">
        <is>
          <t xml:space="preserve"> тыс. т.</t>
        </is>
      </c>
    </row>
    <row r="376" ht="18.75" customHeight="1" s="769">
      <c r="B376" s="778" t="n"/>
      <c r="C376" s="777" t="inlineStr">
        <is>
          <t>СЗСК</t>
        </is>
      </c>
      <c r="D376" s="528" t="n"/>
      <c r="E376" s="528" t="n"/>
      <c r="F376" s="529" t="n"/>
      <c r="G376" s="530" t="n"/>
      <c r="H376" s="530" t="n"/>
      <c r="I376" s="931" t="n"/>
    </row>
    <row r="377" ht="18.75" customHeight="1" s="769">
      <c r="B377" s="778" t="inlineStr">
        <is>
          <t>2.6.13</t>
        </is>
      </c>
      <c r="C377" s="779" t="inlineStr">
        <is>
          <t xml:space="preserve">МЕТАНОЛ, ВСЕГО: </t>
        </is>
      </c>
      <c r="D377" s="528" t="n"/>
      <c r="E377" s="528" t="n"/>
      <c r="F377" s="529" t="n"/>
      <c r="G377" s="530" t="inlineStr">
        <is>
          <t>4_100335444+4_100335445</t>
        </is>
      </c>
      <c r="H377" s="530" t="n"/>
      <c r="I377" s="931" t="inlineStr">
        <is>
          <t>тонн</t>
        </is>
      </c>
    </row>
    <row r="378" ht="18.75" customHeight="1" s="769">
      <c r="B378" s="778" t="n"/>
      <c r="C378" s="786" t="inlineStr">
        <is>
          <t>УЗПКТ (с УПГД)</t>
        </is>
      </c>
      <c r="D378" s="528" t="n"/>
      <c r="E378" s="528" t="n"/>
      <c r="F378" s="529" t="n"/>
      <c r="G378" s="530" t="inlineStr">
        <is>
          <t>4_100335444</t>
        </is>
      </c>
      <c r="H378" s="530" t="n"/>
      <c r="I378" s="931" t="inlineStr">
        <is>
          <t>тонн</t>
        </is>
      </c>
    </row>
    <row r="379" ht="18.75" customHeight="1" s="769">
      <c r="B379" s="778" t="n"/>
      <c r="C379" s="786" t="inlineStr">
        <is>
          <t>СЗСК</t>
        </is>
      </c>
      <c r="D379" s="528" t="n"/>
      <c r="E379" s="528" t="n"/>
      <c r="F379" s="529" t="n"/>
      <c r="G379" s="530" t="inlineStr">
        <is>
          <t>4_100335445</t>
        </is>
      </c>
      <c r="H379" s="530" t="n"/>
      <c r="I379" s="931" t="inlineStr">
        <is>
          <t>тонн</t>
        </is>
      </c>
    </row>
    <row r="380" ht="18.75" customHeight="1" s="769">
      <c r="B380" s="778" t="inlineStr">
        <is>
          <t>2.6.14</t>
        </is>
      </c>
      <c r="C380" s="779" t="inlineStr">
        <is>
          <t>ВОДА ПОДТОВАРНАЯ УЗПКТ</t>
        </is>
      </c>
      <c r="D380" s="528" t="n"/>
      <c r="E380" s="528" t="n"/>
      <c r="F380" s="529" t="n"/>
      <c r="G380" s="530" t="inlineStr">
        <is>
          <t>4_100331942</t>
        </is>
      </c>
      <c r="H380" s="530" t="n"/>
      <c r="I380" s="931" t="inlineStr">
        <is>
          <t xml:space="preserve"> тыс. т.</t>
        </is>
      </c>
    </row>
    <row r="381" ht="18.75" customHeight="1" s="769">
      <c r="B381" s="778" t="inlineStr">
        <is>
          <t>2.6.15</t>
        </is>
      </c>
      <c r="C381" s="779" t="inlineStr">
        <is>
          <t>ВОДОМЕТАНОЛЬНАЯ СМЕСЬ СЗСК *</t>
        </is>
      </c>
      <c r="D381" s="528" t="n"/>
      <c r="E381" s="528" t="n"/>
      <c r="F381" s="529" t="n"/>
      <c r="G381" s="530" t="inlineStr">
        <is>
          <t>4_100331943</t>
        </is>
      </c>
      <c r="H381" s="530" t="n"/>
      <c r="I381" s="931" t="inlineStr">
        <is>
          <t xml:space="preserve"> тыс. т.</t>
        </is>
      </c>
    </row>
    <row r="382" ht="18.75" customHeight="1" s="769">
      <c r="B382" s="778" t="n"/>
      <c r="C382" s="501" t="inlineStr">
        <is>
          <t>в т.ч. по договору переработки</t>
        </is>
      </c>
      <c r="D382" s="528" t="n"/>
      <c r="E382" s="528" t="n"/>
      <c r="F382" s="529" t="n"/>
      <c r="G382" s="530" t="n"/>
      <c r="H382" s="530" t="n"/>
      <c r="I382" s="931" t="inlineStr">
        <is>
          <t xml:space="preserve"> тыс. т.</t>
        </is>
      </c>
    </row>
    <row r="383" ht="19.5" customHeight="1" s="769">
      <c r="B383" s="778" t="n"/>
      <c r="C383" s="505" t="inlineStr">
        <is>
          <t>Справочно:</t>
        </is>
      </c>
      <c r="D383" s="528" t="n"/>
      <c r="E383" s="528" t="n"/>
      <c r="F383" s="529" t="n"/>
      <c r="G383" s="530" t="n"/>
      <c r="H383" s="530" t="n"/>
      <c r="I383" s="931" t="n"/>
    </row>
    <row r="384" ht="48" customHeight="1" s="769">
      <c r="B384" s="778" t="inlineStr">
        <is>
          <t>2.7</t>
        </is>
      </c>
      <c r="C384" s="508" t="inlineStr">
        <is>
          <t>Переработка сырья на УЗПКТ и привлеченных мощностях, всего:</t>
        </is>
      </c>
      <c r="D384" s="528" t="n"/>
      <c r="E384" s="528" t="n"/>
      <c r="F384" s="529" t="n"/>
      <c r="G384" s="530" t="inlineStr">
        <is>
          <t>4_100331840+4_100331841+4_100335357+4_100335358+4_100331815+4_100331963+0-0-0-4_100331815</t>
        </is>
      </c>
      <c r="H384" s="530" t="n"/>
      <c r="I384" s="931" t="inlineStr">
        <is>
          <t xml:space="preserve"> тыс. т.</t>
        </is>
      </c>
    </row>
    <row r="385" ht="36" customHeight="1" s="769">
      <c r="B385" s="778" t="inlineStr">
        <is>
          <t>2.7.1</t>
        </is>
      </c>
      <c r="C385" s="499" t="inlineStr">
        <is>
          <t>Нестабильного конденсата, всего:</t>
        </is>
      </c>
      <c r="D385" s="528" t="n"/>
      <c r="E385" s="528" t="n"/>
      <c r="F385" s="529" t="n"/>
      <c r="G385" s="530" t="inlineStr">
        <is>
          <t>4_100331840+4_100331841+4_100335357+4_100335358</t>
        </is>
      </c>
      <c r="H385" s="530" t="n"/>
      <c r="I385" s="931" t="inlineStr">
        <is>
          <t xml:space="preserve"> тыс. т.</t>
        </is>
      </c>
    </row>
    <row r="386" ht="18.75" customHeight="1" s="769">
      <c r="B386" s="778" t="n"/>
      <c r="C386" s="509" t="inlineStr">
        <is>
          <t>УЗПКТ</t>
        </is>
      </c>
      <c r="D386" s="528" t="n"/>
      <c r="E386" s="528" t="n"/>
      <c r="F386" s="529" t="n"/>
      <c r="G386" s="530" t="inlineStr">
        <is>
          <t>4_100331840+4_100331841</t>
        </is>
      </c>
      <c r="H386" s="530" t="n"/>
      <c r="I386" s="931" t="inlineStr">
        <is>
          <t xml:space="preserve"> тыс. т.</t>
        </is>
      </c>
    </row>
    <row r="387" ht="18.75" customHeight="1" s="769">
      <c r="B387" s="778" t="n"/>
      <c r="C387" s="510" t="inlineStr">
        <is>
          <t>УДК/УСК</t>
        </is>
      </c>
      <c r="D387" s="528" t="n"/>
      <c r="E387" s="528" t="n"/>
      <c r="F387" s="529" t="n"/>
      <c r="G387" s="530" t="inlineStr">
        <is>
          <t>4_100331840</t>
        </is>
      </c>
      <c r="H387" s="530" t="n"/>
      <c r="I387" s="931" t="inlineStr">
        <is>
          <t xml:space="preserve"> тыс. т.</t>
        </is>
      </c>
    </row>
    <row r="388" ht="18.75" customHeight="1" s="769">
      <c r="B388" s="778" t="n"/>
      <c r="C388" s="511" t="inlineStr">
        <is>
          <t>в т.ч. ДРОД</t>
        </is>
      </c>
      <c r="D388" s="528" t="n"/>
      <c r="E388" s="528" t="n"/>
      <c r="F388" s="529" t="n"/>
      <c r="G388" s="530" t="inlineStr">
        <is>
          <t>4_100335508</t>
        </is>
      </c>
      <c r="H388" s="530" t="n"/>
      <c r="I388" s="522" t="inlineStr">
        <is>
          <t xml:space="preserve"> тыс. т.</t>
        </is>
      </c>
    </row>
    <row r="389" ht="18.75" customHeight="1" s="769">
      <c r="B389" s="778" t="n"/>
      <c r="C389" s="510" t="inlineStr">
        <is>
          <t>УСК НПТР</t>
        </is>
      </c>
      <c r="D389" s="528" t="n"/>
      <c r="E389" s="528" t="n"/>
      <c r="F389" s="529" t="n"/>
      <c r="G389" s="530" t="inlineStr">
        <is>
          <t>4_100331841</t>
        </is>
      </c>
      <c r="H389" s="530" t="n"/>
      <c r="I389" s="522" t="inlineStr">
        <is>
          <t xml:space="preserve"> тыс. т.</t>
        </is>
      </c>
    </row>
    <row r="390" ht="18.75" customHeight="1" s="769">
      <c r="B390" s="778" t="n"/>
      <c r="C390" s="509" t="inlineStr">
        <is>
          <t>На мощностях  ПАО "НОВАТЭК"</t>
        </is>
      </c>
      <c r="D390" s="528" t="n"/>
      <c r="E390" s="528" t="n"/>
      <c r="F390" s="529" t="n"/>
      <c r="G390" s="530" t="inlineStr">
        <is>
          <t>4_100335357</t>
        </is>
      </c>
      <c r="H390" s="530" t="n"/>
      <c r="I390" s="931" t="inlineStr">
        <is>
          <t xml:space="preserve"> тыс. т.</t>
        </is>
      </c>
    </row>
    <row r="391" ht="18.75" customHeight="1" s="769">
      <c r="B391" s="778" t="n"/>
      <c r="C391" s="509" t="inlineStr">
        <is>
          <t>На мощностях УДК(м)</t>
        </is>
      </c>
      <c r="D391" s="528" t="n"/>
      <c r="E391" s="528" t="n"/>
      <c r="F391" s="529" t="n"/>
      <c r="G391" s="530" t="inlineStr">
        <is>
          <t>4_100335358</t>
        </is>
      </c>
      <c r="H391" s="530" t="n"/>
      <c r="I391" s="931" t="inlineStr">
        <is>
          <t xml:space="preserve"> тыс. т.</t>
        </is>
      </c>
    </row>
    <row r="392" ht="24" customHeight="1" s="769">
      <c r="B392" s="778" t="inlineStr">
        <is>
          <t>2.7.2</t>
        </is>
      </c>
      <c r="C392" s="508" t="inlineStr">
        <is>
          <t>Нефть на НПС УЗПКТ</t>
        </is>
      </c>
      <c r="D392" s="528" t="n"/>
      <c r="E392" s="528" t="n"/>
      <c r="F392" s="529" t="n"/>
      <c r="G392" s="530" t="inlineStr">
        <is>
          <t>4_100331815+4_100331963+0-0-0-4_100331815</t>
        </is>
      </c>
      <c r="H392" s="530" t="n"/>
      <c r="I392" s="931" t="inlineStr">
        <is>
          <t xml:space="preserve"> тыс. т.</t>
        </is>
      </c>
    </row>
    <row r="393" ht="36" customHeight="1" s="769">
      <c r="B393" s="778" t="inlineStr">
        <is>
          <t>2.8</t>
        </is>
      </c>
      <c r="C393" s="508" t="inlineStr">
        <is>
          <t>Деэтанизированный конденсат, всего:</t>
        </is>
      </c>
      <c r="D393" s="528" t="n"/>
      <c r="E393" s="528" t="n"/>
      <c r="F393" s="529" t="n"/>
      <c r="G393" s="530" t="inlineStr">
        <is>
          <t>4_100331945+4_100335044+4_100331947+4_100335359+4_100335360</t>
        </is>
      </c>
      <c r="H393" s="530" t="n"/>
      <c r="I393" s="931" t="inlineStr">
        <is>
          <t xml:space="preserve"> тыс. т.</t>
        </is>
      </c>
    </row>
    <row r="394" ht="24" customHeight="1" s="769">
      <c r="B394" s="778" t="n"/>
      <c r="C394" s="509" t="inlineStr">
        <is>
          <t>УЗПКТ</t>
        </is>
      </c>
      <c r="D394" s="528" t="n"/>
      <c r="E394" s="528" t="n"/>
      <c r="F394" s="529" t="n"/>
      <c r="G394" s="530" t="inlineStr">
        <is>
          <t>4_100331945+4_100335044+4_100331947</t>
        </is>
      </c>
      <c r="H394" s="530" t="n"/>
      <c r="I394" s="931" t="inlineStr">
        <is>
          <t xml:space="preserve"> тыс. т.</t>
        </is>
      </c>
    </row>
    <row r="395" ht="18.75" customHeight="1" s="769">
      <c r="B395" s="778" t="n"/>
      <c r="C395" s="510" t="inlineStr">
        <is>
          <t>УДК/УСК</t>
        </is>
      </c>
      <c r="D395" s="528" t="n"/>
      <c r="E395" s="528" t="n"/>
      <c r="F395" s="529" t="n"/>
      <c r="G395" s="530" t="inlineStr">
        <is>
          <t>4_100331945</t>
        </is>
      </c>
      <c r="H395" s="530" t="n"/>
      <c r="I395" s="931" t="inlineStr">
        <is>
          <t xml:space="preserve"> тыс. т.</t>
        </is>
      </c>
    </row>
    <row r="396" ht="18.75" customHeight="1" s="769">
      <c r="B396" s="778" t="n"/>
      <c r="C396" s="510" t="inlineStr">
        <is>
          <t>УПГД</t>
        </is>
      </c>
      <c r="D396" s="528" t="n"/>
      <c r="E396" s="528" t="n"/>
      <c r="F396" s="529" t="n"/>
      <c r="G396" s="530" t="inlineStr">
        <is>
          <t>4_100335044</t>
        </is>
      </c>
      <c r="H396" s="530" t="n"/>
      <c r="I396" s="931" t="inlineStr">
        <is>
          <t xml:space="preserve"> тыс. т.</t>
        </is>
      </c>
    </row>
    <row r="397" ht="18.75" customHeight="1" s="769">
      <c r="B397" s="778" t="n"/>
      <c r="C397" s="510" t="inlineStr">
        <is>
          <t>УСК НПТР</t>
        </is>
      </c>
      <c r="D397" s="528" t="n"/>
      <c r="E397" s="528" t="n"/>
      <c r="F397" s="529" t="n"/>
      <c r="G397" s="530" t="inlineStr">
        <is>
          <t>4_100331947</t>
        </is>
      </c>
      <c r="H397" s="530" t="n"/>
      <c r="I397" s="931" t="inlineStr">
        <is>
          <t xml:space="preserve"> тыс. т.</t>
        </is>
      </c>
    </row>
    <row r="398" ht="18.75" customHeight="1" s="769">
      <c r="B398" s="778" t="n"/>
      <c r="C398" s="509" t="inlineStr">
        <is>
          <t>На мощностях  ПАО "НОВАТЭК"</t>
        </is>
      </c>
      <c r="D398" s="528" t="n"/>
      <c r="E398" s="528" t="n"/>
      <c r="F398" s="529" t="n"/>
      <c r="G398" s="530" t="inlineStr">
        <is>
          <t>4_100335359</t>
        </is>
      </c>
      <c r="H398" s="530" t="n"/>
      <c r="I398" s="931" t="inlineStr">
        <is>
          <t xml:space="preserve"> тыс. т.</t>
        </is>
      </c>
    </row>
    <row r="399" ht="18.75" customHeight="1" s="769">
      <c r="B399" s="778" t="n"/>
      <c r="C399" s="509" t="inlineStr">
        <is>
          <t>На мощностях УДК(м)</t>
        </is>
      </c>
      <c r="D399" s="528" t="n"/>
      <c r="E399" s="528" t="n"/>
      <c r="F399" s="529" t="n"/>
      <c r="G399" s="530" t="inlineStr">
        <is>
          <t>4_100335360</t>
        </is>
      </c>
      <c r="H399" s="530" t="n"/>
      <c r="I399" s="931" t="inlineStr">
        <is>
          <t xml:space="preserve"> тыс. т.</t>
        </is>
      </c>
    </row>
    <row r="400" ht="22.5" customHeight="1" s="769">
      <c r="B400" s="778" t="inlineStr">
        <is>
          <t>2.9</t>
        </is>
      </c>
      <c r="C400" s="499" t="inlineStr">
        <is>
          <t>Переработка сырья на СЗСК, всего:</t>
        </is>
      </c>
      <c r="D400" s="528" t="n"/>
      <c r="E400" s="528" t="n"/>
      <c r="F400" s="529" t="n"/>
      <c r="G400" s="530" t="inlineStr">
        <is>
          <t>4_100331945+4_100335044+4_100331947+4_100335359+4_100335360-4_100331824+4_100331825+4_100331838+10_100330719+4_100335334+4_100335858+4_100335334</t>
        </is>
      </c>
      <c r="H400" s="530" t="n"/>
      <c r="I400" s="931" t="inlineStr">
        <is>
          <t xml:space="preserve"> тыс. т.</t>
        </is>
      </c>
    </row>
    <row r="401" ht="48" customHeight="1" s="769">
      <c r="B401" s="778" t="n"/>
      <c r="C401" s="777" t="inlineStr">
        <is>
          <t>Деэтанизированный конденсат с учетом заполнения и вытеснения</t>
        </is>
      </c>
      <c r="D401" s="528" t="n"/>
      <c r="E401" s="528" t="n"/>
      <c r="F401" s="529" t="n"/>
      <c r="G401" s="530" t="inlineStr">
        <is>
          <t>4_100331945+4_100335044+4_100331947+4_100335359+4_100335360-4_100331824+4_100331825</t>
        </is>
      </c>
      <c r="H401" s="530" t="n"/>
      <c r="I401" s="931" t="inlineStr">
        <is>
          <t xml:space="preserve"> тыс. т.</t>
        </is>
      </c>
    </row>
    <row r="402" ht="18.75" customHeight="1" s="769">
      <c r="B402" s="778" t="n"/>
      <c r="C402" s="777" t="inlineStr">
        <is>
          <t>Нефть</t>
        </is>
      </c>
      <c r="D402" s="528" t="n"/>
      <c r="E402" s="528" t="n"/>
      <c r="F402" s="529" t="n"/>
      <c r="G402" s="530" t="inlineStr">
        <is>
          <t>4_100331838</t>
        </is>
      </c>
      <c r="H402" s="530" t="n"/>
      <c r="I402" s="931" t="inlineStr">
        <is>
          <t xml:space="preserve"> тыс. т.</t>
        </is>
      </c>
    </row>
    <row r="403" ht="36" customHeight="1" s="769">
      <c r="B403" s="778" t="n"/>
      <c r="C403" s="777" t="inlineStr">
        <is>
          <t>Нестабильный конденсат</t>
        </is>
      </c>
      <c r="D403" s="528" t="n"/>
      <c r="E403" s="528" t="n"/>
      <c r="F403" s="529" t="n"/>
      <c r="G403" s="530" t="inlineStr">
        <is>
          <t>10_100330719+4_100335334+4_100335858+4_100335334</t>
        </is>
      </c>
      <c r="H403" s="530" t="n"/>
      <c r="I403" s="931" t="inlineStr">
        <is>
          <t xml:space="preserve"> тыс. т.</t>
        </is>
      </c>
    </row>
    <row r="404" ht="18.75" customHeight="1" s="769">
      <c r="B404" s="778" t="n"/>
      <c r="C404" s="512" t="inlineStr">
        <is>
          <t>ООО "Газпром добыча Ноябрьск"</t>
        </is>
      </c>
      <c r="D404" s="528" t="n"/>
      <c r="E404" s="528" t="n"/>
      <c r="F404" s="529" t="n"/>
      <c r="G404" s="530" t="inlineStr">
        <is>
          <t>10_100330719</t>
        </is>
      </c>
      <c r="H404" s="530" t="n"/>
      <c r="I404" s="931" t="inlineStr">
        <is>
          <t xml:space="preserve"> тыс. т.</t>
        </is>
      </c>
    </row>
    <row r="405" ht="18.75" customHeight="1" s="769">
      <c r="B405" s="778" t="n"/>
      <c r="C405" s="512" t="inlineStr">
        <is>
          <t>ООО "Газпром добыча Уренгой"</t>
        </is>
      </c>
      <c r="D405" s="528" t="n"/>
      <c r="E405" s="528" t="n"/>
      <c r="F405" s="529" t="n"/>
      <c r="G405" s="530" t="inlineStr">
        <is>
          <t>4_100335334+4_100335858</t>
        </is>
      </c>
      <c r="H405" s="530" t="n"/>
      <c r="I405" s="931" t="inlineStr">
        <is>
          <t xml:space="preserve"> тыс. т.</t>
        </is>
      </c>
    </row>
    <row r="406" ht="18.75" customHeight="1" s="769">
      <c r="B406" s="778" t="n"/>
      <c r="C406" s="513" t="inlineStr">
        <is>
          <t>Уренгойское НГКМ</t>
        </is>
      </c>
      <c r="D406" s="528" t="n"/>
      <c r="E406" s="528" t="n"/>
      <c r="F406" s="529" t="n"/>
      <c r="G406" s="530" t="inlineStr">
        <is>
          <t>4_100335334</t>
        </is>
      </c>
      <c r="H406" s="530" t="n"/>
      <c r="I406" s="931" t="inlineStr">
        <is>
          <t xml:space="preserve"> тыс. т.</t>
        </is>
      </c>
    </row>
    <row r="407" ht="18.75" customHeight="1" s="769">
      <c r="B407" s="778" t="n"/>
      <c r="C407" s="513" t="inlineStr">
        <is>
          <t>ДРОД</t>
        </is>
      </c>
      <c r="D407" s="528" t="n"/>
      <c r="E407" s="528" t="n"/>
      <c r="F407" s="529" t="n"/>
      <c r="G407" s="530" t="inlineStr">
        <is>
          <t>4_100335858</t>
        </is>
      </c>
      <c r="H407" s="530" t="n"/>
      <c r="I407" s="931" t="inlineStr">
        <is>
          <t xml:space="preserve"> тыс. т.</t>
        </is>
      </c>
    </row>
    <row r="408" ht="18.75" customHeight="1" s="769">
      <c r="B408" s="778" t="inlineStr">
        <is>
          <t>2.10</t>
        </is>
      </c>
      <c r="C408" s="514" t="inlineStr">
        <is>
          <t>Заполнение и вытеснение трубопроводов:</t>
        </is>
      </c>
      <c r="D408" s="528" t="n"/>
      <c r="E408" s="528" t="n"/>
      <c r="F408" s="529" t="n"/>
      <c r="G408" s="530" t="n"/>
      <c r="H408" s="530" t="n"/>
      <c r="I408" s="931" t="n"/>
    </row>
    <row r="409" ht="18.75" customHeight="1" s="769">
      <c r="B409" s="778" t="n"/>
      <c r="C409" s="774" t="inlineStr">
        <is>
          <t>Заполнение конденсатопровода МК "Ямбург - Уренгой"</t>
        </is>
      </c>
      <c r="D409" s="528" t="n"/>
      <c r="E409" s="528" t="n"/>
      <c r="F409" s="529" t="n"/>
      <c r="G409" s="530" t="inlineStr">
        <is>
          <t>4_100331822</t>
        </is>
      </c>
      <c r="H409" s="530" t="n"/>
      <c r="I409" s="931" t="inlineStr">
        <is>
          <t xml:space="preserve"> тыс. т.</t>
        </is>
      </c>
    </row>
    <row r="410" ht="18.75" customHeight="1" s="769">
      <c r="B410" s="778" t="n"/>
      <c r="C410" s="774" t="inlineStr">
        <is>
          <t>Вытеснение конденсатопровода МК "Ямбург - Уренгой"</t>
        </is>
      </c>
      <c r="D410" s="528" t="n"/>
      <c r="E410" s="528" t="n"/>
      <c r="F410" s="529" t="n"/>
      <c r="G410" s="530" t="inlineStr">
        <is>
          <t>4_100331823</t>
        </is>
      </c>
      <c r="H410" s="530" t="n"/>
      <c r="I410" s="931" t="inlineStr">
        <is>
          <t xml:space="preserve"> тыс. т.</t>
        </is>
      </c>
    </row>
    <row r="411" ht="18.75" customHeight="1" s="769">
      <c r="B411" s="778" t="n"/>
      <c r="C411" s="774" t="inlineStr">
        <is>
          <t>Заполнение трубопровода МК "Уренгой-Сургут"</t>
        </is>
      </c>
      <c r="D411" s="528" t="n"/>
      <c r="E411" s="528" t="n"/>
      <c r="F411" s="529" t="n"/>
      <c r="G411" s="530" t="inlineStr">
        <is>
          <t>4_100331824</t>
        </is>
      </c>
      <c r="H411" s="530" t="n"/>
      <c r="I411" s="931" t="inlineStr">
        <is>
          <t xml:space="preserve"> тыс. т.</t>
        </is>
      </c>
    </row>
    <row r="412" ht="18.75" customHeight="1" s="769">
      <c r="B412" s="778" t="n"/>
      <c r="C412" s="774" t="inlineStr">
        <is>
          <t>Вытеснение трубопровода МК "Уренгой-Сургут"</t>
        </is>
      </c>
      <c r="D412" s="528" t="n"/>
      <c r="E412" s="528" t="n"/>
      <c r="F412" s="529" t="n"/>
      <c r="G412" s="530" t="inlineStr">
        <is>
          <t>4_100331825</t>
        </is>
      </c>
      <c r="H412" s="530" t="n"/>
      <c r="I412" s="931" t="inlineStr">
        <is>
          <t xml:space="preserve"> тыс. т.</t>
        </is>
      </c>
    </row>
    <row r="413" ht="18.75" customHeight="1" s="769">
      <c r="B413" s="778" t="n"/>
      <c r="C413" s="774" t="inlineStr">
        <is>
          <t>Заполнение трубопроводов объектов альтернативной схемы</t>
        </is>
      </c>
      <c r="D413" s="528" t="n"/>
      <c r="E413" s="528" t="n"/>
      <c r="F413" s="529" t="n"/>
      <c r="G413" s="530" t="inlineStr">
        <is>
          <t>4_100331818</t>
        </is>
      </c>
      <c r="H413" s="530" t="n"/>
      <c r="I413" s="931" t="inlineStr">
        <is>
          <t xml:space="preserve"> тыс. т.</t>
        </is>
      </c>
    </row>
    <row r="414" ht="18.75" customHeight="1" s="769">
      <c r="B414" s="778" t="n"/>
      <c r="C414" s="774" t="inlineStr">
        <is>
          <t>Вытеснение из трубопроводов объектов альтернативной схемы</t>
        </is>
      </c>
      <c r="D414" s="528" t="n"/>
      <c r="E414" s="528" t="n"/>
      <c r="F414" s="529" t="n"/>
      <c r="G414" s="530" t="inlineStr">
        <is>
          <t>4_100331819</t>
        </is>
      </c>
      <c r="H414" s="530" t="n"/>
      <c r="I414" s="931" t="inlineStr">
        <is>
          <t xml:space="preserve"> тыс. т.</t>
        </is>
      </c>
    </row>
    <row r="415" ht="37.5" customHeight="1" s="769">
      <c r="B415" s="778" t="inlineStr">
        <is>
          <t>2.11</t>
        </is>
      </c>
      <c r="C415" s="514" t="inlineStr">
        <is>
          <t>Транспортировка нефтегазоконденсатной смеси по объектам альтернативной схемы:</t>
        </is>
      </c>
      <c r="D415" s="528" t="n"/>
      <c r="E415" s="528" t="n"/>
      <c r="F415" s="529" t="n"/>
      <c r="G415" s="530" t="inlineStr">
        <is>
          <t>4_100335902+0+0-0-0+0+0-0-0+0+4_100335906+0+0+0+0</t>
        </is>
      </c>
      <c r="H415" s="530" t="n"/>
      <c r="I415" s="931" t="inlineStr">
        <is>
          <t xml:space="preserve"> тыс. т.</t>
        </is>
      </c>
    </row>
    <row r="416" ht="24" customHeight="1" s="769">
      <c r="B416" s="778" t="inlineStr">
        <is>
          <t>2.11.1</t>
        </is>
      </c>
      <c r="C416" s="515" t="inlineStr">
        <is>
          <t>Стабильный газовый конденсат (нефть)</t>
        </is>
      </c>
      <c r="D416" s="528" t="n"/>
      <c r="E416" s="528" t="n"/>
      <c r="F416" s="529" t="n"/>
      <c r="G416" s="530" t="inlineStr">
        <is>
          <t>4_100335902+0+0-0-0+0+0-0-0+0</t>
        </is>
      </c>
      <c r="H416" s="530" t="n"/>
      <c r="I416" s="931" t="inlineStr">
        <is>
          <t xml:space="preserve"> тыс. т.</t>
        </is>
      </c>
    </row>
    <row r="417" ht="18.75" customHeight="1" s="769">
      <c r="B417" s="778" t="n"/>
      <c r="C417" s="515" t="inlineStr">
        <is>
          <t>ПАО "ГАЗПРОМ"</t>
        </is>
      </c>
      <c r="D417" s="528" t="n"/>
      <c r="E417" s="528" t="n"/>
      <c r="F417" s="529" t="n"/>
      <c r="G417" s="530" t="inlineStr">
        <is>
          <t>4_100335902</t>
        </is>
      </c>
      <c r="H417" s="530" t="n"/>
      <c r="I417" s="931" t="inlineStr">
        <is>
          <t xml:space="preserve"> тыс. т.</t>
        </is>
      </c>
    </row>
    <row r="418" ht="18.75" customHeight="1" s="769">
      <c r="B418" s="778" t="n"/>
      <c r="C418" s="515" t="inlineStr">
        <is>
          <t>ДРОД</t>
        </is>
      </c>
      <c r="D418" s="528" t="n"/>
      <c r="E418" s="528" t="n"/>
      <c r="F418" s="529" t="n"/>
      <c r="G418" s="530" t="inlineStr">
        <is>
          <t>0+0-0-0+0+0-0-0+0</t>
        </is>
      </c>
      <c r="H418" s="530" t="n"/>
      <c r="I418" s="931" t="inlineStr">
        <is>
          <t xml:space="preserve"> тыс. т.</t>
        </is>
      </c>
    </row>
    <row r="419" ht="18.75" customHeight="1" s="769">
      <c r="B419" s="778" t="n"/>
      <c r="C419" s="516" t="inlineStr">
        <is>
          <t>Ачимовские отл. 3 уч.</t>
        </is>
      </c>
      <c r="D419" s="528" t="n"/>
      <c r="E419" s="528" t="n"/>
      <c r="F419" s="529" t="n"/>
      <c r="G419" s="530" t="n">
        <v>0</v>
      </c>
      <c r="H419" s="530" t="n"/>
      <c r="I419" s="931" t="inlineStr">
        <is>
          <t xml:space="preserve"> тыс. т.</t>
        </is>
      </c>
    </row>
    <row r="420" ht="18.75" customHeight="1" s="769">
      <c r="B420" s="778" t="n"/>
      <c r="C420" s="516" t="inlineStr">
        <is>
          <t>Ен-Яхинское ГКМ</t>
        </is>
      </c>
      <c r="D420" s="528" t="n"/>
      <c r="E420" s="528" t="n"/>
      <c r="F420" s="529" t="n"/>
      <c r="G420" s="530" t="n">
        <v>0</v>
      </c>
      <c r="H420" s="530" t="n"/>
      <c r="I420" s="931" t="inlineStr">
        <is>
          <t xml:space="preserve"> тыс. т.</t>
        </is>
      </c>
    </row>
    <row r="421" ht="18.75" customHeight="1" s="769">
      <c r="B421" s="778" t="n"/>
      <c r="C421" s="516" t="inlineStr">
        <is>
          <t>Песцовое НГКМ</t>
        </is>
      </c>
      <c r="D421" s="528" t="n"/>
      <c r="E421" s="528" t="n"/>
      <c r="F421" s="529" t="n"/>
      <c r="G421" s="530" t="inlineStr">
        <is>
          <t>0-0-0+0+0-0-0</t>
        </is>
      </c>
      <c r="H421" s="530" t="n"/>
      <c r="I421" s="931" t="inlineStr">
        <is>
          <t xml:space="preserve"> тыс. т.</t>
        </is>
      </c>
    </row>
    <row r="422" ht="18.75" customHeight="1" s="769">
      <c r="B422" s="778" t="n"/>
      <c r="C422" s="516" t="inlineStr">
        <is>
          <t>Песцовое НГКМ (ачим)</t>
        </is>
      </c>
      <c r="D422" s="528" t="n"/>
      <c r="E422" s="528" t="n"/>
      <c r="F422" s="529" t="n"/>
      <c r="G422" s="530" t="n">
        <v>0</v>
      </c>
      <c r="H422" s="530" t="n"/>
      <c r="I422" s="931" t="inlineStr">
        <is>
          <t xml:space="preserve"> тыс. т.</t>
        </is>
      </c>
    </row>
    <row r="423" ht="18.75" customHeight="1" s="769">
      <c r="B423" s="778" t="inlineStr">
        <is>
          <t>2.11.2</t>
        </is>
      </c>
      <c r="C423" s="515" t="inlineStr">
        <is>
          <t>Нефть</t>
        </is>
      </c>
      <c r="D423" s="528" t="n"/>
      <c r="E423" s="528" t="n"/>
      <c r="F423" s="529" t="n"/>
      <c r="G423" s="530" t="inlineStr">
        <is>
          <t>4_100335906+0+0+0+0</t>
        </is>
      </c>
      <c r="H423" s="530" t="n"/>
      <c r="I423" s="931" t="inlineStr">
        <is>
          <t xml:space="preserve"> тыс. т.</t>
        </is>
      </c>
    </row>
    <row r="424" ht="18.75" customHeight="1" s="769">
      <c r="B424" s="778" t="n"/>
      <c r="C424" s="515" t="inlineStr">
        <is>
          <t>ПАО "ГАЗПРОМ"</t>
        </is>
      </c>
      <c r="D424" s="528" t="n"/>
      <c r="E424" s="528" t="n"/>
      <c r="F424" s="529" t="n"/>
      <c r="G424" s="530" t="inlineStr">
        <is>
          <t>4_100335906</t>
        </is>
      </c>
      <c r="H424" s="530" t="n"/>
      <c r="I424" s="931" t="inlineStr">
        <is>
          <t xml:space="preserve"> тыс. т.</t>
        </is>
      </c>
    </row>
    <row r="425" ht="18.75" customHeight="1" s="769">
      <c r="B425" s="778" t="n"/>
      <c r="C425" s="515" t="inlineStr">
        <is>
          <t>ДРОД</t>
        </is>
      </c>
      <c r="D425" s="528" t="n"/>
      <c r="E425" s="528" t="n"/>
      <c r="F425" s="529" t="n"/>
      <c r="G425" s="530" t="inlineStr">
        <is>
          <t>0+0+0+0</t>
        </is>
      </c>
      <c r="H425" s="530" t="n"/>
      <c r="I425" s="931" t="inlineStr">
        <is>
          <t xml:space="preserve"> тыс. т.</t>
        </is>
      </c>
    </row>
    <row r="426" ht="18.75" customHeight="1" s="769">
      <c r="B426" s="778" t="n"/>
      <c r="C426" s="516" t="inlineStr">
        <is>
          <t>Уренгойское НГКМ фаза 2</t>
        </is>
      </c>
      <c r="D426" s="528" t="n"/>
      <c r="E426" s="528" t="n"/>
      <c r="F426" s="529" t="n"/>
      <c r="G426" s="530" t="n">
        <v>0</v>
      </c>
      <c r="H426" s="530" t="n"/>
      <c r="I426" s="931" t="inlineStr">
        <is>
          <t xml:space="preserve"> тыс. т.</t>
        </is>
      </c>
    </row>
    <row r="427" ht="18.75" customHeight="1" s="769">
      <c r="B427" s="778" t="n"/>
      <c r="C427" s="516" t="inlineStr">
        <is>
          <t>Ачимовские отл. 5 уч.</t>
        </is>
      </c>
      <c r="D427" s="528" t="n"/>
      <c r="E427" s="528" t="n"/>
      <c r="F427" s="529" t="n"/>
      <c r="G427" s="530" t="n">
        <v>0</v>
      </c>
      <c r="H427" s="530" t="n"/>
      <c r="I427" s="931" t="inlineStr">
        <is>
          <t xml:space="preserve"> тыс. т.</t>
        </is>
      </c>
    </row>
    <row r="428" ht="18.75" customHeight="1" s="769">
      <c r="B428" s="778" t="n"/>
      <c r="C428" s="516" t="inlineStr">
        <is>
          <t>Ачимовские отл. 6 уч.</t>
        </is>
      </c>
      <c r="D428" s="528" t="n"/>
      <c r="E428" s="528" t="n"/>
      <c r="F428" s="529" t="n"/>
      <c r="G428" s="530" t="n">
        <v>0</v>
      </c>
      <c r="H428" s="530" t="n"/>
      <c r="I428" s="931" t="inlineStr">
        <is>
          <t xml:space="preserve"> тыс. т.</t>
        </is>
      </c>
    </row>
    <row r="429" ht="18.75" customHeight="1" s="769">
      <c r="B429" s="778" t="n"/>
      <c r="C429" s="516" t="inlineStr">
        <is>
          <t>Ен-Яхинское ГКМ</t>
        </is>
      </c>
      <c r="D429" s="528" t="n"/>
      <c r="E429" s="528" t="n"/>
      <c r="F429" s="529" t="n"/>
      <c r="G429" s="530" t="n">
        <v>0</v>
      </c>
      <c r="H429" s="530" t="n"/>
      <c r="I429" s="931" t="inlineStr">
        <is>
          <t xml:space="preserve"> тыс. т.</t>
        </is>
      </c>
    </row>
    <row r="430" ht="18.75" customHeight="1" s="769">
      <c r="B430" s="778" t="n"/>
      <c r="C430" s="516" t="inlineStr">
        <is>
          <t>Песцовое НГКМ</t>
        </is>
      </c>
      <c r="D430" s="528" t="n"/>
      <c r="E430" s="528" t="n"/>
      <c r="F430" s="529" t="n"/>
      <c r="G430" s="530" t="n">
        <v>0</v>
      </c>
      <c r="H430" s="530" t="n"/>
      <c r="I430" s="931" t="inlineStr">
        <is>
          <t xml:space="preserve"> тыс. т.</t>
        </is>
      </c>
    </row>
  </sheetData>
  <mergeCells count="36">
    <mergeCell ref="C305:C306"/>
    <mergeCell ref="D7:D8"/>
    <mergeCell ref="C293:C294"/>
    <mergeCell ref="F7:F8"/>
    <mergeCell ref="G7:G8"/>
    <mergeCell ref="C290:C291"/>
    <mergeCell ref="C65:C66"/>
    <mergeCell ref="C282:C283"/>
    <mergeCell ref="C316:C317"/>
    <mergeCell ref="C297:C298"/>
    <mergeCell ref="C82:C83"/>
    <mergeCell ref="C299:C300"/>
    <mergeCell ref="B14:B16"/>
    <mergeCell ref="C284:C285"/>
    <mergeCell ref="C280:C281"/>
    <mergeCell ref="C50:C51"/>
    <mergeCell ref="C286:C287"/>
    <mergeCell ref="I6:I8"/>
    <mergeCell ref="C295:C296"/>
    <mergeCell ref="C21:C22"/>
    <mergeCell ref="E7:E8"/>
    <mergeCell ref="C314:C315"/>
    <mergeCell ref="C307:C308"/>
    <mergeCell ref="C288:C289"/>
    <mergeCell ref="B6:B8"/>
    <mergeCell ref="C309:C310"/>
    <mergeCell ref="B3:I3"/>
    <mergeCell ref="C196:C197"/>
    <mergeCell ref="C35:C36"/>
    <mergeCell ref="C311:C312"/>
    <mergeCell ref="D6:H6"/>
    <mergeCell ref="C301:C302"/>
    <mergeCell ref="H7:H8"/>
    <mergeCell ref="C6:C8"/>
    <mergeCell ref="C67:C68"/>
    <mergeCell ref="C303:C304"/>
  </mergeCells>
  <conditionalFormatting sqref="L10:L430 M10:M430 P10:P430 Q10:Q430 T10:T430 U10:U430 X10:X430 Y10:Y430 AB10:AB430 AC10:AC430 AF10:AF430 AG10:AG430 AJ10:AJ430 AK10:AK430 AN10:AN430 AO10:AO430 AR10:AR430 AS10:AS430 AV10:AV430 AW10:AW430 AZ10:AZ430 BA10:BA430 BD10:BD430 BE10:BE430 BH10:BH430 BI10:BI430 BL10:BL430 BM10:BM430 BP10:BP430 BQ10:BQ430 BT10:BT430 BU10:BU430 BX10:BX430 BY10:BY430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Лист26">
    <tabColor theme="8" tint="0.5999938962981048"/>
    <outlinePr summaryBelow="1" summaryRight="1"/>
    <pageSetUpPr autoPageBreaks="0" fitToPage="1"/>
  </sheetPr>
  <dimension ref="A3:J96"/>
  <sheetViews>
    <sheetView tabSelected="1" zoomScale="60" zoomScaleNormal="60" zoomScaleSheetLayoutView="55" workbookViewId="0">
      <pane xSplit="10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D11" sqref="D11:D12"/>
    </sheetView>
  </sheetViews>
  <sheetFormatPr baseColWidth="8" defaultColWidth="25" defaultRowHeight="18.75" outlineLevelRow="1"/>
  <cols>
    <col hidden="1" outlineLevel="1" width="13.42578125" customWidth="1" style="795" min="1" max="1"/>
    <col hidden="1" outlineLevel="1" width="12.42578125" customWidth="1" style="793" min="2" max="2"/>
    <col collapsed="1" width="14.42578125" bestFit="1" customWidth="1" style="832" min="3" max="3"/>
    <col width="77.7109375" customWidth="1" style="795" min="4" max="4"/>
    <col outlineLevel="1" width="17.140625" customWidth="1" style="795" min="5" max="5"/>
    <col outlineLevel="1" width="14.7109375" customWidth="1" style="795" min="6" max="6"/>
    <col outlineLevel="1" width="15.42578125" customWidth="1" style="795" min="7" max="7"/>
    <col outlineLevel="1" width="28" customWidth="1" style="795" min="8" max="9"/>
    <col width="14" bestFit="1" customWidth="1" style="796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5" customHeight="1" s="769"/>
    <row r="2" ht="18.75" customHeight="1" s="769"/>
    <row r="3" ht="20.25" customHeight="1" s="769">
      <c r="C3" s="794" t="inlineStr">
        <is>
          <t>Показатели по переработке сырья, производству продукции, оказанию услуг по переработке углеводородного сырья на объектах ООО "Газпром переработка"</t>
        </is>
      </c>
    </row>
    <row r="4" ht="15" customHeight="1" s="769"/>
    <row r="5" ht="19.5" customHeight="1" s="769">
      <c r="B5" s="20" t="n"/>
      <c r="C5" s="326" t="inlineStr">
        <is>
          <t>1.  АГПЗ ООО "Газпром переработка"</t>
        </is>
      </c>
      <c r="J5" s="936" t="n"/>
    </row>
    <row r="6" ht="20.1" customHeight="1" s="769">
      <c r="B6" s="792" t="inlineStr">
        <is>
          <t>Код строки</t>
        </is>
      </c>
      <c r="C6" s="798" t="inlineStr">
        <is>
          <t>№ п/п</t>
        </is>
      </c>
      <c r="D6" s="790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Ед.изм.</t>
        </is>
      </c>
    </row>
    <row r="7" ht="39.95" customHeight="1" s="769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C8" s="751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851" t="n"/>
      <c r="D9" s="382" t="n"/>
      <c r="E9" s="869" t="n"/>
      <c r="F9" s="869" t="n"/>
      <c r="G9" s="869" t="n"/>
      <c r="H9" s="203" t="n"/>
      <c r="I9" s="203" t="n"/>
      <c r="J9" s="654" t="n"/>
    </row>
    <row r="10" ht="40.5" customFormat="1" customHeight="1" s="22">
      <c r="A10" s="937" t="n"/>
      <c r="B10" s="23" t="inlineStr">
        <is>
          <t>1.1</t>
        </is>
      </c>
      <c r="C10" s="24" t="n">
        <v>1</v>
      </c>
      <c r="D10" s="200" t="inlineStr">
        <is>
          <t>FFFFFF</t>
        </is>
      </c>
      <c r="E10" s="528" t="inlineStr">
        <is>
          <t>100331977</t>
        </is>
      </c>
      <c r="F10" s="528" t="n"/>
      <c r="G10" s="529" t="n"/>
      <c r="H10" s="530" t="inlineStr">
        <is>
          <t>100331978+100335798</t>
        </is>
      </c>
      <c r="I10" s="530" t="inlineStr">
        <is>
          <t>ОКРУГЛ({100331977:-1}/{100331977:-1}*$100;$6)</t>
        </is>
      </c>
      <c r="J10" s="25" t="inlineStr">
        <is>
          <t>тыс.т.</t>
        </is>
      </c>
    </row>
    <row r="11" ht="19.5" customFormat="1" customHeight="1" s="22">
      <c r="A11" s="937" t="n"/>
      <c r="B11" s="23" t="inlineStr">
        <is>
          <t>1.2</t>
        </is>
      </c>
      <c r="C11" s="797" t="inlineStr">
        <is>
          <t>1.1</t>
        </is>
      </c>
      <c r="D11" s="788" t="inlineStr">
        <is>
          <t>СЕПАРАЦИЯ ПРИРОДНОГО ГАЗА, 
собственность ООО "Газпром добыча Астрахань"</t>
        </is>
      </c>
      <c r="E11" s="528" t="inlineStr">
        <is>
          <t>100331978</t>
        </is>
      </c>
      <c r="F11" s="528" t="n"/>
      <c r="G11" s="529" t="n"/>
      <c r="H11" s="530" t="n"/>
      <c r="I11" s="530" t="inlineStr">
        <is>
          <t>ОКРУГЛ({100331978:-1}/{100331977:-1}*$100;$6)</t>
        </is>
      </c>
      <c r="J11" s="883" t="inlineStr">
        <is>
          <t>тыс.т.</t>
        </is>
      </c>
    </row>
    <row r="12" ht="19.5" customFormat="1" customHeight="1" s="22">
      <c r="A12" s="937" t="n"/>
      <c r="B12" s="23" t="inlineStr">
        <is>
          <t>1.3</t>
        </is>
      </c>
      <c r="C12" s="766" t="n"/>
      <c r="D12" s="766" t="n"/>
      <c r="E12" s="528" t="inlineStr">
        <is>
          <t>100331979</t>
        </is>
      </c>
      <c r="F12" s="528" t="n"/>
      <c r="G12" s="529" t="n"/>
      <c r="H12" s="530" t="n"/>
      <c r="I12" s="530" t="n"/>
      <c r="J12" s="938" t="inlineStr">
        <is>
          <t>млн куб.м</t>
        </is>
      </c>
    </row>
    <row r="13" ht="56.25" customFormat="1" customHeight="1" s="22">
      <c r="A13" s="937" t="n"/>
      <c r="B13" s="23" t="inlineStr">
        <is>
          <t>1.4</t>
        </is>
      </c>
      <c r="C13" s="797" t="inlineStr">
        <is>
          <t>1.2</t>
        </is>
      </c>
      <c r="D13" s="789" t="inlineStr">
        <is>
          <t>СЕПАРАЦИЯ КОНДЕНСАТА ГАЗОВОГО НЕСТАБИЛЬНОГО,  
собственность ООО "Газпром добыча Астрахань"</t>
        </is>
      </c>
      <c r="E13" s="528" t="inlineStr">
        <is>
          <t>100335798</t>
        </is>
      </c>
      <c r="F13" s="528" t="n"/>
      <c r="G13" s="529" t="n"/>
      <c r="H13" s="530" t="n"/>
      <c r="I13" s="530" t="inlineStr">
        <is>
          <t>ОКРУГЛ({100335798:-1}/{100331977:-1}*$100;$6)</t>
        </is>
      </c>
      <c r="J13" s="396" t="inlineStr">
        <is>
          <t>тыс.т.</t>
        </is>
      </c>
    </row>
    <row r="14" ht="39" customFormat="1" customHeight="1" s="22">
      <c r="A14" s="937" t="n"/>
      <c r="B14" s="23" t="inlineStr">
        <is>
          <t>1.5</t>
        </is>
      </c>
      <c r="C14" s="797" t="n"/>
      <c r="D14" s="862" t="inlineStr">
        <is>
          <t>ПОТЕРИ СЫРЬЯ ПРИ ПЕРЕРАБОТКЕ (УСЛОВНЫЕ), собственность ООО "Газпром добыча Астрахань":</t>
        </is>
      </c>
      <c r="E14" s="528" t="inlineStr">
        <is>
          <t>100335799</t>
        </is>
      </c>
      <c r="F14" s="528" t="n"/>
      <c r="G14" s="529" t="n"/>
      <c r="H14" s="530" t="inlineStr">
        <is>
          <t>100335800</t>
        </is>
      </c>
      <c r="I14" s="530" t="inlineStr">
        <is>
          <t>{100335798:0}</t>
        </is>
      </c>
      <c r="J14" s="669" t="inlineStr">
        <is>
          <t>тыс.т.</t>
        </is>
      </c>
    </row>
    <row r="15" customFormat="1" s="22">
      <c r="A15" s="937" t="n"/>
      <c r="B15" s="23" t="inlineStr">
        <is>
          <t>1.6</t>
        </is>
      </c>
      <c r="C15" s="797" t="n"/>
      <c r="D15" s="403" t="inlineStr">
        <is>
          <t>Природного газа и нестабильного конденсата</t>
        </is>
      </c>
      <c r="E15" s="528" t="inlineStr">
        <is>
          <t>100335800</t>
        </is>
      </c>
      <c r="F15" s="528" t="n"/>
      <c r="G15" s="529" t="n"/>
      <c r="H15" s="530" t="n"/>
      <c r="I15" s="530" t="inlineStr">
        <is>
          <t>{100331977:0}-{100335801:0}</t>
        </is>
      </c>
      <c r="J15" s="396" t="inlineStr">
        <is>
          <t>тыс.т.</t>
        </is>
      </c>
    </row>
    <row r="16" ht="37.5" customFormat="1" customHeight="1" s="22">
      <c r="A16" s="937" t="n"/>
      <c r="B16" s="23" t="inlineStr">
        <is>
          <t>1.7</t>
        </is>
      </c>
      <c r="C16" s="834" t="inlineStr">
        <is>
          <t>1.3</t>
        </is>
      </c>
      <c r="D16" s="789" t="inlineStr">
        <is>
          <t>ПРОИЗВОДСТВО ПРОДУКЦИИ, собственность 
ООО "Газпром добыча Астрахань"  ВСЕГО:</t>
        </is>
      </c>
      <c r="E16" s="528" t="inlineStr">
        <is>
          <t>100335801</t>
        </is>
      </c>
      <c r="F16" s="528" t="n"/>
      <c r="G16" s="529" t="n"/>
      <c r="H16" s="530" t="inlineStr">
        <is>
          <t>100335802+100335804</t>
        </is>
      </c>
      <c r="I16" s="530" t="inlineStr">
        <is>
          <t>{100335802:0}+{100335804:0}</t>
        </is>
      </c>
      <c r="J16" s="396" t="inlineStr">
        <is>
          <t>тыс.т.</t>
        </is>
      </c>
    </row>
    <row r="17" ht="20.25" customFormat="1" customHeight="1" s="22">
      <c r="A17" s="937" t="n"/>
      <c r="B17" s="23" t="inlineStr">
        <is>
          <t>1.8</t>
        </is>
      </c>
      <c r="C17" s="800" t="inlineStr">
        <is>
          <t>1.3.1</t>
        </is>
      </c>
      <c r="D17" s="801" t="inlineStr">
        <is>
          <t>Газ сырой отсепарированный</t>
        </is>
      </c>
      <c r="E17" s="528" t="inlineStr">
        <is>
          <t>100335802</t>
        </is>
      </c>
      <c r="F17" s="528" t="n"/>
      <c r="G17" s="529" t="n"/>
      <c r="H17" s="530" t="n"/>
      <c r="I17" s="530" t="inlineStr">
        <is>
          <t>ОКРУГЛ({100335802:-1}/{100331977:-1}*$100;$6)</t>
        </is>
      </c>
      <c r="J17" s="396" t="inlineStr">
        <is>
          <t>тыс.т.</t>
        </is>
      </c>
    </row>
    <row r="18" ht="20.25" customFormat="1" customHeight="1" s="22">
      <c r="A18" s="937" t="n"/>
      <c r="B18" s="23" t="inlineStr">
        <is>
          <t>1.9</t>
        </is>
      </c>
      <c r="C18" s="766" t="n"/>
      <c r="D18" s="766" t="n"/>
      <c r="E18" s="528" t="inlineStr">
        <is>
          <t>100335803</t>
        </is>
      </c>
      <c r="F18" s="528" t="n"/>
      <c r="G18" s="529" t="n"/>
      <c r="H18" s="530" t="n"/>
      <c r="I18" s="530" t="n"/>
      <c r="J18" s="938" t="inlineStr">
        <is>
          <t>млн куб.м</t>
        </is>
      </c>
    </row>
    <row r="19" ht="20.25" customFormat="1" customHeight="1" s="22">
      <c r="A19" s="937" t="n"/>
      <c r="B19" s="23" t="inlineStr">
        <is>
          <t>1.10</t>
        </is>
      </c>
      <c r="C19" s="800" t="inlineStr">
        <is>
          <t>1.3.2</t>
        </is>
      </c>
      <c r="D19" s="801" t="inlineStr">
        <is>
          <t>Конденсат газовый нестабильный</t>
        </is>
      </c>
      <c r="E19" s="528" t="n">
        <v>100335804</v>
      </c>
      <c r="F19" s="528" t="n"/>
      <c r="G19" s="529" t="n"/>
      <c r="H19" s="530" t="n"/>
      <c r="I19" s="530" t="inlineStr">
        <is>
          <t>ОКРУГЛ({100335804:-1}/{100331977:-1}*$100;$6)</t>
        </is>
      </c>
      <c r="J19" s="396" t="inlineStr">
        <is>
          <t>тыс.т.</t>
        </is>
      </c>
    </row>
    <row r="20" ht="39.95" customFormat="1" customHeight="1" s="22">
      <c r="A20" s="937" t="n"/>
      <c r="B20" s="23" t="inlineStr">
        <is>
          <t>1.11</t>
        </is>
      </c>
      <c r="C20" s="797" t="inlineStr">
        <is>
          <t>2</t>
        </is>
      </c>
      <c r="D20" s="789" t="inlineStr">
        <is>
          <t xml:space="preserve">ПЕРЕРАБОТКА УГЛЕВОДОРОДНОГО СЫРЬЯ, собственность ПАО "Газпром" </t>
        </is>
      </c>
      <c r="E20" s="528" t="inlineStr">
        <is>
          <t>100335805</t>
        </is>
      </c>
      <c r="F20" s="528" t="n"/>
      <c r="G20" s="529" t="n"/>
      <c r="H20" s="530" t="inlineStr">
        <is>
          <t>100335806+100331985+100331986</t>
        </is>
      </c>
      <c r="I20" s="530" t="n"/>
      <c r="J20" s="938" t="inlineStr">
        <is>
          <t>тыс.т.</t>
        </is>
      </c>
    </row>
    <row r="21" ht="29.25" customFormat="1" customHeight="1" s="22">
      <c r="A21" s="937" t="n"/>
      <c r="B21" s="23" t="inlineStr">
        <is>
          <t>1.12</t>
        </is>
      </c>
      <c r="C21" s="797" t="inlineStr">
        <is>
          <t>2.1</t>
        </is>
      </c>
      <c r="D21" s="789" t="inlineStr">
        <is>
          <t>ПЕРЕРАБОТКА ГАЗА СЫРОГО ОТСЕПАРИРОВАННОГО 
(покупка у ООО "Газпром добыча Астрахань" )</t>
        </is>
      </c>
      <c r="E21" s="528" t="inlineStr">
        <is>
          <t>100335806</t>
        </is>
      </c>
      <c r="F21" s="528" t="n"/>
      <c r="G21" s="529" t="n"/>
      <c r="H21" s="530" t="inlineStr">
        <is>
          <t>100335802</t>
        </is>
      </c>
      <c r="I21" s="530" t="inlineStr">
        <is>
          <t>ОКРУГЛ({100335806:-1}/{100331977:-1}*$100;$6)</t>
        </is>
      </c>
      <c r="J21" s="938" t="inlineStr">
        <is>
          <t>тыс.т.</t>
        </is>
      </c>
    </row>
    <row r="22" ht="30.75" customFormat="1" customHeight="1" s="22">
      <c r="A22" s="937" t="n"/>
      <c r="B22" s="23" t="inlineStr">
        <is>
          <t>1.13</t>
        </is>
      </c>
      <c r="C22" s="766" t="n"/>
      <c r="D22" s="766" t="n"/>
      <c r="E22" s="528" t="n">
        <v>1003335807</v>
      </c>
      <c r="F22" s="528" t="n"/>
      <c r="G22" s="529" t="n"/>
      <c r="H22" s="530" t="inlineStr">
        <is>
          <t>100335803</t>
        </is>
      </c>
      <c r="I22" s="530" t="n"/>
      <c r="J22" s="938" t="inlineStr">
        <is>
          <t>млн куб.м</t>
        </is>
      </c>
    </row>
    <row r="23" ht="63.75" customFormat="1" customHeight="1" s="22">
      <c r="A23" s="937" t="n"/>
      <c r="B23" s="23" t="inlineStr">
        <is>
          <t>1.21</t>
        </is>
      </c>
      <c r="C23" s="797" t="inlineStr">
        <is>
          <t>2.2</t>
        </is>
      </c>
      <c r="D23" s="162" t="inlineStr">
        <is>
          <t>ПЕРЕРАБОТКА КОНДЕНСАТА ГАЗОВОГО НЕСТАБИЛЬНОГО 
(покупка у ООО "Газпром добыча Астрахань" )</t>
        </is>
      </c>
      <c r="E23" s="528" t="inlineStr">
        <is>
          <t>100331985</t>
        </is>
      </c>
      <c r="F23" s="528" t="n"/>
      <c r="G23" s="529" t="n"/>
      <c r="H23" s="530" t="inlineStr">
        <is>
          <t>100335804</t>
        </is>
      </c>
      <c r="I23" s="530" t="inlineStr">
        <is>
          <t>ОКРУГЛ({100331985:-1}/{100331977:-1}*$100;$6)</t>
        </is>
      </c>
      <c r="J23" s="883" t="inlineStr">
        <is>
          <t>тыс.т.</t>
        </is>
      </c>
    </row>
    <row r="24" ht="39.95" customFormat="1" customHeight="1" s="22">
      <c r="A24" s="937" t="n"/>
      <c r="B24" s="23" t="inlineStr">
        <is>
          <t>1.22</t>
        </is>
      </c>
      <c r="C24" s="834" t="inlineStr">
        <is>
          <t>2.3</t>
        </is>
      </c>
      <c r="D24" s="788" t="inlineStr">
        <is>
          <t>ПРИСАДКИ (ДОБАВКИ), ВСЕГО:</t>
        </is>
      </c>
      <c r="E24" s="528" t="inlineStr">
        <is>
          <t>100331986</t>
        </is>
      </c>
      <c r="F24" s="528" t="n"/>
      <c r="G24" s="529" t="n"/>
      <c r="H24" s="530" t="inlineStr">
        <is>
          <t>100331987+100331988+100332914</t>
        </is>
      </c>
      <c r="I24" s="530" t="n"/>
      <c r="J24" s="883" t="inlineStr">
        <is>
          <t>тыс.т.</t>
        </is>
      </c>
    </row>
    <row r="25" ht="37.5" customHeight="1" s="769">
      <c r="A25" s="937" t="n"/>
      <c r="B25" s="23" t="inlineStr">
        <is>
          <t>1.23</t>
        </is>
      </c>
      <c r="C25" s="800" t="inlineStr">
        <is>
          <t>2.3.1</t>
        </is>
      </c>
      <c r="D25" s="845" t="inlineStr">
        <is>
          <t>Присадки (добавки) для нефтепродуктов, 
собственность ПАО "Газпром"</t>
        </is>
      </c>
      <c r="E25" s="528" t="inlineStr">
        <is>
          <t>100331987</t>
        </is>
      </c>
      <c r="F25" s="528" t="n"/>
      <c r="G25" s="529" t="n"/>
      <c r="H25" s="530" t="n"/>
      <c r="I25" s="530" t="n"/>
      <c r="J25" s="654" t="inlineStr">
        <is>
          <t>тыс.т.</t>
        </is>
      </c>
    </row>
    <row r="26" ht="20.25" customHeight="1" s="769">
      <c r="A26" s="937" t="n"/>
      <c r="B26" s="23" t="inlineStr">
        <is>
          <t>1.24</t>
        </is>
      </c>
      <c r="C26" s="800" t="inlineStr">
        <is>
          <t>2.3.1.1.</t>
        </is>
      </c>
      <c r="D26" s="404" t="inlineStr">
        <is>
          <t>в т.ч. МТБЭ (добавка в бензин)</t>
        </is>
      </c>
      <c r="E26" s="528" t="inlineStr">
        <is>
          <t>100334996</t>
        </is>
      </c>
      <c r="F26" s="528" t="n"/>
      <c r="G26" s="529" t="n"/>
      <c r="H26" s="530" t="n"/>
      <c r="I26" s="530" t="n"/>
      <c r="J26" s="654" t="inlineStr">
        <is>
          <t>тыс.т.</t>
        </is>
      </c>
    </row>
    <row r="27" ht="39.75" customHeight="1" s="769">
      <c r="A27" s="937" t="n"/>
      <c r="B27" s="23" t="inlineStr">
        <is>
          <t>1.25</t>
        </is>
      </c>
      <c r="C27" s="800" t="inlineStr">
        <is>
          <t>2.3.2</t>
        </is>
      </c>
      <c r="D27" s="845" t="inlineStr">
        <is>
          <t>Компонент для производства серы, 
собственность ПАО "Газпром"</t>
        </is>
      </c>
      <c r="E27" s="528" t="inlineStr">
        <is>
          <t>100331988</t>
        </is>
      </c>
      <c r="F27" s="528" t="n"/>
      <c r="G27" s="529" t="n"/>
      <c r="H27" s="530" t="n"/>
      <c r="I27" s="530" t="n"/>
      <c r="J27" s="654" t="inlineStr">
        <is>
          <t>тыс.т.</t>
        </is>
      </c>
    </row>
    <row r="28" ht="20.25" customHeight="1" s="769">
      <c r="A28" s="937" t="n"/>
      <c r="B28" s="23" t="inlineStr">
        <is>
          <t>1.26</t>
        </is>
      </c>
      <c r="C28" s="800" t="inlineStr">
        <is>
          <t>2.3.3</t>
        </is>
      </c>
      <c r="D28" s="845" t="inlineStr">
        <is>
          <t>Компонент производства при выработке кислого газа</t>
        </is>
      </c>
      <c r="E28" s="528" t="inlineStr">
        <is>
          <t>100332914</t>
        </is>
      </c>
      <c r="F28" s="528" t="n"/>
      <c r="G28" s="529" t="n"/>
      <c r="H28" s="530" t="n"/>
      <c r="I28" s="530" t="n"/>
      <c r="J28" s="654" t="inlineStr">
        <is>
          <t>тыс.т.</t>
        </is>
      </c>
    </row>
    <row r="29" ht="20.25" customHeight="1" s="769">
      <c r="A29" s="937" t="n"/>
      <c r="B29" s="23" t="inlineStr">
        <is>
          <t>1.27</t>
        </is>
      </c>
      <c r="C29" s="799" t="n"/>
      <c r="D29" s="124" t="inlineStr">
        <is>
          <t>Справочно:</t>
        </is>
      </c>
      <c r="E29" s="528" t="n"/>
      <c r="F29" s="528" t="n"/>
      <c r="G29" s="529" t="n"/>
      <c r="H29" s="530" t="n"/>
      <c r="I29" s="530" t="n"/>
      <c r="J29" s="654" t="n"/>
    </row>
    <row r="30" outlineLevel="1" ht="39" customFormat="1" customHeight="1" s="28">
      <c r="A30" s="937" t="n"/>
      <c r="B30" s="23" t="inlineStr">
        <is>
          <t>1.28</t>
        </is>
      </c>
      <c r="C30" s="669" t="n">
        <v>3</v>
      </c>
      <c r="D30" s="124" t="inlineStr">
        <is>
          <t>ПОТЕРИ СЫРЬЯ ПРИ ПЕРЕРАБОТКЕ (УСЛОВНЫЕ), ВСЕГО:</t>
        </is>
      </c>
      <c r="E30" s="528" t="inlineStr">
        <is>
          <t>100331989</t>
        </is>
      </c>
      <c r="F30" s="528" t="n"/>
      <c r="G30" s="529" t="n"/>
      <c r="H30" s="530" t="inlineStr">
        <is>
          <t>100331990+100331991</t>
        </is>
      </c>
      <c r="I30" s="530" t="n"/>
      <c r="J30" s="29" t="inlineStr">
        <is>
          <t>тыс.т.</t>
        </is>
      </c>
    </row>
    <row r="31" outlineLevel="1" ht="20.25" customFormat="1" customHeight="1" s="839">
      <c r="A31" s="937" t="n"/>
      <c r="B31" s="23" t="inlineStr">
        <is>
          <t>1.29</t>
        </is>
      </c>
      <c r="C31" s="31" t="inlineStr">
        <is>
          <t>3.1</t>
        </is>
      </c>
      <c r="D31" s="830" t="inlineStr">
        <is>
          <t>Природный газ</t>
        </is>
      </c>
      <c r="E31" s="528" t="inlineStr">
        <is>
          <t>100331990</t>
        </is>
      </c>
      <c r="F31" s="528" t="n"/>
      <c r="G31" s="529" t="n"/>
      <c r="H31" s="530" t="n"/>
      <c r="I31" s="530" t="n"/>
      <c r="J31" s="32" t="inlineStr">
        <is>
          <t>тыс.т.</t>
        </is>
      </c>
    </row>
    <row r="32" outlineLevel="1" ht="20.25" customFormat="1" customHeight="1" s="839">
      <c r="A32" s="937" t="n"/>
      <c r="B32" s="23" t="inlineStr">
        <is>
          <t>1.30</t>
        </is>
      </c>
      <c r="C32" s="31" t="inlineStr">
        <is>
          <t>3.2</t>
        </is>
      </c>
      <c r="D32" s="35" t="inlineStr">
        <is>
          <t>Конденсат газовый нестабильный</t>
        </is>
      </c>
      <c r="E32" s="528" t="inlineStr">
        <is>
          <t>100331991</t>
        </is>
      </c>
      <c r="F32" s="528" t="n"/>
      <c r="G32" s="529" t="n"/>
      <c r="H32" s="530" t="n"/>
      <c r="I32" s="530" t="n"/>
      <c r="J32" s="32" t="inlineStr">
        <is>
          <t>тыс.т.</t>
        </is>
      </c>
    </row>
    <row r="33" ht="39.95" customFormat="1" customHeight="1" s="22">
      <c r="A33" s="937" t="n"/>
      <c r="B33" s="23" t="inlineStr">
        <is>
          <t>1.31</t>
        </is>
      </c>
      <c r="C33" s="396" t="n">
        <v>4</v>
      </c>
      <c r="D33" s="788" t="inlineStr">
        <is>
          <t>ПРОИЗВОДСТВО ПРОДУКЦИИ, 
собственность ПАО "Газпром", ВСЕГО:</t>
        </is>
      </c>
      <c r="E33" s="528" t="inlineStr">
        <is>
          <t>100331853</t>
        </is>
      </c>
      <c r="F33" s="528" t="n"/>
      <c r="G33" s="529" t="n"/>
      <c r="H33" s="530" t="inlineStr">
        <is>
          <t>100331992+100332000+100330073+100332010+100332011+100332017+100332020+100332021+100332022+100332023+100332024+100332025</t>
        </is>
      </c>
      <c r="I33" s="530" t="n"/>
      <c r="J33" s="883" t="inlineStr">
        <is>
          <t>тыс.т.</t>
        </is>
      </c>
    </row>
    <row r="34" ht="20.25" customFormat="1" customHeight="1" s="22">
      <c r="A34" s="937" t="n"/>
      <c r="B34" s="23" t="inlineStr">
        <is>
          <t>1.32</t>
        </is>
      </c>
      <c r="C34" s="797" t="inlineStr">
        <is>
          <t>4.1</t>
        </is>
      </c>
      <c r="D34" s="789" t="inlineStr">
        <is>
          <t>ГАЗ ПРИРОДНЫЙ СУХОЙ ОТБЕНЗИНЕННЫЙ, ВСЕГО:</t>
        </is>
      </c>
      <c r="E34" s="528" t="inlineStr">
        <is>
          <t>100331992</t>
        </is>
      </c>
      <c r="F34" s="528" t="n"/>
      <c r="G34" s="529" t="n"/>
      <c r="H34" s="530" t="inlineStr">
        <is>
          <t>100331994+100331996+100331998</t>
        </is>
      </c>
      <c r="I34" s="530" t="n"/>
      <c r="J34" s="883" t="inlineStr">
        <is>
          <t>тыс.т.</t>
        </is>
      </c>
    </row>
    <row r="35" ht="20.25" customFormat="1" customHeight="1" s="22">
      <c r="A35" s="937" t="n"/>
      <c r="B35" s="23" t="inlineStr">
        <is>
          <t>1.33</t>
        </is>
      </c>
      <c r="C35" s="766" t="n"/>
      <c r="D35" s="766" t="n"/>
      <c r="E35" s="528" t="inlineStr">
        <is>
          <t>100331993</t>
        </is>
      </c>
      <c r="F35" s="528" t="n"/>
      <c r="G35" s="529" t="n"/>
      <c r="H35" s="530" t="inlineStr">
        <is>
          <t>100331995+100331997+100331999</t>
        </is>
      </c>
      <c r="I35" s="530" t="n"/>
      <c r="J35" s="938" t="inlineStr">
        <is>
          <t>млн куб.м</t>
        </is>
      </c>
    </row>
    <row r="36" ht="20.25" customHeight="1" s="769">
      <c r="A36" s="937" t="n"/>
      <c r="B36" s="23" t="inlineStr">
        <is>
          <t>1.34</t>
        </is>
      </c>
      <c r="C36" s="799" t="inlineStr">
        <is>
          <t>4.1.1</t>
        </is>
      </c>
      <c r="D36" s="787" t="inlineStr">
        <is>
          <t>Газ горючий природный, в ГТС</t>
        </is>
      </c>
      <c r="E36" s="528" t="inlineStr">
        <is>
          <t>100331994</t>
        </is>
      </c>
      <c r="F36" s="528" t="n"/>
      <c r="G36" s="529" t="n"/>
      <c r="H36" s="530" t="n"/>
      <c r="I36" s="530" t="n"/>
      <c r="J36" s="654" t="inlineStr">
        <is>
          <t>тыс.т.</t>
        </is>
      </c>
    </row>
    <row r="37" ht="20.25" customHeight="1" s="769">
      <c r="A37" s="937" t="n"/>
      <c r="B37" s="23" t="inlineStr">
        <is>
          <t>1.35</t>
        </is>
      </c>
      <c r="C37" s="766" t="n"/>
      <c r="D37" s="766" t="n"/>
      <c r="E37" s="528" t="inlineStr">
        <is>
          <t>100331995</t>
        </is>
      </c>
      <c r="F37" s="528" t="n"/>
      <c r="G37" s="529" t="n"/>
      <c r="H37" s="530" t="n"/>
      <c r="I37" s="530" t="n"/>
      <c r="J37" s="939" t="inlineStr">
        <is>
          <t>млн куб.м</t>
        </is>
      </c>
    </row>
    <row r="38" ht="20.25" customHeight="1" s="769">
      <c r="A38" s="937" t="n"/>
      <c r="B38" s="23" t="inlineStr">
        <is>
          <t>1.36</t>
        </is>
      </c>
      <c r="C38" s="799" t="inlineStr">
        <is>
          <t>4.1.2</t>
        </is>
      </c>
      <c r="D38" s="787" t="inlineStr">
        <is>
          <t>Газ на СТН ООО «Газпром добыча Астрахань», 
собственность ПАО "Газпром"</t>
        </is>
      </c>
      <c r="E38" s="528" t="inlineStr">
        <is>
          <t>100331996</t>
        </is>
      </c>
      <c r="F38" s="528" t="n"/>
      <c r="G38" s="529" t="n"/>
      <c r="H38" s="530" t="n"/>
      <c r="I38" s="530" t="n"/>
      <c r="J38" s="654" t="inlineStr">
        <is>
          <t>тыс.т.</t>
        </is>
      </c>
    </row>
    <row r="39" ht="20.25" customHeight="1" s="769">
      <c r="A39" s="937" t="n"/>
      <c r="B39" s="23" t="inlineStr">
        <is>
          <t>1.37</t>
        </is>
      </c>
      <c r="C39" s="799" t="n"/>
      <c r="D39" s="766" t="n"/>
      <c r="E39" s="528" t="inlineStr">
        <is>
          <t>100331997</t>
        </is>
      </c>
      <c r="F39" s="528" t="n"/>
      <c r="G39" s="529" t="n"/>
      <c r="H39" s="530" t="n"/>
      <c r="I39" s="530" t="n"/>
      <c r="J39" s="939" t="inlineStr">
        <is>
          <t>млн куб.м</t>
        </is>
      </c>
    </row>
    <row r="40" ht="20.25" customHeight="1" s="769">
      <c r="A40" s="937" t="n"/>
      <c r="B40" s="23" t="inlineStr">
        <is>
          <t>1.38</t>
        </is>
      </c>
      <c r="C40" s="799" t="inlineStr">
        <is>
          <t>4.1.3</t>
        </is>
      </c>
      <c r="D40" s="787" t="inlineStr">
        <is>
          <t xml:space="preserve">Газ на СТН Газпром переработка, 
собственность ПАО "Газпром" </t>
        </is>
      </c>
      <c r="E40" s="528" t="inlineStr">
        <is>
          <t>100331998</t>
        </is>
      </c>
      <c r="F40" s="528" t="n"/>
      <c r="G40" s="529" t="n"/>
      <c r="H40" s="530" t="n"/>
      <c r="I40" s="530" t="n"/>
      <c r="J40" s="654" t="inlineStr">
        <is>
          <t>тыс.т.</t>
        </is>
      </c>
    </row>
    <row r="41" ht="20.25" customHeight="1" s="769">
      <c r="A41" s="937" t="n"/>
      <c r="B41" s="23" t="inlineStr">
        <is>
          <t>1.39</t>
        </is>
      </c>
      <c r="C41" s="799" t="n"/>
      <c r="D41" s="766" t="n"/>
      <c r="E41" s="528" t="inlineStr">
        <is>
          <t>100331999</t>
        </is>
      </c>
      <c r="F41" s="528" t="n"/>
      <c r="G41" s="529" t="n"/>
      <c r="H41" s="530" t="n"/>
      <c r="I41" s="530" t="n"/>
      <c r="J41" s="939" t="inlineStr">
        <is>
          <t>млн куб.м</t>
        </is>
      </c>
    </row>
    <row r="42" ht="20.25" customFormat="1" customHeight="1" s="22">
      <c r="A42" s="937" t="n"/>
      <c r="B42" s="23" t="inlineStr">
        <is>
          <t>1.40</t>
        </is>
      </c>
      <c r="C42" s="797" t="inlineStr">
        <is>
          <t>4.2</t>
        </is>
      </c>
      <c r="D42" s="788" t="inlineStr">
        <is>
          <t>СЕРА, ВСЕГО:</t>
        </is>
      </c>
      <c r="E42" s="528" t="inlineStr">
        <is>
          <t>100332000</t>
        </is>
      </c>
      <c r="F42" s="528" t="n"/>
      <c r="G42" s="529" t="n"/>
      <c r="H42" s="530" t="inlineStr">
        <is>
          <t>100332001</t>
        </is>
      </c>
      <c r="I42" s="530" t="n"/>
      <c r="J42" s="883" t="inlineStr">
        <is>
          <t>тыс.т.</t>
        </is>
      </c>
    </row>
    <row r="43" ht="20.25" customHeight="1" s="769">
      <c r="A43" s="937" t="n"/>
      <c r="B43" s="23" t="inlineStr">
        <is>
          <t>1.41</t>
        </is>
      </c>
      <c r="C43" s="799" t="inlineStr">
        <is>
          <t>4.2.1</t>
        </is>
      </c>
      <c r="D43" s="250" t="inlineStr">
        <is>
          <t>Сера, :</t>
        </is>
      </c>
      <c r="E43" s="528" t="inlineStr">
        <is>
          <t>100332001</t>
        </is>
      </c>
      <c r="F43" s="528" t="n"/>
      <c r="G43" s="529" t="n"/>
      <c r="H43" s="530" t="inlineStr">
        <is>
          <t>100330068+100330069+100330070+100330071+100337112</t>
        </is>
      </c>
      <c r="I43" s="530" t="n"/>
      <c r="J43" s="654" t="inlineStr">
        <is>
          <t>тыс.т.</t>
        </is>
      </c>
    </row>
    <row r="44" ht="20.25" customHeight="1" s="769">
      <c r="A44" s="937" t="n"/>
      <c r="B44" s="23" t="inlineStr">
        <is>
          <t>1.42</t>
        </is>
      </c>
      <c r="C44" s="799" t="inlineStr">
        <is>
          <t>4.2.1.1</t>
        </is>
      </c>
      <c r="D44" s="404" t="inlineStr">
        <is>
          <t>жидкая</t>
        </is>
      </c>
      <c r="E44" s="528" t="inlineStr">
        <is>
          <t>100330068</t>
        </is>
      </c>
      <c r="F44" s="528" t="n"/>
      <c r="G44" s="529" t="n"/>
      <c r="H44" s="530" t="n"/>
      <c r="I44" s="530" t="n"/>
      <c r="J44" s="654" t="inlineStr">
        <is>
          <t>тыс.т.</t>
        </is>
      </c>
    </row>
    <row r="45" ht="20.25" customHeight="1" s="769">
      <c r="A45" s="937" t="n"/>
      <c r="B45" s="23" t="inlineStr">
        <is>
          <t>1.43</t>
        </is>
      </c>
      <c r="C45" s="799" t="inlineStr">
        <is>
          <t>4.2.1.2</t>
        </is>
      </c>
      <c r="D45" s="404" t="inlineStr">
        <is>
          <t>комовая</t>
        </is>
      </c>
      <c r="E45" s="528" t="inlineStr">
        <is>
          <t>100330069</t>
        </is>
      </c>
      <c r="F45" s="528" t="n"/>
      <c r="G45" s="529" t="n"/>
      <c r="H45" s="530" t="n"/>
      <c r="I45" s="530" t="n"/>
      <c r="J45" s="654" t="inlineStr">
        <is>
          <t>тыс.т.</t>
        </is>
      </c>
    </row>
    <row r="46" ht="20.25" customHeight="1" s="769">
      <c r="A46" s="937" t="n"/>
      <c r="B46" s="23" t="inlineStr">
        <is>
          <t>1.44</t>
        </is>
      </c>
      <c r="C46" s="799" t="inlineStr">
        <is>
          <t>4.2.1.3</t>
        </is>
      </c>
      <c r="D46" s="404" t="inlineStr">
        <is>
          <t>марка С</t>
        </is>
      </c>
      <c r="E46" s="528" t="inlineStr">
        <is>
          <t>100330070</t>
        </is>
      </c>
      <c r="F46" s="528" t="n"/>
      <c r="G46" s="529" t="n"/>
      <c r="H46" s="530" t="n"/>
      <c r="I46" s="530" t="n"/>
      <c r="J46" s="654" t="inlineStr">
        <is>
          <t>тыс.т.</t>
        </is>
      </c>
    </row>
    <row r="47" ht="20.25" customHeight="1" s="769">
      <c r="A47" s="937" t="n"/>
      <c r="B47" s="23" t="inlineStr">
        <is>
          <t>1.45</t>
        </is>
      </c>
      <c r="C47" s="799" t="inlineStr">
        <is>
          <t>4.2.1.4</t>
        </is>
      </c>
      <c r="D47" s="404" t="inlineStr">
        <is>
          <t>марка М</t>
        </is>
      </c>
      <c r="E47" s="528" t="inlineStr">
        <is>
          <t>100330071</t>
        </is>
      </c>
      <c r="F47" s="528" t="n"/>
      <c r="G47" s="529" t="n"/>
      <c r="H47" s="530" t="n"/>
      <c r="I47" s="530" t="n"/>
      <c r="J47" s="654" t="inlineStr">
        <is>
          <t>тыс.т.</t>
        </is>
      </c>
    </row>
    <row r="48" ht="20.25" customHeight="1" s="769">
      <c r="A48" s="937" t="n"/>
      <c r="B48" s="23" t="n"/>
      <c r="C48" s="799" t="inlineStr">
        <is>
          <t>4.2.1.5</t>
        </is>
      </c>
      <c r="D48" s="404" t="inlineStr">
        <is>
          <t>марка СМ</t>
        </is>
      </c>
      <c r="E48" s="528" t="inlineStr">
        <is>
          <t>100337112</t>
        </is>
      </c>
      <c r="F48" s="528" t="n"/>
      <c r="G48" s="529" t="n"/>
      <c r="H48" s="530" t="n"/>
      <c r="I48" s="530" t="n"/>
      <c r="J48" s="654" t="inlineStr">
        <is>
          <t>тыс.т.</t>
        </is>
      </c>
    </row>
    <row r="49" ht="20.25" customHeight="1" s="769">
      <c r="A49" s="937" t="n"/>
      <c r="B49" s="23" t="inlineStr">
        <is>
          <t>1.14</t>
        </is>
      </c>
      <c r="C49" s="799" t="n"/>
      <c r="D49" s="124" t="inlineStr">
        <is>
          <t>Справочно:</t>
        </is>
      </c>
      <c r="E49" s="528" t="n"/>
      <c r="F49" s="528" t="n"/>
      <c r="G49" s="529" t="n"/>
      <c r="H49" s="530" t="n"/>
      <c r="I49" s="530" t="n"/>
      <c r="J49" s="654" t="n"/>
    </row>
    <row r="50" ht="20.25" customHeight="1" s="769">
      <c r="A50" s="937" t="n"/>
      <c r="B50" s="23" t="inlineStr">
        <is>
          <t>1.15</t>
        </is>
      </c>
      <c r="C50" s="799" t="n"/>
      <c r="D50" s="844" t="inlineStr">
        <is>
          <t>Кислый газ, всего:</t>
        </is>
      </c>
      <c r="E50" s="528" t="inlineStr">
        <is>
          <t>100330010</t>
        </is>
      </c>
      <c r="F50" s="528" t="n"/>
      <c r="G50" s="529" t="n"/>
      <c r="H50" s="530" t="inlineStr">
        <is>
          <t>100331980+100331981</t>
        </is>
      </c>
      <c r="I50" s="530" t="n"/>
      <c r="J50" s="654" t="inlineStr">
        <is>
          <t>тыс.т.</t>
        </is>
      </c>
    </row>
    <row r="51" ht="20.25" customHeight="1" s="769">
      <c r="A51" s="937" t="n"/>
      <c r="B51" s="23" t="inlineStr">
        <is>
          <t>1.16</t>
        </is>
      </c>
      <c r="C51" s="799" t="n"/>
      <c r="D51" s="844" t="inlineStr">
        <is>
          <t>Кислый газ с производства № 3</t>
        </is>
      </c>
      <c r="E51" s="528" t="inlineStr">
        <is>
          <t>100331980</t>
        </is>
      </c>
      <c r="F51" s="528" t="n"/>
      <c r="G51" s="529" t="n"/>
      <c r="H51" s="530" t="n"/>
      <c r="I51" s="530" t="n"/>
      <c r="J51" s="654" t="inlineStr">
        <is>
          <t>тыс.т.</t>
        </is>
      </c>
    </row>
    <row r="52" ht="20.25" customHeight="1" s="769">
      <c r="A52" s="937" t="n"/>
      <c r="B52" s="23" t="inlineStr">
        <is>
          <t>1.17</t>
        </is>
      </c>
      <c r="C52" s="799" t="n"/>
      <c r="D52" s="844" t="inlineStr">
        <is>
          <t xml:space="preserve">Кислый газ с производства № 1,5 </t>
        </is>
      </c>
      <c r="E52" s="528" t="inlineStr">
        <is>
          <t>100331981</t>
        </is>
      </c>
      <c r="F52" s="528" t="n"/>
      <c r="G52" s="529" t="n"/>
      <c r="H52" s="530" t="n"/>
      <c r="I52" s="530" t="n"/>
      <c r="J52" s="654" t="inlineStr">
        <is>
          <t>тыс.т.</t>
        </is>
      </c>
    </row>
    <row r="53" ht="20.25" customFormat="1" customHeight="1" s="22">
      <c r="A53" s="937" t="n"/>
      <c r="B53" s="23" t="inlineStr">
        <is>
          <t>1.49</t>
        </is>
      </c>
      <c r="C53" s="797" t="inlineStr">
        <is>
          <t>4.3</t>
        </is>
      </c>
      <c r="D53" s="72" t="inlineStr">
        <is>
          <t>ШФЛУ товарная, всего:</t>
        </is>
      </c>
      <c r="E53" s="528" t="inlineStr">
        <is>
          <t>100330073</t>
        </is>
      </c>
      <c r="F53" s="528" t="n"/>
      <c r="G53" s="529" t="n"/>
      <c r="H53" s="530" t="inlineStr">
        <is>
          <t>100332003</t>
        </is>
      </c>
      <c r="I53" s="530" t="n"/>
      <c r="J53" s="883" t="inlineStr">
        <is>
          <t>тыс.т.</t>
        </is>
      </c>
    </row>
    <row r="54" ht="20.25" customHeight="1" s="769">
      <c r="A54" s="937" t="n"/>
      <c r="B54" s="23" t="inlineStr">
        <is>
          <t>1.50</t>
        </is>
      </c>
      <c r="C54" s="799" t="inlineStr">
        <is>
          <t>4.3.1</t>
        </is>
      </c>
      <c r="D54" s="250" t="inlineStr">
        <is>
          <t>ШФЛУ товарная</t>
        </is>
      </c>
      <c r="E54" s="528" t="inlineStr">
        <is>
          <t>100332003</t>
        </is>
      </c>
      <c r="F54" s="528" t="n"/>
      <c r="G54" s="529" t="n"/>
      <c r="H54" s="530" t="n"/>
      <c r="I54" s="530" t="n"/>
      <c r="J54" s="654" t="inlineStr">
        <is>
          <t>тыс.т.</t>
        </is>
      </c>
    </row>
    <row r="55" ht="20.25" customHeight="1" s="769">
      <c r="A55" s="937" t="n"/>
      <c r="B55" s="23" t="inlineStr">
        <is>
          <t>1.51</t>
        </is>
      </c>
      <c r="C55" s="31" t="n"/>
      <c r="D55" s="405" t="inlineStr">
        <is>
          <t>в т.ч. аналог стабильного конденсата</t>
        </is>
      </c>
      <c r="E55" s="528" t="inlineStr">
        <is>
          <t>100332004</t>
        </is>
      </c>
      <c r="F55" s="528" t="n"/>
      <c r="G55" s="529" t="n"/>
      <c r="H55" s="530" t="n"/>
      <c r="I55" s="530" t="n"/>
      <c r="J55" s="654" t="inlineStr">
        <is>
          <t>тыс.т.</t>
        </is>
      </c>
    </row>
    <row r="56" ht="20.25" customFormat="1" customHeight="1" s="839">
      <c r="A56" s="937" t="n"/>
      <c r="B56" s="23" t="inlineStr">
        <is>
          <t>1.52</t>
        </is>
      </c>
      <c r="C56" s="31" t="n"/>
      <c r="D56" s="34" t="inlineStr">
        <is>
          <t>Справочно:</t>
        </is>
      </c>
      <c r="E56" s="528" t="n"/>
      <c r="F56" s="528" t="n"/>
      <c r="G56" s="529" t="n"/>
      <c r="H56" s="530" t="n"/>
      <c r="I56" s="530" t="n"/>
      <c r="J56" s="32" t="n"/>
    </row>
    <row r="57" ht="20.25" customFormat="1" customHeight="1" s="839">
      <c r="A57" s="937" t="n"/>
      <c r="B57" s="23" t="inlineStr">
        <is>
          <t>1.53</t>
        </is>
      </c>
      <c r="C57" s="31" t="n"/>
      <c r="D57" s="35" t="inlineStr">
        <is>
          <t>ШФЛУ товарная с учетом изменения остатков</t>
        </is>
      </c>
      <c r="E57" s="528" t="inlineStr">
        <is>
          <t>100332005</t>
        </is>
      </c>
      <c r="F57" s="528" t="n"/>
      <c r="G57" s="529" t="n"/>
      <c r="H57" s="530" t="n"/>
      <c r="I57" s="530" t="n"/>
      <c r="J57" s="32" t="inlineStr">
        <is>
          <t>тыс.т.</t>
        </is>
      </c>
    </row>
    <row r="58" ht="20.25" customFormat="1" customHeight="1" s="839">
      <c r="A58" s="937" t="n"/>
      <c r="B58" s="23" t="inlineStr">
        <is>
          <t>1.54</t>
        </is>
      </c>
      <c r="C58" s="406" t="n"/>
      <c r="D58" s="35" t="inlineStr">
        <is>
          <t>ШФЛУ валовая</t>
        </is>
      </c>
      <c r="E58" s="528" t="inlineStr">
        <is>
          <t>100332006</t>
        </is>
      </c>
      <c r="F58" s="528" t="n"/>
      <c r="G58" s="529" t="n"/>
      <c r="H58" s="530" t="n"/>
      <c r="I58" s="530" t="n"/>
      <c r="J58" s="32" t="inlineStr">
        <is>
          <t>тыс.т.</t>
        </is>
      </c>
    </row>
    <row r="59" ht="20.25" customFormat="1" customHeight="1" s="839">
      <c r="A59" s="937" t="n"/>
      <c r="B59" s="23" t="inlineStr">
        <is>
          <t>1.55</t>
        </is>
      </c>
      <c r="C59" s="406" t="n"/>
      <c r="D59" s="36" t="inlineStr">
        <is>
          <t>в т.ч. аналог стабильного конденсата</t>
        </is>
      </c>
      <c r="E59" s="528" t="inlineStr">
        <is>
          <t>100334997</t>
        </is>
      </c>
      <c r="F59" s="528" t="n"/>
      <c r="G59" s="529" t="n"/>
      <c r="H59" s="530" t="n"/>
      <c r="I59" s="530" t="n"/>
      <c r="J59" s="32" t="inlineStr">
        <is>
          <t>тыс.т.</t>
        </is>
      </c>
    </row>
    <row r="60" ht="20.25" customFormat="1" customHeight="1" s="839">
      <c r="A60" s="937" t="n"/>
      <c r="B60" s="23" t="inlineStr">
        <is>
          <t>1.57</t>
        </is>
      </c>
      <c r="C60" s="31" t="n"/>
      <c r="D60" s="35" t="inlineStr">
        <is>
          <t>ШФЛУ - переработка</t>
        </is>
      </c>
      <c r="E60" s="528" t="inlineStr">
        <is>
          <t>100332008</t>
        </is>
      </c>
      <c r="F60" s="528" t="n"/>
      <c r="G60" s="529" t="n"/>
      <c r="H60" s="530" t="n"/>
      <c r="I60" s="530" t="n"/>
      <c r="J60" s="32" t="inlineStr">
        <is>
          <t>тыс.т.</t>
        </is>
      </c>
    </row>
    <row r="61" ht="20.25" customFormat="1" customHeight="1" s="839">
      <c r="A61" s="937" t="n"/>
      <c r="B61" s="23" t="inlineStr">
        <is>
          <t>1.58</t>
        </is>
      </c>
      <c r="C61" s="31" t="n"/>
      <c r="D61" s="36" t="inlineStr">
        <is>
          <t>в т.ч. аналог стабильного конденсата</t>
        </is>
      </c>
      <c r="E61" s="528" t="inlineStr">
        <is>
          <t>100332009</t>
        </is>
      </c>
      <c r="F61" s="528" t="n"/>
      <c r="G61" s="529" t="n"/>
      <c r="H61" s="530" t="n"/>
      <c r="I61" s="530" t="n"/>
      <c r="J61" s="32" t="inlineStr">
        <is>
          <t>тыс.т.</t>
        </is>
      </c>
    </row>
    <row r="62" ht="20.25" customFormat="1" customHeight="1" s="22">
      <c r="A62" s="937" t="n"/>
      <c r="B62" s="23" t="inlineStr">
        <is>
          <t>1.59</t>
        </is>
      </c>
      <c r="C62" s="797" t="inlineStr">
        <is>
          <t>4.4</t>
        </is>
      </c>
      <c r="D62" s="788" t="inlineStr">
        <is>
          <t>ГАЗЫ УГЛЕВОДОРОДНЫЕ СЖИЖЕННЫЕ</t>
        </is>
      </c>
      <c r="E62" s="528" t="inlineStr">
        <is>
          <t>100332010</t>
        </is>
      </c>
      <c r="F62" s="528" t="n"/>
      <c r="G62" s="529" t="n"/>
      <c r="H62" s="530" t="n"/>
      <c r="I62" s="530" t="n"/>
      <c r="J62" s="883" t="inlineStr">
        <is>
          <t>тыс.т.</t>
        </is>
      </c>
    </row>
    <row r="63" ht="20.25" customFormat="1" customHeight="1" s="22">
      <c r="A63" s="937" t="n"/>
      <c r="B63" s="23" t="inlineStr">
        <is>
          <t>1.60</t>
        </is>
      </c>
      <c r="C63" s="797" t="inlineStr">
        <is>
          <t>4.5</t>
        </is>
      </c>
      <c r="D63" s="72" t="inlineStr">
        <is>
          <t>СТАБИЛЬНЫЙ КОНДЕНСАТ ТОВАРНЫЙ, ВСЕГО:</t>
        </is>
      </c>
      <c r="E63" s="528" t="inlineStr">
        <is>
          <t>100332011</t>
        </is>
      </c>
      <c r="F63" s="528" t="n"/>
      <c r="G63" s="529" t="n"/>
      <c r="H63" s="530" t="inlineStr">
        <is>
          <t>100332012</t>
        </is>
      </c>
      <c r="I63" s="530" t="n"/>
      <c r="J63" s="883" t="inlineStr">
        <is>
          <t>тыс.т.</t>
        </is>
      </c>
    </row>
    <row r="64" ht="20.25" customHeight="1" s="769">
      <c r="A64" s="937" t="n"/>
      <c r="B64" s="23" t="inlineStr">
        <is>
          <t>1.61</t>
        </is>
      </c>
      <c r="C64" s="799" t="inlineStr">
        <is>
          <t>4.5.1</t>
        </is>
      </c>
      <c r="D64" s="35" t="inlineStr">
        <is>
          <t>СК товарный</t>
        </is>
      </c>
      <c r="E64" s="528" t="inlineStr">
        <is>
          <t>100332012</t>
        </is>
      </c>
      <c r="F64" s="528" t="n"/>
      <c r="G64" s="529" t="n"/>
      <c r="H64" s="530" t="n"/>
      <c r="I64" s="530" t="n"/>
      <c r="J64" s="654" t="inlineStr">
        <is>
          <t>тыс.т.</t>
        </is>
      </c>
    </row>
    <row r="65" ht="20.25" customHeight="1" s="769">
      <c r="A65" s="937" t="n"/>
      <c r="B65" s="23" t="inlineStr">
        <is>
          <t>1.62</t>
        </is>
      </c>
      <c r="C65" s="799" t="n"/>
      <c r="D65" s="34" t="inlineStr">
        <is>
          <t>Справочно:</t>
        </is>
      </c>
      <c r="E65" s="528" t="n"/>
      <c r="F65" s="528" t="n"/>
      <c r="G65" s="529" t="n"/>
      <c r="H65" s="530" t="n"/>
      <c r="I65" s="530" t="n"/>
      <c r="J65" s="654" t="n"/>
    </row>
    <row r="66" ht="20.25" customHeight="1" s="769">
      <c r="A66" s="937" t="n"/>
      <c r="B66" s="23" t="inlineStr">
        <is>
          <t>1.63</t>
        </is>
      </c>
      <c r="C66" s="31" t="n"/>
      <c r="D66" s="35" t="inlineStr">
        <is>
          <t>СК товарный с учетом изменения остатков (отгрузка)</t>
        </is>
      </c>
      <c r="E66" s="528" t="inlineStr">
        <is>
          <t>100332013</t>
        </is>
      </c>
      <c r="F66" s="528" t="n"/>
      <c r="G66" s="529" t="n"/>
      <c r="H66" s="530" t="n"/>
      <c r="I66" s="530" t="n"/>
      <c r="J66" s="654" t="inlineStr">
        <is>
          <t>тыс.т.</t>
        </is>
      </c>
    </row>
    <row r="67" ht="20.25" customHeight="1" s="769">
      <c r="A67" s="937" t="n"/>
      <c r="B67" s="23" t="inlineStr">
        <is>
          <t>1.64</t>
        </is>
      </c>
      <c r="C67" s="31" t="n"/>
      <c r="D67" s="35" t="inlineStr">
        <is>
          <t>СК валовый</t>
        </is>
      </c>
      <c r="E67" s="528" t="inlineStr">
        <is>
          <t>100332014</t>
        </is>
      </c>
      <c r="F67" s="528" t="n"/>
      <c r="G67" s="529" t="n"/>
      <c r="H67" s="530" t="n"/>
      <c r="I67" s="530" t="n"/>
      <c r="J67" s="654" t="inlineStr">
        <is>
          <t>тыс.т.</t>
        </is>
      </c>
    </row>
    <row r="68" ht="20.25" customHeight="1" s="769">
      <c r="A68" s="937" t="n"/>
      <c r="B68" s="23" t="inlineStr">
        <is>
          <t>1.66</t>
        </is>
      </c>
      <c r="C68" s="31" t="n"/>
      <c r="D68" s="35" t="inlineStr">
        <is>
          <t>СК - переработка</t>
        </is>
      </c>
      <c r="E68" s="528" t="inlineStr">
        <is>
          <t>100332016</t>
        </is>
      </c>
      <c r="F68" s="528" t="n"/>
      <c r="G68" s="529" t="n"/>
      <c r="H68" s="530" t="n"/>
      <c r="I68" s="530" t="n"/>
      <c r="J68" s="654" t="inlineStr">
        <is>
          <t>тыс.т.</t>
        </is>
      </c>
    </row>
    <row r="69" ht="20.25" customFormat="1" customHeight="1" s="22">
      <c r="A69" s="937" t="n"/>
      <c r="B69" s="23" t="inlineStr">
        <is>
          <t>1.67</t>
        </is>
      </c>
      <c r="C69" s="797" t="inlineStr">
        <is>
          <t>4.6</t>
        </is>
      </c>
      <c r="D69" s="72" t="inlineStr">
        <is>
          <t>АВТОМОБИЛЬНЫЙ БЕНЗИН, ВСЕГО:</t>
        </is>
      </c>
      <c r="E69" s="528" t="inlineStr">
        <is>
          <t>100332017</t>
        </is>
      </c>
      <c r="F69" s="528" t="n"/>
      <c r="G69" s="529" t="n"/>
      <c r="H69" s="530" t="inlineStr">
        <is>
          <t>100332018+100332019+100335688</t>
        </is>
      </c>
      <c r="I69" s="530" t="n"/>
      <c r="J69" s="883" t="inlineStr">
        <is>
          <t>тыс.т.</t>
        </is>
      </c>
    </row>
    <row r="70" ht="20.25" customFormat="1" customHeight="1" s="22">
      <c r="A70" s="937" t="n"/>
      <c r="B70" s="23" t="inlineStr">
        <is>
          <t>1.68</t>
        </is>
      </c>
      <c r="C70" s="797" t="n"/>
      <c r="D70" s="70" t="inlineStr">
        <is>
          <t>ОЧ-80</t>
        </is>
      </c>
      <c r="E70" s="528" t="inlineStr">
        <is>
          <t>100335688</t>
        </is>
      </c>
      <c r="F70" s="528" t="n"/>
      <c r="G70" s="529" t="n"/>
      <c r="H70" s="530" t="n"/>
      <c r="I70" s="530" t="n"/>
      <c r="J70" s="883" t="inlineStr">
        <is>
          <t>тыс.т.</t>
        </is>
      </c>
    </row>
    <row r="71" ht="20.25" customHeight="1" s="769">
      <c r="A71" s="937" t="n"/>
      <c r="B71" s="23" t="inlineStr">
        <is>
          <t>1.69</t>
        </is>
      </c>
      <c r="C71" s="799" t="inlineStr">
        <is>
          <t>4.6.1</t>
        </is>
      </c>
      <c r="D71" s="70" t="inlineStr">
        <is>
          <t>ОЧ-92</t>
        </is>
      </c>
      <c r="E71" s="528" t="inlineStr">
        <is>
          <t>100332018</t>
        </is>
      </c>
      <c r="F71" s="528" t="n"/>
      <c r="G71" s="529" t="n"/>
      <c r="H71" s="530" t="n"/>
      <c r="I71" s="530" t="n"/>
      <c r="J71" s="654" t="inlineStr">
        <is>
          <t>тыс.т.</t>
        </is>
      </c>
    </row>
    <row r="72" ht="20.25" customHeight="1" s="769">
      <c r="A72" s="937" t="n"/>
      <c r="B72" s="23" t="inlineStr">
        <is>
          <t>1.70</t>
        </is>
      </c>
      <c r="C72" s="799" t="inlineStr">
        <is>
          <t>4.6.2</t>
        </is>
      </c>
      <c r="D72" s="70" t="inlineStr">
        <is>
          <t>ОЧ-95</t>
        </is>
      </c>
      <c r="E72" s="528" t="inlineStr">
        <is>
          <t>100332019</t>
        </is>
      </c>
      <c r="F72" s="528" t="n"/>
      <c r="G72" s="529" t="n"/>
      <c r="H72" s="530" t="n"/>
      <c r="I72" s="530" t="n"/>
      <c r="J72" s="654" t="inlineStr">
        <is>
          <t>тыс.т.</t>
        </is>
      </c>
    </row>
    <row r="73" ht="20.25" customFormat="1" customHeight="1" s="22">
      <c r="A73" s="937" t="n"/>
      <c r="B73" s="23" t="inlineStr">
        <is>
          <t>1.71</t>
        </is>
      </c>
      <c r="C73" s="797" t="inlineStr">
        <is>
          <t>4.7</t>
        </is>
      </c>
      <c r="D73" s="72" t="inlineStr">
        <is>
          <t>ДГКЛ</t>
        </is>
      </c>
      <c r="E73" s="528" t="inlineStr">
        <is>
          <t>100332020</t>
        </is>
      </c>
      <c r="F73" s="528" t="n"/>
      <c r="G73" s="529" t="n"/>
      <c r="H73" s="530" t="n"/>
      <c r="I73" s="530" t="n"/>
      <c r="J73" s="883" t="inlineStr">
        <is>
          <t>тыс.т.</t>
        </is>
      </c>
    </row>
    <row r="74" ht="20.25" customFormat="1" customHeight="1" s="22">
      <c r="A74" s="937" t="n"/>
      <c r="B74" s="23" t="inlineStr">
        <is>
          <t>1.72</t>
        </is>
      </c>
      <c r="C74" s="797" t="inlineStr">
        <is>
          <t>4.8</t>
        </is>
      </c>
      <c r="D74" s="72" t="inlineStr">
        <is>
          <t>ДГКС</t>
        </is>
      </c>
      <c r="E74" s="528" t="inlineStr">
        <is>
          <t>100332021</t>
        </is>
      </c>
      <c r="F74" s="528" t="n"/>
      <c r="G74" s="529" t="n"/>
      <c r="H74" s="530" t="n"/>
      <c r="I74" s="530" t="n"/>
      <c r="J74" s="883" t="inlineStr">
        <is>
          <t>тыс.т.</t>
        </is>
      </c>
    </row>
    <row r="75" ht="20.25" customFormat="1" customHeight="1" s="22">
      <c r="A75" s="937" t="n"/>
      <c r="B75" s="23" t="inlineStr">
        <is>
          <t>1.73</t>
        </is>
      </c>
      <c r="C75" s="797" t="inlineStr">
        <is>
          <t>4.9</t>
        </is>
      </c>
      <c r="D75" s="72" t="inlineStr">
        <is>
          <t>ДГКТ</t>
        </is>
      </c>
      <c r="E75" s="528" t="inlineStr">
        <is>
          <t>100332022</t>
        </is>
      </c>
      <c r="F75" s="528" t="n"/>
      <c r="G75" s="529" t="n"/>
      <c r="H75" s="530" t="n"/>
      <c r="I75" s="530" t="n"/>
      <c r="J75" s="883" t="inlineStr">
        <is>
          <t>тыс.т.</t>
        </is>
      </c>
    </row>
    <row r="76" ht="20.25" customFormat="1" customHeight="1" s="22">
      <c r="A76" s="937" t="n"/>
      <c r="B76" s="23" t="inlineStr">
        <is>
          <t>1.74</t>
        </is>
      </c>
      <c r="C76" s="797" t="inlineStr">
        <is>
          <t>4.10</t>
        </is>
      </c>
      <c r="D76" s="72" t="inlineStr">
        <is>
          <t>ДИЗЕЛЬНОЕ ТОПЛИВО</t>
        </is>
      </c>
      <c r="E76" s="528" t="inlineStr">
        <is>
          <t>100332023</t>
        </is>
      </c>
      <c r="F76" s="528" t="n"/>
      <c r="G76" s="529" t="n"/>
      <c r="H76" s="530" t="n"/>
      <c r="I76" s="530" t="n"/>
      <c r="J76" s="883" t="inlineStr">
        <is>
          <t>тыс.т.</t>
        </is>
      </c>
    </row>
    <row r="77" ht="20.25" customFormat="1" customHeight="1" s="22">
      <c r="A77" s="937" t="n"/>
      <c r="B77" s="23" t="inlineStr">
        <is>
          <t>1.75</t>
        </is>
      </c>
      <c r="C77" s="797" t="inlineStr">
        <is>
          <t>4.11</t>
        </is>
      </c>
      <c r="D77" s="72" t="inlineStr">
        <is>
          <t>МАЗУТ</t>
        </is>
      </c>
      <c r="E77" s="528" t="inlineStr">
        <is>
          <t>100332024</t>
        </is>
      </c>
      <c r="F77" s="528" t="n"/>
      <c r="G77" s="529" t="n"/>
      <c r="H77" s="530" t="n"/>
      <c r="I77" s="530" t="n"/>
      <c r="J77" s="883" t="inlineStr">
        <is>
          <t>тыс.т.</t>
        </is>
      </c>
    </row>
    <row r="78" ht="20.25" customFormat="1" customHeight="1" s="22">
      <c r="A78" s="937" t="n"/>
      <c r="B78" s="23" t="inlineStr">
        <is>
          <t>1.76</t>
        </is>
      </c>
      <c r="C78" s="797" t="inlineStr">
        <is>
          <t>4.12</t>
        </is>
      </c>
      <c r="D78" s="788" t="inlineStr">
        <is>
          <t>ГАЗ СТАБИЛИЗАЦИИ НА СОБСТВЕННЫЕ НУЖДЫ</t>
        </is>
      </c>
      <c r="E78" s="528" t="inlineStr">
        <is>
          <t>100332025</t>
        </is>
      </c>
      <c r="F78" s="528" t="n"/>
      <c r="G78" s="529" t="n"/>
      <c r="H78" s="530" t="n"/>
      <c r="I78" s="530" t="n"/>
      <c r="J78" s="883" t="inlineStr">
        <is>
          <t>тыс.т.</t>
        </is>
      </c>
    </row>
    <row r="79" ht="20.25" customFormat="1" customHeight="1" s="22">
      <c r="A79" s="937" t="n"/>
      <c r="B79" s="23" t="inlineStr">
        <is>
          <t>1.77</t>
        </is>
      </c>
      <c r="C79" s="766" t="n"/>
      <c r="D79" s="766" t="n"/>
      <c r="E79" s="528" t="inlineStr">
        <is>
          <t>100332026</t>
        </is>
      </c>
      <c r="F79" s="528" t="n"/>
      <c r="G79" s="529" t="n"/>
      <c r="H79" s="530" t="n"/>
      <c r="I79" s="530" t="n"/>
      <c r="J79" s="938" t="inlineStr">
        <is>
          <t>млн куб.м</t>
        </is>
      </c>
    </row>
    <row r="80" outlineLevel="1" ht="20.25" customFormat="1" customHeight="1" s="22">
      <c r="A80" s="937" t="n"/>
      <c r="B80" s="23" t="inlineStr">
        <is>
          <t>1.78</t>
        </is>
      </c>
      <c r="C80" s="797" t="inlineStr">
        <is>
          <t>5</t>
        </is>
      </c>
      <c r="D80" s="407" t="inlineStr">
        <is>
          <t>Продукция, принятая в производство со склада (в примечании должнв быть ссылка на акт )</t>
        </is>
      </c>
      <c r="E80" s="528" t="inlineStr">
        <is>
          <t>100332942</t>
        </is>
      </c>
      <c r="F80" s="528" t="n"/>
      <c r="G80" s="529" t="n"/>
      <c r="H80" s="530" t="n"/>
      <c r="I80" s="530" t="n"/>
      <c r="J80" s="29" t="inlineStr">
        <is>
          <t>тыс.т.</t>
        </is>
      </c>
    </row>
    <row r="81" outlineLevel="1" ht="20.25" customFormat="1" customHeight="1" s="22">
      <c r="A81" s="937" t="n"/>
      <c r="B81" s="23" t="inlineStr">
        <is>
          <t>1.79</t>
        </is>
      </c>
      <c r="C81" s="797" t="n"/>
      <c r="D81" s="407" t="inlineStr">
        <is>
          <t>Продукция, переданная с производства на склад (в примечании должнв быть ссылка на акт )</t>
        </is>
      </c>
      <c r="E81" s="528" t="inlineStr">
        <is>
          <t>100335430</t>
        </is>
      </c>
      <c r="F81" s="528" t="n"/>
      <c r="G81" s="529" t="n"/>
      <c r="H81" s="530" t="n"/>
      <c r="I81" s="530" t="n"/>
      <c r="J81" s="29" t="inlineStr">
        <is>
          <t>тыс.т.</t>
        </is>
      </c>
    </row>
    <row r="82" outlineLevel="1" ht="20.25" customHeight="1" s="769">
      <c r="A82" s="937" t="n"/>
      <c r="B82" s="23" t="inlineStr">
        <is>
          <t>1.80</t>
        </is>
      </c>
      <c r="C82" s="797" t="inlineStr">
        <is>
          <t>6</t>
        </is>
      </c>
      <c r="D82" s="37" t="inlineStr">
        <is>
          <t>Материальный баланс переработки УВС</t>
        </is>
      </c>
      <c r="E82" s="528" t="n"/>
      <c r="F82" s="528" t="n"/>
      <c r="G82" s="529" t="n"/>
      <c r="H82" s="530" t="n"/>
      <c r="I82" s="530" t="n"/>
      <c r="J82" s="883" t="n"/>
    </row>
    <row r="83" outlineLevel="1" ht="20.25" customHeight="1" s="769">
      <c r="A83" s="937" t="n"/>
      <c r="B83" s="23" t="inlineStr">
        <is>
          <t>1.81</t>
        </is>
      </c>
      <c r="C83" s="797" t="n"/>
      <c r="D83" s="34" t="inlineStr">
        <is>
          <t>Материальный баланс ООО "Газпром добыча Астрахань"</t>
        </is>
      </c>
      <c r="E83" s="528" t="inlineStr">
        <is>
          <t>100335808</t>
        </is>
      </c>
      <c r="F83" s="528" t="n"/>
      <c r="G83" s="529" t="n"/>
      <c r="H83" s="530" t="inlineStr">
        <is>
          <t>100331977-100335799-100335801</t>
        </is>
      </c>
      <c r="I83" s="530" t="n"/>
      <c r="J83" s="883" t="inlineStr">
        <is>
          <t>тыс.т.</t>
        </is>
      </c>
    </row>
    <row r="84" outlineLevel="1" ht="20.25" customHeight="1" s="769">
      <c r="A84" s="937" t="n"/>
      <c r="B84" s="23" t="inlineStr">
        <is>
          <t>1.82</t>
        </is>
      </c>
      <c r="C84" s="402" t="n"/>
      <c r="D84" s="34" t="inlineStr">
        <is>
          <t>Материальный баланс  ПАО "Газпром"</t>
        </is>
      </c>
      <c r="E84" s="528" t="inlineStr">
        <is>
          <t>100335809</t>
        </is>
      </c>
      <c r="F84" s="528" t="n"/>
      <c r="G84" s="529" t="n"/>
      <c r="H84" s="530" t="inlineStr">
        <is>
          <t>100335805-100331989-100331853+100332942-100335430</t>
        </is>
      </c>
      <c r="I84" s="530" t="n"/>
      <c r="J84" s="883" t="inlineStr">
        <is>
          <t>тыс.т.</t>
        </is>
      </c>
    </row>
    <row r="85" outlineLevel="1" ht="48" customHeight="1" s="769">
      <c r="B85" s="850" t="n"/>
      <c r="C85" s="396" t="n">
        <v>7</v>
      </c>
      <c r="D85" s="545" t="inlineStr">
        <is>
          <t>Производство для реализации ПАО "Газпром"</t>
        </is>
      </c>
      <c r="E85" s="528" t="n"/>
      <c r="F85" s="528" t="inlineStr">
        <is>
          <t>T</t>
        </is>
      </c>
      <c r="G85" s="529" t="n"/>
      <c r="H85" s="530" t="inlineStr">
        <is>
          <t>100332000+100332000+100332010+100332013+100332017+100332020+100332021+100332021+100332023+100332024+100332024</t>
        </is>
      </c>
      <c r="I85" s="530" t="n"/>
      <c r="J85" s="883" t="inlineStr">
        <is>
          <t>тыс.т.</t>
        </is>
      </c>
    </row>
    <row r="86" outlineLevel="1" s="769">
      <c r="B86" s="850" t="n"/>
      <c r="C86" s="397" t="n">
        <v>8</v>
      </c>
      <c r="D86" s="398" t="inlineStr">
        <is>
          <t>Проверка с разделом "Добыча"</t>
        </is>
      </c>
      <c r="E86" s="528" t="n"/>
      <c r="F86" s="528" t="n"/>
      <c r="G86" s="529" t="n"/>
      <c r="H86" s="530" t="n"/>
      <c r="I86" s="530" t="n"/>
      <c r="J86" s="397" t="n"/>
    </row>
    <row r="87" outlineLevel="1" ht="19.5" customHeight="1" s="769">
      <c r="B87" s="850" t="n"/>
      <c r="C87" s="848" t="n"/>
      <c r="D87" s="791" t="inlineStr">
        <is>
          <t>природный газ</t>
        </is>
      </c>
      <c r="E87" s="528" t="n"/>
      <c r="F87" s="528" t="n"/>
      <c r="G87" s="529" t="n"/>
      <c r="H87" s="530" t="n"/>
      <c r="I87" s="530" t="n"/>
      <c r="J87" s="848" t="inlineStr">
        <is>
          <t>тыс.т.</t>
        </is>
      </c>
    </row>
    <row r="88" outlineLevel="1" ht="19.5" customHeight="1" s="769">
      <c r="B88" s="850" t="n"/>
      <c r="C88" s="848" t="n"/>
      <c r="D88" s="766" t="n"/>
      <c r="E88" s="528" t="n"/>
      <c r="F88" s="528" t="n"/>
      <c r="G88" s="529" t="n"/>
      <c r="H88" s="530" t="n"/>
      <c r="I88" s="530" t="n"/>
      <c r="J88" s="848" t="inlineStr">
        <is>
          <t>млн куб.м</t>
        </is>
      </c>
    </row>
    <row r="89" outlineLevel="1" ht="19.5" customHeight="1" s="769">
      <c r="B89" s="850" t="n"/>
      <c r="C89" s="848" t="n"/>
      <c r="D89" s="791" t="inlineStr">
        <is>
          <t>конденсат газовый нестабильный</t>
        </is>
      </c>
      <c r="E89" s="528" t="n"/>
      <c r="F89" s="528" t="n"/>
      <c r="G89" s="529" t="n"/>
      <c r="H89" s="530" t="n"/>
      <c r="I89" s="530" t="n"/>
      <c r="J89" s="848" t="inlineStr">
        <is>
          <t>тыс.т.</t>
        </is>
      </c>
    </row>
    <row r="90" outlineLevel="1" ht="19.5" customHeight="1" s="769">
      <c r="C90" s="848" t="n">
        <v>9</v>
      </c>
      <c r="D90" s="399" t="inlineStr">
        <is>
          <t>Проверка с ООО "Газпром добыча Астрахань"</t>
        </is>
      </c>
      <c r="E90" s="528" t="n"/>
      <c r="F90" s="528" t="n"/>
      <c r="G90" s="529" t="n"/>
      <c r="H90" s="530" t="n"/>
      <c r="I90" s="530" t="n"/>
      <c r="J90" s="848" t="n"/>
    </row>
    <row r="91" outlineLevel="1" ht="19.5" customHeight="1" s="769">
      <c r="C91" s="848" t="n"/>
      <c r="D91" s="791" t="inlineStr">
        <is>
          <t>природный газ</t>
        </is>
      </c>
      <c r="E91" s="528" t="n"/>
      <c r="F91" s="528" t="inlineStr">
        <is>
          <t>V</t>
        </is>
      </c>
      <c r="G91" s="529" t="n"/>
      <c r="H91" s="530" t="inlineStr">
        <is>
          <t>100331978-5_100330005</t>
        </is>
      </c>
      <c r="I91" s="530" t="n"/>
      <c r="J91" s="848" t="inlineStr">
        <is>
          <t>тыс.т.</t>
        </is>
      </c>
    </row>
    <row r="92" outlineLevel="1" ht="19.5" customHeight="1" s="769">
      <c r="C92" s="848" t="n"/>
      <c r="D92" s="766" t="n"/>
      <c r="E92" s="528" t="n"/>
      <c r="F92" s="528" t="inlineStr">
        <is>
          <t>V</t>
        </is>
      </c>
      <c r="G92" s="529" t="n"/>
      <c r="H92" s="530" t="inlineStr">
        <is>
          <t>100331979-5_100330006</t>
        </is>
      </c>
      <c r="I92" s="530" t="n"/>
      <c r="J92" s="848" t="inlineStr">
        <is>
          <t>млн куб.м</t>
        </is>
      </c>
    </row>
    <row r="93" outlineLevel="1" ht="19.5" customHeight="1" s="769">
      <c r="C93" s="400" t="n"/>
      <c r="D93" s="401" t="inlineStr">
        <is>
          <t>конденсат газовый нестабильный</t>
        </is>
      </c>
      <c r="E93" s="528" t="n"/>
      <c r="F93" s="528" t="inlineStr">
        <is>
          <t>V</t>
        </is>
      </c>
      <c r="G93" s="529" t="n"/>
      <c r="H93" s="530" t="inlineStr">
        <is>
          <t>100335798-5_100330016</t>
        </is>
      </c>
      <c r="I93" s="530" t="n"/>
      <c r="J93" s="847" t="inlineStr">
        <is>
          <t>тыс.т.</t>
        </is>
      </c>
    </row>
    <row r="95">
      <c r="D95" s="22" t="inlineStr">
        <is>
          <t>Примечания:</t>
        </is>
      </c>
    </row>
    <row r="96" ht="75" customHeight="1" s="769">
      <c r="D96" s="41" t="inlineStr">
        <is>
          <t>Компонент производства при выработке кислого газа - при регенерации амина в десорберах после очистки газа выходит кислый газ с водой, которая подпитывает (разбавляет) амин</t>
        </is>
      </c>
    </row>
  </sheetData>
  <mergeCells count="27">
    <mergeCell ref="D21:D22"/>
    <mergeCell ref="D36:D37"/>
    <mergeCell ref="D78:D79"/>
    <mergeCell ref="D87:D88"/>
    <mergeCell ref="D38:D39"/>
    <mergeCell ref="D34:D35"/>
    <mergeCell ref="F7:F8"/>
    <mergeCell ref="D40:D41"/>
    <mergeCell ref="D17:D18"/>
    <mergeCell ref="G7:G8"/>
    <mergeCell ref="D11:D12"/>
    <mergeCell ref="I7:I8"/>
    <mergeCell ref="D6:D8"/>
    <mergeCell ref="E6:I6"/>
    <mergeCell ref="C17:C18"/>
    <mergeCell ref="J6:J8"/>
    <mergeCell ref="C34:C35"/>
    <mergeCell ref="C21:C22"/>
    <mergeCell ref="C36:C37"/>
    <mergeCell ref="C78:C79"/>
    <mergeCell ref="E7:E8"/>
    <mergeCell ref="B6:B8"/>
    <mergeCell ref="C3:J3"/>
    <mergeCell ref="D91:D92"/>
    <mergeCell ref="C11:C12"/>
    <mergeCell ref="H7:H8"/>
    <mergeCell ref="C6:C8"/>
  </mergeCells>
  <conditionalFormatting sqref="O10:O93 P10:P93 U10:U93 V10:V93 AA10:AA93 AB10:AB93 AG10:AG93 AH10:AH93 AM10:AM93 AN10:AN93 AS10:AS93 AT10:AT93 AY10:AY93 AZ10:AZ93 BE10:BE93 BF10:BF93 BK10:BK93 BL10:BL93 BQ10:BQ93 BR10:BR93 BW10:BW93 BX10:BX93 CC10:CC93 CD10:CD93 CI10:CI93 CJ10:CJ93 CO10:CO93 CP10:CP93 CU10:CU93 CV10:CV93 DA10:DA93 DB10:DB93 DG10:DG93 DH10:DH93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93 N10:N93 R10:R93 T10:T93 X10:X93 Z10:Z93 AD10:AD93 AF10:AF93 AJ10:AJ93 AL10:AL93 AP10:AP93 AR10:AR93 AV10:AV93 AX10:AX93 BB10:BB93 BD10:BD93 BH10:BH93 BJ10:BJ93 BN10:BN93 BP10:BP93 BT10:BT93 BV10:BV93 BZ10:BZ93 CB10:CB93 CF10:CF93 CH10:CH93 CL10:CL93 CN10:CN93 CR10:CR93 CT10:CT93 CX10:CX93 CZ10:CZ93 DD10:DD93 DF10:DF93">
    <cfRule type="cellIs" priority="4" operator="equal" dxfId="0">
      <formula>0</formula>
    </cfRule>
  </conditionalFormatting>
  <pageMargins left="0.25" right="0.25" top="0.75" bottom="0.75" header="0.3" footer="0.3"/>
  <pageSetup orientation="portrait" paperSize="9" scale="77" fitToHeight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Лист27">
    <tabColor theme="8" tint="0.5999938962981048"/>
    <outlinePr summaryBelow="1" summaryRight="1"/>
    <pageSetUpPr fitToPage="1"/>
  </sheetPr>
  <dimension ref="A3:J355"/>
  <sheetViews>
    <sheetView topLeftCell="C1" zoomScale="60" zoomScaleNormal="60" zoomScaleSheetLayoutView="55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25" defaultRowHeight="15.75" outlineLevelRow="1"/>
  <cols>
    <col hidden="1" outlineLevel="1" width="15.85546875" customWidth="1" style="769" min="1" max="1"/>
    <col hidden="1" outlineLevel="1" width="15.85546875" customWidth="1" style="44" min="2" max="2"/>
    <col collapsed="1" width="8.5703125" customWidth="1" style="805" min="3" max="3"/>
    <col width="60.7109375" customWidth="1" style="805" min="4" max="4"/>
    <col outlineLevel="1" width="23.5703125" customWidth="1" style="805" min="5" max="9"/>
    <col width="14.28515625" bestFit="1" customWidth="1" style="805" min="10" max="10"/>
    <col width="8.43" customWidth="1" style="769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69" min="113" max="16384"/>
  </cols>
  <sheetData>
    <row r="1" outlineLevel="1" ht="15" customHeight="1" s="769"/>
    <row r="2" outlineLevel="1" ht="15" customHeight="1" s="769"/>
    <row r="3" outlineLevel="1" ht="20.25" customHeight="1" s="769">
      <c r="C3" s="794" t="inlineStr">
        <is>
          <t>Прогнозные показатели по переработке сырья, производству продукции, оказанию услуг по переработке углеводородного сырья на объектах ООО "Газпром переработка"</t>
        </is>
      </c>
    </row>
    <row r="4" outlineLevel="1" ht="15" customHeight="1" s="769"/>
    <row r="5" ht="18.75" customHeight="1" s="769">
      <c r="B5" s="47" t="n"/>
      <c r="C5" s="48" t="inlineStr">
        <is>
          <t xml:space="preserve">2. ОГПЗ и ОГЗ ООО "Газпром переработка" </t>
        </is>
      </c>
      <c r="D5" s="48" t="n"/>
      <c r="E5" s="48" t="n"/>
      <c r="F5" s="48" t="n"/>
      <c r="G5" s="48" t="n"/>
      <c r="H5" s="48" t="n"/>
      <c r="I5" s="48" t="n"/>
      <c r="J5" s="385" t="n"/>
    </row>
    <row r="6" ht="20.1" customFormat="1" customHeight="1" s="805">
      <c r="B6" s="828" t="n"/>
      <c r="C6" s="819" t="inlineStr">
        <is>
          <t>№ п/п</t>
        </is>
      </c>
      <c r="D6" s="819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822" t="inlineStr">
        <is>
          <t xml:space="preserve">Ед.изм. </t>
        </is>
      </c>
    </row>
    <row r="7" ht="39.95" customFormat="1" customHeight="1" s="805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Format="1" customHeight="1" s="805">
      <c r="C8" s="751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Format="1" customHeight="1" s="805">
      <c r="B9" s="828" t="n"/>
      <c r="C9" s="383" t="n"/>
      <c r="D9" s="384" t="n"/>
      <c r="E9" s="385" t="n"/>
      <c r="F9" s="385" t="n"/>
      <c r="G9" s="385" t="n"/>
      <c r="H9" s="385" t="n"/>
      <c r="I9" s="385" t="n"/>
      <c r="J9" s="386" t="n"/>
    </row>
    <row r="10" ht="24" customFormat="1" customHeight="1" s="805">
      <c r="A10" t="inlineStr">
        <is>
          <t>Переработка углеводородного сырья, всего:</t>
        </is>
      </c>
      <c r="B10" s="49" t="n"/>
      <c r="C10" s="535" t="inlineStr">
        <is>
          <t>1.</t>
        </is>
      </c>
      <c r="D10" s="50" t="inlineStr">
        <is>
          <t>Переработка углеводородного сырья, всего:</t>
        </is>
      </c>
      <c r="E10" s="528" t="inlineStr">
        <is>
          <t>100331977</t>
        </is>
      </c>
      <c r="F10" s="528" t="n"/>
      <c r="G10" s="529" t="n"/>
      <c r="H10" s="530" t="inlineStr">
        <is>
          <t>100332033+100332059+100332064</t>
        </is>
      </c>
      <c r="I10" s="530" t="n"/>
      <c r="J10" s="51" t="inlineStr">
        <is>
          <t>тыс. т</t>
        </is>
      </c>
    </row>
    <row r="11" ht="24" customFormat="1" customHeight="1" s="805">
      <c r="A11" t="inlineStr">
        <is>
          <t>в том числе без давальцев, всего:</t>
        </is>
      </c>
      <c r="B11" s="49" t="n"/>
      <c r="C11" s="825" t="n"/>
      <c r="D11" s="826" t="inlineStr">
        <is>
          <t>в том числе без давальцев, всего:</t>
        </is>
      </c>
      <c r="E11" s="528" t="inlineStr">
        <is>
          <t>100332027</t>
        </is>
      </c>
      <c r="F11" s="528" t="n"/>
      <c r="G11" s="529" t="n"/>
      <c r="H11" s="530" t="inlineStr">
        <is>
          <t>100332028+100332029+100332030-100332210</t>
        </is>
      </c>
      <c r="I11" s="530" t="n"/>
      <c r="J11" s="526" t="inlineStr">
        <is>
          <t>тыс. т.</t>
        </is>
      </c>
    </row>
    <row r="12" ht="24" customFormat="1" customHeight="1" s="805">
      <c r="A12" t="inlineStr">
        <is>
          <t>ПАО "Газпром"</t>
        </is>
      </c>
      <c r="B12" s="49" t="n"/>
      <c r="C12" s="812" t="n"/>
      <c r="D12" s="826" t="inlineStr">
        <is>
          <t>ПАО "Газпром"</t>
        </is>
      </c>
      <c r="E12" s="528" t="inlineStr">
        <is>
          <t>100332028</t>
        </is>
      </c>
      <c r="F12" s="528" t="n"/>
      <c r="G12" s="529" t="n"/>
      <c r="H12" s="530" t="inlineStr">
        <is>
          <t>100332061+100332065+100332206</t>
        </is>
      </c>
      <c r="I12" s="530" t="n"/>
      <c r="J12" s="526" t="inlineStr">
        <is>
          <t>тыс. т.</t>
        </is>
      </c>
    </row>
    <row r="13" ht="24" customFormat="1" customHeight="1" s="805">
      <c r="A13" t="inlineStr">
        <is>
          <t>ООО "Газпром переработка"</t>
        </is>
      </c>
      <c r="B13" s="49" t="n"/>
      <c r="C13" s="812" t="n"/>
      <c r="D13" s="826" t="inlineStr">
        <is>
          <t>ООО "Газпром переработка"</t>
        </is>
      </c>
      <c r="E13" s="528" t="inlineStr">
        <is>
          <t>100332029</t>
        </is>
      </c>
      <c r="F13" s="528" t="n"/>
      <c r="G13" s="529" t="n"/>
      <c r="H13" s="530" t="inlineStr">
        <is>
          <t>100332035+100332062+100332068+100332947+100335697</t>
        </is>
      </c>
      <c r="I13" s="530" t="n"/>
      <c r="J13" s="526" t="inlineStr">
        <is>
          <t>тыс. т.</t>
        </is>
      </c>
    </row>
    <row r="14" ht="18.75" customFormat="1" customHeight="1" s="805">
      <c r="A14" t="inlineStr">
        <is>
          <t>ООО "Сервиснефтегаз"</t>
        </is>
      </c>
      <c r="B14" s="49" t="n"/>
      <c r="C14" s="812" t="n"/>
      <c r="D14" s="826" t="inlineStr">
        <is>
          <t>ООО "Сервиснефтегаз"</t>
        </is>
      </c>
      <c r="E14" s="528" t="inlineStr">
        <is>
          <t>100332030</t>
        </is>
      </c>
      <c r="F14" s="528" t="n"/>
      <c r="G14" s="529" t="n"/>
      <c r="H14" s="530" t="inlineStr">
        <is>
          <t>100332069</t>
        </is>
      </c>
      <c r="I14" s="530" t="n"/>
      <c r="J14" s="526" t="inlineStr">
        <is>
          <t>тыс. т.</t>
        </is>
      </c>
    </row>
    <row r="15" ht="18.75" customFormat="1" customHeight="1" s="805">
      <c r="A15" t="inlineStr">
        <is>
          <t>ТОО "КазРосГаз"</t>
        </is>
      </c>
      <c r="B15" s="49" t="n"/>
      <c r="C15" s="812" t="n"/>
      <c r="D15" s="826" t="inlineStr">
        <is>
          <t>ТОО "КазРосГаз"</t>
        </is>
      </c>
      <c r="E15" s="528" t="inlineStr">
        <is>
          <t>100332031</t>
        </is>
      </c>
      <c r="F15" s="528" t="n"/>
      <c r="G15" s="529" t="n"/>
      <c r="H15" s="530" t="inlineStr">
        <is>
          <t>100332045</t>
        </is>
      </c>
      <c r="I15" s="530" t="n"/>
      <c r="J15" s="526" t="inlineStr">
        <is>
          <t>тыс. т.</t>
        </is>
      </c>
    </row>
    <row r="16" ht="18.75" customFormat="1" customHeight="1" s="805">
      <c r="A16" t="inlineStr">
        <is>
          <t>ПЕРЕРАБОТКА ПРИРОДНОГО ГАЗА, ВСЕГО:</t>
        </is>
      </c>
      <c r="B16" s="49" t="n"/>
      <c r="C16" s="808" t="inlineStr">
        <is>
          <t>1.1.</t>
        </is>
      </c>
      <c r="D16" s="811" t="inlineStr">
        <is>
          <t>ПЕРЕРАБОТКА ПРИРОДНОГО ГАЗА, ВСЕГО:</t>
        </is>
      </c>
      <c r="E16" s="528" t="inlineStr">
        <is>
          <t>100332033</t>
        </is>
      </c>
      <c r="F16" s="528" t="n"/>
      <c r="G16" s="529" t="n"/>
      <c r="H16" s="530" t="inlineStr">
        <is>
          <t>100332035+100332045</t>
        </is>
      </c>
      <c r="I16" s="530" t="n"/>
      <c r="J16" s="526" t="inlineStr">
        <is>
          <t>тыс. т</t>
        </is>
      </c>
    </row>
    <row r="17" ht="18.75" customFormat="1" customHeight="1" s="805">
      <c r="B17" s="49" t="n"/>
      <c r="C17" s="762" t="n"/>
      <c r="D17" s="766" t="n"/>
      <c r="E17" s="528" t="inlineStr">
        <is>
          <t>100332034</t>
        </is>
      </c>
      <c r="F17" s="528" t="n"/>
      <c r="G17" s="529" t="n"/>
      <c r="H17" s="530" t="inlineStr">
        <is>
          <t>100332036+100332046</t>
        </is>
      </c>
      <c r="I17" s="530" t="n"/>
      <c r="J17" s="940" t="inlineStr">
        <is>
          <t>млн куб.м</t>
        </is>
      </c>
    </row>
    <row r="18" ht="36" customFormat="1" customHeight="1" s="805">
      <c r="A18" t="inlineStr">
        <is>
          <t>ООО "Газпром переработка", всего:</t>
        </is>
      </c>
      <c r="B18" s="49" t="n"/>
      <c r="C18" s="812" t="inlineStr">
        <is>
          <t>1.1.1.</t>
        </is>
      </c>
      <c r="D18" s="803" t="inlineStr">
        <is>
          <t>ООО "Газпром переработка", всего:</t>
        </is>
      </c>
      <c r="E18" s="528" t="inlineStr">
        <is>
          <t>100332035</t>
        </is>
      </c>
      <c r="F18" s="528" t="n"/>
      <c r="G18" s="529" t="n"/>
      <c r="H18" s="530" t="inlineStr">
        <is>
          <t>100332037+100332039+100332041+100332043+100332915+100332943+100335128</t>
        </is>
      </c>
      <c r="I18" s="530" t="n"/>
      <c r="J18" s="526" t="inlineStr">
        <is>
          <t>тыс. т</t>
        </is>
      </c>
    </row>
    <row r="19" ht="36" customFormat="1" customHeight="1" s="805">
      <c r="B19" s="49" t="n"/>
      <c r="D19" s="766" t="n"/>
      <c r="E19" s="528" t="inlineStr">
        <is>
          <t>100332036</t>
        </is>
      </c>
      <c r="F19" s="528" t="n"/>
      <c r="G19" s="529" t="n"/>
      <c r="H19" s="530" t="inlineStr">
        <is>
          <t>100332038+100332040+100332042+100332044+100332916+100332944+100335129</t>
        </is>
      </c>
      <c r="I19" s="530" t="n"/>
      <c r="J19" s="940" t="inlineStr">
        <is>
          <t>млн куб.м</t>
        </is>
      </c>
    </row>
    <row r="20" ht="18.75" customFormat="1" customHeight="1" s="805">
      <c r="A20" t="inlineStr">
        <is>
          <t>- из сырья  ООО "Газпром добыча Оренбург"</t>
        </is>
      </c>
      <c r="B20" s="49" t="n"/>
      <c r="C20" s="812" t="n"/>
      <c r="D20" s="803" t="inlineStr">
        <is>
          <t xml:space="preserve"> - из сырья  ООО "Газпром добыча Оренбург"</t>
        </is>
      </c>
      <c r="E20" s="528" t="inlineStr">
        <is>
          <t>100332037</t>
        </is>
      </c>
      <c r="F20" s="528" t="n"/>
      <c r="G20" s="529" t="n"/>
      <c r="H20" s="530" t="n"/>
      <c r="I20" s="530" t="n"/>
      <c r="J20" s="526" t="inlineStr">
        <is>
          <t>тыс. т</t>
        </is>
      </c>
    </row>
    <row r="21" ht="18.75" customFormat="1" customHeight="1" s="805">
      <c r="B21" s="49" t="n"/>
      <c r="D21" s="766" t="n"/>
      <c r="E21" s="528" t="inlineStr">
        <is>
          <t>100332038</t>
        </is>
      </c>
      <c r="F21" s="528" t="n"/>
      <c r="G21" s="529" t="n"/>
      <c r="H21" s="530" t="n"/>
      <c r="I21" s="530" t="n"/>
      <c r="J21" s="940" t="inlineStr">
        <is>
          <t>млн куб.м</t>
        </is>
      </c>
    </row>
    <row r="22" ht="18.75" customFormat="1" customHeight="1" s="805">
      <c r="A22" t="inlineStr">
        <is>
          <t>в т.ч. ДРОД (Филипповская залежь и прочие залежи)</t>
        </is>
      </c>
      <c r="B22" s="49" t="n"/>
      <c r="C22" s="812" t="n"/>
      <c r="D22" s="829" t="inlineStr">
        <is>
          <t>в т.ч. ДРОД (Филипповская залежь и прочие залежи)</t>
        </is>
      </c>
      <c r="E22" s="528" t="inlineStr">
        <is>
          <t>100334998</t>
        </is>
      </c>
      <c r="F22" s="528" t="n"/>
      <c r="G22" s="529" t="n"/>
      <c r="H22" s="530" t="n"/>
      <c r="I22" s="530" t="n"/>
      <c r="J22" s="526" t="inlineStr">
        <is>
          <t>тыс. т</t>
        </is>
      </c>
    </row>
    <row r="23" ht="18.75" customFormat="1" customHeight="1" s="805">
      <c r="B23" s="49" t="n"/>
      <c r="C23" s="812" t="n"/>
      <c r="D23" s="766" t="n"/>
      <c r="E23" s="528" t="inlineStr">
        <is>
          <t>100334999</t>
        </is>
      </c>
      <c r="F23" s="528" t="n"/>
      <c r="G23" s="529" t="n"/>
      <c r="H23" s="530" t="n"/>
      <c r="I23" s="530" t="n"/>
      <c r="J23" s="940" t="inlineStr">
        <is>
          <t>млн куб.м</t>
        </is>
      </c>
    </row>
    <row r="24" ht="18.75" customFormat="1" customHeight="1" s="805">
      <c r="A24" t="inlineStr">
        <is>
          <t>- из сырья ПАО "Газпром нефть"</t>
        </is>
      </c>
      <c r="B24" s="49" t="n"/>
      <c r="C24" s="812" t="n"/>
      <c r="D24" s="803" t="inlineStr">
        <is>
          <t xml:space="preserve"> - из сырья ПАО "Газпром нефть"</t>
        </is>
      </c>
      <c r="E24" s="528" t="inlineStr">
        <is>
          <t>100332039</t>
        </is>
      </c>
      <c r="F24" s="528" t="n"/>
      <c r="G24" s="529" t="n"/>
      <c r="H24" s="530" t="n"/>
      <c r="I24" s="530" t="n"/>
      <c r="J24" s="526" t="inlineStr">
        <is>
          <t>тыс. т</t>
        </is>
      </c>
    </row>
    <row r="25" ht="18.75" customFormat="1" customHeight="1" s="805">
      <c r="B25" s="49" t="n"/>
      <c r="D25" s="766" t="n"/>
      <c r="E25" s="528" t="inlineStr">
        <is>
          <t>100332040</t>
        </is>
      </c>
      <c r="F25" s="528" t="n"/>
      <c r="G25" s="529" t="n"/>
      <c r="H25" s="530" t="n"/>
      <c r="I25" s="530" t="n"/>
      <c r="J25" s="940" t="inlineStr">
        <is>
          <t>млн куб.м</t>
        </is>
      </c>
    </row>
    <row r="26" ht="18.75" customFormat="1" customHeight="1" s="805">
      <c r="A26" t="inlineStr">
        <is>
          <t>- из сырья АО "УНГП"</t>
        </is>
      </c>
      <c r="B26" s="49" t="n"/>
      <c r="C26" s="812" t="n"/>
      <c r="D26" s="803" t="inlineStr">
        <is>
          <t xml:space="preserve"> - из сырья АО "УНГП"</t>
        </is>
      </c>
      <c r="E26" s="528" t="inlineStr">
        <is>
          <t>100332041</t>
        </is>
      </c>
      <c r="F26" s="528" t="n"/>
      <c r="G26" s="529" t="n"/>
      <c r="H26" s="530" t="n"/>
      <c r="I26" s="530" t="n"/>
      <c r="J26" s="526" t="inlineStr">
        <is>
          <t>тыс. т</t>
        </is>
      </c>
    </row>
    <row r="27" ht="18.75" customFormat="1" customHeight="1" s="805">
      <c r="B27" s="49" t="n"/>
      <c r="D27" s="766" t="n"/>
      <c r="E27" s="528" t="inlineStr">
        <is>
          <t>100332042</t>
        </is>
      </c>
      <c r="F27" s="528" t="n"/>
      <c r="G27" s="529" t="n"/>
      <c r="H27" s="530" t="n"/>
      <c r="I27" s="530" t="n"/>
      <c r="J27" s="940" t="inlineStr">
        <is>
          <t>млн куб.м</t>
        </is>
      </c>
    </row>
    <row r="28" ht="18.75" customFormat="1" customHeight="1" s="805">
      <c r="A28" t="inlineStr">
        <is>
          <t>- из сырья ООО "Сервиснефтегаз"</t>
        </is>
      </c>
      <c r="B28" s="49" t="n"/>
      <c r="C28" s="812" t="n"/>
      <c r="D28" s="803" t="inlineStr">
        <is>
          <t xml:space="preserve"> - из сырья ООО "Сервиснефтегаз"</t>
        </is>
      </c>
      <c r="E28" s="528" t="inlineStr">
        <is>
          <t>100332043</t>
        </is>
      </c>
      <c r="F28" s="528" t="n"/>
      <c r="G28" s="529" t="n"/>
      <c r="H28" s="530" t="n"/>
      <c r="I28" s="530" t="n"/>
      <c r="J28" s="526" t="inlineStr">
        <is>
          <t>тыс. т</t>
        </is>
      </c>
    </row>
    <row r="29" ht="18.75" customFormat="1" customHeight="1" s="805">
      <c r="B29" s="49" t="n"/>
      <c r="D29" s="766" t="n"/>
      <c r="E29" s="528" t="inlineStr">
        <is>
          <t>100332044</t>
        </is>
      </c>
      <c r="F29" s="528" t="n"/>
      <c r="G29" s="529" t="n"/>
      <c r="H29" s="530" t="n"/>
      <c r="I29" s="530" t="n"/>
      <c r="J29" s="940" t="inlineStr">
        <is>
          <t>млн куб.м</t>
        </is>
      </c>
    </row>
    <row r="30" ht="18.75" customFormat="1" customHeight="1" s="805">
      <c r="A30" t="inlineStr">
        <is>
          <t>- из сырья ЗАО "КАРБОН"</t>
        </is>
      </c>
      <c r="B30" s="49" t="n"/>
      <c r="C30" s="802" t="n"/>
      <c r="D30" s="803" t="inlineStr">
        <is>
          <t xml:space="preserve"> - из сырья ЗАО "КАРБОН"</t>
        </is>
      </c>
      <c r="E30" s="528" t="inlineStr">
        <is>
          <t>100332915</t>
        </is>
      </c>
      <c r="F30" s="528" t="n"/>
      <c r="G30" s="529" t="n"/>
      <c r="H30" s="530" t="n"/>
      <c r="I30" s="530" t="n"/>
      <c r="J30" s="526" t="inlineStr">
        <is>
          <t>тыс. т</t>
        </is>
      </c>
    </row>
    <row r="31" ht="18.75" customFormat="1" customHeight="1" s="805">
      <c r="B31" s="49" t="n"/>
      <c r="C31" s="762" t="n"/>
      <c r="D31" s="766" t="n"/>
      <c r="E31" s="528" t="inlineStr">
        <is>
          <t>100332916</t>
        </is>
      </c>
      <c r="F31" s="528" t="n"/>
      <c r="G31" s="529" t="n"/>
      <c r="H31" s="530" t="n"/>
      <c r="I31" s="530" t="n"/>
      <c r="J31" s="940" t="inlineStr">
        <is>
          <t>млн куб.м</t>
        </is>
      </c>
    </row>
    <row r="32" ht="18.75" customFormat="1" customHeight="1" s="805">
      <c r="A32" t="inlineStr">
        <is>
          <t>- из сырья ООО "Газпромнефть-Заполярье"</t>
        </is>
      </c>
      <c r="B32" s="49" t="n"/>
      <c r="C32" s="812" t="n"/>
      <c r="D32" s="803" t="inlineStr">
        <is>
          <t xml:space="preserve"> - из сырья ООО "Газпромнефть-Заполярье"</t>
        </is>
      </c>
      <c r="E32" s="528" t="inlineStr">
        <is>
          <t>100332943</t>
        </is>
      </c>
      <c r="F32" s="528" t="n"/>
      <c r="G32" s="529" t="n"/>
      <c r="H32" s="530" t="n"/>
      <c r="I32" s="530" t="n"/>
      <c r="J32" s="526" t="inlineStr">
        <is>
          <t>тыс. т</t>
        </is>
      </c>
    </row>
    <row r="33" ht="18.75" customFormat="1" customHeight="1" s="805">
      <c r="B33" s="49" t="n"/>
      <c r="C33" s="812" t="n"/>
      <c r="D33" s="766" t="n"/>
      <c r="E33" s="528" t="inlineStr">
        <is>
          <t>100332944</t>
        </is>
      </c>
      <c r="F33" s="528" t="n"/>
      <c r="G33" s="529" t="n"/>
      <c r="H33" s="530" t="n"/>
      <c r="I33" s="530" t="n"/>
      <c r="J33" s="940" t="inlineStr">
        <is>
          <t>млн куб.м</t>
        </is>
      </c>
    </row>
    <row r="34" ht="18.75" customFormat="1" customHeight="1" s="805">
      <c r="A34" t="inlineStr">
        <is>
          <t>- из сырья ООО "Сладковско-Заречное"</t>
        </is>
      </c>
      <c r="B34" s="49" t="n"/>
      <c r="C34" s="812" t="n"/>
      <c r="D34" s="803" t="inlineStr">
        <is>
          <t xml:space="preserve"> - из сырья ООО "Сладковско-Заречное"</t>
        </is>
      </c>
      <c r="E34" s="528" t="inlineStr">
        <is>
          <t>100335128</t>
        </is>
      </c>
      <c r="F34" s="528" t="n"/>
      <c r="G34" s="529" t="n"/>
      <c r="H34" s="530" t="n"/>
      <c r="I34" s="530" t="n"/>
      <c r="J34" s="526" t="inlineStr">
        <is>
          <t>тыс. т</t>
        </is>
      </c>
    </row>
    <row r="35" ht="18.75" customFormat="1" customHeight="1" s="805">
      <c r="B35" s="49" t="n"/>
      <c r="C35" s="812" t="n"/>
      <c r="D35" s="766" t="n"/>
      <c r="E35" s="528" t="inlineStr">
        <is>
          <t>100335129</t>
        </is>
      </c>
      <c r="F35" s="528" t="n"/>
      <c r="G35" s="529" t="n"/>
      <c r="H35" s="530" t="n"/>
      <c r="I35" s="530" t="n"/>
      <c r="J35" s="940" t="inlineStr">
        <is>
          <t>млн куб.м</t>
        </is>
      </c>
    </row>
    <row r="36" ht="18.75" customFormat="1" customHeight="1" s="805">
      <c r="A36" t="inlineStr">
        <is>
          <t>ТОО "КазРосГаз", всего:</t>
        </is>
      </c>
      <c r="B36" s="49" t="n"/>
      <c r="C36" s="812" t="inlineStr">
        <is>
          <t>1.1.2.</t>
        </is>
      </c>
      <c r="D36" s="803" t="inlineStr">
        <is>
          <t>ТОО "КазРосГаз", всего:</t>
        </is>
      </c>
      <c r="E36" s="528" t="inlineStr">
        <is>
          <t>100332045</t>
        </is>
      </c>
      <c r="F36" s="528" t="n"/>
      <c r="G36" s="529" t="n"/>
      <c r="H36" s="530" t="n"/>
      <c r="I36" s="530" t="n"/>
      <c r="J36" s="526" t="inlineStr">
        <is>
          <t>тыс. т</t>
        </is>
      </c>
    </row>
    <row r="37" ht="18.75" customFormat="1" customHeight="1" s="805">
      <c r="B37" s="49" t="n"/>
      <c r="D37" s="766" t="n"/>
      <c r="E37" s="528" t="inlineStr">
        <is>
          <t>100332046</t>
        </is>
      </c>
      <c r="F37" s="528" t="n"/>
      <c r="G37" s="529" t="n"/>
      <c r="H37" s="530" t="n"/>
      <c r="I37" s="530" t="n"/>
      <c r="J37" s="940" t="inlineStr">
        <is>
          <t>млн куб.м</t>
        </is>
      </c>
    </row>
    <row r="38" ht="18.75" customFormat="1" customHeight="1" s="805">
      <c r="A38" t="inlineStr">
        <is>
          <t>в том числе переработка газа на У-01 АО "ЮУПК"</t>
        </is>
      </c>
      <c r="B38" s="49" t="n"/>
      <c r="C38" s="812" t="n"/>
      <c r="D38" s="803" t="inlineStr">
        <is>
          <t>в том числе переработка газа на У-01 АО "ЮУПК"</t>
        </is>
      </c>
      <c r="E38" s="528" t="inlineStr">
        <is>
          <t>100332047</t>
        </is>
      </c>
      <c r="F38" s="528" t="n"/>
      <c r="G38" s="529" t="n"/>
      <c r="H38" s="530" t="n"/>
      <c r="I38" s="530" t="n"/>
      <c r="J38" s="526" t="inlineStr">
        <is>
          <t>тыс. т</t>
        </is>
      </c>
    </row>
    <row r="39" ht="18.75" customFormat="1" customHeight="1" s="805">
      <c r="B39" s="49" t="n"/>
      <c r="D39" s="766" t="n"/>
      <c r="E39" s="528" t="inlineStr">
        <is>
          <t>100332048</t>
        </is>
      </c>
      <c r="F39" s="528" t="n"/>
      <c r="G39" s="529" t="n"/>
      <c r="H39" s="530" t="n"/>
      <c r="I39" s="530" t="n"/>
      <c r="J39" s="940" t="inlineStr">
        <is>
          <t>млн куб.м</t>
        </is>
      </c>
    </row>
    <row r="40" ht="18.75" customFormat="1" customHeight="1" s="805">
      <c r="A40" t="inlineStr">
        <is>
          <t>Справочно:</t>
        </is>
      </c>
      <c r="B40" s="49" t="n"/>
      <c r="C40" s="812" t="n"/>
      <c r="D40" s="52" t="inlineStr">
        <is>
          <t>Справочно:</t>
        </is>
      </c>
      <c r="E40" s="528" t="n"/>
      <c r="F40" s="528" t="n"/>
      <c r="G40" s="529" t="n"/>
      <c r="H40" s="530" t="n"/>
      <c r="I40" s="530" t="n"/>
      <c r="J40" s="526" t="n"/>
    </row>
    <row r="41" ht="24" customFormat="1" customHeight="1" s="805">
      <c r="A41" t="inlineStr">
        <is>
          <t>Переработка сухого газа на ГЗ, всего</t>
        </is>
      </c>
      <c r="B41" s="49" t="n"/>
      <c r="C41" s="804" t="n"/>
      <c r="D41" s="820" t="inlineStr">
        <is>
          <t xml:space="preserve">Переработка сухого газа на ГЗ, всего  </t>
        </is>
      </c>
      <c r="E41" s="528" t="inlineStr">
        <is>
          <t>100330177</t>
        </is>
      </c>
      <c r="F41" s="528" t="n"/>
      <c r="G41" s="529" t="n"/>
      <c r="H41" s="530" t="inlineStr">
        <is>
          <t>100332053+100332055+100332057+100335130</t>
        </is>
      </c>
      <c r="I41" s="530" t="n"/>
      <c r="J41" s="53" t="inlineStr">
        <is>
          <t>тыс. т</t>
        </is>
      </c>
    </row>
    <row r="42" ht="24" customFormat="1" customHeight="1" s="805">
      <c r="B42" s="49" t="n"/>
      <c r="D42" s="766" t="n"/>
      <c r="E42" s="528" t="inlineStr">
        <is>
          <t>100330178</t>
        </is>
      </c>
      <c r="F42" s="528" t="n"/>
      <c r="G42" s="529" t="n"/>
      <c r="H42" s="530" t="inlineStr">
        <is>
          <t>100332054+100332056+100332058+100335131</t>
        </is>
      </c>
      <c r="I42" s="530" t="n"/>
      <c r="J42" s="941" t="inlineStr">
        <is>
          <t>млн куб.м</t>
        </is>
      </c>
    </row>
    <row r="43" ht="24" customFormat="1" customHeight="1" s="805">
      <c r="A43" t="inlineStr">
        <is>
          <t>ООО "Газпром переработка", всего</t>
        </is>
      </c>
      <c r="B43" s="49" t="n"/>
      <c r="C43" s="804" t="n"/>
      <c r="D43" s="807" t="inlineStr">
        <is>
          <t>ООО "Газпром переработка", всего</t>
        </is>
      </c>
      <c r="E43" s="528" t="inlineStr">
        <is>
          <t>100332051</t>
        </is>
      </c>
      <c r="F43" s="528" t="n"/>
      <c r="G43" s="529" t="n"/>
      <c r="H43" s="530" t="inlineStr">
        <is>
          <t>100332053+100332055+100335130</t>
        </is>
      </c>
      <c r="I43" s="530" t="n"/>
      <c r="J43" s="53" t="inlineStr">
        <is>
          <t>тыс. т</t>
        </is>
      </c>
    </row>
    <row r="44" ht="24" customFormat="1" customHeight="1" s="805">
      <c r="B44" s="49" t="n"/>
      <c r="C44" s="804" t="n"/>
      <c r="D44" s="766" t="n"/>
      <c r="E44" s="528" t="inlineStr">
        <is>
          <t>100332052</t>
        </is>
      </c>
      <c r="F44" s="528" t="n"/>
      <c r="G44" s="529" t="n"/>
      <c r="H44" s="530" t="inlineStr">
        <is>
          <t>100332054+100332056+100335131</t>
        </is>
      </c>
      <c r="I44" s="530" t="n"/>
      <c r="J44" s="941" t="inlineStr">
        <is>
          <t>млн куб.м</t>
        </is>
      </c>
    </row>
    <row r="45" ht="18.75" customFormat="1" customHeight="1" s="805">
      <c r="A45" t="inlineStr">
        <is>
          <t>- из газа ООО "Газпром добыча Оренбург" (в т.ч. Филипповская залежь и прочие залежи)</t>
        </is>
      </c>
      <c r="B45" s="49" t="n"/>
      <c r="C45" s="804" t="n"/>
      <c r="D45" s="809" t="inlineStr">
        <is>
          <t>- из газа ООО "Газпром добыча Оренбург" (в т.ч. Филипповская залежь и прочие залежи)</t>
        </is>
      </c>
      <c r="E45" s="528" t="inlineStr">
        <is>
          <t>100332053</t>
        </is>
      </c>
      <c r="F45" s="528" t="n"/>
      <c r="G45" s="529" t="n"/>
      <c r="H45" s="530" t="n"/>
      <c r="I45" s="530" t="n"/>
      <c r="J45" s="53" t="inlineStr">
        <is>
          <t>тыс. т</t>
        </is>
      </c>
    </row>
    <row r="46" ht="18.75" customFormat="1" customHeight="1" s="805">
      <c r="B46" s="49" t="n"/>
      <c r="D46" s="766" t="n"/>
      <c r="E46" s="528" t="inlineStr">
        <is>
          <t>100332054</t>
        </is>
      </c>
      <c r="F46" s="528" t="n"/>
      <c r="G46" s="529" t="n"/>
      <c r="H46" s="530" t="n"/>
      <c r="I46" s="530" t="n"/>
      <c r="J46" s="941" t="inlineStr">
        <is>
          <t>млн куб.м</t>
        </is>
      </c>
    </row>
    <row r="47" ht="18.75" customFormat="1" customHeight="1" s="805">
      <c r="A47" t="inlineStr">
        <is>
          <t>- из газа ПАО "Газпром нефть"</t>
        </is>
      </c>
      <c r="B47" s="49" t="n"/>
      <c r="C47" s="804" t="n"/>
      <c r="D47" s="809" t="inlineStr">
        <is>
          <t xml:space="preserve"> - из газа ПАО "Газпром нефть"</t>
        </is>
      </c>
      <c r="E47" s="528" t="inlineStr">
        <is>
          <t>100332055</t>
        </is>
      </c>
      <c r="F47" s="528" t="n"/>
      <c r="G47" s="529" t="n"/>
      <c r="H47" s="530" t="n"/>
      <c r="I47" s="530" t="n"/>
      <c r="J47" s="53" t="inlineStr">
        <is>
          <t>тыс. т</t>
        </is>
      </c>
    </row>
    <row r="48" ht="18.75" customFormat="1" customHeight="1" s="805">
      <c r="B48" s="49" t="n"/>
      <c r="D48" s="766" t="n"/>
      <c r="E48" s="528" t="inlineStr">
        <is>
          <t>100332056</t>
        </is>
      </c>
      <c r="F48" s="528" t="n"/>
      <c r="G48" s="529" t="n"/>
      <c r="H48" s="530" t="n"/>
      <c r="I48" s="530" t="n"/>
      <c r="J48" s="941" t="inlineStr">
        <is>
          <t>млн куб.м</t>
        </is>
      </c>
    </row>
    <row r="49" ht="18.75" customFormat="1" customHeight="1" s="805">
      <c r="A49">
        <f>- из газа Прочих поставщиков</f>
        <v/>
      </c>
      <c r="B49" s="49" t="n"/>
      <c r="C49" s="804" t="n"/>
      <c r="D49" s="807" t="inlineStr">
        <is>
          <t xml:space="preserve"> - из газа Прочих поставщиков  </t>
        </is>
      </c>
      <c r="E49" s="528" t="inlineStr">
        <is>
          <t>100335130</t>
        </is>
      </c>
      <c r="F49" s="528" t="n"/>
      <c r="G49" s="529" t="n"/>
      <c r="H49" s="530" t="n"/>
      <c r="I49" s="530" t="n"/>
      <c r="J49" s="526" t="inlineStr">
        <is>
          <t>тыс. т</t>
        </is>
      </c>
    </row>
    <row r="50" ht="18.75" customFormat="1" customHeight="1" s="805">
      <c r="B50" s="49" t="n"/>
      <c r="C50" s="804" t="n"/>
      <c r="D50" s="766" t="n"/>
      <c r="E50" s="528" t="inlineStr">
        <is>
          <t>100335131</t>
        </is>
      </c>
      <c r="F50" s="528" t="n"/>
      <c r="G50" s="529" t="n"/>
      <c r="H50" s="530" t="n"/>
      <c r="I50" s="530" t="n"/>
      <c r="J50" s="940" t="inlineStr">
        <is>
          <t>млн куб.м</t>
        </is>
      </c>
    </row>
    <row r="51" ht="18.75" customFormat="1" customHeight="1" s="805">
      <c r="A51" t="inlineStr">
        <is>
          <t>ТОО "КазРосГаз"</t>
        </is>
      </c>
      <c r="B51" s="49" t="n"/>
      <c r="C51" s="804" t="n"/>
      <c r="D51" s="807" t="inlineStr">
        <is>
          <t>ТОО "КазРосГаз"</t>
        </is>
      </c>
      <c r="E51" s="528" t="inlineStr">
        <is>
          <t>100332057</t>
        </is>
      </c>
      <c r="F51" s="528" t="n"/>
      <c r="G51" s="529" t="n"/>
      <c r="H51" s="530" t="n"/>
      <c r="I51" s="530" t="n"/>
      <c r="J51" s="53" t="inlineStr">
        <is>
          <t>тыс. т</t>
        </is>
      </c>
    </row>
    <row r="52" ht="18.75" customFormat="1" customHeight="1" s="805">
      <c r="B52" s="49" t="n"/>
      <c r="D52" s="766" t="n"/>
      <c r="E52" s="528" t="inlineStr">
        <is>
          <t>100332058</t>
        </is>
      </c>
      <c r="F52" s="528" t="n"/>
      <c r="G52" s="529" t="n"/>
      <c r="H52" s="530" t="n"/>
      <c r="I52" s="530" t="n"/>
      <c r="J52" s="941" t="inlineStr">
        <is>
          <t>млн куб.м</t>
        </is>
      </c>
    </row>
    <row r="53" ht="31.5" customFormat="1" customHeight="1" s="805">
      <c r="A53" t="inlineStr">
        <is>
          <t>ПЕРЕРАБОТКА КОНДЕНСАТА ГАЗОВОГО НЕСТАБИЛЬНОГО, ВСЕГО:</t>
        </is>
      </c>
      <c r="B53" s="49" t="n"/>
      <c r="C53" s="825" t="inlineStr">
        <is>
          <t>1.2.</t>
        </is>
      </c>
      <c r="D53" s="814" t="inlineStr">
        <is>
          <t>ПЕРЕРАБОТКА КОНДЕНСАТА ГАЗОВОГО НЕСТАБИЛЬНОГО, ВСЕГО:</t>
        </is>
      </c>
      <c r="E53" s="528" t="inlineStr">
        <is>
          <t>100332059</t>
        </is>
      </c>
      <c r="F53" s="528" t="n"/>
      <c r="G53" s="529" t="n"/>
      <c r="H53" s="530" t="inlineStr">
        <is>
          <t>100332061+100332062+100335697</t>
        </is>
      </c>
      <c r="I53" s="530" t="n"/>
      <c r="J53" s="526" t="inlineStr">
        <is>
          <t>тыс. т</t>
        </is>
      </c>
    </row>
    <row r="54" ht="31.5" customFormat="1" customHeight="1" s="805">
      <c r="A54" t="inlineStr">
        <is>
          <t>ПАО "Газпром" из сырья ООО "Газпром добыча Оренбург"</t>
        </is>
      </c>
      <c r="B54" s="49" t="n"/>
      <c r="C54" s="385" t="inlineStr">
        <is>
          <t>1.2.1.</t>
        </is>
      </c>
      <c r="D54" s="826" t="inlineStr">
        <is>
          <t>ПАО "Газпром" из сырья ООО "Газпром добыча Оренбург"</t>
        </is>
      </c>
      <c r="E54" s="528" t="inlineStr">
        <is>
          <t>100332061</t>
        </is>
      </c>
      <c r="F54" s="528" t="n"/>
      <c r="G54" s="529" t="n"/>
      <c r="H54" s="530" t="n"/>
      <c r="I54" s="530" t="n"/>
      <c r="J54" s="526" t="inlineStr">
        <is>
          <t>тыс. т</t>
        </is>
      </c>
    </row>
    <row r="55" ht="31.5" customFormat="1" customHeight="1" s="805">
      <c r="A55" t="inlineStr">
        <is>
          <t xml:space="preserve"> в т.ч. из сырья  в рамках ДРОД (оператор "Газпром нефть Заполярье")</t>
        </is>
      </c>
      <c r="B55" s="49" t="n"/>
      <c r="C55" s="385" t="n"/>
      <c r="D55" s="826" t="inlineStr">
        <is>
          <t>в том числе из сырья в рамках ДРОД (оператор "Газпром нефть Заполярье"</t>
        </is>
      </c>
      <c r="E55" s="528" t="inlineStr">
        <is>
          <t>100335946</t>
        </is>
      </c>
      <c r="F55" s="528" t="n"/>
      <c r="G55" s="529" t="n"/>
      <c r="H55" s="530" t="n"/>
      <c r="I55" s="530" t="n"/>
      <c r="J55" s="526" t="inlineStr">
        <is>
          <t>тыс. т</t>
        </is>
      </c>
    </row>
    <row r="56" ht="18.75" customFormat="1" customHeight="1" s="805">
      <c r="A56" t="inlineStr">
        <is>
          <t>ООО "Газпром переработка" из сырья АО "УНГП"</t>
        </is>
      </c>
      <c r="B56" s="49" t="n"/>
      <c r="C56" s="385" t="inlineStr">
        <is>
          <t>1.2.2.</t>
        </is>
      </c>
      <c r="D56" s="826" t="inlineStr">
        <is>
          <t>ООО "Газпром переработка" из сырья АО "УНГП"</t>
        </is>
      </c>
      <c r="E56" s="528" t="inlineStr">
        <is>
          <t>100332062</t>
        </is>
      </c>
      <c r="F56" s="528" t="n"/>
      <c r="G56" s="529" t="n"/>
      <c r="H56" s="530" t="n"/>
      <c r="I56" s="530" t="n"/>
      <c r="J56" s="526" t="inlineStr">
        <is>
          <t>тыс. т</t>
        </is>
      </c>
    </row>
    <row r="57" ht="31.5" customFormat="1" customHeight="1" s="805">
      <c r="A57" t="inlineStr">
        <is>
          <t>ООО "Газпром переработка" из сырья ООО "Газпромнефть-Заполярье"  (Филипповская залежь)</t>
        </is>
      </c>
      <c r="B57" s="49" t="n"/>
      <c r="C57" s="385" t="n"/>
      <c r="D57" s="826" t="inlineStr">
        <is>
          <t>ООО "Газпром переработка" из сырья ООО "Газпромнефть-Заполярье"</t>
        </is>
      </c>
      <c r="E57" s="528" t="inlineStr">
        <is>
          <t>100335697</t>
        </is>
      </c>
      <c r="F57" s="528" t="n"/>
      <c r="G57" s="529" t="n"/>
      <c r="H57" s="530" t="n"/>
      <c r="I57" s="530" t="n"/>
      <c r="J57" s="526" t="inlineStr">
        <is>
          <t>тыс. т</t>
        </is>
      </c>
    </row>
    <row r="58" ht="31.5" customFormat="1" customHeight="1" s="805">
      <c r="A58" t="inlineStr">
        <is>
          <t>ПЕРЕРАБОТКА НЕФТИ СЫРОЙ НЕСТАБИЛЬНОЙ, ВСЕГО:</t>
        </is>
      </c>
      <c r="B58" s="49" t="n"/>
      <c r="C58" s="825" t="inlineStr">
        <is>
          <t>1.3.</t>
        </is>
      </c>
      <c r="D58" s="814" t="inlineStr">
        <is>
          <t>ПЕРЕРАБОТКА НЕФТИ СЫРОЙ НЕСТАБИЛЬНОЙ, ВСЕГО:</t>
        </is>
      </c>
      <c r="E58" s="528" t="inlineStr">
        <is>
          <t>100332064</t>
        </is>
      </c>
      <c r="F58" s="528" t="n"/>
      <c r="G58" s="529" t="n"/>
      <c r="H58" s="530" t="inlineStr">
        <is>
          <t>100332065+100332069+100332068+100332947</t>
        </is>
      </c>
      <c r="I58" s="530" t="n"/>
      <c r="J58" s="526" t="inlineStr">
        <is>
          <t>тыс. т</t>
        </is>
      </c>
    </row>
    <row r="59" ht="18.75" customFormat="1" customHeight="1" s="805">
      <c r="A59" t="inlineStr">
        <is>
          <t>ПАО "Газпром", всего:</t>
        </is>
      </c>
      <c r="B59" s="49" t="n"/>
      <c r="C59" s="385" t="inlineStr">
        <is>
          <t>1.3.1.</t>
        </is>
      </c>
      <c r="D59" s="826" t="inlineStr">
        <is>
          <t>ПАО "Газпром", всего:</t>
        </is>
      </c>
      <c r="E59" s="528" t="inlineStr">
        <is>
          <t>100332065</t>
        </is>
      </c>
      <c r="F59" s="528" t="n"/>
      <c r="G59" s="529" t="n"/>
      <c r="H59" s="530" t="inlineStr">
        <is>
          <t>100332066+100332067</t>
        </is>
      </c>
      <c r="I59" s="530" t="n"/>
      <c r="J59" s="526" t="inlineStr">
        <is>
          <t>тыс. т</t>
        </is>
      </c>
    </row>
    <row r="60" ht="18.75" customFormat="1" customHeight="1" s="805">
      <c r="A60" t="inlineStr">
        <is>
          <t>- из сырья ООО "Газпром добыча Оренбург"</t>
        </is>
      </c>
      <c r="B60" s="49" t="n"/>
      <c r="C60" s="385" t="n"/>
      <c r="D60" s="826" t="inlineStr">
        <is>
          <t xml:space="preserve"> - из сырья ООО "Газпром добыча Оренбург"</t>
        </is>
      </c>
      <c r="E60" s="528" t="inlineStr">
        <is>
          <t>100332066</t>
        </is>
      </c>
      <c r="F60" s="528" t="n"/>
      <c r="G60" s="529" t="n"/>
      <c r="H60" s="530" t="n"/>
      <c r="I60" s="530" t="n"/>
      <c r="J60" s="526" t="inlineStr">
        <is>
          <t>тыс. т</t>
        </is>
      </c>
    </row>
    <row r="61" ht="31.5" customFormat="1" customHeight="1" s="805">
      <c r="A61" t="inlineStr">
        <is>
          <t xml:space="preserve"> в т.ч. из сырья  в рамках ДРОД (оператор "Газпром нефть Заполярье")</t>
        </is>
      </c>
      <c r="B61" s="49" t="n"/>
      <c r="C61" s="385" t="n"/>
      <c r="D61" s="826" t="inlineStr">
        <is>
          <t>в том числе из сырья в рамках ДРОД (оператор "Газпром нефть Заполярье"</t>
        </is>
      </c>
      <c r="E61" s="528" t="inlineStr">
        <is>
          <t>100335947</t>
        </is>
      </c>
      <c r="F61" s="528" t="n"/>
      <c r="G61" s="529" t="n"/>
      <c r="H61" s="530" t="n"/>
      <c r="I61" s="530" t="n"/>
      <c r="J61" s="526" t="inlineStr">
        <is>
          <t>тыс. т</t>
        </is>
      </c>
    </row>
    <row r="62" ht="18.75" customFormat="1" customHeight="1" s="805">
      <c r="A62" t="inlineStr">
        <is>
          <t>- из сырья ПАО "Газпром нефть"</t>
        </is>
      </c>
      <c r="B62" s="49" t="n"/>
      <c r="C62" s="385" t="n"/>
      <c r="D62" s="826" t="inlineStr">
        <is>
          <t xml:space="preserve"> - из сырья ПАО "Газпром нефть"</t>
        </is>
      </c>
      <c r="E62" s="528" t="inlineStr">
        <is>
          <t>100332067</t>
        </is>
      </c>
      <c r="F62" s="528" t="n"/>
      <c r="G62" s="529" t="n"/>
      <c r="H62" s="530" t="n"/>
      <c r="I62" s="530" t="n"/>
      <c r="J62" s="526" t="inlineStr">
        <is>
          <t>тыс. т</t>
        </is>
      </c>
    </row>
    <row r="63" ht="18.75" customFormat="1" customHeight="1" s="805">
      <c r="A63" t="inlineStr">
        <is>
          <t>ООО "Газпром переработка" из сырья АО "УНГП"</t>
        </is>
      </c>
      <c r="B63" s="49" t="n"/>
      <c r="C63" s="385" t="inlineStr">
        <is>
          <t>1.3.2.</t>
        </is>
      </c>
      <c r="D63" s="826" t="inlineStr">
        <is>
          <t>ООО "Газпром переработка" из сырья АО "УНГП"</t>
        </is>
      </c>
      <c r="E63" s="528" t="inlineStr">
        <is>
          <t>100332068</t>
        </is>
      </c>
      <c r="F63" s="528" t="n"/>
      <c r="G63" s="529" t="n"/>
      <c r="H63" s="530" t="n"/>
      <c r="I63" s="530" t="n"/>
      <c r="J63" s="526" t="inlineStr">
        <is>
          <t>тыс. т</t>
        </is>
      </c>
    </row>
    <row r="64" ht="31.5" customFormat="1" customHeight="1" s="805">
      <c r="A64" t="inlineStr">
        <is>
          <t>ООО "Газпром переработка" из сырья ООО "Газпромнефть-Заполярье" (Филипповская залежь)</t>
        </is>
      </c>
      <c r="B64" s="49" t="n"/>
      <c r="C64" s="385" t="inlineStr">
        <is>
          <t>1.3.3.</t>
        </is>
      </c>
      <c r="D64" s="826" t="inlineStr">
        <is>
          <t>ООО "Газпром переработка" из сырья ООО "Газпромнефть-Заполярье"</t>
        </is>
      </c>
      <c r="E64" s="528" t="inlineStr">
        <is>
          <t>100332947</t>
        </is>
      </c>
      <c r="F64" s="528" t="n"/>
      <c r="G64" s="529" t="n"/>
      <c r="H64" s="530" t="n"/>
      <c r="I64" s="530" t="n"/>
      <c r="J64" s="526" t="inlineStr">
        <is>
          <t>тыс. т</t>
        </is>
      </c>
    </row>
    <row r="65" ht="18.75" customFormat="1" customHeight="1" s="805">
      <c r="A65" t="inlineStr">
        <is>
          <t>ООО "Сервиснефтегаз"</t>
        </is>
      </c>
      <c r="B65" s="49" t="n"/>
      <c r="C65" s="385" t="inlineStr">
        <is>
          <t>1.3.4.</t>
        </is>
      </c>
      <c r="D65" s="826" t="inlineStr">
        <is>
          <t>ООО "Сервиснефтегаз"</t>
        </is>
      </c>
      <c r="E65" s="528" t="inlineStr">
        <is>
          <t>100332069</t>
        </is>
      </c>
      <c r="F65" s="528" t="n"/>
      <c r="G65" s="529" t="n"/>
      <c r="H65" s="530" t="n"/>
      <c r="I65" s="530" t="n"/>
      <c r="J65" s="526" t="inlineStr">
        <is>
          <t>тыс. т</t>
        </is>
      </c>
    </row>
    <row r="66" ht="18.75" customFormat="1" customHeight="1" s="805">
      <c r="A66" t="inlineStr">
        <is>
          <t>Справочно:</t>
        </is>
      </c>
      <c r="B66" s="49" t="n"/>
      <c r="C66" s="828" t="n"/>
      <c r="D66" s="54" t="inlineStr">
        <is>
          <t>Справочно:</t>
        </is>
      </c>
      <c r="E66" s="528" t="n"/>
      <c r="F66" s="528" t="n"/>
      <c r="G66" s="529" t="n"/>
      <c r="H66" s="530" t="n"/>
      <c r="I66" s="530" t="n"/>
      <c r="J66" s="526" t="n"/>
    </row>
    <row r="67" ht="18.75" customFormat="1" customHeight="1" s="805">
      <c r="A67" t="inlineStr">
        <is>
          <t>ПОТЕРИ СЫРЬЯ ПРИ ПЕРЕРАБОТКЕ, ВСЕГО:</t>
        </is>
      </c>
      <c r="B67" s="49" t="n"/>
      <c r="C67" s="536" t="inlineStr">
        <is>
          <t>2.</t>
        </is>
      </c>
      <c r="D67" s="815" t="inlineStr">
        <is>
          <t>ПОТЕРИ СЫРЬЯ ПРИ ПЕРЕРАБОТКЕ, ВСЕГО:</t>
        </is>
      </c>
      <c r="E67" s="528" t="inlineStr">
        <is>
          <t>100332070</t>
        </is>
      </c>
      <c r="F67" s="528" t="n"/>
      <c r="G67" s="529" t="n"/>
      <c r="H67" s="530" t="inlineStr">
        <is>
          <t>100332071+100332075</t>
        </is>
      </c>
      <c r="I67" s="530" t="n"/>
      <c r="J67" s="53" t="inlineStr">
        <is>
          <t>тыс. т</t>
        </is>
      </c>
    </row>
    <row r="68" ht="24" customFormat="1" customHeight="1" s="805">
      <c r="A68" t="inlineStr">
        <is>
          <t>в том числе без давальцев, всего:</t>
        </is>
      </c>
      <c r="B68" s="49" t="n"/>
      <c r="C68" s="536" t="n"/>
      <c r="D68" s="826" t="inlineStr">
        <is>
          <t>в том числе без давальцев, всего:</t>
        </is>
      </c>
      <c r="E68" s="528" t="inlineStr">
        <is>
          <t>100332071</t>
        </is>
      </c>
      <c r="F68" s="528" t="n"/>
      <c r="G68" s="529" t="n"/>
      <c r="H68" s="530" t="inlineStr">
        <is>
          <t>100332072+100332073+100332074</t>
        </is>
      </c>
      <c r="I68" s="530" t="n"/>
      <c r="J68" s="53" t="inlineStr">
        <is>
          <t>тыс. т</t>
        </is>
      </c>
    </row>
    <row r="69" ht="18.75" customFormat="1" customHeight="1" s="805">
      <c r="A69" t="inlineStr">
        <is>
          <t>ПАО "Газпром"</t>
        </is>
      </c>
      <c r="B69" s="49" t="n"/>
      <c r="C69" s="828" t="n"/>
      <c r="D69" s="810" t="inlineStr">
        <is>
          <t>ПАО "Газпром"</t>
        </is>
      </c>
      <c r="E69" s="528" t="inlineStr">
        <is>
          <t>100332072</t>
        </is>
      </c>
      <c r="F69" s="528" t="n"/>
      <c r="G69" s="529" t="n"/>
      <c r="H69" s="530" t="inlineStr">
        <is>
          <t>100332095</t>
        </is>
      </c>
      <c r="I69" s="530" t="n"/>
      <c r="J69" s="53" t="inlineStr">
        <is>
          <t>тыс. т.</t>
        </is>
      </c>
    </row>
    <row r="70" ht="18.75" customFormat="1" customHeight="1" s="805">
      <c r="A70" t="inlineStr">
        <is>
          <t>ООО "Газпром переработка"</t>
        </is>
      </c>
      <c r="B70" s="49" t="n"/>
      <c r="C70" s="828" t="n"/>
      <c r="D70" s="810" t="inlineStr">
        <is>
          <t>ООО "Газпром переработка"</t>
        </is>
      </c>
      <c r="E70" s="528" t="inlineStr">
        <is>
          <t>100332073</t>
        </is>
      </c>
      <c r="F70" s="528" t="n"/>
      <c r="G70" s="529" t="n"/>
      <c r="H70" s="530" t="inlineStr">
        <is>
          <t>100332079+100332098</t>
        </is>
      </c>
      <c r="I70" s="530" t="n"/>
      <c r="J70" s="53" t="inlineStr">
        <is>
          <t>тыс. т.</t>
        </is>
      </c>
    </row>
    <row r="71" ht="18.75" customFormat="1" customHeight="1" s="805">
      <c r="A71" t="inlineStr">
        <is>
          <t>ООО "Сервиснефтегаз"</t>
        </is>
      </c>
      <c r="B71" s="49" t="n"/>
      <c r="C71" s="828" t="n"/>
      <c r="D71" s="810" t="inlineStr">
        <is>
          <t>ООО "Сервиснефтегаз"</t>
        </is>
      </c>
      <c r="E71" s="528" t="inlineStr">
        <is>
          <t>100332074</t>
        </is>
      </c>
      <c r="F71" s="528" t="n"/>
      <c r="G71" s="529" t="n"/>
      <c r="H71" s="530" t="inlineStr">
        <is>
          <t>100332100</t>
        </is>
      </c>
      <c r="I71" s="530" t="n"/>
      <c r="J71" s="53" t="inlineStr">
        <is>
          <t>тыс. т.</t>
        </is>
      </c>
    </row>
    <row r="72" ht="18.75" customFormat="1" customHeight="1" s="805">
      <c r="A72" t="inlineStr">
        <is>
          <t>ТОО "КазРосГаз"</t>
        </is>
      </c>
      <c r="B72" s="49" t="n"/>
      <c r="C72" s="828" t="n"/>
      <c r="D72" s="810" t="inlineStr">
        <is>
          <t>ТОО "КазРосГаз"</t>
        </is>
      </c>
      <c r="E72" s="528" t="inlineStr">
        <is>
          <t>100332075</t>
        </is>
      </c>
      <c r="F72" s="528" t="n"/>
      <c r="G72" s="529" t="n"/>
      <c r="H72" s="530" t="inlineStr">
        <is>
          <t>100332089</t>
        </is>
      </c>
      <c r="I72" s="530" t="n"/>
      <c r="J72" s="53" t="inlineStr">
        <is>
          <t>тыс. т.</t>
        </is>
      </c>
    </row>
    <row r="73" ht="18.75" customFormat="1" customHeight="1" s="805">
      <c r="A73" t="inlineStr">
        <is>
          <t>СЫРОЙ ГАЗ, ВСЕГО:</t>
        </is>
      </c>
      <c r="B73" s="49" t="n"/>
      <c r="C73" s="824" t="inlineStr">
        <is>
          <t xml:space="preserve">2.1. </t>
        </is>
      </c>
      <c r="D73" s="817" t="inlineStr">
        <is>
          <t>СЫРОЙ ГАЗ, ВСЕГО:</t>
        </is>
      </c>
      <c r="E73" s="528" t="inlineStr">
        <is>
          <t>100332077</t>
        </is>
      </c>
      <c r="F73" s="528" t="n"/>
      <c r="G73" s="529" t="n"/>
      <c r="H73" s="530" t="inlineStr">
        <is>
          <t>100332079+100332089</t>
        </is>
      </c>
      <c r="I73" s="530" t="n"/>
      <c r="J73" s="53" t="inlineStr">
        <is>
          <t>тыс. т</t>
        </is>
      </c>
    </row>
    <row r="74" ht="18.75" customFormat="1" customHeight="1" s="805">
      <c r="B74" s="49" t="n"/>
      <c r="D74" s="766" t="n"/>
      <c r="E74" s="528" t="inlineStr">
        <is>
          <t>100332078</t>
        </is>
      </c>
      <c r="F74" s="528" t="n"/>
      <c r="G74" s="529" t="n"/>
      <c r="H74" s="530" t="inlineStr">
        <is>
          <t>100332080+100332090</t>
        </is>
      </c>
      <c r="I74" s="530" t="n"/>
      <c r="J74" s="941" t="inlineStr">
        <is>
          <t>млн куб.м</t>
        </is>
      </c>
    </row>
    <row r="75" ht="24" customFormat="1" customHeight="1" s="805">
      <c r="A75" t="inlineStr">
        <is>
          <t>ООО "Газпром переработка", всего:</t>
        </is>
      </c>
      <c r="B75" s="49" t="n"/>
      <c r="C75" s="804" t="inlineStr">
        <is>
          <t xml:space="preserve">2.1.1. </t>
        </is>
      </c>
      <c r="D75" s="807" t="inlineStr">
        <is>
          <t>ООО "Газпром переработка", всего:</t>
        </is>
      </c>
      <c r="E75" s="528" t="inlineStr">
        <is>
          <t>100332079</t>
        </is>
      </c>
      <c r="F75" s="528" t="n"/>
      <c r="G75" s="529" t="n"/>
      <c r="H75" s="530" t="inlineStr">
        <is>
          <t>100332081+100332083+100335132</t>
        </is>
      </c>
      <c r="I75" s="530" t="n"/>
      <c r="J75" s="53" t="inlineStr">
        <is>
          <t>тыс. т</t>
        </is>
      </c>
    </row>
    <row r="76" ht="24" customFormat="1" customHeight="1" s="805">
      <c r="B76" s="49" t="n"/>
      <c r="D76" s="766" t="n"/>
      <c r="E76" s="528" t="inlineStr">
        <is>
          <t>100332080</t>
        </is>
      </c>
      <c r="F76" s="528" t="n"/>
      <c r="G76" s="529" t="n"/>
      <c r="H76" s="530" t="inlineStr">
        <is>
          <t>100332082+100332084+100335133</t>
        </is>
      </c>
      <c r="I76" s="530" t="n"/>
      <c r="J76" s="941" t="inlineStr">
        <is>
          <t>млн куб.м</t>
        </is>
      </c>
    </row>
    <row r="77" ht="18.75" customFormat="1" customHeight="1" s="805">
      <c r="A77" t="inlineStr">
        <is>
          <t>- из сырья ООО "Газпром добыча Оренбург"</t>
        </is>
      </c>
      <c r="B77" s="49" t="n"/>
      <c r="C77" s="804" t="n"/>
      <c r="D77" s="807" t="inlineStr">
        <is>
          <t xml:space="preserve"> - из сырья ООО "Газпром добыча Оренбург"</t>
        </is>
      </c>
      <c r="E77" s="528" t="inlineStr">
        <is>
          <t>100332081</t>
        </is>
      </c>
      <c r="F77" s="528" t="n"/>
      <c r="G77" s="529" t="n"/>
      <c r="H77" s="530" t="n"/>
      <c r="I77" s="530" t="n"/>
      <c r="J77" s="53" t="inlineStr">
        <is>
          <t>тыс. т</t>
        </is>
      </c>
    </row>
    <row r="78" ht="18.75" customFormat="1" customHeight="1" s="805">
      <c r="B78" s="49" t="n"/>
      <c r="D78" s="766" t="n"/>
      <c r="E78" s="528" t="inlineStr">
        <is>
          <t>100332082</t>
        </is>
      </c>
      <c r="F78" s="528" t="n"/>
      <c r="G78" s="529" t="n"/>
      <c r="H78" s="530" t="n"/>
      <c r="I78" s="530" t="n"/>
      <c r="J78" s="941" t="inlineStr">
        <is>
          <t>млн куб.м</t>
        </is>
      </c>
    </row>
    <row r="79" ht="18.75" customFormat="1" customHeight="1" s="805">
      <c r="A79" t="inlineStr">
        <is>
          <t>- из сырья ПАО "Газпром нефть"</t>
        </is>
      </c>
      <c r="B79" s="49" t="n"/>
      <c r="C79" s="804" t="n"/>
      <c r="D79" s="810" t="inlineStr">
        <is>
          <t xml:space="preserve"> - из сырья ПАО "Газпром нефть"</t>
        </is>
      </c>
      <c r="E79" s="528" t="inlineStr">
        <is>
          <t>100332083</t>
        </is>
      </c>
      <c r="F79" s="528" t="n"/>
      <c r="G79" s="529" t="n"/>
      <c r="H79" s="530" t="n"/>
      <c r="I79" s="530" t="n"/>
      <c r="J79" s="53" t="inlineStr">
        <is>
          <t>тыс. т</t>
        </is>
      </c>
    </row>
    <row r="80" ht="18.75" customFormat="1" customHeight="1" s="805">
      <c r="B80" s="49" t="n"/>
      <c r="D80" s="766" t="n"/>
      <c r="E80" s="528" t="inlineStr">
        <is>
          <t>100332084</t>
        </is>
      </c>
      <c r="F80" s="528" t="n"/>
      <c r="G80" s="529" t="n"/>
      <c r="H80" s="530" t="n"/>
      <c r="I80" s="530" t="n"/>
      <c r="J80" s="941" t="inlineStr">
        <is>
          <t>млн куб.м</t>
        </is>
      </c>
    </row>
    <row r="81" ht="18.75" customFormat="1" customHeight="1" s="805">
      <c r="A81">
        <f>- из сырья Прочих поставщиков</f>
        <v/>
      </c>
      <c r="B81" s="49" t="n"/>
      <c r="C81" s="804" t="n"/>
      <c r="D81" s="807" t="inlineStr">
        <is>
          <t xml:space="preserve"> - из сырья Прочих поставщиков </t>
        </is>
      </c>
      <c r="E81" s="528" t="inlineStr">
        <is>
          <t>100335132</t>
        </is>
      </c>
      <c r="F81" s="528" t="n"/>
      <c r="G81" s="529" t="n"/>
      <c r="H81" s="530" t="n"/>
      <c r="I81" s="530" t="n"/>
      <c r="J81" s="53" t="inlineStr">
        <is>
          <t>тыс. т</t>
        </is>
      </c>
    </row>
    <row r="82" ht="18.75" customFormat="1" customHeight="1" s="805">
      <c r="B82" s="49" t="n"/>
      <c r="C82" s="804" t="n"/>
      <c r="D82" s="766" t="n"/>
      <c r="E82" s="528" t="inlineStr">
        <is>
          <t>100335133</t>
        </is>
      </c>
      <c r="F82" s="528" t="n"/>
      <c r="G82" s="529" t="n"/>
      <c r="H82" s="530" t="n"/>
      <c r="I82" s="530" t="n"/>
      <c r="J82" s="941" t="inlineStr">
        <is>
          <t>млн куб.м</t>
        </is>
      </c>
    </row>
    <row r="83" ht="18.75" customFormat="1" customHeight="1" s="805">
      <c r="A83" t="inlineStr">
        <is>
          <t>ТОО "КазРосГаз"</t>
        </is>
      </c>
      <c r="B83" s="49" t="n"/>
      <c r="C83" s="804" t="inlineStr">
        <is>
          <t>2.1.2.</t>
        </is>
      </c>
      <c r="D83" s="807" t="inlineStr">
        <is>
          <t>ТОО "КазРосГаз"</t>
        </is>
      </c>
      <c r="E83" s="528" t="inlineStr">
        <is>
          <t>100332089</t>
        </is>
      </c>
      <c r="F83" s="528" t="n"/>
      <c r="G83" s="529" t="n"/>
      <c r="H83" s="530" t="n"/>
      <c r="I83" s="530" t="n"/>
      <c r="J83" s="53" t="inlineStr">
        <is>
          <t>тыс. т</t>
        </is>
      </c>
    </row>
    <row r="84" ht="18.75" customFormat="1" customHeight="1" s="805">
      <c r="B84" s="49" t="n"/>
      <c r="D84" s="766" t="n"/>
      <c r="E84" s="528" t="inlineStr">
        <is>
          <t>100332090</t>
        </is>
      </c>
      <c r="F84" s="528" t="n"/>
      <c r="G84" s="529" t="n"/>
      <c r="H84" s="530" t="n"/>
      <c r="I84" s="530" t="n"/>
      <c r="J84" s="941" t="inlineStr">
        <is>
          <t>млн куб.м</t>
        </is>
      </c>
    </row>
    <row r="85" ht="31.5" customFormat="1" customHeight="1" s="805">
      <c r="A85" t="inlineStr">
        <is>
          <t>НЕФТЬ СЫРАЯ НЕСТАБИЛЬНАЯ И КОНДЕНСАТ ГАЗОВЫЙ НЕСТАБИЛЬНЫЙ, ВСЕГО:</t>
        </is>
      </c>
      <c r="B85" s="49" t="n"/>
      <c r="C85" s="536" t="inlineStr">
        <is>
          <t>2.2.</t>
        </is>
      </c>
      <c r="D85" s="817" t="inlineStr">
        <is>
          <t>НЕФТЬ СЫРАЯ НЕСТАБИЛЬНАЯ И КОНДЕНСАТ ГАЗОВЫЙ НЕСТАБИЛЬНЫЙ, ВСЕГО:</t>
        </is>
      </c>
      <c r="E85" s="528" t="inlineStr">
        <is>
          <t>100332093</t>
        </is>
      </c>
      <c r="F85" s="528" t="n"/>
      <c r="G85" s="529" t="n"/>
      <c r="H85" s="530" t="inlineStr">
        <is>
          <t>100332095+100332100+100332098</t>
        </is>
      </c>
      <c r="I85" s="530" t="n"/>
      <c r="J85" s="53" t="inlineStr">
        <is>
          <t>тыс. т</t>
        </is>
      </c>
    </row>
    <row r="86" ht="18.75" customFormat="1" customHeight="1" s="805">
      <c r="A86" t="inlineStr">
        <is>
          <t>ПАО "Газпром", всего:</t>
        </is>
      </c>
      <c r="B86" s="49" t="n"/>
      <c r="C86" s="828" t="inlineStr">
        <is>
          <t>2.2.1.</t>
        </is>
      </c>
      <c r="D86" s="810" t="inlineStr">
        <is>
          <t>ПАО "Газпром", всего:</t>
        </is>
      </c>
      <c r="E86" s="528" t="inlineStr">
        <is>
          <t>100332095</t>
        </is>
      </c>
      <c r="F86" s="528" t="n"/>
      <c r="G86" s="529" t="n"/>
      <c r="H86" s="530" t="inlineStr">
        <is>
          <t>100332096+100332097</t>
        </is>
      </c>
      <c r="I86" s="530" t="n"/>
      <c r="J86" s="53" t="inlineStr">
        <is>
          <t>тыс. т</t>
        </is>
      </c>
    </row>
    <row r="87" ht="18.75" customFormat="1" customHeight="1" s="805">
      <c r="A87" t="inlineStr">
        <is>
          <t>- из сырья ООО "Газпром добыча Оренбург"</t>
        </is>
      </c>
      <c r="B87" s="49" t="n"/>
      <c r="C87" s="828" t="n"/>
      <c r="D87" s="810" t="inlineStr">
        <is>
          <t xml:space="preserve"> - из сырья ООО "Газпром добыча Оренбург"</t>
        </is>
      </c>
      <c r="E87" s="528" t="inlineStr">
        <is>
          <t>100332096</t>
        </is>
      </c>
      <c r="F87" s="528" t="n"/>
      <c r="G87" s="529" t="n"/>
      <c r="H87" s="530" t="n"/>
      <c r="I87" s="530" t="n"/>
      <c r="J87" s="53" t="inlineStr">
        <is>
          <t>тыс. т</t>
        </is>
      </c>
    </row>
    <row r="88" ht="18.75" customFormat="1" customHeight="1" s="805">
      <c r="A88" t="inlineStr">
        <is>
          <t>- из сырья ПАО "Газпром нефть"</t>
        </is>
      </c>
      <c r="B88" s="49" t="n"/>
      <c r="C88" s="828" t="n"/>
      <c r="D88" s="810" t="inlineStr">
        <is>
          <t xml:space="preserve"> - из сырья ПАО "Газпром нефть"</t>
        </is>
      </c>
      <c r="E88" s="528" t="inlineStr">
        <is>
          <t>100332097</t>
        </is>
      </c>
      <c r="F88" s="528" t="n"/>
      <c r="G88" s="529" t="n"/>
      <c r="H88" s="530" t="n"/>
      <c r="I88" s="530" t="n"/>
      <c r="J88" s="53" t="inlineStr">
        <is>
          <t>тыс. т</t>
        </is>
      </c>
    </row>
    <row r="89" ht="18.75" customFormat="1" customHeight="1" s="805">
      <c r="A89" t="inlineStr">
        <is>
          <t>ООО "Газпром переработка", всего:</t>
        </is>
      </c>
      <c r="B89" s="49" t="n"/>
      <c r="C89" s="828" t="inlineStr">
        <is>
          <t>2.2.2.</t>
        </is>
      </c>
      <c r="D89" s="810" t="inlineStr">
        <is>
          <t>ООО "Газпром переработка", всего:</t>
        </is>
      </c>
      <c r="E89" s="528" t="inlineStr">
        <is>
          <t>100332098</t>
        </is>
      </c>
      <c r="F89" s="528" t="n"/>
      <c r="G89" s="529" t="n"/>
      <c r="H89" s="530" t="inlineStr">
        <is>
          <t>100332099+100332992</t>
        </is>
      </c>
      <c r="I89" s="530" t="n"/>
      <c r="J89" s="53" t="inlineStr">
        <is>
          <t>тыс. т</t>
        </is>
      </c>
    </row>
    <row r="90" ht="18.75" customFormat="1" customHeight="1" s="805">
      <c r="A90" t="inlineStr">
        <is>
          <t>- из сырья АО "УНГП"</t>
        </is>
      </c>
      <c r="B90" s="49" t="n"/>
      <c r="C90" s="828" t="n"/>
      <c r="D90" s="810" t="inlineStr">
        <is>
          <t xml:space="preserve"> - из сырья АО "УНГП"</t>
        </is>
      </c>
      <c r="E90" s="528" t="inlineStr">
        <is>
          <t>100332099</t>
        </is>
      </c>
      <c r="F90" s="528" t="n"/>
      <c r="G90" s="529" t="n"/>
      <c r="H90" s="530" t="n"/>
      <c r="I90" s="530" t="n"/>
      <c r="J90" s="53" t="inlineStr">
        <is>
          <t>тыс. т</t>
        </is>
      </c>
    </row>
    <row r="91" ht="18.75" customFormat="1" customHeight="1" s="805">
      <c r="A91" t="inlineStr">
        <is>
          <t>- из сырья ООО "Газпромнефть-Заполярье"</t>
        </is>
      </c>
      <c r="B91" s="49" t="n"/>
      <c r="C91" s="828" t="n"/>
      <c r="D91" s="810" t="inlineStr">
        <is>
          <t xml:space="preserve"> - из сырья ООО "Газпромнефть-Заполярье"</t>
        </is>
      </c>
      <c r="E91" s="528" t="inlineStr">
        <is>
          <t>100332992</t>
        </is>
      </c>
      <c r="F91" s="528" t="n"/>
      <c r="G91" s="529" t="n"/>
      <c r="H91" s="530" t="n"/>
      <c r="I91" s="530" t="n"/>
      <c r="J91" s="53" t="inlineStr">
        <is>
          <t>тыс. т</t>
        </is>
      </c>
    </row>
    <row r="92" ht="18.75" customFormat="1" customHeight="1" s="805">
      <c r="A92" t="inlineStr">
        <is>
          <t>ООО "Сервиснефтегаз"</t>
        </is>
      </c>
      <c r="B92" s="49" t="n"/>
      <c r="C92" s="828" t="inlineStr">
        <is>
          <t>2.2.3.</t>
        </is>
      </c>
      <c r="D92" s="810" t="inlineStr">
        <is>
          <t>ООО "Сервиснефтегаз"</t>
        </is>
      </c>
      <c r="E92" s="528" t="inlineStr">
        <is>
          <t>100332100</t>
        </is>
      </c>
      <c r="F92" s="528" t="n"/>
      <c r="G92" s="529" t="n"/>
      <c r="H92" s="530" t="n"/>
      <c r="I92" s="530" t="n"/>
      <c r="J92" s="53" t="inlineStr">
        <is>
          <t>тыс. т</t>
        </is>
      </c>
    </row>
    <row r="93" ht="24" customFormat="1" customHeight="1" s="805">
      <c r="A93" t="inlineStr">
        <is>
          <t>ПРОИЗВОДСТВО ПРОДУКЦИИ, ВСЕГО:</t>
        </is>
      </c>
      <c r="B93" s="49" t="n"/>
      <c r="C93" s="537" t="inlineStr">
        <is>
          <t>3.</t>
        </is>
      </c>
      <c r="D93" s="806" t="inlineStr">
        <is>
          <t>ПРОИЗВОДСТВО ПРОДУКЦИИ, ВСЕГО:</t>
        </is>
      </c>
      <c r="E93" s="528" t="inlineStr">
        <is>
          <t>100331853</t>
        </is>
      </c>
      <c r="F93" s="528" t="n"/>
      <c r="G93" s="529" t="n"/>
      <c r="H93" s="530" t="inlineStr">
        <is>
          <t>100332103+100332104+100332105+100332106-100332209</t>
        </is>
      </c>
      <c r="I93" s="530" t="n"/>
      <c r="J93" s="526" t="inlineStr">
        <is>
          <t>тыс.т</t>
        </is>
      </c>
    </row>
    <row r="94" ht="24" customFormat="1" customHeight="1" s="805">
      <c r="A94" t="inlineStr">
        <is>
          <t>в том числе без давальцев, всего:</t>
        </is>
      </c>
      <c r="B94" s="49" t="n"/>
      <c r="C94" s="537" t="n"/>
      <c r="D94" s="826" t="inlineStr">
        <is>
          <t>в том числе без давальцев, всего:</t>
        </is>
      </c>
      <c r="E94" s="528" t="inlineStr">
        <is>
          <t>100332102</t>
        </is>
      </c>
      <c r="F94" s="528" t="n"/>
      <c r="G94" s="529" t="n"/>
      <c r="H94" s="530" t="inlineStr">
        <is>
          <t>100332103+100332104+100332105-100332209</t>
        </is>
      </c>
      <c r="I94" s="530" t="n"/>
      <c r="J94" s="526" t="inlineStr">
        <is>
          <t>тыс.т</t>
        </is>
      </c>
    </row>
    <row r="95" ht="36" customFormat="1" customHeight="1" s="805">
      <c r="A95" t="inlineStr">
        <is>
          <t>ПАО "Газпром"</t>
        </is>
      </c>
      <c r="B95" s="49" t="n"/>
      <c r="C95" s="385" t="n"/>
      <c r="D95" s="826" t="inlineStr">
        <is>
          <t>ПАО "Газпром"</t>
        </is>
      </c>
      <c r="E95" s="528" t="inlineStr">
        <is>
          <t>100332103</t>
        </is>
      </c>
      <c r="F95" s="528" t="n"/>
      <c r="G95" s="529" t="n"/>
      <c r="H95" s="530" t="inlineStr">
        <is>
          <t>100332188+100332265+100332203+100332215+100332233+100332168</t>
        </is>
      </c>
      <c r="I95" s="530" t="n"/>
      <c r="J95" s="526" t="inlineStr">
        <is>
          <t>тыс. т</t>
        </is>
      </c>
    </row>
    <row r="96" ht="48" customFormat="1" customHeight="1" s="805">
      <c r="A96" t="inlineStr">
        <is>
          <t>ООО "Газпром переработка"</t>
        </is>
      </c>
      <c r="B96" s="49" t="n"/>
      <c r="C96" s="385" t="n"/>
      <c r="D96" s="826" t="inlineStr">
        <is>
          <t>ООО "Газпром переработка"</t>
        </is>
      </c>
      <c r="E96" s="528" t="inlineStr">
        <is>
          <t>100332104</t>
        </is>
      </c>
      <c r="F96" s="528" t="n"/>
      <c r="G96" s="529" t="n"/>
      <c r="H96" s="530" t="inlineStr">
        <is>
          <t>100332108+100332191+100332268+100330078+100332220+100332237+100332241+100335431/$1000+100332174</t>
        </is>
      </c>
      <c r="I96" s="530" t="n"/>
      <c r="J96" s="526" t="inlineStr">
        <is>
          <t>тыс. т</t>
        </is>
      </c>
    </row>
    <row r="97" ht="24" customFormat="1" customHeight="1" s="805">
      <c r="A97" t="inlineStr">
        <is>
          <t>ООО "Сервиснефтегаз"</t>
        </is>
      </c>
      <c r="B97" s="49" t="n"/>
      <c r="C97" s="385" t="n"/>
      <c r="D97" s="826" t="inlineStr">
        <is>
          <t>ООО "Сервиснефтегаз" из нефти (конденсат)</t>
        </is>
      </c>
      <c r="E97" s="528" t="inlineStr">
        <is>
          <t>100332105</t>
        </is>
      </c>
      <c r="F97" s="528" t="n"/>
      <c r="G97" s="529" t="n"/>
      <c r="H97" s="530" t="inlineStr">
        <is>
          <t>100332273+100332226+100332197+100335693</t>
        </is>
      </c>
      <c r="I97" s="530" t="n"/>
      <c r="J97" s="526" t="inlineStr">
        <is>
          <t>тыс. т</t>
        </is>
      </c>
    </row>
    <row r="98" ht="36" customFormat="1" customHeight="1" s="805">
      <c r="A98" t="inlineStr">
        <is>
          <t>ТОО "КазРосГаз"</t>
        </is>
      </c>
      <c r="B98" s="49" t="n"/>
      <c r="C98" s="385" t="n"/>
      <c r="D98" s="826" t="inlineStr">
        <is>
          <t>ТОО "КазРосГаз"</t>
        </is>
      </c>
      <c r="E98" s="528" t="inlineStr">
        <is>
          <t>100332106</t>
        </is>
      </c>
      <c r="F98" s="528" t="n"/>
      <c r="G98" s="529" t="n"/>
      <c r="H98" s="530" t="inlineStr">
        <is>
          <t>100332118+100332198+100332274+100332227+100332236+100332244+100332184</t>
        </is>
      </c>
      <c r="I98" s="530" t="n"/>
      <c r="J98" s="526" t="inlineStr">
        <is>
          <t>тыс. т</t>
        </is>
      </c>
    </row>
    <row r="99" ht="24" customFormat="1" customHeight="1" s="805">
      <c r="A99" t="inlineStr">
        <is>
          <t>ГАЗ ПРИРОДНЫЙ СУХОЙ ОТБЕНЗИНЕННЫЙ, ВСЕГО:</t>
        </is>
      </c>
      <c r="B99" s="49" t="n"/>
      <c r="C99" s="825" t="inlineStr">
        <is>
          <t>3.1.</t>
        </is>
      </c>
      <c r="D99" s="806" t="inlineStr">
        <is>
          <t>ГАЗ ПРИРОДНЫЙ СУХОЙ ОТБЕНЗИНЕННЫЙ, ВСЕГО:</t>
        </is>
      </c>
      <c r="E99" s="528" t="inlineStr">
        <is>
          <t>100331992</t>
        </is>
      </c>
      <c r="F99" s="528" t="n"/>
      <c r="G99" s="529" t="n"/>
      <c r="H99" s="530" t="inlineStr">
        <is>
          <t>100332108+100332118+100335691</t>
        </is>
      </c>
      <c r="I99" s="530" t="n"/>
      <c r="J99" s="526" t="inlineStr">
        <is>
          <t>тыс. т</t>
        </is>
      </c>
    </row>
    <row r="100" ht="24" customFormat="1" customHeight="1" s="805">
      <c r="B100" s="49" t="n"/>
      <c r="D100" s="766" t="n"/>
      <c r="E100" s="528" t="inlineStr">
        <is>
          <t>100331993</t>
        </is>
      </c>
      <c r="F100" s="528" t="n"/>
      <c r="G100" s="529" t="n"/>
      <c r="H100" s="530" t="inlineStr">
        <is>
          <t>100332109+100332119+100335692</t>
        </is>
      </c>
      <c r="I100" s="530" t="n"/>
      <c r="J100" s="940" t="inlineStr">
        <is>
          <t>млн куб.м</t>
        </is>
      </c>
    </row>
    <row r="101" ht="24" customFormat="1" customHeight="1" s="805">
      <c r="A101" t="inlineStr">
        <is>
          <t>ООО "Газпром переработка", всего:</t>
        </is>
      </c>
      <c r="B101" s="49" t="n"/>
      <c r="C101" s="812" t="inlineStr">
        <is>
          <t>3.1.1.</t>
        </is>
      </c>
      <c r="D101" s="803" t="inlineStr">
        <is>
          <t>ООО "Газпром переработка", всего:</t>
        </is>
      </c>
      <c r="E101" s="528" t="inlineStr">
        <is>
          <t>100332108</t>
        </is>
      </c>
      <c r="F101" s="528" t="n"/>
      <c r="G101" s="529" t="n"/>
      <c r="H101" s="530" t="inlineStr">
        <is>
          <t>100332110+100332112+100335134</t>
        </is>
      </c>
      <c r="I101" s="530" t="n"/>
      <c r="J101" s="526" t="inlineStr">
        <is>
          <t>тыс. т</t>
        </is>
      </c>
    </row>
    <row r="102" ht="24" customFormat="1" customHeight="1" s="805">
      <c r="B102" s="49" t="n"/>
      <c r="D102" s="766" t="n"/>
      <c r="E102" s="528" t="inlineStr">
        <is>
          <t>100332109</t>
        </is>
      </c>
      <c r="F102" s="528" t="n"/>
      <c r="G102" s="529" t="n"/>
      <c r="H102" s="530" t="inlineStr">
        <is>
          <t>100332111+100332113+100335135</t>
        </is>
      </c>
      <c r="I102" s="530" t="n"/>
      <c r="J102" s="940" t="inlineStr">
        <is>
          <t>млн куб.м</t>
        </is>
      </c>
    </row>
    <row r="103" ht="18.75" customFormat="1" customHeight="1" s="805">
      <c r="A103" t="inlineStr">
        <is>
          <t>- из сырья ООО "Газпром добыча Оренбург"</t>
        </is>
      </c>
      <c r="B103" s="49" t="n"/>
      <c r="C103" s="812" t="n"/>
      <c r="D103" s="803" t="inlineStr">
        <is>
          <t xml:space="preserve"> - из сырья ООО "Газпром добыча Оренбург"</t>
        </is>
      </c>
      <c r="E103" s="528" t="inlineStr">
        <is>
          <t>100332110</t>
        </is>
      </c>
      <c r="F103" s="528" t="n"/>
      <c r="G103" s="529" t="n"/>
      <c r="H103" s="530" t="inlineStr">
        <is>
          <t>100332134+100332158</t>
        </is>
      </c>
      <c r="I103" s="530" t="n"/>
      <c r="J103" s="526" t="inlineStr">
        <is>
          <t>тыс. т</t>
        </is>
      </c>
    </row>
    <row r="104" ht="18.75" customFormat="1" customHeight="1" s="805">
      <c r="B104" s="49" t="n"/>
      <c r="D104" s="766" t="n"/>
      <c r="E104" s="528" t="inlineStr">
        <is>
          <t>100332111</t>
        </is>
      </c>
      <c r="F104" s="528" t="n"/>
      <c r="G104" s="529" t="n"/>
      <c r="H104" s="530" t="inlineStr">
        <is>
          <t>100332135+100332159</t>
        </is>
      </c>
      <c r="I104" s="530" t="n"/>
      <c r="J104" s="940" t="inlineStr">
        <is>
          <t>млн куб.м</t>
        </is>
      </c>
    </row>
    <row r="105" ht="18.75" customFormat="1" customHeight="1" s="805">
      <c r="A105" t="inlineStr">
        <is>
          <t>- из сырья ООО "Газпромнефть-Оренбург</t>
        </is>
      </c>
      <c r="B105" s="49" t="n"/>
      <c r="C105" s="538" t="n"/>
      <c r="D105" s="826" t="inlineStr">
        <is>
          <t xml:space="preserve"> - из сырья ООО "Газпромнефть-Оренбург</t>
        </is>
      </c>
      <c r="E105" s="528" t="inlineStr">
        <is>
          <t>100332112</t>
        </is>
      </c>
      <c r="F105" s="528" t="n"/>
      <c r="G105" s="529" t="n"/>
      <c r="H105" s="530" t="inlineStr">
        <is>
          <t>100332136+100332160</t>
        </is>
      </c>
      <c r="I105" s="530" t="n"/>
      <c r="J105" s="526" t="inlineStr">
        <is>
          <t>тыс. т</t>
        </is>
      </c>
    </row>
    <row r="106" ht="18.75" customFormat="1" customHeight="1" s="805">
      <c r="B106" s="49" t="n"/>
      <c r="C106" s="538" t="n"/>
      <c r="D106" s="766" t="n"/>
      <c r="E106" s="528" t="inlineStr">
        <is>
          <t>100332113</t>
        </is>
      </c>
      <c r="F106" s="528" t="n"/>
      <c r="G106" s="529" t="n"/>
      <c r="H106" s="530" t="inlineStr">
        <is>
          <t>100332137+100332161</t>
        </is>
      </c>
      <c r="I106" s="530" t="n"/>
      <c r="J106" s="940" t="inlineStr">
        <is>
          <t>млн куб.м</t>
        </is>
      </c>
    </row>
    <row r="107" ht="18.75" customFormat="1" customHeight="1" s="805">
      <c r="A107">
        <f>- из сырья Прочих поставщиков</f>
        <v/>
      </c>
      <c r="B107" s="49" t="n"/>
      <c r="C107" s="812" t="n"/>
      <c r="D107" s="807" t="inlineStr">
        <is>
          <t xml:space="preserve"> - из сырья Прочих поставщиков </t>
        </is>
      </c>
      <c r="E107" s="528" t="inlineStr">
        <is>
          <t>100335134</t>
        </is>
      </c>
      <c r="F107" s="528" t="n"/>
      <c r="G107" s="529" t="n"/>
      <c r="H107" s="530" t="inlineStr">
        <is>
          <t>100332138+100335138</t>
        </is>
      </c>
      <c r="I107" s="530" t="n"/>
      <c r="J107" s="526" t="inlineStr">
        <is>
          <t>тыс. т</t>
        </is>
      </c>
    </row>
    <row r="108" ht="18.75" customFormat="1" customHeight="1" s="805">
      <c r="B108" s="49" t="n"/>
      <c r="C108" s="812" t="n"/>
      <c r="D108" s="766" t="n"/>
      <c r="E108" s="528" t="inlineStr">
        <is>
          <t>100335135</t>
        </is>
      </c>
      <c r="F108" s="528" t="n"/>
      <c r="G108" s="529" t="n"/>
      <c r="H108" s="530" t="inlineStr">
        <is>
          <t>100332139+100335139</t>
        </is>
      </c>
      <c r="I108" s="530" t="n"/>
      <c r="J108" s="940" t="inlineStr">
        <is>
          <t>млн куб.м</t>
        </is>
      </c>
    </row>
    <row r="109" ht="18.75" customFormat="1" customHeight="1" s="805">
      <c r="A109" t="inlineStr">
        <is>
          <t>ООО "Сервиснефтегаз" из нефти</t>
        </is>
      </c>
      <c r="B109" s="49" t="n"/>
      <c r="C109" s="812" t="inlineStr">
        <is>
          <t>3.1.2.</t>
        </is>
      </c>
      <c r="D109" s="807" t="inlineStr">
        <is>
          <t>ООО "Сервиснефтегаз" из нефти (конденсат)</t>
        </is>
      </c>
      <c r="E109" s="528" t="inlineStr">
        <is>
          <t>100335691</t>
        </is>
      </c>
      <c r="F109" s="528" t="n"/>
      <c r="G109" s="529" t="n"/>
      <c r="H109" s="530" t="inlineStr">
        <is>
          <t>100335693</t>
        </is>
      </c>
      <c r="I109" s="530" t="n"/>
      <c r="J109" s="643" t="inlineStr">
        <is>
          <t>тыс. т</t>
        </is>
      </c>
    </row>
    <row r="110" ht="18.75" customFormat="1" customHeight="1" s="805">
      <c r="B110" s="49" t="n"/>
      <c r="D110" s="766" t="n"/>
      <c r="E110" s="528" t="inlineStr">
        <is>
          <t>100335692</t>
        </is>
      </c>
      <c r="F110" s="528" t="n"/>
      <c r="G110" s="529" t="n"/>
      <c r="H110" s="530" t="inlineStr">
        <is>
          <t>100335694</t>
        </is>
      </c>
      <c r="I110" s="530" t="n"/>
      <c r="J110" s="942" t="inlineStr">
        <is>
          <t>млн куб.м</t>
        </is>
      </c>
    </row>
    <row r="111" ht="18.75" customFormat="1" customHeight="1" s="805">
      <c r="A111" t="inlineStr">
        <is>
          <t>ТОО "КазРосГаз", всего:</t>
        </is>
      </c>
      <c r="B111" s="49" t="n"/>
      <c r="C111" s="812" t="inlineStr">
        <is>
          <t>3.1.3.</t>
        </is>
      </c>
      <c r="D111" s="803" t="inlineStr">
        <is>
          <t>ТОО "КазРосГаз", всего:</t>
        </is>
      </c>
      <c r="E111" s="528" t="inlineStr">
        <is>
          <t>100332118</t>
        </is>
      </c>
      <c r="F111" s="528" t="n"/>
      <c r="G111" s="529" t="n"/>
      <c r="H111" s="530" t="inlineStr">
        <is>
          <t>100332120+100332122</t>
        </is>
      </c>
      <c r="I111" s="530" t="n"/>
      <c r="J111" s="526" t="inlineStr">
        <is>
          <t>тыс. т</t>
        </is>
      </c>
    </row>
    <row r="112" ht="18.75" customFormat="1" customHeight="1" s="805">
      <c r="B112" s="49" t="n"/>
      <c r="D112" s="766" t="n"/>
      <c r="E112" s="528" t="inlineStr">
        <is>
          <t>100332119</t>
        </is>
      </c>
      <c r="F112" s="528" t="n"/>
      <c r="G112" s="529" t="n"/>
      <c r="H112" s="530" t="inlineStr">
        <is>
          <t>100332121+100332123</t>
        </is>
      </c>
      <c r="I112" s="530" t="n"/>
      <c r="J112" s="940" t="inlineStr">
        <is>
          <t>млн куб.м</t>
        </is>
      </c>
    </row>
    <row r="113" ht="18.75" customFormat="1" customHeight="1" s="805">
      <c r="A113">
        <f>- из газа КНГКМ</f>
        <v/>
      </c>
      <c r="B113" s="49" t="n"/>
      <c r="C113" s="812" t="n"/>
      <c r="D113" s="826" t="inlineStr">
        <is>
          <t xml:space="preserve"> - из газа КНГКМ</t>
        </is>
      </c>
      <c r="E113" s="528" t="inlineStr">
        <is>
          <t>100332120</t>
        </is>
      </c>
      <c r="F113" s="528" t="n"/>
      <c r="G113" s="529" t="n"/>
      <c r="H113" s="530" t="inlineStr">
        <is>
          <t>100332142+100332162</t>
        </is>
      </c>
      <c r="I113" s="530" t="n"/>
      <c r="J113" s="526" t="inlineStr">
        <is>
          <t>тыс. т</t>
        </is>
      </c>
    </row>
    <row r="114" ht="18.75" customFormat="1" customHeight="1" s="805">
      <c r="B114" s="49" t="n"/>
      <c r="D114" s="766" t="n"/>
      <c r="E114" s="528" t="inlineStr">
        <is>
          <t>100332121</t>
        </is>
      </c>
      <c r="F114" s="528" t="n"/>
      <c r="G114" s="529" t="n"/>
      <c r="H114" s="530" t="inlineStr">
        <is>
          <t>100332143+100332163</t>
        </is>
      </c>
      <c r="I114" s="530" t="n"/>
      <c r="J114" s="940" t="inlineStr">
        <is>
          <t>млн куб.м</t>
        </is>
      </c>
    </row>
    <row r="115" ht="18.75" customFormat="1" customHeight="1" s="805">
      <c r="A115" t="inlineStr">
        <is>
          <t>- с У-01 АО "ЮУПК" из газа КНГКМ</t>
        </is>
      </c>
      <c r="B115" s="49" t="n"/>
      <c r="C115" s="812" t="n"/>
      <c r="D115" s="826" t="inlineStr">
        <is>
          <t xml:space="preserve"> - с У-01 АО "ЮУПК" из газа КНГКМ</t>
        </is>
      </c>
      <c r="E115" s="528" t="inlineStr">
        <is>
          <t>100332122</t>
        </is>
      </c>
      <c r="F115" s="528" t="n"/>
      <c r="G115" s="529" t="n"/>
      <c r="H115" s="530" t="inlineStr">
        <is>
          <t>100332146</t>
        </is>
      </c>
      <c r="I115" s="530" t="n"/>
      <c r="J115" s="526" t="inlineStr">
        <is>
          <t>тыс. т</t>
        </is>
      </c>
    </row>
    <row r="116" ht="18.75" customFormat="1" customHeight="1" s="805">
      <c r="B116" s="49" t="n"/>
      <c r="D116" s="766" t="n"/>
      <c r="E116" s="528" t="inlineStr">
        <is>
          <t>100332123</t>
        </is>
      </c>
      <c r="F116" s="528" t="n"/>
      <c r="G116" s="529" t="n"/>
      <c r="H116" s="530" t="inlineStr">
        <is>
          <t>100332147</t>
        </is>
      </c>
      <c r="I116" s="530" t="n"/>
      <c r="J116" s="940" t="inlineStr">
        <is>
          <t>млн куб.м</t>
        </is>
      </c>
    </row>
    <row r="117" ht="18.75" customFormat="1" customHeight="1" s="805">
      <c r="A117" t="inlineStr">
        <is>
          <t>Справочно:</t>
        </is>
      </c>
      <c r="B117" s="49" t="n"/>
      <c r="C117" s="812" t="n"/>
      <c r="D117" s="54" t="inlineStr">
        <is>
          <t>Справочно:</t>
        </is>
      </c>
      <c r="E117" s="528" t="n"/>
      <c r="F117" s="528" t="n"/>
      <c r="G117" s="529" t="n"/>
      <c r="H117" s="530" t="n"/>
      <c r="I117" s="530" t="n"/>
      <c r="J117" s="526" t="n"/>
    </row>
    <row r="118" ht="24" customFormat="1" customHeight="1" s="805">
      <c r="A118" t="inlineStr">
        <is>
          <t>Сухой газ с ГПЗ, всего:</t>
        </is>
      </c>
      <c r="B118" s="49" t="n"/>
      <c r="C118" s="824" t="n"/>
      <c r="D118" s="820" t="inlineStr">
        <is>
          <t>Сухой газ с ГПЗ, всего:</t>
        </is>
      </c>
      <c r="E118" s="528" t="inlineStr">
        <is>
          <t>100332130</t>
        </is>
      </c>
      <c r="F118" s="528" t="n"/>
      <c r="G118" s="529" t="n"/>
      <c r="H118" s="530" t="inlineStr">
        <is>
          <t>100332132+100332142+100335693</t>
        </is>
      </c>
      <c r="I118" s="530" t="n"/>
      <c r="J118" s="55" t="inlineStr">
        <is>
          <t>тыс. т</t>
        </is>
      </c>
    </row>
    <row r="119" ht="24" customFormat="1" customHeight="1" s="805">
      <c r="B119" s="49" t="n"/>
      <c r="D119" s="766" t="n"/>
      <c r="E119" s="528" t="inlineStr">
        <is>
          <t>100332131</t>
        </is>
      </c>
      <c r="F119" s="528" t="n"/>
      <c r="G119" s="529" t="n"/>
      <c r="H119" s="530" t="inlineStr">
        <is>
          <t>100332133+100332143+100335694</t>
        </is>
      </c>
      <c r="I119" s="530" t="n"/>
      <c r="J119" s="943" t="inlineStr">
        <is>
          <t>млн куб.м</t>
        </is>
      </c>
    </row>
    <row r="120" ht="24" customFormat="1" customHeight="1" s="805">
      <c r="A120" t="inlineStr">
        <is>
          <t>ООО "Газпром переработка", всего:</t>
        </is>
      </c>
      <c r="B120" s="49" t="n"/>
      <c r="C120" s="804" t="n"/>
      <c r="D120" s="807" t="inlineStr">
        <is>
          <t>ООО "Газпром переработка", всего:</t>
        </is>
      </c>
      <c r="E120" s="528" t="inlineStr">
        <is>
          <t>100332132</t>
        </is>
      </c>
      <c r="F120" s="528" t="n"/>
      <c r="G120" s="529" t="n"/>
      <c r="H120" s="530" t="inlineStr">
        <is>
          <t>100332134+100332136+100332138</t>
        </is>
      </c>
      <c r="I120" s="530" t="n"/>
      <c r="J120" s="53" t="inlineStr">
        <is>
          <t>тыс. т</t>
        </is>
      </c>
    </row>
    <row r="121" ht="24" customFormat="1" customHeight="1" s="805">
      <c r="B121" s="49" t="n"/>
      <c r="D121" s="766" t="n"/>
      <c r="E121" s="528" t="inlineStr">
        <is>
          <t>100332133</t>
        </is>
      </c>
      <c r="F121" s="528" t="n"/>
      <c r="G121" s="529" t="n"/>
      <c r="H121" s="530" t="inlineStr">
        <is>
          <t>100332135+100332137+100332139</t>
        </is>
      </c>
      <c r="I121" s="530" t="n"/>
      <c r="J121" s="941" t="inlineStr">
        <is>
          <t>млн куб.м</t>
        </is>
      </c>
    </row>
    <row r="122" ht="18.75" customFormat="1" customHeight="1" s="805">
      <c r="A122" t="inlineStr">
        <is>
          <t>- из сырья ООО "Газпром добыча Оренбург"</t>
        </is>
      </c>
      <c r="B122" s="49" t="n"/>
      <c r="C122" s="804" t="n"/>
      <c r="D122" s="807" t="inlineStr">
        <is>
          <t xml:space="preserve"> - из сырья ООО "Газпром добыча Оренбург"</t>
        </is>
      </c>
      <c r="E122" s="528" t="inlineStr">
        <is>
          <t>100332134</t>
        </is>
      </c>
      <c r="F122" s="528" t="n"/>
      <c r="G122" s="529" t="n"/>
      <c r="H122" s="530" t="n"/>
      <c r="I122" s="530" t="n"/>
      <c r="J122" s="53" t="inlineStr">
        <is>
          <t>тыс. т</t>
        </is>
      </c>
    </row>
    <row r="123" ht="18.75" customFormat="1" customHeight="1" s="805">
      <c r="B123" s="49" t="n"/>
      <c r="D123" s="766" t="n"/>
      <c r="E123" s="528" t="inlineStr">
        <is>
          <t>100332135</t>
        </is>
      </c>
      <c r="F123" s="528" t="n"/>
      <c r="G123" s="529" t="n"/>
      <c r="H123" s="530" t="n"/>
      <c r="I123" s="530" t="n"/>
      <c r="J123" s="941" t="inlineStr">
        <is>
          <t>млн куб.м</t>
        </is>
      </c>
    </row>
    <row r="124" ht="18.75" customFormat="1" customHeight="1" s="805">
      <c r="A124" t="inlineStr">
        <is>
          <t>- из сырья ПАО "Газпром нефть"</t>
        </is>
      </c>
      <c r="B124" s="49" t="n"/>
      <c r="C124" s="804" t="n"/>
      <c r="D124" s="807" t="inlineStr">
        <is>
          <t xml:space="preserve"> - из сырья ПАО "Газпром нефть"</t>
        </is>
      </c>
      <c r="E124" s="528" t="inlineStr">
        <is>
          <t>100332136</t>
        </is>
      </c>
      <c r="F124" s="528" t="n"/>
      <c r="G124" s="529" t="n"/>
      <c r="H124" s="530" t="n"/>
      <c r="I124" s="530" t="n"/>
      <c r="J124" s="53" t="inlineStr">
        <is>
          <t>тыс. т</t>
        </is>
      </c>
    </row>
    <row r="125" ht="18.75" customFormat="1" customHeight="1" s="805">
      <c r="B125" s="49" t="n"/>
      <c r="D125" s="766" t="n"/>
      <c r="E125" s="528" t="inlineStr">
        <is>
          <t>100332137</t>
        </is>
      </c>
      <c r="F125" s="528" t="n"/>
      <c r="G125" s="529" t="n"/>
      <c r="H125" s="530" t="n"/>
      <c r="I125" s="530" t="n"/>
      <c r="J125" s="941" t="inlineStr">
        <is>
          <t>млн куб.м</t>
        </is>
      </c>
    </row>
    <row r="126" ht="18.75" customFormat="1" customHeight="1" s="805">
      <c r="A126">
        <f>- из сырья Прочих поставщиков</f>
        <v/>
      </c>
      <c r="B126" s="49" t="n"/>
      <c r="C126" s="804" t="n"/>
      <c r="D126" s="807" t="inlineStr">
        <is>
          <t xml:space="preserve"> - из  сырья Прочих поставщиков</t>
        </is>
      </c>
      <c r="E126" s="528" t="inlineStr">
        <is>
          <t>100332138</t>
        </is>
      </c>
      <c r="F126" s="528" t="n"/>
      <c r="G126" s="529" t="n"/>
      <c r="H126" s="530" t="n"/>
      <c r="I126" s="530" t="n"/>
      <c r="J126" s="53" t="inlineStr">
        <is>
          <t>тыс. т</t>
        </is>
      </c>
    </row>
    <row r="127" ht="18.75" customFormat="1" customHeight="1" s="805">
      <c r="B127" s="49" t="n"/>
      <c r="D127" s="766" t="n"/>
      <c r="E127" s="528" t="inlineStr">
        <is>
          <t>100332139</t>
        </is>
      </c>
      <c r="F127" s="528" t="n"/>
      <c r="G127" s="529" t="n"/>
      <c r="H127" s="530" t="n"/>
      <c r="I127" s="530" t="n"/>
      <c r="J127" s="941" t="inlineStr">
        <is>
          <t>млн куб.м</t>
        </is>
      </c>
    </row>
    <row r="128" ht="18.75" customFormat="1" customHeight="1" s="805">
      <c r="A128" t="inlineStr">
        <is>
          <t>в т.ч. из жидких углеводородов  Прочих поставщиков</t>
        </is>
      </c>
      <c r="B128" s="49" t="n"/>
      <c r="C128" s="804" t="n"/>
      <c r="D128" s="827" t="inlineStr">
        <is>
          <t>в т.ч. из жидких углеводородов Прочих поставщиков</t>
        </is>
      </c>
      <c r="E128" s="528" t="inlineStr">
        <is>
          <t>100335000</t>
        </is>
      </c>
      <c r="F128" s="528" t="n"/>
      <c r="G128" s="529" t="n"/>
      <c r="H128" s="530" t="n"/>
      <c r="I128" s="530" t="n"/>
      <c r="J128" s="53" t="inlineStr">
        <is>
          <t>тыс. т</t>
        </is>
      </c>
    </row>
    <row r="129" ht="18.75" customFormat="1" customHeight="1" s="805">
      <c r="B129" s="49" t="n"/>
      <c r="C129" s="804" t="n"/>
      <c r="D129" s="766" t="n"/>
      <c r="E129" s="528" t="inlineStr">
        <is>
          <t>100335001</t>
        </is>
      </c>
      <c r="F129" s="528" t="n"/>
      <c r="G129" s="529" t="n"/>
      <c r="H129" s="530" t="n"/>
      <c r="I129" s="530" t="n"/>
      <c r="J129" s="941" t="inlineStr">
        <is>
          <t>млн куб.м</t>
        </is>
      </c>
    </row>
    <row r="130" ht="18.75" customFormat="1" customHeight="1" s="805">
      <c r="A130" t="inlineStr">
        <is>
          <t>ООО "Сервиснефтегаз" из нефти</t>
        </is>
      </c>
      <c r="B130" s="49" t="n"/>
      <c r="C130" s="804" t="n"/>
      <c r="D130" s="807" t="inlineStr">
        <is>
          <t>ООО "Сервиснефтегаз" из нефти (конденсат)</t>
        </is>
      </c>
      <c r="E130" s="528" t="inlineStr">
        <is>
          <t>100335693</t>
        </is>
      </c>
      <c r="F130" s="528" t="n"/>
      <c r="G130" s="529" t="n"/>
      <c r="H130" s="530" t="n"/>
      <c r="I130" s="530" t="n"/>
      <c r="J130" s="53" t="inlineStr">
        <is>
          <t>тыс. т</t>
        </is>
      </c>
    </row>
    <row r="131" ht="18.75" customFormat="1" customHeight="1" s="805">
      <c r="B131" s="49" t="n"/>
      <c r="C131" s="804" t="n"/>
      <c r="D131" s="766" t="n"/>
      <c r="E131" s="528" t="inlineStr">
        <is>
          <t>100335694</t>
        </is>
      </c>
      <c r="F131" s="528" t="n"/>
      <c r="G131" s="529" t="n"/>
      <c r="H131" s="530" t="n"/>
      <c r="I131" s="530" t="n"/>
      <c r="J131" s="941" t="inlineStr">
        <is>
          <t>млн куб.м</t>
        </is>
      </c>
    </row>
    <row r="132" ht="18.75" customFormat="1" customHeight="1" s="805">
      <c r="A132" t="inlineStr">
        <is>
          <t>ТОО "КазРосГаз", всего</t>
        </is>
      </c>
      <c r="B132" s="49" t="n"/>
      <c r="C132" s="804" t="n"/>
      <c r="D132" s="807" t="inlineStr">
        <is>
          <t>ТОО "КазРосГаз", всего</t>
        </is>
      </c>
      <c r="E132" s="528" t="inlineStr">
        <is>
          <t>100332142</t>
        </is>
      </c>
      <c r="F132" s="528" t="n"/>
      <c r="G132" s="529" t="n"/>
      <c r="H132" s="530" t="inlineStr">
        <is>
          <t>100332144+100332146</t>
        </is>
      </c>
      <c r="I132" s="530" t="n"/>
      <c r="J132" s="53" t="inlineStr">
        <is>
          <t>тыс. т</t>
        </is>
      </c>
    </row>
    <row r="133" ht="18.75" customFormat="1" customHeight="1" s="805">
      <c r="B133" s="49" t="n"/>
      <c r="C133" s="804" t="n"/>
      <c r="D133" s="766" t="n"/>
      <c r="E133" s="528" t="inlineStr">
        <is>
          <t>100332143</t>
        </is>
      </c>
      <c r="F133" s="528" t="n"/>
      <c r="G133" s="529" t="n"/>
      <c r="H133" s="530" t="inlineStr">
        <is>
          <t>100332145+100332147</t>
        </is>
      </c>
      <c r="I133" s="530" t="n"/>
      <c r="J133" s="941" t="inlineStr">
        <is>
          <t>млн куб.м</t>
        </is>
      </c>
    </row>
    <row r="134" ht="18.75" customFormat="1" customHeight="1" s="805">
      <c r="A134">
        <f>- из сырья КНГКМ</f>
        <v/>
      </c>
      <c r="B134" s="49" t="n"/>
      <c r="C134" s="804" t="n"/>
      <c r="D134" s="810" t="inlineStr">
        <is>
          <t xml:space="preserve"> - из сырья КНГКМ </t>
        </is>
      </c>
      <c r="E134" s="528" t="inlineStr">
        <is>
          <t>100332144</t>
        </is>
      </c>
      <c r="F134" s="528" t="n"/>
      <c r="G134" s="529" t="n"/>
      <c r="H134" s="530" t="n"/>
      <c r="I134" s="530" t="n"/>
      <c r="J134" s="53" t="inlineStr">
        <is>
          <t>тыс. т</t>
        </is>
      </c>
    </row>
    <row r="135" ht="18.75" customFormat="1" customHeight="1" s="805">
      <c r="B135" s="49" t="n"/>
      <c r="C135" s="804" t="n"/>
      <c r="D135" s="766" t="n"/>
      <c r="E135" s="528" t="inlineStr">
        <is>
          <t>100332145</t>
        </is>
      </c>
      <c r="F135" s="528" t="n"/>
      <c r="G135" s="529" t="n"/>
      <c r="H135" s="530" t="n"/>
      <c r="I135" s="530" t="n"/>
      <c r="J135" s="941" t="inlineStr">
        <is>
          <t>млн куб.м</t>
        </is>
      </c>
    </row>
    <row r="136" ht="18.75" customFormat="1" customHeight="1" s="805">
      <c r="A136" t="inlineStr">
        <is>
          <t>- с У-01 АО "ЮУПК" из газа КНГКМ</t>
        </is>
      </c>
      <c r="B136" s="49" t="n"/>
      <c r="C136" s="804" t="n"/>
      <c r="D136" s="810" t="inlineStr">
        <is>
          <t xml:space="preserve"> - с У-01 АО "ЮУПК" из газа КНГКМ</t>
        </is>
      </c>
      <c r="E136" s="528" t="inlineStr">
        <is>
          <t>100332146</t>
        </is>
      </c>
      <c r="F136" s="528" t="n"/>
      <c r="G136" s="529" t="n"/>
      <c r="H136" s="530" t="n"/>
      <c r="I136" s="530" t="n"/>
      <c r="J136" s="53" t="inlineStr">
        <is>
          <t>тыс. т</t>
        </is>
      </c>
    </row>
    <row r="137" ht="18.75" customFormat="1" customHeight="1" s="805">
      <c r="B137" s="49" t="n"/>
      <c r="C137" s="804" t="n"/>
      <c r="D137" s="766" t="n"/>
      <c r="E137" s="528" t="inlineStr">
        <is>
          <t>100332147</t>
        </is>
      </c>
      <c r="F137" s="528" t="n"/>
      <c r="G137" s="529" t="n"/>
      <c r="H137" s="530" t="n"/>
      <c r="I137" s="530" t="n"/>
      <c r="J137" s="941" t="inlineStr">
        <is>
          <t>млн куб.м</t>
        </is>
      </c>
    </row>
    <row r="138" ht="18.75" customFormat="1" customHeight="1" s="805">
      <c r="A138" t="inlineStr">
        <is>
          <t>Сухой газ с ГЗ, всего:</t>
        </is>
      </c>
      <c r="B138" s="49" t="n"/>
      <c r="C138" s="824" t="n"/>
      <c r="D138" s="820" t="inlineStr">
        <is>
          <t>Сухой газ с ГЗ, всего:</t>
        </is>
      </c>
      <c r="E138" s="528" t="inlineStr">
        <is>
          <t>100332154</t>
        </is>
      </c>
      <c r="F138" s="528" t="n"/>
      <c r="G138" s="529" t="n"/>
      <c r="H138" s="530" t="inlineStr">
        <is>
          <t>100332156+100332162</t>
        </is>
      </c>
      <c r="I138" s="530" t="n"/>
      <c r="J138" s="55" t="inlineStr">
        <is>
          <t>тыс. т</t>
        </is>
      </c>
    </row>
    <row r="139" ht="18.75" customFormat="1" customHeight="1" s="805">
      <c r="B139" s="49" t="n"/>
      <c r="C139" s="824" t="n"/>
      <c r="D139" s="766" t="n"/>
      <c r="E139" s="528" t="inlineStr">
        <is>
          <t>100332155</t>
        </is>
      </c>
      <c r="F139" s="528" t="n"/>
      <c r="G139" s="529" t="n"/>
      <c r="H139" s="530" t="inlineStr">
        <is>
          <t>100332157+100332163</t>
        </is>
      </c>
      <c r="I139" s="530" t="n"/>
      <c r="J139" s="943" t="inlineStr">
        <is>
          <t>млн куб.м</t>
        </is>
      </c>
    </row>
    <row r="140" ht="24" customFormat="1" customHeight="1" s="805">
      <c r="A140" t="inlineStr">
        <is>
          <t>ООО "Газпром переработка", всего:</t>
        </is>
      </c>
      <c r="B140" s="49" t="n"/>
      <c r="C140" s="804" t="n"/>
      <c r="D140" s="807" t="inlineStr">
        <is>
          <t>ООО "Газпром переработка", всего:</t>
        </is>
      </c>
      <c r="E140" s="528" t="inlineStr">
        <is>
          <t>100332156</t>
        </is>
      </c>
      <c r="F140" s="528" t="n"/>
      <c r="G140" s="529" t="n"/>
      <c r="H140" s="530" t="inlineStr">
        <is>
          <t>100332158+100332160+100335138</t>
        </is>
      </c>
      <c r="I140" s="530" t="n"/>
      <c r="J140" s="53" t="inlineStr">
        <is>
          <t>тыс. т</t>
        </is>
      </c>
    </row>
    <row r="141" ht="24" customFormat="1" customHeight="1" s="805">
      <c r="B141" s="49" t="n"/>
      <c r="C141" s="804" t="n"/>
      <c r="D141" s="766" t="n"/>
      <c r="E141" s="528" t="inlineStr">
        <is>
          <t>100332157</t>
        </is>
      </c>
      <c r="F141" s="528" t="n"/>
      <c r="G141" s="529" t="n"/>
      <c r="H141" s="530" t="inlineStr">
        <is>
          <t>100332159+100332161+100335139</t>
        </is>
      </c>
      <c r="I141" s="530" t="n"/>
      <c r="J141" s="941" t="inlineStr">
        <is>
          <t>млн куб.м</t>
        </is>
      </c>
    </row>
    <row r="142" ht="18.75" customFormat="1" customHeight="1" s="805">
      <c r="A142" t="inlineStr">
        <is>
          <t>в т.ч. для транспортировки через МГ "Совхозное"</t>
        </is>
      </c>
      <c r="B142" s="49" t="n"/>
      <c r="C142" s="804" t="n"/>
      <c r="D142" s="821" t="inlineStr">
        <is>
          <t>в т.ч. для транспортировки через МГ "Совхозное"</t>
        </is>
      </c>
      <c r="E142" s="528" t="inlineStr">
        <is>
          <t>100335332</t>
        </is>
      </c>
      <c r="F142" s="528" t="n"/>
      <c r="G142" s="529" t="n"/>
      <c r="H142" s="530" t="n"/>
      <c r="I142" s="530" t="n"/>
      <c r="J142" s="53" t="inlineStr">
        <is>
          <t>тыс. т</t>
        </is>
      </c>
    </row>
    <row r="143" ht="18.75" customFormat="1" customHeight="1" s="805">
      <c r="B143" s="49" t="n"/>
      <c r="C143" s="804" t="n"/>
      <c r="D143" s="766" t="n"/>
      <c r="E143" s="528" t="inlineStr">
        <is>
          <t>100335333</t>
        </is>
      </c>
      <c r="F143" s="528" t="n"/>
      <c r="G143" s="529" t="n"/>
      <c r="H143" s="530" t="n"/>
      <c r="I143" s="530" t="n"/>
      <c r="J143" s="941" t="inlineStr">
        <is>
          <t>млн куб.м</t>
        </is>
      </c>
    </row>
    <row r="144" ht="18.75" customFormat="1" customHeight="1" s="805">
      <c r="A144" t="inlineStr">
        <is>
          <t>- из сырья ООО "Газпром добыча Оренбург"</t>
        </is>
      </c>
      <c r="B144" s="49" t="n"/>
      <c r="C144" s="804" t="n"/>
      <c r="D144" s="807" t="inlineStr">
        <is>
          <t xml:space="preserve"> - из сырья ООО "Газпром добыча Оренбург"</t>
        </is>
      </c>
      <c r="E144" s="528" t="inlineStr">
        <is>
          <t>100332158</t>
        </is>
      </c>
      <c r="F144" s="528" t="n"/>
      <c r="G144" s="529" t="n"/>
      <c r="H144" s="530" t="n"/>
      <c r="I144" s="530" t="n"/>
      <c r="J144" s="53" t="inlineStr">
        <is>
          <t>тыс. т</t>
        </is>
      </c>
    </row>
    <row r="145" ht="18.75" customFormat="1" customHeight="1" s="805">
      <c r="B145" s="49" t="n"/>
      <c r="C145" s="804" t="n"/>
      <c r="D145" s="766" t="n"/>
      <c r="E145" s="528" t="inlineStr">
        <is>
          <t>100332159</t>
        </is>
      </c>
      <c r="F145" s="528" t="n"/>
      <c r="G145" s="529" t="n"/>
      <c r="H145" s="530" t="n"/>
      <c r="I145" s="530" t="n"/>
      <c r="J145" s="941" t="inlineStr">
        <is>
          <t>млн куб.м</t>
        </is>
      </c>
    </row>
    <row r="146" ht="18.75" customFormat="1" customHeight="1" s="805">
      <c r="A146" t="inlineStr">
        <is>
          <t>- из сырья ПАО "Газпром нефть"</t>
        </is>
      </c>
      <c r="B146" s="49" t="n"/>
      <c r="C146" s="804" t="n"/>
      <c r="D146" s="807" t="inlineStr">
        <is>
          <t xml:space="preserve"> - из сырья ПАО "Газпром нефть"</t>
        </is>
      </c>
      <c r="E146" s="528" t="inlineStr">
        <is>
          <t>100332160</t>
        </is>
      </c>
      <c r="F146" s="528" t="n"/>
      <c r="G146" s="529" t="n"/>
      <c r="H146" s="530" t="n"/>
      <c r="I146" s="530" t="n"/>
      <c r="J146" s="53" t="inlineStr">
        <is>
          <t>тыс. т</t>
        </is>
      </c>
    </row>
    <row r="147" ht="18.75" customFormat="1" customHeight="1" s="805">
      <c r="B147" s="49" t="n"/>
      <c r="C147" s="804" t="n"/>
      <c r="D147" s="766" t="n"/>
      <c r="E147" s="528" t="inlineStr">
        <is>
          <t>100332161</t>
        </is>
      </c>
      <c r="F147" s="528" t="n"/>
      <c r="G147" s="529" t="n"/>
      <c r="H147" s="530" t="n"/>
      <c r="I147" s="530" t="n"/>
      <c r="J147" s="941" t="inlineStr">
        <is>
          <t>млн куб.м</t>
        </is>
      </c>
    </row>
    <row r="148" ht="18.75" customFormat="1" customHeight="1" s="805">
      <c r="A148">
        <f>- из газа Прочих поставщиков</f>
        <v/>
      </c>
      <c r="B148" s="49" t="n"/>
      <c r="C148" s="804" t="n"/>
      <c r="D148" s="807" t="inlineStr">
        <is>
          <t xml:space="preserve"> - из газа Прочих поставщиков </t>
        </is>
      </c>
      <c r="E148" s="528" t="inlineStr">
        <is>
          <t>100335138</t>
        </is>
      </c>
      <c r="F148" s="528" t="n"/>
      <c r="G148" s="529" t="n"/>
      <c r="H148" s="530" t="n"/>
      <c r="I148" s="530" t="n"/>
      <c r="J148" s="526" t="inlineStr">
        <is>
          <t>тыс. т</t>
        </is>
      </c>
    </row>
    <row r="149" ht="18.75" customFormat="1" customHeight="1" s="805">
      <c r="B149" s="49" t="n"/>
      <c r="C149" s="804" t="n"/>
      <c r="D149" s="766" t="n"/>
      <c r="E149" s="528" t="inlineStr">
        <is>
          <t>100335139</t>
        </is>
      </c>
      <c r="F149" s="528" t="n"/>
      <c r="G149" s="529" t="n"/>
      <c r="H149" s="530" t="n"/>
      <c r="I149" s="530" t="n"/>
      <c r="J149" s="940" t="inlineStr">
        <is>
          <t>млн куб.м</t>
        </is>
      </c>
    </row>
    <row r="150" ht="18.75" customFormat="1" customHeight="1" s="805">
      <c r="A150" t="inlineStr">
        <is>
          <t>ТОО "КазРосГаз"</t>
        </is>
      </c>
      <c r="B150" s="49" t="n"/>
      <c r="C150" s="804" t="n"/>
      <c r="D150" s="807" t="inlineStr">
        <is>
          <t>ТОО "КазРосГаз"</t>
        </is>
      </c>
      <c r="E150" s="528" t="inlineStr">
        <is>
          <t>100332162</t>
        </is>
      </c>
      <c r="F150" s="528" t="n"/>
      <c r="G150" s="529" t="n"/>
      <c r="H150" s="530" t="n"/>
      <c r="I150" s="530" t="n"/>
      <c r="J150" s="53" t="inlineStr">
        <is>
          <t>тыс. т</t>
        </is>
      </c>
    </row>
    <row r="151" ht="18.75" customFormat="1" customHeight="1" s="805">
      <c r="B151" s="49" t="n"/>
      <c r="D151" s="766" t="n"/>
      <c r="E151" s="528" t="inlineStr">
        <is>
          <t>100332163</t>
        </is>
      </c>
      <c r="F151" s="528" t="n"/>
      <c r="G151" s="529" t="n"/>
      <c r="H151" s="530" t="n"/>
      <c r="I151" s="530" t="n"/>
      <c r="J151" s="941" t="inlineStr">
        <is>
          <t>млн куб.м</t>
        </is>
      </c>
    </row>
    <row r="152" ht="18.75" customFormat="1" customHeight="1" s="805">
      <c r="A152" t="inlineStr">
        <is>
          <t>СПРАВОЧНО:</t>
        </is>
      </c>
      <c r="B152" s="49" t="n"/>
      <c r="C152" s="804" t="n"/>
      <c r="D152" s="807" t="inlineStr">
        <is>
          <t>СПРАВОЧНО:</t>
        </is>
      </c>
      <c r="E152" s="528" t="n"/>
      <c r="F152" s="528" t="n"/>
      <c r="G152" s="529" t="n"/>
      <c r="H152" s="530" t="n"/>
      <c r="I152" s="530" t="n"/>
      <c r="J152" s="941" t="n"/>
    </row>
    <row r="153" ht="15.75" customFormat="1" customHeight="1" s="805">
      <c r="A153" t="inlineStr">
        <is>
          <t>ГАЗ ПРИРОДНЫЙ СУХОЙ ОТБЕНЗИНЕННЫЙ, ВСЕГО:</t>
        </is>
      </c>
      <c r="B153" s="49" t="n"/>
      <c r="C153" s="804" t="n"/>
      <c r="D153" s="815" t="inlineStr">
        <is>
          <t>ГАЗ ПРИРОДНЫЙ СУХОЙ ОТБЕНЗИНЕННЫЙ, ВСЕГО:</t>
        </is>
      </c>
      <c r="E153" s="528" t="inlineStr">
        <is>
          <t>100335004</t>
        </is>
      </c>
      <c r="F153" s="528" t="n"/>
      <c r="G153" s="529" t="n"/>
      <c r="H153" s="530" t="inlineStr">
        <is>
          <t>100335006+100335008+100335010+100335012+100335014+100335016+100335018</t>
        </is>
      </c>
      <c r="I153" s="530" t="n"/>
      <c r="J153" s="53" t="inlineStr">
        <is>
          <t>тыс. т</t>
        </is>
      </c>
    </row>
    <row r="154" ht="36" customFormat="1" customHeight="1" s="805">
      <c r="B154" s="49" t="n"/>
      <c r="C154" s="804" t="n"/>
      <c r="D154" s="766" t="n"/>
      <c r="E154" s="528" t="inlineStr">
        <is>
          <t>100335005</t>
        </is>
      </c>
      <c r="F154" s="528" t="n"/>
      <c r="G154" s="529" t="n"/>
      <c r="H154" s="530" t="inlineStr">
        <is>
          <t>100335007+100335009+100335011+100335013+100335015+100335017+100335019</t>
        </is>
      </c>
      <c r="I154" s="530" t="n"/>
      <c r="J154" s="941" t="inlineStr">
        <is>
          <t>млн куб.м</t>
        </is>
      </c>
    </row>
    <row r="155" ht="18.75" customFormat="1" customHeight="1" s="805">
      <c r="A155" t="inlineStr">
        <is>
          <t>в т.ч. в газотранспортную систему с ГПЗ</t>
        </is>
      </c>
      <c r="B155" s="49" t="n"/>
      <c r="C155" s="804" t="n"/>
      <c r="D155" s="807" t="inlineStr">
        <is>
          <t>в т.ч. в газотранспортную систему с ГПЗ</t>
        </is>
      </c>
      <c r="E155" s="528" t="inlineStr">
        <is>
          <t>100335006</t>
        </is>
      </c>
      <c r="F155" s="528" t="n"/>
      <c r="G155" s="529" t="n"/>
      <c r="H155" s="530" t="n"/>
      <c r="I155" s="530" t="n"/>
      <c r="J155" s="53" t="inlineStr">
        <is>
          <t>тыс. т</t>
        </is>
      </c>
    </row>
    <row r="156" ht="18.75" customFormat="1" customHeight="1" s="805">
      <c r="B156" s="49" t="n"/>
      <c r="C156" s="804" t="n"/>
      <c r="D156" s="766" t="n"/>
      <c r="E156" s="528" t="inlineStr">
        <is>
          <t>100335007</t>
        </is>
      </c>
      <c r="F156" s="528" t="n"/>
      <c r="G156" s="529" t="n"/>
      <c r="H156" s="530" t="n"/>
      <c r="I156" s="530" t="n"/>
      <c r="J156" s="941" t="inlineStr">
        <is>
          <t>млн куб.м</t>
        </is>
      </c>
    </row>
    <row r="157" ht="18.75" customFormat="1" customHeight="1" s="805">
      <c r="A157" t="inlineStr">
        <is>
          <t>в т.ч. в газотранспортную систему с ГЗ</t>
        </is>
      </c>
      <c r="B157" s="49" t="n"/>
      <c r="C157" s="804" t="n"/>
      <c r="D157" s="807" t="inlineStr">
        <is>
          <t>в т.ч. в газотранспортную систему с ГЗ</t>
        </is>
      </c>
      <c r="E157" s="528" t="inlineStr">
        <is>
          <t>100335008</t>
        </is>
      </c>
      <c r="F157" s="528" t="n"/>
      <c r="G157" s="529" t="n"/>
      <c r="H157" s="530" t="n"/>
      <c r="I157" s="530" t="n"/>
      <c r="J157" s="53" t="inlineStr">
        <is>
          <t>тыс. т</t>
        </is>
      </c>
    </row>
    <row r="158" ht="18.75" customFormat="1" customHeight="1" s="805">
      <c r="B158" s="49" t="n"/>
      <c r="C158" s="804" t="n"/>
      <c r="D158" s="766" t="n"/>
      <c r="E158" s="528" t="inlineStr">
        <is>
          <t>100335009</t>
        </is>
      </c>
      <c r="F158" s="528" t="n"/>
      <c r="G158" s="529" t="n"/>
      <c r="H158" s="530" t="n"/>
      <c r="I158" s="530" t="n"/>
      <c r="J158" s="941" t="inlineStr">
        <is>
          <t>млн куб.м</t>
        </is>
      </c>
    </row>
    <row r="159" ht="18.75" customFormat="1" customHeight="1" s="805">
      <c r="A159" t="inlineStr">
        <is>
          <t>в т.ч. поставка на КТЭЦ с ГПЗ</t>
        </is>
      </c>
      <c r="B159" s="49" t="n"/>
      <c r="C159" s="804" t="n"/>
      <c r="D159" s="807" t="inlineStr">
        <is>
          <t>в т.ч. поставка на КТЭЦ с ГПЗ</t>
        </is>
      </c>
      <c r="E159" s="528" t="inlineStr">
        <is>
          <t>100335010</t>
        </is>
      </c>
      <c r="F159" s="528" t="n"/>
      <c r="G159" s="529" t="n"/>
      <c r="H159" s="530" t="n"/>
      <c r="I159" s="530" t="n"/>
      <c r="J159" s="53" t="inlineStr">
        <is>
          <t>тыс. т</t>
        </is>
      </c>
    </row>
    <row r="160" ht="18.75" customFormat="1" customHeight="1" s="805">
      <c r="B160" s="49" t="n"/>
      <c r="C160" s="804" t="n"/>
      <c r="D160" s="766" t="n"/>
      <c r="E160" s="528" t="inlineStr">
        <is>
          <t>100335011</t>
        </is>
      </c>
      <c r="F160" s="528" t="n"/>
      <c r="G160" s="529" t="n"/>
      <c r="H160" s="530" t="n"/>
      <c r="I160" s="530" t="n"/>
      <c r="J160" s="941" t="inlineStr">
        <is>
          <t>млн куб.м</t>
        </is>
      </c>
    </row>
    <row r="161" ht="18.75" customFormat="1" customHeight="1" s="805">
      <c r="A161" t="inlineStr">
        <is>
          <t>в т.ч. поставка на КТЭЦ с ГЗ</t>
        </is>
      </c>
      <c r="B161" s="49" t="n"/>
      <c r="C161" s="804" t="n"/>
      <c r="D161" s="807" t="inlineStr">
        <is>
          <t>в т.ч. поставка на КТЭЦ с ГЗ</t>
        </is>
      </c>
      <c r="E161" s="528" t="inlineStr">
        <is>
          <t>100335012</t>
        </is>
      </c>
      <c r="F161" s="528" t="n"/>
      <c r="G161" s="529" t="n"/>
      <c r="H161" s="530" t="n"/>
      <c r="I161" s="530" t="n"/>
      <c r="J161" s="53" t="inlineStr">
        <is>
          <t>тыс. т</t>
        </is>
      </c>
    </row>
    <row r="162" ht="18.75" customFormat="1" customHeight="1" s="805">
      <c r="B162" s="49" t="n"/>
      <c r="C162" s="804" t="n"/>
      <c r="D162" s="766" t="n"/>
      <c r="E162" s="528" t="inlineStr">
        <is>
          <t>100335013</t>
        </is>
      </c>
      <c r="F162" s="528" t="n"/>
      <c r="G162" s="529" t="n"/>
      <c r="H162" s="530" t="n"/>
      <c r="I162" s="530" t="n"/>
      <c r="J162" s="941" t="inlineStr">
        <is>
          <t>млн куб.м</t>
        </is>
      </c>
    </row>
    <row r="163" ht="18.75" customFormat="1" customHeight="1" s="805">
      <c r="A163" t="inlineStr">
        <is>
          <t>в т.ч. на СТН  ООО "Газпром переработка" ГПЗ</t>
        </is>
      </c>
      <c r="B163" s="49" t="n"/>
      <c r="C163" s="804" t="n"/>
      <c r="D163" s="807" t="inlineStr">
        <is>
          <t>в т.ч. на СТН  ООО "Газпром переработка" ГПЗ</t>
        </is>
      </c>
      <c r="E163" s="528" t="inlineStr">
        <is>
          <t>100335014</t>
        </is>
      </c>
      <c r="F163" s="528" t="n"/>
      <c r="G163" s="529" t="n"/>
      <c r="H163" s="530" t="n"/>
      <c r="I163" s="530" t="n"/>
      <c r="J163" s="53" t="inlineStr">
        <is>
          <t>тыс. т</t>
        </is>
      </c>
    </row>
    <row r="164" ht="18.75" customFormat="1" customHeight="1" s="805">
      <c r="B164" s="49" t="n"/>
      <c r="C164" s="804" t="n"/>
      <c r="D164" s="766" t="n"/>
      <c r="E164" s="528" t="inlineStr">
        <is>
          <t>100335015</t>
        </is>
      </c>
      <c r="F164" s="528" t="n"/>
      <c r="G164" s="529" t="n"/>
      <c r="H164" s="530" t="n"/>
      <c r="I164" s="530" t="n"/>
      <c r="J164" s="941" t="inlineStr">
        <is>
          <t>млн куб.м</t>
        </is>
      </c>
    </row>
    <row r="165" ht="18.75" customFormat="1" customHeight="1" s="805">
      <c r="A165" t="inlineStr">
        <is>
          <t>в т.ч. на СТН  ООО "Газпром переработка" ГЗ</t>
        </is>
      </c>
      <c r="B165" s="49" t="n"/>
      <c r="C165" s="804" t="n"/>
      <c r="D165" s="807" t="inlineStr">
        <is>
          <t>в т.ч. на СТН  ООО "Газпром переработка" ГЗ</t>
        </is>
      </c>
      <c r="E165" s="528" t="inlineStr">
        <is>
          <t>100335016</t>
        </is>
      </c>
      <c r="F165" s="528" t="n"/>
      <c r="G165" s="529" t="n"/>
      <c r="H165" s="530" t="n"/>
      <c r="I165" s="530" t="n"/>
      <c r="J165" s="53" t="inlineStr">
        <is>
          <t>тыс. т</t>
        </is>
      </c>
    </row>
    <row r="166" ht="18.75" customFormat="1" customHeight="1" s="805">
      <c r="B166" s="49" t="n"/>
      <c r="C166" s="804" t="n"/>
      <c r="D166" s="766" t="n"/>
      <c r="E166" s="528" t="inlineStr">
        <is>
          <t>100335017</t>
        </is>
      </c>
      <c r="F166" s="528" t="n"/>
      <c r="G166" s="529" t="n"/>
      <c r="H166" s="530" t="n"/>
      <c r="I166" s="530" t="n"/>
      <c r="J166" s="941" t="inlineStr">
        <is>
          <t>млн куб.м</t>
        </is>
      </c>
    </row>
    <row r="167" ht="18.75" customFormat="1" customHeight="1" s="805">
      <c r="A167" t="inlineStr">
        <is>
          <t>в т.ч. на СТН газодобывающих обществ</t>
        </is>
      </c>
      <c r="B167" s="49" t="n"/>
      <c r="C167" s="804" t="n"/>
      <c r="D167" s="807" t="inlineStr">
        <is>
          <t>в т.ч. на СТН газодобывающих обществ</t>
        </is>
      </c>
      <c r="E167" s="528" t="inlineStr">
        <is>
          <t>100335018</t>
        </is>
      </c>
      <c r="F167" s="528" t="n"/>
      <c r="G167" s="529" t="n"/>
      <c r="H167" s="530" t="n"/>
      <c r="I167" s="530" t="n"/>
      <c r="J167" s="53" t="inlineStr">
        <is>
          <t>тыс. т</t>
        </is>
      </c>
    </row>
    <row r="168" ht="18.75" customFormat="1" customHeight="1" s="805">
      <c r="B168" s="49" t="n"/>
      <c r="C168" s="804" t="n"/>
      <c r="D168" s="766" t="n"/>
      <c r="E168" s="528" t="inlineStr">
        <is>
          <t>100335019</t>
        </is>
      </c>
      <c r="F168" s="528" t="n"/>
      <c r="G168" s="529" t="n"/>
      <c r="H168" s="530" t="n"/>
      <c r="I168" s="530" t="n"/>
      <c r="J168" s="941" t="inlineStr">
        <is>
          <t>млн куб.м</t>
        </is>
      </c>
    </row>
    <row r="169" ht="18.75" customFormat="1" customHeight="1" s="805">
      <c r="A169" t="inlineStr">
        <is>
          <t>ГАЗ ПРИРОДНЫЙ СУХОЙ ОТБЕНЗИНЕННЫЙ на СТН ГП переработка ГПЗ (ООО "Сервиснефтегаз")</t>
        </is>
      </c>
      <c r="B169" s="49" t="n"/>
      <c r="C169" s="804" t="n"/>
      <c r="D169" s="807" t="inlineStr">
        <is>
          <t xml:space="preserve"> ГАЗ ПРИРОДНЫЙ СУХОЙ ОТБЕНЗИНЕННЫЙ на СТН ГП переработка ГПЗ (ООО "Сервиснефтегаз")</t>
        </is>
      </c>
      <c r="E169" s="528" t="inlineStr">
        <is>
          <t>100335695</t>
        </is>
      </c>
      <c r="F169" s="528" t="n"/>
      <c r="G169" s="529" t="n"/>
      <c r="H169" s="530" t="n"/>
      <c r="I169" s="530" t="n"/>
      <c r="J169" s="941" t="inlineStr">
        <is>
          <t>тыс. т</t>
        </is>
      </c>
    </row>
    <row r="170" ht="18.75" customFormat="1" customHeight="1" s="805">
      <c r="B170" s="49" t="n"/>
      <c r="C170" s="804" t="n"/>
      <c r="D170" s="766" t="n"/>
      <c r="E170" s="528" t="inlineStr">
        <is>
          <t>100335696</t>
        </is>
      </c>
      <c r="F170" s="528" t="n"/>
      <c r="G170" s="529" t="n"/>
      <c r="H170" s="530" t="n"/>
      <c r="I170" s="530" t="n"/>
      <c r="J170" s="941" t="inlineStr">
        <is>
          <t>млн куб.м</t>
        </is>
      </c>
    </row>
    <row r="171" ht="24" customFormat="1" customHeight="1" s="805">
      <c r="A171" t="inlineStr">
        <is>
          <t>ГАЗ ПРИРОДНЫЙ СУХОЙ ОТБЕНЗИНЕННЫЙ (ТОО "КазРосГаз"), ВСЕГО:</t>
        </is>
      </c>
      <c r="B171" s="49" t="n"/>
      <c r="C171" s="804" t="n"/>
      <c r="D171" s="815" t="inlineStr">
        <is>
          <t>ГАЗ ПРИРОДНЫЙ СУХОЙ ОТБЕНЗИНЕННЫЙ (ТОО "КазРосГаз"), ВСЕГО:</t>
        </is>
      </c>
      <c r="E171" s="528" t="inlineStr">
        <is>
          <t>100335020</t>
        </is>
      </c>
      <c r="F171" s="528" t="n"/>
      <c r="G171" s="529" t="n"/>
      <c r="H171" s="530" t="inlineStr">
        <is>
          <t>100335022+100335024+100335026+100335028</t>
        </is>
      </c>
      <c r="I171" s="530" t="n"/>
      <c r="J171" s="53" t="inlineStr">
        <is>
          <t>тыс. т</t>
        </is>
      </c>
    </row>
    <row r="172" ht="24" customFormat="1" customHeight="1" s="805">
      <c r="B172" s="49" t="n"/>
      <c r="C172" s="804" t="n"/>
      <c r="D172" s="766" t="n"/>
      <c r="E172" s="528" t="inlineStr">
        <is>
          <t>100335021</t>
        </is>
      </c>
      <c r="F172" s="528" t="n"/>
      <c r="G172" s="529" t="n"/>
      <c r="H172" s="530" t="inlineStr">
        <is>
          <t>100335023+100335025+100335027+100335029</t>
        </is>
      </c>
      <c r="I172" s="530" t="n"/>
      <c r="J172" s="941" t="inlineStr">
        <is>
          <t>млн куб.м</t>
        </is>
      </c>
    </row>
    <row r="173" ht="18.75" customFormat="1" customHeight="1" s="805">
      <c r="A173" t="inlineStr">
        <is>
          <t>в т.ч. в газотранспортную систему с ГПЗ</t>
        </is>
      </c>
      <c r="B173" s="49" t="n"/>
      <c r="C173" s="804" t="n"/>
      <c r="D173" s="807" t="inlineStr">
        <is>
          <t>в т.ч. в газотранспортную систему с ГПЗ</t>
        </is>
      </c>
      <c r="E173" s="528" t="inlineStr">
        <is>
          <t>100335022</t>
        </is>
      </c>
      <c r="F173" s="528" t="n"/>
      <c r="G173" s="529" t="n"/>
      <c r="H173" s="530" t="n"/>
      <c r="I173" s="530" t="n"/>
      <c r="J173" s="53" t="inlineStr">
        <is>
          <t>тыс. т</t>
        </is>
      </c>
    </row>
    <row r="174" ht="18.75" customFormat="1" customHeight="1" s="805">
      <c r="B174" s="49" t="n"/>
      <c r="C174" s="804" t="n"/>
      <c r="D174" s="766" t="n"/>
      <c r="E174" s="528" t="inlineStr">
        <is>
          <t>100335023</t>
        </is>
      </c>
      <c r="F174" s="528" t="n"/>
      <c r="G174" s="529" t="n"/>
      <c r="H174" s="530" t="n"/>
      <c r="I174" s="530" t="n"/>
      <c r="J174" s="941" t="inlineStr">
        <is>
          <t>млн куб.м</t>
        </is>
      </c>
    </row>
    <row r="175" ht="18.75" customFormat="1" customHeight="1" s="805">
      <c r="A175" t="inlineStr">
        <is>
          <t>в т.ч. в газотранспортную систему с ГЗ</t>
        </is>
      </c>
      <c r="B175" s="49" t="n"/>
      <c r="C175" s="804" t="n"/>
      <c r="D175" s="807" t="inlineStr">
        <is>
          <t>в т.ч. в газотранспортную систему с ГЗ</t>
        </is>
      </c>
      <c r="E175" s="528" t="inlineStr">
        <is>
          <t>100335024</t>
        </is>
      </c>
      <c r="F175" s="528" t="n"/>
      <c r="G175" s="529" t="n"/>
      <c r="H175" s="530" t="n"/>
      <c r="I175" s="530" t="n"/>
      <c r="J175" s="53" t="inlineStr">
        <is>
          <t>тыс. т</t>
        </is>
      </c>
    </row>
    <row r="176" ht="18.75" customFormat="1" customHeight="1" s="805">
      <c r="B176" s="49" t="n"/>
      <c r="C176" s="804" t="n"/>
      <c r="D176" s="766" t="n"/>
      <c r="E176" s="528" t="inlineStr">
        <is>
          <t>100335025</t>
        </is>
      </c>
      <c r="F176" s="528" t="n"/>
      <c r="G176" s="529" t="n"/>
      <c r="H176" s="530" t="n"/>
      <c r="I176" s="530" t="n"/>
      <c r="J176" s="941" t="inlineStr">
        <is>
          <t>млн куб.м</t>
        </is>
      </c>
    </row>
    <row r="177" ht="18.75" customFormat="1" customHeight="1" s="805">
      <c r="A177" t="inlineStr">
        <is>
          <t>в т.ч газ на СТН ГП переработка ГПЗ</t>
        </is>
      </c>
      <c r="B177" s="49" t="n"/>
      <c r="C177" s="804" t="n"/>
      <c r="D177" s="807" t="inlineStr">
        <is>
          <t>в т.ч газ на СТН ГП переработка ГПЗ</t>
        </is>
      </c>
      <c r="E177" s="528" t="inlineStr">
        <is>
          <t>100335026</t>
        </is>
      </c>
      <c r="F177" s="528" t="n"/>
      <c r="G177" s="529" t="n"/>
      <c r="H177" s="530" t="n"/>
      <c r="I177" s="530" t="n"/>
      <c r="J177" s="53" t="inlineStr">
        <is>
          <t>тыс. т</t>
        </is>
      </c>
    </row>
    <row r="178" ht="18.75" customFormat="1" customHeight="1" s="805">
      <c r="B178" s="49" t="n"/>
      <c r="C178" s="804" t="n"/>
      <c r="D178" s="766" t="n"/>
      <c r="E178" s="528" t="inlineStr">
        <is>
          <t>100335027</t>
        </is>
      </c>
      <c r="F178" s="528" t="n"/>
      <c r="G178" s="529" t="n"/>
      <c r="H178" s="530" t="n"/>
      <c r="I178" s="530" t="n"/>
      <c r="J178" s="941" t="inlineStr">
        <is>
          <t>млн куб.м</t>
        </is>
      </c>
    </row>
    <row r="179" ht="18.75" customFormat="1" customHeight="1" s="805">
      <c r="A179" t="inlineStr">
        <is>
          <t>в т.ч газ на СТН ГП переработка ГЗ</t>
        </is>
      </c>
      <c r="B179" s="49" t="n"/>
      <c r="C179" s="804" t="n"/>
      <c r="D179" s="807" t="inlineStr">
        <is>
          <t>в т.ч газ на СТН ГП переработка ГЗ</t>
        </is>
      </c>
      <c r="E179" s="528" t="inlineStr">
        <is>
          <t>100335028</t>
        </is>
      </c>
      <c r="F179" s="528" t="n"/>
      <c r="G179" s="529" t="n"/>
      <c r="H179" s="530" t="n"/>
      <c r="I179" s="530" t="n"/>
      <c r="J179" s="53" t="inlineStr">
        <is>
          <t>тыс. т</t>
        </is>
      </c>
    </row>
    <row r="180" ht="18.75" customFormat="1" customHeight="1" s="805">
      <c r="B180" s="49" t="n"/>
      <c r="C180" s="804" t="n"/>
      <c r="D180" s="766" t="n"/>
      <c r="E180" s="528" t="inlineStr">
        <is>
          <t>100335029</t>
        </is>
      </c>
      <c r="F180" s="528" t="n"/>
      <c r="G180" s="529" t="n"/>
      <c r="H180" s="530" t="n"/>
      <c r="I180" s="530" t="n"/>
      <c r="J180" s="941" t="inlineStr">
        <is>
          <t>млн куб.м</t>
        </is>
      </c>
    </row>
    <row r="181" ht="24" customFormat="1" customHeight="1" s="805">
      <c r="A181" t="inlineStr">
        <is>
          <t>ТОПЛИВНЫЙ ГАЗ НА КТЭЦ (продукция ГПЗ), ВСЕГО:</t>
        </is>
      </c>
      <c r="B181" s="49" t="n"/>
      <c r="C181" s="816" t="inlineStr">
        <is>
          <t>3.2.</t>
        </is>
      </c>
      <c r="D181" s="814" t="inlineStr">
        <is>
          <t>ТОПЛИВНЫЙ ГАЗ НА КТЭЦ (продукция ГПЗ), ВСЕГО:</t>
        </is>
      </c>
      <c r="E181" s="528" t="inlineStr">
        <is>
          <t>100332164</t>
        </is>
      </c>
      <c r="F181" s="528" t="n"/>
      <c r="G181" s="529" t="n"/>
      <c r="H181" s="530" t="inlineStr">
        <is>
          <t>100332168+100332174+100332184</t>
        </is>
      </c>
      <c r="I181" s="530" t="n"/>
      <c r="J181" s="526" t="inlineStr">
        <is>
          <t>тыс. т</t>
        </is>
      </c>
    </row>
    <row r="182" ht="24" customFormat="1" customHeight="1" s="805">
      <c r="B182" s="49" t="n"/>
      <c r="C182" s="762" t="n"/>
      <c r="D182" s="766" t="n"/>
      <c r="E182" s="528" t="inlineStr">
        <is>
          <t>100332165</t>
        </is>
      </c>
      <c r="F182" s="528" t="n"/>
      <c r="G182" s="529" t="n"/>
      <c r="H182" s="530" t="inlineStr">
        <is>
          <t>100332169+100332175+100332185</t>
        </is>
      </c>
      <c r="I182" s="530" t="n"/>
      <c r="J182" s="940" t="inlineStr">
        <is>
          <t>млн куб.м</t>
        </is>
      </c>
    </row>
    <row r="183" ht="18.75" customFormat="1" customHeight="1" s="805">
      <c r="A183" t="inlineStr">
        <is>
          <t>в том числе без давальцев, всего:</t>
        </is>
      </c>
      <c r="B183" s="49" t="n"/>
      <c r="C183" s="818" t="n"/>
      <c r="D183" s="803" t="inlineStr">
        <is>
          <t>в том числе без давальцев, всего:</t>
        </is>
      </c>
      <c r="E183" s="528" t="inlineStr">
        <is>
          <t>100332166</t>
        </is>
      </c>
      <c r="F183" s="528" t="n"/>
      <c r="G183" s="529" t="n"/>
      <c r="H183" s="530" t="inlineStr">
        <is>
          <t>100332168+100332174</t>
        </is>
      </c>
      <c r="I183" s="530" t="n"/>
      <c r="J183" s="526" t="inlineStr">
        <is>
          <t>тыс. т</t>
        </is>
      </c>
    </row>
    <row r="184" ht="18.75" customFormat="1" customHeight="1" s="805">
      <c r="B184" s="49" t="n"/>
      <c r="C184" s="818" t="n"/>
      <c r="D184" s="766" t="n"/>
      <c r="E184" s="528" t="inlineStr">
        <is>
          <t>100332167</t>
        </is>
      </c>
      <c r="F184" s="528" t="n"/>
      <c r="G184" s="529" t="n"/>
      <c r="H184" s="530" t="inlineStr">
        <is>
          <t>100332169+100332175</t>
        </is>
      </c>
      <c r="I184" s="530" t="n"/>
      <c r="J184" s="940" t="inlineStr">
        <is>
          <t>млн куб.м</t>
        </is>
      </c>
    </row>
    <row r="185" ht="18.75" customFormat="1" customHeight="1" s="805">
      <c r="A185" t="inlineStr">
        <is>
          <t>ПАО "Газпром", всего:</t>
        </is>
      </c>
      <c r="B185" s="49" t="n"/>
      <c r="C185" s="816" t="inlineStr">
        <is>
          <t>3.2.1</t>
        </is>
      </c>
      <c r="D185" s="823" t="inlineStr">
        <is>
          <t>ПАО "Газпром", всего:</t>
        </is>
      </c>
      <c r="E185" s="528" t="inlineStr">
        <is>
          <t>100332168</t>
        </is>
      </c>
      <c r="F185" s="528" t="n"/>
      <c r="G185" s="529" t="n"/>
      <c r="H185" s="530" t="inlineStr">
        <is>
          <t>100332170+100332172</t>
        </is>
      </c>
      <c r="I185" s="530" t="n"/>
      <c r="J185" s="526" t="inlineStr">
        <is>
          <t>тыс. т</t>
        </is>
      </c>
    </row>
    <row r="186" ht="18.75" customFormat="1" customHeight="1" s="805">
      <c r="B186" s="49" t="n"/>
      <c r="C186" s="762" t="n"/>
      <c r="D186" s="766" t="n"/>
      <c r="E186" s="528" t="inlineStr">
        <is>
          <t>100332169</t>
        </is>
      </c>
      <c r="F186" s="528" t="n"/>
      <c r="G186" s="529" t="n"/>
      <c r="H186" s="530" t="inlineStr">
        <is>
          <t>100332171+100332173</t>
        </is>
      </c>
      <c r="I186" s="530" t="n"/>
      <c r="J186" s="940" t="inlineStr">
        <is>
          <t>млн куб.м</t>
        </is>
      </c>
    </row>
    <row r="187" ht="18.75" customFormat="1" customHeight="1" s="805">
      <c r="A187" t="inlineStr">
        <is>
          <t>- из сырья ООО "Газпром добыча Оренбург"</t>
        </is>
      </c>
      <c r="B187" s="49" t="n"/>
      <c r="C187" s="385" t="n"/>
      <c r="D187" s="803" t="inlineStr">
        <is>
          <t xml:space="preserve"> - из сырья ООО "Газпром добыча Оренбург"</t>
        </is>
      </c>
      <c r="E187" s="528" t="inlineStr">
        <is>
          <t>100332170</t>
        </is>
      </c>
      <c r="F187" s="528" t="n"/>
      <c r="G187" s="529" t="n"/>
      <c r="H187" s="530" t="n"/>
      <c r="I187" s="530" t="n"/>
      <c r="J187" s="526" t="inlineStr">
        <is>
          <t>тыс. т</t>
        </is>
      </c>
    </row>
    <row r="188" ht="18.75" customFormat="1" customHeight="1" s="805">
      <c r="B188" s="49" t="n"/>
      <c r="C188" s="385" t="n"/>
      <c r="D188" s="766" t="n"/>
      <c r="E188" s="528" t="inlineStr">
        <is>
          <t>100332171</t>
        </is>
      </c>
      <c r="F188" s="528" t="n"/>
      <c r="G188" s="529" t="n"/>
      <c r="H188" s="530" t="n"/>
      <c r="I188" s="530" t="n"/>
      <c r="J188" s="940" t="inlineStr">
        <is>
          <t>млн куб.м</t>
        </is>
      </c>
    </row>
    <row r="189" ht="18.75" customFormat="1" customHeight="1" s="805">
      <c r="A189" t="inlineStr">
        <is>
          <t>- из сырья ПАО "Газпром нефть"</t>
        </is>
      </c>
      <c r="B189" s="49" t="n"/>
      <c r="C189" s="385" t="n"/>
      <c r="D189" s="803" t="inlineStr">
        <is>
          <t xml:space="preserve"> - из сырья ПАО "Газпром нефть"</t>
        </is>
      </c>
      <c r="E189" s="528" t="inlineStr">
        <is>
          <t>100332172</t>
        </is>
      </c>
      <c r="F189" s="528" t="n"/>
      <c r="G189" s="529" t="n"/>
      <c r="H189" s="530" t="n"/>
      <c r="I189" s="530" t="n"/>
      <c r="J189" s="526" t="inlineStr">
        <is>
          <t>тыс. т</t>
        </is>
      </c>
    </row>
    <row r="190" ht="18.75" customFormat="1" customHeight="1" s="805">
      <c r="B190" s="49" t="n"/>
      <c r="C190" s="385" t="n"/>
      <c r="D190" s="766" t="n"/>
      <c r="E190" s="528" t="inlineStr">
        <is>
          <t>100332173</t>
        </is>
      </c>
      <c r="F190" s="528" t="n"/>
      <c r="G190" s="529" t="n"/>
      <c r="H190" s="530" t="n"/>
      <c r="I190" s="530" t="n"/>
      <c r="J190" s="940" t="inlineStr">
        <is>
          <t>млн куб.м</t>
        </is>
      </c>
    </row>
    <row r="191" ht="24" customFormat="1" customHeight="1" s="805">
      <c r="A191" t="inlineStr">
        <is>
          <t>ООО "Газпром переработка", всего:</t>
        </is>
      </c>
      <c r="B191" s="49" t="n"/>
      <c r="C191" s="816" t="inlineStr">
        <is>
          <t>3.2.2</t>
        </is>
      </c>
      <c r="D191" s="823" t="inlineStr">
        <is>
          <t>ООО "Газпром переработка", всего:</t>
        </is>
      </c>
      <c r="E191" s="528" t="inlineStr">
        <is>
          <t>100332174</t>
        </is>
      </c>
      <c r="F191" s="528" t="n"/>
      <c r="G191" s="529" t="n"/>
      <c r="H191" s="530" t="inlineStr">
        <is>
          <t>100332176+100332178+100335140</t>
        </is>
      </c>
      <c r="I191" s="530" t="n"/>
      <c r="J191" s="526" t="inlineStr">
        <is>
          <t>тыс. т</t>
        </is>
      </c>
    </row>
    <row r="192" ht="24" customFormat="1" customHeight="1" s="805">
      <c r="B192" s="49" t="n"/>
      <c r="C192" s="762" t="n"/>
      <c r="D192" s="766" t="n"/>
      <c r="E192" s="528" t="inlineStr">
        <is>
          <t>100332175</t>
        </is>
      </c>
      <c r="F192" s="528" t="n"/>
      <c r="G192" s="529" t="n"/>
      <c r="H192" s="530" t="inlineStr">
        <is>
          <t>100332177+100332179+100335141</t>
        </is>
      </c>
      <c r="I192" s="530" t="n"/>
      <c r="J192" s="940" t="inlineStr">
        <is>
          <t>млн куб.м</t>
        </is>
      </c>
    </row>
    <row r="193" ht="18.75" customFormat="1" customHeight="1" s="805">
      <c r="A193" t="inlineStr">
        <is>
          <t>- из сырья ООО "Газпром добыча Оренбург"</t>
        </is>
      </c>
      <c r="B193" s="49" t="n"/>
      <c r="C193" s="385" t="n"/>
      <c r="D193" s="803" t="inlineStr">
        <is>
          <t xml:space="preserve"> - из сырья ООО "Газпром добыча Оренбург"</t>
        </is>
      </c>
      <c r="E193" s="528" t="inlineStr">
        <is>
          <t>100332176</t>
        </is>
      </c>
      <c r="F193" s="528" t="n"/>
      <c r="G193" s="529" t="n"/>
      <c r="H193" s="530" t="n"/>
      <c r="I193" s="530" t="n"/>
      <c r="J193" s="526" t="inlineStr">
        <is>
          <t>тыс. т</t>
        </is>
      </c>
    </row>
    <row r="194" ht="18.75" customFormat="1" customHeight="1" s="805">
      <c r="B194" s="49" t="n"/>
      <c r="C194" s="385" t="n"/>
      <c r="D194" s="766" t="n"/>
      <c r="E194" s="528" t="inlineStr">
        <is>
          <t>100332177</t>
        </is>
      </c>
      <c r="F194" s="528" t="n"/>
      <c r="G194" s="529" t="n"/>
      <c r="H194" s="530" t="n"/>
      <c r="I194" s="530" t="n"/>
      <c r="J194" s="940" t="inlineStr">
        <is>
          <t>млн куб.м</t>
        </is>
      </c>
    </row>
    <row r="195" ht="18.75" customFormat="1" customHeight="1" s="805">
      <c r="A195" t="inlineStr">
        <is>
          <t>- из сырья ПАО "Газпром нефть"</t>
        </is>
      </c>
      <c r="B195" s="49" t="n"/>
      <c r="C195" s="385" t="n"/>
      <c r="D195" s="803" t="inlineStr">
        <is>
          <t xml:space="preserve"> - из сырья ПАО "Газпром нефть"</t>
        </is>
      </c>
      <c r="E195" s="528" t="inlineStr">
        <is>
          <t>100332178</t>
        </is>
      </c>
      <c r="F195" s="528" t="n"/>
      <c r="G195" s="529" t="n"/>
      <c r="H195" s="530" t="n"/>
      <c r="I195" s="530" t="n"/>
      <c r="J195" s="526" t="inlineStr">
        <is>
          <t>тыс. т</t>
        </is>
      </c>
    </row>
    <row r="196" ht="18.75" customFormat="1" customHeight="1" s="805">
      <c r="B196" s="49" t="n"/>
      <c r="C196" s="385" t="n"/>
      <c r="D196" s="766" t="n"/>
      <c r="E196" s="528" t="inlineStr">
        <is>
          <t>100332179</t>
        </is>
      </c>
      <c r="F196" s="528" t="n"/>
      <c r="G196" s="529" t="n"/>
      <c r="H196" s="530" t="n"/>
      <c r="I196" s="530" t="n"/>
      <c r="J196" s="940" t="inlineStr">
        <is>
          <t>млн куб.м</t>
        </is>
      </c>
    </row>
    <row r="197" ht="18.75" customFormat="1" customHeight="1" s="805">
      <c r="A197">
        <f>- из сырья Прочих поставщиков</f>
        <v/>
      </c>
      <c r="B197" s="49" t="n"/>
      <c r="C197" s="385" t="n"/>
      <c r="D197" s="803" t="inlineStr">
        <is>
          <t xml:space="preserve"> - из сырья Прочих поставщиков</t>
        </is>
      </c>
      <c r="E197" s="528" t="inlineStr">
        <is>
          <t>100335140</t>
        </is>
      </c>
      <c r="F197" s="528" t="n"/>
      <c r="G197" s="529" t="n"/>
      <c r="H197" s="530" t="n"/>
      <c r="I197" s="530" t="n"/>
      <c r="J197" s="526" t="inlineStr">
        <is>
          <t>тыс. т</t>
        </is>
      </c>
    </row>
    <row r="198" ht="18.75" customFormat="1" customHeight="1" s="805">
      <c r="B198" s="49" t="n"/>
      <c r="C198" s="385" t="n"/>
      <c r="D198" s="766" t="n"/>
      <c r="E198" s="528" t="inlineStr">
        <is>
          <t>100335141</t>
        </is>
      </c>
      <c r="F198" s="528" t="n"/>
      <c r="G198" s="529" t="n"/>
      <c r="H198" s="530" t="n"/>
      <c r="I198" s="530" t="n"/>
      <c r="J198" s="940" t="inlineStr">
        <is>
          <t>млн куб.м</t>
        </is>
      </c>
    </row>
    <row r="199" ht="15.75" customFormat="1" customHeight="1" s="805">
      <c r="A199" t="inlineStr">
        <is>
          <t xml:space="preserve">   в т.ч. из жидких углеводородов Прочих поставщиков</t>
        </is>
      </c>
      <c r="B199" s="49" t="n"/>
      <c r="C199" s="385" t="n"/>
      <c r="D199" s="827" t="inlineStr">
        <is>
          <t>в т.ч. из жидких углеводородов Прочих поставщиков</t>
        </is>
      </c>
      <c r="E199" s="528" t="inlineStr">
        <is>
          <t>100335685</t>
        </is>
      </c>
      <c r="F199" s="528" t="n"/>
      <c r="G199" s="529" t="n"/>
      <c r="H199" s="530" t="n"/>
      <c r="I199" s="530" t="n"/>
      <c r="J199" s="526" t="inlineStr">
        <is>
          <t>тыс. т</t>
        </is>
      </c>
    </row>
    <row r="200" ht="18.75" customFormat="1" customHeight="1" s="805">
      <c r="B200" s="49" t="n"/>
      <c r="C200" s="385" t="n"/>
      <c r="D200" s="766" t="n"/>
      <c r="E200" s="528" t="inlineStr">
        <is>
          <t>100335686</t>
        </is>
      </c>
      <c r="F200" s="528" t="n"/>
      <c r="G200" s="529" t="n"/>
      <c r="H200" s="530" t="n"/>
      <c r="I200" s="530" t="n"/>
      <c r="J200" s="940" t="inlineStr">
        <is>
          <t>млн куб.м</t>
        </is>
      </c>
    </row>
    <row r="201" ht="18.75" customFormat="1" customHeight="1" s="805">
      <c r="A201" t="inlineStr">
        <is>
          <t>ТОО "КазРосГаз"</t>
        </is>
      </c>
      <c r="B201" s="49" t="n"/>
      <c r="C201" s="818" t="inlineStr">
        <is>
          <t>3.2.3</t>
        </is>
      </c>
      <c r="D201" s="803" t="inlineStr">
        <is>
          <t>ТОО "КазРосГаз"</t>
        </is>
      </c>
      <c r="E201" s="528" t="inlineStr">
        <is>
          <t>100332184</t>
        </is>
      </c>
      <c r="F201" s="528" t="n"/>
      <c r="G201" s="529" t="n"/>
      <c r="H201" s="530" t="n"/>
      <c r="I201" s="530" t="n"/>
      <c r="J201" s="526" t="inlineStr">
        <is>
          <t>тыс. т</t>
        </is>
      </c>
    </row>
    <row r="202" ht="18.75" customFormat="1" customHeight="1" s="805">
      <c r="B202" s="49" t="n"/>
      <c r="C202" s="762" t="n"/>
      <c r="D202" s="766" t="n"/>
      <c r="E202" s="528" t="inlineStr">
        <is>
          <t>100332185</t>
        </is>
      </c>
      <c r="F202" s="528" t="n"/>
      <c r="G202" s="529" t="n"/>
      <c r="H202" s="530" t="n"/>
      <c r="I202" s="530" t="n"/>
      <c r="J202" s="940" t="inlineStr">
        <is>
          <t>млн куб.м</t>
        </is>
      </c>
    </row>
    <row r="203" ht="18.75" customFormat="1" customHeight="1" s="805">
      <c r="A203" t="inlineStr">
        <is>
          <t>СЕРА (продукция ГПЗ), ВСЕГО:</t>
        </is>
      </c>
      <c r="B203" s="49" t="n"/>
      <c r="C203" s="825" t="inlineStr">
        <is>
          <t>3.3.</t>
        </is>
      </c>
      <c r="D203" s="806" t="inlineStr">
        <is>
          <t>СЕРА (продукция ГПЗ), ВСЕГО:</t>
        </is>
      </c>
      <c r="E203" s="528" t="inlineStr">
        <is>
          <t>100332186</t>
        </is>
      </c>
      <c r="F203" s="528" t="n"/>
      <c r="G203" s="529" t="n"/>
      <c r="H203" s="530" t="inlineStr">
        <is>
          <t>100332187+100332198</t>
        </is>
      </c>
      <c r="I203" s="530" t="n"/>
      <c r="J203" s="526" t="inlineStr">
        <is>
          <t>тыс. т</t>
        </is>
      </c>
    </row>
    <row r="204" ht="24" customFormat="1" customHeight="1" s="805">
      <c r="A204" t="inlineStr">
        <is>
          <t>в том числе без давальцев:</t>
        </is>
      </c>
      <c r="B204" s="49" t="n"/>
      <c r="C204" s="812" t="n"/>
      <c r="D204" s="826" t="inlineStr">
        <is>
          <t>в том числе без давальцев:</t>
        </is>
      </c>
      <c r="E204" s="528" t="inlineStr">
        <is>
          <t>100332187</t>
        </is>
      </c>
      <c r="F204" s="528" t="n"/>
      <c r="G204" s="529" t="n"/>
      <c r="H204" s="530" t="inlineStr">
        <is>
          <t>100332188+100332191+100332197</t>
        </is>
      </c>
      <c r="I204" s="530" t="n"/>
      <c r="J204" s="526" t="inlineStr">
        <is>
          <t>тыс. т</t>
        </is>
      </c>
    </row>
    <row r="205" ht="18.75" customFormat="1" customHeight="1" s="805">
      <c r="A205" t="inlineStr">
        <is>
          <t>ПАО "Газпром" , всего:</t>
        </is>
      </c>
      <c r="B205" s="49" t="n"/>
      <c r="C205" s="812" t="inlineStr">
        <is>
          <t>3.3.1.</t>
        </is>
      </c>
      <c r="D205" s="826" t="inlineStr">
        <is>
          <t>ПАО "Газпром" , всего:</t>
        </is>
      </c>
      <c r="E205" s="528" t="inlineStr">
        <is>
          <t>100332188</t>
        </is>
      </c>
      <c r="F205" s="528" t="n"/>
      <c r="G205" s="529" t="n"/>
      <c r="H205" s="530" t="inlineStr">
        <is>
          <t>100332189+100332190</t>
        </is>
      </c>
      <c r="I205" s="530" t="n"/>
      <c r="J205" s="526" t="inlineStr">
        <is>
          <t>тыс. т</t>
        </is>
      </c>
    </row>
    <row r="206" ht="31.5" customFormat="1" customHeight="1" s="805">
      <c r="A206" t="inlineStr">
        <is>
          <t>- из конденсата и нефти ООО "Газпром добыча Оренбург"</t>
        </is>
      </c>
      <c r="B206" s="49" t="n"/>
      <c r="C206" s="812" t="n"/>
      <c r="D206" s="826" t="inlineStr">
        <is>
          <t xml:space="preserve"> - из конденсата и нефти ООО "Газпром добыча Оренбург"</t>
        </is>
      </c>
      <c r="E206" s="528" t="inlineStr">
        <is>
          <t>100332189</t>
        </is>
      </c>
      <c r="F206" s="528" t="n"/>
      <c r="G206" s="529" t="n"/>
      <c r="H206" s="530" t="n"/>
      <c r="I206" s="530" t="n"/>
      <c r="J206" s="526" t="inlineStr">
        <is>
          <t>тыс. т</t>
        </is>
      </c>
    </row>
    <row r="207" ht="18.75" customFormat="1" customHeight="1" s="805">
      <c r="A207" t="inlineStr">
        <is>
          <t>- из нефти ПАО "Газпром нефть"</t>
        </is>
      </c>
      <c r="B207" s="49" t="n"/>
      <c r="C207" s="812" t="n"/>
      <c r="D207" s="826" t="inlineStr">
        <is>
          <t xml:space="preserve"> - из нефти ПАО "Газпром нефть"</t>
        </is>
      </c>
      <c r="E207" s="528" t="inlineStr">
        <is>
          <t>100332190</t>
        </is>
      </c>
      <c r="F207" s="528" t="n"/>
      <c r="G207" s="529" t="n"/>
      <c r="H207" s="530" t="n"/>
      <c r="I207" s="530" t="n"/>
      <c r="J207" s="526" t="inlineStr">
        <is>
          <t>тыс. т</t>
        </is>
      </c>
    </row>
    <row r="208" ht="24" customFormat="1" customHeight="1" s="805">
      <c r="A208" t="inlineStr">
        <is>
          <t>ООО "Газпром переработка", всего:</t>
        </is>
      </c>
      <c r="B208" s="49" t="n"/>
      <c r="C208" s="812" t="inlineStr">
        <is>
          <t>3.3.2.</t>
        </is>
      </c>
      <c r="D208" s="826" t="inlineStr">
        <is>
          <t>ООО "Газпром переработка", всего:</t>
        </is>
      </c>
      <c r="E208" s="528" t="inlineStr">
        <is>
          <t>100332191</t>
        </is>
      </c>
      <c r="F208" s="528" t="n"/>
      <c r="G208" s="529" t="n"/>
      <c r="H208" s="530" t="inlineStr">
        <is>
          <t>100332192+100332194+100332195</t>
        </is>
      </c>
      <c r="I208" s="530" t="n"/>
      <c r="J208" s="526" t="inlineStr">
        <is>
          <t>тыс. т</t>
        </is>
      </c>
    </row>
    <row r="209" ht="18.75" customFormat="1" customHeight="1" s="805">
      <c r="A209" t="inlineStr">
        <is>
          <t>- из газа ООО "Газпром добыча Оренбург"</t>
        </is>
      </c>
      <c r="B209" s="49" t="n"/>
      <c r="C209" s="385" t="n"/>
      <c r="D209" s="826" t="inlineStr">
        <is>
          <t xml:space="preserve"> - из газа ООО "Газпром добыча Оренбург"</t>
        </is>
      </c>
      <c r="E209" s="528" t="inlineStr">
        <is>
          <t>100332192</t>
        </is>
      </c>
      <c r="F209" s="528" t="n"/>
      <c r="G209" s="529" t="n"/>
      <c r="H209" s="530" t="n"/>
      <c r="I209" s="530" t="n"/>
      <c r="J209" s="526" t="inlineStr">
        <is>
          <t>тыс. т</t>
        </is>
      </c>
    </row>
    <row r="210" ht="18.75" customFormat="1" customHeight="1" s="805">
      <c r="A210" t="inlineStr">
        <is>
          <t>в т.ч. гранулированная</t>
        </is>
      </c>
      <c r="B210" s="49" t="n"/>
      <c r="C210" s="385" t="n"/>
      <c r="D210" s="56" t="inlineStr">
        <is>
          <t>в т.ч. гранулированная</t>
        </is>
      </c>
      <c r="E210" s="528" t="inlineStr">
        <is>
          <t>100332193</t>
        </is>
      </c>
      <c r="F210" s="528" t="n"/>
      <c r="G210" s="529" t="n"/>
      <c r="H210" s="530" t="n"/>
      <c r="I210" s="530" t="n"/>
      <c r="J210" s="526" t="inlineStr">
        <is>
          <t>тыс. т</t>
        </is>
      </c>
    </row>
    <row r="211" ht="18.75" customFormat="1" customHeight="1" s="805">
      <c r="A211" t="inlineStr">
        <is>
          <t>- из газа ПАО "Газпром нефть"</t>
        </is>
      </c>
      <c r="B211" s="49" t="n"/>
      <c r="C211" s="385" t="n"/>
      <c r="D211" s="826" t="inlineStr">
        <is>
          <t xml:space="preserve"> - из газа ПАО "Газпром нефть"</t>
        </is>
      </c>
      <c r="E211" s="528" t="inlineStr">
        <is>
          <t>100332194</t>
        </is>
      </c>
      <c r="F211" s="528" t="n"/>
      <c r="G211" s="529" t="n"/>
      <c r="H211" s="530" t="n"/>
      <c r="I211" s="530" t="n"/>
      <c r="J211" s="526" t="inlineStr">
        <is>
          <t>тыс. т</t>
        </is>
      </c>
    </row>
    <row r="212" ht="18.75" customFormat="1" customHeight="1" s="805">
      <c r="A212">
        <f>- из сырья Прочих поставщиков</f>
        <v/>
      </c>
      <c r="B212" s="49" t="n"/>
      <c r="C212" s="385" t="n"/>
      <c r="D212" s="826" t="inlineStr">
        <is>
          <t xml:space="preserve"> - из сырья Прочих поставщиков </t>
        </is>
      </c>
      <c r="E212" s="528" t="inlineStr">
        <is>
          <t>100332195</t>
        </is>
      </c>
      <c r="F212" s="528" t="n"/>
      <c r="G212" s="529" t="n"/>
      <c r="H212" s="530" t="n"/>
      <c r="I212" s="530" t="n"/>
      <c r="J212" s="526" t="inlineStr">
        <is>
          <t>тыс. т</t>
        </is>
      </c>
    </row>
    <row r="213" ht="18.75" customFormat="1" customHeight="1" s="805">
      <c r="A213" t="inlineStr">
        <is>
          <t>в т.ч. из жидких углеводородов Прочих поставщиков</t>
        </is>
      </c>
      <c r="B213" s="49" t="n"/>
      <c r="C213" s="385" t="n"/>
      <c r="D213" s="56" t="inlineStr">
        <is>
          <t xml:space="preserve">в т.ч. из жидких углеводородов Прочих поставщиков  </t>
        </is>
      </c>
      <c r="E213" s="528" t="inlineStr">
        <is>
          <t>100335030</t>
        </is>
      </c>
      <c r="F213" s="528" t="n"/>
      <c r="G213" s="529" t="n"/>
      <c r="H213" s="530" t="n"/>
      <c r="I213" s="530" t="n"/>
      <c r="J213" s="526" t="inlineStr">
        <is>
          <t>тыс. т</t>
        </is>
      </c>
    </row>
    <row r="214" ht="18.75" customFormat="1" customHeight="1" s="805">
      <c r="A214" t="inlineStr">
        <is>
          <t>ООО "Сервиснефтегаз" из нефти</t>
        </is>
      </c>
      <c r="B214" s="49" t="n"/>
      <c r="C214" s="812" t="inlineStr">
        <is>
          <t>3.3.3.</t>
        </is>
      </c>
      <c r="D214" s="826" t="inlineStr">
        <is>
          <t>ООО "Сервиснефтегаз" из нефти</t>
        </is>
      </c>
      <c r="E214" s="528" t="inlineStr">
        <is>
          <t>100332197</t>
        </is>
      </c>
      <c r="F214" s="528" t="n"/>
      <c r="G214" s="529" t="n"/>
      <c r="H214" s="530" t="n"/>
      <c r="I214" s="530" t="n"/>
      <c r="J214" s="526" t="inlineStr">
        <is>
          <t>тыс. т</t>
        </is>
      </c>
    </row>
    <row r="215" ht="18.75" customFormat="1" customHeight="1" s="805">
      <c r="A215" t="inlineStr">
        <is>
          <t>ТОО "КазРосГаз"</t>
        </is>
      </c>
      <c r="B215" s="49" t="n"/>
      <c r="C215" s="812" t="inlineStr">
        <is>
          <t>3.3.4.</t>
        </is>
      </c>
      <c r="D215" s="826" t="inlineStr">
        <is>
          <t>ТОО "КазРосГаз"</t>
        </is>
      </c>
      <c r="E215" s="528" t="inlineStr">
        <is>
          <t>100332198</t>
        </is>
      </c>
      <c r="F215" s="528" t="n"/>
      <c r="G215" s="529" t="n"/>
      <c r="H215" s="530" t="n"/>
      <c r="I215" s="530" t="n"/>
      <c r="J215" s="526" t="inlineStr">
        <is>
          <t>тыс. т</t>
        </is>
      </c>
    </row>
    <row r="216" ht="18.75" customFormat="1" customHeight="1" s="805">
      <c r="A216" t="inlineStr">
        <is>
          <t>ШФЛУ ТОВАРНАЯ (продукция ГЗ), ВСЕГО:</t>
        </is>
      </c>
      <c r="B216" s="49" t="n"/>
      <c r="C216" s="537" t="inlineStr">
        <is>
          <t>3.4.</t>
        </is>
      </c>
      <c r="D216" s="814" t="inlineStr">
        <is>
          <t>ШФЛУ ТОВАРНАЯ (продукция ГЗ), ВСЕГО:</t>
        </is>
      </c>
      <c r="E216" s="528" t="inlineStr">
        <is>
          <t>100332202</t>
        </is>
      </c>
      <c r="F216" s="528" t="n"/>
      <c r="G216" s="529" t="n"/>
      <c r="H216" s="530" t="inlineStr">
        <is>
          <t>100332203</t>
        </is>
      </c>
      <c r="I216" s="530" t="n"/>
      <c r="J216" s="526" t="inlineStr">
        <is>
          <t>тыс. т</t>
        </is>
      </c>
    </row>
    <row r="217" ht="24" customFormat="1" customHeight="1" s="805">
      <c r="A217" t="inlineStr">
        <is>
          <t>ПАО "Газпром" , всего:</t>
        </is>
      </c>
      <c r="B217" s="49" t="n"/>
      <c r="C217" s="812" t="inlineStr">
        <is>
          <t>3.4.1.</t>
        </is>
      </c>
      <c r="D217" s="826" t="inlineStr">
        <is>
          <t>ПАО "Газпром", всего:</t>
        </is>
      </c>
      <c r="E217" s="528" t="inlineStr">
        <is>
          <t>100332203</t>
        </is>
      </c>
      <c r="F217" s="528" t="n"/>
      <c r="G217" s="529" t="n"/>
      <c r="H217" s="530" t="inlineStr">
        <is>
          <t>100332204+100332205+100335143</t>
        </is>
      </c>
      <c r="I217" s="530" t="n"/>
      <c r="J217" s="526" t="inlineStr">
        <is>
          <t>тыс. т</t>
        </is>
      </c>
    </row>
    <row r="218" ht="18.75" customFormat="1" customHeight="1" s="805">
      <c r="A218" t="inlineStr">
        <is>
          <t>- из сырья ООО "Газпром добыча Оренбург"</t>
        </is>
      </c>
      <c r="B218" s="49" t="n"/>
      <c r="C218" s="385" t="n"/>
      <c r="D218" s="826" t="inlineStr">
        <is>
          <t xml:space="preserve"> - из сырья ООО "Газпром добыча Оренбург"</t>
        </is>
      </c>
      <c r="E218" s="528" t="inlineStr">
        <is>
          <t>100332204</t>
        </is>
      </c>
      <c r="F218" s="528" t="n"/>
      <c r="G218" s="529" t="n"/>
      <c r="H218" s="530" t="inlineStr">
        <is>
          <t>100332207-100332211</t>
        </is>
      </c>
      <c r="I218" s="530" t="n"/>
      <c r="J218" s="526" t="inlineStr">
        <is>
          <t>тыс. т</t>
        </is>
      </c>
    </row>
    <row r="219" ht="18.75" customFormat="1" customHeight="1" s="805">
      <c r="A219" t="inlineStr">
        <is>
          <t>- из сырья ПАО "Газпром нефть"</t>
        </is>
      </c>
      <c r="B219" s="49" t="n"/>
      <c r="C219" s="385" t="n"/>
      <c r="D219" s="826" t="inlineStr">
        <is>
          <t xml:space="preserve"> - из сырья ПАО "Газпром нефть"</t>
        </is>
      </c>
      <c r="E219" s="528" t="inlineStr">
        <is>
          <t>100332205</t>
        </is>
      </c>
      <c r="F219" s="528" t="n"/>
      <c r="G219" s="529" t="n"/>
      <c r="H219" s="530" t="inlineStr">
        <is>
          <t>100332208-100332212</t>
        </is>
      </c>
      <c r="I219" s="530" t="n"/>
      <c r="J219" s="526" t="inlineStr">
        <is>
          <t>тыс. т</t>
        </is>
      </c>
    </row>
    <row r="220" ht="18.75" customFormat="1" customHeight="1" s="805">
      <c r="A220">
        <f>- из сырья Прочих поставщиков</f>
        <v/>
      </c>
      <c r="B220" s="49" t="n"/>
      <c r="C220" s="385" t="n"/>
      <c r="D220" s="803" t="inlineStr">
        <is>
          <t xml:space="preserve">- из сырья Прочих поставщиков </t>
        </is>
      </c>
      <c r="E220" s="528" t="inlineStr">
        <is>
          <t>100335143</t>
        </is>
      </c>
      <c r="F220" s="528" t="n"/>
      <c r="G220" s="529" t="n"/>
      <c r="H220" s="530" t="inlineStr">
        <is>
          <t>100335144-100335145</t>
        </is>
      </c>
      <c r="I220" s="530" t="n"/>
      <c r="J220" s="526" t="inlineStr">
        <is>
          <t>тыс. т</t>
        </is>
      </c>
    </row>
    <row r="221" ht="18.75" customFormat="1" customHeight="1" s="805">
      <c r="A221" t="inlineStr">
        <is>
          <t>ТОО "КазРосГаз", всего:</t>
        </is>
      </c>
      <c r="B221" s="49" t="n"/>
      <c r="C221" s="385" t="n"/>
      <c r="D221" s="803" t="inlineStr">
        <is>
          <t>ТОО "КазРосГаз", всего</t>
        </is>
      </c>
      <c r="E221" s="528" t="inlineStr">
        <is>
          <t>100336104</t>
        </is>
      </c>
      <c r="F221" s="528" t="n"/>
      <c r="G221" s="529" t="n"/>
      <c r="H221" s="530" t="n"/>
      <c r="I221" s="530" t="n"/>
      <c r="J221" s="526" t="inlineStr">
        <is>
          <t>тыс. т</t>
        </is>
      </c>
    </row>
    <row r="222" ht="18.75" customFormat="1" customHeight="1" s="805">
      <c r="A222" t="inlineStr">
        <is>
          <t>Справочно:</t>
        </is>
      </c>
      <c r="B222" s="49" t="n"/>
      <c r="C222" s="385" t="n"/>
      <c r="D222" s="52" t="inlineStr">
        <is>
          <t>Справочно:</t>
        </is>
      </c>
      <c r="E222" s="528" t="n"/>
      <c r="F222" s="528" t="n"/>
      <c r="G222" s="529" t="n"/>
      <c r="H222" s="530" t="n"/>
      <c r="I222" s="530" t="n"/>
      <c r="J222" s="526" t="n"/>
    </row>
    <row r="223" ht="18.75" customFormat="1" customHeight="1" s="805">
      <c r="A223" t="inlineStr">
        <is>
          <t>ШФЛУ валовая, всего:</t>
        </is>
      </c>
      <c r="B223" s="49" t="n"/>
      <c r="C223" s="536" t="n"/>
      <c r="D223" s="52" t="inlineStr">
        <is>
          <t xml:space="preserve"> ШФЛУ валовая, всего:</t>
        </is>
      </c>
      <c r="E223" s="528" t="inlineStr">
        <is>
          <t>100330078</t>
        </is>
      </c>
      <c r="F223" s="528" t="n"/>
      <c r="G223" s="529" t="n"/>
      <c r="H223" s="530" t="inlineStr">
        <is>
          <t>100332206</t>
        </is>
      </c>
      <c r="I223" s="530" t="n"/>
      <c r="J223" s="55" t="inlineStr">
        <is>
          <t>тыс. т</t>
        </is>
      </c>
    </row>
    <row r="224" ht="24" customFormat="1" customHeight="1" s="805">
      <c r="A224" t="inlineStr">
        <is>
          <t>ООО "Газпром переработка", всего:</t>
        </is>
      </c>
      <c r="B224" s="49" t="n"/>
      <c r="C224" s="828" t="n"/>
      <c r="D224" s="810" t="inlineStr">
        <is>
          <t>ООО "Газпром переработка", всего:</t>
        </is>
      </c>
      <c r="E224" s="528" t="inlineStr">
        <is>
          <t>100332206</t>
        </is>
      </c>
      <c r="F224" s="528" t="n"/>
      <c r="G224" s="529" t="n"/>
      <c r="H224" s="530" t="inlineStr">
        <is>
          <t>100332207+100332208+100335144</t>
        </is>
      </c>
      <c r="I224" s="530" t="n"/>
      <c r="J224" s="53" t="inlineStr">
        <is>
          <t>тыс. т</t>
        </is>
      </c>
    </row>
    <row r="225" ht="18.75" customFormat="1" customHeight="1" s="805">
      <c r="A225" t="inlineStr">
        <is>
          <t>- из сырья ООО "Газпром добыча Оренбург"</t>
        </is>
      </c>
      <c r="B225" s="49" t="n"/>
      <c r="C225" s="828" t="n"/>
      <c r="D225" s="810" t="inlineStr">
        <is>
          <t xml:space="preserve"> - из сырья ООО "Газпром добыча Оренбург"</t>
        </is>
      </c>
      <c r="E225" s="528" t="inlineStr">
        <is>
          <t>100332207</t>
        </is>
      </c>
      <c r="F225" s="528" t="n"/>
      <c r="G225" s="529" t="n"/>
      <c r="H225" s="530" t="n"/>
      <c r="I225" s="530" t="n"/>
      <c r="J225" s="53" t="inlineStr">
        <is>
          <t>тыс. т</t>
        </is>
      </c>
    </row>
    <row r="226" ht="18.75" customFormat="1" customHeight="1" s="805">
      <c r="A226" t="inlineStr">
        <is>
          <t>- из сырья ПАО "Газпром нефть"</t>
        </is>
      </c>
      <c r="B226" s="49" t="n"/>
      <c r="C226" s="828" t="n"/>
      <c r="D226" s="810" t="inlineStr">
        <is>
          <t xml:space="preserve"> - из сырья ПАО "Газпром нефть"</t>
        </is>
      </c>
      <c r="E226" s="528" t="inlineStr">
        <is>
          <t>100332208</t>
        </is>
      </c>
      <c r="F226" s="528" t="n"/>
      <c r="G226" s="529" t="n"/>
      <c r="H226" s="530" t="n"/>
      <c r="I226" s="530" t="n"/>
      <c r="J226" s="53" t="inlineStr">
        <is>
          <t>тыс. т</t>
        </is>
      </c>
    </row>
    <row r="227" ht="18.75" customFormat="1" customHeight="1" s="805">
      <c r="A227">
        <f>- из сырья Прочих поставщиков</f>
        <v/>
      </c>
      <c r="B227" s="49" t="n"/>
      <c r="C227" s="828" t="n"/>
      <c r="D227" s="809" t="inlineStr">
        <is>
          <t>- из сырья Прочих поставщиков</t>
        </is>
      </c>
      <c r="E227" s="528" t="inlineStr">
        <is>
          <t>100335144</t>
        </is>
      </c>
      <c r="F227" s="528" t="n"/>
      <c r="G227" s="529" t="n"/>
      <c r="H227" s="530" t="n"/>
      <c r="I227" s="530" t="n"/>
      <c r="J227" s="53" t="inlineStr">
        <is>
          <t>тыс. т</t>
        </is>
      </c>
    </row>
    <row r="228" ht="18.75" customFormat="1" customHeight="1" s="805">
      <c r="A228" t="inlineStr">
        <is>
          <t>ШФЛУ переработка, всего:</t>
        </is>
      </c>
      <c r="B228" s="49" t="n"/>
      <c r="C228" s="536" t="n"/>
      <c r="D228" s="815" t="inlineStr">
        <is>
          <t xml:space="preserve"> ШФЛУ переработка, всего:</t>
        </is>
      </c>
      <c r="E228" s="528" t="inlineStr">
        <is>
          <t>100332209</t>
        </is>
      </c>
      <c r="F228" s="528" t="n"/>
      <c r="G228" s="529" t="n"/>
      <c r="H228" s="530" t="inlineStr">
        <is>
          <t>100332210</t>
        </is>
      </c>
      <c r="I228" s="530" t="n"/>
      <c r="J228" s="55" t="inlineStr">
        <is>
          <t>тыс. т</t>
        </is>
      </c>
    </row>
    <row r="229" ht="24" customFormat="1" customHeight="1" s="805">
      <c r="A229" t="inlineStr">
        <is>
          <t>ПАО "Газпром", всего:</t>
        </is>
      </c>
      <c r="B229" s="49" t="n"/>
      <c r="C229" s="828" t="n"/>
      <c r="D229" s="810" t="inlineStr">
        <is>
          <t>ПАО "Газпром", всего:</t>
        </is>
      </c>
      <c r="E229" s="528" t="inlineStr">
        <is>
          <t>100332210</t>
        </is>
      </c>
      <c r="F229" s="528" t="n"/>
      <c r="G229" s="529" t="n"/>
      <c r="H229" s="530" t="inlineStr">
        <is>
          <t>100332211+100332212+100335145</t>
        </is>
      </c>
      <c r="I229" s="530" t="n"/>
      <c r="J229" s="53" t="inlineStr">
        <is>
          <t>тыс. т</t>
        </is>
      </c>
    </row>
    <row r="230" ht="18.75" customFormat="1" customHeight="1" s="805">
      <c r="A230" t="inlineStr">
        <is>
          <t>- из сырья  ООО "Газпром добыча Оренбург"</t>
        </is>
      </c>
      <c r="B230" s="49" t="n"/>
      <c r="C230" s="828" t="n"/>
      <c r="D230" s="810" t="inlineStr">
        <is>
          <t xml:space="preserve"> - из сырья  ООО "Газпром добыча Оренбург"</t>
        </is>
      </c>
      <c r="E230" s="528" t="inlineStr">
        <is>
          <t>100332211</t>
        </is>
      </c>
      <c r="F230" s="528" t="n"/>
      <c r="G230" s="529" t="n"/>
      <c r="H230" s="530" t="n"/>
      <c r="I230" s="530" t="n"/>
      <c r="J230" s="53" t="inlineStr">
        <is>
          <t>тыс. т</t>
        </is>
      </c>
    </row>
    <row r="231" ht="18.75" customFormat="1" customHeight="1" s="805">
      <c r="A231" t="inlineStr">
        <is>
          <t>- из сырья ПАО "Газпром нефть"</t>
        </is>
      </c>
      <c r="B231" s="49" t="n"/>
      <c r="C231" s="828" t="n"/>
      <c r="D231" s="810" t="inlineStr">
        <is>
          <t xml:space="preserve"> - из сырья ПАО "Газпром нефть"</t>
        </is>
      </c>
      <c r="E231" s="528" t="inlineStr">
        <is>
          <t>100332212</t>
        </is>
      </c>
      <c r="F231" s="528" t="n"/>
      <c r="G231" s="529" t="n"/>
      <c r="H231" s="530" t="n"/>
      <c r="I231" s="530" t="n"/>
      <c r="J231" s="53" t="inlineStr">
        <is>
          <t>тыс. т</t>
        </is>
      </c>
    </row>
    <row r="232" ht="18.75" customFormat="1" customHeight="1" s="805">
      <c r="A232">
        <f>- из сырья Прочих поставщиков</f>
        <v/>
      </c>
      <c r="B232" s="49" t="n"/>
      <c r="C232" s="828" t="n"/>
      <c r="D232" s="809" t="inlineStr">
        <is>
          <t xml:space="preserve">- из сырья Прочих поставщиков </t>
        </is>
      </c>
      <c r="E232" s="528" t="inlineStr">
        <is>
          <t>100335145</t>
        </is>
      </c>
      <c r="F232" s="528" t="n"/>
      <c r="G232" s="529" t="n"/>
      <c r="H232" s="530" t="n"/>
      <c r="I232" s="530" t="n"/>
      <c r="J232" s="53" t="inlineStr">
        <is>
          <t>тыс. т</t>
        </is>
      </c>
    </row>
    <row r="233" ht="24" customFormat="1" customHeight="1" s="805">
      <c r="A233" t="inlineStr">
        <is>
          <t>СЖИЖЕННЫЙ ГАЗ, ВСЕГО:</t>
        </is>
      </c>
      <c r="B233" s="49" t="n"/>
      <c r="C233" s="537" t="inlineStr">
        <is>
          <t>3.5.</t>
        </is>
      </c>
      <c r="D233" s="806" t="inlineStr">
        <is>
          <t>СЖИЖЕННЫЙ ГАЗ, ВСЕГО:</t>
        </is>
      </c>
      <c r="E233" s="528" t="inlineStr">
        <is>
          <t>100332213</t>
        </is>
      </c>
      <c r="F233" s="528" t="n"/>
      <c r="G233" s="529" t="n"/>
      <c r="H233" s="530" t="inlineStr">
        <is>
          <t>100332215+100332220+100332226+100332227</t>
        </is>
      </c>
      <c r="I233" s="530" t="n"/>
      <c r="J233" s="526" t="inlineStr">
        <is>
          <t>тыс. т</t>
        </is>
      </c>
    </row>
    <row r="234" ht="24" customFormat="1" customHeight="1" s="805">
      <c r="A234" t="inlineStr">
        <is>
          <t>в том числе без давальцев, всего:</t>
        </is>
      </c>
      <c r="B234" s="49" t="n"/>
      <c r="C234" s="385" t="n"/>
      <c r="D234" s="826" t="inlineStr">
        <is>
          <t>в том числе без давальцев, всего:</t>
        </is>
      </c>
      <c r="E234" s="528" t="inlineStr">
        <is>
          <t>100332214</t>
        </is>
      </c>
      <c r="F234" s="528" t="n"/>
      <c r="G234" s="529" t="n"/>
      <c r="H234" s="530" t="inlineStr">
        <is>
          <t>100332215+100332220+100332226</t>
        </is>
      </c>
      <c r="I234" s="530" t="n"/>
      <c r="J234" s="526" t="inlineStr">
        <is>
          <t>тыс. т</t>
        </is>
      </c>
    </row>
    <row r="235" ht="24" customFormat="1" customHeight="1" s="805">
      <c r="A235" t="inlineStr">
        <is>
          <t>ПАО "Газпром", всего:</t>
        </is>
      </c>
      <c r="B235" s="49" t="n"/>
      <c r="C235" s="385" t="inlineStr">
        <is>
          <t>3.5.1.</t>
        </is>
      </c>
      <c r="D235" s="826" t="inlineStr">
        <is>
          <t>ПАО "Газпром" , всего:</t>
        </is>
      </c>
      <c r="E235" s="528" t="inlineStr">
        <is>
          <t>100332215</t>
        </is>
      </c>
      <c r="F235" s="528" t="n"/>
      <c r="G235" s="529" t="n"/>
      <c r="H235" s="530" t="inlineStr">
        <is>
          <t>100332216+100332218+100332955+100335146</t>
        </is>
      </c>
      <c r="I235" s="530" t="n"/>
      <c r="J235" s="526" t="inlineStr">
        <is>
          <t>тыс. т</t>
        </is>
      </c>
    </row>
    <row r="236" ht="31.5" customFormat="1" customHeight="1" s="805">
      <c r="A236" t="inlineStr">
        <is>
          <t>- ПБА/ПБТ, из сырья ООО "Газпром добыча Оренбург", всего:</t>
        </is>
      </c>
      <c r="B236" s="49" t="n"/>
      <c r="C236" s="385" t="n"/>
      <c r="D236" s="826" t="inlineStr">
        <is>
          <t xml:space="preserve"> - ПБА/ПБТ, из сырья ООО "Газпром добыча Оренбург", всего:</t>
        </is>
      </c>
      <c r="E236" s="528" t="inlineStr">
        <is>
          <t>100332216</t>
        </is>
      </c>
      <c r="F236" s="528" t="n"/>
      <c r="G236" s="529" t="n"/>
      <c r="H236" s="530" t="inlineStr">
        <is>
          <t>100332217+100330955</t>
        </is>
      </c>
      <c r="I236" s="530" t="n"/>
      <c r="J236" s="526" t="inlineStr">
        <is>
          <t>тыс. т</t>
        </is>
      </c>
    </row>
    <row r="237" ht="18.75" customFormat="1" customHeight="1" s="805">
      <c r="A237" t="inlineStr">
        <is>
          <t>в том числе с ГПЗ</t>
        </is>
      </c>
      <c r="B237" s="49" t="n"/>
      <c r="C237" s="385" t="n"/>
      <c r="D237" s="810" t="inlineStr">
        <is>
          <t>в том числе с ГПЗ</t>
        </is>
      </c>
      <c r="E237" s="528" t="inlineStr">
        <is>
          <t>100332217</t>
        </is>
      </c>
      <c r="F237" s="528" t="n"/>
      <c r="G237" s="529" t="n"/>
      <c r="H237" s="530" t="n"/>
      <c r="I237" s="530" t="n"/>
      <c r="J237" s="526" t="inlineStr">
        <is>
          <t>тыс. т</t>
        </is>
      </c>
    </row>
    <row r="238" ht="18.75" customFormat="1" customHeight="1" s="805">
      <c r="A238" t="inlineStr">
        <is>
          <t>в том числе с ГЗ</t>
        </is>
      </c>
      <c r="B238" s="49" t="n"/>
      <c r="C238" s="385" t="n"/>
      <c r="D238" s="810" t="inlineStr">
        <is>
          <t>в том числе с ГЗ</t>
        </is>
      </c>
      <c r="E238" s="528" t="inlineStr">
        <is>
          <t>100330955</t>
        </is>
      </c>
      <c r="F238" s="528" t="n"/>
      <c r="G238" s="529" t="n"/>
      <c r="H238" s="530" t="n"/>
      <c r="I238" s="530" t="n"/>
      <c r="J238" s="526" t="inlineStr">
        <is>
          <t>тыс. т</t>
        </is>
      </c>
    </row>
    <row r="239" ht="18.75" customFormat="1" customHeight="1" s="805">
      <c r="A239" t="inlineStr">
        <is>
          <t>- ПБА/ПБТ, из сырья ПАО "Газпром нефть", всего:</t>
        </is>
      </c>
      <c r="B239" s="49" t="n"/>
      <c r="C239" s="385" t="n"/>
      <c r="D239" s="826" t="inlineStr">
        <is>
          <t xml:space="preserve"> - ПБА/ПБТ, из сырья ПАО "Газпром нефть", всего:</t>
        </is>
      </c>
      <c r="E239" s="528" t="inlineStr">
        <is>
          <t>100332218</t>
        </is>
      </c>
      <c r="F239" s="528" t="n"/>
      <c r="G239" s="529" t="n"/>
      <c r="H239" s="530" t="inlineStr">
        <is>
          <t>100332219+100330956</t>
        </is>
      </c>
      <c r="I239" s="530" t="n"/>
      <c r="J239" s="526" t="inlineStr">
        <is>
          <t>тыс. т</t>
        </is>
      </c>
    </row>
    <row r="240" ht="18.75" customFormat="1" customHeight="1" s="805">
      <c r="A240" t="inlineStr">
        <is>
          <t>в том числе с ГПЗ</t>
        </is>
      </c>
      <c r="B240" s="49" t="n"/>
      <c r="C240" s="385" t="n"/>
      <c r="D240" s="810" t="inlineStr">
        <is>
          <t>в том числе с ГПЗ</t>
        </is>
      </c>
      <c r="E240" s="528" t="inlineStr">
        <is>
          <t>100332219</t>
        </is>
      </c>
      <c r="F240" s="528" t="n"/>
      <c r="G240" s="529" t="n"/>
      <c r="H240" s="530" t="n"/>
      <c r="I240" s="530" t="n"/>
      <c r="J240" s="526" t="inlineStr">
        <is>
          <t>тыс. т</t>
        </is>
      </c>
    </row>
    <row r="241" ht="18.75" customFormat="1" customHeight="1" s="805">
      <c r="A241" t="inlineStr">
        <is>
          <t>в том числе с ГЗ</t>
        </is>
      </c>
      <c r="B241" s="49" t="n"/>
      <c r="C241" s="385" t="n"/>
      <c r="D241" s="810" t="inlineStr">
        <is>
          <t>в том числе с ГЗ</t>
        </is>
      </c>
      <c r="E241" s="528" t="inlineStr">
        <is>
          <t>100330956</t>
        </is>
      </c>
      <c r="F241" s="528" t="n"/>
      <c r="G241" s="529" t="n"/>
      <c r="H241" s="530" t="n"/>
      <c r="I241" s="530" t="n"/>
      <c r="J241" s="526" t="inlineStr">
        <is>
          <t>тыс. т</t>
        </is>
      </c>
    </row>
    <row r="242" ht="18.75" customFormat="1" customHeight="1" s="805">
      <c r="A242" t="inlineStr">
        <is>
          <t>- ПБА/ПБТ, из сырья Прочих поставщиков, всего:</t>
        </is>
      </c>
      <c r="B242" s="49" t="n"/>
      <c r="C242" s="385" t="n"/>
      <c r="D242" s="826" t="inlineStr">
        <is>
          <t xml:space="preserve"> - ПБА/ПБТ, из сырья Прочих поставщиков, всего:</t>
        </is>
      </c>
      <c r="E242" s="528" t="inlineStr">
        <is>
          <t>100335146</t>
        </is>
      </c>
      <c r="F242" s="528" t="n"/>
      <c r="G242" s="529" t="n"/>
      <c r="H242" s="530" t="inlineStr">
        <is>
          <t>100335147+100335148</t>
        </is>
      </c>
      <c r="I242" s="530" t="n"/>
      <c r="J242" s="526" t="inlineStr">
        <is>
          <t>тыс. т</t>
        </is>
      </c>
    </row>
    <row r="243" ht="18.75" customFormat="1" customHeight="1" s="805">
      <c r="A243" t="inlineStr">
        <is>
          <t>в том числе с ГПЗ</t>
        </is>
      </c>
      <c r="B243" s="49" t="n"/>
      <c r="C243" s="385" t="n"/>
      <c r="D243" s="810" t="inlineStr">
        <is>
          <t>в том числе с ГПЗ</t>
        </is>
      </c>
      <c r="E243" s="528" t="inlineStr">
        <is>
          <t>100335147</t>
        </is>
      </c>
      <c r="F243" s="528" t="n"/>
      <c r="G243" s="529" t="n"/>
      <c r="H243" s="530" t="n"/>
      <c r="I243" s="530" t="n"/>
      <c r="J243" s="526" t="inlineStr">
        <is>
          <t>тыс. т</t>
        </is>
      </c>
    </row>
    <row r="244" ht="18.75" customFormat="1" customHeight="1" s="805">
      <c r="A244" t="inlineStr">
        <is>
          <t>в том числе с ГЗ</t>
        </is>
      </c>
      <c r="B244" s="49" t="n"/>
      <c r="C244" s="385" t="n"/>
      <c r="D244" s="810" t="inlineStr">
        <is>
          <t>в том числе с ГЗ</t>
        </is>
      </c>
      <c r="E244" s="528" t="inlineStr">
        <is>
          <t>100335148</t>
        </is>
      </c>
      <c r="F244" s="528" t="n"/>
      <c r="G244" s="529" t="n"/>
      <c r="H244" s="530" t="n"/>
      <c r="I244" s="530" t="n"/>
      <c r="J244" s="526" t="inlineStr">
        <is>
          <t>тыс. т</t>
        </is>
      </c>
    </row>
    <row r="245" ht="31.5" customFormat="1" customHeight="1" s="805">
      <c r="A245" t="inlineStr">
        <is>
          <t>- Бутан технический, из сырья ООО "Газпром добыча Оренбург"</t>
        </is>
      </c>
      <c r="B245" s="49" t="n"/>
      <c r="C245" s="385" t="n"/>
      <c r="D245" s="826" t="inlineStr">
        <is>
          <t xml:space="preserve"> - Бутан технический, из сырья ООО "Газпром добыча Оренбург"</t>
        </is>
      </c>
      <c r="E245" s="528" t="inlineStr">
        <is>
          <t>100332955</t>
        </is>
      </c>
      <c r="F245" s="528" t="n"/>
      <c r="G245" s="529" t="n"/>
      <c r="H245" s="530" t="n"/>
      <c r="I245" s="530" t="n"/>
      <c r="J245" s="526" t="inlineStr">
        <is>
          <t>тыс. т</t>
        </is>
      </c>
    </row>
    <row r="246" ht="31.5" customFormat="1" customHeight="1" s="805">
      <c r="A246" t="inlineStr">
        <is>
          <t>ООО "Газпром переработка" (ПБА/ПБТ) (продукция ГПЗ), всего:</t>
        </is>
      </c>
      <c r="B246" s="49" t="n"/>
      <c r="C246" s="385" t="inlineStr">
        <is>
          <t>3.5.2.</t>
        </is>
      </c>
      <c r="D246" s="826" t="inlineStr">
        <is>
          <t>ООО "Газпром переработка" (ПБА/ПБТ) (продукция ГПЗ), всего:</t>
        </is>
      </c>
      <c r="E246" s="528" t="inlineStr">
        <is>
          <t>100332220</t>
        </is>
      </c>
      <c r="F246" s="528" t="n"/>
      <c r="G246" s="529" t="n"/>
      <c r="H246" s="530" t="inlineStr">
        <is>
          <t>100332221+100332223+100332224</t>
        </is>
      </c>
      <c r="I246" s="530" t="n"/>
      <c r="J246" s="526" t="inlineStr">
        <is>
          <t>тыс. т</t>
        </is>
      </c>
    </row>
    <row r="247" ht="18.75" customFormat="1" customHeight="1" s="805">
      <c r="A247" t="inlineStr">
        <is>
          <t>- из газа ООО "Газпром добыча Оренбург"</t>
        </is>
      </c>
      <c r="B247" s="49" t="n"/>
      <c r="C247" s="385" t="n"/>
      <c r="D247" s="826" t="inlineStr">
        <is>
          <t xml:space="preserve"> - из газа ООО "Газпром добыча Оренбург"</t>
        </is>
      </c>
      <c r="E247" s="528" t="inlineStr">
        <is>
          <t>100332221</t>
        </is>
      </c>
      <c r="F247" s="528" t="n"/>
      <c r="G247" s="529" t="n"/>
      <c r="H247" s="530" t="n"/>
      <c r="I247" s="530" t="n"/>
      <c r="J247" s="526" t="inlineStr">
        <is>
          <t>тыс. т</t>
        </is>
      </c>
    </row>
    <row r="248" ht="31.5" customFormat="1" customHeight="1" s="805">
      <c r="A248" t="inlineStr">
        <is>
          <t>в т.ч. собственная потребность ООО "Газпром переработка"</t>
        </is>
      </c>
      <c r="B248" s="49" t="n"/>
      <c r="C248" s="385" t="n"/>
      <c r="D248" s="57" t="inlineStr">
        <is>
          <t>в т.ч. собственная потребность ООО "Газпром переработка"</t>
        </is>
      </c>
      <c r="E248" s="528" t="inlineStr">
        <is>
          <t>100332222</t>
        </is>
      </c>
      <c r="F248" s="528" t="n"/>
      <c r="G248" s="529" t="n"/>
      <c r="H248" s="530" t="n"/>
      <c r="I248" s="530" t="n"/>
      <c r="J248" s="526" t="inlineStr">
        <is>
          <t>тыс. т</t>
        </is>
      </c>
    </row>
    <row r="249" ht="18.75" customFormat="1" customHeight="1" s="805">
      <c r="A249" t="inlineStr">
        <is>
          <t>- из газа ПАО "Газпром нефть"</t>
        </is>
      </c>
      <c r="B249" s="49" t="n"/>
      <c r="C249" s="385" t="n"/>
      <c r="D249" s="826" t="inlineStr">
        <is>
          <t xml:space="preserve"> -  из газа ПАО "Газпром нефть"</t>
        </is>
      </c>
      <c r="E249" s="528" t="inlineStr">
        <is>
          <t>100332223</t>
        </is>
      </c>
      <c r="F249" s="528" t="n"/>
      <c r="G249" s="529" t="n"/>
      <c r="H249" s="530" t="n"/>
      <c r="I249" s="530" t="n"/>
      <c r="J249" s="526" t="inlineStr">
        <is>
          <t>тыс. т</t>
        </is>
      </c>
    </row>
    <row r="250" ht="18.75" customFormat="1" customHeight="1" s="805">
      <c r="A250">
        <f>- из сырья Прочих поставщиков</f>
        <v/>
      </c>
      <c r="B250" s="49" t="n"/>
      <c r="C250" s="385" t="n"/>
      <c r="D250" s="826" t="inlineStr">
        <is>
          <t xml:space="preserve"> -  из сырья Прочих поставщиков</t>
        </is>
      </c>
      <c r="E250" s="528" t="inlineStr">
        <is>
          <t>100332224</t>
        </is>
      </c>
      <c r="F250" s="528" t="n"/>
      <c r="G250" s="529" t="n"/>
      <c r="H250" s="530" t="n"/>
      <c r="I250" s="530" t="n"/>
      <c r="J250" s="526" t="inlineStr">
        <is>
          <t>тыс. т</t>
        </is>
      </c>
    </row>
    <row r="251" ht="18.75" customFormat="1" customHeight="1" s="805">
      <c r="A251" t="inlineStr">
        <is>
          <t xml:space="preserve">   в т.ч. из жидких углеводородов Прочих поставщиков</t>
        </is>
      </c>
      <c r="B251" s="49" t="n"/>
      <c r="C251" s="385" t="n"/>
      <c r="D251" s="56" t="inlineStr">
        <is>
          <t xml:space="preserve">в т.ч. из жидких углеводородов Прочих поставщиков </t>
        </is>
      </c>
      <c r="E251" s="528" t="inlineStr">
        <is>
          <t>100335668</t>
        </is>
      </c>
      <c r="F251" s="528" t="n"/>
      <c r="G251" s="529" t="n"/>
      <c r="H251" s="530" t="n"/>
      <c r="I251" s="530" t="n"/>
      <c r="J251" s="526" t="inlineStr">
        <is>
          <t>тыс. т</t>
        </is>
      </c>
    </row>
    <row r="252" ht="31.5" customFormat="1" customHeight="1" s="805">
      <c r="A252" t="inlineStr">
        <is>
          <t>ООО "Сервиснефтегаз" (ПБА/ПБТ) (продукция ГПЗ), из нефти</t>
        </is>
      </c>
      <c r="B252" s="49" t="n"/>
      <c r="C252" s="385" t="inlineStr">
        <is>
          <t>3.5.3.</t>
        </is>
      </c>
      <c r="D252" s="826" t="inlineStr">
        <is>
          <t>ООО "Сервиснефтегаз" (ПБА/ПБТ) (продукция ГПЗ), из нефти</t>
        </is>
      </c>
      <c r="E252" s="528" t="inlineStr">
        <is>
          <t>100332226</t>
        </is>
      </c>
      <c r="F252" s="528" t="n"/>
      <c r="G252" s="529" t="n"/>
      <c r="H252" s="530" t="n"/>
      <c r="I252" s="530" t="n"/>
      <c r="J252" s="526" t="inlineStr">
        <is>
          <t>тыс. т</t>
        </is>
      </c>
    </row>
    <row r="253" ht="18.75" customFormat="1" customHeight="1" s="805">
      <c r="A253" t="inlineStr">
        <is>
          <t>ТОО "КазРосГаз" (ПБА/ПБТ), всего:</t>
        </is>
      </c>
      <c r="B253" s="49" t="n"/>
      <c r="C253" s="385" t="inlineStr">
        <is>
          <t>3.5.4.</t>
        </is>
      </c>
      <c r="D253" s="826" t="inlineStr">
        <is>
          <t>ТОО "КазРосГаз" (ПБА/ПБТ), всего:</t>
        </is>
      </c>
      <c r="E253" s="528" t="inlineStr">
        <is>
          <t>100332227</t>
        </is>
      </c>
      <c r="F253" s="528" t="n"/>
      <c r="G253" s="529" t="n"/>
      <c r="H253" s="530" t="inlineStr">
        <is>
          <t>100330957+100332228</t>
        </is>
      </c>
      <c r="I253" s="530" t="n"/>
      <c r="J253" s="526" t="inlineStr">
        <is>
          <t>тыс. т</t>
        </is>
      </c>
    </row>
    <row r="254" ht="18.75" customFormat="1" customHeight="1" s="805">
      <c r="A254" t="inlineStr">
        <is>
          <t>в том числе с ГПЗ</t>
        </is>
      </c>
      <c r="B254" s="49" t="n"/>
      <c r="C254" s="385" t="n"/>
      <c r="D254" s="810" t="inlineStr">
        <is>
          <t>в том числе с ГПЗ</t>
        </is>
      </c>
      <c r="E254" s="528" t="inlineStr">
        <is>
          <t>100332228</t>
        </is>
      </c>
      <c r="F254" s="528" t="n"/>
      <c r="G254" s="529" t="n"/>
      <c r="H254" s="530" t="n"/>
      <c r="I254" s="530" t="n"/>
      <c r="J254" s="526" t="inlineStr">
        <is>
          <t>тыс. т</t>
        </is>
      </c>
    </row>
    <row r="255" ht="18.75" customFormat="1" customHeight="1" s="805">
      <c r="A255" t="inlineStr">
        <is>
          <t>в том числе с ГЗ</t>
        </is>
      </c>
      <c r="B255" s="49" t="n"/>
      <c r="C255" s="385" t="n"/>
      <c r="D255" s="810" t="inlineStr">
        <is>
          <t>в том числе с ГЗ</t>
        </is>
      </c>
      <c r="E255" s="528" t="inlineStr">
        <is>
          <t>100330957</t>
        </is>
      </c>
      <c r="F255" s="528" t="n"/>
      <c r="G255" s="529" t="n"/>
      <c r="H255" s="530" t="n"/>
      <c r="I255" s="530" t="n"/>
      <c r="J255" s="526" t="inlineStr">
        <is>
          <t>тыс. т</t>
        </is>
      </c>
    </row>
    <row r="256" ht="31.5" customFormat="1" customHeight="1" s="805">
      <c r="A256" t="inlineStr">
        <is>
          <t>ФРАКЦИЯ УГЛЕВОДОРОДНАЯ/ПГФ (продукция ГЗ), ВСЕГО:</t>
        </is>
      </c>
      <c r="B256" s="49" t="n"/>
      <c r="C256" s="537" t="inlineStr">
        <is>
          <t>3.6.</t>
        </is>
      </c>
      <c r="D256" s="58" t="inlineStr">
        <is>
          <t>ФРАКЦИЯ УГЛЕВОДОРОДНАЯ/ПГФ (продукция ГЗ), ВСЕГО:</t>
        </is>
      </c>
      <c r="E256" s="528" t="inlineStr">
        <is>
          <t>100332232</t>
        </is>
      </c>
      <c r="F256" s="528" t="n"/>
      <c r="G256" s="529" t="n"/>
      <c r="H256" s="530" t="inlineStr">
        <is>
          <t>100332233+100332236</t>
        </is>
      </c>
      <c r="I256" s="530" t="n"/>
      <c r="J256" s="526" t="inlineStr">
        <is>
          <t>тыс. т</t>
        </is>
      </c>
    </row>
    <row r="257" ht="24" customFormat="1" customHeight="1" s="805">
      <c r="A257" t="inlineStr">
        <is>
          <t>ПАО "Газпром", всего:</t>
        </is>
      </c>
      <c r="B257" s="49" t="n"/>
      <c r="C257" s="385" t="inlineStr">
        <is>
          <t>3.6.1.</t>
        </is>
      </c>
      <c r="D257" s="826" t="inlineStr">
        <is>
          <t>ПАО "Газпром", всего:</t>
        </is>
      </c>
      <c r="E257" s="528" t="inlineStr">
        <is>
          <t>100332233</t>
        </is>
      </c>
      <c r="F257" s="528" t="n"/>
      <c r="G257" s="529" t="n"/>
      <c r="H257" s="530" t="inlineStr">
        <is>
          <t>100332234+100332235+100335150</t>
        </is>
      </c>
      <c r="I257" s="530" t="n"/>
      <c r="J257" s="526" t="inlineStr">
        <is>
          <t>тыс. т</t>
        </is>
      </c>
    </row>
    <row r="258" ht="18.75" customFormat="1" customHeight="1" s="805">
      <c r="A258" t="inlineStr">
        <is>
          <t>- из газа ООО "Газпром добыча Оренбург"</t>
        </is>
      </c>
      <c r="B258" s="49" t="n"/>
      <c r="C258" s="385" t="n"/>
      <c r="D258" s="826" t="inlineStr">
        <is>
          <t xml:space="preserve"> - из газа ООО "Газпром добыча Оренбург"</t>
        </is>
      </c>
      <c r="E258" s="528" t="inlineStr">
        <is>
          <t>100332234</t>
        </is>
      </c>
      <c r="F258" s="528" t="n"/>
      <c r="G258" s="529" t="n"/>
      <c r="H258" s="530" t="n"/>
      <c r="I258" s="530" t="n"/>
      <c r="J258" s="526" t="inlineStr">
        <is>
          <t>тыс. т</t>
        </is>
      </c>
    </row>
    <row r="259" ht="18.75" customFormat="1" customHeight="1" s="805">
      <c r="A259" t="inlineStr">
        <is>
          <t>- из газа ПАО "Газпром нефть"</t>
        </is>
      </c>
      <c r="B259" s="49" t="n"/>
      <c r="C259" s="385" t="n"/>
      <c r="D259" s="826" t="inlineStr">
        <is>
          <t xml:space="preserve"> - из газа ПАО "Газпром нефть"</t>
        </is>
      </c>
      <c r="E259" s="528" t="inlineStr">
        <is>
          <t>100332235</t>
        </is>
      </c>
      <c r="F259" s="528" t="n"/>
      <c r="G259" s="529" t="n"/>
      <c r="H259" s="530" t="n"/>
      <c r="I259" s="530" t="n"/>
      <c r="J259" s="526" t="inlineStr">
        <is>
          <t>тыс. т</t>
        </is>
      </c>
    </row>
    <row r="260" ht="18.75" customFormat="1" customHeight="1" s="805">
      <c r="A260">
        <f>- из газа Прочих поставщиков</f>
        <v/>
      </c>
      <c r="B260" s="49" t="n"/>
      <c r="C260" s="385" t="n"/>
      <c r="D260" s="803" t="inlineStr">
        <is>
          <t>-  из газа Прочих поставщиков</t>
        </is>
      </c>
      <c r="E260" s="528" t="inlineStr">
        <is>
          <t>100335150</t>
        </is>
      </c>
      <c r="F260" s="528" t="n"/>
      <c r="G260" s="529" t="n"/>
      <c r="H260" s="530" t="n"/>
      <c r="I260" s="530" t="n"/>
      <c r="J260" s="526" t="inlineStr">
        <is>
          <t>тыс. т</t>
        </is>
      </c>
    </row>
    <row r="261" ht="18.75" customFormat="1" customHeight="1" s="805">
      <c r="A261" t="inlineStr">
        <is>
          <t>ТОО "КазРосГаз"</t>
        </is>
      </c>
      <c r="B261" s="49" t="n"/>
      <c r="C261" s="385" t="inlineStr">
        <is>
          <t>3.6.2.</t>
        </is>
      </c>
      <c r="D261" s="826" t="inlineStr">
        <is>
          <t>ТОО "КазРосГаз"</t>
        </is>
      </c>
      <c r="E261" s="528" t="inlineStr">
        <is>
          <t>100332236</t>
        </is>
      </c>
      <c r="F261" s="528" t="n"/>
      <c r="G261" s="529" t="n"/>
      <c r="H261" s="530" t="n"/>
      <c r="I261" s="530" t="n"/>
      <c r="J261" s="526" t="inlineStr">
        <is>
          <t>тыс. т</t>
        </is>
      </c>
    </row>
    <row r="262" ht="18.75" customFormat="1" customHeight="1" s="805">
      <c r="A262" t="inlineStr">
        <is>
          <t>ОДОРАНТ (продукция ГПЗ), ВСЕГО:</t>
        </is>
      </c>
      <c r="B262" s="49" t="n"/>
      <c r="C262" s="537" t="inlineStr">
        <is>
          <t>3.7.</t>
        </is>
      </c>
      <c r="D262" s="806" t="inlineStr">
        <is>
          <t>ОДОРАНТ (продукция ГПЗ), ВСЕГО:</t>
        </is>
      </c>
      <c r="E262" s="528" t="inlineStr">
        <is>
          <t>100332237</t>
        </is>
      </c>
      <c r="F262" s="528" t="n"/>
      <c r="G262" s="529" t="n"/>
      <c r="H262" s="530" t="inlineStr">
        <is>
          <t>100332238/$1000</t>
        </is>
      </c>
      <c r="I262" s="530" t="n"/>
      <c r="J262" s="526" t="inlineStr">
        <is>
          <t>тыс. т</t>
        </is>
      </c>
    </row>
    <row r="263" ht="18.75" customFormat="1" customHeight="1" s="805">
      <c r="A263" t="inlineStr">
        <is>
          <t>ООО "Газпром переработка", всего:</t>
        </is>
      </c>
      <c r="B263" s="49" t="n"/>
      <c r="C263" s="385" t="n"/>
      <c r="D263" s="59" t="inlineStr">
        <is>
          <t xml:space="preserve"> ООО "Газпром переработка", всего:</t>
        </is>
      </c>
      <c r="E263" s="528" t="inlineStr">
        <is>
          <t>100332238</t>
        </is>
      </c>
      <c r="F263" s="528" t="n"/>
      <c r="G263" s="529" t="n"/>
      <c r="H263" s="530" t="inlineStr">
        <is>
          <t>100332239</t>
        </is>
      </c>
      <c r="I263" s="530" t="n"/>
      <c r="J263" s="526" t="inlineStr">
        <is>
          <t>тонн</t>
        </is>
      </c>
    </row>
    <row r="264" ht="18.75" customFormat="1" customHeight="1" s="805">
      <c r="A264" t="inlineStr">
        <is>
          <t>- из сырья ООО "Газпром добыча Оренбург"</t>
        </is>
      </c>
      <c r="B264" s="49" t="n"/>
      <c r="C264" s="385" t="n"/>
      <c r="D264" s="826" t="inlineStr">
        <is>
          <t xml:space="preserve"> - из сырья ООО "Газпром добыча Оренбург"</t>
        </is>
      </c>
      <c r="E264" s="528" t="inlineStr">
        <is>
          <t>100332239</t>
        </is>
      </c>
      <c r="F264" s="528" t="n"/>
      <c r="G264" s="529" t="n"/>
      <c r="H264" s="530" t="n"/>
      <c r="I264" s="530" t="n"/>
      <c r="J264" s="526" t="inlineStr">
        <is>
          <t>тонн</t>
        </is>
      </c>
    </row>
    <row r="265" ht="18.75" customFormat="1" customHeight="1" s="805">
      <c r="A265" t="inlineStr">
        <is>
          <t>ЭТАН (продукция ГЗ), ВСЕГО:</t>
        </is>
      </c>
      <c r="B265" s="49" t="n"/>
      <c r="C265" s="537" t="inlineStr">
        <is>
          <t>3.8.</t>
        </is>
      </c>
      <c r="D265" s="60" t="inlineStr">
        <is>
          <t xml:space="preserve"> ЭТАН (продукция ГЗ), ВСЕГО:</t>
        </is>
      </c>
      <c r="E265" s="528" t="inlineStr">
        <is>
          <t>100332240</t>
        </is>
      </c>
      <c r="F265" s="528" t="n"/>
      <c r="G265" s="529" t="n"/>
      <c r="H265" s="530" t="inlineStr">
        <is>
          <t>100332241+100332244</t>
        </is>
      </c>
      <c r="I265" s="530" t="n"/>
      <c r="J265" s="526" t="inlineStr">
        <is>
          <t>тыс. т</t>
        </is>
      </c>
    </row>
    <row r="266" ht="24" customFormat="1" customHeight="1" s="805">
      <c r="A266" t="inlineStr">
        <is>
          <t>ООО "Газпром переработка", всего:</t>
        </is>
      </c>
      <c r="B266" s="49" t="n"/>
      <c r="C266" s="385" t="inlineStr">
        <is>
          <t>3.8.1.</t>
        </is>
      </c>
      <c r="D266" s="826" t="inlineStr">
        <is>
          <t>ООО "Газпром переработка", всего:</t>
        </is>
      </c>
      <c r="E266" s="528" t="inlineStr">
        <is>
          <t>100332241</t>
        </is>
      </c>
      <c r="F266" s="528" t="n"/>
      <c r="G266" s="529" t="n"/>
      <c r="H266" s="530" t="inlineStr">
        <is>
          <t>100332242+100332243+100335151</t>
        </is>
      </c>
      <c r="I266" s="530" t="n"/>
      <c r="J266" s="526" t="inlineStr">
        <is>
          <t>тыс. т</t>
        </is>
      </c>
    </row>
    <row r="267" ht="18.75" customFormat="1" customHeight="1" s="805">
      <c r="A267" t="inlineStr">
        <is>
          <t>- из газа ООО "Газпром добыча Оренбург"</t>
        </is>
      </c>
      <c r="B267" s="49" t="n"/>
      <c r="C267" s="385" t="n"/>
      <c r="D267" s="826" t="inlineStr">
        <is>
          <t xml:space="preserve"> - из газа ООО "Газпром добыча Оренбург"</t>
        </is>
      </c>
      <c r="E267" s="528" t="inlineStr">
        <is>
          <t>100332242</t>
        </is>
      </c>
      <c r="F267" s="528" t="n"/>
      <c r="G267" s="529" t="n"/>
      <c r="H267" s="530" t="n"/>
      <c r="I267" s="530" t="n"/>
      <c r="J267" s="526" t="inlineStr">
        <is>
          <t>тыс. т</t>
        </is>
      </c>
    </row>
    <row r="268" ht="18.75" customFormat="1" customHeight="1" s="805">
      <c r="A268" t="inlineStr">
        <is>
          <t>- из газа ПАО "Газпром нефть"</t>
        </is>
      </c>
      <c r="B268" s="49" t="n"/>
      <c r="C268" s="385" t="n"/>
      <c r="D268" s="826" t="inlineStr">
        <is>
          <t xml:space="preserve"> - из газа ПАО "Газпром нефть"</t>
        </is>
      </c>
      <c r="E268" s="528" t="inlineStr">
        <is>
          <t>100332243</t>
        </is>
      </c>
      <c r="F268" s="528" t="n"/>
      <c r="G268" s="529" t="n"/>
      <c r="H268" s="530" t="n"/>
      <c r="I268" s="530" t="n"/>
      <c r="J268" s="526" t="inlineStr">
        <is>
          <t>тыс. т</t>
        </is>
      </c>
    </row>
    <row r="269" ht="18.75" customFormat="1" customHeight="1" s="805">
      <c r="A269">
        <f>- из газа Прочих поставщиков</f>
        <v/>
      </c>
      <c r="B269" s="49" t="n"/>
      <c r="C269" s="385" t="n"/>
      <c r="D269" s="803" t="inlineStr">
        <is>
          <t>-  из газа Прочих поставщиков</t>
        </is>
      </c>
      <c r="E269" s="528" t="inlineStr">
        <is>
          <t>100335151</t>
        </is>
      </c>
      <c r="F269" s="528" t="n"/>
      <c r="G269" s="529" t="n"/>
      <c r="H269" s="530" t="n"/>
      <c r="I269" s="530" t="n"/>
      <c r="J269" s="526" t="inlineStr">
        <is>
          <t>тыс. т</t>
        </is>
      </c>
    </row>
    <row r="270" ht="18.75" customFormat="1" customHeight="1" s="805">
      <c r="A270" t="inlineStr">
        <is>
          <t>ТОО "КазРосГаз"</t>
        </is>
      </c>
      <c r="B270" s="49" t="n"/>
      <c r="C270" s="385" t="inlineStr">
        <is>
          <t>3.8.2.</t>
        </is>
      </c>
      <c r="D270" s="826" t="inlineStr">
        <is>
          <t>ТОО "КазРосГаз"</t>
        </is>
      </c>
      <c r="E270" s="528" t="inlineStr">
        <is>
          <t>100332244</t>
        </is>
      </c>
      <c r="F270" s="528" t="n"/>
      <c r="G270" s="529" t="n"/>
      <c r="H270" s="530" t="n"/>
      <c r="I270" s="530" t="n"/>
      <c r="J270" s="526" t="inlineStr">
        <is>
          <t>тыс. т</t>
        </is>
      </c>
    </row>
    <row r="271" ht="18.75" customFormat="1" customHeight="1" s="805">
      <c r="A271" t="inlineStr">
        <is>
          <t>ГЕЛИЙ (продукция ГЗ), ВСЕГО:</t>
        </is>
      </c>
      <c r="B271" s="49" t="n"/>
      <c r="C271" s="537" t="inlineStr">
        <is>
          <t>3.9.</t>
        </is>
      </c>
      <c r="D271" s="806" t="inlineStr">
        <is>
          <t>ГЕЛИЙ (продукция ГЗ), ВСЕГО:</t>
        </is>
      </c>
      <c r="E271" s="528" t="inlineStr">
        <is>
          <t>100332245</t>
        </is>
      </c>
      <c r="F271" s="528" t="n"/>
      <c r="G271" s="529" t="n"/>
      <c r="H271" s="530" t="inlineStr">
        <is>
          <t>100332248+100332250</t>
        </is>
      </c>
      <c r="I271" s="530" t="n"/>
      <c r="J271" s="940" t="inlineStr">
        <is>
          <t>тыс куб.м</t>
        </is>
      </c>
    </row>
    <row r="272" ht="18.75" customFormat="1" customHeight="1" s="805">
      <c r="B272" s="49" t="n"/>
      <c r="C272" s="537" t="n"/>
      <c r="D272" s="766" t="n"/>
      <c r="E272" s="528" t="inlineStr">
        <is>
          <t>100335421</t>
        </is>
      </c>
      <c r="F272" s="528" t="n"/>
      <c r="G272" s="529" t="n"/>
      <c r="H272" s="530" t="inlineStr">
        <is>
          <t>100335422+100332251</t>
        </is>
      </c>
      <c r="I272" s="530" t="n"/>
      <c r="J272" s="526" t="inlineStr">
        <is>
          <t>тонн</t>
        </is>
      </c>
    </row>
    <row r="273" ht="18.75" customFormat="1" customHeight="1" s="805">
      <c r="A273" t="inlineStr">
        <is>
          <t>ООО "Газпром переработка", всего:</t>
        </is>
      </c>
      <c r="B273" s="49" t="n"/>
      <c r="C273" s="385" t="n"/>
      <c r="D273" s="826" t="inlineStr">
        <is>
          <t>ООО "Газпром переработка", всего:</t>
        </is>
      </c>
      <c r="E273" s="528" t="inlineStr">
        <is>
          <t>100335431</t>
        </is>
      </c>
      <c r="F273" s="528" t="n"/>
      <c r="G273" s="529" t="n"/>
      <c r="H273" s="530" t="n"/>
      <c r="I273" s="530" t="n"/>
      <c r="J273" s="526" t="inlineStr">
        <is>
          <t>тонн</t>
        </is>
      </c>
    </row>
    <row r="274" ht="18.75" customFormat="1" customHeight="1" s="805">
      <c r="A274" t="inlineStr">
        <is>
          <t>- из сырья ООО "Газпром добыча Оренбург"</t>
        </is>
      </c>
      <c r="B274" s="49" t="n"/>
      <c r="C274" s="385" t="n"/>
      <c r="D274" s="826" t="inlineStr">
        <is>
          <t xml:space="preserve"> - из сырья ООО "Газпром добыча Оренбург"</t>
        </is>
      </c>
      <c r="E274" s="528" t="inlineStr">
        <is>
          <t>100332247</t>
        </is>
      </c>
      <c r="F274" s="528" t="n"/>
      <c r="G274" s="529" t="n"/>
      <c r="H274" s="530" t="inlineStr">
        <is>
          <t>100332248+100332250</t>
        </is>
      </c>
      <c r="I274" s="530" t="n"/>
      <c r="J274" s="526" t="inlineStr">
        <is>
          <t>тыс куб.м</t>
        </is>
      </c>
    </row>
    <row r="275" ht="18.75" customFormat="1" customHeight="1" s="805">
      <c r="A275" t="inlineStr">
        <is>
          <t>в том числе:</t>
        </is>
      </c>
      <c r="B275" s="49" t="n"/>
      <c r="C275" s="385" t="n"/>
      <c r="D275" s="826" t="inlineStr">
        <is>
          <t>в том числе:</t>
        </is>
      </c>
      <c r="E275" s="528" t="n"/>
      <c r="F275" s="528" t="n"/>
      <c r="G275" s="529" t="n"/>
      <c r="H275" s="530" t="n"/>
      <c r="I275" s="530" t="n"/>
      <c r="J275" s="526" t="n"/>
    </row>
    <row r="276" ht="18.75" customFormat="1" customHeight="1" s="805">
      <c r="A276" t="inlineStr">
        <is>
          <t>гелий газообразный</t>
        </is>
      </c>
      <c r="B276" s="49" t="n"/>
      <c r="C276" s="385" t="n"/>
      <c r="D276" s="527" t="inlineStr">
        <is>
          <t>гелий газообразный</t>
        </is>
      </c>
      <c r="E276" s="528" t="inlineStr">
        <is>
          <t>100332248</t>
        </is>
      </c>
      <c r="F276" s="528" t="n"/>
      <c r="G276" s="529" t="n"/>
      <c r="H276" s="530" t="n"/>
      <c r="I276" s="530" t="n"/>
      <c r="J276" s="940" t="inlineStr">
        <is>
          <t>тыс куб.м</t>
        </is>
      </c>
    </row>
    <row r="277" ht="18.75" customFormat="1" customHeight="1" s="805">
      <c r="B277" s="49" t="n"/>
      <c r="C277" s="385" t="n"/>
      <c r="D277" s="527" t="inlineStr">
        <is>
          <t>гелий газообразный</t>
        </is>
      </c>
      <c r="E277" s="528" t="inlineStr">
        <is>
          <t>100335422</t>
        </is>
      </c>
      <c r="F277" s="528" t="n"/>
      <c r="G277" s="529" t="n"/>
      <c r="H277" s="530" t="n"/>
      <c r="I277" s="530" t="n"/>
      <c r="J277" s="526" t="inlineStr">
        <is>
          <t>тонн</t>
        </is>
      </c>
    </row>
    <row r="278" ht="31.5" customFormat="1" customHeight="1" s="805">
      <c r="A278" t="inlineStr">
        <is>
          <t>в т.ч. собственная потребность ООО "Газпром переработка"</t>
        </is>
      </c>
      <c r="B278" s="49" t="n"/>
      <c r="C278" s="385" t="n"/>
      <c r="D278" s="61" t="inlineStr">
        <is>
          <t>в т.ч. собственная потребность ООО "Газпром переработка"</t>
        </is>
      </c>
      <c r="E278" s="528" t="inlineStr">
        <is>
          <t>100332249</t>
        </is>
      </c>
      <c r="F278" s="528" t="n"/>
      <c r="G278" s="529" t="n"/>
      <c r="H278" s="530" t="n"/>
      <c r="I278" s="530" t="n"/>
      <c r="J278" s="940" t="inlineStr">
        <is>
          <t>тыс куб.м</t>
        </is>
      </c>
    </row>
    <row r="279" ht="18.75" customFormat="1" customHeight="1" s="805">
      <c r="A279" t="inlineStr">
        <is>
          <t>гелий жидкий</t>
        </is>
      </c>
      <c r="B279" s="49" t="n"/>
      <c r="C279" s="385" t="n"/>
      <c r="D279" s="813" t="inlineStr">
        <is>
          <t>гелий жидкий</t>
        </is>
      </c>
      <c r="E279" s="528" t="inlineStr">
        <is>
          <t>100332250</t>
        </is>
      </c>
      <c r="F279" s="528" t="n"/>
      <c r="G279" s="529" t="n"/>
      <c r="H279" s="530" t="n"/>
      <c r="I279" s="530" t="n"/>
      <c r="J279" s="940" t="inlineStr">
        <is>
          <t>тыс куб.м</t>
        </is>
      </c>
    </row>
    <row r="280" ht="18.75" customFormat="1" customHeight="1" s="805">
      <c r="B280" s="49" t="n"/>
      <c r="C280" s="385" t="n"/>
      <c r="D280" s="766" t="n"/>
      <c r="E280" s="528" t="inlineStr">
        <is>
          <t>100332251</t>
        </is>
      </c>
      <c r="F280" s="528" t="n"/>
      <c r="G280" s="529" t="n"/>
      <c r="H280" s="530" t="n"/>
      <c r="I280" s="530" t="n"/>
      <c r="J280" s="526" t="inlineStr">
        <is>
          <t>тонн</t>
        </is>
      </c>
    </row>
    <row r="281" ht="31.5" customFormat="1" customHeight="1" s="805">
      <c r="A281" t="inlineStr">
        <is>
          <t>СТАБИЛЬНЫЙ КОНДЕНСАТ (продукция ГПЗ), ВСЕГО:</t>
        </is>
      </c>
      <c r="B281" s="49" t="n"/>
      <c r="C281" s="537" t="inlineStr">
        <is>
          <t>3.10.</t>
        </is>
      </c>
      <c r="D281" s="814" t="inlineStr">
        <is>
          <t>СТАБИЛЬНЫЙ КОНДЕНСАТ (продукция ГПЗ), ВСЕГО:</t>
        </is>
      </c>
      <c r="E281" s="528" t="inlineStr">
        <is>
          <t>100332252</t>
        </is>
      </c>
      <c r="F281" s="528" t="n"/>
      <c r="G281" s="529" t="n"/>
      <c r="H281" s="530" t="inlineStr">
        <is>
          <t>100332254+100332259+100332258</t>
        </is>
      </c>
      <c r="I281" s="530" t="n"/>
      <c r="J281" s="526" t="inlineStr">
        <is>
          <t>тыс. т</t>
        </is>
      </c>
    </row>
    <row r="282" ht="18.75" customFormat="1" customHeight="1" s="805">
      <c r="A282" t="inlineStr">
        <is>
          <t>в том числе без давальцев, всего:</t>
        </is>
      </c>
      <c r="B282" s="49" t="n"/>
      <c r="C282" s="385" t="n"/>
      <c r="D282" s="826" t="inlineStr">
        <is>
          <t>в том числе без давальцев, всего:</t>
        </is>
      </c>
      <c r="E282" s="528" t="inlineStr">
        <is>
          <t>100332253</t>
        </is>
      </c>
      <c r="F282" s="528" t="n"/>
      <c r="G282" s="529" t="n"/>
      <c r="H282" s="530" t="inlineStr">
        <is>
          <t>100332254+100332258</t>
        </is>
      </c>
      <c r="I282" s="530" t="n"/>
      <c r="J282" s="526" t="inlineStr">
        <is>
          <t>тыс. т</t>
        </is>
      </c>
    </row>
    <row r="283" ht="24" customFormat="1" customHeight="1" s="805">
      <c r="A283" t="inlineStr">
        <is>
          <t>ПАО "Газпром", всего:</t>
        </is>
      </c>
      <c r="B283" s="49" t="n"/>
      <c r="C283" s="385" t="inlineStr">
        <is>
          <t>3.10.1.</t>
        </is>
      </c>
      <c r="D283" s="826" t="inlineStr">
        <is>
          <t>ПАО "Газпром", всего:</t>
        </is>
      </c>
      <c r="E283" s="528" t="inlineStr">
        <is>
          <t>100332254</t>
        </is>
      </c>
      <c r="F283" s="528" t="n"/>
      <c r="G283" s="529" t="n"/>
      <c r="H283" s="530" t="inlineStr">
        <is>
          <t>100332255+100332256+100335153</t>
        </is>
      </c>
      <c r="I283" s="530" t="n"/>
      <c r="J283" s="526" t="inlineStr">
        <is>
          <t>тыс. т</t>
        </is>
      </c>
    </row>
    <row r="284" ht="18.75" customFormat="1" customHeight="1" s="805">
      <c r="A284" t="inlineStr">
        <is>
          <t>- из сырья ООО "Газпром добыча Оренбург"</t>
        </is>
      </c>
      <c r="B284" s="49" t="n"/>
      <c r="C284" s="385" t="n"/>
      <c r="D284" s="826" t="inlineStr">
        <is>
          <t xml:space="preserve"> - из сырья ООО "Газпром добыча Оренбург"</t>
        </is>
      </c>
      <c r="E284" s="528" t="inlineStr">
        <is>
          <t>100332255</t>
        </is>
      </c>
      <c r="F284" s="528" t="n"/>
      <c r="G284" s="529" t="n"/>
      <c r="H284" s="530" t="inlineStr">
        <is>
          <t>100332266+100332269</t>
        </is>
      </c>
      <c r="I284" s="530" t="n"/>
      <c r="J284" s="526" t="inlineStr">
        <is>
          <t>тыс. т</t>
        </is>
      </c>
    </row>
    <row r="285" ht="18.75" customFormat="1" customHeight="1" s="805">
      <c r="A285" t="inlineStr">
        <is>
          <t>- из сырья ПАО "Газпром нефть"</t>
        </is>
      </c>
      <c r="B285" s="49" t="n"/>
      <c r="C285" s="385" t="n"/>
      <c r="D285" s="826" t="inlineStr">
        <is>
          <t xml:space="preserve"> - из сырья ПАО "Газпром нефть"</t>
        </is>
      </c>
      <c r="E285" s="528" t="inlineStr">
        <is>
          <t>100332256</t>
        </is>
      </c>
      <c r="F285" s="528" t="n"/>
      <c r="G285" s="529" t="n"/>
      <c r="H285" s="530" t="inlineStr">
        <is>
          <t>100332267+100332271</t>
        </is>
      </c>
      <c r="I285" s="530" t="n"/>
      <c r="J285" s="526" t="inlineStr">
        <is>
          <t>тыс. т</t>
        </is>
      </c>
    </row>
    <row r="286" ht="18.75" customFormat="1" customHeight="1" s="805">
      <c r="A286">
        <f>- из сырья Прочих поставщиков</f>
        <v/>
      </c>
      <c r="B286" s="49" t="n"/>
      <c r="C286" s="385" t="n"/>
      <c r="D286" s="803" t="inlineStr">
        <is>
          <t xml:space="preserve">-  из сырья Прочих поставщиков </t>
        </is>
      </c>
      <c r="E286" s="528" t="inlineStr">
        <is>
          <t>100335153</t>
        </is>
      </c>
      <c r="F286" s="528" t="n"/>
      <c r="G286" s="529" t="n"/>
      <c r="H286" s="530" t="inlineStr">
        <is>
          <t>100335669+100332959</t>
        </is>
      </c>
      <c r="I286" s="530" t="n"/>
      <c r="J286" s="526" t="inlineStr">
        <is>
          <t>тыс. т</t>
        </is>
      </c>
    </row>
    <row r="287" ht="18.75" customFormat="1" customHeight="1" s="805">
      <c r="A287" t="inlineStr">
        <is>
          <t>ООО "Сервиснефтегаз" из нефти</t>
        </is>
      </c>
      <c r="B287" s="49" t="n"/>
      <c r="C287" s="385" t="inlineStr">
        <is>
          <t>3.10.3.</t>
        </is>
      </c>
      <c r="D287" s="826" t="inlineStr">
        <is>
          <t>ООО "Сервиснефтегаз" из нефти</t>
        </is>
      </c>
      <c r="E287" s="528" t="inlineStr">
        <is>
          <t>100332258</t>
        </is>
      </c>
      <c r="F287" s="528" t="n"/>
      <c r="G287" s="529" t="n"/>
      <c r="H287" s="530" t="inlineStr">
        <is>
          <t>100332273</t>
        </is>
      </c>
      <c r="I287" s="530" t="n"/>
      <c r="J287" s="526" t="inlineStr">
        <is>
          <t>тыс. т</t>
        </is>
      </c>
    </row>
    <row r="288" ht="18.75" customFormat="1" customHeight="1" s="805">
      <c r="A288" t="inlineStr">
        <is>
          <t>ТОО "КазРосГаз"</t>
        </is>
      </c>
      <c r="B288" s="49" t="n"/>
      <c r="C288" s="385" t="inlineStr">
        <is>
          <t>3.10.4.</t>
        </is>
      </c>
      <c r="D288" s="826" t="inlineStr">
        <is>
          <t>ТОО "КазРосГаз"</t>
        </is>
      </c>
      <c r="E288" s="528" t="inlineStr">
        <is>
          <t>100332259</t>
        </is>
      </c>
      <c r="F288" s="528" t="n"/>
      <c r="G288" s="529" t="n"/>
      <c r="H288" s="530" t="inlineStr">
        <is>
          <t>100332274</t>
        </is>
      </c>
      <c r="I288" s="530" t="n"/>
      <c r="J288" s="526" t="inlineStr">
        <is>
          <t>тыс. т</t>
        </is>
      </c>
    </row>
    <row r="289" ht="18.75" customFormat="1" customHeight="1" s="805">
      <c r="A289" t="inlineStr">
        <is>
          <t>Справочно:</t>
        </is>
      </c>
      <c r="B289" s="49" t="n"/>
      <c r="C289" s="828" t="n"/>
      <c r="D289" s="815" t="inlineStr">
        <is>
          <t>Справочно:</t>
        </is>
      </c>
      <c r="E289" s="528" t="n"/>
      <c r="F289" s="528" t="n"/>
      <c r="G289" s="529" t="n"/>
      <c r="H289" s="530" t="n"/>
      <c r="I289" s="530" t="n"/>
      <c r="J289" s="53" t="n"/>
    </row>
    <row r="290" ht="18.75" customFormat="1" customHeight="1" s="805">
      <c r="A290" t="inlineStr">
        <is>
          <t>СТАБИЛЬНЫЙ КОНДЕНСАТ (валовый), ВСЕГО:</t>
        </is>
      </c>
      <c r="B290" s="49" t="n"/>
      <c r="C290" s="536" t="n"/>
      <c r="D290" s="817" t="inlineStr">
        <is>
          <t>СТАБИЛЬНЫЙ КОНДЕНСАТ (валовый), ВСЕГО:</t>
        </is>
      </c>
      <c r="E290" s="528" t="inlineStr">
        <is>
          <t>100332263</t>
        </is>
      </c>
      <c r="F290" s="528" t="n"/>
      <c r="G290" s="529" t="n"/>
      <c r="H290" s="530" t="inlineStr">
        <is>
          <t>100332264+100332274</t>
        </is>
      </c>
      <c r="I290" s="530" t="n"/>
      <c r="J290" s="55" t="inlineStr">
        <is>
          <t>тыс. т</t>
        </is>
      </c>
    </row>
    <row r="291" ht="24" customFormat="1" customHeight="1" s="805">
      <c r="A291" t="inlineStr">
        <is>
          <t>в том числе без давальцев, всего:</t>
        </is>
      </c>
      <c r="B291" s="49" t="n"/>
      <c r="C291" s="828" t="n"/>
      <c r="D291" s="810" t="inlineStr">
        <is>
          <t>в том числе без давальцев, всего:</t>
        </is>
      </c>
      <c r="E291" s="528" t="inlineStr">
        <is>
          <t>100332264</t>
        </is>
      </c>
      <c r="F291" s="528" t="n"/>
      <c r="G291" s="529" t="n"/>
      <c r="H291" s="530" t="inlineStr">
        <is>
          <t>100332265+100332268+100332273</t>
        </is>
      </c>
      <c r="I291" s="530" t="n"/>
      <c r="J291" s="53" t="inlineStr">
        <is>
          <t>тыс. т</t>
        </is>
      </c>
    </row>
    <row r="292" ht="24" customFormat="1" customHeight="1" s="805">
      <c r="A292" t="inlineStr">
        <is>
          <t>ПАО "Газпром", всего:</t>
        </is>
      </c>
      <c r="B292" s="49" t="n"/>
      <c r="C292" s="828" t="n"/>
      <c r="D292" s="810" t="inlineStr">
        <is>
          <t>ПАО "Газпром", всего:</t>
        </is>
      </c>
      <c r="E292" s="528" t="inlineStr">
        <is>
          <t>100332265</t>
        </is>
      </c>
      <c r="F292" s="528" t="n"/>
      <c r="G292" s="529" t="n"/>
      <c r="H292" s="530" t="inlineStr">
        <is>
          <t>100332266+100332267+100335669</t>
        </is>
      </c>
      <c r="I292" s="530" t="n"/>
      <c r="J292" s="53" t="inlineStr">
        <is>
          <t>тыс. т</t>
        </is>
      </c>
    </row>
    <row r="293" ht="18.75" customFormat="1" customHeight="1" s="805">
      <c r="A293" t="inlineStr">
        <is>
          <t>- из сырья ООО "Газпром добыча Оренбург"</t>
        </is>
      </c>
      <c r="B293" s="49" t="n"/>
      <c r="C293" s="828" t="n"/>
      <c r="D293" s="810" t="inlineStr">
        <is>
          <t xml:space="preserve"> - из сырья ООО "Газпром добыча Оренбург"</t>
        </is>
      </c>
      <c r="E293" s="528" t="inlineStr">
        <is>
          <t>100332266</t>
        </is>
      </c>
      <c r="F293" s="528" t="n"/>
      <c r="G293" s="529" t="n"/>
      <c r="H293" s="530" t="n"/>
      <c r="I293" s="530" t="n"/>
      <c r="J293" s="53" t="inlineStr">
        <is>
          <t>тыс. т</t>
        </is>
      </c>
    </row>
    <row r="294" ht="18.75" customFormat="1" customHeight="1" s="805">
      <c r="A294" t="inlineStr">
        <is>
          <t>- из сырья ПАО "Газпром нефть"</t>
        </is>
      </c>
      <c r="B294" s="49" t="n"/>
      <c r="C294" s="828" t="n"/>
      <c r="D294" s="810" t="inlineStr">
        <is>
          <t xml:space="preserve"> - из сырья ПАО "Газпром нефть"</t>
        </is>
      </c>
      <c r="E294" s="528" t="inlineStr">
        <is>
          <t>100332267</t>
        </is>
      </c>
      <c r="F294" s="528" t="n"/>
      <c r="G294" s="529" t="n"/>
      <c r="H294" s="530" t="n"/>
      <c r="I294" s="530" t="n"/>
      <c r="J294" s="53" t="inlineStr">
        <is>
          <t>тыс. т</t>
        </is>
      </c>
    </row>
    <row r="295" ht="18.75" customFormat="1" customHeight="1" s="805">
      <c r="A295">
        <f>- из сырья Прочих поставщиков</f>
        <v/>
      </c>
      <c r="B295" s="49" t="n"/>
      <c r="C295" s="828" t="n"/>
      <c r="D295" s="807" t="inlineStr">
        <is>
          <t>-  из сырья Прочих поставщиков</t>
        </is>
      </c>
      <c r="E295" s="528" t="inlineStr">
        <is>
          <t>100335669</t>
        </is>
      </c>
      <c r="F295" s="528" t="n"/>
      <c r="G295" s="529" t="n"/>
      <c r="H295" s="530" t="n"/>
      <c r="I295" s="530" t="n"/>
      <c r="J295" s="53" t="inlineStr">
        <is>
          <t>тыс. т</t>
        </is>
      </c>
    </row>
    <row r="296" ht="24" customFormat="1" customHeight="1" s="805">
      <c r="A296" t="inlineStr">
        <is>
          <t>ООО "Газпром переработка", всего:</t>
        </is>
      </c>
      <c r="B296" s="49" t="n"/>
      <c r="C296" s="828" t="n"/>
      <c r="D296" s="810" t="inlineStr">
        <is>
          <t>ООО "Газпром переработка", всего:</t>
        </is>
      </c>
      <c r="E296" s="528" t="inlineStr">
        <is>
          <t>100332268</t>
        </is>
      </c>
      <c r="F296" s="528" t="n"/>
      <c r="G296" s="529" t="n"/>
      <c r="H296" s="530" t="inlineStr">
        <is>
          <t>100332269+100332271+100332959</t>
        </is>
      </c>
      <c r="I296" s="530" t="n"/>
      <c r="J296" s="53" t="inlineStr">
        <is>
          <t>тыс. т</t>
        </is>
      </c>
    </row>
    <row r="297" ht="18.75" customFormat="1" customHeight="1" s="805">
      <c r="A297" t="inlineStr">
        <is>
          <t>- из газа ООО "Газпром добыча Оренбург"</t>
        </is>
      </c>
      <c r="B297" s="49" t="n"/>
      <c r="C297" s="828" t="n"/>
      <c r="D297" s="810" t="inlineStr">
        <is>
          <t xml:space="preserve"> - из газа ООО "Газпром добыча Оренбург"</t>
        </is>
      </c>
      <c r="E297" s="528" t="inlineStr">
        <is>
          <t>100332269</t>
        </is>
      </c>
      <c r="F297" s="528" t="n"/>
      <c r="G297" s="529" t="n"/>
      <c r="H297" s="530" t="n"/>
      <c r="I297" s="530" t="n"/>
      <c r="J297" s="53" t="inlineStr">
        <is>
          <t>тыс. т</t>
        </is>
      </c>
    </row>
    <row r="298" ht="31.5" customFormat="1" customHeight="1" s="805">
      <c r="A298" t="inlineStr">
        <is>
          <t>в том числе на собственные нужды ООО "Газпром переработка"</t>
        </is>
      </c>
      <c r="B298" s="49" t="n"/>
      <c r="C298" s="828" t="n"/>
      <c r="D298" s="61" t="inlineStr">
        <is>
          <t>в том числе на собственные нужды ООО "Газпром переработка"</t>
        </is>
      </c>
      <c r="E298" s="528" t="inlineStr">
        <is>
          <t>100332958</t>
        </is>
      </c>
      <c r="F298" s="528" t="n"/>
      <c r="G298" s="529" t="n"/>
      <c r="H298" s="530" t="n"/>
      <c r="I298" s="530" t="n"/>
      <c r="J298" s="53" t="inlineStr">
        <is>
          <t>тыс. т</t>
        </is>
      </c>
    </row>
    <row r="299" ht="31.5" customFormat="1" customHeight="1" s="805">
      <c r="A299" t="inlineStr">
        <is>
          <t>в том числе на собственные нужды ООО "Газпром добыча Оренбург"</t>
        </is>
      </c>
      <c r="B299" s="49" t="n"/>
      <c r="C299" s="828" t="n"/>
      <c r="D299" s="61" t="inlineStr">
        <is>
          <t>в том числе на собственные нужды ООО "Газпром добыча Оренбург"</t>
        </is>
      </c>
      <c r="E299" s="528" t="inlineStr">
        <is>
          <t>100332270</t>
        </is>
      </c>
      <c r="F299" s="528" t="n"/>
      <c r="G299" s="529" t="n"/>
      <c r="H299" s="530" t="n"/>
      <c r="I299" s="530" t="n"/>
      <c r="J299" s="53" t="inlineStr">
        <is>
          <t>тыс. т</t>
        </is>
      </c>
    </row>
    <row r="300" ht="18.75" customFormat="1" customHeight="1" s="805">
      <c r="A300" t="inlineStr">
        <is>
          <t>- из газа ПАО "Газпром нефть"</t>
        </is>
      </c>
      <c r="B300" s="49" t="n"/>
      <c r="C300" s="828" t="n"/>
      <c r="D300" s="810" t="inlineStr">
        <is>
          <t xml:space="preserve"> - из газа ПАО "Газпром нефть"</t>
        </is>
      </c>
      <c r="E300" s="528" t="inlineStr">
        <is>
          <t>100332271</t>
        </is>
      </c>
      <c r="F300" s="528" t="n"/>
      <c r="G300" s="529" t="n"/>
      <c r="H300" s="530" t="n"/>
      <c r="I300" s="530" t="n"/>
      <c r="J300" s="53" t="inlineStr">
        <is>
          <t>тыс. т</t>
        </is>
      </c>
    </row>
    <row r="301" ht="18.75" customFormat="1" customHeight="1" s="805">
      <c r="A301">
        <f>- из сырья Прочих поставщиков</f>
        <v/>
      </c>
      <c r="B301" s="49" t="n"/>
      <c r="C301" s="828" t="n"/>
      <c r="D301" s="810" t="inlineStr">
        <is>
          <t xml:space="preserve"> - из сырья Прочих поставщиков</t>
        </is>
      </c>
      <c r="E301" s="528" t="inlineStr">
        <is>
          <t>100332959</t>
        </is>
      </c>
      <c r="F301" s="528" t="n"/>
      <c r="G301" s="529" t="n"/>
      <c r="H301" s="530" t="n"/>
      <c r="I301" s="530" t="n"/>
      <c r="J301" s="53" t="inlineStr">
        <is>
          <t>тыс. т</t>
        </is>
      </c>
    </row>
    <row r="302" ht="31.5" customFormat="1" customHeight="1" s="805">
      <c r="A302" t="inlineStr">
        <is>
          <t xml:space="preserve">   - в т.ч. из жидких углеводородов Прочих поставщиков</t>
        </is>
      </c>
      <c r="B302" s="49" t="n"/>
      <c r="C302" s="828" t="n"/>
      <c r="D302" s="61" t="inlineStr">
        <is>
          <t xml:space="preserve"> - в т.ч. из жидких углеводородов Прочих поставщиков</t>
        </is>
      </c>
      <c r="E302" s="528" t="inlineStr">
        <is>
          <t>100332960</t>
        </is>
      </c>
      <c r="F302" s="528" t="n"/>
      <c r="G302" s="529" t="n"/>
      <c r="H302" s="530" t="n"/>
      <c r="I302" s="530" t="n"/>
      <c r="J302" s="53" t="inlineStr">
        <is>
          <t>тыс. т</t>
        </is>
      </c>
    </row>
    <row r="303" ht="18.75" customFormat="1" customHeight="1" s="805">
      <c r="A303" t="inlineStr">
        <is>
          <t>ООО "Сервиснефтегаз" из нефти</t>
        </is>
      </c>
      <c r="B303" s="49" t="n"/>
      <c r="C303" s="828" t="n"/>
      <c r="D303" s="810" t="inlineStr">
        <is>
          <t>ООО "Сервиснефтегаз" из нефти</t>
        </is>
      </c>
      <c r="E303" s="528" t="inlineStr">
        <is>
          <t>100332273</t>
        </is>
      </c>
      <c r="F303" s="528" t="n"/>
      <c r="G303" s="529" t="n"/>
      <c r="H303" s="530" t="n"/>
      <c r="I303" s="530" t="n"/>
      <c r="J303" s="53" t="inlineStr">
        <is>
          <t>тыс. т</t>
        </is>
      </c>
    </row>
    <row r="304" ht="18.75" customFormat="1" customHeight="1" s="805">
      <c r="A304" t="inlineStr">
        <is>
          <t>ТОО "КазРосГаз"</t>
        </is>
      </c>
      <c r="B304" s="49" t="n"/>
      <c r="C304" s="539" t="n"/>
      <c r="D304" s="540" t="inlineStr">
        <is>
          <t>ТОО "КазРосГаз"</t>
        </is>
      </c>
      <c r="E304" s="528" t="inlineStr">
        <is>
          <t>100332274</t>
        </is>
      </c>
      <c r="F304" s="528" t="n"/>
      <c r="G304" s="529" t="n"/>
      <c r="H304" s="530" t="n"/>
      <c r="I304" s="530" t="n"/>
      <c r="J304" s="553" t="inlineStr">
        <is>
          <t>тыс. т</t>
        </is>
      </c>
    </row>
    <row r="305" ht="32.25" customFormat="1" customHeight="1" s="805">
      <c r="A305" t="inlineStr">
        <is>
          <t>Продукция, принятая в производство со склада (в примечании должнв быть ссылка на акт )</t>
        </is>
      </c>
      <c r="B305" s="49" t="n"/>
      <c r="C305" s="541" t="n"/>
      <c r="D305" s="542" t="inlineStr">
        <is>
          <t>Продукция, принятая в производство со склада (в примечании должнв быть ссылка на акт )</t>
        </is>
      </c>
      <c r="E305" s="528" t="inlineStr">
        <is>
          <t>100332942</t>
        </is>
      </c>
      <c r="F305" s="528" t="n"/>
      <c r="G305" s="529" t="n"/>
      <c r="H305" s="530" t="inlineStr">
        <is>
          <t>100332962+100332963</t>
        </is>
      </c>
      <c r="I305" s="530" t="n"/>
      <c r="J305" s="554" t="inlineStr">
        <is>
          <t>тыс. т</t>
        </is>
      </c>
    </row>
    <row r="306" ht="18.75" customFormat="1" customHeight="1" s="805">
      <c r="A306" t="inlineStr">
        <is>
          <t>ПАО "Газпром"</t>
        </is>
      </c>
      <c r="B306" s="49" t="n"/>
      <c r="C306" s="543" t="n"/>
      <c r="D306" s="826" t="inlineStr">
        <is>
          <t>ПАО "Газпром"</t>
        </is>
      </c>
      <c r="E306" s="528" t="inlineStr">
        <is>
          <t>100332962</t>
        </is>
      </c>
      <c r="F306" s="528" t="n"/>
      <c r="G306" s="529" t="n"/>
      <c r="H306" s="530" t="n"/>
      <c r="I306" s="530" t="n"/>
      <c r="J306" s="526" t="inlineStr">
        <is>
          <t>тыс. т</t>
        </is>
      </c>
    </row>
    <row r="307" ht="18.75" customFormat="1" customHeight="1" s="805">
      <c r="A307" t="inlineStr">
        <is>
          <t>ООО "Газпром переработка"</t>
        </is>
      </c>
      <c r="B307" s="49" t="n"/>
      <c r="C307" s="543" t="n"/>
      <c r="D307" s="826" t="inlineStr">
        <is>
          <t>ООО "Газпром переработка"</t>
        </is>
      </c>
      <c r="E307" s="528" t="inlineStr">
        <is>
          <t>100332963</t>
        </is>
      </c>
      <c r="F307" s="528" t="n"/>
      <c r="G307" s="529" t="n"/>
      <c r="H307" s="530" t="n"/>
      <c r="I307" s="530" t="n"/>
      <c r="J307" s="526" t="inlineStr">
        <is>
          <t>тыс. т</t>
        </is>
      </c>
    </row>
    <row r="308" ht="18.75" customFormat="1" customHeight="1" s="805">
      <c r="A308" t="inlineStr">
        <is>
          <t>Материальный баланс переработки УВС ("П.1"-"П.2"-"П.3" = 0,0</t>
        </is>
      </c>
      <c r="B308" s="49" t="n"/>
      <c r="C308" s="544" t="inlineStr">
        <is>
          <t>4.</t>
        </is>
      </c>
      <c r="D308" s="811" t="inlineStr">
        <is>
          <t>Материальный баланс переработки УВС ("П.1"-"П.2"-"П.3" = 0,000)</t>
        </is>
      </c>
      <c r="E308" s="528" t="n"/>
      <c r="F308" s="528" t="n"/>
      <c r="G308" s="529" t="n"/>
      <c r="H308" s="530" t="n"/>
      <c r="I308" s="530" t="n"/>
      <c r="J308" s="62" t="inlineStr">
        <is>
          <t>тыс. т.</t>
        </is>
      </c>
    </row>
    <row r="309" ht="24" customFormat="1" customHeight="1" s="805">
      <c r="A309" t="inlineStr">
        <is>
          <t>ПАО "Газпром"</t>
        </is>
      </c>
      <c r="B309" s="49" t="n"/>
      <c r="C309" s="538" t="n"/>
      <c r="D309" s="826" t="inlineStr">
        <is>
          <t>ПАО "Газпром"</t>
        </is>
      </c>
      <c r="E309" s="528" t="inlineStr">
        <is>
          <t>100332278</t>
        </is>
      </c>
      <c r="F309" s="528" t="n"/>
      <c r="G309" s="529" t="n"/>
      <c r="H309" s="530" t="inlineStr">
        <is>
          <t>100332028+100332962-100332072-100332103</t>
        </is>
      </c>
      <c r="I309" s="530" t="n"/>
      <c r="J309" s="526" t="inlineStr">
        <is>
          <t>тыс. т.</t>
        </is>
      </c>
    </row>
    <row r="310" ht="24" customFormat="1" customHeight="1" s="805">
      <c r="A310" t="inlineStr">
        <is>
          <t>ООО "Газпром переработка"</t>
        </is>
      </c>
      <c r="B310" s="49" t="n"/>
      <c r="C310" s="538" t="n"/>
      <c r="D310" s="826" t="inlineStr">
        <is>
          <t>ООО "Газпром переработка"</t>
        </is>
      </c>
      <c r="E310" s="528" t="inlineStr">
        <is>
          <t>100332279</t>
        </is>
      </c>
      <c r="F310" s="528" t="n"/>
      <c r="G310" s="529" t="n"/>
      <c r="H310" s="530" t="inlineStr">
        <is>
          <t>100332029+100332963-100332073-100332104</t>
        </is>
      </c>
      <c r="I310" s="530" t="n"/>
      <c r="J310" s="526" t="inlineStr">
        <is>
          <t>тыс. т.</t>
        </is>
      </c>
    </row>
    <row r="311" ht="24" customFormat="1" customHeight="1" s="805">
      <c r="A311" t="inlineStr">
        <is>
          <t>ООО "Сервиснефтегаз"</t>
        </is>
      </c>
      <c r="B311" s="49" t="n"/>
      <c r="C311" s="538" t="n"/>
      <c r="D311" s="826" t="inlineStr">
        <is>
          <t>ООО "Сервиснефтегаз"</t>
        </is>
      </c>
      <c r="E311" s="528" t="inlineStr">
        <is>
          <t>100332280</t>
        </is>
      </c>
      <c r="F311" s="528" t="n"/>
      <c r="G311" s="529" t="n"/>
      <c r="H311" s="530" t="inlineStr">
        <is>
          <t>100332030-100332074-100332105</t>
        </is>
      </c>
      <c r="I311" s="530" t="n"/>
      <c r="J311" s="526" t="inlineStr">
        <is>
          <t>тыс. т.</t>
        </is>
      </c>
    </row>
    <row r="312" ht="24" customFormat="1" customHeight="1" s="805">
      <c r="A312" t="inlineStr">
        <is>
          <t>ТОО "КазРосГаз"</t>
        </is>
      </c>
      <c r="B312" s="49" t="n"/>
      <c r="C312" s="538" t="n"/>
      <c r="D312" s="826" t="inlineStr">
        <is>
          <t>ТОО "КазРосГаз"</t>
        </is>
      </c>
      <c r="E312" s="528" t="inlineStr">
        <is>
          <t>100332281</t>
        </is>
      </c>
      <c r="F312" s="528" t="n"/>
      <c r="G312" s="529" t="n"/>
      <c r="H312" s="530" t="inlineStr">
        <is>
          <t>100332031-100332075-100332106</t>
        </is>
      </c>
      <c r="I312" s="530" t="n"/>
      <c r="J312" s="526" t="inlineStr">
        <is>
          <t>тыс. т.</t>
        </is>
      </c>
    </row>
    <row r="313" ht="37.5" customHeight="1" s="769">
      <c r="A313" s="795" t="n"/>
      <c r="B313" s="63" t="n"/>
      <c r="C313" s="567" t="n">
        <v>5</v>
      </c>
      <c r="D313" s="545" t="inlineStr">
        <is>
          <t>Производство для реализации ПАО "Газпром"</t>
        </is>
      </c>
      <c r="E313" s="528" t="n"/>
      <c r="F313" s="528" t="n"/>
      <c r="G313" s="529" t="n"/>
      <c r="H313" s="530" t="n"/>
      <c r="I313" s="530" t="n"/>
      <c r="J313" s="654" t="inlineStr">
        <is>
          <t>тыс.т</t>
        </is>
      </c>
    </row>
    <row r="314" ht="19.5" customHeight="1" s="769">
      <c r="B314" s="63" t="n"/>
      <c r="C314" s="549" t="n">
        <v>6</v>
      </c>
      <c r="D314" s="546" t="inlineStr">
        <is>
          <t>Проверка с разделом "Добыча"</t>
        </is>
      </c>
      <c r="E314" s="528" t="n"/>
      <c r="F314" s="528" t="n"/>
      <c r="G314" s="529" t="n"/>
      <c r="H314" s="530" t="n"/>
      <c r="I314" s="530" t="n"/>
      <c r="J314" s="669" t="n"/>
    </row>
    <row r="315" ht="19.5" customHeight="1" s="769">
      <c r="B315" s="63" t="n"/>
      <c r="C315" s="567" t="n"/>
      <c r="D315" s="547" t="inlineStr">
        <is>
          <t>Поставка газа:</t>
        </is>
      </c>
      <c r="E315" s="528" t="n"/>
      <c r="F315" s="528" t="n"/>
      <c r="G315" s="529" t="n"/>
      <c r="H315" s="530" t="n"/>
      <c r="I315" s="530" t="n"/>
      <c r="J315" s="669" t="n"/>
    </row>
    <row r="316" ht="37.5" customHeight="1" s="769">
      <c r="B316" s="63" t="n"/>
      <c r="C316" s="567" t="n"/>
      <c r="D316" s="548" t="inlineStr">
        <is>
          <t>ООО "Газпром добыча Оренбург" (без ДРОД)</t>
        </is>
      </c>
      <c r="E316" s="528" t="n"/>
      <c r="F316" s="528" t="n"/>
      <c r="G316" s="529" t="n"/>
      <c r="H316" s="530" t="n"/>
      <c r="I316" s="530" t="n"/>
      <c r="J316" s="555" t="inlineStr">
        <is>
          <t>млн куб.м</t>
        </is>
      </c>
    </row>
    <row r="317" ht="18.75" customFormat="1" customHeight="1" s="42">
      <c r="A317" s="64" t="n"/>
      <c r="B317" s="64" t="n"/>
      <c r="C317" s="567" t="n"/>
      <c r="D317" s="548" t="inlineStr">
        <is>
          <t>Филипповская залежь и др. (ДРОД)</t>
        </is>
      </c>
      <c r="E317" s="528" t="n"/>
      <c r="F317" s="528" t="n"/>
      <c r="G317" s="529" t="n"/>
      <c r="H317" s="530" t="n"/>
      <c r="I317" s="530" t="n"/>
      <c r="J317" s="555" t="inlineStr">
        <is>
          <t>млн куб.м</t>
        </is>
      </c>
    </row>
    <row r="318" ht="18.75" customHeight="1" s="769">
      <c r="C318" s="567" t="n"/>
      <c r="D318" s="548" t="inlineStr">
        <is>
          <t>ПАО "Газпром нефть"</t>
        </is>
      </c>
      <c r="E318" s="528" t="n"/>
      <c r="F318" s="528" t="n"/>
      <c r="G318" s="529" t="n"/>
      <c r="H318" s="530" t="n"/>
      <c r="I318" s="530" t="n"/>
      <c r="J318" s="555" t="inlineStr">
        <is>
          <t>млн куб.м</t>
        </is>
      </c>
    </row>
    <row r="319" ht="18.75" customHeight="1" s="769">
      <c r="C319" s="567" t="n"/>
      <c r="D319" s="548" t="inlineStr">
        <is>
          <t>АО "УНГП"</t>
        </is>
      </c>
      <c r="E319" s="528" t="n"/>
      <c r="F319" s="528" t="n"/>
      <c r="G319" s="529" t="n"/>
      <c r="H319" s="530" t="n"/>
      <c r="I319" s="530" t="n"/>
      <c r="J319" s="555" t="inlineStr">
        <is>
          <t>млн куб.м</t>
        </is>
      </c>
    </row>
    <row r="320" ht="18.75" customHeight="1" s="769">
      <c r="B320" s="47" t="n"/>
      <c r="C320" s="567" t="n"/>
      <c r="D320" s="548" t="inlineStr">
        <is>
          <t>ООО "Сервиснефтегаз"</t>
        </is>
      </c>
      <c r="E320" s="528" t="n"/>
      <c r="F320" s="528" t="n"/>
      <c r="G320" s="529" t="n"/>
      <c r="H320" s="530" t="n"/>
      <c r="I320" s="530" t="n"/>
      <c r="J320" s="555" t="inlineStr">
        <is>
          <t>млн куб.м</t>
        </is>
      </c>
    </row>
    <row r="321" ht="39" customHeight="1" s="769">
      <c r="C321" s="567" t="n"/>
      <c r="D321" s="547" t="inlineStr">
        <is>
          <t>Поставка нестабильного газового конденсата:</t>
        </is>
      </c>
      <c r="E321" s="528" t="n"/>
      <c r="F321" s="528" t="n"/>
      <c r="G321" s="529" t="n"/>
      <c r="H321" s="530" t="n"/>
      <c r="I321" s="530" t="n"/>
      <c r="J321" s="669" t="n"/>
    </row>
    <row r="322" ht="37.5" customHeight="1" s="769">
      <c r="C322" s="567" t="n"/>
      <c r="D322" s="548" t="inlineStr">
        <is>
          <t>ООО "Газпром добыча Оренбург" (без ДРОД)</t>
        </is>
      </c>
      <c r="E322" s="528" t="n"/>
      <c r="F322" s="528" t="n"/>
      <c r="G322" s="529" t="n"/>
      <c r="H322" s="530" t="n"/>
      <c r="I322" s="530" t="n"/>
      <c r="J322" s="555" t="inlineStr">
        <is>
          <t>тыс.т.</t>
        </is>
      </c>
    </row>
    <row r="323" ht="18.75" customHeight="1" s="769">
      <c r="C323" s="567" t="n"/>
      <c r="D323" s="548" t="inlineStr">
        <is>
          <t>Филипповская залежь и др. (ДРОД)</t>
        </is>
      </c>
      <c r="E323" s="528" t="n"/>
      <c r="F323" s="528" t="n"/>
      <c r="G323" s="529" t="n"/>
      <c r="H323" s="530" t="n"/>
      <c r="I323" s="530" t="n"/>
      <c r="J323" s="555" t="inlineStr">
        <is>
          <t>тыс.т.</t>
        </is>
      </c>
    </row>
    <row r="324" ht="18.75" customHeight="1" s="769">
      <c r="C324" s="567" t="n"/>
      <c r="D324" s="548" t="inlineStr">
        <is>
          <t>АО "УНГП"</t>
        </is>
      </c>
      <c r="E324" s="528" t="n"/>
      <c r="F324" s="528" t="n"/>
      <c r="G324" s="529" t="n"/>
      <c r="H324" s="530" t="n"/>
      <c r="I324" s="530" t="n"/>
      <c r="J324" s="555" t="inlineStr">
        <is>
          <t>тыс.т.</t>
        </is>
      </c>
    </row>
    <row r="325" ht="19.5" customHeight="1" s="769">
      <c r="C325" s="567" t="n"/>
      <c r="D325" s="547" t="inlineStr">
        <is>
          <t>Поставка нефти:</t>
        </is>
      </c>
      <c r="E325" s="528" t="n"/>
      <c r="F325" s="528" t="n"/>
      <c r="G325" s="529" t="n"/>
      <c r="H325" s="530" t="n"/>
      <c r="I325" s="530" t="n"/>
      <c r="J325" s="669" t="n"/>
    </row>
    <row r="326" ht="37.5" customHeight="1" s="769">
      <c r="C326" s="567" t="n"/>
      <c r="D326" s="548" t="inlineStr">
        <is>
          <t>ООО "Газпром добыча Оренбург" (без ДРОД)</t>
        </is>
      </c>
      <c r="E326" s="528" t="n"/>
      <c r="F326" s="528" t="n"/>
      <c r="G326" s="529" t="n"/>
      <c r="H326" s="530" t="n"/>
      <c r="I326" s="530" t="n"/>
      <c r="J326" s="555" t="inlineStr">
        <is>
          <t>тыс.т.</t>
        </is>
      </c>
    </row>
    <row r="327" ht="37.5" customHeight="1" s="769">
      <c r="C327" s="567" t="n"/>
      <c r="D327" s="548" t="inlineStr">
        <is>
          <t>Филипповская залежь и др. (ДРОД) для ПАО</t>
        </is>
      </c>
      <c r="E327" s="528" t="n"/>
      <c r="F327" s="528" t="n"/>
      <c r="G327" s="529" t="n"/>
      <c r="H327" s="530" t="n"/>
      <c r="I327" s="530" t="n"/>
      <c r="J327" s="555" t="inlineStr">
        <is>
          <t>тыс.т.</t>
        </is>
      </c>
    </row>
    <row r="328" ht="18.75" customHeight="1" s="769">
      <c r="C328" s="567" t="n"/>
      <c r="D328" s="548" t="inlineStr">
        <is>
          <t>ПАО "Газпром нефть"</t>
        </is>
      </c>
      <c r="E328" s="528" t="n"/>
      <c r="F328" s="528" t="n"/>
      <c r="G328" s="529" t="n"/>
      <c r="H328" s="530" t="n"/>
      <c r="I328" s="530" t="n"/>
      <c r="J328" s="555" t="inlineStr">
        <is>
          <t>тыс.т.</t>
        </is>
      </c>
    </row>
    <row r="329" ht="18.75" customHeight="1" s="769">
      <c r="C329" s="567" t="n"/>
      <c r="D329" s="548" t="inlineStr">
        <is>
          <t>АО "УНГП"</t>
        </is>
      </c>
      <c r="E329" s="528" t="n"/>
      <c r="F329" s="528" t="n"/>
      <c r="G329" s="529" t="n"/>
      <c r="H329" s="530" t="n"/>
      <c r="I329" s="530" t="n"/>
      <c r="J329" s="555" t="inlineStr">
        <is>
          <t>тыс.т.</t>
        </is>
      </c>
    </row>
    <row r="330" ht="37.5" customHeight="1" s="769">
      <c r="C330" s="567" t="n"/>
      <c r="D330" s="548" t="inlineStr">
        <is>
          <t>ООО "Газпромнефть-Заполярье" (ДРОД) для ГПП</t>
        </is>
      </c>
      <c r="E330" s="528" t="n"/>
      <c r="F330" s="528" t="n"/>
      <c r="G330" s="529" t="n"/>
      <c r="H330" s="530" t="n"/>
      <c r="I330" s="530" t="n"/>
      <c r="J330" s="555" t="inlineStr">
        <is>
          <t>тыс.т.</t>
        </is>
      </c>
    </row>
    <row r="331" ht="18.75" customHeight="1" s="769">
      <c r="C331" s="567" t="n"/>
      <c r="D331" s="548" t="inlineStr">
        <is>
          <t>ООО "Сервиснефтегаз"</t>
        </is>
      </c>
      <c r="E331" s="528" t="n"/>
      <c r="F331" s="528" t="n"/>
      <c r="G331" s="529" t="n"/>
      <c r="H331" s="530" t="n"/>
      <c r="I331" s="530" t="n"/>
      <c r="J331" s="555" t="inlineStr">
        <is>
          <t>тыс.т.</t>
        </is>
      </c>
    </row>
    <row r="332" ht="37.5" customHeight="1" s="769">
      <c r="C332" s="549" t="n">
        <v>7</v>
      </c>
      <c r="D332" s="546" t="inlineStr">
        <is>
          <t>Проверка с ООО "Газпром добыча Оренбург" "Переработка"</t>
        </is>
      </c>
      <c r="E332" s="528" t="n"/>
      <c r="F332" s="528" t="n"/>
      <c r="G332" s="529" t="n"/>
      <c r="H332" s="530" t="n"/>
      <c r="I332" s="530" t="n"/>
      <c r="J332" s="669" t="n"/>
    </row>
    <row r="333" ht="19.5" customHeight="1" s="769">
      <c r="C333" s="567" t="n"/>
      <c r="D333" s="547" t="inlineStr">
        <is>
          <t>Поставка газа:</t>
        </is>
      </c>
      <c r="E333" s="528" t="n"/>
      <c r="F333" s="528" t="n"/>
      <c r="G333" s="529" t="n"/>
      <c r="H333" s="530" t="n"/>
      <c r="I333" s="530" t="n"/>
      <c r="J333" s="669" t="n"/>
    </row>
    <row r="334" ht="37.5" customHeight="1" s="769">
      <c r="C334" s="567" t="n"/>
      <c r="D334" s="548" t="inlineStr">
        <is>
          <t>ООО "Газпром добыча Оренбург" (без ДРОД)</t>
        </is>
      </c>
      <c r="E334" s="528" t="n"/>
      <c r="F334" s="528" t="inlineStr">
        <is>
          <t>V</t>
        </is>
      </c>
      <c r="G334" s="529" t="n"/>
      <c r="H334" s="530" t="inlineStr">
        <is>
          <t>(100332038-100334999)-(6_100332297-6_100335049)</t>
        </is>
      </c>
      <c r="I334" s="530" t="n"/>
      <c r="J334" s="555" t="inlineStr">
        <is>
          <t>млн куб.м</t>
        </is>
      </c>
    </row>
    <row r="335" ht="18.75" customHeight="1" s="769">
      <c r="C335" s="567" t="n"/>
      <c r="D335" s="548" t="inlineStr">
        <is>
          <t>Филипповская залежь и др. (ДРОД)</t>
        </is>
      </c>
      <c r="E335" s="528" t="n"/>
      <c r="F335" s="528" t="inlineStr">
        <is>
          <t>V</t>
        </is>
      </c>
      <c r="G335" s="529" t="n"/>
      <c r="H335" s="530" t="inlineStr">
        <is>
          <t>100334999-6_100335049</t>
        </is>
      </c>
      <c r="I335" s="530" t="n"/>
      <c r="J335" s="555" t="inlineStr">
        <is>
          <t>млн куб.м</t>
        </is>
      </c>
    </row>
    <row r="336" ht="18.75" customHeight="1" s="769">
      <c r="C336" s="567" t="n"/>
      <c r="D336" s="548" t="inlineStr">
        <is>
          <t>ПАО "Газпром нефть"</t>
        </is>
      </c>
      <c r="E336" s="528" t="n"/>
      <c r="F336" s="528" t="inlineStr">
        <is>
          <t>V</t>
        </is>
      </c>
      <c r="G336" s="529" t="n"/>
      <c r="H336" s="530" t="inlineStr">
        <is>
          <t>100332040-6_100332298</t>
        </is>
      </c>
      <c r="I336" s="530" t="n"/>
      <c r="J336" s="555" t="inlineStr">
        <is>
          <t>млн куб.м</t>
        </is>
      </c>
    </row>
    <row r="337" ht="18.75" customHeight="1" s="769">
      <c r="C337" s="567" t="n"/>
      <c r="D337" s="548" t="inlineStr">
        <is>
          <t>АО "УНГП"</t>
        </is>
      </c>
      <c r="E337" s="528" t="n"/>
      <c r="F337" s="528" t="inlineStr">
        <is>
          <t>V</t>
        </is>
      </c>
      <c r="G337" s="529" t="n"/>
      <c r="H337" s="530" t="inlineStr">
        <is>
          <t>1003320420-6_100332299</t>
        </is>
      </c>
      <c r="I337" s="530" t="n"/>
      <c r="J337" s="555" t="inlineStr">
        <is>
          <t>млн куб.м</t>
        </is>
      </c>
    </row>
    <row r="338" ht="18.75" customHeight="1" s="769">
      <c r="C338" s="567" t="n"/>
      <c r="D338" s="548" t="inlineStr">
        <is>
          <t>ООО "Сервиснефтегаз"</t>
        </is>
      </c>
      <c r="E338" s="528" t="n"/>
      <c r="F338" s="528" t="inlineStr">
        <is>
          <t>V</t>
        </is>
      </c>
      <c r="G338" s="529" t="n"/>
      <c r="H338" s="530" t="inlineStr">
        <is>
          <t>100332044-6_100332300</t>
        </is>
      </c>
      <c r="I338" s="530" t="n"/>
      <c r="J338" s="555" t="inlineStr">
        <is>
          <t>млн куб.м</t>
        </is>
      </c>
    </row>
    <row r="339" ht="18.75" customHeight="1" s="769">
      <c r="C339" s="567" t="n"/>
      <c r="D339" s="548" t="inlineStr">
        <is>
          <t xml:space="preserve">ТОО "КазРосГаз" </t>
        </is>
      </c>
      <c r="E339" s="528" t="n"/>
      <c r="F339" s="528" t="inlineStr">
        <is>
          <t>V</t>
        </is>
      </c>
      <c r="G339" s="529" t="n"/>
      <c r="H339" s="530" t="inlineStr">
        <is>
          <t>100332046-6_100332311</t>
        </is>
      </c>
      <c r="I339" s="530" t="n"/>
      <c r="J339" s="555" t="inlineStr">
        <is>
          <t>млн куб.м</t>
        </is>
      </c>
    </row>
    <row r="340" ht="39" customHeight="1" s="769">
      <c r="C340" s="567" t="n"/>
      <c r="D340" s="547" t="inlineStr">
        <is>
          <t>Поставка нестабильного газового конденсата:</t>
        </is>
      </c>
      <c r="E340" s="528" t="n"/>
      <c r="F340" s="528" t="n"/>
      <c r="G340" s="529" t="n"/>
      <c r="H340" s="530" t="n"/>
      <c r="I340" s="530" t="n"/>
      <c r="J340" s="669" t="n"/>
    </row>
    <row r="341" ht="37.5" customHeight="1" s="769">
      <c r="C341" s="567" t="n"/>
      <c r="D341" s="548" t="inlineStr">
        <is>
          <t>ООО "Газпром добыча Оренбург" (без ДРОД)</t>
        </is>
      </c>
      <c r="E341" s="528" t="n"/>
      <c r="F341" s="528" t="inlineStr">
        <is>
          <t>V</t>
        </is>
      </c>
      <c r="G341" s="529" t="n"/>
      <c r="H341" s="530" t="inlineStr">
        <is>
          <t>(100332061-100335946)-(6_100332302-6_100335974)</t>
        </is>
      </c>
      <c r="I341" s="530" t="n"/>
      <c r="J341" s="555" t="inlineStr">
        <is>
          <t>тыс.т.</t>
        </is>
      </c>
    </row>
    <row r="342" ht="18.75" customHeight="1" s="769">
      <c r="C342" s="567" t="n"/>
      <c r="D342" s="548" t="inlineStr">
        <is>
          <t>Филипповская залежь и др. (ДРОД)</t>
        </is>
      </c>
      <c r="E342" s="528" t="n"/>
      <c r="F342" s="528" t="inlineStr">
        <is>
          <t>V</t>
        </is>
      </c>
      <c r="G342" s="529" t="n"/>
      <c r="H342" s="530" t="inlineStr">
        <is>
          <t>100335946-6_100335974</t>
        </is>
      </c>
      <c r="I342" s="530" t="n"/>
      <c r="J342" s="555" t="inlineStr">
        <is>
          <t>тыс.т.</t>
        </is>
      </c>
    </row>
    <row r="343" ht="18.75" customHeight="1" s="769">
      <c r="C343" s="567" t="n"/>
      <c r="D343" s="548" t="inlineStr">
        <is>
          <t>АО "УНГП"</t>
        </is>
      </c>
      <c r="E343" s="528" t="n"/>
      <c r="F343" s="528" t="inlineStr">
        <is>
          <t>V</t>
        </is>
      </c>
      <c r="G343" s="529" t="n"/>
      <c r="H343" s="530" t="inlineStr">
        <is>
          <t>100332062-6_100332307</t>
        </is>
      </c>
      <c r="I343" s="530" t="n"/>
      <c r="J343" s="555" t="inlineStr">
        <is>
          <t>тыс.т.</t>
        </is>
      </c>
    </row>
    <row r="344" ht="19.5" customHeight="1" s="769">
      <c r="C344" s="567" t="n"/>
      <c r="D344" s="547" t="inlineStr">
        <is>
          <t>Поставка нефти:</t>
        </is>
      </c>
      <c r="E344" s="528" t="n"/>
      <c r="F344" s="528" t="n"/>
      <c r="G344" s="529" t="n"/>
      <c r="H344" s="530" t="n"/>
      <c r="I344" s="530" t="n"/>
      <c r="J344" s="669" t="n"/>
    </row>
    <row r="345" ht="37.5" customHeight="1" s="769">
      <c r="C345" s="567" t="n"/>
      <c r="D345" s="548" t="inlineStr">
        <is>
          <t>ООО "Газпром добыча Оренбург" (без ДРОД)</t>
        </is>
      </c>
      <c r="E345" s="528" t="n"/>
      <c r="F345" s="528" t="inlineStr">
        <is>
          <t>V</t>
        </is>
      </c>
      <c r="G345" s="529" t="n"/>
      <c r="H345" s="530" t="inlineStr">
        <is>
          <t>(100332066-100335947)-(6_100332304-6_100335975)</t>
        </is>
      </c>
      <c r="I345" s="530" t="n"/>
      <c r="J345" s="555" t="inlineStr">
        <is>
          <t>тыс.т.</t>
        </is>
      </c>
    </row>
    <row r="346" ht="37.5" customHeight="1" s="769">
      <c r="C346" s="567" t="n"/>
      <c r="D346" s="548" t="inlineStr">
        <is>
          <t>Филипповская залежь и др. (ДРОД) для ПАО</t>
        </is>
      </c>
      <c r="E346" s="528" t="n"/>
      <c r="F346" s="528" t="inlineStr">
        <is>
          <t>V</t>
        </is>
      </c>
      <c r="G346" s="529" t="n"/>
      <c r="H346" s="530" t="inlineStr">
        <is>
          <t>100335947-6_100335975</t>
        </is>
      </c>
      <c r="I346" s="530" t="n"/>
      <c r="J346" s="555" t="inlineStr">
        <is>
          <t>тыс.т.</t>
        </is>
      </c>
    </row>
    <row r="347" ht="18.75" customHeight="1" s="769">
      <c r="C347" s="567" t="n"/>
      <c r="D347" s="548" t="inlineStr">
        <is>
          <t>ПАО "Газпром нефть"</t>
        </is>
      </c>
      <c r="E347" s="528" t="n"/>
      <c r="F347" s="528" t="inlineStr">
        <is>
          <t>V</t>
        </is>
      </c>
      <c r="G347" s="529" t="n"/>
      <c r="H347" s="530" t="inlineStr">
        <is>
          <t>100332067-6_100332305</t>
        </is>
      </c>
      <c r="I347" s="530" t="n"/>
      <c r="J347" s="555" t="inlineStr">
        <is>
          <t>тыс.т.</t>
        </is>
      </c>
    </row>
    <row r="348" ht="18.75" customHeight="1" s="769">
      <c r="C348" s="567" t="n"/>
      <c r="D348" s="548" t="inlineStr">
        <is>
          <t>АО "УНГП"</t>
        </is>
      </c>
      <c r="E348" s="528" t="n"/>
      <c r="F348" s="528" t="inlineStr">
        <is>
          <t>V</t>
        </is>
      </c>
      <c r="G348" s="529" t="n"/>
      <c r="H348" s="530" t="inlineStr">
        <is>
          <t>100332068-6_100332308</t>
        </is>
      </c>
      <c r="I348" s="530" t="n"/>
      <c r="J348" s="555" t="inlineStr">
        <is>
          <t>тыс.т.</t>
        </is>
      </c>
    </row>
    <row r="349" ht="37.5" customHeight="1" s="769">
      <c r="C349" s="567" t="n"/>
      <c r="D349" s="548" t="inlineStr">
        <is>
          <t>ООО "Газпромнефть-Заполярье" (ДРОД) для ГПП</t>
        </is>
      </c>
      <c r="E349" s="528" t="n"/>
      <c r="F349" s="528" t="inlineStr">
        <is>
          <t>V</t>
        </is>
      </c>
      <c r="G349" s="529" t="n"/>
      <c r="H349" s="530" t="inlineStr">
        <is>
          <t>(100335697+100332947)-6_100332970</t>
        </is>
      </c>
      <c r="I349" s="530" t="n"/>
      <c r="J349" s="555" t="inlineStr">
        <is>
          <t>тыс.т.</t>
        </is>
      </c>
    </row>
    <row r="350" ht="18.75" customHeight="1" s="769">
      <c r="C350" s="567" t="n"/>
      <c r="D350" s="548" t="inlineStr">
        <is>
          <t>ООО "Сервиснефтегаз"</t>
        </is>
      </c>
      <c r="E350" s="528" t="n"/>
      <c r="F350" s="528" t="inlineStr">
        <is>
          <t>V</t>
        </is>
      </c>
      <c r="G350" s="529" t="n"/>
      <c r="H350" s="530" t="inlineStr">
        <is>
          <t>100332069-6_100332310</t>
        </is>
      </c>
      <c r="I350" s="530" t="n"/>
      <c r="J350" s="555" t="inlineStr">
        <is>
          <t>тыс.т.</t>
        </is>
      </c>
    </row>
    <row r="351" ht="18.75" customHeight="1" s="769">
      <c r="C351" s="549" t="n">
        <v>8</v>
      </c>
      <c r="D351" s="546" t="inlineStr">
        <is>
          <t>Справочно:</t>
        </is>
      </c>
      <c r="E351" s="528" t="n"/>
      <c r="F351" s="528" t="n"/>
      <c r="G351" s="529" t="n"/>
      <c r="H351" s="530" t="n"/>
      <c r="I351" s="530" t="n"/>
      <c r="J351" s="654" t="n"/>
    </row>
    <row r="352" ht="18.75" customHeight="1" s="769">
      <c r="C352" s="549" t="n"/>
      <c r="D352" s="548" t="inlineStr">
        <is>
          <t>Газ природный без ДРОД</t>
        </is>
      </c>
      <c r="E352" s="528" t="n"/>
      <c r="F352" s="528" t="inlineStr">
        <is>
          <t>V</t>
        </is>
      </c>
      <c r="G352" s="529" t="n"/>
      <c r="H352" s="530" t="inlineStr">
        <is>
          <t>100332037-100334998</t>
        </is>
      </c>
      <c r="I352" s="530" t="n"/>
      <c r="J352" s="555" t="inlineStr">
        <is>
          <t>тыс.т.</t>
        </is>
      </c>
    </row>
    <row r="353" ht="18.75" customHeight="1" s="769">
      <c r="C353" s="549" t="n"/>
      <c r="D353" s="548" t="n"/>
      <c r="E353" s="528" t="n"/>
      <c r="F353" s="528" t="inlineStr">
        <is>
          <t>V</t>
        </is>
      </c>
      <c r="G353" s="529" t="n"/>
      <c r="H353" s="530" t="inlineStr">
        <is>
          <t>100332038-100334999</t>
        </is>
      </c>
      <c r="I353" s="530" t="n"/>
      <c r="J353" s="555" t="inlineStr">
        <is>
          <t>млн куб.м</t>
        </is>
      </c>
    </row>
    <row r="354" ht="19.5" customHeight="1" s="769">
      <c r="C354" s="550" t="n"/>
      <c r="D354" s="548" t="inlineStr">
        <is>
          <t>Нестабильный газовый конденсат без ДРОД</t>
        </is>
      </c>
      <c r="E354" s="528" t="n"/>
      <c r="F354" s="528" t="inlineStr">
        <is>
          <t>V</t>
        </is>
      </c>
      <c r="G354" s="529" t="n"/>
      <c r="H354" s="530" t="inlineStr">
        <is>
          <t>100332061-100335946</t>
        </is>
      </c>
      <c r="I354" s="530" t="n"/>
      <c r="J354" s="555" t="inlineStr">
        <is>
          <t>тыс.т.</t>
        </is>
      </c>
    </row>
    <row r="355" ht="19.5" customHeight="1" s="769">
      <c r="C355" s="551" t="n"/>
      <c r="D355" s="552" t="inlineStr">
        <is>
          <t>Нефть без ДРОД</t>
        </is>
      </c>
      <c r="E355" s="528" t="n"/>
      <c r="F355" s="528" t="inlineStr">
        <is>
          <t>V</t>
        </is>
      </c>
      <c r="G355" s="529" t="n"/>
      <c r="H355" s="530" t="inlineStr">
        <is>
          <t>100332066-100335947</t>
        </is>
      </c>
      <c r="I355" s="530" t="n"/>
      <c r="J355" s="556" t="inlineStr">
        <is>
          <t>тыс.т.</t>
        </is>
      </c>
    </row>
  </sheetData>
  <mergeCells count="123">
    <mergeCell ref="C30:C31"/>
    <mergeCell ref="D189:D190"/>
    <mergeCell ref="C79:C80"/>
    <mergeCell ref="D99:D100"/>
    <mergeCell ref="D179:D180"/>
    <mergeCell ref="C24:C25"/>
    <mergeCell ref="C16:C17"/>
    <mergeCell ref="D36:D37"/>
    <mergeCell ref="D163:D164"/>
    <mergeCell ref="D45:D46"/>
    <mergeCell ref="D101:D102"/>
    <mergeCell ref="D150:D151"/>
    <mergeCell ref="D32:D33"/>
    <mergeCell ref="C41:C42"/>
    <mergeCell ref="D47:D48"/>
    <mergeCell ref="D134:D135"/>
    <mergeCell ref="D16:D17"/>
    <mergeCell ref="D193:D194"/>
    <mergeCell ref="D18:D19"/>
    <mergeCell ref="D103:D104"/>
    <mergeCell ref="D279:D280"/>
    <mergeCell ref="D177:D178"/>
    <mergeCell ref="D73:D74"/>
    <mergeCell ref="D167:D168"/>
    <mergeCell ref="D38:D39"/>
    <mergeCell ref="D169:D170"/>
    <mergeCell ref="D34:D35"/>
    <mergeCell ref="F7:F8"/>
    <mergeCell ref="C111:C112"/>
    <mergeCell ref="C185:C186"/>
    <mergeCell ref="C191:C192"/>
    <mergeCell ref="D153:D154"/>
    <mergeCell ref="D49:D50"/>
    <mergeCell ref="D140:D141"/>
    <mergeCell ref="D155:D156"/>
    <mergeCell ref="G7:G8"/>
    <mergeCell ref="D195:D196"/>
    <mergeCell ref="D77:D78"/>
    <mergeCell ref="C45:C46"/>
    <mergeCell ref="I7:I8"/>
    <mergeCell ref="D126:D127"/>
    <mergeCell ref="C109:C110"/>
    <mergeCell ref="D75:D76"/>
    <mergeCell ref="C47:C48"/>
    <mergeCell ref="D197:D198"/>
    <mergeCell ref="C201:C202"/>
    <mergeCell ref="D6:D8"/>
    <mergeCell ref="C120:C121"/>
    <mergeCell ref="D118:D119"/>
    <mergeCell ref="C51:C52"/>
    <mergeCell ref="E6:I6"/>
    <mergeCell ref="D142:D143"/>
    <mergeCell ref="J6:J8"/>
    <mergeCell ref="C181:C182"/>
    <mergeCell ref="D191:D192"/>
    <mergeCell ref="D30:D31"/>
    <mergeCell ref="D79:D80"/>
    <mergeCell ref="D144:D145"/>
    <mergeCell ref="D159:D160"/>
    <mergeCell ref="D26:D27"/>
    <mergeCell ref="C126:C127"/>
    <mergeCell ref="C83:C84"/>
    <mergeCell ref="C18:C19"/>
    <mergeCell ref="D81:D82"/>
    <mergeCell ref="C101:C102"/>
    <mergeCell ref="C103:C104"/>
    <mergeCell ref="C73:C74"/>
    <mergeCell ref="D136:D137"/>
    <mergeCell ref="C113:C114"/>
    <mergeCell ref="C20:C21"/>
    <mergeCell ref="C115:C116"/>
    <mergeCell ref="D105:D106"/>
    <mergeCell ref="D115:D116"/>
    <mergeCell ref="D41:D42"/>
    <mergeCell ref="D107:D108"/>
    <mergeCell ref="C36:C37"/>
    <mergeCell ref="D181:D182"/>
    <mergeCell ref="D28:D29"/>
    <mergeCell ref="D130:D131"/>
    <mergeCell ref="D43:D44"/>
    <mergeCell ref="D171:D172"/>
    <mergeCell ref="D83:D84"/>
    <mergeCell ref="D165:D166"/>
    <mergeCell ref="C122:C123"/>
    <mergeCell ref="E7:E8"/>
    <mergeCell ref="D20:D21"/>
    <mergeCell ref="D173:D174"/>
    <mergeCell ref="D124:D125"/>
    <mergeCell ref="D157:D158"/>
    <mergeCell ref="C38:C39"/>
    <mergeCell ref="C77:C78"/>
    <mergeCell ref="D128:D129"/>
    <mergeCell ref="B6:B8"/>
    <mergeCell ref="D199:D200"/>
    <mergeCell ref="C3:J3"/>
    <mergeCell ref="D109:D110"/>
    <mergeCell ref="D183:D184"/>
    <mergeCell ref="D111:D112"/>
    <mergeCell ref="C26:C27"/>
    <mergeCell ref="D120:D121"/>
    <mergeCell ref="D185:D186"/>
    <mergeCell ref="C124:C125"/>
    <mergeCell ref="C118:C119"/>
    <mergeCell ref="C75:C76"/>
    <mergeCell ref="D175:D176"/>
    <mergeCell ref="D122:D123"/>
    <mergeCell ref="C99:C100"/>
    <mergeCell ref="H7:H8"/>
    <mergeCell ref="C6:C8"/>
    <mergeCell ref="D24:D25"/>
    <mergeCell ref="D146:D147"/>
    <mergeCell ref="C150:C151"/>
    <mergeCell ref="D161:D162"/>
    <mergeCell ref="D201:D202"/>
    <mergeCell ref="D148:D149"/>
    <mergeCell ref="D138:D139"/>
    <mergeCell ref="D132:D133"/>
    <mergeCell ref="D51:D52"/>
    <mergeCell ref="D113:D114"/>
    <mergeCell ref="C28:C29"/>
    <mergeCell ref="D187:D188"/>
    <mergeCell ref="D271:D272"/>
    <mergeCell ref="D22:D23"/>
  </mergeCells>
  <conditionalFormatting sqref="B5:B1048576">
    <cfRule type="cellIs" priority="1" operator="equal" dxfId="2">
      <formula>FALSE</formula>
    </cfRule>
  </conditionalFormatting>
  <conditionalFormatting sqref="O10:O355 P10:P355 U10:U355 V10:V355 AA10:AA355 AB10:AB355 AG10:AG355 AH10:AH355 AM10:AM355 AN10:AN355 AS10:AS355 AT10:AT355 AY10:AY355 AZ10:AZ355 BE10:BE355 BF10:BF355 BK10:BK355 BL10:BL355 BQ10:BQ355 BR10:BR355 BW10:BW355 BX10:BX355 CC10:CC355 CD10:CD355 CI10:CI355 CJ10:CJ355 CO10:CO355 CP10:CP355 CU10:CU355 CV10:CV355 DA10:DA355 DB10:DB355 DG10:DG355 DH10:DH355">
    <cfRule type="cellIs" priority="2" operator="lessThan" dxfId="2">
      <formula>0</formula>
    </cfRule>
    <cfRule type="cellIs" priority="2" operator="equal" dxfId="0">
      <formula>0</formula>
    </cfRule>
    <cfRule type="cellIs" priority="3" operator="greaterThan" dxfId="1">
      <formula>0</formula>
    </cfRule>
  </conditionalFormatting>
  <conditionalFormatting sqref="L10:L355 N10:N355 R10:R355 T10:T355 X10:X355 Z10:Z355 AD10:AD355 AF10:AF355 AJ10:AJ355 AL10:AL355 AP10:AP355 AR10:AR355 AV10:AV355 AX10:AX355 BB10:BB355 BD10:BD355 BH10:BH355 BJ10:BJ355 BN10:BN355 BP10:BP355 BT10:BT355 BV10:BV355 BZ10:BZ355 CB10:CB355 CF10:CF355 CH10:CH355 CL10:CL355 CN10:CN355 CR10:CR355 CT10:CT355 CX10:CX355 CZ10:CZ355 DD10:DD355 DF10:DF355">
    <cfRule type="cellIs" priority="4" operator="equal" dxfId="0">
      <formula>0</formula>
    </cfRule>
  </conditionalFormatting>
  <pageMargins left="0.25" right="0.25" top="0.75" bottom="0.75" header="0.3" footer="0.3"/>
  <pageSetup orientation="landscape" paperSize="8" fitToHeight="0"/>
</worksheet>
</file>

<file path=xl/worksheets/sheet6.xml><?xml version="1.0" encoding="utf-8"?>
<worksheet xmlns="http://schemas.openxmlformats.org/spreadsheetml/2006/main">
  <sheetPr codeName="Лист7">
    <tabColor theme="8" tint="0.5999938962981048"/>
    <outlinePr summaryBelow="1" summaryRight="1"/>
    <pageSetUpPr fitToPage="1"/>
  </sheetPr>
  <dimension ref="B3:J133"/>
  <sheetViews>
    <sheetView topLeftCell="C1" zoomScale="60" zoomScaleNormal="60" zoomScaleSheetLayoutView="55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25" defaultRowHeight="18.75" outlineLevelRow="1"/>
  <cols>
    <col width="9.140625" customWidth="1" style="795" min="1" max="1"/>
    <col width="10.140625" customWidth="1" style="795" min="2" max="2"/>
    <col width="16.140625" customWidth="1" style="22" min="3" max="3"/>
    <col width="72" customWidth="1" style="832" min="4" max="4"/>
    <col outlineLevel="1" width="18.42578125" customWidth="1" style="832" min="5" max="9"/>
    <col width="14" bestFit="1" customWidth="1" style="836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5" customHeight="1" s="769"/>
    <row r="2" ht="15" customHeight="1" s="769"/>
    <row r="3" ht="18.75" customHeight="1" s="769">
      <c r="C3" s="944" t="inlineStr">
        <is>
          <t>Прогнозные показатели по переработке сырья, производству продукции, оказанию услуг по переработке углеводородного сырья на объектах ООО "Газпром переработка"</t>
        </is>
      </c>
    </row>
    <row r="4" ht="19.5" customHeight="1" s="769"/>
    <row r="5" ht="19.5" customHeight="1" s="769">
      <c r="C5" s="831" t="inlineStr">
        <is>
          <t>3. Сосногорский ГПЗ ООО "Газпром переработка"</t>
        </is>
      </c>
      <c r="E5" s="831" t="n"/>
      <c r="F5" s="831" t="n"/>
      <c r="G5" s="831" t="n"/>
      <c r="H5" s="831" t="n"/>
      <c r="I5" s="831" t="n"/>
      <c r="J5" s="19" t="n"/>
    </row>
    <row r="6" ht="20.1" customHeight="1" s="769">
      <c r="B6" s="792" t="inlineStr">
        <is>
          <t>Код строки</t>
        </is>
      </c>
      <c r="C6" s="837" t="inlineStr">
        <is>
          <t>№ 
п/п</t>
        </is>
      </c>
      <c r="D6" s="790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 изм.</t>
        </is>
      </c>
    </row>
    <row r="7" ht="39.95" customHeight="1" s="769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C8" s="751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863" t="n"/>
      <c r="D9" s="861" t="n"/>
      <c r="E9" s="869" t="n"/>
      <c r="F9" s="869" t="n"/>
      <c r="G9" s="869" t="n"/>
      <c r="H9" s="869" t="n"/>
      <c r="I9" s="869" t="n"/>
      <c r="J9" s="382" t="n"/>
    </row>
    <row r="10" ht="36" customFormat="1" customHeight="1" s="22">
      <c r="B10" s="65" t="inlineStr">
        <is>
          <t>3.1</t>
        </is>
      </c>
      <c r="C10" s="66" t="inlineStr">
        <is>
          <t>1</t>
        </is>
      </c>
      <c r="D10" s="67" t="inlineStr">
        <is>
          <t>ПЕРЕРАБОТКА УГЛЕВОДОРОДНОГО СЫРЬЯ, ВСЕГО:</t>
        </is>
      </c>
      <c r="E10" s="528" t="inlineStr">
        <is>
          <t>100331977</t>
        </is>
      </c>
      <c r="F10" s="528" t="n"/>
      <c r="G10" s="529" t="n"/>
      <c r="H10" s="530" t="inlineStr">
        <is>
          <t>100332033+100332059+100332064</t>
        </is>
      </c>
      <c r="I10" s="530" t="n"/>
      <c r="J10" s="68" t="inlineStr">
        <is>
          <t>тыс.т.</t>
        </is>
      </c>
    </row>
    <row r="11" ht="20.1" customHeight="1" s="769">
      <c r="B11" s="65" t="inlineStr">
        <is>
          <t>3.2</t>
        </is>
      </c>
      <c r="C11" s="69" t="n"/>
      <c r="D11" s="70" t="inlineStr">
        <is>
          <t>Переработка сырья , собственность ПАО "Газпром"</t>
        </is>
      </c>
      <c r="E11" s="528" t="n">
        <v>100330002</v>
      </c>
      <c r="F11" s="528" t="n"/>
      <c r="G11" s="529" t="n"/>
      <c r="H11" s="530" t="inlineStr">
        <is>
          <t>100330007+100331986+100332283</t>
        </is>
      </c>
      <c r="I11" s="530" t="n"/>
      <c r="J11" s="663" t="inlineStr">
        <is>
          <t>тыс.т.</t>
        </is>
      </c>
    </row>
    <row r="12" ht="38.25" customHeight="1" s="769">
      <c r="B12" s="65" t="inlineStr">
        <is>
          <t>3.3</t>
        </is>
      </c>
      <c r="C12" s="69" t="n"/>
      <c r="D12" s="70" t="inlineStr">
        <is>
          <t>Переработка сырья, собственность ООО "Газпром ГНП холдинг"</t>
        </is>
      </c>
      <c r="E12" s="528" t="n">
        <v>100330550</v>
      </c>
      <c r="F12" s="528" t="n"/>
      <c r="G12" s="529" t="n"/>
      <c r="H12" s="530" t="inlineStr">
        <is>
          <t>100330551</t>
        </is>
      </c>
      <c r="I12" s="530" t="n"/>
      <c r="J12" s="663" t="inlineStr">
        <is>
          <t>тыс.т.</t>
        </is>
      </c>
    </row>
    <row r="13" ht="20.1" customFormat="1" customHeight="1" s="22">
      <c r="B13" s="65" t="inlineStr">
        <is>
          <t>3.4</t>
        </is>
      </c>
      <c r="C13" s="834" t="inlineStr">
        <is>
          <t>1.1</t>
        </is>
      </c>
      <c r="D13" s="789" t="inlineStr">
        <is>
          <t>ПЕРЕРАБОТКА ПРИРОДНОГО ГАЗА, ВСЕГО:</t>
        </is>
      </c>
      <c r="E13" s="528" t="n">
        <v>100332033</v>
      </c>
      <c r="F13" s="528" t="n"/>
      <c r="G13" s="529" t="n"/>
      <c r="H13" s="530" t="inlineStr">
        <is>
          <t>100330007+100330551</t>
        </is>
      </c>
      <c r="I13" s="530" t="n"/>
      <c r="J13" s="145" t="inlineStr">
        <is>
          <t>тыс.т.</t>
        </is>
      </c>
    </row>
    <row r="14" ht="20.1" customFormat="1" customHeight="1" s="22">
      <c r="B14" s="65" t="inlineStr">
        <is>
          <t>3.5</t>
        </is>
      </c>
      <c r="C14" s="766" t="n"/>
      <c r="D14" s="766" t="n"/>
      <c r="E14" s="528" t="n">
        <v>100332034</v>
      </c>
      <c r="F14" s="528" t="n"/>
      <c r="G14" s="529" t="n"/>
      <c r="H14" s="530" t="inlineStr">
        <is>
          <t>100330008+100330552</t>
        </is>
      </c>
      <c r="I14" s="530" t="n"/>
      <c r="J14" s="945" t="inlineStr">
        <is>
          <t>млн куб.м</t>
        </is>
      </c>
    </row>
    <row r="15" ht="19.5" customFormat="1" customHeight="1" s="839">
      <c r="B15" s="65" t="inlineStr">
        <is>
          <t>3.6</t>
        </is>
      </c>
      <c r="C15" s="800" t="inlineStr">
        <is>
          <t>1.1.1</t>
        </is>
      </c>
      <c r="D15" s="787" t="inlineStr">
        <is>
          <t>Природный газ, собственность ПАО "Газпром"</t>
        </is>
      </c>
      <c r="E15" s="528" t="n">
        <v>100330007</v>
      </c>
      <c r="F15" s="528" t="n"/>
      <c r="G15" s="529" t="n"/>
      <c r="H15" s="530" t="n"/>
      <c r="I15" s="530" t="n"/>
      <c r="J15" s="71" t="inlineStr">
        <is>
          <t>тыс.т.</t>
        </is>
      </c>
    </row>
    <row r="16" ht="19.5" customFormat="1" customHeight="1" s="839">
      <c r="B16" s="65" t="inlineStr">
        <is>
          <t>3.7</t>
        </is>
      </c>
      <c r="C16" s="766" t="n"/>
      <c r="D16" s="766" t="n"/>
      <c r="E16" s="528" t="n">
        <v>100330008</v>
      </c>
      <c r="F16" s="528" t="n"/>
      <c r="G16" s="529" t="n"/>
      <c r="H16" s="530" t="n"/>
      <c r="I16" s="530" t="n"/>
      <c r="J16" s="942" t="inlineStr">
        <is>
          <t>млн куб.м</t>
        </is>
      </c>
    </row>
    <row r="17" ht="20.1" customFormat="1" customHeight="1" s="839">
      <c r="B17" s="65" t="inlineStr">
        <is>
          <t>3.8</t>
        </is>
      </c>
      <c r="C17" s="800" t="inlineStr">
        <is>
          <t>1.1.2</t>
        </is>
      </c>
      <c r="D17" s="787" t="inlineStr">
        <is>
          <t>Попутный нефтяной газ, собственность ООО "Газпром ГНП холдинг"</t>
        </is>
      </c>
      <c r="E17" s="528" t="n">
        <v>100330551</v>
      </c>
      <c r="F17" s="528" t="n"/>
      <c r="G17" s="529" t="n"/>
      <c r="H17" s="530" t="n"/>
      <c r="I17" s="530" t="n"/>
      <c r="J17" s="71" t="inlineStr">
        <is>
          <t>тыс.т.</t>
        </is>
      </c>
    </row>
    <row r="18" ht="20.1" customFormat="1" customHeight="1" s="839">
      <c r="B18" s="65" t="inlineStr">
        <is>
          <t>3.9</t>
        </is>
      </c>
      <c r="C18" s="766" t="n"/>
      <c r="D18" s="766" t="n"/>
      <c r="E18" s="528" t="n">
        <v>100330552</v>
      </c>
      <c r="F18" s="528" t="n"/>
      <c r="G18" s="529" t="n"/>
      <c r="H18" s="530" t="n"/>
      <c r="I18" s="530" t="n"/>
      <c r="J18" s="942" t="inlineStr">
        <is>
          <t>млн куб.м</t>
        </is>
      </c>
    </row>
    <row r="19" ht="20.1" customFormat="1" customHeight="1" s="839">
      <c r="B19" s="65" t="inlineStr">
        <is>
          <t>3.10</t>
        </is>
      </c>
      <c r="C19" s="800" t="n"/>
      <c r="D19" s="833" t="inlineStr">
        <is>
          <t>Справочно:</t>
        </is>
      </c>
      <c r="E19" s="528" t="n"/>
      <c r="F19" s="528" t="n"/>
      <c r="G19" s="529" t="n"/>
      <c r="H19" s="530" t="n"/>
      <c r="I19" s="530" t="n"/>
      <c r="J19" s="942" t="n"/>
    </row>
    <row r="20" ht="20.1" customFormat="1" customHeight="1" s="839">
      <c r="B20" s="65" t="inlineStr">
        <is>
          <t>3.11</t>
        </is>
      </c>
      <c r="C20" s="800" t="n"/>
      <c r="D20" s="833" t="inlineStr">
        <is>
          <t>Газ стабилизации конденсата от УСК, собственность ПАО "Газпром"</t>
        </is>
      </c>
      <c r="E20" s="528" t="n">
        <v>100330571</v>
      </c>
      <c r="F20" s="528" t="n"/>
      <c r="G20" s="529" t="n"/>
      <c r="H20" s="530" t="n"/>
      <c r="I20" s="530" t="n"/>
      <c r="J20" s="71" t="inlineStr">
        <is>
          <t>тыс.т.</t>
        </is>
      </c>
    </row>
    <row r="21" ht="20.1" customFormat="1" customHeight="1" s="839">
      <c r="B21" s="65" t="inlineStr">
        <is>
          <t>3.12</t>
        </is>
      </c>
      <c r="C21" s="800" t="n"/>
      <c r="D21" s="766" t="n"/>
      <c r="E21" s="528" t="n">
        <v>100330572</v>
      </c>
      <c r="F21" s="528" t="n"/>
      <c r="G21" s="529" t="n"/>
      <c r="H21" s="530" t="n"/>
      <c r="I21" s="530" t="n"/>
      <c r="J21" s="942" t="inlineStr">
        <is>
          <t>млн куб.м</t>
        </is>
      </c>
    </row>
    <row r="22" ht="43.5" customFormat="1" customHeight="1" s="28">
      <c r="B22" s="65" t="inlineStr">
        <is>
          <t>3.13</t>
        </is>
      </c>
      <c r="C22" s="834" t="inlineStr">
        <is>
          <t>1.2</t>
        </is>
      </c>
      <c r="D22" s="72" t="inlineStr">
        <is>
          <t>ПЕРЕРАБОТКА НЕФТЕГАЗОКОНДЕНСАТНОЙ СМЕСИ, ВСЕГО:</t>
        </is>
      </c>
      <c r="E22" s="528" t="n">
        <v>100332283</v>
      </c>
      <c r="F22" s="528" t="n"/>
      <c r="G22" s="529" t="n"/>
      <c r="H22" s="530" t="inlineStr">
        <is>
          <t>100330017+100330196</t>
        </is>
      </c>
      <c r="I22" s="530" t="n"/>
      <c r="J22" s="73" t="inlineStr">
        <is>
          <t>тыс.т.</t>
        </is>
      </c>
    </row>
    <row r="23" ht="38.25" customFormat="1" customHeight="1" s="839">
      <c r="B23" s="65" t="inlineStr">
        <is>
          <t>3.14</t>
        </is>
      </c>
      <c r="C23" s="800" t="inlineStr">
        <is>
          <t>1.2.1</t>
        </is>
      </c>
      <c r="D23" s="787" t="inlineStr">
        <is>
          <t>Конденсат газовый нестабильный, собственность ПАО "Газпром"</t>
        </is>
      </c>
      <c r="E23" s="528" t="n">
        <v>100330017</v>
      </c>
      <c r="F23" s="528" t="n"/>
      <c r="G23" s="529" t="n"/>
      <c r="H23" s="530" t="n"/>
      <c r="I23" s="530" t="n"/>
      <c r="J23" s="663" t="inlineStr">
        <is>
          <t>тыс.т.</t>
        </is>
      </c>
    </row>
    <row r="24" ht="20.1" customFormat="1" customHeight="1" s="839">
      <c r="B24" s="65" t="inlineStr">
        <is>
          <t>3.15</t>
        </is>
      </c>
      <c r="C24" s="800" t="inlineStr">
        <is>
          <t>1.2.2</t>
        </is>
      </c>
      <c r="D24" s="70" t="inlineStr">
        <is>
          <t>Нефть, собственность ПАО "Газпром"</t>
        </is>
      </c>
      <c r="E24" s="528" t="n">
        <v>100330196</v>
      </c>
      <c r="F24" s="528" t="n"/>
      <c r="G24" s="529" t="n"/>
      <c r="H24" s="530" t="n"/>
      <c r="I24" s="530" t="n"/>
      <c r="J24" s="663" t="inlineStr">
        <is>
          <t>тыс.т.</t>
        </is>
      </c>
    </row>
    <row r="25" ht="20.1" customFormat="1" customHeight="1" s="22">
      <c r="B25" s="65" t="inlineStr">
        <is>
          <t>3.16</t>
        </is>
      </c>
      <c r="C25" s="834" t="inlineStr">
        <is>
          <t>1.3</t>
        </is>
      </c>
      <c r="D25" s="74" t="inlineStr">
        <is>
          <t>ПРИСАДКИ (ДОБАВКИ), ВСЕГО:</t>
        </is>
      </c>
      <c r="E25" s="528" t="n">
        <v>100331986</v>
      </c>
      <c r="F25" s="528" t="n"/>
      <c r="G25" s="529" t="n"/>
      <c r="H25" s="530" t="inlineStr">
        <is>
          <t>100332284</t>
        </is>
      </c>
      <c r="I25" s="530" t="n"/>
      <c r="J25" s="145" t="inlineStr">
        <is>
          <t>тыс.т.</t>
        </is>
      </c>
    </row>
    <row r="26" ht="20.1" customFormat="1" customHeight="1" s="839">
      <c r="B26" s="65" t="inlineStr">
        <is>
          <t>3.17</t>
        </is>
      </c>
      <c r="C26" s="69" t="inlineStr">
        <is>
          <t>1.3.1</t>
        </is>
      </c>
      <c r="D26" s="70" t="inlineStr">
        <is>
          <t>Присадки для КГС, собственность ПАО "Газпром"</t>
        </is>
      </c>
      <c r="E26" s="528" t="n">
        <v>100332284</v>
      </c>
      <c r="F26" s="528" t="n"/>
      <c r="G26" s="529" t="n"/>
      <c r="H26" s="530" t="n"/>
      <c r="I26" s="530" t="n"/>
      <c r="J26" s="663" t="inlineStr">
        <is>
          <t>тыс.т.</t>
        </is>
      </c>
    </row>
    <row r="27" ht="20.1" customFormat="1" customHeight="1" s="839">
      <c r="B27" s="65" t="inlineStr">
        <is>
          <t>3.18</t>
        </is>
      </c>
      <c r="C27" s="75" t="n"/>
      <c r="D27" s="34" t="inlineStr">
        <is>
          <t>Справочно:</t>
        </is>
      </c>
      <c r="E27" s="528" t="n"/>
      <c r="F27" s="528" t="n"/>
      <c r="G27" s="529" t="n"/>
      <c r="H27" s="530" t="n"/>
      <c r="I27" s="530" t="n"/>
      <c r="J27" s="76" t="n"/>
    </row>
    <row r="28" outlineLevel="1" ht="19.5" customFormat="1" customHeight="1" s="77">
      <c r="B28" s="65" t="inlineStr">
        <is>
          <t>3.19</t>
        </is>
      </c>
      <c r="C28" s="878" t="inlineStr">
        <is>
          <t>2</t>
        </is>
      </c>
      <c r="D28" s="862" t="inlineStr">
        <is>
          <t>ПОТЕРИ, ВСЕГО:</t>
        </is>
      </c>
      <c r="E28" s="528" t="n">
        <v>100332285</v>
      </c>
      <c r="F28" s="528" t="n"/>
      <c r="G28" s="529" t="n"/>
      <c r="H28" s="530" t="inlineStr">
        <is>
          <t>100330554+100330553</t>
        </is>
      </c>
      <c r="I28" s="530" t="n"/>
      <c r="J28" s="153" t="inlineStr">
        <is>
          <t>тыс.т.</t>
        </is>
      </c>
    </row>
    <row r="29" outlineLevel="1" customFormat="1" s="839">
      <c r="B29" s="65" t="inlineStr">
        <is>
          <t>3.20</t>
        </is>
      </c>
      <c r="C29" s="365" t="inlineStr">
        <is>
          <t>2.1</t>
        </is>
      </c>
      <c r="D29" s="35" t="inlineStr">
        <is>
          <t>Потери, собственность ПАО "Газпром"</t>
        </is>
      </c>
      <c r="E29" s="528" t="n">
        <v>100330554</v>
      </c>
      <c r="F29" s="528" t="n"/>
      <c r="G29" s="529" t="n"/>
      <c r="H29" s="530" t="n"/>
      <c r="I29" s="530" t="n"/>
      <c r="J29" s="78" t="inlineStr">
        <is>
          <t>тыс.т.</t>
        </is>
      </c>
    </row>
    <row r="30" outlineLevel="1" customFormat="1" s="839">
      <c r="B30" s="65" t="inlineStr">
        <is>
          <t>3.21</t>
        </is>
      </c>
      <c r="C30" s="365" t="inlineStr">
        <is>
          <t>2.2</t>
        </is>
      </c>
      <c r="D30" s="35" t="inlineStr">
        <is>
          <t>Потери, собственность ООО "Газпром ГНП холдинг"</t>
        </is>
      </c>
      <c r="E30" s="528" t="n">
        <v>100330553</v>
      </c>
      <c r="F30" s="528" t="n"/>
      <c r="G30" s="529" t="n"/>
      <c r="H30" s="530" t="n"/>
      <c r="I30" s="530" t="n"/>
      <c r="J30" s="78" t="inlineStr">
        <is>
          <t>тыс.т.</t>
        </is>
      </c>
    </row>
    <row r="31" ht="27" customFormat="1" customHeight="1" s="22">
      <c r="B31" s="65" t="inlineStr">
        <is>
          <t>3.22</t>
        </is>
      </c>
      <c r="C31" s="834" t="inlineStr">
        <is>
          <t>3</t>
        </is>
      </c>
      <c r="D31" s="789" t="inlineStr">
        <is>
          <t>ПРОИЗВОДСТВО ПРОДУКЦИИ, ВСЕГО:</t>
        </is>
      </c>
      <c r="E31" s="528" t="n">
        <v>100331853</v>
      </c>
      <c r="F31" s="528" t="n"/>
      <c r="G31" s="529" t="n"/>
      <c r="H31" s="530" t="inlineStr">
        <is>
          <t>100330237+100330560</t>
        </is>
      </c>
      <c r="I31" s="530" t="n"/>
      <c r="J31" s="145" t="inlineStr">
        <is>
          <t>тыс.т.</t>
        </is>
      </c>
    </row>
    <row r="32" ht="20.1" customHeight="1" s="769">
      <c r="B32" s="65" t="inlineStr">
        <is>
          <t>3.23</t>
        </is>
      </c>
      <c r="C32" s="800" t="n"/>
      <c r="D32" s="70" t="inlineStr">
        <is>
          <t>Производство продукции, собственность ПАО "Газпром"</t>
        </is>
      </c>
      <c r="E32" s="528" t="n">
        <v>100330237</v>
      </c>
      <c r="F32" s="528" t="n"/>
      <c r="G32" s="529" t="n"/>
      <c r="H32" s="530" t="inlineStr">
        <is>
          <t>100330563+100332287+100330579+100330098+100335432/$1000</t>
        </is>
      </c>
      <c r="I32" s="530" t="n"/>
      <c r="J32" s="71" t="inlineStr">
        <is>
          <t>тыс.т.</t>
        </is>
      </c>
    </row>
    <row r="33" ht="37.5" customHeight="1" s="769">
      <c r="B33" s="65" t="inlineStr">
        <is>
          <t>3.24</t>
        </is>
      </c>
      <c r="C33" s="800" t="n"/>
      <c r="D33" s="70" t="inlineStr">
        <is>
          <t>Производство продукции, собственность ООО "Газпром ГНП холдинг"</t>
        </is>
      </c>
      <c r="E33" s="528" t="n">
        <v>100330560</v>
      </c>
      <c r="F33" s="528" t="n"/>
      <c r="G33" s="529" t="n"/>
      <c r="H33" s="530" t="inlineStr">
        <is>
          <t>100330573+100332288+100330582</t>
        </is>
      </c>
      <c r="I33" s="530" t="n"/>
      <c r="J33" s="71" t="inlineStr">
        <is>
          <t>тыс.т.</t>
        </is>
      </c>
    </row>
    <row r="34" ht="20.1" customFormat="1" customHeight="1" s="22">
      <c r="B34" s="65" t="inlineStr">
        <is>
          <t>3.25</t>
        </is>
      </c>
      <c r="C34" s="834" t="inlineStr">
        <is>
          <t>3.1</t>
        </is>
      </c>
      <c r="D34" s="789" t="inlineStr">
        <is>
          <t>ГАЗ СУХОЙ ОТБЕНЗИНЕННЫЙ, ВСЕГО:</t>
        </is>
      </c>
      <c r="E34" s="528" t="n">
        <v>100330561</v>
      </c>
      <c r="F34" s="528" t="n"/>
      <c r="G34" s="529" t="n"/>
      <c r="H34" s="530" t="inlineStr">
        <is>
          <t>100330563+100330573</t>
        </is>
      </c>
      <c r="I34" s="530" t="n"/>
      <c r="J34" s="73" t="inlineStr">
        <is>
          <t>тыс.т.</t>
        </is>
      </c>
    </row>
    <row r="35" ht="20.1" customFormat="1" customHeight="1" s="22">
      <c r="B35" s="65" t="inlineStr">
        <is>
          <t>3.26</t>
        </is>
      </c>
      <c r="C35" s="766" t="n"/>
      <c r="D35" s="766" t="n"/>
      <c r="E35" s="528" t="n">
        <v>100330562</v>
      </c>
      <c r="F35" s="528" t="n"/>
      <c r="G35" s="529" t="n"/>
      <c r="H35" s="530" t="inlineStr">
        <is>
          <t>100330564+100330574</t>
        </is>
      </c>
      <c r="I35" s="530" t="n"/>
      <c r="J35" s="945" t="inlineStr">
        <is>
          <t>млн куб.м</t>
        </is>
      </c>
    </row>
    <row r="36" ht="20.1" customHeight="1" s="769">
      <c r="B36" s="65" t="inlineStr">
        <is>
          <t>3.27</t>
        </is>
      </c>
      <c r="C36" s="800" t="inlineStr">
        <is>
          <t>3.1.1</t>
        </is>
      </c>
      <c r="D36" s="787" t="inlineStr">
        <is>
          <t xml:space="preserve">Газ сухой отбензиненный, собственность ПАО "Газпром" , всего          </t>
        </is>
      </c>
      <c r="E36" s="528" t="n">
        <v>100330563</v>
      </c>
      <c r="F36" s="528" t="n"/>
      <c r="G36" s="529" t="n"/>
      <c r="H36" s="530" t="inlineStr">
        <is>
          <t>100330565+100330567+100330569</t>
        </is>
      </c>
      <c r="I36" s="530" t="n"/>
      <c r="J36" s="71" t="inlineStr">
        <is>
          <t>тыс.т.</t>
        </is>
      </c>
    </row>
    <row r="37" ht="19.5" customHeight="1" s="769">
      <c r="B37" s="65" t="inlineStr">
        <is>
          <t>3.28</t>
        </is>
      </c>
      <c r="C37" s="766" t="n"/>
      <c r="D37" s="766" t="n"/>
      <c r="E37" s="528" t="n">
        <v>100330564</v>
      </c>
      <c r="F37" s="528" t="n"/>
      <c r="G37" s="529" t="n"/>
      <c r="H37" s="530" t="inlineStr">
        <is>
          <t>100330566+100330568+100330570</t>
        </is>
      </c>
      <c r="I37" s="530" t="n"/>
      <c r="J37" s="942" t="inlineStr">
        <is>
          <t>млн куб.м</t>
        </is>
      </c>
    </row>
    <row r="38" ht="20.1" customHeight="1" s="769">
      <c r="B38" s="65" t="inlineStr">
        <is>
          <t>3.29</t>
        </is>
      </c>
      <c r="C38" s="800" t="inlineStr">
        <is>
          <t>3.1.1.1</t>
        </is>
      </c>
      <c r="D38" s="787" t="inlineStr">
        <is>
          <t>Газ сухой отбензиненный, собственность ООО "Газпром ГНП холдинг"</t>
        </is>
      </c>
      <c r="E38" s="528" t="n">
        <v>100330573</v>
      </c>
      <c r="F38" s="528" t="n"/>
      <c r="G38" s="529" t="n"/>
      <c r="H38" s="530" t="n"/>
      <c r="I38" s="530" t="n"/>
      <c r="J38" s="71" t="inlineStr">
        <is>
          <t>тыс.т.</t>
        </is>
      </c>
    </row>
    <row r="39" ht="20.1" customHeight="1" s="769">
      <c r="B39" s="65" t="inlineStr">
        <is>
          <t>3.30</t>
        </is>
      </c>
      <c r="C39" s="766" t="n"/>
      <c r="D39" s="766" t="n"/>
      <c r="E39" s="528" t="n">
        <v>100330574</v>
      </c>
      <c r="F39" s="528" t="n"/>
      <c r="G39" s="529" t="n"/>
      <c r="H39" s="530" t="n"/>
      <c r="I39" s="530" t="n"/>
      <c r="J39" s="942" t="inlineStr">
        <is>
          <t>млн куб.м</t>
        </is>
      </c>
    </row>
    <row r="40" ht="20.1" customFormat="1" customHeight="1" s="839">
      <c r="B40" s="65" t="inlineStr">
        <is>
          <t>3.31</t>
        </is>
      </c>
      <c r="C40" s="800" t="inlineStr">
        <is>
          <t>3.1.1.2</t>
        </is>
      </c>
      <c r="D40" s="830" t="inlineStr">
        <is>
          <t>Справочно:</t>
        </is>
      </c>
      <c r="E40" s="528" t="n"/>
      <c r="F40" s="528" t="n"/>
      <c r="G40" s="529" t="n"/>
      <c r="H40" s="530" t="n"/>
      <c r="I40" s="530" t="n"/>
      <c r="J40" s="71" t="n"/>
    </row>
    <row r="41" ht="20.1" customFormat="1" customHeight="1" s="839">
      <c r="B41" s="65" t="inlineStr">
        <is>
          <t>3.32</t>
        </is>
      </c>
      <c r="C41" s="766" t="n"/>
      <c r="D41" s="830" t="inlineStr">
        <is>
          <t xml:space="preserve">Газ сухой отбензиненный на СТН завода, собственность ПАО "Газпром"           </t>
        </is>
      </c>
      <c r="E41" s="528" t="n">
        <v>100330565</v>
      </c>
      <c r="F41" s="528" t="n"/>
      <c r="G41" s="529" t="n"/>
      <c r="H41" s="530" t="n"/>
      <c r="I41" s="530" t="n"/>
      <c r="J41" s="71" t="inlineStr">
        <is>
          <t>тыс.т.</t>
        </is>
      </c>
    </row>
    <row r="42" ht="20.1" customFormat="1" customHeight="1" s="839">
      <c r="B42" s="65" t="inlineStr">
        <is>
          <t>3.33</t>
        </is>
      </c>
      <c r="C42" s="800" t="inlineStr">
        <is>
          <t>3.1.1.3</t>
        </is>
      </c>
      <c r="D42" s="766" t="n"/>
      <c r="E42" s="528" t="n">
        <v>100330566</v>
      </c>
      <c r="F42" s="528" t="n"/>
      <c r="G42" s="529" t="n"/>
      <c r="H42" s="530" t="n"/>
      <c r="I42" s="530" t="n"/>
      <c r="J42" s="942" t="inlineStr">
        <is>
          <t>млн куб.м</t>
        </is>
      </c>
    </row>
    <row r="43" ht="20.1" customFormat="1" customHeight="1" s="839">
      <c r="B43" s="65" t="inlineStr">
        <is>
          <t>3.34</t>
        </is>
      </c>
      <c r="C43" s="766" t="n"/>
      <c r="D43" s="830" t="inlineStr">
        <is>
          <t xml:space="preserve">Газ сухой отбензиненный на Сосногорскую ТЭЦ, собственность ПАО "Газпром"           </t>
        </is>
      </c>
      <c r="E43" s="528" t="n">
        <v>100330567</v>
      </c>
      <c r="F43" s="528" t="n"/>
      <c r="G43" s="529" t="n"/>
      <c r="H43" s="530" t="n"/>
      <c r="I43" s="530" t="n"/>
      <c r="J43" s="71" t="inlineStr">
        <is>
          <t>тыс.т.</t>
        </is>
      </c>
    </row>
    <row r="44" ht="19.5" customFormat="1" customHeight="1" s="839">
      <c r="B44" s="65" t="inlineStr">
        <is>
          <t>3.35</t>
        </is>
      </c>
      <c r="C44" s="800" t="inlineStr">
        <is>
          <t>3.1.1.4</t>
        </is>
      </c>
      <c r="D44" s="766" t="n"/>
      <c r="E44" s="528" t="n">
        <v>100330568</v>
      </c>
      <c r="F44" s="528" t="n"/>
      <c r="G44" s="529" t="n"/>
      <c r="H44" s="530" t="n"/>
      <c r="I44" s="530" t="n"/>
      <c r="J44" s="942" t="inlineStr">
        <is>
          <t>млн куб.м</t>
        </is>
      </c>
    </row>
    <row r="45" ht="20.1" customFormat="1" customHeight="1" s="839">
      <c r="B45" s="65" t="inlineStr">
        <is>
          <t>3.36</t>
        </is>
      </c>
      <c r="C45" s="766" t="n"/>
      <c r="D45" s="830" t="inlineStr">
        <is>
          <t xml:space="preserve">Газ сухой отбензиненный в МГ, собственность ПАО "Газпром" </t>
        </is>
      </c>
      <c r="E45" s="528" t="n">
        <v>100330569</v>
      </c>
      <c r="F45" s="528" t="n"/>
      <c r="G45" s="529" t="n"/>
      <c r="H45" s="530" t="n"/>
      <c r="I45" s="530" t="n"/>
      <c r="J45" s="71" t="inlineStr">
        <is>
          <t>тыс.т.</t>
        </is>
      </c>
    </row>
    <row r="46" ht="20.1" customFormat="1" customHeight="1" s="839">
      <c r="B46" s="65" t="inlineStr">
        <is>
          <t>3.37</t>
        </is>
      </c>
      <c r="C46" s="800" t="inlineStr">
        <is>
          <t>3.1.2</t>
        </is>
      </c>
      <c r="D46" s="766" t="n"/>
      <c r="E46" s="528" t="n">
        <v>100330570</v>
      </c>
      <c r="F46" s="528" t="n"/>
      <c r="G46" s="529" t="n"/>
      <c r="H46" s="530" t="n"/>
      <c r="I46" s="530" t="n"/>
      <c r="J46" s="942" t="inlineStr">
        <is>
          <t>млн куб.м</t>
        </is>
      </c>
    </row>
    <row r="47" ht="20.1" customFormat="1" customHeight="1" s="343">
      <c r="B47" s="65" t="inlineStr">
        <is>
          <t>3.38</t>
        </is>
      </c>
      <c r="C47" s="834" t="inlineStr">
        <is>
          <t>3.2</t>
        </is>
      </c>
      <c r="D47" s="789" t="inlineStr">
        <is>
          <t>СЖИЖЕННЫЕ УГЛЕВОДОРОДНЫЕ ГАЗЫ, ВСЕГО:</t>
        </is>
      </c>
      <c r="E47" s="528" t="n">
        <v>100332286</v>
      </c>
      <c r="F47" s="528" t="n"/>
      <c r="G47" s="529" t="n"/>
      <c r="H47" s="530" t="inlineStr">
        <is>
          <t>100332287+100332288</t>
        </is>
      </c>
      <c r="I47" s="530" t="n"/>
      <c r="J47" s="73" t="inlineStr">
        <is>
          <t>тыс.т.</t>
        </is>
      </c>
    </row>
    <row r="48" ht="19.5" customFormat="1" customHeight="1" s="325">
      <c r="B48" s="65" t="inlineStr">
        <is>
          <t>3.39</t>
        </is>
      </c>
      <c r="C48" s="800" t="inlineStr">
        <is>
          <t>3.2.1</t>
        </is>
      </c>
      <c r="D48" s="787" t="inlineStr">
        <is>
          <t>СУГ, собственность ПАО "Газпром"</t>
        </is>
      </c>
      <c r="E48" s="528" t="n">
        <v>100332287</v>
      </c>
      <c r="F48" s="528" t="n"/>
      <c r="G48" s="529" t="n"/>
      <c r="H48" s="530" t="n"/>
      <c r="I48" s="530" t="n"/>
      <c r="J48" s="71" t="inlineStr">
        <is>
          <t>тыс.т.</t>
        </is>
      </c>
    </row>
    <row r="49" ht="20.1" customFormat="1" customHeight="1" s="325">
      <c r="B49" s="65" t="inlineStr">
        <is>
          <t>3.40</t>
        </is>
      </c>
      <c r="C49" s="800" t="inlineStr">
        <is>
          <t>3.2.2</t>
        </is>
      </c>
      <c r="D49" s="787" t="inlineStr">
        <is>
          <t>СУГ, собственность ООО "Газпром ГНП холдинг"</t>
        </is>
      </c>
      <c r="E49" s="528" t="n">
        <v>100332288</v>
      </c>
      <c r="F49" s="528" t="n"/>
      <c r="G49" s="529" t="n"/>
      <c r="H49" s="530" t="n"/>
      <c r="I49" s="530" t="n"/>
      <c r="J49" s="71" t="inlineStr">
        <is>
          <t>тыс.т.</t>
        </is>
      </c>
    </row>
    <row r="50" ht="20.1" customFormat="1" customHeight="1" s="22">
      <c r="B50" s="65" t="inlineStr">
        <is>
          <t>3.41</t>
        </is>
      </c>
      <c r="C50" s="834" t="inlineStr">
        <is>
          <t>3.3</t>
        </is>
      </c>
      <c r="D50" s="789" t="inlineStr">
        <is>
          <t>УГЛЕРОД ТЕХНИЧЕСКИЙ, ВСЕГО:</t>
        </is>
      </c>
      <c r="E50" s="528" t="n">
        <v>100330579</v>
      </c>
      <c r="F50" s="528" t="n"/>
      <c r="G50" s="529" t="n"/>
      <c r="H50" s="530" t="inlineStr">
        <is>
          <t>(100330580+100330581)/$1000</t>
        </is>
      </c>
      <c r="I50" s="530" t="n"/>
      <c r="J50" s="73" t="inlineStr">
        <is>
          <t>тыс.т.</t>
        </is>
      </c>
    </row>
    <row r="51" ht="20.1" customHeight="1" s="769">
      <c r="B51" s="65" t="inlineStr">
        <is>
          <t>3.42</t>
        </is>
      </c>
      <c r="C51" s="800" t="inlineStr">
        <is>
          <t>3.3.1</t>
        </is>
      </c>
      <c r="D51" s="787" t="inlineStr">
        <is>
          <t>марка П 701, собственность ПАО "Газпром"</t>
        </is>
      </c>
      <c r="E51" s="528" t="n">
        <v>100330580</v>
      </c>
      <c r="F51" s="528" t="n"/>
      <c r="G51" s="529" t="n"/>
      <c r="H51" s="530" t="n"/>
      <c r="I51" s="530" t="n"/>
      <c r="J51" s="71" t="inlineStr">
        <is>
          <t>тонн</t>
        </is>
      </c>
    </row>
    <row r="52" ht="20.1" customHeight="1" s="769">
      <c r="B52" s="65" t="inlineStr">
        <is>
          <t>3.43</t>
        </is>
      </c>
      <c r="C52" s="800" t="inlineStr">
        <is>
          <t>3.3.2</t>
        </is>
      </c>
      <c r="D52" s="787" t="inlineStr">
        <is>
          <t>марка Т 900, собственность ПАО "Газпром"</t>
        </is>
      </c>
      <c r="E52" s="528" t="n">
        <v>100330581</v>
      </c>
      <c r="F52" s="528" t="n"/>
      <c r="G52" s="529" t="n"/>
      <c r="H52" s="530" t="n"/>
      <c r="I52" s="530" t="n"/>
      <c r="J52" s="71" t="inlineStr">
        <is>
          <t>тонн</t>
        </is>
      </c>
    </row>
    <row r="53" ht="20.1" customFormat="1" customHeight="1" s="22">
      <c r="B53" s="65" t="inlineStr">
        <is>
          <t>3.44</t>
        </is>
      </c>
      <c r="C53" s="834" t="inlineStr">
        <is>
          <t>3.4</t>
        </is>
      </c>
      <c r="D53" s="789" t="inlineStr">
        <is>
          <t>СТАБИЛЬНЫЙ КОНДЕНСАТ, ВСЕГО:</t>
        </is>
      </c>
      <c r="E53" s="528" t="n">
        <v>100332289</v>
      </c>
      <c r="F53" s="528" t="n"/>
      <c r="G53" s="529" t="n"/>
      <c r="H53" s="530" t="inlineStr">
        <is>
          <t>100330098+100330582</t>
        </is>
      </c>
      <c r="I53" s="530" t="n"/>
      <c r="J53" s="73" t="inlineStr">
        <is>
          <t>тыс.т.</t>
        </is>
      </c>
    </row>
    <row r="54" ht="20.1" customHeight="1" s="769">
      <c r="B54" s="65" t="inlineStr">
        <is>
          <t>3.45</t>
        </is>
      </c>
      <c r="C54" s="800" t="inlineStr">
        <is>
          <t>3.4.1</t>
        </is>
      </c>
      <c r="D54" s="787" t="inlineStr">
        <is>
          <t xml:space="preserve">СК, собственность ПАО "Газпром"    </t>
        </is>
      </c>
      <c r="E54" s="528" t="n">
        <v>100330098</v>
      </c>
      <c r="F54" s="528" t="n"/>
      <c r="G54" s="529" t="n"/>
      <c r="H54" s="530" t="n"/>
      <c r="I54" s="530" t="n"/>
      <c r="J54" s="71" t="inlineStr">
        <is>
          <t>тыс.т.</t>
        </is>
      </c>
    </row>
    <row r="55" ht="20.1" customHeight="1" s="769">
      <c r="B55" s="65" t="inlineStr">
        <is>
          <t>3.46</t>
        </is>
      </c>
      <c r="C55" s="800" t="inlineStr">
        <is>
          <t>3.4.2</t>
        </is>
      </c>
      <c r="D55" s="787" t="inlineStr">
        <is>
          <t>СК, собственность ООО "Газпром ГНП холдинг"</t>
        </is>
      </c>
      <c r="E55" s="528" t="n">
        <v>100330582</v>
      </c>
      <c r="F55" s="528" t="n"/>
      <c r="G55" s="529" t="n"/>
      <c r="H55" s="530" t="n"/>
      <c r="I55" s="530" t="n"/>
      <c r="J55" s="71" t="inlineStr">
        <is>
          <t>тыс.т.</t>
        </is>
      </c>
    </row>
    <row r="56" customFormat="1" s="22">
      <c r="B56" s="65" t="inlineStr">
        <is>
          <t>3.47</t>
        </is>
      </c>
      <c r="C56" s="834" t="inlineStr">
        <is>
          <t>3.5</t>
        </is>
      </c>
      <c r="D56" s="79" t="inlineStr">
        <is>
          <t>МЕТАНОЛ, собственность ПАО "Газпром"</t>
        </is>
      </c>
      <c r="E56" s="528" t="n">
        <v>100335432</v>
      </c>
      <c r="F56" s="528" t="n"/>
      <c r="G56" s="529" t="n"/>
      <c r="H56" s="530" t="n"/>
      <c r="I56" s="530" t="n"/>
      <c r="J56" s="73" t="inlineStr">
        <is>
          <t>тонн</t>
        </is>
      </c>
    </row>
    <row r="57" outlineLevel="1" ht="39" customHeight="1" s="769">
      <c r="B57" s="65" t="inlineStr">
        <is>
          <t>3.48</t>
        </is>
      </c>
      <c r="C57" s="834" t="inlineStr">
        <is>
          <t>4</t>
        </is>
      </c>
      <c r="D57" s="862" t="inlineStr">
        <is>
          <t>Материальный баланс переработки УВС ("П.1"-"П.2"-"П.3" = 0,000)</t>
        </is>
      </c>
      <c r="E57" s="528" t="n"/>
      <c r="F57" s="528" t="n"/>
      <c r="G57" s="529" t="n"/>
      <c r="H57" s="530" t="n"/>
      <c r="I57" s="530" t="n"/>
      <c r="J57" s="71" t="inlineStr">
        <is>
          <t>тыс.т.</t>
        </is>
      </c>
    </row>
    <row r="58" outlineLevel="1" ht="18.75" customHeight="1" s="769">
      <c r="B58" s="65" t="inlineStr">
        <is>
          <t>3.49</t>
        </is>
      </c>
      <c r="C58" s="800" t="inlineStr">
        <is>
          <t>4.1</t>
        </is>
      </c>
      <c r="D58" s="830" t="inlineStr">
        <is>
          <t>МБ, сырья и продукции собственность ПАО "Газпром"</t>
        </is>
      </c>
      <c r="E58" s="528" t="n">
        <v>100330425</v>
      </c>
      <c r="F58" s="528" t="n"/>
      <c r="G58" s="529" t="n"/>
      <c r="H58" s="530" t="inlineStr">
        <is>
          <t>ОКРУГЛ(100330002-100330554-100330237;1)</t>
        </is>
      </c>
      <c r="I58" s="530" t="n"/>
      <c r="J58" s="71" t="inlineStr">
        <is>
          <t>тыс.т.</t>
        </is>
      </c>
    </row>
    <row r="59" outlineLevel="1" ht="37.5" customHeight="1" s="769">
      <c r="B59" s="65" t="inlineStr">
        <is>
          <t>3.50</t>
        </is>
      </c>
      <c r="C59" s="80" t="inlineStr">
        <is>
          <t>4.2</t>
        </is>
      </c>
      <c r="D59" s="81" t="inlineStr">
        <is>
          <t>МБ, сырья и продукции собственность ООО "Газпром ГНП холдинг"</t>
        </is>
      </c>
      <c r="E59" s="528" t="n">
        <v>100330585</v>
      </c>
      <c r="F59" s="528" t="n"/>
      <c r="G59" s="529" t="n"/>
      <c r="H59" s="530" t="inlineStr">
        <is>
          <t>ОКРУГЛ(100330550-100330553-100330560;1)</t>
        </is>
      </c>
      <c r="I59" s="530" t="n"/>
      <c r="J59" s="82" t="inlineStr">
        <is>
          <t>тыс.т.</t>
        </is>
      </c>
    </row>
    <row r="60">
      <c r="B60" s="83" t="n"/>
      <c r="C60" s="40" t="n"/>
      <c r="J60" s="796" t="n"/>
    </row>
    <row r="61">
      <c r="C61" s="84" t="n"/>
      <c r="J61" s="832" t="n"/>
    </row>
    <row r="62">
      <c r="B62" s="83" t="n"/>
      <c r="C62" s="39" t="n"/>
      <c r="D62" s="832" t="inlineStr">
        <is>
          <t>* - Обеспечение своевременного внесения  изменений в перечень номенклатуры сырья и продукции входит в компетенцию дочернего общества.</t>
        </is>
      </c>
      <c r="J62" s="832" t="n"/>
    </row>
    <row r="63">
      <c r="B63" s="83" t="n"/>
      <c r="C63" s="40" t="n"/>
      <c r="J63" s="46" t="n"/>
    </row>
    <row r="64" customFormat="1" s="84">
      <c r="B64" s="795" t="n"/>
      <c r="C64" s="22" t="n"/>
      <c r="D64" s="43" t="inlineStr">
        <is>
          <t>Реализация товарной продукции для ПАО</t>
        </is>
      </c>
      <c r="E64" s="43" t="n"/>
      <c r="F64" s="531" t="n"/>
      <c r="G64" s="531" t="n"/>
      <c r="H64" s="392" t="n"/>
      <c r="I64" s="531" t="n"/>
      <c r="J64" s="85" t="n"/>
    </row>
    <row r="65" customFormat="1" s="84">
      <c r="B65" s="795" t="n"/>
      <c r="C65" s="22" t="n"/>
      <c r="D65" s="832" t="n"/>
      <c r="E65" s="832" t="n"/>
      <c r="F65" s="832" t="n"/>
      <c r="G65" s="832" t="n"/>
      <c r="H65" s="832" t="n"/>
      <c r="I65" s="832" t="n"/>
      <c r="J65" s="836" t="n"/>
    </row>
    <row r="66" customFormat="1" s="84">
      <c r="B66" s="795" t="n"/>
      <c r="C66" s="22" t="n"/>
      <c r="D66" s="832" t="n"/>
      <c r="E66" s="832" t="n"/>
      <c r="F66" s="832" t="n"/>
      <c r="G66" s="832" t="n"/>
      <c r="H66" s="832" t="n"/>
      <c r="I66" s="832" t="n"/>
      <c r="J66" s="836" t="n"/>
    </row>
    <row r="67" customFormat="1" s="84">
      <c r="B67" s="795" t="n"/>
      <c r="C67" s="22" t="n"/>
      <c r="D67" s="832" t="n"/>
      <c r="E67" s="832" t="n"/>
      <c r="F67" s="832" t="n"/>
      <c r="G67" s="832" t="n"/>
      <c r="H67" s="832" t="n"/>
      <c r="I67" s="832" t="n"/>
      <c r="J67" s="836" t="n"/>
    </row>
    <row r="68" customFormat="1" s="84">
      <c r="B68" s="795" t="n"/>
      <c r="C68" s="22" t="n"/>
      <c r="D68" s="832" t="n"/>
      <c r="E68" s="832" t="n"/>
      <c r="F68" s="832" t="n"/>
      <c r="G68" s="832" t="n"/>
      <c r="H68" s="832" t="n"/>
      <c r="I68" s="832" t="n"/>
      <c r="J68" s="836" t="n"/>
    </row>
    <row r="69" customFormat="1" s="84">
      <c r="B69" s="795" t="n"/>
      <c r="C69" s="22" t="n"/>
      <c r="D69" s="832" t="n"/>
      <c r="E69" s="832" t="n"/>
      <c r="F69" s="832" t="n"/>
      <c r="G69" s="832" t="n"/>
      <c r="H69" s="832" t="n"/>
      <c r="I69" s="832" t="n"/>
      <c r="J69" s="836" t="n"/>
    </row>
    <row r="70" customFormat="1" s="84">
      <c r="B70" s="795" t="n"/>
      <c r="C70" s="22" t="n"/>
      <c r="D70" s="832" t="n"/>
      <c r="E70" s="832" t="n"/>
      <c r="F70" s="832" t="n"/>
      <c r="G70" s="832" t="n"/>
      <c r="H70" s="832" t="n"/>
      <c r="I70" s="832" t="n"/>
      <c r="J70" s="836" t="n"/>
    </row>
    <row r="71" customFormat="1" s="84">
      <c r="B71" s="795" t="n"/>
      <c r="C71" s="22" t="n"/>
      <c r="D71" s="832" t="n"/>
      <c r="E71" s="832" t="n"/>
      <c r="F71" s="832" t="n"/>
      <c r="G71" s="832" t="n"/>
      <c r="H71" s="832" t="n"/>
      <c r="I71" s="832" t="n"/>
      <c r="J71" s="836" t="n"/>
    </row>
    <row r="72" customFormat="1" s="84">
      <c r="B72" s="795" t="n"/>
      <c r="C72" s="22" t="n"/>
      <c r="D72" s="832" t="n"/>
      <c r="E72" s="832" t="n"/>
      <c r="F72" s="832" t="n"/>
      <c r="G72" s="832" t="n"/>
      <c r="H72" s="832" t="n"/>
      <c r="I72" s="832" t="n"/>
      <c r="J72" s="836" t="n"/>
    </row>
    <row r="73" customFormat="1" s="84">
      <c r="B73" s="795" t="n"/>
      <c r="C73" s="22" t="n"/>
      <c r="D73" s="832" t="n"/>
      <c r="E73" s="832" t="n"/>
      <c r="F73" s="832" t="n"/>
      <c r="G73" s="832" t="n"/>
      <c r="H73" s="832" t="n"/>
      <c r="I73" s="832" t="n"/>
      <c r="J73" s="836" t="n"/>
    </row>
    <row r="74" customFormat="1" s="84">
      <c r="B74" s="795" t="n"/>
      <c r="C74" s="22" t="n"/>
      <c r="D74" s="832" t="n"/>
      <c r="E74" s="832" t="n"/>
      <c r="F74" s="832" t="n"/>
      <c r="G74" s="832" t="n"/>
      <c r="H74" s="832" t="n"/>
      <c r="I74" s="832" t="n"/>
      <c r="J74" s="836" t="n"/>
    </row>
    <row r="75" customFormat="1" s="84">
      <c r="B75" s="795" t="n"/>
      <c r="C75" s="22" t="n"/>
      <c r="D75" s="832" t="n"/>
      <c r="E75" s="832" t="n"/>
      <c r="F75" s="832" t="n"/>
      <c r="G75" s="832" t="n"/>
      <c r="H75" s="832" t="n"/>
      <c r="I75" s="832" t="n"/>
      <c r="J75" s="836" t="n"/>
    </row>
    <row r="76" customFormat="1" s="84">
      <c r="B76" s="795" t="n"/>
      <c r="C76" s="22" t="n"/>
      <c r="D76" s="832" t="n"/>
      <c r="E76" s="832" t="n"/>
      <c r="F76" s="832" t="n"/>
      <c r="G76" s="832" t="n"/>
      <c r="H76" s="832" t="n"/>
      <c r="I76" s="832" t="n"/>
      <c r="J76" s="836" t="n"/>
    </row>
    <row r="77" customFormat="1" s="84">
      <c r="B77" s="795" t="n"/>
      <c r="C77" s="22" t="n"/>
      <c r="D77" s="832" t="n"/>
      <c r="E77" s="832" t="n"/>
      <c r="F77" s="832" t="n"/>
      <c r="G77" s="832" t="n"/>
      <c r="H77" s="832" t="n"/>
      <c r="I77" s="832" t="n"/>
      <c r="J77" s="836" t="n"/>
    </row>
    <row r="78" customFormat="1" s="84">
      <c r="B78" s="795" t="n"/>
      <c r="C78" s="22" t="n"/>
      <c r="D78" s="832" t="n"/>
      <c r="E78" s="832" t="n"/>
      <c r="F78" s="832" t="n"/>
      <c r="G78" s="832" t="n"/>
      <c r="H78" s="832" t="n"/>
      <c r="I78" s="832" t="n"/>
      <c r="J78" s="836" t="n"/>
    </row>
    <row r="79" customFormat="1" s="84">
      <c r="B79" s="795" t="n"/>
      <c r="C79" s="22" t="n"/>
      <c r="D79" s="832" t="n"/>
      <c r="E79" s="832" t="n"/>
      <c r="F79" s="832" t="n"/>
      <c r="G79" s="832" t="n"/>
      <c r="H79" s="832" t="n"/>
      <c r="I79" s="832" t="n"/>
      <c r="J79" s="836" t="n"/>
    </row>
    <row r="80" customFormat="1" s="84">
      <c r="B80" s="795" t="n"/>
      <c r="C80" s="22" t="n"/>
      <c r="D80" s="832" t="n"/>
      <c r="E80" s="832" t="n"/>
      <c r="F80" s="832" t="n"/>
      <c r="G80" s="832" t="n"/>
      <c r="H80" s="832" t="n"/>
      <c r="I80" s="832" t="n"/>
      <c r="J80" s="836" t="n"/>
    </row>
    <row r="81" customFormat="1" s="84">
      <c r="B81" s="795" t="n"/>
      <c r="C81" s="22" t="n"/>
      <c r="D81" s="832" t="n"/>
      <c r="E81" s="832" t="n"/>
      <c r="F81" s="832" t="n"/>
      <c r="G81" s="832" t="n"/>
      <c r="H81" s="832" t="n"/>
      <c r="I81" s="832" t="n"/>
      <c r="J81" s="836" t="n"/>
    </row>
    <row r="82" customFormat="1" s="84">
      <c r="B82" s="795" t="n"/>
      <c r="C82" s="22" t="n"/>
      <c r="D82" s="832" t="n"/>
      <c r="E82" s="832" t="n"/>
      <c r="F82" s="832" t="n"/>
      <c r="G82" s="832" t="n"/>
      <c r="H82" s="832" t="n"/>
      <c r="I82" s="832" t="n"/>
      <c r="J82" s="836" t="n"/>
    </row>
    <row r="83" customFormat="1" s="84">
      <c r="B83" s="795" t="n"/>
      <c r="C83" s="22" t="n"/>
      <c r="D83" s="832" t="n"/>
      <c r="E83" s="832" t="n"/>
      <c r="F83" s="832" t="n"/>
      <c r="G83" s="832" t="n"/>
      <c r="H83" s="832" t="n"/>
      <c r="I83" s="832" t="n"/>
      <c r="J83" s="836" t="n"/>
    </row>
    <row r="84" customFormat="1" s="84">
      <c r="B84" s="795" t="n"/>
      <c r="C84" s="22" t="n"/>
      <c r="D84" s="832" t="n"/>
      <c r="E84" s="832" t="n"/>
      <c r="F84" s="832" t="n"/>
      <c r="G84" s="832" t="n"/>
      <c r="H84" s="832" t="n"/>
      <c r="I84" s="832" t="n"/>
      <c r="J84" s="836" t="n"/>
    </row>
    <row r="85" customFormat="1" s="84">
      <c r="B85" s="795" t="n"/>
      <c r="C85" s="22" t="n"/>
      <c r="D85" s="832" t="n"/>
      <c r="E85" s="832" t="n"/>
      <c r="F85" s="832" t="n"/>
      <c r="G85" s="832" t="n"/>
      <c r="H85" s="832" t="n"/>
      <c r="I85" s="832" t="n"/>
      <c r="J85" s="836" t="n"/>
    </row>
    <row r="86" customFormat="1" s="84">
      <c r="B86" s="795" t="n"/>
      <c r="C86" s="22" t="n"/>
      <c r="D86" s="832" t="n"/>
      <c r="E86" s="832" t="n"/>
      <c r="F86" s="832" t="n"/>
      <c r="G86" s="832" t="n"/>
      <c r="H86" s="832" t="n"/>
      <c r="I86" s="832" t="n"/>
      <c r="J86" s="836" t="n"/>
    </row>
    <row r="87" customFormat="1" s="84">
      <c r="B87" s="795" t="n"/>
      <c r="C87" s="22" t="n"/>
      <c r="D87" s="832" t="n"/>
      <c r="E87" s="832" t="n"/>
      <c r="F87" s="832" t="n"/>
      <c r="G87" s="832" t="n"/>
      <c r="H87" s="832" t="n"/>
      <c r="I87" s="832" t="n"/>
      <c r="J87" s="836" t="n"/>
    </row>
    <row r="88" customFormat="1" s="84">
      <c r="B88" s="795" t="n"/>
      <c r="C88" s="22" t="n"/>
      <c r="D88" s="832" t="n"/>
      <c r="E88" s="832" t="n"/>
      <c r="F88" s="832" t="n"/>
      <c r="G88" s="832" t="n"/>
      <c r="H88" s="832" t="n"/>
      <c r="I88" s="832" t="n"/>
      <c r="J88" s="836" t="n"/>
    </row>
    <row r="89" customFormat="1" s="84">
      <c r="B89" s="795" t="n"/>
      <c r="C89" s="22" t="n"/>
      <c r="D89" s="832" t="n"/>
      <c r="E89" s="832" t="n"/>
      <c r="F89" s="832" t="n"/>
      <c r="G89" s="832" t="n"/>
      <c r="H89" s="832" t="n"/>
      <c r="I89" s="832" t="n"/>
      <c r="J89" s="836" t="n"/>
    </row>
    <row r="90" customFormat="1" s="84">
      <c r="B90" s="795" t="n"/>
      <c r="C90" s="22" t="n"/>
      <c r="D90" s="832" t="n"/>
      <c r="E90" s="832" t="n"/>
      <c r="F90" s="832" t="n"/>
      <c r="G90" s="832" t="n"/>
      <c r="H90" s="832" t="n"/>
      <c r="I90" s="832" t="n"/>
      <c r="J90" s="836" t="n"/>
    </row>
    <row r="91" customFormat="1" s="84">
      <c r="B91" s="795" t="n"/>
      <c r="C91" s="22" t="n"/>
      <c r="D91" s="832" t="n"/>
      <c r="E91" s="832" t="n"/>
      <c r="F91" s="832" t="n"/>
      <c r="G91" s="832" t="n"/>
      <c r="H91" s="832" t="n"/>
      <c r="I91" s="832" t="n"/>
      <c r="J91" s="836" t="n"/>
    </row>
    <row r="92" customFormat="1" s="84">
      <c r="B92" s="795" t="n"/>
      <c r="C92" s="22" t="n"/>
      <c r="D92" s="832" t="n"/>
      <c r="E92" s="832" t="n"/>
      <c r="F92" s="832" t="n"/>
      <c r="G92" s="832" t="n"/>
      <c r="H92" s="832" t="n"/>
      <c r="I92" s="832" t="n"/>
      <c r="J92" s="836" t="n"/>
    </row>
    <row r="93" customFormat="1" s="84">
      <c r="B93" s="795" t="n"/>
      <c r="C93" s="22" t="n"/>
      <c r="D93" s="832" t="n"/>
      <c r="E93" s="832" t="n"/>
      <c r="F93" s="832" t="n"/>
      <c r="G93" s="832" t="n"/>
      <c r="H93" s="832" t="n"/>
      <c r="I93" s="832" t="n"/>
      <c r="J93" s="836" t="n"/>
    </row>
    <row r="94" customFormat="1" s="84">
      <c r="B94" s="795" t="n"/>
      <c r="C94" s="22" t="n"/>
      <c r="D94" s="832" t="n"/>
      <c r="E94" s="832" t="n"/>
      <c r="F94" s="832" t="n"/>
      <c r="G94" s="832" t="n"/>
      <c r="H94" s="832" t="n"/>
      <c r="I94" s="832" t="n"/>
      <c r="J94" s="836" t="n"/>
    </row>
    <row r="95" customFormat="1" s="84">
      <c r="B95" s="795" t="n"/>
      <c r="C95" s="22" t="n"/>
      <c r="D95" s="832" t="n"/>
      <c r="E95" s="832" t="n"/>
      <c r="F95" s="832" t="n"/>
      <c r="G95" s="832" t="n"/>
      <c r="H95" s="832" t="n"/>
      <c r="I95" s="832" t="n"/>
      <c r="J95" s="836" t="n"/>
    </row>
    <row r="96" customFormat="1" s="84">
      <c r="B96" s="795" t="n"/>
      <c r="C96" s="22" t="n"/>
      <c r="D96" s="832" t="n"/>
      <c r="E96" s="832" t="n"/>
      <c r="F96" s="832" t="n"/>
      <c r="G96" s="832" t="n"/>
      <c r="H96" s="832" t="n"/>
      <c r="I96" s="832" t="n"/>
      <c r="J96" s="836" t="n"/>
    </row>
    <row r="97" customFormat="1" s="84">
      <c r="B97" s="795" t="n"/>
      <c r="C97" s="22" t="n"/>
      <c r="D97" s="832" t="n"/>
      <c r="E97" s="832" t="n"/>
      <c r="F97" s="832" t="n"/>
      <c r="G97" s="832" t="n"/>
      <c r="H97" s="832" t="n"/>
      <c r="I97" s="832" t="n"/>
      <c r="J97" s="836" t="n"/>
    </row>
    <row r="98" customFormat="1" s="84">
      <c r="B98" s="795" t="n"/>
      <c r="C98" s="22" t="n"/>
      <c r="D98" s="832" t="n"/>
      <c r="E98" s="832" t="n"/>
      <c r="F98" s="832" t="n"/>
      <c r="G98" s="832" t="n"/>
      <c r="H98" s="832" t="n"/>
      <c r="I98" s="832" t="n"/>
      <c r="J98" s="836" t="n"/>
    </row>
    <row r="99" customFormat="1" s="84">
      <c r="B99" s="795" t="n"/>
      <c r="C99" s="22" t="n"/>
      <c r="D99" s="832" t="n"/>
      <c r="E99" s="832" t="n"/>
      <c r="F99" s="832" t="n"/>
      <c r="G99" s="832" t="n"/>
      <c r="H99" s="832" t="n"/>
      <c r="I99" s="832" t="n"/>
      <c r="J99" s="836" t="n"/>
    </row>
    <row r="100" customFormat="1" s="84">
      <c r="B100" s="795" t="n"/>
      <c r="C100" s="22" t="n"/>
      <c r="D100" s="832" t="n"/>
      <c r="E100" s="832" t="n"/>
      <c r="F100" s="832" t="n"/>
      <c r="G100" s="832" t="n"/>
      <c r="H100" s="832" t="n"/>
      <c r="I100" s="832" t="n"/>
      <c r="J100" s="836" t="n"/>
    </row>
    <row r="101" customFormat="1" s="84">
      <c r="B101" s="795" t="n"/>
      <c r="C101" s="22" t="n"/>
      <c r="D101" s="832" t="n"/>
      <c r="E101" s="832" t="n"/>
      <c r="F101" s="832" t="n"/>
      <c r="G101" s="832" t="n"/>
      <c r="H101" s="832" t="n"/>
      <c r="I101" s="832" t="n"/>
      <c r="J101" s="836" t="n"/>
    </row>
    <row r="102" customFormat="1" s="84">
      <c r="B102" s="795" t="n"/>
      <c r="C102" s="22" t="n"/>
      <c r="D102" s="832" t="n"/>
      <c r="E102" s="832" t="n"/>
      <c r="F102" s="832" t="n"/>
      <c r="G102" s="832" t="n"/>
      <c r="H102" s="832" t="n"/>
      <c r="I102" s="832" t="n"/>
      <c r="J102" s="836" t="n"/>
    </row>
    <row r="103" customFormat="1" s="84">
      <c r="B103" s="795" t="n"/>
      <c r="C103" s="22" t="n"/>
      <c r="D103" s="832" t="n"/>
      <c r="E103" s="832" t="n"/>
      <c r="F103" s="832" t="n"/>
      <c r="G103" s="832" t="n"/>
      <c r="H103" s="832" t="n"/>
      <c r="I103" s="832" t="n"/>
      <c r="J103" s="836" t="n"/>
    </row>
    <row r="104" customFormat="1" s="84">
      <c r="B104" s="795" t="n"/>
      <c r="C104" s="22" t="n"/>
      <c r="D104" s="832" t="n"/>
      <c r="E104" s="832" t="n"/>
      <c r="F104" s="832" t="n"/>
      <c r="G104" s="832" t="n"/>
      <c r="H104" s="832" t="n"/>
      <c r="I104" s="832" t="n"/>
      <c r="J104" s="836" t="n"/>
    </row>
    <row r="105" customFormat="1" s="84">
      <c r="B105" s="795" t="n"/>
      <c r="C105" s="22" t="n"/>
      <c r="D105" s="832" t="n"/>
      <c r="E105" s="832" t="n"/>
      <c r="F105" s="832" t="n"/>
      <c r="G105" s="832" t="n"/>
      <c r="H105" s="832" t="n"/>
      <c r="I105" s="832" t="n"/>
      <c r="J105" s="836" t="n"/>
    </row>
    <row r="106" customFormat="1" s="84">
      <c r="B106" s="795" t="n"/>
      <c r="C106" s="22" t="n"/>
      <c r="D106" s="832" t="n"/>
      <c r="E106" s="832" t="n"/>
      <c r="F106" s="832" t="n"/>
      <c r="G106" s="832" t="n"/>
      <c r="H106" s="832" t="n"/>
      <c r="I106" s="832" t="n"/>
      <c r="J106" s="836" t="n"/>
    </row>
    <row r="107" customFormat="1" s="84">
      <c r="B107" s="795" t="n"/>
      <c r="C107" s="22" t="n"/>
      <c r="D107" s="832" t="n"/>
      <c r="E107" s="832" t="n"/>
      <c r="F107" s="832" t="n"/>
      <c r="G107" s="832" t="n"/>
      <c r="H107" s="832" t="n"/>
      <c r="I107" s="832" t="n"/>
      <c r="J107" s="836" t="n"/>
    </row>
    <row r="108" customFormat="1" s="84">
      <c r="B108" s="795" t="n"/>
      <c r="C108" s="22" t="n"/>
      <c r="D108" s="832" t="n"/>
      <c r="E108" s="832" t="n"/>
      <c r="F108" s="832" t="n"/>
      <c r="G108" s="832" t="n"/>
      <c r="H108" s="832" t="n"/>
      <c r="I108" s="832" t="n"/>
      <c r="J108" s="836" t="n"/>
    </row>
    <row r="109" customFormat="1" s="84">
      <c r="B109" s="795" t="n"/>
      <c r="C109" s="22" t="n"/>
      <c r="D109" s="832" t="n"/>
      <c r="E109" s="832" t="n"/>
      <c r="F109" s="832" t="n"/>
      <c r="G109" s="832" t="n"/>
      <c r="H109" s="832" t="n"/>
      <c r="I109" s="832" t="n"/>
      <c r="J109" s="836" t="n"/>
    </row>
    <row r="110" customFormat="1" s="84">
      <c r="B110" s="795" t="n"/>
      <c r="C110" s="22" t="n"/>
      <c r="D110" s="832" t="n"/>
      <c r="E110" s="832" t="n"/>
      <c r="F110" s="832" t="n"/>
      <c r="G110" s="832" t="n"/>
      <c r="H110" s="832" t="n"/>
      <c r="I110" s="832" t="n"/>
      <c r="J110" s="836" t="n"/>
    </row>
    <row r="111" customFormat="1" s="84">
      <c r="B111" s="795" t="n"/>
      <c r="C111" s="22" t="n"/>
      <c r="D111" s="832" t="n"/>
      <c r="E111" s="832" t="n"/>
      <c r="F111" s="832" t="n"/>
      <c r="G111" s="832" t="n"/>
      <c r="H111" s="832" t="n"/>
      <c r="I111" s="832" t="n"/>
      <c r="J111" s="836" t="n"/>
    </row>
    <row r="112" customFormat="1" s="84">
      <c r="B112" s="795" t="n"/>
      <c r="C112" s="22" t="n"/>
      <c r="D112" s="832" t="n"/>
      <c r="E112" s="832" t="n"/>
      <c r="F112" s="832" t="n"/>
      <c r="G112" s="832" t="n"/>
      <c r="H112" s="832" t="n"/>
      <c r="I112" s="832" t="n"/>
      <c r="J112" s="836" t="n"/>
    </row>
    <row r="113" customFormat="1" s="84">
      <c r="B113" s="795" t="n"/>
      <c r="C113" s="22" t="n"/>
      <c r="D113" s="832" t="n"/>
      <c r="E113" s="832" t="n"/>
      <c r="F113" s="832" t="n"/>
      <c r="G113" s="832" t="n"/>
      <c r="H113" s="832" t="n"/>
      <c r="I113" s="832" t="n"/>
      <c r="J113" s="836" t="n"/>
    </row>
    <row r="114" customFormat="1" s="84">
      <c r="B114" s="795" t="n"/>
      <c r="C114" s="22" t="n"/>
      <c r="D114" s="832" t="n"/>
      <c r="E114" s="832" t="n"/>
      <c r="F114" s="832" t="n"/>
      <c r="G114" s="832" t="n"/>
      <c r="H114" s="832" t="n"/>
      <c r="I114" s="832" t="n"/>
      <c r="J114" s="836" t="n"/>
    </row>
    <row r="115" customFormat="1" s="84">
      <c r="B115" s="795" t="n"/>
      <c r="C115" s="22" t="n"/>
      <c r="D115" s="832" t="n"/>
      <c r="E115" s="832" t="n"/>
      <c r="F115" s="832" t="n"/>
      <c r="G115" s="832" t="n"/>
      <c r="H115" s="832" t="n"/>
      <c r="I115" s="832" t="n"/>
      <c r="J115" s="836" t="n"/>
    </row>
    <row r="116" customFormat="1" s="84">
      <c r="B116" s="795" t="n"/>
      <c r="C116" s="22" t="n"/>
      <c r="D116" s="832" t="n"/>
      <c r="E116" s="832" t="n"/>
      <c r="F116" s="832" t="n"/>
      <c r="G116" s="832" t="n"/>
      <c r="H116" s="832" t="n"/>
      <c r="I116" s="832" t="n"/>
      <c r="J116" s="836" t="n"/>
    </row>
    <row r="117" customFormat="1" s="84">
      <c r="B117" s="795" t="n"/>
      <c r="C117" s="22" t="n"/>
      <c r="D117" s="832" t="n"/>
      <c r="E117" s="832" t="n"/>
      <c r="F117" s="832" t="n"/>
      <c r="G117" s="832" t="n"/>
      <c r="H117" s="832" t="n"/>
      <c r="I117" s="832" t="n"/>
      <c r="J117" s="836" t="n"/>
    </row>
    <row r="118" customFormat="1" s="84">
      <c r="B118" s="795" t="n"/>
      <c r="C118" s="22" t="n"/>
      <c r="D118" s="832" t="n"/>
      <c r="E118" s="832" t="n"/>
      <c r="F118" s="832" t="n"/>
      <c r="G118" s="832" t="n"/>
      <c r="H118" s="832" t="n"/>
      <c r="I118" s="832" t="n"/>
      <c r="J118" s="836" t="n"/>
    </row>
    <row r="119" customFormat="1" s="84">
      <c r="B119" s="795" t="n"/>
      <c r="C119" s="22" t="n"/>
      <c r="D119" s="832" t="n"/>
      <c r="E119" s="832" t="n"/>
      <c r="F119" s="832" t="n"/>
      <c r="G119" s="832" t="n"/>
      <c r="H119" s="832" t="n"/>
      <c r="I119" s="832" t="n"/>
      <c r="J119" s="836" t="n"/>
    </row>
    <row r="120" customFormat="1" s="84">
      <c r="B120" s="795" t="n"/>
      <c r="C120" s="22" t="n"/>
      <c r="D120" s="832" t="n"/>
      <c r="E120" s="832" t="n"/>
      <c r="F120" s="832" t="n"/>
      <c r="G120" s="832" t="n"/>
      <c r="H120" s="832" t="n"/>
      <c r="I120" s="832" t="n"/>
      <c r="J120" s="836" t="n"/>
    </row>
    <row r="121" customFormat="1" s="84">
      <c r="B121" s="795" t="n"/>
      <c r="C121" s="22" t="n"/>
      <c r="D121" s="832" t="n"/>
      <c r="E121" s="832" t="n"/>
      <c r="F121" s="832" t="n"/>
      <c r="G121" s="832" t="n"/>
      <c r="H121" s="832" t="n"/>
      <c r="I121" s="832" t="n"/>
      <c r="J121" s="836" t="n"/>
    </row>
    <row r="122" customFormat="1" s="84">
      <c r="B122" s="795" t="n"/>
      <c r="C122" s="22" t="n"/>
      <c r="D122" s="832" t="n"/>
      <c r="E122" s="832" t="n"/>
      <c r="F122" s="832" t="n"/>
      <c r="G122" s="832" t="n"/>
      <c r="H122" s="832" t="n"/>
      <c r="I122" s="832" t="n"/>
      <c r="J122" s="836" t="n"/>
    </row>
    <row r="123" customFormat="1" s="84">
      <c r="B123" s="795" t="n"/>
      <c r="C123" s="22" t="n"/>
      <c r="D123" s="832" t="n"/>
      <c r="E123" s="832" t="n"/>
      <c r="F123" s="832" t="n"/>
      <c r="G123" s="832" t="n"/>
      <c r="H123" s="832" t="n"/>
      <c r="I123" s="832" t="n"/>
      <c r="J123" s="836" t="n"/>
    </row>
    <row r="124" customFormat="1" s="84">
      <c r="B124" s="795" t="n"/>
      <c r="C124" s="22" t="n"/>
      <c r="D124" s="832" t="n"/>
      <c r="E124" s="832" t="n"/>
      <c r="F124" s="832" t="n"/>
      <c r="G124" s="832" t="n"/>
      <c r="H124" s="832" t="n"/>
      <c r="I124" s="832" t="n"/>
      <c r="J124" s="836" t="n"/>
    </row>
    <row r="125" customFormat="1" s="84">
      <c r="B125" s="795" t="n"/>
      <c r="C125" s="22" t="n"/>
      <c r="D125" s="832" t="n"/>
      <c r="E125" s="832" t="n"/>
      <c r="F125" s="832" t="n"/>
      <c r="G125" s="832" t="n"/>
      <c r="H125" s="832" t="n"/>
      <c r="I125" s="832" t="n"/>
      <c r="J125" s="836" t="n"/>
    </row>
    <row r="126" customFormat="1" s="84">
      <c r="B126" s="795" t="n"/>
      <c r="C126" s="22" t="n"/>
      <c r="D126" s="832" t="n"/>
      <c r="E126" s="832" t="n"/>
      <c r="F126" s="832" t="n"/>
      <c r="G126" s="832" t="n"/>
      <c r="H126" s="832" t="n"/>
      <c r="I126" s="832" t="n"/>
      <c r="J126" s="836" t="n"/>
    </row>
    <row r="127" customFormat="1" s="84">
      <c r="B127" s="795" t="n"/>
      <c r="C127" s="22" t="n"/>
      <c r="D127" s="832" t="n"/>
      <c r="E127" s="832" t="n"/>
      <c r="F127" s="832" t="n"/>
      <c r="G127" s="832" t="n"/>
      <c r="H127" s="832" t="n"/>
      <c r="I127" s="832" t="n"/>
      <c r="J127" s="836" t="n"/>
    </row>
    <row r="128" customFormat="1" s="84">
      <c r="B128" s="795" t="n"/>
      <c r="C128" s="22" t="n"/>
      <c r="D128" s="832" t="n"/>
      <c r="E128" s="832" t="n"/>
      <c r="F128" s="832" t="n"/>
      <c r="G128" s="832" t="n"/>
      <c r="H128" s="832" t="n"/>
      <c r="I128" s="832" t="n"/>
      <c r="J128" s="836" t="n"/>
    </row>
    <row r="129" customFormat="1" s="84">
      <c r="B129" s="795" t="n"/>
      <c r="C129" s="22" t="n"/>
      <c r="D129" s="832" t="n"/>
      <c r="E129" s="832" t="n"/>
      <c r="F129" s="832" t="n"/>
      <c r="G129" s="832" t="n"/>
      <c r="H129" s="832" t="n"/>
      <c r="I129" s="832" t="n"/>
      <c r="J129" s="836" t="n"/>
    </row>
    <row r="130" customFormat="1" s="84">
      <c r="B130" s="795" t="n"/>
      <c r="C130" s="22" t="n"/>
      <c r="D130" s="832" t="n"/>
      <c r="E130" s="832" t="n"/>
      <c r="F130" s="832" t="n"/>
      <c r="G130" s="832" t="n"/>
      <c r="H130" s="832" t="n"/>
      <c r="I130" s="832" t="n"/>
      <c r="J130" s="836" t="n"/>
    </row>
    <row r="131" customFormat="1" s="84">
      <c r="B131" s="795" t="n"/>
      <c r="C131" s="22" t="n"/>
      <c r="D131" s="832" t="n"/>
      <c r="E131" s="832" t="n"/>
      <c r="F131" s="832" t="n"/>
      <c r="G131" s="832" t="n"/>
      <c r="H131" s="832" t="n"/>
      <c r="I131" s="832" t="n"/>
      <c r="J131" s="836" t="n"/>
    </row>
    <row r="132" customFormat="1" s="84">
      <c r="B132" s="795" t="n"/>
      <c r="C132" s="22" t="n"/>
      <c r="D132" s="832" t="n"/>
      <c r="E132" s="832" t="n"/>
      <c r="F132" s="832" t="n"/>
      <c r="G132" s="832" t="n"/>
      <c r="H132" s="832" t="n"/>
      <c r="I132" s="832" t="n"/>
      <c r="J132" s="836" t="n"/>
    </row>
    <row r="133" customFormat="1" s="84">
      <c r="B133" s="795" t="n"/>
      <c r="C133" s="22" t="n"/>
      <c r="D133" s="832" t="n"/>
      <c r="E133" s="832" t="n"/>
      <c r="F133" s="832" t="n"/>
      <c r="G133" s="832" t="n"/>
      <c r="H133" s="832" t="n"/>
      <c r="I133" s="832" t="n"/>
      <c r="J133" s="836" t="n"/>
    </row>
  </sheetData>
  <mergeCells count="31">
    <mergeCell ref="D36:D37"/>
    <mergeCell ref="D45:D46"/>
    <mergeCell ref="D13:D14"/>
    <mergeCell ref="D15:D16"/>
    <mergeCell ref="D38:D39"/>
    <mergeCell ref="D34:D35"/>
    <mergeCell ref="F7:F8"/>
    <mergeCell ref="C5:D5"/>
    <mergeCell ref="G7:G8"/>
    <mergeCell ref="D17:D18"/>
    <mergeCell ref="I7:I8"/>
    <mergeCell ref="C40:C41"/>
    <mergeCell ref="D6:D8"/>
    <mergeCell ref="E6:I6"/>
    <mergeCell ref="C17:C18"/>
    <mergeCell ref="J6:J8"/>
    <mergeCell ref="C34:C35"/>
    <mergeCell ref="C42:C43"/>
    <mergeCell ref="C44:C45"/>
    <mergeCell ref="D41:D42"/>
    <mergeCell ref="C36:C37"/>
    <mergeCell ref="D43:D44"/>
    <mergeCell ref="E7:E8"/>
    <mergeCell ref="D20:D21"/>
    <mergeCell ref="C38:C39"/>
    <mergeCell ref="B6:B8"/>
    <mergeCell ref="C3:J3"/>
    <mergeCell ref="H7:H8"/>
    <mergeCell ref="C6:C8"/>
    <mergeCell ref="C13:C14"/>
    <mergeCell ref="C15:C16"/>
  </mergeCells>
  <conditionalFormatting sqref="O10:O59 P10:P59 U10:U59 V10:V59 AA10:AA59 AB10:AB59 AG10:AG59 AH10:AH59 AM10:AM59 AN10:AN59 AS10:AS59 AT10:AT59 AY10:AY59 AZ10:AZ59 BE10:BE59 BF10:BF59 BK10:BK59 BL10:BL59 BQ10:BQ59 BR10:BR59 BW10:BW59 BX10:BX59 CC10:CC59 CD10:CD59 CI10:CI59 CJ10:CJ59 CO10:CO59 CP10:CP59 CU10:CU59 CV10:CV59 DA10:DA59 DB10:DB59 DG10:DG59 DH10:DH59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59 N10:N59 R10:R59 T10:T59 X10:X59 Z10:Z59 AD10:AD59 AF10:AF59 AJ10:AJ59 AL10:AL59 AP10:AP59 AR10:AR59 AV10:AV59 AX10:AX59 BB10:BB59 BD10:BD59 BH10:BH59 BJ10:BJ59 BN10:BN59 BP10:BP59 BT10:BT59 BV10:BV59 BZ10:BZ59 CB10:CB59 CF10:CF59 CH10:CH59 CL10:CL59 CN10:CN59 CR10:CR59 CT10:CT59 CX10:CX59 CZ10:CZ59 DD10:DD59 DF10:DF59">
    <cfRule type="cellIs" priority="4" operator="equal" dxfId="0">
      <formula>0</formula>
    </cfRule>
  </conditionalFormatting>
  <pageMargins left="0.25" right="0.25" top="0.75" bottom="0.75" header="0.3" footer="0.3"/>
  <pageSetup orientation="portrait" paperSize="9" scale="82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Лист8">
    <tabColor theme="8" tint="0.5999938962981048"/>
    <outlinePr summaryBelow="1" summaryRight="1"/>
    <pageSetUpPr fitToPage="1"/>
  </sheetPr>
  <dimension ref="A3:J262"/>
  <sheetViews>
    <sheetView topLeftCell="C1" zoomScale="60" zoomScaleNormal="60" zoomScaleSheetLayoutView="55" workbookViewId="0">
      <pane xSplit="8" ySplit="10" topLeftCell="K11" activePane="bottomRight" state="frozen"/>
      <selection activeCell="C1" sqref="C1"/>
      <selection pane="topRight" activeCell="K1" sqref="K1"/>
      <selection pane="bottomLeft" activeCell="C11" sqref="C11"/>
      <selection pane="bottomRight" activeCell="E1" sqref="E1:I1048576"/>
    </sheetView>
  </sheetViews>
  <sheetFormatPr baseColWidth="8" defaultColWidth="25" defaultRowHeight="19.5" outlineLevelRow="1"/>
  <cols>
    <col hidden="1" width="11.85546875" customWidth="1" style="86" min="1" max="1"/>
    <col hidden="1" width="22.5703125" customWidth="1" style="839" min="2" max="2"/>
    <col width="12.28515625" customWidth="1" style="795" min="3" max="3"/>
    <col width="72.7109375" customWidth="1" style="795" min="4" max="4"/>
    <col outlineLevel="1" width="24.42578125" customWidth="1" style="795" min="5" max="9"/>
    <col width="14" customWidth="1" style="795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8.75" customHeight="1" s="769"/>
    <row r="2" ht="21" customHeight="1" s="769"/>
    <row r="3" ht="21" customHeight="1" s="769">
      <c r="C3" s="794" t="inlineStr">
        <is>
          <t>Прогнозные показатели по переработке сырья, производству продукции, оказанию услуг по переработке углеводородного сырья на объектах ООО "Газпром переработка"</t>
        </is>
      </c>
    </row>
    <row r="4" ht="33" customHeight="1" s="769"/>
    <row r="5" ht="33" customHeight="1" s="769"/>
    <row r="6" ht="19.5" customHeight="1" s="769">
      <c r="C6" s="363" t="inlineStr">
        <is>
          <t>4. Комплекс УЗПКТ- СЗСК  ООО "Газпром переработка"</t>
        </is>
      </c>
    </row>
    <row r="7" ht="20.1" customHeight="1" s="769">
      <c r="B7" s="792" t="inlineStr">
        <is>
          <t>Код строки</t>
        </is>
      </c>
      <c r="C7" s="798" t="inlineStr">
        <is>
          <t>№ 
п/п</t>
        </is>
      </c>
      <c r="D7" s="790" t="inlineStr">
        <is>
          <t>Показатели</t>
        </is>
      </c>
      <c r="E7" s="770" t="inlineStr">
        <is>
          <t>Внутренние настройки листа</t>
        </is>
      </c>
      <c r="F7" s="771" t="n"/>
      <c r="G7" s="771" t="n"/>
      <c r="H7" s="771" t="n"/>
      <c r="I7" s="772" t="n"/>
      <c r="J7" s="790" t="inlineStr">
        <is>
          <t>Ед. изм.</t>
        </is>
      </c>
    </row>
    <row r="8" ht="39.95" customHeight="1" s="769">
      <c r="C8" s="766" t="n"/>
      <c r="D8" s="766" t="n"/>
      <c r="E8" s="752" t="inlineStr">
        <is>
          <t>Ключ статьи</t>
        </is>
      </c>
      <c r="F8" s="752" t="inlineStr">
        <is>
          <t>Ключ спец</t>
        </is>
      </c>
      <c r="G8" s="752" t="inlineStr">
        <is>
          <t>Ключ ввод данных</t>
        </is>
      </c>
      <c r="H8" s="752" t="inlineStr">
        <is>
          <t>Формулы месяца</t>
        </is>
      </c>
      <c r="I8" s="752" t="inlineStr">
        <is>
          <t>Формулы % выхода</t>
        </is>
      </c>
      <c r="J8" s="766" t="n"/>
    </row>
    <row r="9" ht="20.1" customHeight="1" s="769">
      <c r="C9" s="751" t="n"/>
      <c r="D9" s="751" t="n"/>
      <c r="E9" s="753" t="n"/>
      <c r="F9" s="753" t="n"/>
      <c r="G9" s="753" t="n"/>
      <c r="H9" s="753" t="n"/>
      <c r="I9" s="753" t="n"/>
      <c r="J9" s="751" t="n"/>
    </row>
    <row r="10" hidden="1" ht="20.1" customHeight="1" s="769">
      <c r="B10" s="792" t="n"/>
      <c r="C10" s="643" t="n"/>
      <c r="D10" s="654" t="n"/>
      <c r="E10" s="869" t="n"/>
      <c r="F10" s="869" t="n"/>
      <c r="G10" s="869" t="n"/>
      <c r="H10" s="869" t="n"/>
      <c r="I10" s="869" t="n"/>
      <c r="J10" s="654" t="n"/>
    </row>
    <row r="11" ht="65.25" customHeight="1" s="769">
      <c r="B11" s="792" t="n"/>
      <c r="C11" s="87" t="n">
        <v>1</v>
      </c>
      <c r="D11" s="788" t="inlineStr">
        <is>
          <t>ПОСТАВКА УГЛЕВОДОРОДНОГО СЫРЬЯ НА ЗАВОДЫ, ВСЕГО:</t>
        </is>
      </c>
      <c r="E11" s="528" t="inlineStr">
        <is>
          <t>100335853</t>
        </is>
      </c>
      <c r="F11" s="528" t="n"/>
      <c r="G11" s="529" t="n"/>
      <c r="H11" s="530" t="inlineStr">
        <is>
          <t>100331800+100331813</t>
        </is>
      </c>
      <c r="I11" s="530" t="n"/>
      <c r="J11" s="654" t="inlineStr">
        <is>
          <t>тыс.т.</t>
        </is>
      </c>
    </row>
    <row r="12" ht="37.5" customHeight="1" s="769">
      <c r="B12" s="88" t="inlineStr">
        <is>
          <t>4.1</t>
        </is>
      </c>
      <c r="C12" s="337" t="inlineStr">
        <is>
          <t>1.1</t>
        </is>
      </c>
      <c r="D12" s="779" t="inlineStr">
        <is>
          <t>ПОСТАВКА НЕСТАБИЛЬНОГО ГАЗОВОГО КОНДЕНСАТА, ВСЕГО:</t>
        </is>
      </c>
      <c r="E12" s="528" t="inlineStr">
        <is>
          <t>100331800</t>
        </is>
      </c>
      <c r="F12" s="528" t="n"/>
      <c r="G12" s="529" t="n"/>
      <c r="H12" s="530" t="inlineStr">
        <is>
          <t>100335854+100333682</t>
        </is>
      </c>
      <c r="I12" s="530" t="n"/>
      <c r="J12" s="647" t="inlineStr">
        <is>
          <t>тыс.т.</t>
        </is>
      </c>
    </row>
    <row r="13" ht="37.5" customHeight="1" s="769">
      <c r="B13" s="88" t="n"/>
      <c r="C13" s="838" t="inlineStr">
        <is>
          <t>1.1.1</t>
        </is>
      </c>
      <c r="D13" s="90" t="inlineStr">
        <is>
          <t>ПАО "ГАЗПРОМ":</t>
        </is>
      </c>
      <c r="E13" s="528" t="inlineStr">
        <is>
          <t>100335854</t>
        </is>
      </c>
      <c r="F13" s="528" t="n"/>
      <c r="G13" s="529" t="n"/>
      <c r="H13" s="530" t="inlineStr">
        <is>
          <t>100331801+100331804+100335033+100331811+100331812</t>
        </is>
      </c>
      <c r="I13" s="530" t="n"/>
      <c r="J13" s="861" t="inlineStr">
        <is>
          <t>тыс.т.</t>
        </is>
      </c>
    </row>
    <row r="14">
      <c r="B14" s="88" t="inlineStr">
        <is>
          <t>4.2</t>
        </is>
      </c>
      <c r="C14" s="797" t="inlineStr">
        <is>
          <t>1.1.1.1</t>
        </is>
      </c>
      <c r="D14" s="92" t="inlineStr">
        <is>
          <t>ООО "Газпром добыча Ямбург"</t>
        </is>
      </c>
      <c r="E14" s="528" t="inlineStr">
        <is>
          <t>100331801</t>
        </is>
      </c>
      <c r="F14" s="528" t="n"/>
      <c r="G14" s="529" t="n"/>
      <c r="H14" s="530" t="inlineStr">
        <is>
          <t>100331802+100331803</t>
        </is>
      </c>
      <c r="I14" s="530" t="n"/>
      <c r="J14" s="647" t="inlineStr">
        <is>
          <t>тыс.т.</t>
        </is>
      </c>
    </row>
    <row r="15">
      <c r="B15" s="88" t="inlineStr">
        <is>
          <t>4.3</t>
        </is>
      </c>
      <c r="C15" s="799" t="n"/>
      <c r="D15" s="93" t="inlineStr">
        <is>
          <t xml:space="preserve">Заполярное НГКМ </t>
        </is>
      </c>
      <c r="E15" s="528" t="inlineStr">
        <is>
          <t>100331802</t>
        </is>
      </c>
      <c r="F15" s="528" t="n"/>
      <c r="G15" s="529" t="n"/>
      <c r="H15" s="530" t="n"/>
      <c r="I15" s="530" t="n"/>
      <c r="J15" s="654" t="inlineStr">
        <is>
          <t>тыс.т.</t>
        </is>
      </c>
    </row>
    <row r="16">
      <c r="B16" s="88" t="inlineStr">
        <is>
          <t>4.4</t>
        </is>
      </c>
      <c r="C16" s="799" t="n"/>
      <c r="D16" s="93" t="inlineStr">
        <is>
          <t>Ямбургское НГКМ</t>
        </is>
      </c>
      <c r="E16" s="528" t="inlineStr">
        <is>
          <t>100331803</t>
        </is>
      </c>
      <c r="F16" s="528" t="n"/>
      <c r="G16" s="529" t="n"/>
      <c r="H16" s="530" t="n"/>
      <c r="I16" s="530" t="n"/>
      <c r="J16" s="654" t="inlineStr">
        <is>
          <t>тыс.т.</t>
        </is>
      </c>
    </row>
    <row r="17">
      <c r="B17" s="88" t="inlineStr">
        <is>
          <t>4.5</t>
        </is>
      </c>
      <c r="C17" s="799" t="n"/>
      <c r="D17" s="512" t="inlineStr">
        <is>
          <t>в т.ч. на мощностях  ПАО "НОВАТЭК"</t>
        </is>
      </c>
      <c r="E17" s="528" t="inlineStr">
        <is>
          <t>100335352</t>
        </is>
      </c>
      <c r="F17" s="528" t="n"/>
      <c r="G17" s="529" t="n"/>
      <c r="H17" s="530" t="n"/>
      <c r="I17" s="530" t="n"/>
      <c r="J17" s="654" t="inlineStr">
        <is>
          <t>тыс.т.</t>
        </is>
      </c>
    </row>
    <row r="18" ht="48" customHeight="1" s="769">
      <c r="B18" s="88" t="inlineStr">
        <is>
          <t>4.6</t>
        </is>
      </c>
      <c r="C18" s="797" t="inlineStr">
        <is>
          <t>1.1.1.2</t>
        </is>
      </c>
      <c r="D18" s="92" t="inlineStr">
        <is>
          <t>ООО "Газпром добыча Уренгой"</t>
        </is>
      </c>
      <c r="E18" s="528" t="inlineStr">
        <is>
          <t>100331804</t>
        </is>
      </c>
      <c r="F18" s="528" t="n"/>
      <c r="G18" s="529" t="n"/>
      <c r="H18" s="530" t="inlineStr">
        <is>
          <t>100331805+100335855+100331806+100335856+100331807+100331808+100335857+100335859+100335860+100337100</t>
        </is>
      </c>
      <c r="I18" s="530" t="n"/>
      <c r="J18" s="91" t="inlineStr">
        <is>
          <t>тыс.т.</t>
        </is>
      </c>
    </row>
    <row r="19">
      <c r="B19" s="88" t="inlineStr">
        <is>
          <t>4.7</t>
        </is>
      </c>
      <c r="C19" s="799" t="n"/>
      <c r="D19" s="93" t="inlineStr">
        <is>
          <t>Уренгойское НГКМ</t>
        </is>
      </c>
      <c r="E19" s="528" t="inlineStr">
        <is>
          <t>100331805</t>
        </is>
      </c>
      <c r="F19" s="528" t="n"/>
      <c r="G19" s="529" t="n"/>
      <c r="H19" s="530" t="n"/>
      <c r="I19" s="530" t="n"/>
      <c r="J19" s="91" t="inlineStr">
        <is>
          <t>тыс.т.</t>
        </is>
      </c>
    </row>
    <row r="20">
      <c r="B20" s="88" t="inlineStr">
        <is>
          <t>4.8</t>
        </is>
      </c>
      <c r="C20" s="799" t="n"/>
      <c r="D20" s="512" t="inlineStr">
        <is>
          <t>в т.ч. поставка на СЗСК</t>
        </is>
      </c>
      <c r="E20" s="528" t="inlineStr">
        <is>
          <t>100335334</t>
        </is>
      </c>
      <c r="F20" s="528" t="n"/>
      <c r="G20" s="529" t="n"/>
      <c r="H20" s="530" t="n"/>
      <c r="I20" s="530" t="n"/>
      <c r="J20" s="91" t="inlineStr">
        <is>
          <t>тыс.т.</t>
        </is>
      </c>
    </row>
    <row r="21">
      <c r="B21" s="88" t="n"/>
      <c r="C21" s="799" t="n"/>
      <c r="D21" s="371" t="inlineStr">
        <is>
          <t>C5+ от подготовки газа деэтанизации</t>
        </is>
      </c>
      <c r="E21" s="528" t="inlineStr">
        <is>
          <t>100337100</t>
        </is>
      </c>
      <c r="F21" s="528" t="n"/>
      <c r="G21" s="529" t="n"/>
      <c r="H21" s="530" t="n"/>
      <c r="I21" s="530" t="n"/>
      <c r="J21" s="372" t="inlineStr">
        <is>
          <t>тыс.т.</t>
        </is>
      </c>
    </row>
    <row r="22">
      <c r="B22" s="88" t="n"/>
      <c r="C22" s="799" t="n"/>
      <c r="D22" s="94" t="inlineStr">
        <is>
          <t>Уренгойское НГКМ фаза 3 (ДРОД)</t>
        </is>
      </c>
      <c r="E22" s="528" t="inlineStr">
        <is>
          <t>100335855</t>
        </is>
      </c>
      <c r="F22" s="528" t="n"/>
      <c r="G22" s="529" t="n"/>
      <c r="H22" s="530" t="n"/>
      <c r="I22" s="530" t="n"/>
      <c r="J22" s="91" t="inlineStr">
        <is>
          <t>тыс.т.</t>
        </is>
      </c>
    </row>
    <row r="23">
      <c r="B23" s="88" t="inlineStr">
        <is>
          <t>4.9</t>
        </is>
      </c>
      <c r="C23" s="799" t="n"/>
      <c r="D23" s="94" t="inlineStr">
        <is>
          <t>Ен-Яхинское НГКМ</t>
        </is>
      </c>
      <c r="E23" s="528" t="inlineStr">
        <is>
          <t>100331806</t>
        </is>
      </c>
      <c r="F23" s="528" t="n"/>
      <c r="G23" s="529" t="n"/>
      <c r="H23" s="530" t="n"/>
      <c r="I23" s="530" t="n"/>
      <c r="J23" s="91" t="inlineStr">
        <is>
          <t>тыс.т.</t>
        </is>
      </c>
    </row>
    <row r="24">
      <c r="B24" s="88" t="inlineStr">
        <is>
          <t>4.10</t>
        </is>
      </c>
      <c r="C24" s="799" t="n"/>
      <c r="D24" s="512" t="inlineStr">
        <is>
          <t>в т.ч. на мощностях  ПАО "НОВАТЭК"</t>
        </is>
      </c>
      <c r="E24" s="528" t="inlineStr">
        <is>
          <t>100335353</t>
        </is>
      </c>
      <c r="F24" s="528" t="n"/>
      <c r="G24" s="529" t="n"/>
      <c r="H24" s="530" t="n"/>
      <c r="I24" s="530" t="n"/>
      <c r="J24" s="91" t="inlineStr">
        <is>
          <t>тыс.т.</t>
        </is>
      </c>
    </row>
    <row r="25">
      <c r="B25" s="88" t="n"/>
      <c r="C25" s="799" t="n"/>
      <c r="D25" s="94" t="inlineStr">
        <is>
          <t>Ен-Яхинское НГКМ (ДРОД)</t>
        </is>
      </c>
      <c r="E25" s="528" t="inlineStr">
        <is>
          <t>100335856</t>
        </is>
      </c>
      <c r="F25" s="528" t="n"/>
      <c r="G25" s="529" t="n"/>
      <c r="H25" s="530" t="n"/>
      <c r="I25" s="530" t="n"/>
      <c r="J25" s="91" t="n"/>
    </row>
    <row r="26">
      <c r="B26" s="88" t="inlineStr">
        <is>
          <t>4.11</t>
        </is>
      </c>
      <c r="C26" s="799" t="n"/>
      <c r="D26" s="94" t="inlineStr">
        <is>
          <t>Ачимовские отл. 1 уч.</t>
        </is>
      </c>
      <c r="E26" s="528" t="inlineStr">
        <is>
          <t>100331807</t>
        </is>
      </c>
      <c r="F26" s="528" t="n"/>
      <c r="G26" s="529" t="n"/>
      <c r="H26" s="530" t="n"/>
      <c r="I26" s="530" t="n"/>
      <c r="J26" s="654" t="inlineStr">
        <is>
          <t>тыс.т.</t>
        </is>
      </c>
    </row>
    <row r="27">
      <c r="B27" s="88" t="inlineStr">
        <is>
          <t>4.12</t>
        </is>
      </c>
      <c r="C27" s="799" t="n"/>
      <c r="D27" s="94" t="inlineStr">
        <is>
          <t>Ачимовские отл. 2 уч.</t>
        </is>
      </c>
      <c r="E27" s="528" t="inlineStr">
        <is>
          <t>100331808</t>
        </is>
      </c>
      <c r="F27" s="528" t="n"/>
      <c r="G27" s="529" t="n"/>
      <c r="H27" s="530" t="n"/>
      <c r="I27" s="530" t="n"/>
      <c r="J27" s="654" t="inlineStr">
        <is>
          <t>тыс.т.</t>
        </is>
      </c>
    </row>
    <row r="28">
      <c r="B28" s="88" t="n"/>
      <c r="C28" s="799" t="n"/>
      <c r="D28" s="94" t="inlineStr">
        <is>
          <t>Ачимовские отл. 3 уч. (ДРОД)</t>
        </is>
      </c>
      <c r="E28" s="528" t="inlineStr">
        <is>
          <t>100335857</t>
        </is>
      </c>
      <c r="F28" s="528" t="n"/>
      <c r="G28" s="529" t="n"/>
      <c r="H28" s="530" t="n"/>
      <c r="I28" s="530" t="n"/>
      <c r="J28" s="654" t="inlineStr">
        <is>
          <t>тыс.т.</t>
        </is>
      </c>
    </row>
    <row r="29">
      <c r="B29" s="88" t="n"/>
      <c r="C29" s="799" t="n"/>
      <c r="D29" s="512" t="inlineStr">
        <is>
          <t>в т.ч. поставка на СЗСК</t>
        </is>
      </c>
      <c r="E29" s="528" t="inlineStr">
        <is>
          <t>100335858</t>
        </is>
      </c>
      <c r="F29" s="528" t="n"/>
      <c r="G29" s="529" t="n"/>
      <c r="H29" s="530" t="inlineStr">
        <is>
          <t>100335470</t>
        </is>
      </c>
      <c r="I29" s="530" t="n"/>
      <c r="J29" s="654" t="inlineStr">
        <is>
          <t>тыс.т.</t>
        </is>
      </c>
    </row>
    <row r="30">
      <c r="B30" s="88" t="n"/>
      <c r="C30" s="799" t="n"/>
      <c r="D30" s="94" t="inlineStr">
        <is>
          <t>Песцовое НГКМ (ДРОД)</t>
        </is>
      </c>
      <c r="E30" s="528" t="inlineStr">
        <is>
          <t>100335859</t>
        </is>
      </c>
      <c r="F30" s="528" t="n"/>
      <c r="G30" s="529" t="n"/>
      <c r="H30" s="530" t="n"/>
      <c r="I30" s="530" t="n"/>
      <c r="J30" s="654" t="inlineStr">
        <is>
          <t>тыс.т.</t>
        </is>
      </c>
    </row>
    <row r="31">
      <c r="B31" s="88" t="n"/>
      <c r="C31" s="799" t="n"/>
      <c r="D31" s="94" t="inlineStr">
        <is>
          <t>Песцовое НГКМ (ачим) (ДРОД)</t>
        </is>
      </c>
      <c r="E31" s="528" t="inlineStr">
        <is>
          <t>100335860</t>
        </is>
      </c>
      <c r="F31" s="528" t="n"/>
      <c r="G31" s="529" t="n"/>
      <c r="H31" s="530" t="n"/>
      <c r="I31" s="530" t="n"/>
      <c r="J31" s="654" t="inlineStr">
        <is>
          <t>тыс.т.</t>
        </is>
      </c>
    </row>
    <row r="32">
      <c r="B32" s="88" t="inlineStr">
        <is>
          <t>4.14</t>
        </is>
      </c>
      <c r="C32" s="797" t="inlineStr">
        <is>
          <t>1.1.1.3</t>
        </is>
      </c>
      <c r="D32" s="92" t="inlineStr">
        <is>
          <t>АО "Ачим сбыт"</t>
        </is>
      </c>
      <c r="E32" s="528" t="inlineStr">
        <is>
          <t>100335033</t>
        </is>
      </c>
      <c r="F32" s="528" t="n"/>
      <c r="G32" s="529" t="n"/>
      <c r="H32" s="530" t="inlineStr">
        <is>
          <t>SUM(100331809:100331810)</t>
        </is>
      </c>
      <c r="I32" s="530" t="n"/>
      <c r="J32" s="91" t="inlineStr">
        <is>
          <t>тыс.т.</t>
        </is>
      </c>
    </row>
    <row r="33">
      <c r="B33" s="88" t="inlineStr">
        <is>
          <t>4.15</t>
        </is>
      </c>
      <c r="C33" s="799" t="n"/>
      <c r="D33" s="93" t="inlineStr">
        <is>
          <t>Ачимовские отл. 4 уч.</t>
        </is>
      </c>
      <c r="E33" s="528" t="inlineStr">
        <is>
          <t>100331809</t>
        </is>
      </c>
      <c r="F33" s="528" t="n"/>
      <c r="G33" s="529" t="n"/>
      <c r="H33" s="530" t="n"/>
      <c r="I33" s="530" t="n"/>
      <c r="J33" s="91" t="inlineStr">
        <is>
          <t>тыс.т.</t>
        </is>
      </c>
    </row>
    <row r="34">
      <c r="B34" s="88" t="inlineStr">
        <is>
          <t>4.16</t>
        </is>
      </c>
      <c r="C34" s="799" t="n"/>
      <c r="D34" s="93" t="inlineStr">
        <is>
          <t>Ачимовские отл. 5 уч.</t>
        </is>
      </c>
      <c r="E34" s="528" t="inlineStr">
        <is>
          <t>100331810</t>
        </is>
      </c>
      <c r="F34" s="528" t="n"/>
      <c r="G34" s="529" t="n"/>
      <c r="H34" s="530" t="n"/>
      <c r="I34" s="530" t="n"/>
      <c r="J34" s="91" t="inlineStr">
        <is>
          <t>тыс.т.</t>
        </is>
      </c>
    </row>
    <row r="35">
      <c r="B35" s="95" t="inlineStr">
        <is>
          <t>4.21</t>
        </is>
      </c>
      <c r="C35" s="797" t="inlineStr">
        <is>
          <t>1.1.1.4</t>
        </is>
      </c>
      <c r="D35" s="92" t="inlineStr">
        <is>
          <t>АО "Сибнефтегаз"</t>
        </is>
      </c>
      <c r="E35" s="528" t="inlineStr">
        <is>
          <t>100331811</t>
        </is>
      </c>
      <c r="F35" s="528" t="n"/>
      <c r="G35" s="529" t="n"/>
      <c r="H35" s="530" t="inlineStr">
        <is>
          <t>100335861</t>
        </is>
      </c>
      <c r="I35" s="530" t="n"/>
      <c r="J35" s="91" t="inlineStr">
        <is>
          <t>тыс.т.</t>
        </is>
      </c>
    </row>
    <row r="36" ht="26.25" customHeight="1" s="769">
      <c r="B36" s="88" t="n"/>
      <c r="C36" s="799" t="n"/>
      <c r="D36" s="93" t="inlineStr">
        <is>
          <t>Береговое НГКМ</t>
        </is>
      </c>
      <c r="E36" s="528" t="inlineStr">
        <is>
          <t>100335861</t>
        </is>
      </c>
      <c r="F36" s="528" t="n"/>
      <c r="G36" s="529" t="n"/>
      <c r="H36" s="530" t="n"/>
      <c r="I36" s="530" t="n"/>
      <c r="J36" s="91" t="inlineStr">
        <is>
          <t>тыс.т.</t>
        </is>
      </c>
    </row>
    <row r="37">
      <c r="B37" s="88" t="inlineStr">
        <is>
          <t>4.22</t>
        </is>
      </c>
      <c r="C37" s="797" t="inlineStr">
        <is>
          <t>1.1.1.5</t>
        </is>
      </c>
      <c r="D37" s="92" t="inlineStr">
        <is>
          <t>ООО "Газпром добыча Ноябрьск"</t>
        </is>
      </c>
      <c r="E37" s="528" t="inlineStr">
        <is>
          <t>100331812</t>
        </is>
      </c>
      <c r="F37" s="528" t="n"/>
      <c r="G37" s="529" t="n"/>
      <c r="H37" s="530" t="inlineStr">
        <is>
          <t>100335862</t>
        </is>
      </c>
      <c r="I37" s="530" t="n"/>
      <c r="J37" s="91" t="inlineStr">
        <is>
          <t>тыс.т.</t>
        </is>
      </c>
    </row>
    <row r="38">
      <c r="B38" s="88" t="n"/>
      <c r="C38" s="799" t="n"/>
      <c r="D38" s="93" t="inlineStr">
        <is>
          <t>Западно-Таркосалинское НГКМ</t>
        </is>
      </c>
      <c r="E38" s="528" t="inlineStr">
        <is>
          <t>100335862</t>
        </is>
      </c>
      <c r="F38" s="528" t="n"/>
      <c r="G38" s="529" t="n"/>
      <c r="H38" s="530" t="n"/>
      <c r="I38" s="530" t="n"/>
      <c r="J38" s="91" t="inlineStr">
        <is>
          <t>тыс.т.</t>
        </is>
      </c>
    </row>
    <row r="39">
      <c r="B39" s="88" t="n"/>
      <c r="C39" s="799" t="n"/>
      <c r="D39" s="512" t="inlineStr">
        <is>
          <t>в т.ч. поставка на СЗСК</t>
        </is>
      </c>
      <c r="E39" s="528" t="inlineStr">
        <is>
          <t>100335863</t>
        </is>
      </c>
      <c r="F39" s="528" t="n"/>
      <c r="G39" s="529" t="n"/>
      <c r="H39" s="530" t="inlineStr">
        <is>
          <t>100335862</t>
        </is>
      </c>
      <c r="I39" s="530" t="n"/>
      <c r="J39" s="91" t="inlineStr">
        <is>
          <t>тыс.т.</t>
        </is>
      </c>
    </row>
    <row r="40">
      <c r="B40" s="65" t="inlineStr">
        <is>
          <t>4.20</t>
        </is>
      </c>
      <c r="C40" s="799" t="inlineStr">
        <is>
          <t>1.1.2</t>
        </is>
      </c>
      <c r="D40" s="90" t="inlineStr">
        <is>
          <t xml:space="preserve">ООО "ГАЗПРОМ ПЕРЕРАБОТКА" </t>
        </is>
      </c>
      <c r="E40" s="528" t="inlineStr">
        <is>
          <t>100333682</t>
        </is>
      </c>
      <c r="F40" s="528" t="n"/>
      <c r="G40" s="529" t="n"/>
      <c r="H40" s="530" t="n"/>
      <c r="I40" s="530" t="n"/>
      <c r="J40" s="91" t="inlineStr">
        <is>
          <t>тыс.т.</t>
        </is>
      </c>
    </row>
    <row r="41" ht="24" customHeight="1" s="769">
      <c r="B41" s="88" t="inlineStr">
        <is>
          <t>4.23</t>
        </is>
      </c>
      <c r="C41" s="337" t="inlineStr">
        <is>
          <t>1.2</t>
        </is>
      </c>
      <c r="D41" s="842" t="inlineStr">
        <is>
          <t>ПОСТАВКА НЕФТИ, ВСЕГО:</t>
        </is>
      </c>
      <c r="E41" s="528" t="inlineStr">
        <is>
          <t>100331813</t>
        </is>
      </c>
      <c r="F41" s="528" t="n"/>
      <c r="G41" s="529" t="n"/>
      <c r="H41" s="530" t="inlineStr">
        <is>
          <t>100335864+100333678+100335034</t>
        </is>
      </c>
      <c r="I41" s="530" t="n"/>
      <c r="J41" s="91" t="inlineStr">
        <is>
          <t>тыс.т.</t>
        </is>
      </c>
    </row>
    <row r="42">
      <c r="B42" s="88" t="n"/>
      <c r="C42" s="799" t="inlineStr">
        <is>
          <t>1.2.1</t>
        </is>
      </c>
      <c r="D42" s="90" t="inlineStr">
        <is>
          <t>ПАО "ГАЗПРОМ":</t>
        </is>
      </c>
      <c r="E42" s="528" t="inlineStr">
        <is>
          <t>100335864</t>
        </is>
      </c>
      <c r="F42" s="528" t="n"/>
      <c r="G42" s="529" t="n"/>
      <c r="H42" s="530" t="inlineStr">
        <is>
          <t>100335865</t>
        </is>
      </c>
      <c r="I42" s="530" t="n"/>
      <c r="J42" s="91" t="inlineStr">
        <is>
          <t>тыс.т.</t>
        </is>
      </c>
    </row>
    <row r="43">
      <c r="B43" s="88" t="n"/>
      <c r="C43" s="337" t="n"/>
      <c r="D43" s="96" t="inlineStr">
        <is>
          <t>ООО "Газпром добыча Уренгой"</t>
        </is>
      </c>
      <c r="E43" s="528" t="inlineStr">
        <is>
          <t>100335865</t>
        </is>
      </c>
      <c r="F43" s="528" t="n"/>
      <c r="G43" s="529" t="n"/>
      <c r="H43" s="530" t="inlineStr">
        <is>
          <t>100331814</t>
        </is>
      </c>
      <c r="I43" s="530" t="n"/>
      <c r="J43" s="91" t="inlineStr">
        <is>
          <t>тыс.т.</t>
        </is>
      </c>
    </row>
    <row r="44">
      <c r="B44" s="88" t="inlineStr">
        <is>
          <t>4.24</t>
        </is>
      </c>
      <c r="C44" s="838" t="n"/>
      <c r="D44" s="97" t="inlineStr">
        <is>
          <t>Уренгойское НГКМ</t>
        </is>
      </c>
      <c r="E44" s="528" t="inlineStr">
        <is>
          <t>100331814</t>
        </is>
      </c>
      <c r="F44" s="528" t="n"/>
      <c r="G44" s="529" t="n"/>
      <c r="H44" s="530" t="inlineStr">
        <is>
          <t>100331815+100331963</t>
        </is>
      </c>
      <c r="I44" s="530" t="n"/>
      <c r="J44" s="91" t="inlineStr">
        <is>
          <t>тыс.т.</t>
        </is>
      </c>
    </row>
    <row r="45">
      <c r="B45" s="88" t="inlineStr">
        <is>
          <t>4.25</t>
        </is>
      </c>
      <c r="C45" s="838" t="n"/>
      <c r="D45" s="512" t="inlineStr">
        <is>
          <t>в т.ч. поставка на СЗСК</t>
        </is>
      </c>
      <c r="E45" s="528" t="inlineStr">
        <is>
          <t>100331815</t>
        </is>
      </c>
      <c r="F45" s="528" t="n"/>
      <c r="G45" s="529" t="n"/>
      <c r="H45" s="530" t="n"/>
      <c r="I45" s="530" t="n"/>
      <c r="J45" s="91" t="inlineStr">
        <is>
          <t>тыс.т.</t>
        </is>
      </c>
    </row>
    <row r="46">
      <c r="B46" s="88" t="inlineStr">
        <is>
          <t>4.26</t>
        </is>
      </c>
      <c r="C46" s="838" t="n"/>
      <c r="D46" s="512" t="inlineStr">
        <is>
          <t>в т.ч нефть на УЗПКТ (НПС)</t>
        </is>
      </c>
      <c r="E46" s="528" t="inlineStr">
        <is>
          <t>100331963</t>
        </is>
      </c>
      <c r="F46" s="528" t="n"/>
      <c r="G46" s="529" t="n"/>
      <c r="H46" s="530" t="n"/>
      <c r="I46" s="530" t="n"/>
      <c r="J46" s="91" t="inlineStr">
        <is>
          <t>тыс.т.</t>
        </is>
      </c>
    </row>
    <row r="47">
      <c r="B47" s="88" t="inlineStr">
        <is>
          <t>4.27</t>
        </is>
      </c>
      <c r="C47" s="799" t="inlineStr">
        <is>
          <t>1.2.2</t>
        </is>
      </c>
      <c r="D47" s="90" t="inlineStr">
        <is>
          <t xml:space="preserve">ООО "ГАЗПРОМ ПЕРЕРАБОТКА" </t>
        </is>
      </c>
      <c r="E47" s="528" t="inlineStr">
        <is>
          <t>100333678</t>
        </is>
      </c>
      <c r="F47" s="528" t="n"/>
      <c r="G47" s="529" t="n"/>
      <c r="H47" s="530" t="n"/>
      <c r="I47" s="530" t="n"/>
      <c r="J47" s="91" t="inlineStr">
        <is>
          <t>тыс.т.</t>
        </is>
      </c>
    </row>
    <row r="48">
      <c r="B48" s="88" t="inlineStr">
        <is>
          <t>4.28</t>
        </is>
      </c>
      <c r="C48" s="799" t="inlineStr">
        <is>
          <t>1.2.3</t>
        </is>
      </c>
      <c r="D48" s="90" t="inlineStr">
        <is>
          <t>ООО "ГАЗПРОМ ДОБЫЧА УРЕНГОЙ"</t>
        </is>
      </c>
      <c r="E48" s="528" t="inlineStr">
        <is>
          <t>100335034</t>
        </is>
      </c>
      <c r="F48" s="528" t="n"/>
      <c r="G48" s="529" t="n"/>
      <c r="H48" s="530" t="n"/>
      <c r="I48" s="530" t="n"/>
      <c r="J48" s="91" t="inlineStr">
        <is>
          <t>тыс.т.</t>
        </is>
      </c>
    </row>
    <row r="49">
      <c r="B49" s="65" t="inlineStr">
        <is>
          <t>4.17</t>
        </is>
      </c>
      <c r="C49" s="799" t="n"/>
      <c r="D49" s="98" t="inlineStr">
        <is>
          <t>Справочно:</t>
        </is>
      </c>
      <c r="E49" s="528" t="n"/>
      <c r="F49" s="528" t="n"/>
      <c r="G49" s="529" t="n"/>
      <c r="H49" s="530" t="n"/>
      <c r="I49" s="530" t="n"/>
      <c r="J49" s="91" t="n"/>
    </row>
    <row r="50" ht="24" customHeight="1" s="769">
      <c r="B50" s="65" t="inlineStr">
        <is>
          <t>4.18</t>
        </is>
      </c>
      <c r="C50" s="799" t="n"/>
      <c r="D50" s="99" t="inlineStr">
        <is>
          <t>Ачимовские отл. всего (без ДРОД)</t>
        </is>
      </c>
      <c r="E50" s="528" t="inlineStr">
        <is>
          <t>100335354</t>
        </is>
      </c>
      <c r="F50" s="528" t="n"/>
      <c r="G50" s="529" t="n"/>
      <c r="H50" s="530" t="inlineStr">
        <is>
          <t>100331807+100331808+100331809+100331810</t>
        </is>
      </c>
      <c r="I50" s="530" t="n"/>
      <c r="J50" s="91" t="inlineStr">
        <is>
          <t>тыс.т.</t>
        </is>
      </c>
    </row>
    <row r="51">
      <c r="B51" s="65" t="inlineStr">
        <is>
          <t>4.19</t>
        </is>
      </c>
      <c r="C51" s="799" t="n"/>
      <c r="D51" s="100" t="inlineStr">
        <is>
          <t>в т.ч.  на мощности мобильных уст." на процессинг</t>
        </is>
      </c>
      <c r="E51" s="528" t="inlineStr">
        <is>
          <t>100335355</t>
        </is>
      </c>
      <c r="F51" s="528" t="n"/>
      <c r="G51" s="529" t="n"/>
      <c r="H51" s="530" t="n"/>
      <c r="I51" s="530" t="n"/>
      <c r="J51" s="91" t="inlineStr">
        <is>
          <t>тыс.т.</t>
        </is>
      </c>
    </row>
    <row r="52" ht="37.5" customFormat="1" customHeight="1" s="84">
      <c r="A52" s="946" t="n"/>
      <c r="B52" s="101" t="inlineStr">
        <is>
          <t>4.49</t>
        </is>
      </c>
      <c r="C52" s="834" t="n">
        <v>2</v>
      </c>
      <c r="D52" s="842" t="inlineStr">
        <is>
          <t>ПЕРЕРАБОТКА УГЛЕВОДОРОДНОГО СЫРЬЯ 
ПАО "ГАЗПРОМ":</t>
        </is>
      </c>
      <c r="E52" s="528" t="inlineStr">
        <is>
          <t>100331826</t>
        </is>
      </c>
      <c r="F52" s="528" t="n"/>
      <c r="G52" s="529" t="n"/>
      <c r="H52" s="530" t="inlineStr">
        <is>
          <t>100331827+100331837+100335292-100335295</t>
        </is>
      </c>
      <c r="I52" s="530" t="n"/>
      <c r="J52" s="102" t="inlineStr">
        <is>
          <t>тыс.т.</t>
        </is>
      </c>
    </row>
    <row r="53" ht="37.5" customFormat="1" customHeight="1" s="103">
      <c r="A53" s="104" t="n"/>
      <c r="B53" s="88" t="inlineStr">
        <is>
          <t>4.56</t>
        </is>
      </c>
      <c r="C53" s="797" t="inlineStr">
        <is>
          <t>2.1</t>
        </is>
      </c>
      <c r="D53" s="788" t="inlineStr">
        <is>
          <t>ПЕРЕРАБОТКА НЕСТАБИЛЬНОГО ГАЗОВОГО КОНДЕНСАТА, ПАО "ГАЗПРОМ" ВСЕГО:</t>
        </is>
      </c>
      <c r="E53" s="528" t="inlineStr">
        <is>
          <t>100331827</t>
        </is>
      </c>
      <c r="F53" s="528" t="n"/>
      <c r="G53" s="529" t="n"/>
      <c r="H53" s="530" t="inlineStr">
        <is>
          <t>100331828+100331831+100331835+100331836+100335040</t>
        </is>
      </c>
      <c r="I53" s="530" t="n"/>
      <c r="J53" s="91" t="inlineStr">
        <is>
          <t>тыс.т.</t>
        </is>
      </c>
    </row>
    <row r="54">
      <c r="B54" s="88" t="inlineStr">
        <is>
          <t>4.57</t>
        </is>
      </c>
      <c r="C54" s="797" t="n"/>
      <c r="D54" s="105" t="inlineStr">
        <is>
          <t>ООО "Газпром добыча Ямбург"</t>
        </is>
      </c>
      <c r="E54" s="528" t="inlineStr">
        <is>
          <t>100331828</t>
        </is>
      </c>
      <c r="F54" s="528" t="n"/>
      <c r="G54" s="529" t="n"/>
      <c r="H54" s="530" t="inlineStr">
        <is>
          <t>100331829+100331830</t>
        </is>
      </c>
      <c r="I54" s="530" t="n"/>
      <c r="J54" s="106" t="inlineStr">
        <is>
          <t>тыс.т.</t>
        </is>
      </c>
    </row>
    <row r="55">
      <c r="B55" s="88" t="inlineStr">
        <is>
          <t>4.58</t>
        </is>
      </c>
      <c r="C55" s="799" t="n"/>
      <c r="D55" s="107" t="inlineStr">
        <is>
          <t xml:space="preserve">Заполярное НГКМ </t>
        </is>
      </c>
      <c r="E55" s="528" t="inlineStr">
        <is>
          <t>100331829</t>
        </is>
      </c>
      <c r="F55" s="528" t="n"/>
      <c r="G55" s="529" t="n"/>
      <c r="H55" s="530" t="inlineStr">
        <is>
          <t>100331802</t>
        </is>
      </c>
      <c r="I55" s="530" t="n"/>
      <c r="J55" s="91" t="inlineStr">
        <is>
          <t>тыс.т.</t>
        </is>
      </c>
    </row>
    <row r="56">
      <c r="B56" s="88" t="inlineStr">
        <is>
          <t>4.59</t>
        </is>
      </c>
      <c r="C56" s="799" t="n"/>
      <c r="D56" s="107" t="inlineStr">
        <is>
          <t>Ямбургское НГКМ</t>
        </is>
      </c>
      <c r="E56" s="528" t="inlineStr">
        <is>
          <t>100331830</t>
        </is>
      </c>
      <c r="F56" s="528" t="n"/>
      <c r="G56" s="529" t="n"/>
      <c r="H56" s="530" t="inlineStr">
        <is>
          <t>100331803</t>
        </is>
      </c>
      <c r="I56" s="530" t="n"/>
      <c r="J56" s="91" t="inlineStr">
        <is>
          <t>тыс.т.</t>
        </is>
      </c>
    </row>
    <row r="57" ht="48" customHeight="1" s="769">
      <c r="B57" s="88" t="inlineStr">
        <is>
          <t>4.60</t>
        </is>
      </c>
      <c r="C57" s="797" t="n"/>
      <c r="D57" s="105" t="inlineStr">
        <is>
          <t>ООО "Газпром добыча Уренгой"</t>
        </is>
      </c>
      <c r="E57" s="528" t="inlineStr">
        <is>
          <t>100331831</t>
        </is>
      </c>
      <c r="F57" s="528" t="n"/>
      <c r="G57" s="529" t="n"/>
      <c r="H57" s="530" t="inlineStr">
        <is>
          <t>100331832+100331833+100331834+100335866+100335867+100335868+100335869+100335870+100335871+100337101</t>
        </is>
      </c>
      <c r="I57" s="530" t="n"/>
      <c r="J57" s="91" t="inlineStr">
        <is>
          <t>тыс.т.</t>
        </is>
      </c>
    </row>
    <row r="58">
      <c r="B58" s="88" t="inlineStr">
        <is>
          <t>4.61</t>
        </is>
      </c>
      <c r="C58" s="799" t="n"/>
      <c r="D58" s="107" t="inlineStr">
        <is>
          <t>Уренгойское НГКМ</t>
        </is>
      </c>
      <c r="E58" s="528" t="inlineStr">
        <is>
          <t>100331832</t>
        </is>
      </c>
      <c r="F58" s="528" t="n"/>
      <c r="G58" s="529" t="n"/>
      <c r="H58" s="530" t="inlineStr">
        <is>
          <t>100331805</t>
        </is>
      </c>
      <c r="I58" s="530" t="n"/>
      <c r="J58" s="91" t="inlineStr">
        <is>
          <t>тыс.т.</t>
        </is>
      </c>
    </row>
    <row r="59">
      <c r="B59" s="88" t="n"/>
      <c r="C59" s="799" t="n"/>
      <c r="D59" s="373" t="inlineStr">
        <is>
          <t>C5+ от подготовки газа деэтанизации</t>
        </is>
      </c>
      <c r="E59" s="528" t="inlineStr">
        <is>
          <t>100337101</t>
        </is>
      </c>
      <c r="F59" s="528" t="n"/>
      <c r="G59" s="529" t="n"/>
      <c r="H59" s="530" t="inlineStr">
        <is>
          <t>100337100</t>
        </is>
      </c>
      <c r="I59" s="530" t="n"/>
      <c r="J59" s="372" t="inlineStr">
        <is>
          <t>тыс.т.</t>
        </is>
      </c>
    </row>
    <row r="60">
      <c r="B60" s="88" t="n"/>
      <c r="C60" s="799" t="n"/>
      <c r="D60" s="108" t="inlineStr">
        <is>
          <t>Уренгойское НГКМ фаза 3 (ДРОД)</t>
        </is>
      </c>
      <c r="E60" s="528" t="inlineStr">
        <is>
          <t>100335866</t>
        </is>
      </c>
      <c r="F60" s="528" t="n"/>
      <c r="G60" s="529" t="n"/>
      <c r="H60" s="530" t="inlineStr">
        <is>
          <t>100335855</t>
        </is>
      </c>
      <c r="I60" s="530" t="n"/>
      <c r="J60" s="91" t="inlineStr">
        <is>
          <t>тыс.т.</t>
        </is>
      </c>
    </row>
    <row r="61">
      <c r="B61" s="88" t="inlineStr">
        <is>
          <t>4.63</t>
        </is>
      </c>
      <c r="C61" s="799" t="n"/>
      <c r="D61" s="108" t="inlineStr">
        <is>
          <t>Ен-Яхинское НГКМ</t>
        </is>
      </c>
      <c r="E61" s="528" t="inlineStr">
        <is>
          <t>100331833</t>
        </is>
      </c>
      <c r="F61" s="528" t="n"/>
      <c r="G61" s="529" t="n"/>
      <c r="H61" s="530" t="inlineStr">
        <is>
          <t>100331806</t>
        </is>
      </c>
      <c r="I61" s="530" t="n"/>
      <c r="J61" s="91" t="inlineStr">
        <is>
          <t>тыс.т.</t>
        </is>
      </c>
    </row>
    <row r="62">
      <c r="B62" s="88" t="n"/>
      <c r="C62" s="799" t="n"/>
      <c r="D62" s="108" t="inlineStr">
        <is>
          <t>Ен-Яхинское НГКМ (ДРОД)</t>
        </is>
      </c>
      <c r="E62" s="528" t="inlineStr">
        <is>
          <t>100335867</t>
        </is>
      </c>
      <c r="F62" s="528" t="n"/>
      <c r="G62" s="529" t="n"/>
      <c r="H62" s="530" t="inlineStr">
        <is>
          <t>100335856</t>
        </is>
      </c>
      <c r="I62" s="530" t="n"/>
      <c r="J62" s="91" t="inlineStr">
        <is>
          <t>тыс.т.</t>
        </is>
      </c>
    </row>
    <row r="63">
      <c r="B63" s="88" t="inlineStr">
        <is>
          <t>4.64</t>
        </is>
      </c>
      <c r="C63" s="799" t="n"/>
      <c r="D63" s="108" t="inlineStr">
        <is>
          <t>Ачимовские отл. 1 уч.</t>
        </is>
      </c>
      <c r="E63" s="528" t="inlineStr">
        <is>
          <t>100331834</t>
        </is>
      </c>
      <c r="F63" s="528" t="n"/>
      <c r="G63" s="529" t="n"/>
      <c r="H63" s="530" t="inlineStr">
        <is>
          <t>100331807</t>
        </is>
      </c>
      <c r="I63" s="530" t="n"/>
      <c r="J63" s="91" t="inlineStr">
        <is>
          <t>тыс.т.</t>
        </is>
      </c>
    </row>
    <row r="64">
      <c r="B64" s="88" t="n"/>
      <c r="C64" s="799" t="n"/>
      <c r="D64" s="108" t="inlineStr">
        <is>
          <t>Ачимовские отл. 2 уч.</t>
        </is>
      </c>
      <c r="E64" s="528" t="inlineStr">
        <is>
          <t>100335868</t>
        </is>
      </c>
      <c r="F64" s="528" t="n"/>
      <c r="G64" s="529" t="n"/>
      <c r="H64" s="530" t="inlineStr">
        <is>
          <t>100331808</t>
        </is>
      </c>
      <c r="I64" s="530" t="n"/>
      <c r="J64" s="91" t="inlineStr">
        <is>
          <t>тыс.т.</t>
        </is>
      </c>
    </row>
    <row r="65">
      <c r="B65" s="88" t="n"/>
      <c r="C65" s="799" t="n"/>
      <c r="D65" s="108" t="inlineStr">
        <is>
          <t>Ачимовские отл. 3 уч. (ДРОД)</t>
        </is>
      </c>
      <c r="E65" s="528" t="inlineStr">
        <is>
          <t>100335869</t>
        </is>
      </c>
      <c r="F65" s="528" t="n"/>
      <c r="G65" s="529" t="n"/>
      <c r="H65" s="530" t="inlineStr">
        <is>
          <t>100335857</t>
        </is>
      </c>
      <c r="I65" s="530" t="n"/>
      <c r="J65" s="91" t="inlineStr">
        <is>
          <t>тыс.т.</t>
        </is>
      </c>
    </row>
    <row r="66">
      <c r="B66" s="88" t="n"/>
      <c r="C66" s="799" t="n"/>
      <c r="D66" s="108" t="inlineStr">
        <is>
          <t>Песцовое НГКМ (ДРОД)</t>
        </is>
      </c>
      <c r="E66" s="528" t="inlineStr">
        <is>
          <t>100335870</t>
        </is>
      </c>
      <c r="F66" s="528" t="n"/>
      <c r="G66" s="529" t="n"/>
      <c r="H66" s="530" t="inlineStr">
        <is>
          <t>100335859</t>
        </is>
      </c>
      <c r="I66" s="530" t="n"/>
      <c r="J66" s="91" t="inlineStr">
        <is>
          <t>тыс.т.</t>
        </is>
      </c>
    </row>
    <row r="67">
      <c r="B67" s="88" t="n"/>
      <c r="C67" s="799" t="n"/>
      <c r="D67" s="108" t="inlineStr">
        <is>
          <t>Песцовое НГКМ (ачим) (ДРОД)</t>
        </is>
      </c>
      <c r="E67" s="528" t="inlineStr">
        <is>
          <t>100335871</t>
        </is>
      </c>
      <c r="F67" s="528" t="n"/>
      <c r="G67" s="529" t="n"/>
      <c r="H67" s="530" t="inlineStr">
        <is>
          <t>100335860</t>
        </is>
      </c>
      <c r="I67" s="530" t="n"/>
      <c r="J67" s="91" t="inlineStr">
        <is>
          <t>тыс.т.</t>
        </is>
      </c>
    </row>
    <row r="68">
      <c r="B68" s="88" t="inlineStr">
        <is>
          <t>4.66</t>
        </is>
      </c>
      <c r="C68" s="797" t="n"/>
      <c r="D68" s="105" t="inlineStr">
        <is>
          <t>АО "Ачим сбыт"</t>
        </is>
      </c>
      <c r="E68" s="528" t="inlineStr">
        <is>
          <t>100335040</t>
        </is>
      </c>
      <c r="F68" s="528" t="n"/>
      <c r="G68" s="529" t="n"/>
      <c r="H68" s="530" t="inlineStr">
        <is>
          <t>100335041+100335872</t>
        </is>
      </c>
      <c r="I68" s="530" t="n"/>
      <c r="J68" s="91" t="inlineStr">
        <is>
          <t>тыс.т.</t>
        </is>
      </c>
    </row>
    <row r="69">
      <c r="B69" s="88" t="inlineStr">
        <is>
          <t>4.67</t>
        </is>
      </c>
      <c r="C69" s="799" t="n"/>
      <c r="D69" s="107" t="inlineStr">
        <is>
          <t>Ачимовские отл. 4 уч.</t>
        </is>
      </c>
      <c r="E69" s="528" t="inlineStr">
        <is>
          <t>100335041</t>
        </is>
      </c>
      <c r="F69" s="528" t="n"/>
      <c r="G69" s="529" t="n"/>
      <c r="H69" s="530" t="inlineStr">
        <is>
          <t>100331809</t>
        </is>
      </c>
      <c r="I69" s="530" t="n"/>
      <c r="J69" s="91" t="inlineStr">
        <is>
          <t>тыс.т.</t>
        </is>
      </c>
    </row>
    <row r="70">
      <c r="B70" s="88" t="n"/>
      <c r="C70" s="799" t="n"/>
      <c r="D70" s="107" t="inlineStr">
        <is>
          <t>Ачимовские отл. 5 уч.</t>
        </is>
      </c>
      <c r="E70" s="528" t="inlineStr">
        <is>
          <t>100335872</t>
        </is>
      </c>
      <c r="F70" s="528" t="n"/>
      <c r="G70" s="529" t="n"/>
      <c r="H70" s="530" t="inlineStr">
        <is>
          <t>100331810</t>
        </is>
      </c>
      <c r="I70" s="530" t="n"/>
      <c r="J70" s="91" t="inlineStr">
        <is>
          <t>тыс.т.</t>
        </is>
      </c>
    </row>
    <row r="71">
      <c r="B71" s="88" t="inlineStr">
        <is>
          <t>4.68</t>
        </is>
      </c>
      <c r="C71" s="797" t="n"/>
      <c r="D71" s="105" t="inlineStr">
        <is>
          <t>АО "Сибнефтегаз"</t>
        </is>
      </c>
      <c r="E71" s="528" t="inlineStr">
        <is>
          <t>100331835</t>
        </is>
      </c>
      <c r="F71" s="528" t="n"/>
      <c r="G71" s="529" t="n"/>
      <c r="H71" s="530" t="inlineStr">
        <is>
          <t>100335873</t>
        </is>
      </c>
      <c r="I71" s="530" t="n"/>
      <c r="J71" s="91" t="inlineStr">
        <is>
          <t>тыс.т.</t>
        </is>
      </c>
    </row>
    <row r="72">
      <c r="B72" s="88" t="n"/>
      <c r="C72" s="799" t="n"/>
      <c r="D72" s="107" t="inlineStr">
        <is>
          <t>Береговое НГКМ</t>
        </is>
      </c>
      <c r="E72" s="528" t="inlineStr">
        <is>
          <t>100335873</t>
        </is>
      </c>
      <c r="F72" s="528" t="n"/>
      <c r="G72" s="529" t="n"/>
      <c r="H72" s="530" t="inlineStr">
        <is>
          <t>100335861</t>
        </is>
      </c>
      <c r="I72" s="530" t="n"/>
      <c r="J72" s="91" t="inlineStr">
        <is>
          <t>тыс.т.</t>
        </is>
      </c>
    </row>
    <row r="73">
      <c r="B73" s="88" t="inlineStr">
        <is>
          <t>4.69</t>
        </is>
      </c>
      <c r="C73" s="797" t="n"/>
      <c r="D73" s="105" t="inlineStr">
        <is>
          <t>ООО "Газпром добыча Ноябрьск"</t>
        </is>
      </c>
      <c r="E73" s="528" t="inlineStr">
        <is>
          <t>100331836</t>
        </is>
      </c>
      <c r="F73" s="528" t="n"/>
      <c r="G73" s="529" t="n"/>
      <c r="H73" s="530" t="inlineStr">
        <is>
          <t>100335874</t>
        </is>
      </c>
      <c r="I73" s="530" t="n"/>
      <c r="J73" s="91" t="inlineStr">
        <is>
          <t>тыс.т.</t>
        </is>
      </c>
    </row>
    <row r="74">
      <c r="B74" s="88" t="n"/>
      <c r="C74" s="799" t="n"/>
      <c r="D74" s="107" t="inlineStr">
        <is>
          <t>Западно-Таркосалинское НГКМ</t>
        </is>
      </c>
      <c r="E74" s="528" t="inlineStr">
        <is>
          <t>100335874</t>
        </is>
      </c>
      <c r="F74" s="528" t="n"/>
      <c r="G74" s="529" t="n"/>
      <c r="H74" s="530" t="inlineStr">
        <is>
          <t>100335862</t>
        </is>
      </c>
      <c r="I74" s="530" t="n"/>
      <c r="J74" s="91" t="inlineStr">
        <is>
          <t>тыс.т.</t>
        </is>
      </c>
    </row>
    <row r="75">
      <c r="B75" s="88" t="inlineStr">
        <is>
          <t>4.73</t>
        </is>
      </c>
      <c r="C75" s="337" t="inlineStr">
        <is>
          <t>2.2</t>
        </is>
      </c>
      <c r="D75" s="842" t="inlineStr">
        <is>
          <t>ПЕРЕРАБОТКА НЕФТИ, ПАО "Газпром"</t>
        </is>
      </c>
      <c r="E75" s="528" t="inlineStr">
        <is>
          <t>100331837</t>
        </is>
      </c>
      <c r="F75" s="528" t="n"/>
      <c r="G75" s="529" t="n"/>
      <c r="H75" s="530" t="inlineStr">
        <is>
          <t>100331815+100331963</t>
        </is>
      </c>
      <c r="I75" s="530" t="n"/>
      <c r="J75" s="91" t="inlineStr">
        <is>
          <t>тыс.т.</t>
        </is>
      </c>
    </row>
    <row r="76">
      <c r="B76" s="88" t="inlineStr">
        <is>
          <t>4.89</t>
        </is>
      </c>
      <c r="C76" s="834" t="inlineStr">
        <is>
          <t>3</t>
        </is>
      </c>
      <c r="D76" s="109" t="inlineStr">
        <is>
          <t>ПРИСАДКИ (ДОБАВКИ), ВСЕГО:</t>
        </is>
      </c>
      <c r="E76" s="528" t="inlineStr">
        <is>
          <t>100331847</t>
        </is>
      </c>
      <c r="F76" s="528" t="n"/>
      <c r="G76" s="529" t="n"/>
      <c r="H76" s="530" t="inlineStr">
        <is>
          <t>100331848+100331849</t>
        </is>
      </c>
      <c r="I76" s="530" t="n"/>
      <c r="J76" s="91" t="inlineStr">
        <is>
          <t>тыс.т.</t>
        </is>
      </c>
    </row>
    <row r="77">
      <c r="B77" s="88" t="inlineStr">
        <is>
          <t>4.90</t>
        </is>
      </c>
      <c r="C77" s="800" t="n"/>
      <c r="D77" s="110" t="inlineStr">
        <is>
          <t>УЗПКТ</t>
        </is>
      </c>
      <c r="E77" s="528" t="inlineStr">
        <is>
          <t>100331848</t>
        </is>
      </c>
      <c r="F77" s="528" t="n"/>
      <c r="G77" s="529" t="n"/>
      <c r="H77" s="530" t="n"/>
      <c r="I77" s="530" t="n"/>
      <c r="J77" s="91" t="inlineStr">
        <is>
          <t>тыс.т.</t>
        </is>
      </c>
    </row>
    <row r="78">
      <c r="B78" s="88" t="inlineStr">
        <is>
          <t>4.91</t>
        </is>
      </c>
      <c r="C78" s="800" t="n"/>
      <c r="D78" s="110" t="inlineStr">
        <is>
          <t>СЗСК</t>
        </is>
      </c>
      <c r="E78" s="528" t="inlineStr">
        <is>
          <t>100331849</t>
        </is>
      </c>
      <c r="F78" s="528" t="n"/>
      <c r="G78" s="529" t="n"/>
      <c r="H78" s="530" t="n"/>
      <c r="I78" s="530" t="n"/>
      <c r="J78" s="106" t="inlineStr">
        <is>
          <t>тыс.т.</t>
        </is>
      </c>
    </row>
    <row r="79">
      <c r="B79" s="88" t="inlineStr">
        <is>
          <t>4.92</t>
        </is>
      </c>
      <c r="C79" s="800" t="n"/>
      <c r="D79" s="111" t="inlineStr">
        <is>
          <t>в т.ч. МТБЭ</t>
        </is>
      </c>
      <c r="E79" s="528" t="inlineStr">
        <is>
          <t>100335042</t>
        </is>
      </c>
      <c r="F79" s="528" t="n"/>
      <c r="G79" s="529" t="n"/>
      <c r="H79" s="530" t="n"/>
      <c r="I79" s="530" t="n"/>
      <c r="J79" s="106" t="inlineStr">
        <is>
          <t>тыс.т.</t>
        </is>
      </c>
    </row>
    <row r="80">
      <c r="B80" s="88" t="inlineStr">
        <is>
          <t>4.93</t>
        </is>
      </c>
      <c r="C80" s="800" t="n"/>
      <c r="D80" s="98" t="inlineStr">
        <is>
          <t>Справочно:</t>
        </is>
      </c>
      <c r="E80" s="528" t="n"/>
      <c r="F80" s="528" t="n"/>
      <c r="G80" s="529" t="n"/>
      <c r="H80" s="530" t="n"/>
      <c r="I80" s="530" t="n"/>
      <c r="J80" s="106" t="n"/>
    </row>
    <row r="81" ht="19.5" customHeight="1" s="769">
      <c r="B81" s="88" t="inlineStr">
        <is>
          <t>4.94</t>
        </is>
      </c>
      <c r="C81" s="834" t="inlineStr">
        <is>
          <t>4</t>
        </is>
      </c>
      <c r="D81" s="842" t="inlineStr">
        <is>
          <t>ПОТЕРИ СЫРЬЯ ПРИ ПЕРЕРАБОТКЕ, ВСЕГО:</t>
        </is>
      </c>
      <c r="E81" s="528" t="n"/>
      <c r="F81" s="528" t="n"/>
      <c r="G81" s="529" t="n"/>
      <c r="H81" s="530" t="inlineStr">
        <is>
          <t>100331851+100331852+100335361+100335362</t>
        </is>
      </c>
      <c r="I81" s="530" t="n"/>
      <c r="J81" s="91" t="inlineStr">
        <is>
          <t>тыс.т.</t>
        </is>
      </c>
    </row>
    <row r="82">
      <c r="B82" s="88" t="inlineStr">
        <is>
          <t>4.95</t>
        </is>
      </c>
      <c r="C82" s="838" t="n"/>
      <c r="D82" s="90" t="inlineStr">
        <is>
          <t>УЗПКТ</t>
        </is>
      </c>
      <c r="E82" s="528" t="inlineStr">
        <is>
          <t>100331851</t>
        </is>
      </c>
      <c r="F82" s="528" t="n"/>
      <c r="G82" s="529" t="n"/>
      <c r="H82" s="530" t="n"/>
      <c r="I82" s="530" t="n"/>
      <c r="J82" s="91" t="inlineStr">
        <is>
          <t>тыс.т.</t>
        </is>
      </c>
    </row>
    <row r="83" ht="19.5" customHeight="1" s="769">
      <c r="B83" s="88" t="inlineStr">
        <is>
          <t>4.96</t>
        </is>
      </c>
      <c r="C83" s="838" t="n"/>
      <c r="D83" s="90" t="inlineStr">
        <is>
          <t>СЗСК</t>
        </is>
      </c>
      <c r="E83" s="528" t="inlineStr">
        <is>
          <t>100331852</t>
        </is>
      </c>
      <c r="F83" s="528" t="n"/>
      <c r="G83" s="529" t="n"/>
      <c r="H83" s="530" t="n"/>
      <c r="I83" s="530" t="n"/>
      <c r="J83" s="91" t="inlineStr">
        <is>
          <t>тыс.т.</t>
        </is>
      </c>
    </row>
    <row r="84">
      <c r="B84" s="88" t="inlineStr">
        <is>
          <t>4.97</t>
        </is>
      </c>
      <c r="C84" s="838" t="n"/>
      <c r="D84" s="90" t="inlineStr">
        <is>
          <t>На мощностях  ПАО "НОВАТЭК"</t>
        </is>
      </c>
      <c r="E84" s="528" t="inlineStr">
        <is>
          <t>100335361</t>
        </is>
      </c>
      <c r="F84" s="528" t="n"/>
      <c r="G84" s="529" t="n"/>
      <c r="H84" s="530" t="n"/>
      <c r="I84" s="530" t="n"/>
      <c r="J84" s="91" t="inlineStr">
        <is>
          <t>тыс.т.</t>
        </is>
      </c>
    </row>
    <row r="85" ht="19.5" customHeight="1" s="769">
      <c r="B85" s="88" t="inlineStr">
        <is>
          <t>4.98</t>
        </is>
      </c>
      <c r="C85" s="838" t="n"/>
      <c r="D85" s="90" t="inlineStr">
        <is>
          <t>На мощностях УДК(м)</t>
        </is>
      </c>
      <c r="E85" s="528" t="inlineStr">
        <is>
          <t>100335362</t>
        </is>
      </c>
      <c r="F85" s="528" t="n"/>
      <c r="G85" s="529" t="n"/>
      <c r="H85" s="530" t="n"/>
      <c r="I85" s="530" t="n"/>
      <c r="J85" s="91" t="inlineStr">
        <is>
          <t>тыс.т.</t>
        </is>
      </c>
    </row>
    <row r="86" ht="37.5" customHeight="1" s="769">
      <c r="B86" s="88" t="inlineStr">
        <is>
          <t>4.99</t>
        </is>
      </c>
      <c r="C86" s="834" t="inlineStr">
        <is>
          <t>5</t>
        </is>
      </c>
      <c r="D86" s="842" t="inlineStr">
        <is>
          <t>ПРОИЗВОДСТВО ПРОДУКЦИИ ПАО "ГАЗПРОМ", ВСЕГО:</t>
        </is>
      </c>
      <c r="E86" s="528" t="inlineStr">
        <is>
          <t>100331977</t>
        </is>
      </c>
      <c r="F86" s="528" t="n"/>
      <c r="G86" s="529" t="n"/>
      <c r="H86" s="530" t="inlineStr">
        <is>
          <t>100332033+100332059+100332064</t>
        </is>
      </c>
      <c r="I86" s="530" t="n"/>
      <c r="J86" s="91" t="inlineStr">
        <is>
          <t>тыс.т.</t>
        </is>
      </c>
    </row>
    <row r="87" ht="72" customHeight="1" s="769">
      <c r="B87" s="88" t="inlineStr">
        <is>
          <t>4.100</t>
        </is>
      </c>
      <c r="C87" s="800" t="n"/>
      <c r="D87" s="90" t="inlineStr">
        <is>
          <t>УЗПКТ</t>
        </is>
      </c>
      <c r="E87" s="528" t="inlineStr">
        <is>
          <t>100331854</t>
        </is>
      </c>
      <c r="F87" s="528" t="n"/>
      <c r="G87" s="529" t="n"/>
      <c r="H87" s="530" t="inlineStr">
        <is>
          <t>100331856+100331858+100331870+100331888+100331900+100331909+100331912+100331916+100331921+100331924+100335444/$1000+100331945+100331947+100335044</t>
        </is>
      </c>
      <c r="I87" s="530" t="n"/>
      <c r="J87" s="91" t="inlineStr">
        <is>
          <t>тыс.т.</t>
        </is>
      </c>
    </row>
    <row r="88" ht="18.75" customHeight="1" s="769">
      <c r="B88" s="88" t="inlineStr">
        <is>
          <t>4.101</t>
        </is>
      </c>
      <c r="C88" s="800" t="n"/>
      <c r="D88" s="90" t="inlineStr">
        <is>
          <t>СЗСК</t>
        </is>
      </c>
      <c r="E88" s="528" t="inlineStr">
        <is>
          <t>100331855</t>
        </is>
      </c>
      <c r="F88" s="528" t="n"/>
      <c r="G88" s="529" t="n"/>
      <c r="H88" s="530" t="inlineStr">
        <is>
          <t>100331876+100331889+100331901+100331904+100331905+100331910+100331913+100331917+100331922+100331925+100335445/$1000</t>
        </is>
      </c>
      <c r="I88" s="530" t="n"/>
      <c r="J88" s="91" t="inlineStr">
        <is>
          <t>тыс.т.</t>
        </is>
      </c>
    </row>
    <row r="89" ht="18.75" customHeight="1" s="769">
      <c r="B89" s="88" t="inlineStr">
        <is>
          <t>4.102</t>
        </is>
      </c>
      <c r="C89" s="800" t="n"/>
      <c r="D89" s="90" t="inlineStr">
        <is>
          <t>На мощностях  ПАО "НОВАТЭК"</t>
        </is>
      </c>
      <c r="E89" s="528" t="inlineStr">
        <is>
          <t>100335363</t>
        </is>
      </c>
      <c r="F89" s="528" t="n"/>
      <c r="G89" s="529" t="n"/>
      <c r="H89" s="530" t="inlineStr">
        <is>
          <t>100335365+100335359</t>
        </is>
      </c>
      <c r="I89" s="530" t="n"/>
      <c r="J89" s="91" t="inlineStr">
        <is>
          <t>тыс.т.</t>
        </is>
      </c>
    </row>
    <row r="90" ht="18.75" customHeight="1" s="769">
      <c r="B90" s="88" t="inlineStr">
        <is>
          <t>4.103</t>
        </is>
      </c>
      <c r="C90" s="800" t="n"/>
      <c r="D90" s="90" t="inlineStr">
        <is>
          <t>На мощностях УДК(м)</t>
        </is>
      </c>
      <c r="E90" s="528" t="inlineStr">
        <is>
          <t>100335364</t>
        </is>
      </c>
      <c r="F90" s="528" t="n"/>
      <c r="G90" s="529" t="n"/>
      <c r="H90" s="530" t="inlineStr">
        <is>
          <t>100335367+100335360</t>
        </is>
      </c>
      <c r="I90" s="530" t="n"/>
      <c r="J90" s="91" t="inlineStr">
        <is>
          <t>тыс.т.</t>
        </is>
      </c>
    </row>
    <row r="91" ht="18.75" customHeight="1" s="769">
      <c r="B91" s="88" t="n"/>
      <c r="C91" s="834" t="inlineStr">
        <is>
          <t>5.1</t>
        </is>
      </c>
      <c r="D91" s="842" t="inlineStr">
        <is>
          <t>ГАЗ ДЕЭТАНИЗАЦИИ, ВСЕГО:</t>
        </is>
      </c>
      <c r="E91" s="528" t="inlineStr">
        <is>
          <t>100335875</t>
        </is>
      </c>
      <c r="F91" s="528" t="n"/>
      <c r="G91" s="529" t="n"/>
      <c r="H91" s="530" t="inlineStr">
        <is>
          <t>100331856+100331858+100335367</t>
        </is>
      </c>
      <c r="I91" s="530" t="n"/>
      <c r="J91" s="91" t="inlineStr">
        <is>
          <t>тыс.т.</t>
        </is>
      </c>
    </row>
    <row r="92" ht="18.75" customHeight="1" s="769">
      <c r="B92" s="88" t="n"/>
      <c r="C92" s="766" t="n"/>
      <c r="D92" s="762" t="n"/>
      <c r="E92" s="528" t="inlineStr">
        <is>
          <t>100335876</t>
        </is>
      </c>
      <c r="F92" s="528" t="n"/>
      <c r="G92" s="529" t="n"/>
      <c r="H92" s="530" t="inlineStr">
        <is>
          <t>100331857+100331859+100335368</t>
        </is>
      </c>
      <c r="I92" s="530" t="n"/>
      <c r="J92" s="947" t="inlineStr">
        <is>
          <t>млн куб.м</t>
        </is>
      </c>
    </row>
    <row r="93" ht="18.75" customHeight="1" s="769">
      <c r="B93" s="88" t="inlineStr">
        <is>
          <t>4.104</t>
        </is>
      </c>
      <c r="C93" s="834" t="n"/>
      <c r="D93" s="840" t="inlineStr">
        <is>
          <t>УЗПКТ в адрес ООО "Газпром добыча Уренгой"</t>
        </is>
      </c>
      <c r="E93" s="528" t="inlineStr">
        <is>
          <t>100331856</t>
        </is>
      </c>
      <c r="F93" s="528" t="n"/>
      <c r="G93" s="529" t="n"/>
      <c r="H93" s="530" t="n"/>
      <c r="I93" s="530" t="n"/>
      <c r="J93" s="91" t="inlineStr">
        <is>
          <t>тыс.т.</t>
        </is>
      </c>
    </row>
    <row r="94" ht="18.75" customHeight="1" s="769">
      <c r="B94" s="88" t="inlineStr">
        <is>
          <t>4.105</t>
        </is>
      </c>
      <c r="C94" s="766" t="n"/>
      <c r="D94" s="766" t="n"/>
      <c r="E94" s="528" t="inlineStr">
        <is>
          <t>100331857</t>
        </is>
      </c>
      <c r="F94" s="528" t="n"/>
      <c r="G94" s="529" t="n"/>
      <c r="H94" s="530" t="n"/>
      <c r="I94" s="530" t="n"/>
      <c r="J94" s="947" t="inlineStr">
        <is>
          <t>млн куб.м</t>
        </is>
      </c>
    </row>
    <row r="95" ht="18.75" customHeight="1" s="769">
      <c r="B95" s="88" t="inlineStr">
        <is>
          <t>4.106</t>
        </is>
      </c>
      <c r="C95" s="834" t="n"/>
      <c r="D95" s="840" t="inlineStr">
        <is>
          <t>УЗПКТ на СТН ООО "Газпром переработка"</t>
        </is>
      </c>
      <c r="E95" s="528" t="inlineStr">
        <is>
          <t>100331858</t>
        </is>
      </c>
      <c r="F95" s="528" t="n"/>
      <c r="G95" s="529" t="n"/>
      <c r="H95" s="530" t="n"/>
      <c r="I95" s="530" t="n"/>
      <c r="J95" s="91" t="inlineStr">
        <is>
          <t>тыс.т.</t>
        </is>
      </c>
    </row>
    <row r="96">
      <c r="B96" s="88" t="inlineStr">
        <is>
          <t>4.107</t>
        </is>
      </c>
      <c r="C96" s="766" t="n"/>
      <c r="D96" s="766" t="n"/>
      <c r="E96" s="528" t="inlineStr">
        <is>
          <t>100331859</t>
        </is>
      </c>
      <c r="F96" s="528" t="n"/>
      <c r="G96" s="529" t="n"/>
      <c r="H96" s="530" t="n"/>
      <c r="I96" s="530" t="n"/>
      <c r="J96" s="947" t="inlineStr">
        <is>
          <t>млн куб.м</t>
        </is>
      </c>
    </row>
    <row r="97" ht="18" customHeight="1" s="769">
      <c r="B97" s="112" t="inlineStr">
        <is>
          <t>4.117</t>
        </is>
      </c>
      <c r="C97" s="834" t="n"/>
      <c r="D97" s="840" t="inlineStr">
        <is>
          <t>На мощностях УДК(м) на СТН</t>
        </is>
      </c>
      <c r="E97" s="528" t="inlineStr">
        <is>
          <t>100335367</t>
        </is>
      </c>
      <c r="F97" s="528" t="n"/>
      <c r="G97" s="529" t="n"/>
      <c r="H97" s="530" t="n"/>
      <c r="I97" s="530" t="n"/>
      <c r="J97" s="91" t="inlineStr">
        <is>
          <t>тыс.т.</t>
        </is>
      </c>
    </row>
    <row r="98" ht="18" customHeight="1" s="769">
      <c r="B98" s="112" t="inlineStr">
        <is>
          <t>4.118</t>
        </is>
      </c>
      <c r="C98" s="766" t="n"/>
      <c r="D98" s="766" t="n"/>
      <c r="E98" s="528" t="inlineStr">
        <is>
          <t>100335368</t>
        </is>
      </c>
      <c r="F98" s="528" t="n"/>
      <c r="G98" s="529" t="n"/>
      <c r="H98" s="530" t="n"/>
      <c r="I98" s="530" t="n"/>
      <c r="J98" s="947" t="inlineStr">
        <is>
          <t>млн куб.м</t>
        </is>
      </c>
    </row>
    <row r="99" ht="19.5" customHeight="1" s="769">
      <c r="B99" s="88" t="inlineStr">
        <is>
          <t>4.108</t>
        </is>
      </c>
      <c r="C99" s="834" t="n"/>
      <c r="D99" s="98" t="inlineStr">
        <is>
          <t>Справочно:</t>
        </is>
      </c>
      <c r="E99" s="528" t="n"/>
      <c r="F99" s="528" t="n"/>
      <c r="G99" s="529" t="n"/>
      <c r="H99" s="530" t="n"/>
      <c r="I99" s="530" t="n"/>
      <c r="J99" s="91" t="n"/>
    </row>
    <row r="100" ht="19.5" customHeight="1" s="769">
      <c r="B100" s="88" t="n"/>
      <c r="C100" s="834" t="n"/>
      <c r="D100" s="843" t="inlineStr">
        <is>
          <t>Газ деэтанизации валовый, всего:</t>
        </is>
      </c>
      <c r="E100" s="528" t="inlineStr">
        <is>
          <t>100335877</t>
        </is>
      </c>
      <c r="F100" s="528" t="n"/>
      <c r="G100" s="529" t="n"/>
      <c r="H100" s="530" t="inlineStr">
        <is>
          <t>100331860+100335879</t>
        </is>
      </c>
      <c r="I100" s="530" t="n"/>
      <c r="J100" s="91" t="inlineStr">
        <is>
          <t>тыс.т.</t>
        </is>
      </c>
    </row>
    <row r="101" ht="19.5" customHeight="1" s="769">
      <c r="B101" s="88" t="n"/>
      <c r="C101" s="834" t="n"/>
      <c r="D101" s="762" t="n"/>
      <c r="E101" s="528" t="inlineStr">
        <is>
          <t>100335878</t>
        </is>
      </c>
      <c r="F101" s="528" t="n"/>
      <c r="G101" s="529" t="n"/>
      <c r="H101" s="530" t="inlineStr">
        <is>
          <t>100331861+100335880</t>
        </is>
      </c>
      <c r="I101" s="530" t="n"/>
      <c r="J101" s="947" t="inlineStr">
        <is>
          <t>млн куб.м</t>
        </is>
      </c>
    </row>
    <row r="102" ht="18.75" customHeight="1" s="769">
      <c r="B102" s="88" t="inlineStr">
        <is>
          <t>4.109</t>
        </is>
      </c>
      <c r="C102" s="834" t="n"/>
      <c r="D102" s="841" t="inlineStr">
        <is>
          <t>УЗПКТ</t>
        </is>
      </c>
      <c r="E102" s="528" t="inlineStr">
        <is>
          <t>100331860</t>
        </is>
      </c>
      <c r="F102" s="528" t="n"/>
      <c r="G102" s="529" t="n"/>
      <c r="H102" s="530" t="n"/>
      <c r="I102" s="530" t="n"/>
      <c r="J102" s="91" t="inlineStr">
        <is>
          <t>тыс.т.</t>
        </is>
      </c>
    </row>
    <row r="103" ht="18.75" customHeight="1" s="769">
      <c r="B103" s="88" t="inlineStr">
        <is>
          <t>4.110</t>
        </is>
      </c>
      <c r="C103" s="834" t="n"/>
      <c r="D103" s="762" t="n"/>
      <c r="E103" s="528" t="inlineStr">
        <is>
          <t>100331861</t>
        </is>
      </c>
      <c r="F103" s="528" t="n"/>
      <c r="G103" s="529" t="n"/>
      <c r="H103" s="530" t="n"/>
      <c r="I103" s="530" t="n"/>
      <c r="J103" s="947" t="inlineStr">
        <is>
          <t>млн куб.м</t>
        </is>
      </c>
    </row>
    <row r="104" ht="18.75" customHeight="1" s="769">
      <c r="B104" s="88" t="n"/>
      <c r="C104" s="834" t="n"/>
      <c r="D104" s="841" t="inlineStr">
        <is>
          <t>На мощностях УДК(м)</t>
        </is>
      </c>
      <c r="E104" s="528" t="inlineStr">
        <is>
          <t>100335879</t>
        </is>
      </c>
      <c r="F104" s="528" t="n"/>
      <c r="G104" s="529" t="n"/>
      <c r="H104" s="530" t="inlineStr">
        <is>
          <t>100335367</t>
        </is>
      </c>
      <c r="I104" s="530" t="n"/>
      <c r="J104" s="91" t="inlineStr">
        <is>
          <t>тыс.т.</t>
        </is>
      </c>
    </row>
    <row r="105" ht="18.75" customHeight="1" s="769">
      <c r="B105" s="88" t="n"/>
      <c r="C105" s="834" t="n"/>
      <c r="D105" s="762" t="n"/>
      <c r="E105" s="528" t="inlineStr">
        <is>
          <t>100335880</t>
        </is>
      </c>
      <c r="F105" s="528" t="n"/>
      <c r="G105" s="529" t="n"/>
      <c r="H105" s="530" t="inlineStr">
        <is>
          <t>100335368</t>
        </is>
      </c>
      <c r="I105" s="530" t="n"/>
      <c r="J105" s="947" t="inlineStr">
        <is>
          <t>млн куб.м</t>
        </is>
      </c>
    </row>
    <row r="106" ht="18.75" customHeight="1" s="769">
      <c r="B106" s="88" t="inlineStr">
        <is>
          <t>4.113</t>
        </is>
      </c>
      <c r="C106" s="834" t="n"/>
      <c r="D106" s="843" t="inlineStr">
        <is>
          <t>Газ деэтанизации на переработку, всего:</t>
        </is>
      </c>
      <c r="E106" s="528" t="inlineStr">
        <is>
          <t>100331864</t>
        </is>
      </c>
      <c r="F106" s="528" t="n"/>
      <c r="G106" s="529" t="n"/>
      <c r="H106" s="530" t="inlineStr">
        <is>
          <t>100335881</t>
        </is>
      </c>
      <c r="I106" s="530" t="n"/>
      <c r="J106" s="91" t="inlineStr">
        <is>
          <t>тыс.т.</t>
        </is>
      </c>
    </row>
    <row r="107" ht="18.75" customHeight="1" s="769">
      <c r="B107" s="88" t="inlineStr">
        <is>
          <t>4.114</t>
        </is>
      </c>
      <c r="C107" s="834" t="n"/>
      <c r="D107" s="762" t="n"/>
      <c r="E107" s="528" t="inlineStr">
        <is>
          <t>100331865</t>
        </is>
      </c>
      <c r="F107" s="528" t="n"/>
      <c r="G107" s="529" t="n"/>
      <c r="H107" s="530" t="inlineStr">
        <is>
          <t>100335882</t>
        </is>
      </c>
      <c r="I107" s="530" t="n"/>
      <c r="J107" s="947" t="inlineStr">
        <is>
          <t>млн куб.м</t>
        </is>
      </c>
    </row>
    <row r="108" ht="18.75" customHeight="1" s="769">
      <c r="B108" s="88" t="n"/>
      <c r="C108" s="834" t="n"/>
      <c r="D108" s="841" t="inlineStr">
        <is>
          <t>УЗПКТ</t>
        </is>
      </c>
      <c r="E108" s="528" t="inlineStr">
        <is>
          <t>100335881</t>
        </is>
      </c>
      <c r="F108" s="528" t="n"/>
      <c r="G108" s="529" t="n"/>
      <c r="H108" s="530" t="n"/>
      <c r="I108" s="530" t="n"/>
      <c r="J108" s="91" t="inlineStr">
        <is>
          <t>тыс.т.</t>
        </is>
      </c>
    </row>
    <row r="109" ht="18.75" customHeight="1" s="769">
      <c r="B109" s="88" t="n"/>
      <c r="C109" s="766" t="n"/>
      <c r="D109" s="762" t="n"/>
      <c r="E109" s="528" t="inlineStr">
        <is>
          <t>100335882</t>
        </is>
      </c>
      <c r="F109" s="528" t="n"/>
      <c r="G109" s="529" t="n"/>
      <c r="H109" s="530" t="n"/>
      <c r="I109" s="530" t="n"/>
      <c r="J109" s="947" t="inlineStr">
        <is>
          <t>млн куб.м</t>
        </is>
      </c>
    </row>
    <row r="110" ht="18.75" customHeight="1" s="769">
      <c r="B110" s="88" t="n"/>
      <c r="C110" s="834" t="inlineStr">
        <is>
          <t>5.2</t>
        </is>
      </c>
      <c r="D110" s="788" t="inlineStr">
        <is>
          <t>ГАЗ ГОРЮЧИЙ ПРИРОДНЫЙ, ВСЕГО:</t>
        </is>
      </c>
      <c r="E110" s="528" t="inlineStr">
        <is>
          <t>100335883</t>
        </is>
      </c>
      <c r="F110" s="528" t="n"/>
      <c r="G110" s="529" t="n"/>
      <c r="H110" s="530" t="inlineStr">
        <is>
          <t>100331870+100335365</t>
        </is>
      </c>
      <c r="I110" s="530" t="n"/>
      <c r="J110" s="91" t="inlineStr">
        <is>
          <t>тыс.т.</t>
        </is>
      </c>
    </row>
    <row r="111" ht="18.75" customHeight="1" s="769">
      <c r="B111" s="88" t="n"/>
      <c r="C111" s="766" t="n"/>
      <c r="D111" s="766" t="n"/>
      <c r="E111" s="528" t="inlineStr">
        <is>
          <t>100335884</t>
        </is>
      </c>
      <c r="F111" s="528" t="n"/>
      <c r="G111" s="529" t="n"/>
      <c r="H111" s="530" t="inlineStr">
        <is>
          <t>100331871+100335366</t>
        </is>
      </c>
      <c r="I111" s="530" t="n"/>
      <c r="J111" s="947" t="inlineStr">
        <is>
          <t>млн куб.м</t>
        </is>
      </c>
    </row>
    <row r="112" ht="18.75" customHeight="1" s="769">
      <c r="B112" s="112" t="inlineStr">
        <is>
          <t>4.119</t>
        </is>
      </c>
      <c r="C112" s="834" t="n"/>
      <c r="D112" s="840" t="inlineStr">
        <is>
          <t>УЗПКТ (УПГД)</t>
        </is>
      </c>
      <c r="E112" s="528" t="inlineStr">
        <is>
          <t>100331870</t>
        </is>
      </c>
      <c r="F112" s="528" t="n"/>
      <c r="G112" s="529" t="n"/>
      <c r="H112" s="530" t="n"/>
      <c r="I112" s="530" t="n"/>
      <c r="J112" s="91" t="inlineStr">
        <is>
          <t>тыс.т.</t>
        </is>
      </c>
    </row>
    <row r="113" ht="18.75" customHeight="1" s="769">
      <c r="B113" s="112" t="inlineStr">
        <is>
          <t>4.120</t>
        </is>
      </c>
      <c r="C113" s="766" t="n"/>
      <c r="D113" s="766" t="n"/>
      <c r="E113" s="528" t="inlineStr">
        <is>
          <t>100331871</t>
        </is>
      </c>
      <c r="F113" s="528" t="n"/>
      <c r="G113" s="529" t="n"/>
      <c r="H113" s="530" t="n"/>
      <c r="I113" s="530" t="n"/>
      <c r="J113" s="947" t="inlineStr">
        <is>
          <t>млн куб.м</t>
        </is>
      </c>
    </row>
    <row r="114" ht="18.75" customHeight="1" s="769">
      <c r="B114" s="88" t="inlineStr">
        <is>
          <t>4.115</t>
        </is>
      </c>
      <c r="C114" s="838" t="n"/>
      <c r="D114" s="840" t="inlineStr">
        <is>
          <t>На мощностях  ПАО "НОВАТЭК"</t>
        </is>
      </c>
      <c r="E114" s="528" t="inlineStr">
        <is>
          <t>100335365</t>
        </is>
      </c>
      <c r="F114" s="528" t="n"/>
      <c r="G114" s="529" t="n"/>
      <c r="H114" s="530" t="n"/>
      <c r="I114" s="530" t="n"/>
      <c r="J114" s="91" t="inlineStr">
        <is>
          <t>тыс.т.</t>
        </is>
      </c>
    </row>
    <row r="115" ht="22.15" customHeight="1" s="769">
      <c r="B115" s="88" t="inlineStr">
        <is>
          <t>4.116</t>
        </is>
      </c>
      <c r="C115" s="766" t="n"/>
      <c r="D115" s="766" t="n"/>
      <c r="E115" s="528" t="inlineStr">
        <is>
          <t>100335366</t>
        </is>
      </c>
      <c r="F115" s="528" t="n"/>
      <c r="G115" s="529" t="n"/>
      <c r="H115" s="530" t="n"/>
      <c r="I115" s="530" t="n"/>
      <c r="J115" s="947" t="inlineStr">
        <is>
          <t>млн куб.м</t>
        </is>
      </c>
    </row>
    <row r="116" ht="20.45" customHeight="1" s="769">
      <c r="B116" s="88" t="inlineStr">
        <is>
          <t>4.123</t>
        </is>
      </c>
      <c r="C116" s="834" t="inlineStr">
        <is>
          <t>5.3</t>
        </is>
      </c>
      <c r="D116" s="788" t="inlineStr">
        <is>
          <t xml:space="preserve"> ГАЗ СБРОСНОЙ, ВСЕГО:</t>
        </is>
      </c>
      <c r="E116" s="528" t="inlineStr">
        <is>
          <t>100331876</t>
        </is>
      </c>
      <c r="F116" s="528" t="n"/>
      <c r="G116" s="529" t="n"/>
      <c r="H116" s="530" t="inlineStr">
        <is>
          <t>100331878</t>
        </is>
      </c>
      <c r="I116" s="530" t="n"/>
      <c r="J116" s="91" t="inlineStr">
        <is>
          <t>тыс.т.</t>
        </is>
      </c>
    </row>
    <row r="117" ht="18.75" customHeight="1" s="769">
      <c r="B117" s="88" t="inlineStr">
        <is>
          <t>4.124</t>
        </is>
      </c>
      <c r="C117" s="766" t="n"/>
      <c r="D117" s="766" t="n"/>
      <c r="E117" s="528" t="inlineStr">
        <is>
          <t>100331877</t>
        </is>
      </c>
      <c r="F117" s="528" t="n"/>
      <c r="G117" s="529" t="n"/>
      <c r="H117" s="530" t="inlineStr">
        <is>
          <t>100331879</t>
        </is>
      </c>
      <c r="I117" s="530" t="n"/>
      <c r="J117" s="947" t="inlineStr">
        <is>
          <t>млн куб.м</t>
        </is>
      </c>
    </row>
    <row r="118">
      <c r="B118" s="88" t="inlineStr">
        <is>
          <t>4.125</t>
        </is>
      </c>
      <c r="C118" s="834" t="n"/>
      <c r="D118" s="840" t="inlineStr">
        <is>
          <t>СЗСК НА СТН ООО "Газпром переработка"</t>
        </is>
      </c>
      <c r="E118" s="528" t="inlineStr">
        <is>
          <t>100331878</t>
        </is>
      </c>
      <c r="F118" s="528" t="n"/>
      <c r="G118" s="529" t="n"/>
      <c r="H118" s="530" t="n"/>
      <c r="I118" s="530" t="n"/>
      <c r="J118" s="91" t="inlineStr">
        <is>
          <t>тыс.т.</t>
        </is>
      </c>
    </row>
    <row r="119" ht="18.75" customHeight="1" s="769">
      <c r="B119" s="88" t="inlineStr">
        <is>
          <t>4.126</t>
        </is>
      </c>
      <c r="C119" s="766" t="n"/>
      <c r="D119" s="766" t="n"/>
      <c r="E119" s="528" t="inlineStr">
        <is>
          <t>100331879</t>
        </is>
      </c>
      <c r="F119" s="528" t="n"/>
      <c r="G119" s="529" t="n"/>
      <c r="H119" s="530" t="n"/>
      <c r="I119" s="530" t="n"/>
      <c r="J119" s="947" t="inlineStr">
        <is>
          <t>млн куб.м</t>
        </is>
      </c>
    </row>
    <row r="120" ht="19.5" customHeight="1" s="769">
      <c r="B120" s="88" t="inlineStr">
        <is>
          <t>4.129</t>
        </is>
      </c>
      <c r="C120" s="838" t="n"/>
      <c r="D120" s="98" t="inlineStr">
        <is>
          <t>Справочно:</t>
        </is>
      </c>
      <c r="E120" s="528" t="n"/>
      <c r="F120" s="528" t="n"/>
      <c r="G120" s="529" t="n"/>
      <c r="H120" s="530" t="n"/>
      <c r="I120" s="530" t="n"/>
      <c r="J120" s="91" t="n"/>
    </row>
    <row r="121" ht="18.75" customHeight="1" s="769">
      <c r="B121" s="88" t="inlineStr">
        <is>
          <t>4.130</t>
        </is>
      </c>
      <c r="C121" s="113" t="n"/>
      <c r="D121" s="844" t="inlineStr">
        <is>
          <t>СЗСК валовая выработка</t>
        </is>
      </c>
      <c r="E121" s="528" t="inlineStr">
        <is>
          <t>100331882</t>
        </is>
      </c>
      <c r="F121" s="528" t="n"/>
      <c r="G121" s="529" t="n"/>
      <c r="H121" s="530" t="n"/>
      <c r="I121" s="530" t="n"/>
      <c r="J121" s="102" t="inlineStr">
        <is>
          <t>тыс.т.</t>
        </is>
      </c>
    </row>
    <row r="122" ht="18.75" customHeight="1" s="769">
      <c r="B122" s="88" t="inlineStr">
        <is>
          <t>4.131</t>
        </is>
      </c>
      <c r="C122" s="113" t="n"/>
      <c r="D122" s="766" t="n"/>
      <c r="E122" s="528" t="inlineStr">
        <is>
          <t>100331883</t>
        </is>
      </c>
      <c r="F122" s="528" t="n"/>
      <c r="G122" s="529" t="n"/>
      <c r="H122" s="530" t="n"/>
      <c r="I122" s="530" t="n"/>
      <c r="J122" s="948" t="inlineStr">
        <is>
          <t>млн куб.м</t>
        </is>
      </c>
    </row>
    <row r="123" ht="18.75" customHeight="1" s="769">
      <c r="B123" s="88" t="inlineStr">
        <is>
          <t>4.132</t>
        </is>
      </c>
      <c r="C123" s="838" t="n"/>
      <c r="D123" s="844" t="inlineStr">
        <is>
          <t>СЗСК на переработку</t>
        </is>
      </c>
      <c r="E123" s="528" t="inlineStr">
        <is>
          <t>100331884</t>
        </is>
      </c>
      <c r="F123" s="528" t="n"/>
      <c r="G123" s="529" t="n"/>
      <c r="H123" s="530" t="n"/>
      <c r="I123" s="530" t="n"/>
      <c r="J123" s="91" t="inlineStr">
        <is>
          <t>тыс.т.</t>
        </is>
      </c>
    </row>
    <row r="124">
      <c r="B124" s="88" t="inlineStr">
        <is>
          <t>4.133</t>
        </is>
      </c>
      <c r="C124" s="838" t="n"/>
      <c r="D124" s="766" t="n"/>
      <c r="E124" s="528" t="inlineStr">
        <is>
          <t>100331885</t>
        </is>
      </c>
      <c r="F124" s="528" t="n"/>
      <c r="G124" s="529" t="n"/>
      <c r="H124" s="530" t="n"/>
      <c r="I124" s="530" t="n"/>
      <c r="J124" s="947" t="inlineStr">
        <is>
          <t>млн куб.м</t>
        </is>
      </c>
    </row>
    <row r="125">
      <c r="B125" s="88" t="inlineStr">
        <is>
          <t>4.134</t>
        </is>
      </c>
      <c r="C125" s="834" t="inlineStr">
        <is>
          <t>5.4</t>
        </is>
      </c>
      <c r="D125" s="109" t="inlineStr">
        <is>
          <t>ШФЛУ ТОВАРНАЯ, ВСЕГО:</t>
        </is>
      </c>
      <c r="E125" s="528" t="inlineStr">
        <is>
          <t>100331886</t>
        </is>
      </c>
      <c r="F125" s="528" t="n"/>
      <c r="G125" s="529" t="n"/>
      <c r="H125" s="530" t="inlineStr">
        <is>
          <t>100331888+100331889</t>
        </is>
      </c>
      <c r="I125" s="530" t="n"/>
      <c r="J125" s="91" t="inlineStr">
        <is>
          <t>тыс.т.</t>
        </is>
      </c>
    </row>
    <row r="126">
      <c r="B126" s="88" t="inlineStr">
        <is>
          <t>4.135</t>
        </is>
      </c>
      <c r="C126" s="838" t="n"/>
      <c r="D126" s="90" t="inlineStr">
        <is>
          <t>УЗПКТ</t>
        </is>
      </c>
      <c r="E126" s="528" t="inlineStr">
        <is>
          <t>100331888</t>
        </is>
      </c>
      <c r="F126" s="528" t="n"/>
      <c r="G126" s="529" t="n"/>
      <c r="H126" s="530" t="n"/>
      <c r="I126" s="530" t="n"/>
      <c r="J126" s="91" t="inlineStr">
        <is>
          <t>тыс.т.</t>
        </is>
      </c>
    </row>
    <row r="127">
      <c r="B127" s="88" t="inlineStr">
        <is>
          <t>4.136</t>
        </is>
      </c>
      <c r="C127" s="838" t="n"/>
      <c r="D127" s="90" t="inlineStr">
        <is>
          <t>СЗСК</t>
        </is>
      </c>
      <c r="E127" s="528" t="inlineStr">
        <is>
          <t>100331889</t>
        </is>
      </c>
      <c r="F127" s="528" t="n"/>
      <c r="G127" s="529" t="n"/>
      <c r="H127" s="530" t="n"/>
      <c r="I127" s="530" t="n"/>
      <c r="J127" s="91" t="inlineStr">
        <is>
          <t>тыс.т.</t>
        </is>
      </c>
    </row>
    <row r="128">
      <c r="B128" s="88" t="inlineStr">
        <is>
          <t>4.137</t>
        </is>
      </c>
      <c r="C128" s="800" t="n"/>
      <c r="D128" s="114" t="inlineStr">
        <is>
          <t>Справочно:</t>
        </is>
      </c>
      <c r="E128" s="528" t="n"/>
      <c r="F128" s="528" t="n"/>
      <c r="G128" s="529" t="n"/>
      <c r="H128" s="530" t="n"/>
      <c r="I128" s="530" t="n"/>
      <c r="J128" s="91" t="n"/>
    </row>
    <row r="129">
      <c r="B129" s="88" t="inlineStr">
        <is>
          <t>4.138</t>
        </is>
      </c>
      <c r="C129" s="800" t="n"/>
      <c r="D129" s="115" t="inlineStr">
        <is>
          <t>ШФЛУ валовая, всего:</t>
        </is>
      </c>
      <c r="E129" s="528" t="inlineStr">
        <is>
          <t>100331892</t>
        </is>
      </c>
      <c r="F129" s="528" t="n"/>
      <c r="G129" s="529" t="n"/>
      <c r="H129" s="530" t="inlineStr">
        <is>
          <t>100331893+100331894</t>
        </is>
      </c>
      <c r="I129" s="530" t="n"/>
      <c r="J129" s="91" t="inlineStr">
        <is>
          <t>тыс.т.</t>
        </is>
      </c>
    </row>
    <row r="130">
      <c r="B130" s="88" t="inlineStr">
        <is>
          <t>4.139</t>
        </is>
      </c>
      <c r="C130" s="800" t="n"/>
      <c r="D130" s="116" t="inlineStr">
        <is>
          <t>УЗПКТ</t>
        </is>
      </c>
      <c r="E130" s="528" t="inlineStr">
        <is>
          <t>100331893</t>
        </is>
      </c>
      <c r="F130" s="528" t="n"/>
      <c r="G130" s="529" t="n"/>
      <c r="H130" s="530" t="n"/>
      <c r="I130" s="530" t="n"/>
      <c r="J130" s="91" t="inlineStr">
        <is>
          <t>тыс.т.</t>
        </is>
      </c>
    </row>
    <row r="131">
      <c r="B131" s="88" t="inlineStr">
        <is>
          <t>4.140</t>
        </is>
      </c>
      <c r="C131" s="800" t="n"/>
      <c r="D131" s="116" t="inlineStr">
        <is>
          <t>СЗСК</t>
        </is>
      </c>
      <c r="E131" s="528" t="inlineStr">
        <is>
          <t>100331894</t>
        </is>
      </c>
      <c r="F131" s="528" t="n"/>
      <c r="G131" s="529" t="n"/>
      <c r="H131" s="530" t="n"/>
      <c r="I131" s="530" t="n"/>
      <c r="J131" s="91" t="inlineStr">
        <is>
          <t>тыс.т.</t>
        </is>
      </c>
    </row>
    <row r="132">
      <c r="B132" s="88" t="inlineStr">
        <is>
          <t>4.141</t>
        </is>
      </c>
      <c r="C132" s="800" t="n"/>
      <c r="D132" s="115" t="inlineStr">
        <is>
          <t>ШФЛУ на переработку, всего:</t>
        </is>
      </c>
      <c r="E132" s="528" t="inlineStr">
        <is>
          <t>100331895</t>
        </is>
      </c>
      <c r="F132" s="528" t="n"/>
      <c r="G132" s="529" t="n"/>
      <c r="H132" s="530" t="inlineStr">
        <is>
          <t>100331896+100331897</t>
        </is>
      </c>
      <c r="I132" s="530" t="n"/>
      <c r="J132" s="91" t="inlineStr">
        <is>
          <t>тыс.т.</t>
        </is>
      </c>
    </row>
    <row r="133">
      <c r="B133" s="88" t="inlineStr">
        <is>
          <t>4.142</t>
        </is>
      </c>
      <c r="C133" s="800" t="n"/>
      <c r="D133" s="117" t="inlineStr">
        <is>
          <t xml:space="preserve"> УЗПКТ</t>
        </is>
      </c>
      <c r="E133" s="528" t="inlineStr">
        <is>
          <t>100331896</t>
        </is>
      </c>
      <c r="F133" s="528" t="n"/>
      <c r="G133" s="529" t="n"/>
      <c r="H133" s="530" t="n"/>
      <c r="I133" s="530" t="n"/>
      <c r="J133" s="91" t="inlineStr">
        <is>
          <t>тыс.т.</t>
        </is>
      </c>
    </row>
    <row r="134">
      <c r="B134" s="88" t="n"/>
      <c r="C134" s="800" t="n"/>
      <c r="D134" s="36" t="inlineStr">
        <is>
          <t>в т.ч. по договору переработки</t>
        </is>
      </c>
      <c r="E134" s="528" t="inlineStr">
        <is>
          <t>100335885</t>
        </is>
      </c>
      <c r="F134" s="528" t="n"/>
      <c r="G134" s="529" t="n"/>
      <c r="H134" s="530" t="n"/>
      <c r="I134" s="530" t="n"/>
      <c r="J134" s="91" t="inlineStr">
        <is>
          <t>тыс.т.</t>
        </is>
      </c>
    </row>
    <row r="135">
      <c r="B135" s="88" t="inlineStr">
        <is>
          <t>4.143</t>
        </is>
      </c>
      <c r="C135" s="800" t="n"/>
      <c r="D135" s="118" t="inlineStr">
        <is>
          <t>СЗСК</t>
        </is>
      </c>
      <c r="E135" s="528" t="inlineStr">
        <is>
          <t>100331897</t>
        </is>
      </c>
      <c r="F135" s="528" t="n"/>
      <c r="G135" s="529" t="n"/>
      <c r="H135" s="530" t="n"/>
      <c r="I135" s="530" t="n"/>
      <c r="J135" s="91" t="inlineStr">
        <is>
          <t>тыс.т.</t>
        </is>
      </c>
    </row>
    <row r="136">
      <c r="B136" s="88" t="n"/>
      <c r="C136" s="800" t="n"/>
      <c r="D136" s="36" t="inlineStr">
        <is>
          <t>в т.ч. по договору переработки</t>
        </is>
      </c>
      <c r="E136" s="528" t="inlineStr">
        <is>
          <t>100335886</t>
        </is>
      </c>
      <c r="F136" s="528" t="n"/>
      <c r="G136" s="529" t="n"/>
      <c r="H136" s="530" t="n"/>
      <c r="I136" s="530" t="n"/>
      <c r="J136" s="91" t="inlineStr">
        <is>
          <t>тыс.т.</t>
        </is>
      </c>
    </row>
    <row r="137" ht="21.75" customHeight="1" s="769">
      <c r="B137" s="88" t="inlineStr">
        <is>
          <t>4.144</t>
        </is>
      </c>
      <c r="C137" s="834" t="inlineStr">
        <is>
          <t>5.5</t>
        </is>
      </c>
      <c r="D137" s="72" t="inlineStr">
        <is>
          <t>ГАЗЫ УГЛЕВОДОРОДНЫЕ СЖИЖЕННЫЕ, ВСЕГО:</t>
        </is>
      </c>
      <c r="E137" s="528" t="inlineStr">
        <is>
          <t>100331898</t>
        </is>
      </c>
      <c r="F137" s="528" t="n"/>
      <c r="G137" s="529" t="n"/>
      <c r="H137" s="530" t="inlineStr">
        <is>
          <t>100331900+100331901</t>
        </is>
      </c>
      <c r="I137" s="530" t="n"/>
      <c r="J137" s="91" t="inlineStr">
        <is>
          <t>тыс.т.</t>
        </is>
      </c>
    </row>
    <row r="138">
      <c r="B138" s="88" t="inlineStr">
        <is>
          <t>4.146</t>
        </is>
      </c>
      <c r="C138" s="800" t="n"/>
      <c r="D138" s="845" t="inlineStr">
        <is>
          <t>в т.ч.  УЗПКТ</t>
        </is>
      </c>
      <c r="E138" s="528" t="inlineStr">
        <is>
          <t>100331900</t>
        </is>
      </c>
      <c r="F138" s="528" t="n"/>
      <c r="G138" s="529" t="n"/>
      <c r="H138" s="530" t="inlineStr">
        <is>
          <t>100332910+100335420</t>
        </is>
      </c>
      <c r="I138" s="530" t="n"/>
      <c r="J138" s="91" t="inlineStr">
        <is>
          <t>тыс.т.</t>
        </is>
      </c>
    </row>
    <row r="139">
      <c r="B139" s="88" t="inlineStr">
        <is>
          <t>4.147</t>
        </is>
      </c>
      <c r="C139" s="800" t="n"/>
      <c r="D139" s="119" t="inlineStr">
        <is>
          <t>фракция пропановая</t>
        </is>
      </c>
      <c r="E139" s="528" t="inlineStr">
        <is>
          <t>100332910</t>
        </is>
      </c>
      <c r="F139" s="528" t="n"/>
      <c r="G139" s="529" t="n"/>
      <c r="H139" s="530" t="n"/>
      <c r="I139" s="530" t="n"/>
      <c r="J139" s="91" t="inlineStr">
        <is>
          <t>тыс.т.</t>
        </is>
      </c>
    </row>
    <row r="140">
      <c r="B140" s="88" t="inlineStr">
        <is>
          <t>4.148</t>
        </is>
      </c>
      <c r="C140" s="800" t="n"/>
      <c r="D140" s="119" t="inlineStr">
        <is>
          <t>ПБТ/ПБА</t>
        </is>
      </c>
      <c r="E140" s="528" t="inlineStr">
        <is>
          <t>100335420</t>
        </is>
      </c>
      <c r="F140" s="528" t="n"/>
      <c r="G140" s="529" t="n"/>
      <c r="H140" s="530" t="n"/>
      <c r="I140" s="530" t="n"/>
      <c r="J140" s="91" t="inlineStr">
        <is>
          <t>тыс.т.</t>
        </is>
      </c>
    </row>
    <row r="141">
      <c r="B141" s="88" t="inlineStr">
        <is>
          <t>4.149</t>
        </is>
      </c>
      <c r="C141" s="800" t="n"/>
      <c r="D141" s="26" t="inlineStr">
        <is>
          <t>в т.ч. СЗСК</t>
        </is>
      </c>
      <c r="E141" s="528" t="inlineStr">
        <is>
          <t>100331901</t>
        </is>
      </c>
      <c r="F141" s="528" t="n"/>
      <c r="G141" s="529" t="n"/>
      <c r="H141" s="530" t="inlineStr">
        <is>
          <t>SUM(100332911:100332913)</t>
        </is>
      </c>
      <c r="I141" s="530" t="n"/>
      <c r="J141" s="91" t="inlineStr">
        <is>
          <t>тыс.т.</t>
        </is>
      </c>
    </row>
    <row r="142">
      <c r="B142" s="88" t="inlineStr">
        <is>
          <t>4.150</t>
        </is>
      </c>
      <c r="C142" s="800" t="n"/>
      <c r="D142" s="120" t="inlineStr">
        <is>
          <t>ПБА/ПБТ</t>
        </is>
      </c>
      <c r="E142" s="528" t="inlineStr">
        <is>
          <t>100332911</t>
        </is>
      </c>
      <c r="F142" s="528" t="n"/>
      <c r="G142" s="529" t="n"/>
      <c r="H142" s="530" t="n"/>
      <c r="I142" s="530" t="n"/>
      <c r="J142" s="91" t="inlineStr">
        <is>
          <t>тыс.т.</t>
        </is>
      </c>
    </row>
    <row r="143">
      <c r="B143" s="88" t="inlineStr">
        <is>
          <t>4.151</t>
        </is>
      </c>
      <c r="C143" s="800" t="n"/>
      <c r="D143" s="502" t="inlineStr">
        <is>
          <t>пропан</t>
        </is>
      </c>
      <c r="E143" s="528" t="inlineStr">
        <is>
          <t>100332912</t>
        </is>
      </c>
      <c r="F143" s="528" t="n"/>
      <c r="G143" s="529" t="n"/>
      <c r="H143" s="530" t="n"/>
      <c r="I143" s="530" t="n"/>
      <c r="J143" s="91" t="inlineStr">
        <is>
          <t>тыс.т.</t>
        </is>
      </c>
    </row>
    <row r="144">
      <c r="B144" s="88" t="inlineStr">
        <is>
          <t>4.152</t>
        </is>
      </c>
      <c r="C144" s="800" t="n"/>
      <c r="D144" s="502" t="inlineStr">
        <is>
          <t>бутан</t>
        </is>
      </c>
      <c r="E144" s="528" t="inlineStr">
        <is>
          <t>100332913</t>
        </is>
      </c>
      <c r="F144" s="528" t="n"/>
      <c r="G144" s="529" t="n"/>
      <c r="H144" s="530" t="n"/>
      <c r="I144" s="530" t="n"/>
      <c r="J144" s="91" t="inlineStr">
        <is>
          <t>тыс.т.</t>
        </is>
      </c>
    </row>
    <row r="145">
      <c r="B145" s="88" t="inlineStr">
        <is>
          <t>4.153</t>
        </is>
      </c>
      <c r="C145" s="834" t="inlineStr">
        <is>
          <t>5.6</t>
        </is>
      </c>
      <c r="D145" s="498" t="inlineStr">
        <is>
          <t>УГЛЕВОДОРОДНАЯ ФРАКЦИЯ СЗСК</t>
        </is>
      </c>
      <c r="E145" s="528" t="inlineStr">
        <is>
          <t>100331904</t>
        </is>
      </c>
      <c r="F145" s="528" t="n"/>
      <c r="G145" s="529" t="n"/>
      <c r="H145" s="530" t="n"/>
      <c r="I145" s="530" t="n"/>
      <c r="J145" s="91" t="inlineStr">
        <is>
          <t>тыс.т.</t>
        </is>
      </c>
    </row>
    <row r="146">
      <c r="B146" s="88" t="inlineStr">
        <is>
          <t>4.154</t>
        </is>
      </c>
      <c r="C146" s="834" t="inlineStr">
        <is>
          <t>5.7</t>
        </is>
      </c>
      <c r="D146" s="498" t="inlineStr">
        <is>
          <t>АВТОМОБИЛЬНЫЕ БЕНЗИНЫ СЗСК, ВСЕГО:</t>
        </is>
      </c>
      <c r="E146" s="528" t="inlineStr">
        <is>
          <t>100331905</t>
        </is>
      </c>
      <c r="F146" s="528" t="n"/>
      <c r="G146" s="529" t="n"/>
      <c r="H146" s="530" t="inlineStr">
        <is>
          <t>100331906+100331907</t>
        </is>
      </c>
      <c r="I146" s="530" t="n"/>
      <c r="J146" s="91" t="inlineStr">
        <is>
          <t>тыс.т.</t>
        </is>
      </c>
    </row>
    <row r="147">
      <c r="B147" s="88" t="inlineStr">
        <is>
          <t>4.155</t>
        </is>
      </c>
      <c r="C147" s="834" t="n"/>
      <c r="D147" s="786" t="inlineStr">
        <is>
          <t>ОЧ-92</t>
        </is>
      </c>
      <c r="E147" s="528" t="inlineStr">
        <is>
          <t>100331906</t>
        </is>
      </c>
      <c r="F147" s="528" t="n"/>
      <c r="G147" s="529" t="n"/>
      <c r="H147" s="530" t="n"/>
      <c r="I147" s="530" t="n"/>
      <c r="J147" s="91" t="inlineStr">
        <is>
          <t>тыс.т.</t>
        </is>
      </c>
    </row>
    <row r="148">
      <c r="B148" s="88" t="inlineStr">
        <is>
          <t>4.156</t>
        </is>
      </c>
      <c r="C148" s="800" t="n"/>
      <c r="D148" s="786" t="inlineStr">
        <is>
          <t>ОЧ-95</t>
        </is>
      </c>
      <c r="E148" s="528" t="inlineStr">
        <is>
          <t>100331907</t>
        </is>
      </c>
      <c r="F148" s="528" t="n"/>
      <c r="G148" s="529" t="n"/>
      <c r="H148" s="530" t="n"/>
      <c r="I148" s="530" t="n"/>
      <c r="J148" s="91" t="inlineStr">
        <is>
          <t>тыс.т.</t>
        </is>
      </c>
    </row>
    <row r="149" ht="36.75" customHeight="1" s="769">
      <c r="B149" s="88" t="inlineStr">
        <is>
          <t>4.157</t>
        </is>
      </c>
      <c r="C149" s="834" t="inlineStr">
        <is>
          <t>5.8</t>
        </is>
      </c>
      <c r="D149" s="779" t="inlineStr">
        <is>
          <t>ТОПЛИВО ДЛЯ РЕАКТИВНЫХ ДВИГАТЕЛЕЙ, ВСЕГО:</t>
        </is>
      </c>
      <c r="E149" s="528" t="inlineStr">
        <is>
          <t>100331908</t>
        </is>
      </c>
      <c r="F149" s="528" t="n"/>
      <c r="G149" s="529" t="n"/>
      <c r="H149" s="530" t="inlineStr">
        <is>
          <t>100331909+100331910</t>
        </is>
      </c>
      <c r="I149" s="530" t="n"/>
      <c r="J149" s="91" t="inlineStr">
        <is>
          <t>тыс.т.</t>
        </is>
      </c>
    </row>
    <row r="150">
      <c r="B150" s="88" t="inlineStr">
        <is>
          <t>4.158</t>
        </is>
      </c>
      <c r="C150" s="800" t="n"/>
      <c r="D150" s="786" t="inlineStr">
        <is>
          <t>в т.ч.  УЗПКТ</t>
        </is>
      </c>
      <c r="E150" s="528" t="inlineStr">
        <is>
          <t>100331909</t>
        </is>
      </c>
      <c r="F150" s="528" t="n"/>
      <c r="G150" s="529" t="n"/>
      <c r="H150" s="530" t="n"/>
      <c r="I150" s="530" t="n"/>
      <c r="J150" s="91" t="inlineStr">
        <is>
          <t>тыс.т.</t>
        </is>
      </c>
    </row>
    <row r="151">
      <c r="B151" s="88" t="inlineStr">
        <is>
          <t>4.159</t>
        </is>
      </c>
      <c r="C151" s="800" t="n"/>
      <c r="D151" s="786" t="inlineStr">
        <is>
          <t>в т.ч. СЗСК</t>
        </is>
      </c>
      <c r="E151" s="528" t="inlineStr">
        <is>
          <t>100331910</t>
        </is>
      </c>
      <c r="F151" s="528" t="n"/>
      <c r="G151" s="529" t="n"/>
      <c r="H151" s="530" t="n"/>
      <c r="I151" s="530" t="n"/>
      <c r="J151" s="91" t="inlineStr">
        <is>
          <t>тыс.т.</t>
        </is>
      </c>
    </row>
    <row r="152">
      <c r="B152" s="88" t="inlineStr">
        <is>
          <t>4.160</t>
        </is>
      </c>
      <c r="C152" s="834" t="inlineStr">
        <is>
          <t>5.9</t>
        </is>
      </c>
      <c r="D152" s="498" t="inlineStr">
        <is>
          <t>ДИЗЕЛЬНОЕ ТОПЛИВО, ВСЕГО:</t>
        </is>
      </c>
      <c r="E152" s="528" t="inlineStr">
        <is>
          <t>100331911</t>
        </is>
      </c>
      <c r="F152" s="528" t="n"/>
      <c r="G152" s="529" t="n"/>
      <c r="H152" s="530" t="inlineStr">
        <is>
          <t>100331912+100331913</t>
        </is>
      </c>
      <c r="I152" s="530" t="n"/>
      <c r="J152" s="91" t="inlineStr">
        <is>
          <t>тыс.т.</t>
        </is>
      </c>
    </row>
    <row r="153">
      <c r="B153" s="88" t="inlineStr">
        <is>
          <t>4.161</t>
        </is>
      </c>
      <c r="C153" s="800" t="n"/>
      <c r="D153" s="786" t="inlineStr">
        <is>
          <t>в т.ч.  УЗПКТ</t>
        </is>
      </c>
      <c r="E153" s="528" t="inlineStr">
        <is>
          <t>100331912</t>
        </is>
      </c>
      <c r="F153" s="528" t="n"/>
      <c r="G153" s="529" t="n"/>
      <c r="H153" s="530" t="n"/>
      <c r="I153" s="530" t="n"/>
      <c r="J153" s="91" t="inlineStr">
        <is>
          <t>тыс.т.</t>
        </is>
      </c>
    </row>
    <row r="154">
      <c r="B154" s="88" t="inlineStr">
        <is>
          <t>4.162</t>
        </is>
      </c>
      <c r="C154" s="800" t="n"/>
      <c r="D154" s="786" t="inlineStr">
        <is>
          <t>в т.ч. СЗСК</t>
        </is>
      </c>
      <c r="E154" s="528" t="inlineStr">
        <is>
          <t>100331913</t>
        </is>
      </c>
      <c r="F154" s="528" t="n"/>
      <c r="G154" s="529" t="n"/>
      <c r="H154" s="530" t="n"/>
      <c r="I154" s="530" t="n"/>
      <c r="J154" s="91" t="inlineStr">
        <is>
          <t>тыс.т.</t>
        </is>
      </c>
    </row>
    <row r="155" ht="38.25" customHeight="1" s="769">
      <c r="B155" s="88" t="inlineStr">
        <is>
          <t>4.163</t>
        </is>
      </c>
      <c r="C155" s="834" t="inlineStr">
        <is>
          <t>5.10</t>
        </is>
      </c>
      <c r="D155" s="498" t="inlineStr">
        <is>
          <t xml:space="preserve">ДИСТИЛЛЯТ ГАЗОВОГО КОНДЕНСАТА ЛЕГКИЙ, ВСЕГО: </t>
        </is>
      </c>
      <c r="E155" s="528" t="inlineStr">
        <is>
          <t>100331914</t>
        </is>
      </c>
      <c r="F155" s="528" t="n"/>
      <c r="G155" s="529" t="n"/>
      <c r="H155" s="530" t="inlineStr">
        <is>
          <t>100331916+100331917</t>
        </is>
      </c>
      <c r="I155" s="530" t="n"/>
      <c r="J155" s="91" t="inlineStr">
        <is>
          <t>тыс.т.</t>
        </is>
      </c>
    </row>
    <row r="156">
      <c r="B156" s="88" t="inlineStr">
        <is>
          <t>4.165</t>
        </is>
      </c>
      <c r="C156" s="800" t="n"/>
      <c r="D156" s="786" t="inlineStr">
        <is>
          <t>в т.ч.  УЗПКТ</t>
        </is>
      </c>
      <c r="E156" s="528" t="inlineStr">
        <is>
          <t>100331916</t>
        </is>
      </c>
      <c r="F156" s="528" t="n"/>
      <c r="G156" s="529" t="n"/>
      <c r="H156" s="530" t="n"/>
      <c r="I156" s="530" t="n"/>
      <c r="J156" s="91" t="inlineStr">
        <is>
          <t>тыс.т.</t>
        </is>
      </c>
    </row>
    <row r="157" ht="18.75" customHeight="1" s="769">
      <c r="B157" s="88" t="inlineStr">
        <is>
          <t>4.166</t>
        </is>
      </c>
      <c r="C157" s="800" t="n"/>
      <c r="D157" s="27" t="inlineStr">
        <is>
          <t xml:space="preserve">   в т.ч. с УПГД</t>
        </is>
      </c>
      <c r="E157" s="528" t="inlineStr">
        <is>
          <t>100335043</t>
        </is>
      </c>
      <c r="F157" s="528" t="n"/>
      <c r="G157" s="529" t="n"/>
      <c r="H157" s="530" t="n"/>
      <c r="I157" s="530" t="n"/>
      <c r="J157" s="91" t="inlineStr">
        <is>
          <t>тыс.т.</t>
        </is>
      </c>
    </row>
    <row r="158">
      <c r="B158" s="88" t="inlineStr">
        <is>
          <t>4.167</t>
        </is>
      </c>
      <c r="C158" s="800" t="n"/>
      <c r="D158" s="786" t="inlineStr">
        <is>
          <t>в т.ч. СЗСК</t>
        </is>
      </c>
      <c r="E158" s="528" t="inlineStr">
        <is>
          <t>100331917</t>
        </is>
      </c>
      <c r="F158" s="528" t="n"/>
      <c r="G158" s="529" t="n"/>
      <c r="H158" s="530" t="n"/>
      <c r="I158" s="530" t="n"/>
      <c r="J158" s="91" t="inlineStr">
        <is>
          <t>тыс.т.</t>
        </is>
      </c>
    </row>
    <row r="159" ht="19.5" customHeight="1" s="769">
      <c r="B159" s="88" t="inlineStr">
        <is>
          <t>4.168</t>
        </is>
      </c>
      <c r="C159" s="834" t="inlineStr">
        <is>
          <t>5.11</t>
        </is>
      </c>
      <c r="D159" s="498" t="inlineStr">
        <is>
          <t>СТАБИЛЬНЫЙ КОНДЕНСАТ ТОВАРНЫЙ, ВСЕГО:</t>
        </is>
      </c>
      <c r="E159" s="528" t="inlineStr">
        <is>
          <t>100331920</t>
        </is>
      </c>
      <c r="F159" s="528" t="n"/>
      <c r="G159" s="529" t="n"/>
      <c r="H159" s="530" t="inlineStr">
        <is>
          <t>100331921+100331922</t>
        </is>
      </c>
      <c r="I159" s="530" t="n"/>
      <c r="J159" s="91" t="inlineStr">
        <is>
          <t>тыс.т.</t>
        </is>
      </c>
    </row>
    <row r="160">
      <c r="B160" s="88" t="inlineStr">
        <is>
          <t>4.169</t>
        </is>
      </c>
      <c r="C160" s="800" t="n"/>
      <c r="D160" s="786" t="inlineStr">
        <is>
          <t>в т.ч.  УЗПКТ</t>
        </is>
      </c>
      <c r="E160" s="528" t="inlineStr">
        <is>
          <t>100331921</t>
        </is>
      </c>
      <c r="F160" s="528" t="n"/>
      <c r="G160" s="529" t="n"/>
      <c r="H160" s="530" t="n"/>
      <c r="I160" s="530" t="n"/>
      <c r="J160" s="91" t="inlineStr">
        <is>
          <t>тыс.т.</t>
        </is>
      </c>
    </row>
    <row r="161">
      <c r="B161" s="88" t="inlineStr">
        <is>
          <t>4.170</t>
        </is>
      </c>
      <c r="C161" s="800" t="n"/>
      <c r="D161" s="786" t="inlineStr">
        <is>
          <t>в т.ч. СЗСК</t>
        </is>
      </c>
      <c r="E161" s="528" t="inlineStr">
        <is>
          <t>100331922</t>
        </is>
      </c>
      <c r="F161" s="528" t="n"/>
      <c r="G161" s="529" t="n"/>
      <c r="H161" s="530" t="n"/>
      <c r="I161" s="530" t="n"/>
      <c r="J161" s="91" t="inlineStr">
        <is>
          <t>тыс.т.</t>
        </is>
      </c>
    </row>
    <row r="162" ht="37.5" customHeight="1" s="769">
      <c r="B162" s="88" t="inlineStr">
        <is>
          <t>4.171</t>
        </is>
      </c>
      <c r="C162" s="834" t="inlineStr">
        <is>
          <t>5.12</t>
        </is>
      </c>
      <c r="D162" s="504" t="inlineStr">
        <is>
          <t xml:space="preserve">  СТАБИЛЬНЫЙ КОНДЕНСАТ ТОВАРНЫЙ (НЕФТЬ), ВСЕГО: </t>
        </is>
      </c>
      <c r="E162" s="528" t="inlineStr">
        <is>
          <t>100331923</t>
        </is>
      </c>
      <c r="F162" s="528" t="n"/>
      <c r="G162" s="529" t="n"/>
      <c r="H162" s="530" t="inlineStr">
        <is>
          <t>100331924+100331925</t>
        </is>
      </c>
      <c r="I162" s="530" t="n"/>
      <c r="J162" s="91" t="inlineStr">
        <is>
          <t>тыс.т.</t>
        </is>
      </c>
    </row>
    <row r="163">
      <c r="B163" s="88" t="inlineStr">
        <is>
          <t>4.172</t>
        </is>
      </c>
      <c r="C163" s="800" t="n"/>
      <c r="D163" s="786" t="inlineStr">
        <is>
          <t>в т.ч.  УЗПКТ</t>
        </is>
      </c>
      <c r="E163" s="528" t="inlineStr">
        <is>
          <t>100331924</t>
        </is>
      </c>
      <c r="F163" s="528" t="n"/>
      <c r="G163" s="529" t="n"/>
      <c r="H163" s="530" t="inlineStr">
        <is>
          <t>100335091+100335092</t>
        </is>
      </c>
      <c r="I163" s="530" t="n"/>
      <c r="J163" s="91" t="inlineStr">
        <is>
          <t>тыс.т.</t>
        </is>
      </c>
    </row>
    <row r="164">
      <c r="B164" s="88" t="inlineStr">
        <is>
          <t>4.173</t>
        </is>
      </c>
      <c r="C164" s="800" t="n"/>
      <c r="D164" s="502" t="inlineStr">
        <is>
          <t>в т.ч. с УСК-2</t>
        </is>
      </c>
      <c r="E164" s="528" t="inlineStr">
        <is>
          <t>100335091</t>
        </is>
      </c>
      <c r="F164" s="528" t="n"/>
      <c r="G164" s="529" t="n"/>
      <c r="H164" s="530" t="n"/>
      <c r="I164" s="530" t="n"/>
      <c r="J164" s="91" t="inlineStr">
        <is>
          <t>тыс.т.</t>
        </is>
      </c>
    </row>
    <row r="165">
      <c r="B165" s="88" t="inlineStr">
        <is>
          <t>4.174</t>
        </is>
      </c>
      <c r="C165" s="800" t="n"/>
      <c r="D165" s="502" t="inlineStr">
        <is>
          <t>в т.ч нефть на НПС</t>
        </is>
      </c>
      <c r="E165" s="528" t="inlineStr">
        <is>
          <t>100335092</t>
        </is>
      </c>
      <c r="F165" s="528" t="n"/>
      <c r="G165" s="529" t="n"/>
      <c r="H165" s="530" t="n"/>
      <c r="I165" s="530" t="n"/>
      <c r="J165" s="91" t="inlineStr">
        <is>
          <t>тыс.т.</t>
        </is>
      </c>
    </row>
    <row r="166">
      <c r="B166" s="88" t="inlineStr">
        <is>
          <t>4.175</t>
        </is>
      </c>
      <c r="C166" s="800" t="n"/>
      <c r="D166" s="786" t="inlineStr">
        <is>
          <t>в т.ч. СЗСК</t>
        </is>
      </c>
      <c r="E166" s="528" t="inlineStr">
        <is>
          <t>100331925</t>
        </is>
      </c>
      <c r="F166" s="528" t="n"/>
      <c r="G166" s="529" t="n"/>
      <c r="H166" s="530" t="n"/>
      <c r="I166" s="530" t="n"/>
      <c r="J166" s="91" t="inlineStr">
        <is>
          <t>тыс.т.</t>
        </is>
      </c>
    </row>
    <row r="167">
      <c r="B167" s="88" t="inlineStr">
        <is>
          <t>4.176</t>
        </is>
      </c>
      <c r="C167" s="800" t="n"/>
      <c r="D167" s="505" t="inlineStr">
        <is>
          <t>Справочно:</t>
        </is>
      </c>
      <c r="E167" s="528" t="n"/>
      <c r="F167" s="528" t="n"/>
      <c r="G167" s="529" t="n"/>
      <c r="H167" s="530" t="n"/>
      <c r="I167" s="530" t="n"/>
      <c r="J167" s="91" t="inlineStr">
        <is>
          <t>тыс.т.</t>
        </is>
      </c>
    </row>
    <row r="168">
      <c r="B168" s="88" t="inlineStr">
        <is>
          <t>4.177</t>
        </is>
      </c>
      <c r="C168" s="800" t="n"/>
      <c r="D168" s="500" t="inlineStr">
        <is>
          <t>Стабильный конденсат валовый, всего:</t>
        </is>
      </c>
      <c r="E168" s="528" t="inlineStr">
        <is>
          <t>100331926</t>
        </is>
      </c>
      <c r="F168" s="528" t="n"/>
      <c r="G168" s="529" t="n"/>
      <c r="H168" s="530" t="inlineStr">
        <is>
          <t>100335099+100331929</t>
        </is>
      </c>
      <c r="I168" s="530" t="n"/>
      <c r="J168" s="91" t="inlineStr">
        <is>
          <t>тыс.т.</t>
        </is>
      </c>
    </row>
    <row r="169" ht="24" customHeight="1" s="769">
      <c r="B169" s="88" t="inlineStr">
        <is>
          <t>4.178</t>
        </is>
      </c>
      <c r="C169" s="800" t="n"/>
      <c r="D169" s="777" t="inlineStr">
        <is>
          <t>в т.ч.  УЗПКТ</t>
        </is>
      </c>
      <c r="E169" s="528" t="inlineStr">
        <is>
          <t>100335099</t>
        </is>
      </c>
      <c r="F169" s="528" t="n"/>
      <c r="G169" s="529" t="n"/>
      <c r="H169" s="530" t="inlineStr">
        <is>
          <t>100331927+100331928+100335100</t>
        </is>
      </c>
      <c r="I169" s="530" t="n"/>
      <c r="J169" s="91" t="inlineStr">
        <is>
          <t>тыс.т.</t>
        </is>
      </c>
    </row>
    <row r="170">
      <c r="B170" s="88" t="inlineStr">
        <is>
          <t>4.179</t>
        </is>
      </c>
      <c r="C170" s="800" t="n"/>
      <c r="D170" s="121" t="inlineStr">
        <is>
          <t>в т.ч.  УЗПКТ (с УДК/УСК)</t>
        </is>
      </c>
      <c r="E170" s="528" t="inlineStr">
        <is>
          <t>100331927</t>
        </is>
      </c>
      <c r="F170" s="528" t="n"/>
      <c r="G170" s="529" t="n"/>
      <c r="H170" s="530" t="n"/>
      <c r="I170" s="530" t="n"/>
      <c r="J170" s="91" t="inlineStr">
        <is>
          <t>тыс.т.</t>
        </is>
      </c>
    </row>
    <row r="171">
      <c r="B171" s="88" t="inlineStr">
        <is>
          <t>4.180</t>
        </is>
      </c>
      <c r="C171" s="800" t="n"/>
      <c r="D171" s="121" t="inlineStr">
        <is>
          <t>в т.ч.  УЗПКТ (с УСК-2)</t>
        </is>
      </c>
      <c r="E171" s="528" t="inlineStr">
        <is>
          <t>100331928</t>
        </is>
      </c>
      <c r="F171" s="528" t="n"/>
      <c r="G171" s="529" t="n"/>
      <c r="H171" s="530" t="n"/>
      <c r="I171" s="530" t="n"/>
      <c r="J171" s="91" t="inlineStr">
        <is>
          <t>тыс.т.</t>
        </is>
      </c>
    </row>
    <row r="172">
      <c r="B172" s="88" t="inlineStr">
        <is>
          <t>4.181</t>
        </is>
      </c>
      <c r="C172" s="800" t="n"/>
      <c r="D172" s="121" t="inlineStr">
        <is>
          <t>в т.ч нефть на НПС</t>
        </is>
      </c>
      <c r="E172" s="528" t="inlineStr">
        <is>
          <t>100335100</t>
        </is>
      </c>
      <c r="F172" s="528" t="n"/>
      <c r="G172" s="529" t="n"/>
      <c r="H172" s="530" t="n"/>
      <c r="I172" s="530" t="n"/>
      <c r="J172" s="91" t="inlineStr">
        <is>
          <t>тыс.т.</t>
        </is>
      </c>
    </row>
    <row r="173">
      <c r="B173" s="88" t="inlineStr">
        <is>
          <t>4.182</t>
        </is>
      </c>
      <c r="C173" s="800" t="n"/>
      <c r="D173" s="777" t="inlineStr">
        <is>
          <t>в т.ч. СЗСК</t>
        </is>
      </c>
      <c r="E173" s="528" t="inlineStr">
        <is>
          <t>100331929</t>
        </is>
      </c>
      <c r="F173" s="528" t="n"/>
      <c r="G173" s="529" t="n"/>
      <c r="H173" s="530" t="n"/>
      <c r="I173" s="530" t="n"/>
      <c r="J173" s="91" t="inlineStr">
        <is>
          <t>тыс.т.</t>
        </is>
      </c>
    </row>
    <row r="174" ht="39" customHeight="1" s="769">
      <c r="B174" s="88" t="inlineStr">
        <is>
          <t>4.183</t>
        </is>
      </c>
      <c r="C174" s="800" t="n"/>
      <c r="D174" s="500" t="inlineStr">
        <is>
          <t>Стабильный конденсат на первичную переработку, всего:</t>
        </is>
      </c>
      <c r="E174" s="528" t="inlineStr">
        <is>
          <t>100331930</t>
        </is>
      </c>
      <c r="F174" s="528" t="n"/>
      <c r="G174" s="529" t="n"/>
      <c r="H174" s="530" t="inlineStr">
        <is>
          <t>100331931+100331932</t>
        </is>
      </c>
      <c r="I174" s="530" t="n"/>
      <c r="J174" s="91" t="inlineStr">
        <is>
          <t>тыс.т.</t>
        </is>
      </c>
    </row>
    <row r="175">
      <c r="B175" s="88" t="inlineStr">
        <is>
          <t>4.184</t>
        </is>
      </c>
      <c r="C175" s="800" t="n"/>
      <c r="D175" s="777" t="inlineStr">
        <is>
          <t>в т.ч.  УЗПКТ</t>
        </is>
      </c>
      <c r="E175" s="528" t="inlineStr">
        <is>
          <t>100331931</t>
        </is>
      </c>
      <c r="F175" s="528" t="n"/>
      <c r="G175" s="529" t="n"/>
      <c r="H175" s="530" t="n"/>
      <c r="I175" s="530" t="n"/>
      <c r="J175" s="91" t="inlineStr">
        <is>
          <t>тыс.т.</t>
        </is>
      </c>
    </row>
    <row r="176">
      <c r="B176" s="88" t="inlineStr">
        <is>
          <t>4.185</t>
        </is>
      </c>
      <c r="C176" s="800" t="n"/>
      <c r="D176" s="777" t="inlineStr">
        <is>
          <t>в т.ч. СЗСК</t>
        </is>
      </c>
      <c r="E176" s="528" t="inlineStr">
        <is>
          <t>100331932</t>
        </is>
      </c>
      <c r="F176" s="528" t="n"/>
      <c r="G176" s="529" t="n"/>
      <c r="H176" s="530" t="n"/>
      <c r="I176" s="530" t="n"/>
      <c r="J176" s="91" t="inlineStr">
        <is>
          <t>тыс.т.</t>
        </is>
      </c>
    </row>
    <row r="177" ht="38.25" customHeight="1" s="769">
      <c r="B177" s="88" t="inlineStr">
        <is>
          <t>4.186</t>
        </is>
      </c>
      <c r="C177" s="800" t="n"/>
      <c r="D177" s="507" t="inlineStr">
        <is>
          <t>Стабильный конденсат на переработку, всего:</t>
        </is>
      </c>
      <c r="E177" s="528" t="inlineStr">
        <is>
          <t>100331933</t>
        </is>
      </c>
      <c r="F177" s="528" t="n"/>
      <c r="G177" s="529" t="n"/>
      <c r="H177" s="530" t="inlineStr">
        <is>
          <t>100331934+100331935</t>
        </is>
      </c>
      <c r="I177" s="530" t="n"/>
      <c r="J177" s="91" t="inlineStr">
        <is>
          <t>тыс.т.</t>
        </is>
      </c>
    </row>
    <row r="178">
      <c r="B178" s="88" t="inlineStr">
        <is>
          <t>4.187</t>
        </is>
      </c>
      <c r="C178" s="800" t="n"/>
      <c r="D178" s="777" t="inlineStr">
        <is>
          <t>в т.ч.  УЗПКТ</t>
        </is>
      </c>
      <c r="E178" s="528" t="inlineStr">
        <is>
          <t>100331934</t>
        </is>
      </c>
      <c r="F178" s="528" t="n"/>
      <c r="G178" s="529" t="n"/>
      <c r="H178" s="530" t="n"/>
      <c r="I178" s="530" t="n"/>
      <c r="J178" s="91" t="inlineStr">
        <is>
          <t>тыс.т.</t>
        </is>
      </c>
    </row>
    <row r="179">
      <c r="B179" s="88" t="n"/>
      <c r="C179" s="800" t="n"/>
      <c r="D179" s="122" t="inlineStr">
        <is>
          <t xml:space="preserve">   в т.ч. по договору переработки</t>
        </is>
      </c>
      <c r="E179" s="528" t="inlineStr">
        <is>
          <t>100335887</t>
        </is>
      </c>
      <c r="F179" s="528" t="n"/>
      <c r="G179" s="529" t="n"/>
      <c r="H179" s="530" t="n"/>
      <c r="I179" s="530" t="n"/>
      <c r="J179" s="91" t="inlineStr">
        <is>
          <t>тыс.т.</t>
        </is>
      </c>
    </row>
    <row r="180">
      <c r="B180" s="88" t="inlineStr">
        <is>
          <t>4.188</t>
        </is>
      </c>
      <c r="C180" s="800" t="n"/>
      <c r="D180" s="777" t="inlineStr">
        <is>
          <t>в т.ч. СЗСК</t>
        </is>
      </c>
      <c r="E180" s="528" t="inlineStr">
        <is>
          <t>100331935</t>
        </is>
      </c>
      <c r="F180" s="528" t="n"/>
      <c r="G180" s="529" t="n"/>
      <c r="H180" s="530" t="n"/>
      <c r="I180" s="530" t="n"/>
      <c r="J180" s="91" t="inlineStr">
        <is>
          <t>тыс.т.</t>
        </is>
      </c>
    </row>
    <row r="181">
      <c r="B181" s="88" t="n"/>
      <c r="C181" s="800" t="n"/>
      <c r="D181" s="122" t="inlineStr">
        <is>
          <t xml:space="preserve">   в т.ч. по договору переработки</t>
        </is>
      </c>
      <c r="E181" s="528" t="inlineStr">
        <is>
          <t>100335888</t>
        </is>
      </c>
      <c r="F181" s="528" t="n"/>
      <c r="G181" s="529" t="n"/>
      <c r="H181" s="530" t="n"/>
      <c r="I181" s="530" t="n"/>
      <c r="J181" s="91" t="inlineStr">
        <is>
          <t>тыс.т.</t>
        </is>
      </c>
    </row>
    <row r="182">
      <c r="B182" s="88" t="n"/>
      <c r="C182" s="800" t="n"/>
      <c r="D182" s="507" t="inlineStr">
        <is>
          <t>Стабильный конденсат на смешение</t>
        </is>
      </c>
      <c r="E182" s="528" t="inlineStr">
        <is>
          <t>100335921</t>
        </is>
      </c>
      <c r="F182" s="528" t="n"/>
      <c r="G182" s="529" t="n"/>
      <c r="H182" s="530" t="n"/>
      <c r="I182" s="530" t="n"/>
      <c r="J182" s="91" t="n"/>
    </row>
    <row r="183">
      <c r="B183" s="88" t="n"/>
      <c r="C183" s="800" t="n"/>
      <c r="D183" s="777" t="inlineStr">
        <is>
          <t>в т.ч. СЗСК</t>
        </is>
      </c>
      <c r="E183" s="528" t="inlineStr">
        <is>
          <t>100335922</t>
        </is>
      </c>
      <c r="F183" s="528" t="n"/>
      <c r="G183" s="529" t="n"/>
      <c r="H183" s="530" t="n"/>
      <c r="I183" s="530" t="n"/>
      <c r="J183" s="91" t="n"/>
    </row>
    <row r="184">
      <c r="B184" s="88" t="inlineStr">
        <is>
          <t>4.189</t>
        </is>
      </c>
      <c r="C184" s="834" t="inlineStr">
        <is>
          <t>5.13</t>
        </is>
      </c>
      <c r="D184" s="779" t="inlineStr">
        <is>
          <t xml:space="preserve">МЕТАНОЛ, ВСЕГО: </t>
        </is>
      </c>
      <c r="E184" s="528" t="inlineStr">
        <is>
          <t>100335442</t>
        </is>
      </c>
      <c r="F184" s="528" t="n"/>
      <c r="G184" s="529" t="n"/>
      <c r="H184" s="530" t="inlineStr">
        <is>
          <t>100335444+100335445</t>
        </is>
      </c>
      <c r="I184" s="530" t="n"/>
      <c r="J184" s="91" t="inlineStr">
        <is>
          <t>тонн</t>
        </is>
      </c>
    </row>
    <row r="185">
      <c r="B185" s="88" t="inlineStr">
        <is>
          <t>4.191</t>
        </is>
      </c>
      <c r="C185" s="800" t="n"/>
      <c r="D185" s="786" t="inlineStr">
        <is>
          <t>в т.ч. УЗПКТ (с УПГД)</t>
        </is>
      </c>
      <c r="E185" s="528" t="inlineStr">
        <is>
          <t>100335444</t>
        </is>
      </c>
      <c r="F185" s="528" t="n"/>
      <c r="G185" s="529" t="n"/>
      <c r="H185" s="530" t="n"/>
      <c r="I185" s="530" t="n"/>
      <c r="J185" s="91" t="inlineStr">
        <is>
          <t>тонн</t>
        </is>
      </c>
    </row>
    <row r="186">
      <c r="B186" s="88" t="inlineStr">
        <is>
          <t>4.192</t>
        </is>
      </c>
      <c r="C186" s="800" t="n"/>
      <c r="D186" s="786" t="inlineStr">
        <is>
          <t>в т.ч. СЗСК (с УРМ)</t>
        </is>
      </c>
      <c r="E186" s="528" t="inlineStr">
        <is>
          <t>100335445</t>
        </is>
      </c>
      <c r="F186" s="528" t="n"/>
      <c r="G186" s="529" t="n"/>
      <c r="H186" s="530" t="n"/>
      <c r="I186" s="530" t="n"/>
      <c r="J186" s="91" t="inlineStr">
        <is>
          <t>тонн</t>
        </is>
      </c>
    </row>
    <row r="187">
      <c r="B187" s="88" t="inlineStr">
        <is>
          <t>4.193</t>
        </is>
      </c>
      <c r="C187" s="834" t="inlineStr">
        <is>
          <t>5.14</t>
        </is>
      </c>
      <c r="D187" s="779" t="inlineStr">
        <is>
          <t>ВОДА ПОДТОВАРНАЯ УЗПКТ</t>
        </is>
      </c>
      <c r="E187" s="528" t="inlineStr">
        <is>
          <t>100331942</t>
        </is>
      </c>
      <c r="F187" s="528" t="n"/>
      <c r="G187" s="529" t="n"/>
      <c r="H187" s="530" t="n"/>
      <c r="I187" s="530" t="n"/>
      <c r="J187" s="91" t="inlineStr">
        <is>
          <t>тыс.т.</t>
        </is>
      </c>
    </row>
    <row r="188">
      <c r="B188" s="88" t="inlineStr">
        <is>
          <t>4.194</t>
        </is>
      </c>
      <c r="C188" s="834" t="inlineStr">
        <is>
          <t>5.15</t>
        </is>
      </c>
      <c r="D188" s="779" t="inlineStr">
        <is>
          <t>ВОДОМЕТАНОЛЬНАЯ СМЕСЬ СЗСК</t>
        </is>
      </c>
      <c r="E188" s="528" t="inlineStr">
        <is>
          <t>100331943</t>
        </is>
      </c>
      <c r="F188" s="528" t="n"/>
      <c r="G188" s="529" t="n"/>
      <c r="H188" s="530" t="n"/>
      <c r="I188" s="530" t="n"/>
      <c r="J188" s="91" t="inlineStr">
        <is>
          <t>тыс.т.</t>
        </is>
      </c>
    </row>
    <row r="189">
      <c r="B189" s="88" t="n"/>
      <c r="C189" s="834" t="n"/>
      <c r="D189" s="122" t="inlineStr">
        <is>
          <t>в т.ч. по договору переработки</t>
        </is>
      </c>
      <c r="E189" s="528" t="inlineStr">
        <is>
          <t>100335889</t>
        </is>
      </c>
      <c r="F189" s="528" t="n"/>
      <c r="G189" s="529" t="n"/>
      <c r="H189" s="530" t="n"/>
      <c r="I189" s="530" t="n"/>
      <c r="J189" s="91" t="inlineStr">
        <is>
          <t>тыс.т.</t>
        </is>
      </c>
    </row>
    <row r="190">
      <c r="B190" s="88" t="inlineStr">
        <is>
          <t>4.195</t>
        </is>
      </c>
      <c r="C190" s="337" t="n"/>
      <c r="D190" s="505" t="inlineStr">
        <is>
          <t>Справочно:</t>
        </is>
      </c>
      <c r="E190" s="528" t="n"/>
      <c r="F190" s="528" t="n"/>
      <c r="G190" s="529" t="n"/>
      <c r="H190" s="530" t="n"/>
      <c r="I190" s="530" t="n"/>
      <c r="J190" s="91" t="n"/>
    </row>
    <row r="191" ht="39" customHeight="1" s="769">
      <c r="B191" s="112" t="inlineStr">
        <is>
          <t>4.76</t>
        </is>
      </c>
      <c r="C191" s="834" t="inlineStr">
        <is>
          <t>6</t>
        </is>
      </c>
      <c r="D191" s="499" t="inlineStr">
        <is>
          <t>Переработка сырья на УЗПКТ и привлеченных мощностях, всего:</t>
        </is>
      </c>
      <c r="E191" s="528" t="inlineStr">
        <is>
          <t>100331839</t>
        </is>
      </c>
      <c r="F191" s="528" t="n"/>
      <c r="G191" s="529" t="n"/>
      <c r="H191" s="530" t="inlineStr">
        <is>
          <t>100335890+100335093</t>
        </is>
      </c>
      <c r="I191" s="530" t="n"/>
      <c r="J191" s="91" t="inlineStr">
        <is>
          <t>тыс.т.</t>
        </is>
      </c>
    </row>
    <row r="192" ht="24" customHeight="1" s="769">
      <c r="B192" s="88" t="n"/>
      <c r="C192" s="834" t="inlineStr">
        <is>
          <t>6.1</t>
        </is>
      </c>
      <c r="D192" s="499" t="inlineStr">
        <is>
          <t>Нестабильного конденсата, всего:</t>
        </is>
      </c>
      <c r="E192" s="528" t="inlineStr">
        <is>
          <t>100335890</t>
        </is>
      </c>
      <c r="F192" s="528" t="n"/>
      <c r="G192" s="529" t="n"/>
      <c r="H192" s="530" t="inlineStr">
        <is>
          <t>100335891+100335357+100335358</t>
        </is>
      </c>
      <c r="I192" s="530" t="n"/>
      <c r="J192" s="91" t="inlineStr">
        <is>
          <t>тыс.т.</t>
        </is>
      </c>
    </row>
    <row r="193" ht="24" customHeight="1" s="769">
      <c r="B193" s="88" t="n"/>
      <c r="C193" s="834" t="n"/>
      <c r="D193" s="509" t="inlineStr">
        <is>
          <t>УЗПКТ</t>
        </is>
      </c>
      <c r="E193" s="528" t="inlineStr">
        <is>
          <t>100335891</t>
        </is>
      </c>
      <c r="F193" s="528" t="n"/>
      <c r="G193" s="529" t="n"/>
      <c r="H193" s="530" t="inlineStr">
        <is>
          <t>100331840+100331841+100335293-100335296</t>
        </is>
      </c>
      <c r="I193" s="530" t="n"/>
      <c r="J193" s="91" t="inlineStr">
        <is>
          <t>тыс.т.</t>
        </is>
      </c>
    </row>
    <row r="194">
      <c r="B194" s="112" t="inlineStr">
        <is>
          <t>4.77</t>
        </is>
      </c>
      <c r="C194" s="123" t="n"/>
      <c r="D194" s="510" t="inlineStr">
        <is>
          <t>УДК/УСК</t>
        </is>
      </c>
      <c r="E194" s="528" t="inlineStr">
        <is>
          <t>100331840</t>
        </is>
      </c>
      <c r="F194" s="528" t="n"/>
      <c r="G194" s="529" t="n"/>
      <c r="H194" s="530" t="n"/>
      <c r="I194" s="530" t="n"/>
      <c r="J194" s="91" t="inlineStr">
        <is>
          <t>тыс.т.</t>
        </is>
      </c>
    </row>
    <row r="195">
      <c r="B195" s="112" t="inlineStr">
        <is>
          <t>4.78</t>
        </is>
      </c>
      <c r="C195" s="834" t="n"/>
      <c r="D195" s="122" t="inlineStr">
        <is>
          <t>в т.ч. ДРОД</t>
        </is>
      </c>
      <c r="E195" s="528" t="inlineStr">
        <is>
          <t>100335508</t>
        </is>
      </c>
      <c r="F195" s="528" t="n"/>
      <c r="G195" s="529" t="n"/>
      <c r="H195" s="530" t="n"/>
      <c r="I195" s="530" t="n"/>
      <c r="J195" s="91" t="inlineStr">
        <is>
          <t>тыс.т.</t>
        </is>
      </c>
    </row>
    <row r="196">
      <c r="B196" s="112" t="inlineStr">
        <is>
          <t>4.79</t>
        </is>
      </c>
      <c r="C196" s="123" t="n"/>
      <c r="D196" s="510" t="inlineStr">
        <is>
          <t>УСК НПТР</t>
        </is>
      </c>
      <c r="E196" s="528" t="inlineStr">
        <is>
          <t>100331841</t>
        </is>
      </c>
      <c r="F196" s="528" t="n"/>
      <c r="G196" s="529" t="n"/>
      <c r="H196" s="530" t="n"/>
      <c r="I196" s="530" t="n"/>
      <c r="J196" s="91" t="inlineStr">
        <is>
          <t>тыс.т.</t>
        </is>
      </c>
    </row>
    <row r="197">
      <c r="B197" s="112" t="inlineStr">
        <is>
          <t>4.71</t>
        </is>
      </c>
      <c r="C197" s="123" t="n"/>
      <c r="D197" s="509" t="inlineStr">
        <is>
          <t>На мощностях  ПАО "НОВАТЭК"</t>
        </is>
      </c>
      <c r="E197" s="528" t="inlineStr">
        <is>
          <t>100335357</t>
        </is>
      </c>
      <c r="F197" s="528" t="n"/>
      <c r="G197" s="529" t="n"/>
      <c r="H197" s="530" t="n"/>
      <c r="I197" s="530" t="n"/>
      <c r="J197" s="91" t="inlineStr">
        <is>
          <t>тыс.т.</t>
        </is>
      </c>
    </row>
    <row r="198">
      <c r="B198" s="112" t="inlineStr">
        <is>
          <t>4.72</t>
        </is>
      </c>
      <c r="C198" s="123" t="n"/>
      <c r="D198" s="509" t="inlineStr">
        <is>
          <t>На мощностях УДК(м)</t>
        </is>
      </c>
      <c r="E198" s="528" t="inlineStr">
        <is>
          <t>100335358</t>
        </is>
      </c>
      <c r="F198" s="528" t="n"/>
      <c r="G198" s="529" t="n"/>
      <c r="H198" s="530" t="n"/>
      <c r="I198" s="530" t="n"/>
      <c r="J198" s="91" t="inlineStr">
        <is>
          <t>тыс.т.</t>
        </is>
      </c>
    </row>
    <row r="199">
      <c r="B199" s="112" t="inlineStr">
        <is>
          <t>4.75</t>
        </is>
      </c>
      <c r="C199" s="337" t="inlineStr">
        <is>
          <t>6.2</t>
        </is>
      </c>
      <c r="D199" s="508" t="inlineStr">
        <is>
          <t>Нефть на НПС УЗПКТ</t>
        </is>
      </c>
      <c r="E199" s="528" t="inlineStr">
        <is>
          <t>100335093</t>
        </is>
      </c>
      <c r="F199" s="528" t="n"/>
      <c r="G199" s="529" t="n"/>
      <c r="H199" s="530" t="n"/>
      <c r="I199" s="530" t="n"/>
      <c r="J199" s="91" t="inlineStr">
        <is>
          <t>тыс.т.</t>
        </is>
      </c>
    </row>
    <row r="200" ht="24" customHeight="1" s="769">
      <c r="B200" s="112" t="n"/>
      <c r="C200" s="834" t="inlineStr">
        <is>
          <t>7</t>
        </is>
      </c>
      <c r="D200" s="508" t="inlineStr">
        <is>
          <t>Деэтанизированный конденсат, всего:</t>
        </is>
      </c>
      <c r="E200" s="528" t="inlineStr">
        <is>
          <t>100335892</t>
        </is>
      </c>
      <c r="F200" s="528" t="n"/>
      <c r="G200" s="529" t="n"/>
      <c r="H200" s="530" t="inlineStr">
        <is>
          <t>100331944+100335359+100335360</t>
        </is>
      </c>
      <c r="I200" s="530" t="n"/>
      <c r="J200" s="91" t="inlineStr">
        <is>
          <t>тыс.т.</t>
        </is>
      </c>
    </row>
    <row r="201">
      <c r="B201" s="88" t="inlineStr">
        <is>
          <t>4.196</t>
        </is>
      </c>
      <c r="C201" s="834" t="n"/>
      <c r="D201" s="509" t="inlineStr">
        <is>
          <t>УЗПКТ</t>
        </is>
      </c>
      <c r="E201" s="528" t="inlineStr">
        <is>
          <t>100331944</t>
        </is>
      </c>
      <c r="F201" s="528" t="n"/>
      <c r="G201" s="529" t="n"/>
      <c r="H201" s="530" t="inlineStr">
        <is>
          <t>SUM(100331945:100331947)</t>
        </is>
      </c>
      <c r="I201" s="530" t="n"/>
      <c r="J201" s="91" t="inlineStr">
        <is>
          <t>тыс.т.</t>
        </is>
      </c>
    </row>
    <row r="202">
      <c r="B202" s="88" t="inlineStr">
        <is>
          <t>4.197</t>
        </is>
      </c>
      <c r="C202" s="800" t="n"/>
      <c r="D202" s="510" t="inlineStr">
        <is>
          <t>ДК (с УДК/УСК)</t>
        </is>
      </c>
      <c r="E202" s="528" t="inlineStr">
        <is>
          <t>100331945</t>
        </is>
      </c>
      <c r="F202" s="528" t="n"/>
      <c r="G202" s="529" t="n"/>
      <c r="H202" s="530" t="n"/>
      <c r="I202" s="530" t="n"/>
      <c r="J202" s="91" t="inlineStr">
        <is>
          <t>тыс.т.</t>
        </is>
      </c>
    </row>
    <row r="203">
      <c r="B203" s="88" t="inlineStr">
        <is>
          <t>4.198</t>
        </is>
      </c>
      <c r="C203" s="800" t="n"/>
      <c r="D203" s="510" t="inlineStr">
        <is>
          <t>ДК(с УПГД), собственность Газпром</t>
        </is>
      </c>
      <c r="E203" s="528" t="inlineStr">
        <is>
          <t>100335044</t>
        </is>
      </c>
      <c r="F203" s="528" t="n"/>
      <c r="G203" s="529" t="n"/>
      <c r="H203" s="530" t="n"/>
      <c r="I203" s="530" t="n"/>
      <c r="J203" s="91" t="inlineStr">
        <is>
          <t>тыс.т.</t>
        </is>
      </c>
    </row>
    <row r="204">
      <c r="B204" s="88" t="inlineStr">
        <is>
          <t>4.199</t>
        </is>
      </c>
      <c r="C204" s="800" t="n"/>
      <c r="D204" s="510" t="inlineStr">
        <is>
          <t>ДК(с УСК-2)</t>
        </is>
      </c>
      <c r="E204" s="528" t="inlineStr">
        <is>
          <t>100331947</t>
        </is>
      </c>
      <c r="F204" s="528" t="n"/>
      <c r="G204" s="529" t="n"/>
      <c r="H204" s="530" t="n"/>
      <c r="I204" s="530" t="n"/>
      <c r="J204" s="106" t="inlineStr">
        <is>
          <t>тыс.т.</t>
        </is>
      </c>
    </row>
    <row r="205">
      <c r="B205" s="112" t="inlineStr">
        <is>
          <t>4.83</t>
        </is>
      </c>
      <c r="C205" s="800" t="n"/>
      <c r="D205" s="509" t="inlineStr">
        <is>
          <t>На мощностях  ПАО "НОВАТЭК"</t>
        </is>
      </c>
      <c r="E205" s="528" t="inlineStr">
        <is>
          <t>100335359</t>
        </is>
      </c>
      <c r="F205" s="528" t="n"/>
      <c r="G205" s="529" t="n"/>
      <c r="H205" s="530" t="n"/>
      <c r="I205" s="530" t="n"/>
      <c r="J205" s="91" t="inlineStr">
        <is>
          <t>тыс.т.</t>
        </is>
      </c>
    </row>
    <row r="206">
      <c r="B206" s="112" t="inlineStr">
        <is>
          <t>4.84</t>
        </is>
      </c>
      <c r="C206" s="800" t="n"/>
      <c r="D206" s="509" t="inlineStr">
        <is>
          <t>На мощностях УДК(м)</t>
        </is>
      </c>
      <c r="E206" s="528" t="inlineStr">
        <is>
          <t>100335360</t>
        </is>
      </c>
      <c r="F206" s="528" t="n"/>
      <c r="G206" s="529" t="n"/>
      <c r="H206" s="530" t="n"/>
      <c r="I206" s="530" t="n"/>
      <c r="J206" s="91" t="inlineStr">
        <is>
          <t>тыс.т.</t>
        </is>
      </c>
    </row>
    <row r="207" ht="24" customHeight="1" s="769">
      <c r="B207" s="88" t="inlineStr">
        <is>
          <t>4.81</t>
        </is>
      </c>
      <c r="C207" s="337" t="inlineStr">
        <is>
          <t>8</t>
        </is>
      </c>
      <c r="D207" s="499" t="inlineStr">
        <is>
          <t>Переработка сырья на СЗСК, всего:</t>
        </is>
      </c>
      <c r="E207" s="528" t="inlineStr">
        <is>
          <t>100331842</t>
        </is>
      </c>
      <c r="F207" s="528" t="n"/>
      <c r="G207" s="529" t="n"/>
      <c r="H207" s="530" t="inlineStr">
        <is>
          <t>100335893+100331838+100335894+100335294-100335297</t>
        </is>
      </c>
      <c r="I207" s="530" t="n"/>
      <c r="J207" s="91" t="inlineStr">
        <is>
          <t>тыс.т.</t>
        </is>
      </c>
    </row>
    <row r="208" ht="24" customHeight="1" s="769">
      <c r="B208" s="88" t="n"/>
      <c r="C208" s="123" t="n"/>
      <c r="D208" s="777" t="inlineStr">
        <is>
          <t>Деэтанизированный конденсат</t>
        </is>
      </c>
      <c r="E208" s="528" t="inlineStr">
        <is>
          <t>100335893</t>
        </is>
      </c>
      <c r="F208" s="528" t="n"/>
      <c r="G208" s="529" t="n"/>
      <c r="H208" s="530" t="inlineStr">
        <is>
          <t>100335892-100331824+100331825</t>
        </is>
      </c>
      <c r="I208" s="530" t="n"/>
      <c r="J208" s="91" t="inlineStr">
        <is>
          <t>тыс.т.</t>
        </is>
      </c>
    </row>
    <row r="209">
      <c r="B209" s="112" t="inlineStr">
        <is>
          <t>4.74</t>
        </is>
      </c>
      <c r="C209" s="123" t="n"/>
      <c r="D209" s="777" t="inlineStr">
        <is>
          <t>Нефть</t>
        </is>
      </c>
      <c r="E209" s="528" t="inlineStr">
        <is>
          <t>100331838</t>
        </is>
      </c>
      <c r="F209" s="528" t="n"/>
      <c r="G209" s="529" t="n"/>
      <c r="H209" s="530" t="n"/>
      <c r="I209" s="530" t="n"/>
      <c r="J209" s="91" t="inlineStr">
        <is>
          <t>тыс.т.</t>
        </is>
      </c>
    </row>
    <row r="210">
      <c r="B210" s="88" t="n"/>
      <c r="C210" s="123" t="n"/>
      <c r="D210" s="777" t="inlineStr">
        <is>
          <t>Нестабильный конденсат</t>
        </is>
      </c>
      <c r="E210" s="528" t="inlineStr">
        <is>
          <t>100335894</t>
        </is>
      </c>
      <c r="F210" s="528" t="n"/>
      <c r="G210" s="529" t="n"/>
      <c r="H210" s="530" t="inlineStr">
        <is>
          <t>100331845+100335895</t>
        </is>
      </c>
      <c r="I210" s="530" t="n"/>
      <c r="J210" s="91" t="inlineStr">
        <is>
          <t>тыс.т.</t>
        </is>
      </c>
    </row>
    <row r="211">
      <c r="B211" s="88" t="inlineStr">
        <is>
          <t>4.85</t>
        </is>
      </c>
      <c r="C211" s="123" t="n"/>
      <c r="D211" s="512" t="inlineStr">
        <is>
          <t>ООО "Газпром добыча Ноябрьск"</t>
        </is>
      </c>
      <c r="E211" s="528" t="inlineStr">
        <is>
          <t>100331845</t>
        </is>
      </c>
      <c r="F211" s="528" t="n"/>
      <c r="G211" s="529" t="n"/>
      <c r="H211" s="530" t="inlineStr">
        <is>
          <t>100331836</t>
        </is>
      </c>
      <c r="I211" s="530" t="n"/>
      <c r="J211" s="91" t="inlineStr">
        <is>
          <t>тыс.т.</t>
        </is>
      </c>
    </row>
    <row r="212">
      <c r="B212" s="88" t="n"/>
      <c r="C212" s="123" t="n"/>
      <c r="D212" s="512" t="inlineStr">
        <is>
          <t>ООО "Газпром добыча Уренгой"</t>
        </is>
      </c>
      <c r="E212" s="528" t="inlineStr">
        <is>
          <t>100335895</t>
        </is>
      </c>
      <c r="F212" s="528" t="n"/>
      <c r="G212" s="529" t="n"/>
      <c r="H212" s="530" t="inlineStr">
        <is>
          <t>100335336+100335470</t>
        </is>
      </c>
      <c r="I212" s="530" t="n"/>
      <c r="J212" s="91" t="inlineStr">
        <is>
          <t>тыс.т.</t>
        </is>
      </c>
    </row>
    <row r="213" ht="29.25" customHeight="1" s="769">
      <c r="B213" s="112" t="inlineStr">
        <is>
          <t>4.87</t>
        </is>
      </c>
      <c r="C213" s="123" t="n"/>
      <c r="D213" s="513" t="inlineStr">
        <is>
          <t>Уренгойское НГКМ</t>
        </is>
      </c>
      <c r="E213" s="528" t="inlineStr">
        <is>
          <t>100335336</t>
        </is>
      </c>
      <c r="F213" s="528" t="n"/>
      <c r="G213" s="529" t="n"/>
      <c r="H213" s="530" t="n"/>
      <c r="I213" s="530" t="n"/>
      <c r="J213" s="91" t="inlineStr">
        <is>
          <t>тыс.т.</t>
        </is>
      </c>
    </row>
    <row r="214">
      <c r="B214" s="112" t="inlineStr">
        <is>
          <t>4.88</t>
        </is>
      </c>
      <c r="C214" s="123" t="n"/>
      <c r="D214" s="513" t="inlineStr">
        <is>
          <t>ДРОД</t>
        </is>
      </c>
      <c r="E214" s="528" t="inlineStr">
        <is>
          <t>100335470</t>
        </is>
      </c>
      <c r="F214" s="528" t="n"/>
      <c r="G214" s="529" t="n"/>
      <c r="H214" s="530" t="n"/>
      <c r="I214" s="530" t="n"/>
      <c r="J214" s="91" t="inlineStr">
        <is>
          <t>тыс.т.</t>
        </is>
      </c>
    </row>
    <row r="215" ht="18.75" customHeight="1" s="769">
      <c r="B215" s="112" t="n"/>
      <c r="C215" s="797" t="inlineStr">
        <is>
          <t>9</t>
        </is>
      </c>
      <c r="D215" s="499" t="inlineStr">
        <is>
          <t>Переработка сырья по договору стабилизации, всего:</t>
        </is>
      </c>
      <c r="E215" s="528" t="inlineStr">
        <is>
          <t>100335896</t>
        </is>
      </c>
      <c r="F215" s="528" t="n"/>
      <c r="G215" s="529" t="n"/>
      <c r="H215" s="530" t="inlineStr">
        <is>
          <t>100335897+100335898</t>
        </is>
      </c>
      <c r="I215" s="530" t="n"/>
      <c r="J215" s="654" t="inlineStr">
        <is>
          <t>тыс.т.</t>
        </is>
      </c>
    </row>
    <row r="216" ht="23.25" customHeight="1" s="769">
      <c r="B216" s="112" t="n"/>
      <c r="C216" s="123" t="n"/>
      <c r="D216" s="777" t="inlineStr">
        <is>
          <t>конденсат газовый нестабильный</t>
        </is>
      </c>
      <c r="E216" s="528" t="inlineStr">
        <is>
          <t>100335897</t>
        </is>
      </c>
      <c r="F216" s="528" t="n"/>
      <c r="G216" s="529" t="n"/>
      <c r="H216" s="530" t="n"/>
      <c r="I216" s="530" t="n"/>
      <c r="J216" s="654" t="inlineStr">
        <is>
          <t>тыс.т.</t>
        </is>
      </c>
    </row>
    <row r="217" ht="18.75" customHeight="1" s="769">
      <c r="B217" s="112" t="n"/>
      <c r="C217" s="123" t="n"/>
      <c r="D217" s="844" t="inlineStr">
        <is>
          <t>нефть</t>
        </is>
      </c>
      <c r="E217" s="528" t="inlineStr">
        <is>
          <t>100335898</t>
        </is>
      </c>
      <c r="F217" s="528" t="n"/>
      <c r="G217" s="529" t="n"/>
      <c r="H217" s="530" t="n"/>
      <c r="I217" s="530" t="n"/>
      <c r="J217" s="671" t="inlineStr">
        <is>
          <t>тыс.т.</t>
        </is>
      </c>
    </row>
    <row r="218" outlineLevel="1" ht="19.5" customHeight="1" s="769">
      <c r="B218" s="112" t="inlineStr">
        <is>
          <t>4.50</t>
        </is>
      </c>
      <c r="C218" s="797" t="inlineStr">
        <is>
          <t>10</t>
        </is>
      </c>
      <c r="D218" s="124" t="inlineStr">
        <is>
          <t>Справочно: Принято сырья со склада</t>
        </is>
      </c>
      <c r="E218" s="528" t="inlineStr">
        <is>
          <t>100335292</t>
        </is>
      </c>
      <c r="F218" s="528" t="n"/>
      <c r="G218" s="529" t="n"/>
      <c r="H218" s="530" t="inlineStr">
        <is>
          <t>100335293+100335294</t>
        </is>
      </c>
      <c r="I218" s="530" t="n"/>
      <c r="J218" s="102" t="inlineStr">
        <is>
          <t>тыс.т.</t>
        </is>
      </c>
    </row>
    <row r="219" outlineLevel="1" ht="19.5" customHeight="1" s="769">
      <c r="B219" s="112" t="inlineStr">
        <is>
          <t>4.51</t>
        </is>
      </c>
      <c r="C219" s="797" t="n"/>
      <c r="D219" s="844" t="inlineStr">
        <is>
          <t xml:space="preserve">         в т.ч.  УЗПКТ</t>
        </is>
      </c>
      <c r="E219" s="528" t="inlineStr">
        <is>
          <t>100335293</t>
        </is>
      </c>
      <c r="F219" s="528" t="n"/>
      <c r="G219" s="529" t="n"/>
      <c r="H219" s="530" t="n"/>
      <c r="I219" s="530" t="n"/>
      <c r="J219" s="102" t="inlineStr">
        <is>
          <t>тыс.т.</t>
        </is>
      </c>
    </row>
    <row r="220" outlineLevel="1" ht="19.5" customHeight="1" s="769">
      <c r="B220" s="112" t="inlineStr">
        <is>
          <t>4.52</t>
        </is>
      </c>
      <c r="C220" s="797" t="n"/>
      <c r="D220" s="844" t="inlineStr">
        <is>
          <t xml:space="preserve">         в т.ч. СЗСК</t>
        </is>
      </c>
      <c r="E220" s="528" t="inlineStr">
        <is>
          <t>100335294</t>
        </is>
      </c>
      <c r="F220" s="528" t="n"/>
      <c r="G220" s="529" t="n"/>
      <c r="H220" s="530" t="n"/>
      <c r="I220" s="530" t="n"/>
      <c r="J220" s="102" t="inlineStr">
        <is>
          <t>тыс.т.</t>
        </is>
      </c>
    </row>
    <row r="221" outlineLevel="1" ht="19.5" customHeight="1" s="769">
      <c r="B221" s="112" t="inlineStr">
        <is>
          <t>4.53</t>
        </is>
      </c>
      <c r="C221" s="797" t="inlineStr">
        <is>
          <t>11</t>
        </is>
      </c>
      <c r="D221" s="124" t="inlineStr">
        <is>
          <t xml:space="preserve">   Передано сырья на склад</t>
        </is>
      </c>
      <c r="E221" s="528" t="inlineStr">
        <is>
          <t>100335295</t>
        </is>
      </c>
      <c r="F221" s="528" t="n"/>
      <c r="G221" s="529" t="n"/>
      <c r="H221" s="530" t="inlineStr">
        <is>
          <t>100335296+100335297</t>
        </is>
      </c>
      <c r="I221" s="530" t="n"/>
      <c r="J221" s="102" t="inlineStr">
        <is>
          <t>тыс.т.</t>
        </is>
      </c>
    </row>
    <row r="222" outlineLevel="1" ht="19.5" customHeight="1" s="769">
      <c r="B222" s="112" t="inlineStr">
        <is>
          <t>4.54</t>
        </is>
      </c>
      <c r="C222" s="797" t="n"/>
      <c r="D222" s="844" t="inlineStr">
        <is>
          <t xml:space="preserve">         в т.ч.  УЗПКТ</t>
        </is>
      </c>
      <c r="E222" s="528" t="inlineStr">
        <is>
          <t>100335296</t>
        </is>
      </c>
      <c r="F222" s="528" t="n"/>
      <c r="G222" s="529" t="n"/>
      <c r="H222" s="530" t="n"/>
      <c r="I222" s="530" t="n"/>
      <c r="J222" s="102" t="inlineStr">
        <is>
          <t>тыс.т.</t>
        </is>
      </c>
    </row>
    <row r="223" outlineLevel="1" ht="19.5" customHeight="1" s="769">
      <c r="B223" s="112" t="inlineStr">
        <is>
          <t>4.55</t>
        </is>
      </c>
      <c r="C223" s="797" t="n"/>
      <c r="D223" s="844" t="inlineStr">
        <is>
          <t xml:space="preserve">         в т.ч. СЗСК</t>
        </is>
      </c>
      <c r="E223" s="528" t="inlineStr">
        <is>
          <t>100335297</t>
        </is>
      </c>
      <c r="F223" s="528" t="n"/>
      <c r="G223" s="529" t="n"/>
      <c r="H223" s="530" t="n"/>
      <c r="I223" s="530" t="n"/>
      <c r="J223" s="102" t="inlineStr">
        <is>
          <t>тыс.т.</t>
        </is>
      </c>
    </row>
    <row r="224" outlineLevel="1" ht="19.5" customHeight="1" s="769">
      <c r="B224" s="112" t="n"/>
      <c r="C224" s="337" t="inlineStr">
        <is>
          <t>12</t>
        </is>
      </c>
      <c r="D224" s="125" t="inlineStr">
        <is>
          <t>Заполнение и вытеснение трубопроводов:</t>
        </is>
      </c>
      <c r="E224" s="528" t="inlineStr">
        <is>
          <t>100335899</t>
        </is>
      </c>
      <c r="F224" s="528" t="n"/>
      <c r="G224" s="529" t="n"/>
      <c r="H224" s="530" t="n"/>
      <c r="I224" s="530" t="n"/>
      <c r="J224" s="671" t="inlineStr">
        <is>
          <t>тыс.т.</t>
        </is>
      </c>
    </row>
    <row r="225">
      <c r="B225" s="112" t="inlineStr">
        <is>
          <t>4.45</t>
        </is>
      </c>
      <c r="C225" s="337" t="n"/>
      <c r="D225" s="126" t="inlineStr">
        <is>
          <t>Заполнение конденсатопровода Ямбург - Уренгой</t>
        </is>
      </c>
      <c r="E225" s="528" t="inlineStr">
        <is>
          <t>100331822</t>
        </is>
      </c>
      <c r="F225" s="528" t="n"/>
      <c r="G225" s="529" t="n"/>
      <c r="H225" s="530" t="n"/>
      <c r="I225" s="530" t="n"/>
      <c r="J225" s="102" t="inlineStr">
        <is>
          <t>тыс.т.</t>
        </is>
      </c>
    </row>
    <row r="226">
      <c r="B226" s="112" t="inlineStr">
        <is>
          <t>4.46</t>
        </is>
      </c>
      <c r="C226" s="337" t="n"/>
      <c r="D226" s="126" t="inlineStr">
        <is>
          <t>Вытеснение конденсатопровода Ямбург  - Уренгой</t>
        </is>
      </c>
      <c r="E226" s="528" t="inlineStr">
        <is>
          <t>100331823</t>
        </is>
      </c>
      <c r="F226" s="528" t="n"/>
      <c r="G226" s="529" t="n"/>
      <c r="H226" s="530" t="n"/>
      <c r="I226" s="530" t="n"/>
      <c r="J226" s="102" t="inlineStr">
        <is>
          <t>тыс.т.</t>
        </is>
      </c>
    </row>
    <row r="227">
      <c r="B227" s="112" t="inlineStr">
        <is>
          <t>4.47</t>
        </is>
      </c>
      <c r="C227" s="337" t="n"/>
      <c r="D227" s="126" t="inlineStr">
        <is>
          <t>Заполнение трубопровода Уренгой-Сургут</t>
        </is>
      </c>
      <c r="E227" s="528" t="inlineStr">
        <is>
          <t>100331824</t>
        </is>
      </c>
      <c r="F227" s="528" t="n"/>
      <c r="G227" s="529" t="n"/>
      <c r="H227" s="530" t="n"/>
      <c r="I227" s="530" t="n"/>
      <c r="J227" s="102" t="inlineStr">
        <is>
          <t>тыс.т.</t>
        </is>
      </c>
    </row>
    <row r="228">
      <c r="B228" s="112" t="inlineStr">
        <is>
          <t>4.48</t>
        </is>
      </c>
      <c r="C228" s="337" t="n"/>
      <c r="D228" s="126" t="inlineStr">
        <is>
          <t>Вытеснение трубопровода Уренгой-Сургут</t>
        </is>
      </c>
      <c r="E228" s="528" t="inlineStr">
        <is>
          <t>100331825</t>
        </is>
      </c>
      <c r="F228" s="528" t="n"/>
      <c r="G228" s="529" t="n"/>
      <c r="H228" s="530" t="n"/>
      <c r="I228" s="530" t="n"/>
      <c r="J228" s="102" t="inlineStr">
        <is>
          <t>тыс.т.</t>
        </is>
      </c>
    </row>
    <row r="229" ht="37.5" customHeight="1" s="769">
      <c r="B229" s="112" t="inlineStr">
        <is>
          <t>4.36</t>
        </is>
      </c>
      <c r="C229" s="337" t="n"/>
      <c r="D229" s="126" t="inlineStr">
        <is>
          <t>Заполнение трубопроводов объектов альтернативной схемы</t>
        </is>
      </c>
      <c r="E229" s="528" t="inlineStr">
        <is>
          <t>100331818</t>
        </is>
      </c>
      <c r="F229" s="528" t="n"/>
      <c r="G229" s="529" t="n"/>
      <c r="H229" s="530" t="n"/>
      <c r="I229" s="530" t="n"/>
      <c r="J229" s="102" t="inlineStr">
        <is>
          <t>тыс.т.</t>
        </is>
      </c>
    </row>
    <row r="230" ht="37.5" customHeight="1" s="769">
      <c r="B230" s="112" t="inlineStr">
        <is>
          <t>4.40</t>
        </is>
      </c>
      <c r="C230" s="337" t="n"/>
      <c r="D230" s="127" t="inlineStr">
        <is>
          <t>Вытеснение из трубопроводов объектов альтернативной схемы</t>
        </is>
      </c>
      <c r="E230" s="528" t="inlineStr">
        <is>
          <t>100331819</t>
        </is>
      </c>
      <c r="F230" s="528" t="n"/>
      <c r="G230" s="529" t="n"/>
      <c r="H230" s="530" t="n"/>
      <c r="I230" s="530" t="n"/>
      <c r="J230" s="102" t="inlineStr">
        <is>
          <t>тыс.т.</t>
        </is>
      </c>
    </row>
    <row r="231" ht="38.25" customHeight="1" s="769">
      <c r="B231" s="112" t="n"/>
      <c r="C231" s="834" t="inlineStr">
        <is>
          <t>13</t>
        </is>
      </c>
      <c r="D231" s="72" t="inlineStr">
        <is>
          <t>Транспортировка нефтегазоконденсатной смеси по объектам альтернативной схемы:</t>
        </is>
      </c>
      <c r="E231" s="528" t="inlineStr">
        <is>
          <t>100335900</t>
        </is>
      </c>
      <c r="F231" s="528" t="n"/>
      <c r="G231" s="529" t="n"/>
      <c r="H231" s="530" t="inlineStr">
        <is>
          <t>100335901+100335905</t>
        </is>
      </c>
      <c r="I231" s="530" t="n"/>
      <c r="J231" s="102" t="inlineStr">
        <is>
          <t>тыс.т.</t>
        </is>
      </c>
    </row>
    <row r="232">
      <c r="B232" s="112" t="n"/>
      <c r="C232" s="834" t="n"/>
      <c r="D232" s="498" t="inlineStr">
        <is>
          <t>Стабильный газовый конденсат (нефть)</t>
        </is>
      </c>
      <c r="E232" s="528" t="inlineStr">
        <is>
          <t>100335901</t>
        </is>
      </c>
      <c r="F232" s="528" t="n"/>
      <c r="G232" s="529" t="n"/>
      <c r="H232" s="530" t="inlineStr">
        <is>
          <t>100335902+100335903</t>
        </is>
      </c>
      <c r="I232" s="530" t="n"/>
      <c r="J232" s="91" t="inlineStr">
        <is>
          <t>тыс.т.</t>
        </is>
      </c>
    </row>
    <row r="233">
      <c r="B233" s="112" t="n"/>
      <c r="C233" s="834" t="n"/>
      <c r="D233" s="41" t="inlineStr">
        <is>
          <t>ПАО "ГАЗПРОМ"</t>
        </is>
      </c>
      <c r="E233" s="528" t="inlineStr">
        <is>
          <t>100335902</t>
        </is>
      </c>
      <c r="F233" s="528" t="n"/>
      <c r="G233" s="529" t="n"/>
      <c r="H233" s="530" t="n"/>
      <c r="I233" s="530" t="n"/>
      <c r="J233" s="91" t="inlineStr">
        <is>
          <t>тыс.т.</t>
        </is>
      </c>
    </row>
    <row r="234" ht="24" customHeight="1" s="769">
      <c r="B234" s="112" t="n"/>
      <c r="C234" s="834" t="n"/>
      <c r="D234" s="41" t="inlineStr">
        <is>
          <t>ДРОД</t>
        </is>
      </c>
      <c r="E234" s="528" t="inlineStr">
        <is>
          <t>100335903</t>
        </is>
      </c>
      <c r="F234" s="528" t="n"/>
      <c r="G234" s="529" t="n"/>
      <c r="H234" s="530" t="inlineStr">
        <is>
          <t>100335777+100335684+100335035+100335904</t>
        </is>
      </c>
      <c r="I234" s="530" t="n"/>
      <c r="J234" s="91" t="inlineStr">
        <is>
          <t>тыс.т.</t>
        </is>
      </c>
    </row>
    <row r="235">
      <c r="B235" s="88" t="inlineStr">
        <is>
          <t>4.30</t>
        </is>
      </c>
      <c r="C235" s="834" t="n"/>
      <c r="D235" s="94" t="inlineStr">
        <is>
          <t>Ачимовские отл. 3 уч.</t>
        </is>
      </c>
      <c r="E235" s="528" t="inlineStr">
        <is>
          <t>100335777</t>
        </is>
      </c>
      <c r="F235" s="528" t="n"/>
      <c r="G235" s="529" t="n"/>
      <c r="H235" s="530" t="n"/>
      <c r="I235" s="530" t="n"/>
      <c r="J235" s="91" t="inlineStr">
        <is>
          <t>тыс.т.</t>
        </is>
      </c>
    </row>
    <row r="236">
      <c r="B236" s="88" t="inlineStr">
        <is>
          <t>4.32</t>
        </is>
      </c>
      <c r="C236" s="834" t="n"/>
      <c r="D236" s="94" t="inlineStr">
        <is>
          <t>Ен-Яхинское НГКМ</t>
        </is>
      </c>
      <c r="E236" s="528" t="inlineStr">
        <is>
          <t>100335684</t>
        </is>
      </c>
      <c r="F236" s="528" t="n"/>
      <c r="G236" s="529" t="n"/>
      <c r="H236" s="530" t="n"/>
      <c r="I236" s="530" t="n"/>
      <c r="J236" s="91" t="inlineStr">
        <is>
          <t>тыс.т.</t>
        </is>
      </c>
    </row>
    <row r="237">
      <c r="B237" s="88" t="inlineStr">
        <is>
          <t>4.34</t>
        </is>
      </c>
      <c r="C237" s="834" t="n"/>
      <c r="D237" s="94" t="inlineStr">
        <is>
          <t>Песцовое НГКМ</t>
        </is>
      </c>
      <c r="E237" s="528" t="inlineStr">
        <is>
          <t>100335035</t>
        </is>
      </c>
      <c r="F237" s="528" t="n"/>
      <c r="G237" s="529" t="n"/>
      <c r="H237" s="530" t="n"/>
      <c r="I237" s="530" t="n"/>
      <c r="J237" s="91" t="inlineStr">
        <is>
          <t>тыс.т.</t>
        </is>
      </c>
    </row>
    <row r="238">
      <c r="B238" s="112" t="n"/>
      <c r="C238" s="834" t="n"/>
      <c r="D238" s="94" t="inlineStr">
        <is>
          <t>Песцовое НГКМ (ачим)</t>
        </is>
      </c>
      <c r="E238" s="528" t="inlineStr">
        <is>
          <t>100335904</t>
        </is>
      </c>
      <c r="F238" s="528" t="n"/>
      <c r="G238" s="529" t="n"/>
      <c r="H238" s="530" t="n"/>
      <c r="I238" s="530" t="n"/>
      <c r="J238" s="91" t="inlineStr">
        <is>
          <t>тыс.т.</t>
        </is>
      </c>
    </row>
    <row r="239">
      <c r="B239" s="112" t="n"/>
      <c r="C239" s="834" t="n"/>
      <c r="D239" s="498" t="inlineStr">
        <is>
          <t>Нефть</t>
        </is>
      </c>
      <c r="E239" s="528" t="inlineStr">
        <is>
          <t>100335905</t>
        </is>
      </c>
      <c r="F239" s="528" t="n"/>
      <c r="G239" s="529" t="n"/>
      <c r="H239" s="530" t="inlineStr">
        <is>
          <t>100335907+100335906</t>
        </is>
      </c>
      <c r="I239" s="530" t="n"/>
      <c r="J239" s="91" t="inlineStr">
        <is>
          <t>тыс.т.</t>
        </is>
      </c>
    </row>
    <row r="240">
      <c r="B240" s="112" t="n"/>
      <c r="C240" s="834" t="n"/>
      <c r="D240" s="41" t="inlineStr">
        <is>
          <t>ПАО "ГАЗПРОМ"</t>
        </is>
      </c>
      <c r="E240" s="528" t="inlineStr">
        <is>
          <t>100335906</t>
        </is>
      </c>
      <c r="F240" s="528" t="n"/>
      <c r="G240" s="529" t="n"/>
      <c r="H240" s="530" t="n"/>
      <c r="I240" s="530" t="n"/>
      <c r="J240" s="91" t="inlineStr">
        <is>
          <t>тыс.т.</t>
        </is>
      </c>
    </row>
    <row r="241" ht="24" customHeight="1" s="769">
      <c r="B241" s="112" t="n"/>
      <c r="C241" s="834" t="n"/>
      <c r="D241" s="41" t="inlineStr">
        <is>
          <t>ДРОД</t>
        </is>
      </c>
      <c r="E241" s="528" t="inlineStr">
        <is>
          <t>100335907</t>
        </is>
      </c>
      <c r="F241" s="528" t="n"/>
      <c r="G241" s="529" t="n"/>
      <c r="H241" s="530" t="inlineStr">
        <is>
          <t>100335908+100335909+100335910+100336119+100337109</t>
        </is>
      </c>
      <c r="I241" s="530" t="n"/>
      <c r="J241" s="91" t="inlineStr">
        <is>
          <t>тыс.т.</t>
        </is>
      </c>
    </row>
    <row r="242">
      <c r="B242" s="112" t="n"/>
      <c r="C242" s="834" t="n"/>
      <c r="D242" s="94" t="inlineStr">
        <is>
          <t>Уренгойское НГКМ фаза 2</t>
        </is>
      </c>
      <c r="E242" s="528" t="inlineStr">
        <is>
          <t>100335908</t>
        </is>
      </c>
      <c r="F242" s="528" t="n"/>
      <c r="G242" s="529" t="n"/>
      <c r="H242" s="530" t="n"/>
      <c r="I242" s="530" t="n"/>
      <c r="J242" s="91" t="inlineStr">
        <is>
          <t>тыс.т.</t>
        </is>
      </c>
    </row>
    <row r="243">
      <c r="B243" s="112" t="n"/>
      <c r="C243" s="834" t="n"/>
      <c r="D243" s="371" t="inlineStr">
        <is>
          <t>Ачимовские отл. 5 уч.</t>
        </is>
      </c>
      <c r="E243" s="528" t="inlineStr">
        <is>
          <t>100337109</t>
        </is>
      </c>
      <c r="F243" s="528" t="n"/>
      <c r="G243" s="529" t="n"/>
      <c r="H243" s="530" t="n"/>
      <c r="I243" s="530" t="n"/>
      <c r="J243" s="91" t="n"/>
    </row>
    <row r="244">
      <c r="B244" s="112" t="n"/>
      <c r="C244" s="834" t="n"/>
      <c r="D244" s="93" t="inlineStr">
        <is>
          <t>Ачимовские отл. 6 уч.</t>
        </is>
      </c>
      <c r="E244" s="528" t="inlineStr">
        <is>
          <t>100336119</t>
        </is>
      </c>
      <c r="F244" s="528" t="n"/>
      <c r="G244" s="529" t="n"/>
      <c r="H244" s="530" t="n"/>
      <c r="I244" s="530" t="n"/>
      <c r="J244" s="91" t="inlineStr">
        <is>
          <t>тыс.т.</t>
        </is>
      </c>
    </row>
    <row r="245">
      <c r="B245" s="112" t="n"/>
      <c r="C245" s="834" t="n"/>
      <c r="D245" s="94" t="inlineStr">
        <is>
          <t>Ен-Яхинское ГКМ</t>
        </is>
      </c>
      <c r="E245" s="528" t="inlineStr">
        <is>
          <t>100335909</t>
        </is>
      </c>
      <c r="F245" s="528" t="n"/>
      <c r="G245" s="529" t="n"/>
      <c r="H245" s="530" t="n"/>
      <c r="I245" s="530" t="n"/>
      <c r="J245" s="91" t="inlineStr">
        <is>
          <t>тыс.т.</t>
        </is>
      </c>
    </row>
    <row r="246">
      <c r="B246" s="112" t="n"/>
      <c r="C246" s="834" t="n"/>
      <c r="D246" s="94" t="inlineStr">
        <is>
          <t>Песцовое НГКМ</t>
        </is>
      </c>
      <c r="E246" s="528" t="inlineStr">
        <is>
          <t>100335910</t>
        </is>
      </c>
      <c r="F246" s="528" t="n"/>
      <c r="G246" s="529" t="n"/>
      <c r="H246" s="530" t="n"/>
      <c r="I246" s="530" t="n"/>
      <c r="J246" s="91" t="inlineStr">
        <is>
          <t>тыс.т.</t>
        </is>
      </c>
    </row>
    <row r="247" outlineLevel="1" ht="39" customHeight="1" s="769">
      <c r="B247" s="88" t="inlineStr">
        <is>
          <t>4.200</t>
        </is>
      </c>
      <c r="C247" s="834" t="inlineStr">
        <is>
          <t>7</t>
        </is>
      </c>
      <c r="D247" s="114" t="inlineStr">
        <is>
          <t>Материальный баланс переработки УВС ("П.3"+"П.4"-"П.5"-"П.6" = 0,000)</t>
        </is>
      </c>
      <c r="E247" s="528" t="n"/>
      <c r="F247" s="528" t="n"/>
      <c r="G247" s="529" t="n"/>
      <c r="H247" s="530" t="n"/>
      <c r="I247" s="530" t="n"/>
      <c r="J247" s="91" t="inlineStr">
        <is>
          <t>тыс.т.</t>
        </is>
      </c>
    </row>
    <row r="248" outlineLevel="1" ht="19.5" customHeight="1" s="769">
      <c r="B248" s="88" t="inlineStr">
        <is>
          <t>4.201</t>
        </is>
      </c>
      <c r="C248" s="800" t="inlineStr">
        <is>
          <t>7.1</t>
        </is>
      </c>
      <c r="D248" s="116" t="inlineStr">
        <is>
          <t>МБ, сырья и продукции УЗПКТ</t>
        </is>
      </c>
      <c r="E248" s="528" t="inlineStr">
        <is>
          <t>100331949</t>
        </is>
      </c>
      <c r="F248" s="528" t="n"/>
      <c r="G248" s="529" t="n"/>
      <c r="H248" s="530" t="inlineStr">
        <is>
          <t>100335891+100335093-100331851+100331848-100331854</t>
        </is>
      </c>
      <c r="I248" s="530" t="n"/>
      <c r="J248" s="91" t="inlineStr">
        <is>
          <t>тыс.т.</t>
        </is>
      </c>
    </row>
    <row r="249" outlineLevel="1" ht="19.5" customHeight="1" s="769">
      <c r="B249" s="88" t="inlineStr">
        <is>
          <t>4.202</t>
        </is>
      </c>
      <c r="C249" s="800" t="inlineStr">
        <is>
          <t>7.2</t>
        </is>
      </c>
      <c r="D249" s="116" t="inlineStr">
        <is>
          <t>МБ, сырья и продукции СЗСК</t>
        </is>
      </c>
      <c r="E249" s="528" t="inlineStr">
        <is>
          <t>100331950</t>
        </is>
      </c>
      <c r="F249" s="528" t="n"/>
      <c r="G249" s="529" t="n"/>
      <c r="H249" s="530" t="inlineStr">
        <is>
          <t>100331842+100331849-100331852-100331855</t>
        </is>
      </c>
      <c r="I249" s="530" t="n"/>
      <c r="J249" s="91" t="inlineStr">
        <is>
          <t>тыс.т.</t>
        </is>
      </c>
    </row>
    <row r="250" outlineLevel="1" ht="19.5" customHeight="1" s="769">
      <c r="B250" s="88" t="inlineStr">
        <is>
          <t>4.203</t>
        </is>
      </c>
      <c r="C250" s="800" t="inlineStr">
        <is>
          <t>7.3</t>
        </is>
      </c>
      <c r="D250" s="116" t="inlineStr">
        <is>
          <t>МБ, сырья и продукции Новатэк</t>
        </is>
      </c>
      <c r="E250" s="528" t="inlineStr">
        <is>
          <t>100335371</t>
        </is>
      </c>
      <c r="F250" s="528" t="n"/>
      <c r="G250" s="529" t="n"/>
      <c r="H250" s="530" t="inlineStr">
        <is>
          <t>100335357-100335361-100335363</t>
        </is>
      </c>
      <c r="I250" s="530" t="n"/>
      <c r="J250" s="91" t="inlineStr">
        <is>
          <t>тыс.т.</t>
        </is>
      </c>
    </row>
    <row r="251" outlineLevel="1" ht="19.5" customHeight="1" s="769">
      <c r="B251" s="88" t="inlineStr">
        <is>
          <t>4.204</t>
        </is>
      </c>
      <c r="C251" s="80" t="inlineStr">
        <is>
          <t>7.4</t>
        </is>
      </c>
      <c r="D251" s="128" t="inlineStr">
        <is>
          <t>МБ, сырья и продукции МУ</t>
        </is>
      </c>
      <c r="E251" s="528" t="inlineStr">
        <is>
          <t>100335372</t>
        </is>
      </c>
      <c r="F251" s="528" t="n"/>
      <c r="G251" s="529" t="n"/>
      <c r="H251" s="530" t="inlineStr">
        <is>
          <t>100335358-100335362-100335364</t>
        </is>
      </c>
      <c r="I251" s="530" t="n"/>
      <c r="J251" s="129" t="inlineStr">
        <is>
          <t>тыс.т.</t>
        </is>
      </c>
    </row>
    <row r="252">
      <c r="B252" s="88" t="n"/>
      <c r="C252" s="130" t="n"/>
      <c r="D252" s="131" t="inlineStr">
        <is>
          <t>ДРОД на УЗПКТ</t>
        </is>
      </c>
      <c r="E252" s="131" t="n"/>
      <c r="F252" s="131" t="n"/>
      <c r="G252" s="131" t="n"/>
      <c r="H252" s="131" t="n"/>
      <c r="I252" s="131" t="n"/>
      <c r="J252" s="46" t="n"/>
    </row>
    <row r="253">
      <c r="B253" s="88" t="n"/>
      <c r="C253" s="130" t="n"/>
      <c r="D253" s="131" t="inlineStr">
        <is>
          <t>ДРОД на СЗСК</t>
        </is>
      </c>
      <c r="E253" s="131" t="n"/>
      <c r="F253" s="131" t="n"/>
      <c r="G253" s="131" t="n"/>
      <c r="H253" s="131" t="n"/>
      <c r="I253" s="131" t="n"/>
      <c r="J253" s="46" t="n"/>
    </row>
    <row r="254">
      <c r="B254" s="88" t="n"/>
      <c r="C254" s="130" t="n"/>
      <c r="D254" s="131" t="inlineStr">
        <is>
          <t>Переработка сырья по договору стабилизации</t>
        </is>
      </c>
      <c r="E254" s="131" t="n"/>
      <c r="F254" s="131" t="n"/>
      <c r="G254" s="131" t="n"/>
      <c r="H254" s="131" t="n"/>
      <c r="I254" s="131" t="n"/>
      <c r="J254" s="46" t="n"/>
    </row>
    <row r="255">
      <c r="B255" s="88" t="n"/>
      <c r="C255" s="130" t="n"/>
      <c r="D255" s="122" t="n"/>
      <c r="E255" s="122" t="n"/>
      <c r="F255" s="122" t="n"/>
      <c r="G255" s="122" t="n"/>
      <c r="H255" s="122" t="n"/>
      <c r="I255" s="122" t="n"/>
      <c r="J255" s="46" t="n"/>
    </row>
    <row r="256">
      <c r="B256" s="88" t="n"/>
      <c r="C256" s="130" t="n"/>
      <c r="D256" s="122" t="n"/>
      <c r="E256" s="122" t="n"/>
      <c r="F256" s="122" t="n"/>
      <c r="G256" s="122" t="n"/>
      <c r="H256" s="122" t="n"/>
      <c r="I256" s="122" t="n"/>
      <c r="J256" s="46" t="n"/>
    </row>
    <row r="257">
      <c r="B257" s="88" t="n"/>
      <c r="C257" s="130" t="n"/>
      <c r="D257" s="122" t="n"/>
      <c r="E257" s="122" t="n"/>
      <c r="F257" s="122" t="n"/>
      <c r="G257" s="122" t="n"/>
      <c r="H257" s="122" t="n"/>
      <c r="I257" s="122" t="n"/>
      <c r="J257" s="46" t="n"/>
    </row>
    <row r="258" ht="18.75" customHeight="1" s="769">
      <c r="A258" s="132" t="n"/>
      <c r="B258" s="88" t="n"/>
      <c r="C258" s="130" t="n"/>
      <c r="D258" s="133" t="inlineStr">
        <is>
          <t>Реализация товарной продукции для ПАО УЗПКТ</t>
        </is>
      </c>
      <c r="E258" s="133" t="n"/>
      <c r="F258" s="532" t="n"/>
      <c r="G258" s="532" t="n"/>
      <c r="H258" s="377" t="n"/>
      <c r="I258" s="532" t="n"/>
      <c r="J258" s="134" t="n"/>
    </row>
    <row r="259" ht="18.75" customHeight="1" s="769">
      <c r="A259" s="132" t="n"/>
      <c r="B259" s="88" t="n"/>
      <c r="C259" s="130" t="n"/>
      <c r="D259" s="133" t="inlineStr">
        <is>
          <t>Реализация товарной продукции для ПАО СЗСК</t>
        </is>
      </c>
      <c r="E259" s="133" t="n"/>
      <c r="F259" s="532" t="n"/>
      <c r="G259" s="532" t="n"/>
      <c r="H259" s="377" t="n"/>
      <c r="I259" s="532" t="n"/>
      <c r="J259" s="134" t="n"/>
    </row>
    <row r="260">
      <c r="B260" s="88" t="n"/>
      <c r="C260" s="130" t="n"/>
      <c r="D260" s="122" t="n"/>
      <c r="E260" s="122" t="n"/>
      <c r="F260" s="122" t="n"/>
      <c r="G260" s="122" t="n"/>
      <c r="H260" s="122" t="n"/>
      <c r="I260" s="122" t="n"/>
      <c r="J260" s="46" t="n"/>
    </row>
    <row r="261">
      <c r="B261" s="88" t="n"/>
      <c r="C261" s="39" t="n"/>
      <c r="D261" s="795" t="inlineStr">
        <is>
          <t>* - Обеспечение своевременного внесения  изменений в перечень номенклатуры сырья и продукции входит в компетенцию дочернего общества.</t>
        </is>
      </c>
      <c r="J261" s="796" t="n"/>
    </row>
    <row r="262">
      <c r="B262" s="88" t="n"/>
      <c r="C262" s="135" t="n"/>
    </row>
    <row r="269" ht="54.75" customHeight="1" s="769"/>
  </sheetData>
  <mergeCells count="37">
    <mergeCell ref="E8:E9"/>
    <mergeCell ref="G8:G9"/>
    <mergeCell ref="D108:D109"/>
    <mergeCell ref="C7:C9"/>
    <mergeCell ref="C114:C115"/>
    <mergeCell ref="C93:C94"/>
    <mergeCell ref="B7:B9"/>
    <mergeCell ref="D112:D113"/>
    <mergeCell ref="D114:D115"/>
    <mergeCell ref="E7:I7"/>
    <mergeCell ref="H8:H9"/>
    <mergeCell ref="D7:D9"/>
    <mergeCell ref="J7:J9"/>
    <mergeCell ref="C97:C98"/>
    <mergeCell ref="C112:C113"/>
    <mergeCell ref="D116:D117"/>
    <mergeCell ref="D118:D119"/>
    <mergeCell ref="C95:C96"/>
    <mergeCell ref="D102:D103"/>
    <mergeCell ref="C116:C117"/>
    <mergeCell ref="F8:F9"/>
    <mergeCell ref="I8:I9"/>
    <mergeCell ref="C91:C92"/>
    <mergeCell ref="D93:D94"/>
    <mergeCell ref="D110:D111"/>
    <mergeCell ref="C3:J3"/>
    <mergeCell ref="C118:C119"/>
    <mergeCell ref="D95:D96"/>
    <mergeCell ref="D104:D105"/>
    <mergeCell ref="D91:D92"/>
    <mergeCell ref="D97:D98"/>
    <mergeCell ref="D106:D107"/>
    <mergeCell ref="C110:C111"/>
    <mergeCell ref="D121:D122"/>
    <mergeCell ref="D123:D124"/>
    <mergeCell ref="D100:D101"/>
    <mergeCell ref="C108:C109"/>
  </mergeCells>
  <conditionalFormatting sqref="O11:O251 P11:P251 U11:U251 V11:V251 AA11:AA251 AB11:AB251 AG11:AG251 AH11:AH251 AM11:AM251 AN11:AN251 AS11:AS251 AT11:AT251 AY11:AY251 AZ11:AZ251 BE11:BE251 BF11:BF251 BK11:BK251 BL11:BL251 BQ11:BQ251 BR11:BR251 BW11:BW251 BX11:BX251 CC11:CC251 CD11:CD251 CI11:CI251 CJ11:CJ251 CO11:CO251 CP11:CP251 CU11:CU251 CV11:CV251 DA11:DA251 DB11:DB251 DG11:DG251 DH11:DH251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1:L251 N11:N251 R11:R251 T11:T251 X11:X251 Z11:Z251 AD11:AD251 AF11:AF251 AJ11:AJ251 AL11:AL251 AP11:AP251 AR11:AR251 AV11:AV251 AX11:AX251 BB11:BB251 BD11:BD251 BH11:BH251 BJ11:BJ251 BN11:BN251 BP11:BP251 BT11:BT251 BV11:BV251 BZ11:BZ251 CB11:CB251 CF11:CF251 CH11:CH251 CL11:CL251 CN11:CN251 CR11:CR251 CT11:CT251 CX11:CX251 CZ11:CZ251 DD11:DD251 DF11:DF251">
    <cfRule type="cellIs" priority="4" operator="equal" dxfId="0">
      <formula>0</formula>
    </cfRule>
  </conditionalFormatting>
  <pageMargins left="0.2362204724409449" right="0.2362204724409449" top="0.7480314960629921" bottom="0.7480314960629921" header="0.3149606299212598" footer="0.3149606299212598"/>
  <pageSetup orientation="portrait" paperSize="9" scale="80" fitToHeight="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Лист9">
    <tabColor theme="8" tint="0.5999938962981048"/>
    <outlinePr summaryBelow="1" summaryRight="1"/>
    <pageSetUpPr fitToPage="1"/>
  </sheetPr>
  <dimension ref="B2:J30"/>
  <sheetViews>
    <sheetView topLeftCell="C1" zoomScale="60" zoomScaleNormal="60" zoomScaleSheetLayoutView="55" workbookViewId="0">
      <selection activeCell="H30" sqref="H30"/>
    </sheetView>
  </sheetViews>
  <sheetFormatPr baseColWidth="8" defaultColWidth="25" defaultRowHeight="18.75" outlineLevelRow="1"/>
  <cols>
    <col hidden="1" outlineLevel="1" style="795" min="1" max="1"/>
    <col hidden="1" outlineLevel="1" width="12.42578125" customWidth="1" style="795" min="2" max="2"/>
    <col collapsed="1" width="12.140625" bestFit="1" customWidth="1" style="832" min="3" max="3"/>
    <col width="90.28515625" customWidth="1" style="795" min="4" max="4"/>
    <col outlineLevel="1" width="17.7109375" customWidth="1" style="795" min="5" max="9"/>
    <col width="13" bestFit="1" customWidth="1" style="796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27.75" customHeight="1" s="769"/>
    <row r="2" ht="18.75" customHeight="1" s="769">
      <c r="C2" s="18" t="n"/>
      <c r="D2" s="18" t="n"/>
      <c r="E2" s="18" t="n"/>
      <c r="F2" s="18" t="n"/>
      <c r="G2" s="18" t="n"/>
      <c r="H2" s="18" t="n"/>
      <c r="I2" s="18" t="n"/>
      <c r="J2" s="18" t="n"/>
    </row>
    <row r="3" ht="20.25" customHeight="1" s="769">
      <c r="C3" s="846" t="inlineStr">
        <is>
          <t>Прогнозные показатели по поставке, переработке сырья и производству продукции ООО "Газпром добыча Астрахань"</t>
        </is>
      </c>
    </row>
    <row r="4" ht="19.5" customHeight="1" s="769">
      <c r="C4" s="326" t="n"/>
      <c r="D4" s="949" t="n"/>
      <c r="E4" s="949" t="n"/>
      <c r="F4" s="949" t="n"/>
      <c r="G4" s="949" t="n"/>
      <c r="H4" s="949" t="n"/>
      <c r="I4" s="949" t="n"/>
      <c r="J4" s="950" t="n"/>
    </row>
    <row r="5" ht="19.5" customHeight="1" s="769">
      <c r="B5" s="325" t="n"/>
      <c r="C5" s="326" t="inlineStr">
        <is>
          <t xml:space="preserve"> 5. ООО "Газпром добыча Астрахань"</t>
        </is>
      </c>
      <c r="J5" s="950" t="n"/>
    </row>
    <row r="6" ht="20.1" customHeight="1" s="769">
      <c r="B6" s="792" t="inlineStr">
        <is>
          <t>Код строки</t>
        </is>
      </c>
      <c r="C6" s="798" t="inlineStr">
        <is>
          <t>№ п/п</t>
        </is>
      </c>
      <c r="D6" s="790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Ед.изм.</t>
        </is>
      </c>
    </row>
    <row r="7" ht="39.95" customHeight="1" s="769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C8" s="751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851" t="n"/>
      <c r="D9" s="387" t="n"/>
      <c r="E9" s="869" t="n"/>
      <c r="F9" s="869" t="n"/>
      <c r="G9" s="869" t="n"/>
      <c r="H9" s="869" t="n"/>
      <c r="I9" s="869" t="n"/>
      <c r="J9" s="861" t="n"/>
    </row>
    <row r="10" ht="39" customHeight="1" s="769">
      <c r="B10" s="65" t="inlineStr">
        <is>
          <t>5.1</t>
        </is>
      </c>
      <c r="C10" s="24" t="n">
        <v>1</v>
      </c>
      <c r="D10" s="200" t="inlineStr">
        <is>
          <t>Поставка сырья на переработку 
(оказание услуг ООО "Газпром добыча Астрахань"), всего:</t>
        </is>
      </c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861" t="inlineStr">
        <is>
          <t>тыс.т.</t>
        </is>
      </c>
    </row>
    <row r="11" ht="20.1" customHeight="1" s="769">
      <c r="B11" s="65" t="inlineStr">
        <is>
          <t>5.2</t>
        </is>
      </c>
      <c r="C11" s="799" t="inlineStr">
        <is>
          <t>1.1</t>
        </is>
      </c>
      <c r="D11" s="845" t="inlineStr">
        <is>
          <t>Природный газ, 
собственность ООО "Газпром добыча Астрахань"</t>
        </is>
      </c>
      <c r="E11" s="528" t="inlineStr">
        <is>
          <t>100330005</t>
        </is>
      </c>
      <c r="F11" s="528" t="n"/>
      <c r="G11" s="529" t="n"/>
      <c r="H11" s="530" t="n"/>
      <c r="I11" s="530" t="n"/>
      <c r="J11" s="654" t="inlineStr">
        <is>
          <t>тыс.т.</t>
        </is>
      </c>
    </row>
    <row r="12" ht="20.1" customHeight="1" s="769">
      <c r="B12" s="65" t="inlineStr">
        <is>
          <t>5.3</t>
        </is>
      </c>
      <c r="C12" s="766" t="n"/>
      <c r="D12" s="766" t="n"/>
      <c r="E12" s="528" t="inlineStr">
        <is>
          <t>100330006</t>
        </is>
      </c>
      <c r="F12" s="528" t="n"/>
      <c r="G12" s="529" t="n"/>
      <c r="H12" s="530" t="n"/>
      <c r="I12" s="530" t="n"/>
      <c r="J12" s="939" t="inlineStr">
        <is>
          <t>млн куб.м</t>
        </is>
      </c>
    </row>
    <row r="13" ht="51" customHeight="1" s="769">
      <c r="B13" s="65" t="inlineStr">
        <is>
          <t>5.4</t>
        </is>
      </c>
      <c r="C13" s="799" t="inlineStr">
        <is>
          <t>1.2</t>
        </is>
      </c>
      <c r="D13" s="845" t="inlineStr">
        <is>
          <t>Конденсат газовый нестабильный, 
собственность ООО "Газпром добыча Астрахань"</t>
        </is>
      </c>
      <c r="E13" s="528" t="inlineStr">
        <is>
          <t>100330016</t>
        </is>
      </c>
      <c r="F13" s="528" t="n"/>
      <c r="G13" s="529" t="n"/>
      <c r="H13" s="530" t="n"/>
      <c r="I13" s="530" t="n"/>
      <c r="J13" s="654" t="inlineStr">
        <is>
          <t>тыс.т.</t>
        </is>
      </c>
    </row>
    <row r="14" outlineLevel="1" ht="20.1" customHeight="1" s="769">
      <c r="B14" s="65" t="inlineStr">
        <is>
          <t>5.7</t>
        </is>
      </c>
      <c r="C14" s="799" t="n"/>
      <c r="D14" s="124" t="inlineStr">
        <is>
          <t xml:space="preserve">Справочно: </t>
        </is>
      </c>
      <c r="E14" s="528" t="n"/>
      <c r="F14" s="528" t="n"/>
      <c r="G14" s="529" t="n"/>
      <c r="H14" s="530" t="n"/>
      <c r="I14" s="530" t="n"/>
      <c r="J14" s="654" t="n"/>
    </row>
    <row r="15" outlineLevel="1" ht="24" customHeight="1" s="769">
      <c r="B15" s="65" t="inlineStr">
        <is>
          <t>5.8</t>
        </is>
      </c>
      <c r="C15" s="396" t="n">
        <v>2</v>
      </c>
      <c r="D15" s="868" t="inlineStr">
        <is>
          <t>Потери сырья при переработке (условные ), всего:</t>
        </is>
      </c>
      <c r="E15" s="528" t="inlineStr">
        <is>
          <t>100332290</t>
        </is>
      </c>
      <c r="F15" s="528" t="n"/>
      <c r="G15" s="529" t="n"/>
      <c r="H15" s="530" t="inlineStr">
        <is>
          <t>100330040+100330047</t>
        </is>
      </c>
      <c r="I15" s="530" t="n"/>
      <c r="J15" s="654" t="inlineStr">
        <is>
          <t>тыс.т.</t>
        </is>
      </c>
    </row>
    <row r="16" outlineLevel="1" ht="39" customHeight="1" s="769">
      <c r="B16" s="65" t="inlineStr">
        <is>
          <t>5.9</t>
        </is>
      </c>
      <c r="C16" s="799" t="inlineStr">
        <is>
          <t>2.1</t>
        </is>
      </c>
      <c r="D16" s="830" t="inlineStr">
        <is>
          <t>Природный газ сырой, 
собственность ООО "Газпром добыча Астрахань"</t>
        </is>
      </c>
      <c r="E16" s="528" t="inlineStr">
        <is>
          <t>100330040</t>
        </is>
      </c>
      <c r="F16" s="528" t="n"/>
      <c r="G16" s="529" t="n"/>
      <c r="H16" s="530" t="n"/>
      <c r="I16" s="530" t="n"/>
      <c r="J16" s="654" t="inlineStr">
        <is>
          <t>тыс.т.</t>
        </is>
      </c>
    </row>
    <row r="17" outlineLevel="1" ht="39" customHeight="1" s="769">
      <c r="B17" s="65" t="inlineStr">
        <is>
          <t>5.10</t>
        </is>
      </c>
      <c r="C17" s="799" t="inlineStr">
        <is>
          <t>2.2</t>
        </is>
      </c>
      <c r="D17" s="830" t="inlineStr">
        <is>
          <t>Конденсат газовый нестабильный, 
собственность ООО "Газпром добыча Астрахань"</t>
        </is>
      </c>
      <c r="E17" s="528" t="inlineStr">
        <is>
          <t>100330047</t>
        </is>
      </c>
      <c r="F17" s="528" t="n"/>
      <c r="G17" s="529" t="n"/>
      <c r="H17" s="530" t="n"/>
      <c r="I17" s="530" t="n"/>
      <c r="J17" s="654" t="inlineStr">
        <is>
          <t>тыс.т.</t>
        </is>
      </c>
    </row>
    <row r="18" ht="24" customHeight="1" s="769">
      <c r="B18" s="65" t="inlineStr">
        <is>
          <t>5.11</t>
        </is>
      </c>
      <c r="C18" s="396" t="n">
        <v>3</v>
      </c>
      <c r="D18" s="788" t="inlineStr">
        <is>
          <t>Производство продукции, всего:</t>
        </is>
      </c>
      <c r="E18" s="528" t="inlineStr">
        <is>
          <t>100330049</t>
        </is>
      </c>
      <c r="F18" s="528" t="n"/>
      <c r="G18" s="529" t="n"/>
      <c r="H18" s="530" t="inlineStr">
        <is>
          <t>100335795+100335797</t>
        </is>
      </c>
      <c r="I18" s="530" t="n"/>
      <c r="J18" s="654" t="inlineStr">
        <is>
          <t>тыс.т.</t>
        </is>
      </c>
    </row>
    <row r="19" ht="19.5" customHeight="1" s="769">
      <c r="B19" s="65" t="n"/>
      <c r="C19" s="799" t="inlineStr">
        <is>
          <t>3.1</t>
        </is>
      </c>
      <c r="D19" s="845" t="inlineStr">
        <is>
          <t>Газ сырой отсепарированный</t>
        </is>
      </c>
      <c r="E19" s="528" t="inlineStr">
        <is>
          <t>100335795</t>
        </is>
      </c>
      <c r="F19" s="528" t="n"/>
      <c r="G19" s="529" t="n"/>
      <c r="H19" s="530" t="n"/>
      <c r="I19" s="530" t="n"/>
      <c r="J19" s="654" t="inlineStr">
        <is>
          <t>тыс.т.</t>
        </is>
      </c>
    </row>
    <row r="20" ht="19.5" customHeight="1" s="769">
      <c r="B20" s="65" t="n"/>
      <c r="C20" s="766" t="n"/>
      <c r="D20" s="766" t="n"/>
      <c r="E20" s="528" t="inlineStr">
        <is>
          <t>100335796</t>
        </is>
      </c>
      <c r="F20" s="528" t="n"/>
      <c r="G20" s="529" t="n"/>
      <c r="H20" s="530" t="n"/>
      <c r="I20" s="530" t="n"/>
      <c r="J20" s="939" t="inlineStr">
        <is>
          <t>млн куб.м</t>
        </is>
      </c>
    </row>
    <row r="21" ht="39" customHeight="1" s="769">
      <c r="B21" s="65" t="n"/>
      <c r="C21" s="799" t="inlineStr">
        <is>
          <t>3.2</t>
        </is>
      </c>
      <c r="D21" s="845" t="inlineStr">
        <is>
          <t>Конденсат газовый нестабильный</t>
        </is>
      </c>
      <c r="E21" s="528" t="inlineStr">
        <is>
          <t>100335797</t>
        </is>
      </c>
      <c r="F21" s="528" t="n"/>
      <c r="G21" s="529" t="n"/>
      <c r="H21" s="530" t="n"/>
      <c r="I21" s="530" t="n"/>
      <c r="J21" s="654" t="inlineStr">
        <is>
          <t>тыс.т.</t>
        </is>
      </c>
    </row>
    <row r="22" outlineLevel="1" ht="24" customHeight="1" s="769">
      <c r="B22" s="65" t="inlineStr">
        <is>
          <t>5.26</t>
        </is>
      </c>
      <c r="C22" s="408" t="inlineStr">
        <is>
          <t>4</t>
        </is>
      </c>
      <c r="D22" s="398" t="inlineStr">
        <is>
          <t>Материальный баланс переработки УВС ("П.1"-"П.2"-"П.3" = 0,000)</t>
        </is>
      </c>
      <c r="E22" s="528" t="inlineStr">
        <is>
          <t>100330143</t>
        </is>
      </c>
      <c r="F22" s="528" t="n"/>
      <c r="G22" s="529" t="n"/>
      <c r="H22" s="530" t="inlineStr">
        <is>
          <t>100332291-100332290-100330049</t>
        </is>
      </c>
      <c r="I22" s="530" t="n"/>
      <c r="J22" s="397" t="inlineStr">
        <is>
          <t>тыс.т.</t>
        </is>
      </c>
    </row>
    <row r="23" outlineLevel="1" s="769">
      <c r="B23" s="83" t="n"/>
      <c r="C23" s="848" t="n">
        <v>5</v>
      </c>
      <c r="D23" s="398" t="inlineStr">
        <is>
          <t>Проверка с разделом "Добыча"</t>
        </is>
      </c>
      <c r="E23" s="528" t="n"/>
      <c r="F23" s="528" t="n"/>
      <c r="G23" s="529" t="n"/>
      <c r="H23" s="530" t="n"/>
      <c r="I23" s="530" t="n"/>
      <c r="J23" s="397" t="n"/>
    </row>
    <row r="24" outlineLevel="1" ht="19.5" customFormat="1" customHeight="1" s="22">
      <c r="B24" s="23" t="n"/>
      <c r="C24" s="766" t="n"/>
      <c r="D24" s="791" t="inlineStr">
        <is>
          <t>природный газ</t>
        </is>
      </c>
      <c r="E24" s="528" t="n"/>
      <c r="F24" s="528" t="n"/>
      <c r="G24" s="529" t="n"/>
      <c r="H24" s="530" t="n"/>
      <c r="I24" s="530" t="n"/>
      <c r="J24" s="848" t="inlineStr">
        <is>
          <t>тыс.т.</t>
        </is>
      </c>
    </row>
    <row r="25" outlineLevel="1" ht="19.5" customHeight="1" s="769">
      <c r="C25" s="766" t="n"/>
      <c r="D25" s="766" t="n"/>
      <c r="E25" s="528" t="n"/>
      <c r="F25" s="528" t="n"/>
      <c r="G25" s="529" t="n"/>
      <c r="H25" s="530" t="n"/>
      <c r="I25" s="530" t="n"/>
      <c r="J25" s="848" t="inlineStr">
        <is>
          <t>млн куб.м</t>
        </is>
      </c>
    </row>
    <row r="26" outlineLevel="1" ht="19.5" customHeight="1" s="769">
      <c r="C26" s="766" t="n"/>
      <c r="D26" s="791" t="inlineStr">
        <is>
          <t>конденсат газовый нестабильный</t>
        </is>
      </c>
      <c r="E26" s="528" t="n"/>
      <c r="F26" s="528" t="n"/>
      <c r="G26" s="529" t="n"/>
      <c r="H26" s="530" t="n"/>
      <c r="I26" s="530" t="n"/>
      <c r="J26" s="848" t="inlineStr">
        <is>
          <t>тыс.т.</t>
        </is>
      </c>
    </row>
    <row r="27" outlineLevel="1" ht="19.5" customHeight="1" s="769">
      <c r="C27" s="847" t="n">
        <v>6</v>
      </c>
      <c r="D27" s="398" t="inlineStr">
        <is>
          <t>Проверка с ООО "Газпром добыча Астрахань"</t>
        </is>
      </c>
      <c r="E27" s="528" t="n"/>
      <c r="F27" s="528" t="n"/>
      <c r="G27" s="529" t="n"/>
      <c r="H27" s="530" t="n"/>
      <c r="I27" s="530" t="n"/>
      <c r="J27" s="848" t="n"/>
    </row>
    <row r="28" outlineLevel="1" ht="24" customHeight="1" s="769">
      <c r="C28" s="766" t="n"/>
      <c r="D28" s="791" t="inlineStr">
        <is>
          <t>природный газ</t>
        </is>
      </c>
      <c r="E28" s="528" t="n"/>
      <c r="F28" s="528" t="inlineStr">
        <is>
          <t>V1</t>
        </is>
      </c>
      <c r="G28" s="529" t="n"/>
      <c r="H28" s="530" t="inlineStr">
        <is>
          <t>100330005-1_100331978</t>
        </is>
      </c>
      <c r="I28" s="530" t="n"/>
      <c r="J28" s="848" t="inlineStr">
        <is>
          <t>тыс.т.</t>
        </is>
      </c>
    </row>
    <row r="29" outlineLevel="1" ht="24" customHeight="1" s="769">
      <c r="C29" s="766" t="n"/>
      <c r="D29" s="766" t="n"/>
      <c r="E29" s="528" t="n"/>
      <c r="F29" s="528" t="inlineStr">
        <is>
          <t>V2</t>
        </is>
      </c>
      <c r="G29" s="529" t="n"/>
      <c r="H29" s="530" t="inlineStr">
        <is>
          <t>100330006-1_100331979</t>
        </is>
      </c>
      <c r="I29" s="530" t="n"/>
      <c r="J29" s="848" t="inlineStr">
        <is>
          <t>млн куб.м</t>
        </is>
      </c>
    </row>
    <row r="30" outlineLevel="1" ht="24" customHeight="1" s="769">
      <c r="C30" s="753" t="n"/>
      <c r="D30" s="401" t="inlineStr">
        <is>
          <t>конденсат газовый нестабильный</t>
        </is>
      </c>
      <c r="E30" s="528" t="n"/>
      <c r="F30" s="528" t="inlineStr">
        <is>
          <t>V3</t>
        </is>
      </c>
      <c r="G30" s="529" t="n"/>
      <c r="H30" s="530" t="inlineStr">
        <is>
          <t>100330016-1_100335798</t>
        </is>
      </c>
      <c r="I30" s="530" t="n"/>
      <c r="J30" s="847" t="inlineStr">
        <is>
          <t>тыс.т.</t>
        </is>
      </c>
    </row>
  </sheetData>
  <mergeCells count="19">
    <mergeCell ref="F7:F8"/>
    <mergeCell ref="G7:G8"/>
    <mergeCell ref="D11:D12"/>
    <mergeCell ref="I7:I8"/>
    <mergeCell ref="D6:D8"/>
    <mergeCell ref="E6:I6"/>
    <mergeCell ref="J6:J8"/>
    <mergeCell ref="C19:C20"/>
    <mergeCell ref="D28:D29"/>
    <mergeCell ref="E7:E8"/>
    <mergeCell ref="C23:C26"/>
    <mergeCell ref="B6:B8"/>
    <mergeCell ref="C3:J3"/>
    <mergeCell ref="C11:C12"/>
    <mergeCell ref="H7:H8"/>
    <mergeCell ref="C6:C8"/>
    <mergeCell ref="C27:C30"/>
    <mergeCell ref="D24:D25"/>
    <mergeCell ref="D19:D20"/>
  </mergeCells>
  <conditionalFormatting sqref="O10:O30 P10:P30 U10:U30 V10:V30 AA10:AA30 AB10:AB30 AG10:AG30 AH10:AH30 AM10:AM30 AN10:AN30 AS10:AS30 AT10:AT30 AY10:AY30 AZ10:AZ30 BE10:BE30 BF10:BF30 BK10:BK30 BL10:BL30 BQ10:BQ30 BR10:BR30 BW10:BW30 BX10:BX30 CC10:CC30 CD10:CD30 CI10:CI30 CJ10:CJ30 CO10:CO30 CP10:CP30 CU10:CU30 CV10:CV30 DA10:DA30 DB10:DB30 DG10:DG30 DH10:DH30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30 N10:N30 R10:R30 T10:T30 X10:X30 Z10:Z30 AD10:AD30 AF10:AF30 AJ10:AJ30 AL10:AL30 AP10:AP30 AR10:AR30 AV10:AV30 AX10:AX30 BB10:BB30 BD10:BD30 BH10:BH30 BJ10:BJ30 BN10:BN30 BP10:BP30 BT10:BT30 BV10:BV30 BZ10:BZ30 CB10:CB30 CF10:CF30 CH10:CH30 CL10:CL30 CN10:CN30 CR10:CR30 CT10:CT30 CX10:CX30 CZ10:CZ30 DD10:DD30 DF10:DF30">
    <cfRule type="cellIs" priority="4" operator="equal" dxfId="0">
      <formula>0</formula>
    </cfRule>
  </conditionalFormatting>
  <pageMargins left="0.7" right="0.7" top="0.75" bottom="0.75" header="0.3" footer="0.3"/>
  <pageSetup orientation="portrait" paperSize="9" scale="67" fitToHeight="0"/>
</worksheet>
</file>

<file path=xl/worksheets/sheet9.xml><?xml version="1.0" encoding="utf-8"?>
<worksheet xmlns="http://schemas.openxmlformats.org/spreadsheetml/2006/main">
  <sheetPr codeName="Лист10">
    <tabColor theme="8" tint="0.5999938962981048"/>
    <outlinePr summaryBelow="1" summaryRight="1"/>
    <pageSetUpPr fitToPage="1"/>
  </sheetPr>
  <dimension ref="A3:J82"/>
  <sheetViews>
    <sheetView topLeftCell="C1" zoomScale="60" zoomScaleNormal="60" zoomScaleSheetLayoutView="55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15" defaultRowHeight="18.75" outlineLevelRow="1"/>
  <cols>
    <col hidden="1" outlineLevel="1" width="10.7109375" customWidth="1" style="832" min="1" max="2"/>
    <col collapsed="1" width="9.42578125" bestFit="1" customWidth="1" style="832" min="3" max="3"/>
    <col width="72" customWidth="1" style="832" min="4" max="4"/>
    <col outlineLevel="1" width="19.85546875" customWidth="1" style="832" min="5" max="9"/>
    <col width="13.5703125" bestFit="1" customWidth="1" style="850" min="10" max="10"/>
    <col width="8.43" bestFit="1" customWidth="1" style="832" min="11" max="11"/>
    <col width="8.43" customWidth="1" style="832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15" customWidth="1" style="832" min="113" max="16384"/>
  </cols>
  <sheetData>
    <row r="1" ht="15" customHeight="1" s="769"/>
    <row r="2" ht="20.1" customHeight="1" s="769"/>
    <row r="3" ht="20.1" customHeight="1" s="769">
      <c r="C3" s="849" t="inlineStr">
        <is>
          <t>Прогнозные показатели по поставке ООО "Газпром добыча Оренбург"</t>
        </is>
      </c>
    </row>
    <row r="4" ht="20.1" customHeight="1" s="769"/>
    <row r="5">
      <c r="C5" s="326" t="inlineStr">
        <is>
          <t xml:space="preserve"> 6. ООО "Газпром добыча Оренбург"</t>
        </is>
      </c>
      <c r="D5" s="326" t="n"/>
      <c r="E5" s="326" t="n"/>
      <c r="F5" s="326" t="n"/>
      <c r="G5" s="326" t="n"/>
      <c r="H5" s="326" t="n"/>
      <c r="I5" s="326" t="n"/>
      <c r="J5" s="950" t="n"/>
    </row>
    <row r="6" ht="20.1" customHeight="1" s="769">
      <c r="B6" s="792" t="inlineStr">
        <is>
          <t>Код строки</t>
        </is>
      </c>
      <c r="C6" s="851" t="inlineStr">
        <is>
          <t>№ п/п</t>
        </is>
      </c>
      <c r="D6" s="790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Ед.изм.</t>
        </is>
      </c>
    </row>
    <row r="7" ht="39.95" customHeight="1" s="769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C8" s="766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388" t="n"/>
      <c r="D9" s="206" t="n"/>
      <c r="E9" s="869" t="n"/>
      <c r="F9" s="869" t="n"/>
      <c r="G9" s="869" t="n"/>
      <c r="H9" s="869" t="n"/>
      <c r="I9" s="869" t="n"/>
      <c r="J9" s="654" t="n"/>
    </row>
    <row r="10" ht="37.5" customHeight="1" s="769">
      <c r="A10" s="49" t="n"/>
      <c r="B10" s="23" t="inlineStr">
        <is>
          <t>6.1</t>
        </is>
      </c>
      <c r="C10" s="140" t="inlineStr">
        <is>
          <t>1.</t>
        </is>
      </c>
      <c r="D10" s="141" t="inlineStr">
        <is>
          <t>Поставка газа природного отсепарированного на ГПЗ 
ООО "Газпром переработка" (смесевой газ), всего</t>
        </is>
      </c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951" t="inlineStr">
        <is>
          <t>млн куб.м</t>
        </is>
      </c>
    </row>
    <row r="11" ht="24" customHeight="1" s="769">
      <c r="A11" s="142" t="n"/>
      <c r="B11" s="23" t="inlineStr">
        <is>
          <t>6.2</t>
        </is>
      </c>
      <c r="C11" s="143" t="inlineStr">
        <is>
          <t xml:space="preserve"> 1.1</t>
        </is>
      </c>
      <c r="D11" s="141" t="inlineStr">
        <is>
          <t>Собственность ООО "Газпром добыча Оренбург":</t>
        </is>
      </c>
      <c r="E11" s="528" t="inlineStr">
        <is>
          <t>100332966</t>
        </is>
      </c>
      <c r="F11" s="528" t="n"/>
      <c r="G11" s="529" t="n"/>
      <c r="H11" s="530" t="inlineStr">
        <is>
          <t>СУММ(100332297:100335487)-100335049</t>
        </is>
      </c>
      <c r="I11" s="530" t="n"/>
      <c r="J11" s="939" t="inlineStr">
        <is>
          <t>млн куб.м</t>
        </is>
      </c>
    </row>
    <row r="12">
      <c r="A12" s="144" t="n"/>
      <c r="B12" s="23" t="inlineStr">
        <is>
          <t>6.3</t>
        </is>
      </c>
      <c r="C12" s="145" t="n"/>
      <c r="D12" s="146" t="inlineStr">
        <is>
          <t>из сырья ООО "Газпром добыча Оренбург"</t>
        </is>
      </c>
      <c r="E12" s="528" t="inlineStr">
        <is>
          <t>100332297</t>
        </is>
      </c>
      <c r="F12" s="528" t="n"/>
      <c r="G12" s="529" t="n"/>
      <c r="H12" s="530" t="n"/>
      <c r="I12" s="530" t="n"/>
      <c r="J12" s="939" t="inlineStr">
        <is>
          <t>млн куб.м</t>
        </is>
      </c>
    </row>
    <row r="13">
      <c r="A13" s="144" t="n"/>
      <c r="B13" s="23" t="inlineStr">
        <is>
          <t>6.4</t>
        </is>
      </c>
      <c r="C13" s="145" t="n"/>
      <c r="D13" s="147" t="inlineStr">
        <is>
          <t>в т.ч. ДРОД (Филипповская залежь и др.)</t>
        </is>
      </c>
      <c r="E13" s="528" t="inlineStr">
        <is>
          <t>100335049</t>
        </is>
      </c>
      <c r="F13" s="528" t="n"/>
      <c r="G13" s="529" t="n"/>
      <c r="H13" s="530" t="n"/>
      <c r="I13" s="530" t="n"/>
      <c r="J13" s="939" t="inlineStr">
        <is>
          <t>млн куб.м</t>
        </is>
      </c>
    </row>
    <row r="14">
      <c r="A14" s="144" t="n"/>
      <c r="B14" s="23" t="inlineStr">
        <is>
          <t>6.5</t>
        </is>
      </c>
      <c r="C14" s="145" t="n"/>
      <c r="D14" s="146" t="inlineStr">
        <is>
          <t>из сырья  ПАО "Газпром нефть"</t>
        </is>
      </c>
      <c r="E14" s="528" t="inlineStr">
        <is>
          <t>100332298</t>
        </is>
      </c>
      <c r="F14" s="528" t="n"/>
      <c r="G14" s="529" t="n"/>
      <c r="H14" s="530" t="n"/>
      <c r="I14" s="530" t="n"/>
      <c r="J14" s="939" t="inlineStr">
        <is>
          <t>млн куб.м</t>
        </is>
      </c>
    </row>
    <row r="15">
      <c r="A15" s="144" t="n"/>
      <c r="B15" s="23" t="inlineStr">
        <is>
          <t>6.6</t>
        </is>
      </c>
      <c r="C15" s="145" t="n"/>
      <c r="D15" s="146" t="inlineStr">
        <is>
          <t>из сырья АО "УНГП"</t>
        </is>
      </c>
      <c r="E15" s="528" t="inlineStr">
        <is>
          <t>100332299</t>
        </is>
      </c>
      <c r="F15" s="528" t="n"/>
      <c r="G15" s="529" t="n"/>
      <c r="H15" s="530" t="n"/>
      <c r="I15" s="530" t="n"/>
      <c r="J15" s="939" t="inlineStr">
        <is>
          <t>млн куб.м</t>
        </is>
      </c>
    </row>
    <row r="16">
      <c r="A16" s="144" t="n"/>
      <c r="B16" s="23" t="inlineStr">
        <is>
          <t>6.7</t>
        </is>
      </c>
      <c r="C16" s="145" t="n"/>
      <c r="D16" s="146" t="inlineStr">
        <is>
          <t>из сырья ООО "Сервиснефтегаз"</t>
        </is>
      </c>
      <c r="E16" s="528" t="inlineStr">
        <is>
          <t>100332300</t>
        </is>
      </c>
      <c r="F16" s="528" t="n"/>
      <c r="G16" s="529" t="n"/>
      <c r="H16" s="530" t="n"/>
      <c r="I16" s="530" t="n"/>
      <c r="J16" s="939" t="inlineStr">
        <is>
          <t>млн куб.м</t>
        </is>
      </c>
    </row>
    <row r="17" ht="18.75" customHeight="1" s="769">
      <c r="A17" s="144" t="n"/>
      <c r="B17" s="23" t="inlineStr">
        <is>
          <t>6.8</t>
        </is>
      </c>
      <c r="C17" s="145" t="n"/>
      <c r="D17" s="146" t="inlineStr">
        <is>
          <t>из сырья ЗАО "КАРБОН"</t>
        </is>
      </c>
      <c r="E17" s="528" t="inlineStr">
        <is>
          <t>100332931</t>
        </is>
      </c>
      <c r="F17" s="528" t="n"/>
      <c r="G17" s="529" t="n"/>
      <c r="H17" s="530" t="n"/>
      <c r="I17" s="530" t="n"/>
      <c r="J17" s="939" t="inlineStr">
        <is>
          <t>млн куб.м</t>
        </is>
      </c>
    </row>
    <row r="18" ht="18.75" customHeight="1" s="769">
      <c r="A18" s="49" t="n"/>
      <c r="B18" s="23" t="n"/>
      <c r="C18" s="145" t="n"/>
      <c r="D18" s="146" t="inlineStr">
        <is>
          <t>из сырья ООО "Сладковско-Заречное"</t>
        </is>
      </c>
      <c r="E18" s="528" t="inlineStr">
        <is>
          <t>100335487</t>
        </is>
      </c>
      <c r="F18" s="528" t="n"/>
      <c r="G18" s="529" t="n"/>
      <c r="H18" s="530" t="n"/>
      <c r="I18" s="530" t="n"/>
      <c r="J18" s="939" t="inlineStr">
        <is>
          <t>млн куб.м</t>
        </is>
      </c>
    </row>
    <row r="19" ht="18.75" customHeight="1" s="769">
      <c r="A19" s="148" t="n"/>
      <c r="B19" s="23" t="inlineStr">
        <is>
          <t>6.9</t>
        </is>
      </c>
      <c r="C19" s="145" t="inlineStr">
        <is>
          <t xml:space="preserve"> 1.2</t>
        </is>
      </c>
      <c r="D19" s="141" t="inlineStr">
        <is>
          <t>Собственность ООО "Газпром переработка":</t>
        </is>
      </c>
      <c r="E19" s="528" t="inlineStr">
        <is>
          <t>100332967</t>
        </is>
      </c>
      <c r="F19" s="528" t="n"/>
      <c r="G19" s="529" t="n"/>
      <c r="H19" s="530" t="inlineStr">
        <is>
          <t>100332968</t>
        </is>
      </c>
      <c r="I19" s="530" t="n"/>
      <c r="J19" s="938" t="n"/>
    </row>
    <row r="20">
      <c r="A20" s="144" t="n"/>
      <c r="B20" s="23" t="inlineStr">
        <is>
          <t>6.10</t>
        </is>
      </c>
      <c r="C20" s="145" t="n"/>
      <c r="D20" s="149" t="inlineStr">
        <is>
          <t xml:space="preserve"> из сырья ООО "Газпромнефть-Заполярье"</t>
        </is>
      </c>
      <c r="E20" s="528" t="inlineStr">
        <is>
          <t>100332968</t>
        </is>
      </c>
      <c r="F20" s="528" t="n"/>
      <c r="G20" s="529" t="n"/>
      <c r="H20" s="530" t="n"/>
      <c r="I20" s="530" t="n"/>
      <c r="J20" s="939" t="inlineStr">
        <is>
          <t>млн куб.м</t>
        </is>
      </c>
    </row>
    <row r="21" ht="37.5" customFormat="1" customHeight="1" s="179">
      <c r="A21" s="144" t="n"/>
      <c r="B21" s="23" t="inlineStr">
        <is>
          <t>6.11</t>
        </is>
      </c>
      <c r="C21" s="145" t="inlineStr">
        <is>
          <t>2.</t>
        </is>
      </c>
      <c r="D21" s="141" t="inlineStr">
        <is>
          <t>Поставка жидких углеводородов ООО "Газпром добыча Оренбург" для ПАО "Газпром", всего:</t>
        </is>
      </c>
      <c r="E21" s="528" t="inlineStr">
        <is>
          <t>100332301</t>
        </is>
      </c>
      <c r="F21" s="528" t="n"/>
      <c r="G21" s="529" t="n"/>
      <c r="H21" s="530" t="inlineStr">
        <is>
          <t>100332302+100332303</t>
        </is>
      </c>
      <c r="I21" s="530" t="n"/>
      <c r="J21" s="396" t="inlineStr">
        <is>
          <t>тыс.т.</t>
        </is>
      </c>
    </row>
    <row r="22" ht="37.5" customFormat="1" customHeight="1" s="179">
      <c r="A22" s="144" t="n"/>
      <c r="B22" s="23" t="inlineStr">
        <is>
          <t>6.12</t>
        </is>
      </c>
      <c r="C22" s="150" t="inlineStr">
        <is>
          <t>2.1</t>
        </is>
      </c>
      <c r="D22" s="141" t="inlineStr">
        <is>
          <t>Нестабильный газовый конденсат ООО "Газпром добыча Оренбург"</t>
        </is>
      </c>
      <c r="E22" s="528" t="inlineStr">
        <is>
          <t>100332302</t>
        </is>
      </c>
      <c r="F22" s="528" t="n"/>
      <c r="G22" s="529" t="n"/>
      <c r="H22" s="530" t="n"/>
      <c r="I22" s="530" t="n"/>
      <c r="J22" s="396" t="inlineStr">
        <is>
          <t>тыс.т.</t>
        </is>
      </c>
    </row>
    <row r="23" ht="37.5" customFormat="1" customHeight="1" s="179">
      <c r="A23" s="148" t="n"/>
      <c r="B23" s="23" t="n"/>
      <c r="C23" s="145" t="n"/>
      <c r="D23" s="147" t="inlineStr">
        <is>
          <t>в том числе из сырья в рамках ДРОД (оператор "Газпром нефть Заполярье")</t>
        </is>
      </c>
      <c r="E23" s="528" t="inlineStr">
        <is>
          <t>100335974</t>
        </is>
      </c>
      <c r="F23" s="528" t="n"/>
      <c r="G23" s="529" t="n"/>
      <c r="H23" s="530" t="n"/>
      <c r="I23" s="530" t="n"/>
      <c r="J23" s="647" t="inlineStr">
        <is>
          <t>тыс.т.</t>
        </is>
      </c>
    </row>
    <row r="24" ht="18.75" customFormat="1" customHeight="1" s="179">
      <c r="A24" s="144" t="n"/>
      <c r="B24" s="23" t="inlineStr">
        <is>
          <t>6.13</t>
        </is>
      </c>
      <c r="C24" s="150" t="inlineStr">
        <is>
          <t>2.2</t>
        </is>
      </c>
      <c r="D24" s="141" t="inlineStr">
        <is>
          <t>Нефть сырая нестабильная, всего:</t>
        </is>
      </c>
      <c r="E24" s="528" t="inlineStr">
        <is>
          <t>100332303</t>
        </is>
      </c>
      <c r="F24" s="528" t="n"/>
      <c r="G24" s="529" t="n"/>
      <c r="H24" s="530" t="inlineStr">
        <is>
          <t>100332304+100332305</t>
        </is>
      </c>
      <c r="I24" s="530" t="n"/>
      <c r="J24" s="396" t="inlineStr">
        <is>
          <t>тыс.т.</t>
        </is>
      </c>
    </row>
    <row r="25" customFormat="1" s="179">
      <c r="A25" s="144" t="n"/>
      <c r="B25" s="23" t="inlineStr">
        <is>
          <t>6.14</t>
        </is>
      </c>
      <c r="C25" s="145" t="n"/>
      <c r="D25" s="146" t="inlineStr">
        <is>
          <t>нефть от добычи ООО "Газпром добыча Оренбург"</t>
        </is>
      </c>
      <c r="E25" s="528" t="inlineStr">
        <is>
          <t>100332304</t>
        </is>
      </c>
      <c r="F25" s="528" t="n"/>
      <c r="G25" s="529" t="n"/>
      <c r="H25" s="530" t="n"/>
      <c r="I25" s="530" t="n"/>
      <c r="J25" s="647" t="inlineStr">
        <is>
          <t>тыс.т.</t>
        </is>
      </c>
    </row>
    <row r="26" ht="37.5" customFormat="1" customHeight="1" s="179">
      <c r="A26" s="144" t="n"/>
      <c r="B26" s="23" t="n"/>
      <c r="C26" s="145" t="n"/>
      <c r="D26" s="147" t="inlineStr">
        <is>
          <t>в том числе из сырья в рамках ДРОД (оператор "Газпром нефть Заполярье")</t>
        </is>
      </c>
      <c r="E26" s="528" t="inlineStr">
        <is>
          <t>100335975</t>
        </is>
      </c>
      <c r="F26" s="528" t="n"/>
      <c r="G26" s="529" t="n"/>
      <c r="H26" s="530" t="n"/>
      <c r="I26" s="530" t="n"/>
      <c r="J26" s="647" t="inlineStr">
        <is>
          <t>тыс.т.</t>
        </is>
      </c>
    </row>
    <row r="27" customFormat="1" s="179">
      <c r="A27" s="144" t="n"/>
      <c r="B27" s="23" t="inlineStr">
        <is>
          <t>6.15</t>
        </is>
      </c>
      <c r="C27" s="145" t="n"/>
      <c r="D27" s="146" t="inlineStr">
        <is>
          <t>нефть от добычи ПАО "Газпром нефть"</t>
        </is>
      </c>
      <c r="E27" s="528" t="inlineStr">
        <is>
          <t>100332305</t>
        </is>
      </c>
      <c r="F27" s="528" t="n"/>
      <c r="G27" s="529" t="n"/>
      <c r="H27" s="530" t="n"/>
      <c r="I27" s="530" t="n"/>
      <c r="J27" s="647" t="inlineStr">
        <is>
          <t>тыс.т.</t>
        </is>
      </c>
    </row>
    <row r="28" ht="37.5" customFormat="1" customHeight="1" s="179">
      <c r="A28" s="144" t="n"/>
      <c r="B28" s="23" t="inlineStr">
        <is>
          <t>6.16</t>
        </is>
      </c>
      <c r="C28" s="145" t="inlineStr">
        <is>
          <t>3.</t>
        </is>
      </c>
      <c r="D28" s="141" t="inlineStr">
        <is>
          <t>Поставка жидких углеводородов АО "УНГП" для ООО "Газпром переработка"</t>
        </is>
      </c>
      <c r="E28" s="528" t="inlineStr">
        <is>
          <t>100332306</t>
        </is>
      </c>
      <c r="F28" s="528" t="n"/>
      <c r="G28" s="529" t="n"/>
      <c r="H28" s="530" t="inlineStr">
        <is>
          <t>100332307+100332308</t>
        </is>
      </c>
      <c r="I28" s="530" t="n"/>
      <c r="J28" s="396" t="inlineStr">
        <is>
          <t>тыс.т.</t>
        </is>
      </c>
    </row>
    <row r="29" customFormat="1" s="179">
      <c r="A29" s="2" t="n"/>
      <c r="B29" s="23" t="inlineStr">
        <is>
          <t>6.17</t>
        </is>
      </c>
      <c r="C29" s="145" t="n"/>
      <c r="D29" s="146" t="inlineStr">
        <is>
          <t>конденсат газовый нестабильный АО "УНГП"</t>
        </is>
      </c>
      <c r="E29" s="528" t="inlineStr">
        <is>
          <t>100332307</t>
        </is>
      </c>
      <c r="F29" s="528" t="n"/>
      <c r="G29" s="529" t="n"/>
      <c r="H29" s="530" t="n"/>
      <c r="I29" s="530" t="n"/>
      <c r="J29" s="647" t="inlineStr">
        <is>
          <t>тыс.т.</t>
        </is>
      </c>
    </row>
    <row r="30" customFormat="1" s="179">
      <c r="A30" s="151" t="n"/>
      <c r="B30" s="23" t="inlineStr">
        <is>
          <t>6.18</t>
        </is>
      </c>
      <c r="C30" s="145" t="n"/>
      <c r="D30" s="146" t="inlineStr">
        <is>
          <t>нефть сырая АО "УНГП"</t>
        </is>
      </c>
      <c r="E30" s="528" t="inlineStr">
        <is>
          <t>100332308</t>
        </is>
      </c>
      <c r="F30" s="528" t="n"/>
      <c r="G30" s="529" t="n"/>
      <c r="H30" s="530" t="n"/>
      <c r="I30" s="530" t="n"/>
      <c r="J30" s="647" t="inlineStr">
        <is>
          <t>тыс.т.</t>
        </is>
      </c>
    </row>
    <row r="31" ht="56.25" customFormat="1" customHeight="1" s="179">
      <c r="B31" s="23" t="inlineStr">
        <is>
          <t>6.19</t>
        </is>
      </c>
      <c r="C31" s="145" t="inlineStr">
        <is>
          <t>4.</t>
        </is>
      </c>
      <c r="D31" s="141" t="inlineStr">
        <is>
          <t>Поставка жидких углеводородов ООО "Газпромнефть-Заполярье" для 
ООО "Газпром переработка"</t>
        </is>
      </c>
      <c r="E31" s="528" t="inlineStr">
        <is>
          <t>100332969</t>
        </is>
      </c>
      <c r="F31" s="528" t="n"/>
      <c r="G31" s="529" t="n"/>
      <c r="H31" s="530" t="inlineStr">
        <is>
          <t>100332970</t>
        </is>
      </c>
      <c r="I31" s="530" t="n"/>
      <c r="J31" s="396" t="inlineStr">
        <is>
          <t>тыс.т.</t>
        </is>
      </c>
    </row>
    <row r="32" ht="18.75" customFormat="1" customHeight="1" s="179">
      <c r="B32" s="23" t="inlineStr">
        <is>
          <t>6.20</t>
        </is>
      </c>
      <c r="C32" s="145" t="n"/>
      <c r="D32" s="146" t="inlineStr">
        <is>
          <t>нефть сырая  ООО "Газпромнефть-Заполярье"</t>
        </is>
      </c>
      <c r="E32" s="528" t="inlineStr">
        <is>
          <t>100332970</t>
        </is>
      </c>
      <c r="F32" s="528" t="n"/>
      <c r="G32" s="529" t="n"/>
      <c r="H32" s="530" t="n"/>
      <c r="I32" s="530" t="n"/>
      <c r="J32" s="647" t="inlineStr">
        <is>
          <t>тыс.т.</t>
        </is>
      </c>
    </row>
    <row r="33" ht="37.5" customFormat="1" customHeight="1" s="179">
      <c r="B33" s="23" t="inlineStr">
        <is>
          <t>6.21</t>
        </is>
      </c>
      <c r="C33" s="145" t="inlineStr">
        <is>
          <t>5.</t>
        </is>
      </c>
      <c r="D33" s="141" t="inlineStr">
        <is>
          <t>Поставка жидких углеводородов ООО "Сервиснефтегаз"</t>
        </is>
      </c>
      <c r="E33" s="528" t="inlineStr">
        <is>
          <t>100332309</t>
        </is>
      </c>
      <c r="F33" s="528" t="n"/>
      <c r="G33" s="529" t="n"/>
      <c r="H33" s="530" t="inlineStr">
        <is>
          <t>100332310</t>
        </is>
      </c>
      <c r="I33" s="530" t="n"/>
      <c r="J33" s="396" t="inlineStr">
        <is>
          <t>тыс.т.</t>
        </is>
      </c>
    </row>
    <row r="34" customFormat="1" s="179">
      <c r="B34" s="23" t="inlineStr">
        <is>
          <t>6.22</t>
        </is>
      </c>
      <c r="C34" s="557" t="n"/>
      <c r="D34" s="558" t="inlineStr">
        <is>
          <t>нефть сырая ООО "Сервиснефтегаз"</t>
        </is>
      </c>
      <c r="E34" s="528" t="inlineStr">
        <is>
          <t>100332310</t>
        </is>
      </c>
      <c r="F34" s="528" t="n"/>
      <c r="G34" s="529" t="n"/>
      <c r="H34" s="530" t="n"/>
      <c r="I34" s="530" t="n"/>
      <c r="J34" s="564" t="inlineStr">
        <is>
          <t>тыс.т.</t>
        </is>
      </c>
    </row>
    <row r="35" outlineLevel="1" ht="19.5" customFormat="1" customHeight="1" s="793">
      <c r="B35" s="23" t="inlineStr">
        <is>
          <t>6.23</t>
        </is>
      </c>
      <c r="C35" s="153" t="n"/>
      <c r="D35" s="154" t="inlineStr">
        <is>
          <t>Справочно:</t>
        </is>
      </c>
      <c r="E35" s="528" t="n"/>
      <c r="F35" s="528" t="n"/>
      <c r="G35" s="529" t="n"/>
      <c r="H35" s="530" t="n"/>
      <c r="I35" s="530" t="n"/>
      <c r="J35" s="155" t="n"/>
    </row>
    <row r="36" outlineLevel="1" ht="19.5" customFormat="1" customHeight="1" s="793">
      <c r="B36" s="23" t="inlineStr">
        <is>
          <t>6.24</t>
        </is>
      </c>
      <c r="C36" s="153" t="inlineStr">
        <is>
          <t>6.</t>
        </is>
      </c>
      <c r="D36" s="156" t="inlineStr">
        <is>
          <t xml:space="preserve">Поставка природного газа от ТОО "КазРосГаз" </t>
        </is>
      </c>
      <c r="E36" s="528" t="inlineStr">
        <is>
          <t>100332311</t>
        </is>
      </c>
      <c r="F36" s="528" t="n"/>
      <c r="G36" s="529" t="n"/>
      <c r="H36" s="530" t="n"/>
      <c r="I36" s="530" t="n"/>
      <c r="J36" s="952" t="inlineStr">
        <is>
          <t>млн куб.м</t>
        </is>
      </c>
    </row>
    <row r="37" outlineLevel="1" ht="58.5" customFormat="1" customHeight="1" s="793">
      <c r="B37" s="23" t="inlineStr">
        <is>
          <t>6.25</t>
        </is>
      </c>
      <c r="C37" s="153" t="inlineStr">
        <is>
          <t>7.</t>
        </is>
      </c>
      <c r="D37" s="156" t="inlineStr">
        <is>
          <t>Транспортировка углеводородного сырья от добычи ООО "Газпромнефть-Оренбург" (Царичанское НМ) (собственность ООО "Газпром нефтехим Салават")</t>
        </is>
      </c>
      <c r="E37" s="528" t="inlineStr">
        <is>
          <t>100332312</t>
        </is>
      </c>
      <c r="F37" s="528" t="n"/>
      <c r="G37" s="529" t="n"/>
      <c r="H37" s="530" t="n"/>
      <c r="I37" s="530" t="n"/>
      <c r="J37" s="669" t="inlineStr">
        <is>
          <t>тыс.т.</t>
        </is>
      </c>
    </row>
    <row r="38" outlineLevel="1" ht="19.5" customHeight="1" s="769">
      <c r="C38" s="559" t="n">
        <v>8</v>
      </c>
      <c r="D38" s="560" t="inlineStr">
        <is>
          <t>Проверка с разделом "Добыча"</t>
        </is>
      </c>
      <c r="E38" s="528" t="n"/>
      <c r="F38" s="528" t="n"/>
      <c r="G38" s="529" t="n"/>
      <c r="H38" s="530" t="n"/>
      <c r="I38" s="530" t="n"/>
      <c r="J38" s="565" t="n"/>
    </row>
    <row r="39" outlineLevel="1" ht="19.5" customHeight="1" s="769">
      <c r="C39" s="561" t="n"/>
      <c r="D39" s="547" t="inlineStr">
        <is>
          <t>Поставка газа:</t>
        </is>
      </c>
      <c r="E39" s="528" t="n"/>
      <c r="F39" s="528" t="n"/>
      <c r="G39" s="529" t="n"/>
      <c r="H39" s="530" t="n"/>
      <c r="I39" s="530" t="n"/>
      <c r="J39" s="550" t="n"/>
    </row>
    <row r="40" outlineLevel="1" s="769">
      <c r="C40" s="562" t="n"/>
      <c r="D40" s="548" t="inlineStr">
        <is>
          <t>ООО "Газпром добыча Оренбург" (без ДРОД)</t>
        </is>
      </c>
      <c r="E40" s="528" t="n"/>
      <c r="F40" s="528" t="n"/>
      <c r="G40" s="529" t="n"/>
      <c r="H40" s="530" t="n"/>
      <c r="I40" s="530" t="n"/>
      <c r="J40" s="566" t="inlineStr">
        <is>
          <t>млн куб.м</t>
        </is>
      </c>
    </row>
    <row r="41" outlineLevel="1" s="769">
      <c r="C41" s="562" t="n"/>
      <c r="D41" s="548" t="inlineStr">
        <is>
          <t>Филипповская залежь и др. (ДРОД)</t>
        </is>
      </c>
      <c r="E41" s="528" t="n"/>
      <c r="F41" s="528" t="n"/>
      <c r="G41" s="529" t="n"/>
      <c r="H41" s="530" t="n"/>
      <c r="I41" s="530" t="n"/>
      <c r="J41" s="566" t="inlineStr">
        <is>
          <t>млн куб.м</t>
        </is>
      </c>
    </row>
    <row r="42" outlineLevel="1" ht="19.5" customHeight="1" s="769">
      <c r="C42" s="669" t="n"/>
      <c r="D42" s="548" t="inlineStr">
        <is>
          <t>ПАО "Газпром нефть"</t>
        </is>
      </c>
      <c r="E42" s="528" t="n"/>
      <c r="F42" s="528" t="n"/>
      <c r="G42" s="529" t="n"/>
      <c r="H42" s="530" t="n"/>
      <c r="I42" s="530" t="n"/>
      <c r="J42" s="566" t="inlineStr">
        <is>
          <t>млн куб.м</t>
        </is>
      </c>
    </row>
    <row r="43" outlineLevel="1" ht="19.5" customHeight="1" s="769">
      <c r="C43" s="669" t="n"/>
      <c r="D43" s="548" t="inlineStr">
        <is>
          <t>АО "УНГП"</t>
        </is>
      </c>
      <c r="E43" s="528" t="n"/>
      <c r="F43" s="528" t="n"/>
      <c r="G43" s="529" t="n"/>
      <c r="H43" s="530" t="n"/>
      <c r="I43" s="530" t="n"/>
      <c r="J43" s="566" t="inlineStr">
        <is>
          <t>млн куб.м</t>
        </is>
      </c>
    </row>
    <row r="44" outlineLevel="1" ht="19.5" customHeight="1" s="769">
      <c r="C44" s="669" t="n"/>
      <c r="D44" s="548" t="inlineStr">
        <is>
          <t>ООО "Сервиснефтегаз"</t>
        </is>
      </c>
      <c r="E44" s="528" t="n"/>
      <c r="F44" s="528" t="n"/>
      <c r="G44" s="529" t="n"/>
      <c r="H44" s="530" t="n"/>
      <c r="I44" s="530" t="n"/>
      <c r="J44" s="566" t="inlineStr">
        <is>
          <t>млн куб.м</t>
        </is>
      </c>
    </row>
    <row r="45" outlineLevel="1" ht="19.5" customHeight="1" s="769">
      <c r="C45" s="669" t="n"/>
      <c r="D45" s="547" t="inlineStr">
        <is>
          <t>Поставка нестабильного газового конденсата:</t>
        </is>
      </c>
      <c r="E45" s="528" t="n"/>
      <c r="F45" s="528" t="n"/>
      <c r="G45" s="529" t="n"/>
      <c r="H45" s="530" t="n"/>
      <c r="I45" s="530" t="n"/>
      <c r="J45" s="550" t="n"/>
    </row>
    <row r="46" outlineLevel="1" ht="19.5" customHeight="1" s="769">
      <c r="C46" s="669" t="n"/>
      <c r="D46" s="548" t="inlineStr">
        <is>
          <t>ООО "Газпром добыча Оренбург" (без ДРОД)</t>
        </is>
      </c>
      <c r="E46" s="528" t="n"/>
      <c r="F46" s="528" t="n"/>
      <c r="G46" s="529" t="n"/>
      <c r="H46" s="530" t="n"/>
      <c r="I46" s="530" t="n"/>
      <c r="J46" s="566" t="inlineStr">
        <is>
          <t>тыс.т.</t>
        </is>
      </c>
    </row>
    <row r="47" outlineLevel="1" ht="19.5" customHeight="1" s="769">
      <c r="C47" s="669" t="n"/>
      <c r="D47" s="548" t="inlineStr">
        <is>
          <t>Филипповская залежь и др. (ДРОД)</t>
        </is>
      </c>
      <c r="E47" s="528" t="n"/>
      <c r="F47" s="528" t="n"/>
      <c r="G47" s="529" t="n"/>
      <c r="H47" s="530" t="n"/>
      <c r="I47" s="530" t="n"/>
      <c r="J47" s="566" t="inlineStr">
        <is>
          <t>тыс.т.</t>
        </is>
      </c>
    </row>
    <row r="48" outlineLevel="1" ht="19.5" customHeight="1" s="769">
      <c r="C48" s="669" t="n"/>
      <c r="D48" s="548" t="inlineStr">
        <is>
          <t>АО "УНГП"</t>
        </is>
      </c>
      <c r="E48" s="528" t="n"/>
      <c r="F48" s="528" t="n"/>
      <c r="G48" s="529" t="n"/>
      <c r="H48" s="530" t="n"/>
      <c r="I48" s="530" t="n"/>
      <c r="J48" s="566" t="inlineStr">
        <is>
          <t>тыс.т.</t>
        </is>
      </c>
    </row>
    <row r="49" outlineLevel="1" ht="19.5" customHeight="1" s="769">
      <c r="C49" s="669" t="n"/>
      <c r="D49" s="547" t="inlineStr">
        <is>
          <t>Поставка нефти:</t>
        </is>
      </c>
      <c r="E49" s="528" t="n"/>
      <c r="F49" s="528" t="n"/>
      <c r="G49" s="529" t="n"/>
      <c r="H49" s="530" t="n"/>
      <c r="I49" s="530" t="n"/>
      <c r="J49" s="550" t="n"/>
    </row>
    <row r="50" outlineLevel="1" ht="19.5" customHeight="1" s="769">
      <c r="C50" s="669" t="n"/>
      <c r="D50" s="548" t="inlineStr">
        <is>
          <t>ООО "Газпром добыча Оренбург" (без ДРОД)</t>
        </is>
      </c>
      <c r="E50" s="528" t="n"/>
      <c r="F50" s="528" t="n"/>
      <c r="G50" s="529" t="n"/>
      <c r="H50" s="530" t="n"/>
      <c r="I50" s="530" t="n"/>
      <c r="J50" s="566" t="inlineStr">
        <is>
          <t>тыс.т.</t>
        </is>
      </c>
    </row>
    <row r="51" outlineLevel="1" ht="19.5" customHeight="1" s="769">
      <c r="C51" s="669" t="n"/>
      <c r="D51" s="548" t="inlineStr">
        <is>
          <t>Филипповская залежь и др. (ДРОД) для ПАО</t>
        </is>
      </c>
      <c r="E51" s="528" t="n"/>
      <c r="F51" s="528" t="n"/>
      <c r="G51" s="529" t="n"/>
      <c r="H51" s="530" t="n"/>
      <c r="I51" s="530" t="n"/>
      <c r="J51" s="566" t="inlineStr">
        <is>
          <t>тыс.т.</t>
        </is>
      </c>
    </row>
    <row r="52" outlineLevel="1" ht="19.5" customHeight="1" s="769">
      <c r="C52" s="669" t="n"/>
      <c r="D52" s="548" t="inlineStr">
        <is>
          <t>ПАО "Газпром нефть"</t>
        </is>
      </c>
      <c r="E52" s="528" t="n"/>
      <c r="F52" s="528" t="n"/>
      <c r="G52" s="529" t="n"/>
      <c r="H52" s="530" t="n"/>
      <c r="I52" s="530" t="n"/>
      <c r="J52" s="566" t="inlineStr">
        <is>
          <t>тыс.т.</t>
        </is>
      </c>
    </row>
    <row r="53" outlineLevel="1" ht="19.5" customHeight="1" s="769">
      <c r="C53" s="669" t="n"/>
      <c r="D53" s="548" t="inlineStr">
        <is>
          <t>АО "УНГП"</t>
        </is>
      </c>
      <c r="E53" s="528" t="n"/>
      <c r="F53" s="528" t="n"/>
      <c r="G53" s="529" t="n"/>
      <c r="H53" s="530" t="n"/>
      <c r="I53" s="530" t="n"/>
      <c r="J53" s="566" t="inlineStr">
        <is>
          <t>тыс.т.</t>
        </is>
      </c>
    </row>
    <row r="54" outlineLevel="1" ht="19.5" customHeight="1" s="769">
      <c r="C54" s="669" t="n"/>
      <c r="D54" s="548" t="inlineStr">
        <is>
          <t>ООО "Газпромнефть-Заполярье" (ДРОД) для ГПП</t>
        </is>
      </c>
      <c r="E54" s="528" t="n"/>
      <c r="F54" s="528" t="n"/>
      <c r="G54" s="529" t="n"/>
      <c r="H54" s="530" t="n"/>
      <c r="I54" s="530" t="n"/>
      <c r="J54" s="566" t="inlineStr">
        <is>
          <t>тыс.т.</t>
        </is>
      </c>
    </row>
    <row r="55" outlineLevel="1" ht="19.5" customHeight="1" s="769">
      <c r="C55" s="669" t="n"/>
      <c r="D55" s="548" t="inlineStr">
        <is>
          <t>ООО "Сервиснефтегаз"</t>
        </is>
      </c>
      <c r="E55" s="528" t="n"/>
      <c r="F55" s="528" t="n"/>
      <c r="G55" s="529" t="n"/>
      <c r="H55" s="530" t="n"/>
      <c r="I55" s="530" t="n"/>
      <c r="J55" s="566" t="inlineStr">
        <is>
          <t>тыс.т.</t>
        </is>
      </c>
    </row>
    <row r="56" outlineLevel="1" ht="19.5" customHeight="1" s="769">
      <c r="C56" s="397" t="n">
        <v>9</v>
      </c>
      <c r="D56" s="546" t="inlineStr">
        <is>
          <t>Проверка с Оренбургским ГХК "Переработка"</t>
        </is>
      </c>
      <c r="E56" s="528" t="n"/>
      <c r="F56" s="528" t="n"/>
      <c r="G56" s="529" t="n"/>
      <c r="H56" s="530" t="n"/>
      <c r="I56" s="530" t="n"/>
      <c r="J56" s="550" t="n"/>
    </row>
    <row r="57" outlineLevel="1" ht="19.5" customHeight="1" s="769">
      <c r="C57" s="561" t="n"/>
      <c r="D57" s="547" t="inlineStr">
        <is>
          <t>Поставка газа:</t>
        </is>
      </c>
      <c r="E57" s="528" t="n"/>
      <c r="F57" s="528" t="n"/>
      <c r="G57" s="529" t="n"/>
      <c r="H57" s="530" t="n"/>
      <c r="I57" s="530" t="n"/>
      <c r="J57" s="550" t="n"/>
    </row>
    <row r="58" outlineLevel="1" s="769">
      <c r="C58" s="562" t="n"/>
      <c r="D58" s="548" t="inlineStr">
        <is>
          <t>ООО "Газпром добыча Оренбург" (без ДРОД)</t>
        </is>
      </c>
      <c r="E58" s="528" t="n"/>
      <c r="F58" s="528" t="n"/>
      <c r="G58" s="529" t="n"/>
      <c r="H58" s="530" t="n"/>
      <c r="I58" s="530" t="n"/>
      <c r="J58" s="566" t="inlineStr">
        <is>
          <t>млн куб.м</t>
        </is>
      </c>
    </row>
    <row r="59" outlineLevel="1" s="769">
      <c r="C59" s="562" t="n"/>
      <c r="D59" s="548" t="inlineStr">
        <is>
          <t>Филипповская залежь и др. (ДРОД)</t>
        </is>
      </c>
      <c r="E59" s="528" t="n"/>
      <c r="F59" s="528" t="n"/>
      <c r="G59" s="529" t="n"/>
      <c r="H59" s="530" t="n"/>
      <c r="I59" s="530" t="n"/>
      <c r="J59" s="566" t="inlineStr">
        <is>
          <t>млн куб.м</t>
        </is>
      </c>
    </row>
    <row r="60" outlineLevel="1" ht="19.5" customHeight="1" s="769">
      <c r="C60" s="669" t="n"/>
      <c r="D60" s="548" t="inlineStr">
        <is>
          <t>ПАО "Газпром нефть"</t>
        </is>
      </c>
      <c r="E60" s="528" t="n"/>
      <c r="F60" s="528" t="n"/>
      <c r="G60" s="529" t="n"/>
      <c r="H60" s="530" t="n"/>
      <c r="I60" s="530" t="n"/>
      <c r="J60" s="566" t="inlineStr">
        <is>
          <t>млн куб.м</t>
        </is>
      </c>
    </row>
    <row r="61" outlineLevel="1" ht="19.5" customHeight="1" s="769">
      <c r="C61" s="669" t="n"/>
      <c r="D61" s="548" t="inlineStr">
        <is>
          <t>АО "УНГП"</t>
        </is>
      </c>
      <c r="E61" s="528" t="n"/>
      <c r="F61" s="528" t="n"/>
      <c r="G61" s="529" t="n"/>
      <c r="H61" s="530" t="n"/>
      <c r="I61" s="530" t="n"/>
      <c r="J61" s="566" t="inlineStr">
        <is>
          <t>млн куб.м</t>
        </is>
      </c>
    </row>
    <row r="62" outlineLevel="1" ht="19.5" customHeight="1" s="769">
      <c r="C62" s="669" t="n"/>
      <c r="D62" s="548" t="inlineStr">
        <is>
          <t>ООО "Сервиснефтегаз"</t>
        </is>
      </c>
      <c r="E62" s="528" t="n"/>
      <c r="F62" s="528" t="n"/>
      <c r="G62" s="529" t="n"/>
      <c r="H62" s="530" t="n"/>
      <c r="I62" s="530" t="n"/>
      <c r="J62" s="566" t="inlineStr">
        <is>
          <t>млн куб.м</t>
        </is>
      </c>
    </row>
    <row r="63" outlineLevel="1" ht="19.5" customHeight="1" s="769">
      <c r="C63" s="669" t="n"/>
      <c r="D63" s="548" t="inlineStr">
        <is>
          <t xml:space="preserve">ТОО "КазРосГаз" </t>
        </is>
      </c>
      <c r="E63" s="528" t="n"/>
      <c r="F63" s="528" t="n"/>
      <c r="G63" s="529" t="n"/>
      <c r="H63" s="530" t="n"/>
      <c r="I63" s="530" t="n"/>
      <c r="J63" s="566" t="inlineStr">
        <is>
          <t>млн куб.м</t>
        </is>
      </c>
    </row>
    <row r="64" outlineLevel="1" ht="19.5" customHeight="1" s="769">
      <c r="C64" s="669" t="n"/>
      <c r="D64" s="547" t="inlineStr">
        <is>
          <t>Поставка нестабильного газового конденсата:</t>
        </is>
      </c>
      <c r="E64" s="528" t="n"/>
      <c r="F64" s="528" t="n"/>
      <c r="G64" s="529" t="n"/>
      <c r="H64" s="530" t="n"/>
      <c r="I64" s="530" t="n"/>
      <c r="J64" s="550" t="n"/>
    </row>
    <row r="65" outlineLevel="1" ht="19.5" customHeight="1" s="769">
      <c r="C65" s="669" t="n"/>
      <c r="D65" s="548" t="inlineStr">
        <is>
          <t>ООО "Газпром добыча Оренбург" (без ДРОД)</t>
        </is>
      </c>
      <c r="E65" s="528" t="n"/>
      <c r="F65" s="528" t="n"/>
      <c r="G65" s="529" t="n"/>
      <c r="H65" s="530" t="n"/>
      <c r="I65" s="530" t="n"/>
      <c r="J65" s="566" t="inlineStr">
        <is>
          <t>тыс.т.</t>
        </is>
      </c>
    </row>
    <row r="66" outlineLevel="1" ht="19.5" customHeight="1" s="769">
      <c r="C66" s="669" t="n"/>
      <c r="D66" s="548" t="inlineStr">
        <is>
          <t>Филипповская залежь и др. (ДРОД)</t>
        </is>
      </c>
      <c r="E66" s="528" t="n"/>
      <c r="F66" s="528" t="n"/>
      <c r="G66" s="529" t="n"/>
      <c r="H66" s="530" t="n"/>
      <c r="I66" s="530" t="n"/>
      <c r="J66" s="566" t="inlineStr">
        <is>
          <t>тыс.т.</t>
        </is>
      </c>
    </row>
    <row r="67" outlineLevel="1" ht="19.5" customHeight="1" s="769">
      <c r="C67" s="669" t="n"/>
      <c r="D67" s="548" t="inlineStr">
        <is>
          <t>АО "УНГП"</t>
        </is>
      </c>
      <c r="E67" s="528" t="n"/>
      <c r="F67" s="528" t="n"/>
      <c r="G67" s="529" t="n"/>
      <c r="H67" s="530" t="n"/>
      <c r="I67" s="530" t="n"/>
      <c r="J67" s="566" t="inlineStr">
        <is>
          <t>тыс.т.</t>
        </is>
      </c>
    </row>
    <row r="68" outlineLevel="1" ht="19.5" customHeight="1" s="769">
      <c r="C68" s="669" t="n"/>
      <c r="D68" s="547" t="inlineStr">
        <is>
          <t>Поставка нефти:</t>
        </is>
      </c>
      <c r="E68" s="528" t="n"/>
      <c r="F68" s="528" t="n"/>
      <c r="G68" s="529" t="n"/>
      <c r="H68" s="530" t="n"/>
      <c r="I68" s="530" t="n"/>
      <c r="J68" s="550" t="n"/>
    </row>
    <row r="69" outlineLevel="1" ht="19.5" customHeight="1" s="769">
      <c r="C69" s="669" t="n"/>
      <c r="D69" s="548" t="inlineStr">
        <is>
          <t>ООО "Газпром добыча Оренбург" (без ДРОД)</t>
        </is>
      </c>
      <c r="E69" s="528" t="n"/>
      <c r="F69" s="528" t="n"/>
      <c r="G69" s="529" t="n"/>
      <c r="H69" s="530" t="n"/>
      <c r="I69" s="530" t="n"/>
      <c r="J69" s="566" t="inlineStr">
        <is>
          <t>тыс.т.</t>
        </is>
      </c>
    </row>
    <row r="70" outlineLevel="1" ht="19.5" customHeight="1" s="769">
      <c r="C70" s="669" t="n"/>
      <c r="D70" s="548" t="inlineStr">
        <is>
          <t>Филипповская залежь и др. (ДРОД) для ПАО</t>
        </is>
      </c>
      <c r="E70" s="528" t="n"/>
      <c r="F70" s="528" t="n"/>
      <c r="G70" s="529" t="n"/>
      <c r="H70" s="530" t="n"/>
      <c r="I70" s="530" t="n"/>
      <c r="J70" s="566" t="inlineStr">
        <is>
          <t>тыс.т.</t>
        </is>
      </c>
    </row>
    <row r="71" outlineLevel="1" ht="19.5" customHeight="1" s="769">
      <c r="C71" s="669" t="n"/>
      <c r="D71" s="548" t="inlineStr">
        <is>
          <t>ПАО "Газпром нефть"</t>
        </is>
      </c>
      <c r="E71" s="528" t="n"/>
      <c r="F71" s="528" t="n"/>
      <c r="G71" s="529" t="n"/>
      <c r="H71" s="530" t="n"/>
      <c r="I71" s="530" t="n"/>
      <c r="J71" s="566" t="inlineStr">
        <is>
          <t>тыс.т.</t>
        </is>
      </c>
    </row>
    <row r="72" outlineLevel="1" ht="19.5" customHeight="1" s="769">
      <c r="C72" s="669" t="n"/>
      <c r="D72" s="548" t="inlineStr">
        <is>
          <t>АО "УНГП"</t>
        </is>
      </c>
      <c r="E72" s="528" t="n"/>
      <c r="F72" s="528" t="n"/>
      <c r="G72" s="529" t="n"/>
      <c r="H72" s="530" t="n"/>
      <c r="I72" s="530" t="n"/>
      <c r="J72" s="566" t="inlineStr">
        <is>
          <t>тыс.т.</t>
        </is>
      </c>
    </row>
    <row r="73" outlineLevel="1" ht="19.5" customHeight="1" s="769">
      <c r="C73" s="669" t="n"/>
      <c r="D73" s="548" t="inlineStr">
        <is>
          <t>ООО "Газпромнефть-Заполярье" (ДРОД) для ГПП</t>
        </is>
      </c>
      <c r="E73" s="528" t="n"/>
      <c r="F73" s="528" t="n"/>
      <c r="G73" s="529" t="n"/>
      <c r="H73" s="530" t="n"/>
      <c r="I73" s="530" t="n"/>
      <c r="J73" s="566" t="inlineStr">
        <is>
          <t>тыс.т.</t>
        </is>
      </c>
    </row>
    <row r="74" outlineLevel="1" ht="19.5" customHeight="1" s="769">
      <c r="C74" s="669" t="n"/>
      <c r="D74" s="548" t="inlineStr">
        <is>
          <t>ООО "Сервиснефтегаз"</t>
        </is>
      </c>
      <c r="E74" s="528" t="n"/>
      <c r="F74" s="528" t="n"/>
      <c r="G74" s="529" t="n"/>
      <c r="H74" s="530" t="n"/>
      <c r="I74" s="530" t="n"/>
      <c r="J74" s="566" t="inlineStr">
        <is>
          <t>тыс.т.</t>
        </is>
      </c>
    </row>
    <row r="75" outlineLevel="1" ht="19.5" customHeight="1" s="769">
      <c r="C75" s="397" t="n">
        <v>10</v>
      </c>
      <c r="D75" s="546" t="inlineStr">
        <is>
          <t>Проверка с ООО "ГПНСалават" "Переработка"</t>
        </is>
      </c>
      <c r="E75" s="528" t="n"/>
      <c r="F75" s="528" t="n"/>
      <c r="G75" s="529" t="n"/>
      <c r="H75" s="530" t="n"/>
      <c r="I75" s="530" t="n"/>
      <c r="J75" s="550" t="n"/>
    </row>
    <row r="76" outlineLevel="1" ht="19.5" customHeight="1" s="769">
      <c r="C76" s="669" t="n"/>
      <c r="D76" s="548" t="inlineStr">
        <is>
          <t>Траснпортировка нефти Царичанское мс</t>
        </is>
      </c>
      <c r="E76" s="528" t="n"/>
      <c r="F76" s="528" t="n"/>
      <c r="G76" s="529" t="n"/>
      <c r="H76" s="530" t="n"/>
      <c r="I76" s="530" t="n"/>
      <c r="J76" s="566" t="inlineStr">
        <is>
          <t>тыс.т.</t>
        </is>
      </c>
    </row>
    <row r="77" outlineLevel="1" s="769">
      <c r="C77" s="397" t="n">
        <v>11</v>
      </c>
      <c r="D77" s="546" t="inlineStr">
        <is>
          <t>Справочно:</t>
        </is>
      </c>
      <c r="E77" s="528" t="n"/>
      <c r="F77" s="528" t="n"/>
      <c r="G77" s="529" t="n"/>
      <c r="H77" s="530" t="n"/>
      <c r="I77" s="530" t="n"/>
      <c r="J77" s="567" t="n"/>
    </row>
    <row r="78" outlineLevel="1" s="769">
      <c r="C78" s="397" t="n"/>
      <c r="D78" s="548" t="inlineStr">
        <is>
          <t>Газ природный без ДРОД</t>
        </is>
      </c>
      <c r="E78" s="528" t="n"/>
      <c r="F78" s="528" t="n"/>
      <c r="G78" s="529" t="n"/>
      <c r="H78" s="530" t="n"/>
      <c r="I78" s="530" t="n"/>
      <c r="J78" s="566" t="inlineStr">
        <is>
          <t>млн куб.м</t>
        </is>
      </c>
    </row>
    <row r="79" outlineLevel="1" ht="19.5" customHeight="1" s="769">
      <c r="C79" s="669" t="n"/>
      <c r="D79" s="548" t="inlineStr">
        <is>
          <t>Нестабильный газовый конденсат без ДРОД</t>
        </is>
      </c>
      <c r="E79" s="528" t="n"/>
      <c r="F79" s="528" t="n"/>
      <c r="G79" s="529" t="n"/>
      <c r="H79" s="530" t="n"/>
      <c r="I79" s="530" t="n"/>
      <c r="J79" s="566" t="inlineStr">
        <is>
          <t>тыс.т.</t>
        </is>
      </c>
    </row>
    <row r="80" outlineLevel="1" ht="19.5" customHeight="1" s="769">
      <c r="C80" s="563" t="n"/>
      <c r="D80" s="552" t="inlineStr">
        <is>
          <t>Нефть без ДРОД</t>
        </is>
      </c>
      <c r="E80" s="528" t="n"/>
      <c r="F80" s="528" t="n"/>
      <c r="G80" s="529" t="n"/>
      <c r="H80" s="530" t="n"/>
      <c r="I80" s="530" t="n"/>
      <c r="J80" s="568" t="inlineStr">
        <is>
          <t>тыс.т.</t>
        </is>
      </c>
    </row>
    <row r="82">
      <c r="D82" s="832" t="inlineStr">
        <is>
          <t>* - Обеспечение своевременного внесения изменений в перечень номенклатуры сырья и продукции входит в компетенцию дочернего общества.</t>
        </is>
      </c>
    </row>
  </sheetData>
  <mergeCells count="11">
    <mergeCell ref="F7:F8"/>
    <mergeCell ref="G7:G8"/>
    <mergeCell ref="I7:I8"/>
    <mergeCell ref="D6:D8"/>
    <mergeCell ref="E6:I6"/>
    <mergeCell ref="J6:J8"/>
    <mergeCell ref="E7:E8"/>
    <mergeCell ref="B6:B8"/>
    <mergeCell ref="C3:J3"/>
    <mergeCell ref="H7:H8"/>
    <mergeCell ref="C6:C8"/>
  </mergeCells>
  <conditionalFormatting sqref="O10:O37 P10:P37 U10:U37 V10:V37 AA10:AA37 AB10:AB37 AG10:AG37 AH10:AH37 AM10:AM37 AN10:AN37 AS10:AS37 AT10:AT37 AY10:AY37 AZ10:AZ37 BE10:BE37 BF10:BF37 BK10:BK37 BL10:BL37 BQ10:BQ37 BR10:BR37 BW10:BW37 BX10:BX37 CC10:CC37 CD10:CD37 CI10:CI37 CJ10:CJ37 CO10:CO37 CP10:CP37 CU10:CU37 CV10:CV37 DA10:DA37 DB10:DB37 DG10:DG37 DH10:DH37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37 N10:N37 R10:R37 T10:T37 X10:X37 Z10:Z37 AD10:AD37 AF10:AF37 AJ10:AJ37 AL10:AL37 AP10:AP37 AR10:AR37 AV10:AV37 AX10:AX37 BB10:BB37 BD10:BD37 BH10:BH37 BJ10:BJ37 BN10:BN37 BP10:BP37 BT10:BT37 BV10:BV37 BZ10:BZ37 CB10:CB37 CF10:CF37 CH10:CH37 CL10:CL37 CN10:CN37 CR10:CR37 CT10:CT37 CX10:CX37 CZ10:CZ37 DD10:DD37 DF10:DF37">
    <cfRule type="cellIs" priority="4" operator="equal" dxfId="0">
      <formula>0</formula>
    </cfRule>
  </conditionalFormatting>
  <pageMargins left="0.3937007874015748" right="0.3937007874015748" top="0.3937007874015748" bottom="0.3937007874015748" header="0.5118110236220472" footer="0.5118110236220472"/>
  <pageSetup orientation="portrait" paperSize="9" scale="83" fitToHeight="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Лист11">
    <tabColor theme="8" tint="0.5999938962981048"/>
    <outlinePr summaryBelow="1" summaryRight="1"/>
    <pageSetUpPr fitToPage="1"/>
  </sheetPr>
  <dimension ref="B3:J85"/>
  <sheetViews>
    <sheetView topLeftCell="C1" zoomScale="60" zoomScaleNormal="60" zoomScaleSheetLayoutView="55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25" defaultRowHeight="18.75" outlineLevelRow="1"/>
  <cols>
    <col width="9.140625" customWidth="1" style="795" min="1" max="1"/>
    <col hidden="1" outlineLevel="1" width="10" customWidth="1" style="795" min="2" max="2"/>
    <col collapsed="1" width="6.7109375" customWidth="1" style="157" min="3" max="3"/>
    <col width="82.85546875" customWidth="1" style="832" min="4" max="4"/>
    <col outlineLevel="1" width="20" customWidth="1" style="832" min="5" max="9"/>
    <col width="12.85546875" bestFit="1" customWidth="1" style="796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5" customHeight="1" s="769"/>
    <row r="2" ht="15" customHeight="1" s="769"/>
    <row r="3" ht="24" customHeight="1" s="769">
      <c r="C3" s="856" t="inlineStr">
        <is>
          <t>Прогнозные показатели по поставке, переработке сырья и производству продукции ООО "Газпром добыча Ямбург"</t>
        </is>
      </c>
    </row>
    <row r="4" ht="19.5" customHeight="1" s="769"/>
    <row r="5" ht="22.5" customHeight="1" s="769">
      <c r="C5" s="363" t="inlineStr">
        <is>
          <t>7. ООО "Газпром добыча Ямбург"</t>
        </is>
      </c>
    </row>
    <row r="6" ht="20.1" customHeight="1" s="769">
      <c r="B6" s="792" t="inlineStr">
        <is>
          <t>Код строки</t>
        </is>
      </c>
      <c r="C6" s="837" t="inlineStr">
        <is>
          <t>№ 
п/п</t>
        </is>
      </c>
      <c r="D6" s="855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 изм.</t>
        </is>
      </c>
    </row>
    <row r="7" ht="39.95" customHeight="1" s="769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C8" s="751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866" t="n"/>
      <c r="D9" s="647" t="n"/>
      <c r="E9" s="389" t="n"/>
      <c r="F9" s="389" t="n"/>
      <c r="G9" s="389" t="n"/>
      <c r="H9" s="389" t="n"/>
      <c r="I9" s="389" t="n"/>
      <c r="J9" s="654" t="n"/>
    </row>
    <row r="10" ht="56.25" customHeight="1" s="769">
      <c r="B10" s="158" t="inlineStr">
        <is>
          <t>7.1</t>
        </is>
      </c>
      <c r="C10" s="159" t="inlineStr">
        <is>
          <t>1</t>
        </is>
      </c>
      <c r="D10" s="67" t="inlineStr">
        <is>
          <t>Добыча нестабильного газового конденсата на месторождениях
ООО "Газпром добыча Ямбург", всего:</t>
        </is>
      </c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89" t="inlineStr">
        <is>
          <t>тыс.т.</t>
        </is>
      </c>
    </row>
    <row r="11" ht="19.5" customHeight="1" s="769">
      <c r="B11" s="158" t="inlineStr">
        <is>
          <t>7.2</t>
        </is>
      </c>
      <c r="C11" s="866" t="n"/>
      <c r="D11" s="787" t="inlineStr">
        <is>
          <t>Заполярное НГКМ</t>
        </is>
      </c>
      <c r="E11" s="528" t="n">
        <v>100330587</v>
      </c>
      <c r="F11" s="528" t="n"/>
      <c r="G11" s="529" t="n"/>
      <c r="H11" s="530" t="n"/>
      <c r="I11" s="530" t="n"/>
      <c r="J11" s="91" t="inlineStr">
        <is>
          <t>тыс.т.</t>
        </is>
      </c>
    </row>
    <row r="12" ht="20.1" customHeight="1" s="769">
      <c r="B12" s="158" t="inlineStr">
        <is>
          <t>7.3</t>
        </is>
      </c>
      <c r="C12" s="866" t="n"/>
      <c r="D12" s="787" t="inlineStr">
        <is>
          <t>Ямбургское НГКМ</t>
        </is>
      </c>
      <c r="E12" s="528" t="n">
        <v>100330588</v>
      </c>
      <c r="F12" s="528" t="n"/>
      <c r="G12" s="529" t="n"/>
      <c r="H12" s="530" t="n"/>
      <c r="I12" s="530" t="n"/>
      <c r="J12" s="91" t="inlineStr">
        <is>
          <t>тыс.т.</t>
        </is>
      </c>
    </row>
    <row r="13" ht="34.9" customHeight="1" s="769">
      <c r="B13" s="158" t="inlineStr">
        <is>
          <t>7.4</t>
        </is>
      </c>
      <c r="C13" s="160" t="n">
        <v>2</v>
      </c>
      <c r="D13" s="789" t="inlineStr">
        <is>
          <t>Поставка нестабильного газового конденсата в ПАО "НОВАТЭК"</t>
        </is>
      </c>
      <c r="E13" s="528" t="n">
        <v>100333319</v>
      </c>
      <c r="F13" s="528" t="n"/>
      <c r="G13" s="529" t="n"/>
      <c r="H13" s="530" t="inlineStr">
        <is>
          <t>100333320</t>
        </is>
      </c>
      <c r="I13" s="530" t="n"/>
      <c r="J13" s="91" t="inlineStr">
        <is>
          <t>тыс.т.</t>
        </is>
      </c>
    </row>
    <row r="14" ht="20.1" customHeight="1" s="769">
      <c r="B14" s="158" t="inlineStr">
        <is>
          <t>7.5</t>
        </is>
      </c>
      <c r="C14" s="160" t="n"/>
      <c r="D14" s="787" t="inlineStr">
        <is>
          <t>Ямбургское НГКМ</t>
        </is>
      </c>
      <c r="E14" s="528" t="n">
        <v>100333320</v>
      </c>
      <c r="F14" s="528" t="n"/>
      <c r="G14" s="529" t="n"/>
      <c r="H14" s="530" t="n"/>
      <c r="I14" s="530" t="n"/>
      <c r="J14" s="91" t="inlineStr">
        <is>
          <t>тыс.т.</t>
        </is>
      </c>
    </row>
    <row r="15" ht="56.25" customHeight="1" s="769">
      <c r="B15" s="158" t="n"/>
      <c r="C15" s="160" t="n">
        <v>3</v>
      </c>
      <c r="D15" s="789" t="inlineStr">
        <is>
          <t>'Поставка нестабильного газового конденсата ООО "Газпром переработка" (по договору №Z16-602323 от 15.12.2023)</t>
        </is>
      </c>
      <c r="E15" s="528" t="n">
        <v>100335967</v>
      </c>
      <c r="F15" s="528" t="n"/>
      <c r="G15" s="529" t="n"/>
      <c r="H15" s="530" t="n"/>
      <c r="I15" s="530" t="n"/>
      <c r="J15" s="91" t="inlineStr">
        <is>
          <t>тыс.т.</t>
        </is>
      </c>
    </row>
    <row r="16" ht="20.1" customHeight="1" s="769">
      <c r="B16" s="158" t="n"/>
      <c r="C16" s="160" t="n"/>
      <c r="D16" s="787" t="inlineStr">
        <is>
          <t>'Заполярное НГКМ, собственность ООО "Газпром добыча Ямбург"</t>
        </is>
      </c>
      <c r="E16" s="528" t="n">
        <v>100335968</v>
      </c>
      <c r="F16" s="528" t="n"/>
      <c r="G16" s="529" t="n"/>
      <c r="H16" s="530" t="n"/>
      <c r="I16" s="530" t="n"/>
      <c r="J16" s="91" t="inlineStr">
        <is>
          <t>тыс.т.</t>
        </is>
      </c>
    </row>
    <row r="17" ht="37.5" customHeight="1" s="769">
      <c r="B17" s="158" t="n"/>
      <c r="C17" s="160" t="n">
        <v>4</v>
      </c>
      <c r="D17" s="789" t="inlineStr">
        <is>
          <t>'Поставка деметанизированного газового конденсата ООО "ГНП "Холдинг"</t>
        </is>
      </c>
      <c r="E17" s="528" t="n">
        <v>100335969</v>
      </c>
      <c r="F17" s="528" t="n"/>
      <c r="G17" s="529" t="n"/>
      <c r="H17" s="530" t="n"/>
      <c r="I17" s="530" t="n"/>
      <c r="J17" s="91" t="inlineStr">
        <is>
          <t>тыс.т.</t>
        </is>
      </c>
    </row>
    <row r="18" ht="20.1" customHeight="1" s="769">
      <c r="B18" s="158" t="n"/>
      <c r="C18" s="160" t="n"/>
      <c r="D18" s="787" t="inlineStr">
        <is>
          <t>'Заполярное НГКМ, собственность ООО "Газпром добыча Ямбург"</t>
        </is>
      </c>
      <c r="E18" s="528" t="n">
        <v>100335970</v>
      </c>
      <c r="F18" s="528" t="n"/>
      <c r="G18" s="529" t="n"/>
      <c r="H18" s="530" t="n"/>
      <c r="I18" s="530" t="n"/>
      <c r="J18" s="91" t="inlineStr">
        <is>
          <t>тыс.т.</t>
        </is>
      </c>
    </row>
    <row r="19" ht="19.5" customHeight="1" s="769">
      <c r="B19" s="158" t="inlineStr">
        <is>
          <t>7.6</t>
        </is>
      </c>
      <c r="C19" s="160" t="n">
        <v>5</v>
      </c>
      <c r="D19" s="789" t="inlineStr">
        <is>
          <t>Поставка НГК на Уренгойский ЗПКТ, всего</t>
        </is>
      </c>
      <c r="E19" s="528" t="n">
        <v>100330893</v>
      </c>
      <c r="F19" s="528" t="n"/>
      <c r="G19" s="529" t="n"/>
      <c r="H19" s="530" t="inlineStr">
        <is>
          <t>100330894+100330895</t>
        </is>
      </c>
      <c r="I19" s="530" t="n"/>
      <c r="J19" s="91" t="inlineStr">
        <is>
          <t>тыс.т.</t>
        </is>
      </c>
    </row>
    <row r="20" ht="20.1" customHeight="1" s="769">
      <c r="B20" s="158" t="inlineStr">
        <is>
          <t>7.7</t>
        </is>
      </c>
      <c r="C20" s="866" t="n"/>
      <c r="D20" s="161" t="inlineStr">
        <is>
          <t>Заполярное НГКМ, собственность Газпром</t>
        </is>
      </c>
      <c r="E20" s="528" t="n">
        <v>100330894</v>
      </c>
      <c r="F20" s="528" t="n"/>
      <c r="G20" s="529" t="n"/>
      <c r="H20" s="530" t="n"/>
      <c r="I20" s="530" t="n"/>
      <c r="J20" s="91" t="inlineStr">
        <is>
          <t>тыс.т.</t>
        </is>
      </c>
    </row>
    <row r="21" ht="20.1" customHeight="1" s="769">
      <c r="B21" s="158" t="inlineStr">
        <is>
          <t>7.8</t>
        </is>
      </c>
      <c r="C21" s="866" t="n"/>
      <c r="D21" s="161" t="inlineStr">
        <is>
          <t>Ямбургское НГКМ, собственность Газпром</t>
        </is>
      </c>
      <c r="E21" s="528" t="n">
        <v>100330895</v>
      </c>
      <c r="F21" s="528" t="n"/>
      <c r="G21" s="529" t="n"/>
      <c r="H21" s="530" t="n"/>
      <c r="I21" s="530" t="n"/>
      <c r="J21" s="91" t="inlineStr">
        <is>
          <t>тыс.т.</t>
        </is>
      </c>
    </row>
    <row r="22" ht="21.75" customHeight="1" s="769">
      <c r="B22" s="158" t="inlineStr">
        <is>
          <t>7.9</t>
        </is>
      </c>
      <c r="C22" s="838" t="inlineStr">
        <is>
          <t>6</t>
        </is>
      </c>
      <c r="D22" s="789" t="inlineStr">
        <is>
          <t>Поставка нефти, всего:</t>
        </is>
      </c>
      <c r="E22" s="528" t="n">
        <v>100330589</v>
      </c>
      <c r="F22" s="528" t="n"/>
      <c r="G22" s="529" t="n"/>
      <c r="H22" s="530" t="inlineStr">
        <is>
          <t>100330590+100330591+100330592+100330593</t>
        </is>
      </c>
      <c r="I22" s="530" t="n"/>
      <c r="J22" s="91" t="inlineStr">
        <is>
          <t>тыс.т.</t>
        </is>
      </c>
    </row>
    <row r="23" ht="20.1" customHeight="1" s="769">
      <c r="B23" s="158" t="inlineStr">
        <is>
          <t>7.10</t>
        </is>
      </c>
      <c r="C23" s="838" t="n"/>
      <c r="D23" s="787" t="inlineStr">
        <is>
          <t>Заполярное НГКМ, собственность ПАО "Газпром"</t>
        </is>
      </c>
      <c r="E23" s="528" t="n">
        <v>100330590</v>
      </c>
      <c r="F23" s="528" t="n"/>
      <c r="G23" s="529" t="n"/>
      <c r="H23" s="530" t="n"/>
      <c r="I23" s="530" t="n"/>
      <c r="J23" s="91" t="inlineStr">
        <is>
          <t>тыс.т.</t>
        </is>
      </c>
    </row>
    <row r="24" ht="20.1" customHeight="1" s="769">
      <c r="B24" s="158" t="inlineStr">
        <is>
          <t>7.11</t>
        </is>
      </c>
      <c r="C24" s="866" t="n"/>
      <c r="D24" s="787" t="inlineStr">
        <is>
          <t>Заполярное НГКМ, собственность ООО "Газпром добыча Ямбург"</t>
        </is>
      </c>
      <c r="E24" s="528" t="n">
        <v>100330591</v>
      </c>
      <c r="F24" s="528" t="n"/>
      <c r="G24" s="529" t="n"/>
      <c r="H24" s="530" t="n"/>
      <c r="I24" s="530" t="n"/>
      <c r="J24" s="91" t="inlineStr">
        <is>
          <t>тыс.т.</t>
        </is>
      </c>
    </row>
    <row r="25" ht="20.1" customHeight="1" s="769">
      <c r="B25" s="158" t="inlineStr">
        <is>
          <t>7.12</t>
        </is>
      </c>
      <c r="C25" s="866" t="n"/>
      <c r="D25" s="787" t="inlineStr">
        <is>
          <t>Ямбургское НГКМ, собственность ПАО "Газпром"</t>
        </is>
      </c>
      <c r="E25" s="528" t="n">
        <v>100330592</v>
      </c>
      <c r="F25" s="528" t="n"/>
      <c r="G25" s="529" t="n"/>
      <c r="H25" s="530" t="n"/>
      <c r="I25" s="530" t="n"/>
      <c r="J25" s="91" t="inlineStr">
        <is>
          <t>тыс.т.</t>
        </is>
      </c>
    </row>
    <row r="26" ht="37.5" customHeight="1" s="769">
      <c r="B26" s="158" t="inlineStr">
        <is>
          <t>7.13</t>
        </is>
      </c>
      <c r="C26" s="866" t="n"/>
      <c r="D26" s="787" t="inlineStr">
        <is>
          <t>Ямбургское НГКМ, собственность ООО "Газпром добыча Ямбург" в рамках ДРОД</t>
        </is>
      </c>
      <c r="E26" s="528" t="n">
        <v>100330593</v>
      </c>
      <c r="F26" s="528" t="n"/>
      <c r="G26" s="529" t="n"/>
      <c r="H26" s="530" t="n"/>
      <c r="I26" s="530" t="n"/>
      <c r="J26" s="91" t="inlineStr">
        <is>
          <t>тыс.т.</t>
        </is>
      </c>
    </row>
    <row r="27" ht="37.5" customHeight="1" s="769">
      <c r="B27" s="158" t="inlineStr">
        <is>
          <t>7.14</t>
        </is>
      </c>
      <c r="C27" s="654" t="n">
        <v>7</v>
      </c>
      <c r="D27" s="162" t="inlineStr">
        <is>
          <t>Переработка нестабильного газового конденсата ( УПМТ -15 ЗНГКМ, УПМТ -1 ЯНГКМ), всего:</t>
        </is>
      </c>
      <c r="E27" s="528" t="n">
        <v>100330594</v>
      </c>
      <c r="F27" s="528" t="n"/>
      <c r="G27" s="529" t="n"/>
      <c r="H27" s="530" t="inlineStr">
        <is>
          <t>100330595</t>
        </is>
      </c>
      <c r="I27" s="530" t="n"/>
      <c r="J27" s="91" t="inlineStr">
        <is>
          <t>тыс.т.</t>
        </is>
      </c>
    </row>
    <row r="28" ht="20.1" customHeight="1" s="769">
      <c r="B28" s="158" t="inlineStr">
        <is>
          <t>7.15</t>
        </is>
      </c>
      <c r="C28" s="654" t="n"/>
      <c r="D28" s="70" t="inlineStr">
        <is>
          <t>Переработка НГК, собственность ООО "Газпром добыча Ямбург"</t>
        </is>
      </c>
      <c r="E28" s="528" t="n">
        <v>100330595</v>
      </c>
      <c r="F28" s="528" t="n"/>
      <c r="G28" s="529" t="n"/>
      <c r="H28" s="530" t="n"/>
      <c r="I28" s="530" t="n"/>
      <c r="J28" s="91" t="inlineStr">
        <is>
          <t>тыс.т.</t>
        </is>
      </c>
    </row>
    <row r="29" outlineLevel="1" ht="20.1" customHeight="1" s="769">
      <c r="B29" s="158" t="inlineStr">
        <is>
          <t>7.18</t>
        </is>
      </c>
      <c r="C29" s="654" t="n"/>
      <c r="D29" s="34" t="inlineStr">
        <is>
          <t>Справочно:</t>
        </is>
      </c>
      <c r="E29" s="528" t="n"/>
      <c r="F29" s="528" t="n"/>
      <c r="G29" s="529" t="n"/>
      <c r="H29" s="530" t="n"/>
      <c r="I29" s="530" t="n"/>
      <c r="J29" s="91" t="n"/>
    </row>
    <row r="30" outlineLevel="1" ht="34.15" customHeight="1" s="769">
      <c r="B30" s="158" t="inlineStr">
        <is>
          <t>7.19</t>
        </is>
      </c>
      <c r="C30" s="654" t="n">
        <v>8</v>
      </c>
      <c r="D30" s="830" t="inlineStr">
        <is>
          <t>Потери  нестабильного газового конденсата при переработке, всего:</t>
        </is>
      </c>
      <c r="E30" s="528" t="n">
        <v>100330598</v>
      </c>
      <c r="F30" s="528" t="n"/>
      <c r="G30" s="529" t="n"/>
      <c r="H30" s="530" t="n"/>
      <c r="I30" s="530" t="n"/>
      <c r="J30" s="91" t="inlineStr">
        <is>
          <t>тыс.т.</t>
        </is>
      </c>
    </row>
    <row r="31" outlineLevel="1" ht="34.15" customHeight="1" s="769">
      <c r="B31" s="158" t="n"/>
      <c r="C31" s="654" t="n"/>
      <c r="D31" s="163" t="inlineStr">
        <is>
          <t>в т.ч. при первичной переработке</t>
        </is>
      </c>
      <c r="E31" s="528" t="n">
        <v>100336115</v>
      </c>
      <c r="F31" s="528" t="n"/>
      <c r="G31" s="529" t="n"/>
      <c r="H31" s="530" t="n"/>
      <c r="I31" s="530" t="n"/>
      <c r="J31" s="91" t="inlineStr">
        <is>
          <t>тыс.т.</t>
        </is>
      </c>
    </row>
    <row r="32" ht="24" customHeight="1" s="769">
      <c r="B32" s="158" t="inlineStr">
        <is>
          <t>7.24</t>
        </is>
      </c>
      <c r="C32" s="654" t="n">
        <v>9</v>
      </c>
      <c r="D32" s="162" t="inlineStr">
        <is>
          <t>Производство продукции, всего:</t>
        </is>
      </c>
      <c r="E32" s="528" t="n">
        <v>100330049</v>
      </c>
      <c r="F32" s="528" t="n"/>
      <c r="G32" s="529" t="n"/>
      <c r="H32" s="530" t="inlineStr">
        <is>
          <t>100330605+100330609+100330611+100330623+100330601</t>
        </is>
      </c>
      <c r="I32" s="530" t="n"/>
      <c r="J32" s="91" t="inlineStr">
        <is>
          <t>тыс.т.</t>
        </is>
      </c>
    </row>
    <row r="33" ht="20.1" customHeight="1" s="769">
      <c r="B33" s="158" t="inlineStr">
        <is>
          <t>7.27</t>
        </is>
      </c>
      <c r="C33" s="800" t="inlineStr">
        <is>
          <t>9.1</t>
        </is>
      </c>
      <c r="D33" s="162" t="inlineStr">
        <is>
          <t>Стабильный конденсат, в т.ч.</t>
        </is>
      </c>
      <c r="E33" s="528" t="n">
        <v>100330601</v>
      </c>
      <c r="F33" s="528" t="n"/>
      <c r="G33" s="529" t="n"/>
      <c r="H33" s="530" t="n"/>
      <c r="I33" s="530" t="n"/>
      <c r="J33" s="91" t="inlineStr">
        <is>
          <t>тыс.т.</t>
        </is>
      </c>
    </row>
    <row r="34" ht="20.1" customHeight="1" s="769">
      <c r="B34" s="158" t="inlineStr">
        <is>
          <t>7.31</t>
        </is>
      </c>
      <c r="C34" s="654" t="n"/>
      <c r="D34" s="164" t="inlineStr">
        <is>
          <t xml:space="preserve">в т.ч. СК на собственные нужды </t>
        </is>
      </c>
      <c r="E34" s="528" t="n">
        <v>100330604</v>
      </c>
      <c r="F34" s="528" t="n"/>
      <c r="G34" s="529" t="n"/>
      <c r="H34" s="530" t="n"/>
      <c r="I34" s="530" t="n"/>
      <c r="J34" s="91" t="inlineStr">
        <is>
          <t>тыс.т.</t>
        </is>
      </c>
    </row>
    <row r="35" ht="20.1" customHeight="1" s="769">
      <c r="B35" s="158" t="inlineStr">
        <is>
          <t>7.32</t>
        </is>
      </c>
      <c r="C35" s="800" t="inlineStr">
        <is>
          <t>9.2</t>
        </is>
      </c>
      <c r="D35" s="162" t="inlineStr">
        <is>
          <t>Дизельное топливо, в т.ч.</t>
        </is>
      </c>
      <c r="E35" s="528" t="n">
        <v>100330605</v>
      </c>
      <c r="F35" s="528" t="n"/>
      <c r="G35" s="529" t="n"/>
      <c r="H35" s="530" t="n"/>
      <c r="I35" s="530" t="n"/>
      <c r="J35" s="91" t="inlineStr">
        <is>
          <t>тыс.т.</t>
        </is>
      </c>
    </row>
    <row r="36" ht="20.1" customHeight="1" s="769">
      <c r="B36" s="158" t="n"/>
      <c r="C36" s="654" t="n"/>
      <c r="D36" s="34" t="inlineStr">
        <is>
          <t>в т.ч.  на собственные нужды</t>
        </is>
      </c>
      <c r="E36" s="528" t="n">
        <v>100336116</v>
      </c>
      <c r="F36" s="528" t="n"/>
      <c r="G36" s="529" t="n"/>
      <c r="H36" s="530" t="n"/>
      <c r="I36" s="530" t="n"/>
      <c r="J36" s="91" t="inlineStr">
        <is>
          <t>тыс.т.</t>
        </is>
      </c>
    </row>
    <row r="37" ht="20.1" customHeight="1" s="769">
      <c r="B37" s="158" t="inlineStr">
        <is>
          <t>7.38</t>
        </is>
      </c>
      <c r="C37" s="800" t="inlineStr">
        <is>
          <t>9.3</t>
        </is>
      </c>
      <c r="D37" s="162" t="inlineStr">
        <is>
          <t>Фракция пропан-бутановая, в т.ч.</t>
        </is>
      </c>
      <c r="E37" s="528" t="n">
        <v>100330609</v>
      </c>
      <c r="F37" s="528" t="n"/>
      <c r="G37" s="529" t="n"/>
      <c r="H37" s="530" t="n"/>
      <c r="I37" s="530" t="n"/>
      <c r="J37" s="91" t="inlineStr">
        <is>
          <t>тыс.т.</t>
        </is>
      </c>
    </row>
    <row r="38" ht="20.1" customHeight="1" s="769">
      <c r="B38" s="158" t="inlineStr">
        <is>
          <t>7.40</t>
        </is>
      </c>
      <c r="C38" s="800" t="inlineStr">
        <is>
          <t>9.4</t>
        </is>
      </c>
      <c r="D38" s="789" t="inlineStr">
        <is>
          <t>Газы деэтанизации и стабилизации, всего:</t>
        </is>
      </c>
      <c r="E38" s="528" t="n">
        <v>100330611</v>
      </c>
      <c r="F38" s="528" t="n"/>
      <c r="G38" s="529" t="n"/>
      <c r="H38" s="530" t="n"/>
      <c r="I38" s="530" t="n"/>
      <c r="J38" s="91" t="inlineStr">
        <is>
          <t>тыс.т.</t>
        </is>
      </c>
    </row>
    <row r="39" ht="20.1" customHeight="1" s="769">
      <c r="B39" s="158" t="inlineStr">
        <is>
          <t>7.41</t>
        </is>
      </c>
      <c r="C39" s="766" t="n"/>
      <c r="D39" s="766" t="n"/>
      <c r="E39" s="528" t="n">
        <v>100330612</v>
      </c>
      <c r="F39" s="528" t="n"/>
      <c r="G39" s="529" t="n"/>
      <c r="H39" s="530" t="n"/>
      <c r="I39" s="530" t="n"/>
      <c r="J39" s="939" t="inlineStr">
        <is>
          <t>млн куб.м</t>
        </is>
      </c>
    </row>
    <row r="40" ht="20.1" customHeight="1" s="769">
      <c r="B40" s="158" t="inlineStr">
        <is>
          <t>7.47</t>
        </is>
      </c>
      <c r="C40" s="800" t="n"/>
      <c r="D40" s="830" t="inlineStr">
        <is>
          <t>газы деэтанизации и стабилизации на собственные нужды, в т.ч:</t>
        </is>
      </c>
      <c r="E40" s="528" t="n">
        <v>100330617</v>
      </c>
      <c r="F40" s="528" t="n"/>
      <c r="G40" s="529" t="n"/>
      <c r="H40" s="530" t="n"/>
      <c r="I40" s="530" t="n"/>
      <c r="J40" s="91" t="inlineStr">
        <is>
          <t>тыс.т.</t>
        </is>
      </c>
    </row>
    <row r="41" ht="20.1" customHeight="1" s="769">
      <c r="B41" s="158" t="inlineStr">
        <is>
          <t>7.48</t>
        </is>
      </c>
      <c r="C41" s="766" t="n"/>
      <c r="D41" s="766" t="n"/>
      <c r="E41" s="528" t="n">
        <v>100330618</v>
      </c>
      <c r="F41" s="528" t="n"/>
      <c r="G41" s="529" t="n"/>
      <c r="H41" s="530" t="n"/>
      <c r="I41" s="530" t="n"/>
      <c r="J41" s="939" t="inlineStr">
        <is>
          <t>млн куб.м</t>
        </is>
      </c>
    </row>
    <row r="42" ht="20.1" customHeight="1" s="769">
      <c r="B42" s="158" t="inlineStr">
        <is>
          <t>7.53</t>
        </is>
      </c>
      <c r="C42" s="838" t="inlineStr">
        <is>
          <t>9.5</t>
        </is>
      </c>
      <c r="D42" s="162" t="inlineStr">
        <is>
          <t>Возврат в нестабильный конденсат, в т.ч.</t>
        </is>
      </c>
      <c r="E42" s="528" t="n">
        <v>100330623</v>
      </c>
      <c r="F42" s="528" t="n"/>
      <c r="G42" s="529" t="n"/>
      <c r="H42" s="530" t="n"/>
      <c r="I42" s="530" t="n"/>
      <c r="J42" s="91" t="inlineStr">
        <is>
          <t>тыс.т.</t>
        </is>
      </c>
    </row>
    <row r="43" ht="20.1" customHeight="1" s="769">
      <c r="B43" s="158" t="inlineStr">
        <is>
          <t>7.58</t>
        </is>
      </c>
      <c r="C43" s="838" t="n"/>
      <c r="D43" s="165" t="inlineStr">
        <is>
          <t>Справочно:</t>
        </is>
      </c>
      <c r="E43" s="528" t="n"/>
      <c r="F43" s="528" t="n"/>
      <c r="G43" s="529" t="n"/>
      <c r="H43" s="530" t="n"/>
      <c r="I43" s="530" t="n"/>
      <c r="J43" s="91" t="n"/>
    </row>
    <row r="44" ht="20.1" customHeight="1" s="769">
      <c r="B44" s="158" t="inlineStr">
        <is>
          <t>7.59</t>
        </is>
      </c>
      <c r="C44" s="800" t="n"/>
      <c r="D44" s="35" t="inlineStr">
        <is>
          <t>СК валовый, в т.ч.</t>
        </is>
      </c>
      <c r="E44" s="528" t="n">
        <v>100330626</v>
      </c>
      <c r="F44" s="528" t="n"/>
      <c r="G44" s="529" t="n"/>
      <c r="H44" s="530" t="n"/>
      <c r="I44" s="530" t="n"/>
      <c r="J44" s="91" t="inlineStr">
        <is>
          <t>тыс.т.</t>
        </is>
      </c>
    </row>
    <row r="45" ht="19.5" customHeight="1" s="769">
      <c r="B45" s="158" t="inlineStr">
        <is>
          <t>7.62</t>
        </is>
      </c>
      <c r="C45" s="800" t="n"/>
      <c r="D45" s="35" t="inlineStr">
        <is>
          <t>СК первичная переработка, в т.ч.</t>
        </is>
      </c>
      <c r="E45" s="528" t="n">
        <v>100330629</v>
      </c>
      <c r="F45" s="528" t="n"/>
      <c r="G45" s="529" t="n"/>
      <c r="H45" s="530" t="n"/>
      <c r="I45" s="530" t="n"/>
      <c r="J45" s="91" t="inlineStr">
        <is>
          <t>тыс.т.</t>
        </is>
      </c>
    </row>
    <row r="46" outlineLevel="1" ht="48.6" customHeight="1" s="769">
      <c r="B46" s="158" t="inlineStr">
        <is>
          <t>7.65</t>
        </is>
      </c>
      <c r="C46" s="834" t="inlineStr">
        <is>
          <t>10</t>
        </is>
      </c>
      <c r="D46" s="34" t="inlineStr">
        <is>
          <t>Продукция принятая в производство со склада (ссылка в примечании на акт )</t>
        </is>
      </c>
      <c r="E46" s="528" t="n">
        <v>100332942</v>
      </c>
      <c r="F46" s="528" t="n"/>
      <c r="G46" s="529" t="n"/>
      <c r="H46" s="530" t="n"/>
      <c r="I46" s="530" t="n"/>
      <c r="J46" s="91" t="inlineStr">
        <is>
          <t>тыс.т.</t>
        </is>
      </c>
    </row>
    <row r="47" outlineLevel="1" ht="24" customHeight="1" s="769">
      <c r="B47" s="158" t="inlineStr">
        <is>
          <t>7.68</t>
        </is>
      </c>
      <c r="C47" s="834" t="inlineStr">
        <is>
          <t>11</t>
        </is>
      </c>
      <c r="D47" s="34" t="inlineStr">
        <is>
          <t xml:space="preserve">Материальный баланс переработки УВС </t>
        </is>
      </c>
      <c r="E47" s="528" t="n">
        <v>100336118</v>
      </c>
      <c r="F47" s="528" t="n"/>
      <c r="G47" s="529" t="n"/>
      <c r="H47" s="530" t="inlineStr">
        <is>
          <t>100330595+100332942-100330049-100330598</t>
        </is>
      </c>
      <c r="I47" s="530" t="n"/>
      <c r="J47" s="91" t="inlineStr">
        <is>
          <t>тыс.т.</t>
        </is>
      </c>
    </row>
    <row r="48" ht="48" customHeight="1" s="769">
      <c r="C48" s="166" t="n"/>
      <c r="D48" s="167" t="inlineStr">
        <is>
          <t xml:space="preserve">Материальный баланс переработки УВС </t>
        </is>
      </c>
      <c r="E48" s="528" t="n">
        <v>100336117</v>
      </c>
      <c r="F48" s="528" t="n"/>
      <c r="G48" s="529" t="n"/>
      <c r="H48" s="530" t="inlineStr">
        <is>
          <t>100330586-100333319-100335967-100335969-100330594-100330893+100330623</t>
        </is>
      </c>
      <c r="I48" s="530" t="n"/>
      <c r="J48" s="278" t="inlineStr">
        <is>
          <t>тыс.т.</t>
        </is>
      </c>
    </row>
    <row r="53">
      <c r="C53" s="84" t="n"/>
      <c r="D53" s="832" t="inlineStr">
        <is>
          <t>* - Обеспечение своевременного внесения изменений в перечень номенклатуры сырья и продукции входит в компетенцию дочернего общества.</t>
        </is>
      </c>
    </row>
    <row r="54">
      <c r="C54" s="39" t="n"/>
    </row>
    <row r="55" customFormat="1" s="168">
      <c r="C55" s="157" t="n"/>
      <c r="D55" s="832" t="inlineStr">
        <is>
          <t>на У15 из валового СК вырабатывается вся продукция, кроме стабильного конд, т.к. на него нет спроса.</t>
        </is>
      </c>
      <c r="E55" s="832" t="n"/>
      <c r="F55" s="832" t="n"/>
      <c r="G55" s="832" t="n"/>
      <c r="H55" s="832" t="n"/>
      <c r="I55" s="832" t="n"/>
      <c r="J55" s="796" t="n"/>
    </row>
    <row r="56" customFormat="1" s="168">
      <c r="C56" s="157" t="n"/>
      <c r="D56" s="832" t="inlineStr">
        <is>
          <t>ДТ соответствует 3 классу, используется на СТН в автопарке УТТиСТ, небольшой обём реализуется подрядчикам</t>
        </is>
      </c>
      <c r="E56" s="832" t="n"/>
      <c r="F56" s="832" t="n"/>
      <c r="G56" s="832" t="n"/>
      <c r="H56" s="832" t="n"/>
      <c r="I56" s="832" t="n"/>
      <c r="J56" s="169" t="n"/>
    </row>
    <row r="57" customFormat="1" s="168">
      <c r="C57" s="157" t="n"/>
      <c r="D57" s="832" t="inlineStr">
        <is>
          <t>Остаточный компонент на У15 тяжёлый остаток идёт на переработку и направляется на СурЗСК, на У1 остаток делится на 1)шфлу (после колонны стаб конденсата) и 2)остаточный компонент направляется на СурЗСК (после разгонной колонны)</t>
        </is>
      </c>
      <c r="E57" s="832" t="n"/>
      <c r="F57" s="832" t="n"/>
      <c r="G57" s="832" t="n"/>
      <c r="H57" s="832" t="n"/>
      <c r="I57" s="832" t="n"/>
      <c r="J57" s="46" t="n"/>
    </row>
    <row r="58">
      <c r="C58" s="950" t="n"/>
      <c r="D58" s="170" t="inlineStr">
        <is>
          <t>газы деэтанизации и стаб с У15 идёт в магистраль, с У1 весь используется на СТН (печи)</t>
        </is>
      </c>
      <c r="E58" s="170" t="n"/>
      <c r="F58" s="170" t="n"/>
      <c r="G58" s="170" t="n"/>
      <c r="H58" s="170" t="n"/>
      <c r="I58" s="170" t="n"/>
      <c r="J58" s="19" t="n"/>
    </row>
    <row r="59">
      <c r="C59" s="950" t="n"/>
      <c r="D59" s="854" t="inlineStr">
        <is>
          <t>стаб конд. на СТН ?</t>
        </is>
      </c>
    </row>
    <row r="60">
      <c r="D60" s="832" t="inlineStr">
        <is>
          <t>Пропан -бутан из чего</t>
        </is>
      </c>
    </row>
    <row r="64">
      <c r="D64" s="171" t="n"/>
      <c r="E64" s="171" t="n"/>
      <c r="F64" s="171" t="n"/>
      <c r="G64" s="171" t="n"/>
      <c r="H64" s="171" t="n"/>
      <c r="I64" s="171" t="n"/>
    </row>
    <row r="65">
      <c r="D65" s="172" t="n"/>
      <c r="E65" s="172" t="n"/>
      <c r="F65" s="172" t="n"/>
      <c r="G65" s="172" t="n"/>
      <c r="H65" s="172" t="n"/>
      <c r="I65" s="172" t="n"/>
    </row>
    <row r="66" ht="19.5" customHeight="1" s="769">
      <c r="D66" s="173" t="n"/>
      <c r="E66" s="173" t="n"/>
      <c r="F66" s="173" t="n"/>
      <c r="G66" s="173" t="n"/>
      <c r="H66" s="173" t="n"/>
      <c r="I66" s="173" t="n"/>
    </row>
    <row r="67">
      <c r="D67" s="852" t="n"/>
      <c r="E67" s="852" t="n"/>
      <c r="F67" s="852" t="n"/>
      <c r="G67" s="852" t="n"/>
      <c r="H67" s="852" t="n"/>
      <c r="I67" s="852" t="n"/>
    </row>
    <row r="68">
      <c r="D68" s="174" t="n"/>
      <c r="E68" s="174" t="n"/>
      <c r="F68" s="174" t="n"/>
      <c r="G68" s="174" t="n"/>
      <c r="H68" s="174" t="n"/>
      <c r="I68" s="174" t="n"/>
    </row>
    <row r="69">
      <c r="D69" s="171" t="n"/>
      <c r="E69" s="171" t="n"/>
      <c r="F69" s="171" t="n"/>
      <c r="G69" s="171" t="n"/>
      <c r="H69" s="171" t="n"/>
      <c r="I69" s="171" t="n"/>
    </row>
    <row r="70">
      <c r="D70" s="171" t="n"/>
      <c r="E70" s="171" t="n"/>
      <c r="F70" s="171" t="n"/>
      <c r="G70" s="171" t="n"/>
      <c r="H70" s="171" t="n"/>
      <c r="I70" s="171" t="n"/>
    </row>
    <row r="71">
      <c r="D71" s="175" t="n"/>
      <c r="E71" s="175" t="n"/>
      <c r="F71" s="175" t="n"/>
      <c r="G71" s="175" t="n"/>
      <c r="H71" s="175" t="n"/>
      <c r="I71" s="175" t="n"/>
    </row>
    <row r="72">
      <c r="D72" s="171" t="n"/>
      <c r="E72" s="171" t="n"/>
      <c r="F72" s="171" t="n"/>
      <c r="G72" s="171" t="n"/>
      <c r="H72" s="171" t="n"/>
      <c r="I72" s="171" t="n"/>
    </row>
    <row r="73" ht="19.5" customHeight="1" s="769">
      <c r="D73" s="173" t="n"/>
      <c r="E73" s="173" t="n"/>
      <c r="F73" s="173" t="n"/>
      <c r="G73" s="173" t="n"/>
      <c r="H73" s="173" t="n"/>
      <c r="I73" s="173" t="n"/>
    </row>
    <row r="74">
      <c r="D74" s="171" t="n"/>
      <c r="E74" s="171" t="n"/>
      <c r="F74" s="171" t="n"/>
      <c r="G74" s="171" t="n"/>
      <c r="H74" s="171" t="n"/>
      <c r="I74" s="171" t="n"/>
    </row>
    <row r="75">
      <c r="D75" s="853" t="n"/>
      <c r="E75" s="853" t="n"/>
      <c r="F75" s="853" t="n"/>
      <c r="G75" s="853" t="n"/>
      <c r="H75" s="853" t="n"/>
      <c r="I75" s="853" t="n"/>
    </row>
    <row r="76">
      <c r="E76" s="853" t="n"/>
      <c r="F76" s="853" t="n"/>
      <c r="G76" s="853" t="n"/>
      <c r="H76" s="853" t="n"/>
      <c r="I76" s="853" t="n"/>
    </row>
    <row r="77">
      <c r="D77" s="852" t="n"/>
      <c r="E77" s="852" t="n"/>
      <c r="F77" s="852" t="n"/>
      <c r="G77" s="852" t="n"/>
      <c r="H77" s="852" t="n"/>
      <c r="I77" s="852" t="n"/>
    </row>
    <row r="78">
      <c r="E78" s="852" t="n"/>
      <c r="F78" s="852" t="n"/>
      <c r="G78" s="852" t="n"/>
      <c r="H78" s="852" t="n"/>
      <c r="I78" s="852" t="n"/>
    </row>
    <row r="79">
      <c r="D79" s="171" t="n"/>
      <c r="E79" s="171" t="n"/>
      <c r="F79" s="171" t="n"/>
      <c r="G79" s="171" t="n"/>
      <c r="H79" s="171" t="n"/>
      <c r="I79" s="171" t="n"/>
    </row>
    <row r="80">
      <c r="D80" s="176" t="n"/>
      <c r="E80" s="176" t="n"/>
      <c r="F80" s="176" t="n"/>
      <c r="G80" s="176" t="n"/>
      <c r="H80" s="176" t="n"/>
      <c r="I80" s="176" t="n"/>
    </row>
    <row r="81">
      <c r="D81" s="177" t="n"/>
      <c r="E81" s="177" t="n"/>
      <c r="F81" s="177" t="n"/>
      <c r="G81" s="177" t="n"/>
      <c r="H81" s="177" t="n"/>
      <c r="I81" s="177" t="n"/>
    </row>
    <row r="82">
      <c r="D82" s="177" t="n"/>
      <c r="E82" s="177" t="n"/>
      <c r="F82" s="177" t="n"/>
      <c r="G82" s="177" t="n"/>
      <c r="H82" s="177" t="n"/>
      <c r="I82" s="177" t="n"/>
    </row>
    <row r="83" ht="19.5" customHeight="1" s="769">
      <c r="D83" s="173" t="n"/>
      <c r="E83" s="173" t="n"/>
      <c r="F83" s="173" t="n"/>
      <c r="G83" s="173" t="n"/>
      <c r="H83" s="173" t="n"/>
      <c r="I83" s="173" t="n"/>
    </row>
    <row r="84" ht="19.5" customHeight="1" s="769">
      <c r="D84" s="173" t="n"/>
      <c r="E84" s="173" t="n"/>
      <c r="F84" s="173" t="n"/>
      <c r="G84" s="173" t="n"/>
      <c r="H84" s="173" t="n"/>
      <c r="I84" s="173" t="n"/>
    </row>
    <row r="85" ht="19.5" customHeight="1" s="769">
      <c r="D85" s="173" t="n"/>
      <c r="E85" s="173" t="n"/>
      <c r="F85" s="173" t="n"/>
      <c r="G85" s="173" t="n"/>
      <c r="H85" s="173" t="n"/>
      <c r="I85" s="173" t="n"/>
    </row>
  </sheetData>
  <mergeCells count="18">
    <mergeCell ref="D38:D39"/>
    <mergeCell ref="F7:F8"/>
    <mergeCell ref="D40:D41"/>
    <mergeCell ref="G7:G8"/>
    <mergeCell ref="D77:D78"/>
    <mergeCell ref="I7:I8"/>
    <mergeCell ref="D75:D76"/>
    <mergeCell ref="C40:C41"/>
    <mergeCell ref="D6:D8"/>
    <mergeCell ref="E6:I6"/>
    <mergeCell ref="J6:J8"/>
    <mergeCell ref="E7:E8"/>
    <mergeCell ref="C38:C39"/>
    <mergeCell ref="B6:B8"/>
    <mergeCell ref="C3:J3"/>
    <mergeCell ref="D59:J59"/>
    <mergeCell ref="H7:H8"/>
    <mergeCell ref="C6:C8"/>
  </mergeCells>
  <conditionalFormatting sqref="O10:O48 P10:P48 U10:U48 V10:V48 AA10:AA48 AB10:AB48 AG10:AG48 AH10:AH48 AM10:AM48 AN10:AN48 AS10:AS48 AT10:AT48 AY10:AY48 AZ10:AZ48 BE10:BE48 BF10:BF48 BK10:BK48 BL10:BL48 BQ10:BQ48 BR10:BR48 BW10:BW48 BX10:BX48 CC10:CC48 CD10:CD48 CI10:CI48 CJ10:CJ48 CO10:CO48 CP10:CP48 CU10:CU48 CV10:CV48 DA10:DA48 DB10:DB48 DG10:DG48 DH10:DH48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48 N10:N48 R10:R48 T10:T48 X10:X48 Z10:Z48 AD10:AD48 AF10:AF48 AJ10:AJ48 AL10:AL48 AP10:AP48 AR10:AR48 AV10:AV48 AX10:AX48 BB10:BB48 BD10:BD48 BH10:BH48 BJ10:BJ48 BN10:BN48 BP10:BP48 BT10:BT48 BV10:BV48 BZ10:BZ48 CB10:CB48 CF10:CF48 CH10:CH48 CL10:CL48 CN10:CN48 CR10:CR48 CT10:CT48 CX10:CX48 CZ10:CZ48 DD10:DD48 DF10:DF48">
    <cfRule type="cellIs" priority="4" operator="equal" dxfId="0">
      <formula>0</formula>
    </cfRule>
  </conditionalFormatting>
  <pageMargins left="0.7" right="0.7" top="0.75" bottom="0.75" header="0.3" footer="0.3"/>
  <pageSetup orientation="portrait" paperSize="9" scale="61" fitToWidth="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codeName="Лист12">
    <tabColor theme="8" tint="0.5999938962981048"/>
    <outlinePr summaryBelow="1" summaryRight="1"/>
    <pageSetUpPr fitToPage="1"/>
  </sheetPr>
  <dimension ref="A3:J89"/>
  <sheetViews>
    <sheetView topLeftCell="C1" zoomScale="60" zoomScaleNormal="60" zoomScaleSheetLayoutView="55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9.140625" defaultRowHeight="19.5" outlineLevelRow="1"/>
  <cols>
    <col width="7.42578125" customWidth="1" style="178" min="1" max="1"/>
    <col hidden="1" outlineLevel="1" width="13.5703125" customWidth="1" style="839" min="2" max="2"/>
    <col collapsed="1" width="12.85546875" customWidth="1" style="368" min="3" max="3"/>
    <col width="81.42578125" customWidth="1" style="795" min="4" max="4"/>
    <col outlineLevel="1" width="22.140625" customWidth="1" style="795" min="5" max="9"/>
    <col width="19.42578125" customWidth="1" style="796" min="10" max="10"/>
    <col width="8.43" customWidth="1" style="769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</cols>
  <sheetData>
    <row r="3" ht="20.25" customHeight="1" s="769">
      <c r="C3" s="860" t="inlineStr">
        <is>
          <t>Прогнозные показатели по поставке ООО "Газпром добыча Уренгой"</t>
        </is>
      </c>
    </row>
    <row r="4" ht="19.5" customHeight="1" s="769"/>
    <row r="5" ht="19.5" customHeight="1" s="769">
      <c r="B5" s="181" t="n"/>
      <c r="C5" s="363" t="inlineStr">
        <is>
          <t>8. ООО "Газпром добыча Уренгой"</t>
        </is>
      </c>
      <c r="J5" s="950" t="n"/>
    </row>
    <row r="6" ht="20.1" customHeight="1" s="769">
      <c r="B6" s="792" t="inlineStr">
        <is>
          <t>Код строки</t>
        </is>
      </c>
      <c r="C6" s="837" t="inlineStr">
        <is>
          <t>№ 
п/п</t>
        </is>
      </c>
      <c r="D6" s="790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 изм.</t>
        </is>
      </c>
    </row>
    <row r="7" ht="39.95" customHeight="1" s="769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C8" s="751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863" t="n"/>
      <c r="D9" s="861" t="n"/>
      <c r="E9" s="869" t="n"/>
      <c r="F9" s="869" t="n"/>
      <c r="G9" s="869" t="n"/>
      <c r="H9" s="869" t="n"/>
      <c r="I9" s="869" t="n"/>
      <c r="J9" s="387" t="n"/>
    </row>
    <row r="10" ht="38.25" customHeight="1" s="769">
      <c r="B10" s="792" t="n"/>
      <c r="C10" s="364" t="n">
        <v>1</v>
      </c>
      <c r="D10" s="182" t="inlineStr">
        <is>
          <t>Поставка нестабильного газового конденсата, всего:</t>
        </is>
      </c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183" t="inlineStr">
        <is>
          <t>тыс.т.</t>
        </is>
      </c>
    </row>
    <row r="11" ht="38.25" customHeight="1" s="769">
      <c r="B11" s="112" t="inlineStr">
        <is>
          <t>8.1</t>
        </is>
      </c>
      <c r="C11" s="834" t="inlineStr">
        <is>
          <t>1.1</t>
        </is>
      </c>
      <c r="D11" s="789" t="inlineStr">
        <is>
          <t>Поставка нестабильного газового конденсата 
в адрес ООО "Газпром переработка"</t>
        </is>
      </c>
      <c r="E11" s="528" t="inlineStr">
        <is>
          <t>100333680</t>
        </is>
      </c>
      <c r="F11" s="528" t="n"/>
      <c r="G11" s="529" t="n"/>
      <c r="H11" s="530" t="n"/>
      <c r="I11" s="530" t="n"/>
      <c r="J11" s="395" t="inlineStr">
        <is>
          <t>тыс.т.</t>
        </is>
      </c>
    </row>
    <row r="12" ht="38.25" customHeight="1" s="769">
      <c r="B12" s="112" t="n"/>
      <c r="C12" s="834" t="inlineStr">
        <is>
          <t>1.2</t>
        </is>
      </c>
      <c r="D12" s="789" t="inlineStr">
        <is>
          <t>Поставка НК и ШФЛУ в ПАО "Газпром"</t>
        </is>
      </c>
      <c r="E12" s="528" t="inlineStr">
        <is>
          <t>100335944</t>
        </is>
      </c>
      <c r="F12" s="528" t="n"/>
      <c r="G12" s="529" t="n"/>
      <c r="H12" s="530" t="inlineStr">
        <is>
          <t>100330943+100335945</t>
        </is>
      </c>
      <c r="I12" s="530" t="n"/>
      <c r="J12" s="395" t="inlineStr">
        <is>
          <t>тыс.т.</t>
        </is>
      </c>
    </row>
    <row r="13" ht="38.25" customHeight="1" s="769">
      <c r="B13" s="184" t="inlineStr">
        <is>
          <t>8.2</t>
        </is>
      </c>
      <c r="C13" s="834" t="inlineStr">
        <is>
          <t>1.2.1</t>
        </is>
      </c>
      <c r="D13" s="162" t="inlineStr">
        <is>
          <t>Поставка нестабильного газового конденсата 
в адрес ПАО "Газпром"</t>
        </is>
      </c>
      <c r="E13" s="528" t="inlineStr">
        <is>
          <t>100330943</t>
        </is>
      </c>
      <c r="F13" s="528" t="n"/>
      <c r="G13" s="529" t="n"/>
      <c r="H13" s="530" t="inlineStr">
        <is>
          <t>100330637+100335598+100330638+100335599+100330639+100330640+100333692+100335471+100335602+100337099</t>
        </is>
      </c>
      <c r="I13" s="530" t="n"/>
      <c r="J13" s="395" t="inlineStr">
        <is>
          <t>тыс.т.</t>
        </is>
      </c>
    </row>
    <row r="14" ht="17.25" customHeight="1" s="769">
      <c r="A14" s="185" t="inlineStr">
        <is>
          <t>!</t>
        </is>
      </c>
      <c r="B14" s="186" t="inlineStr">
        <is>
          <t>8.3</t>
        </is>
      </c>
      <c r="C14" s="800" t="n"/>
      <c r="D14" s="187" t="inlineStr">
        <is>
          <t>Уренгойское НГКМ</t>
        </is>
      </c>
      <c r="E14" s="528" t="inlineStr">
        <is>
          <t>100330637</t>
        </is>
      </c>
      <c r="F14" s="528" t="n"/>
      <c r="G14" s="529" t="n"/>
      <c r="H14" s="530" t="n"/>
      <c r="I14" s="530" t="n"/>
      <c r="J14" s="869" t="inlineStr">
        <is>
          <t>тыс.т.</t>
        </is>
      </c>
    </row>
    <row r="15" ht="17.25" customHeight="1" s="769">
      <c r="A15" s="185" t="n"/>
      <c r="B15" s="186" t="n"/>
      <c r="C15" s="800" t="n"/>
      <c r="D15" s="369" t="inlineStr">
        <is>
          <t>С5+ от подготовки газа деэтанизации</t>
        </is>
      </c>
      <c r="E15" s="528" t="inlineStr">
        <is>
          <t>100337099</t>
        </is>
      </c>
      <c r="F15" s="528" t="n"/>
      <c r="G15" s="529" t="n"/>
      <c r="H15" s="530" t="n"/>
      <c r="I15" s="530" t="n"/>
      <c r="J15" s="370" t="inlineStr">
        <is>
          <t>тыс.т.</t>
        </is>
      </c>
    </row>
    <row r="16" ht="17.25" customHeight="1" s="769">
      <c r="B16" s="112" t="n"/>
      <c r="C16" s="800" t="n"/>
      <c r="D16" s="187" t="inlineStr">
        <is>
          <t>Уренгойское НГКМ (Фаза 3)</t>
        </is>
      </c>
      <c r="E16" s="528" t="inlineStr">
        <is>
          <t>100335598</t>
        </is>
      </c>
      <c r="F16" s="528" t="n"/>
      <c r="G16" s="529" t="n"/>
      <c r="H16" s="530" t="n"/>
      <c r="I16" s="530" t="n"/>
      <c r="J16" s="869" t="inlineStr">
        <is>
          <t>тыс.т.</t>
        </is>
      </c>
    </row>
    <row r="17" ht="17.25" customHeight="1" s="769">
      <c r="B17" s="184" t="inlineStr">
        <is>
          <t>8.4</t>
        </is>
      </c>
      <c r="C17" s="365" t="n"/>
      <c r="D17" s="187" t="inlineStr">
        <is>
          <t>Ен-Яхинское НГКМ</t>
        </is>
      </c>
      <c r="E17" s="528" t="inlineStr">
        <is>
          <t>100330638</t>
        </is>
      </c>
      <c r="F17" s="528" t="n"/>
      <c r="G17" s="529" t="n"/>
      <c r="H17" s="530" t="n"/>
      <c r="I17" s="530" t="n"/>
      <c r="J17" s="869" t="inlineStr">
        <is>
          <t>тыс.т.</t>
        </is>
      </c>
    </row>
    <row r="18" ht="17.25" customHeight="1" s="769">
      <c r="B18" s="184" t="n"/>
      <c r="C18" s="365" t="n"/>
      <c r="D18" s="801" t="inlineStr">
        <is>
          <t>Ен-Яхинское НГКМ БУ-12  (включая ШФЛУ)</t>
        </is>
      </c>
      <c r="E18" s="528" t="inlineStr">
        <is>
          <t>100335599</t>
        </is>
      </c>
      <c r="F18" s="528" t="n"/>
      <c r="G18" s="529" t="n"/>
      <c r="H18" s="530" t="n"/>
      <c r="I18" s="530" t="n"/>
      <c r="J18" s="869" t="inlineStr">
        <is>
          <t>тыс.т.</t>
        </is>
      </c>
    </row>
    <row r="19" ht="17.25" customHeight="1" s="769">
      <c r="B19" s="112" t="inlineStr">
        <is>
          <t>8.5</t>
        </is>
      </c>
      <c r="C19" s="365" t="n"/>
      <c r="D19" s="187" t="inlineStr">
        <is>
          <t>Уренгойское НГКМ ачим. 1 уч.</t>
        </is>
      </c>
      <c r="E19" s="528" t="inlineStr">
        <is>
          <t>100330639</t>
        </is>
      </c>
      <c r="F19" s="528" t="n"/>
      <c r="G19" s="529" t="n"/>
      <c r="H19" s="530" t="n"/>
      <c r="I19" s="530" t="n"/>
      <c r="J19" s="869" t="inlineStr">
        <is>
          <t>тыс.т.</t>
        </is>
      </c>
    </row>
    <row r="20" ht="17.25" customHeight="1" s="769">
      <c r="B20" s="184" t="inlineStr">
        <is>
          <t>8.6</t>
        </is>
      </c>
      <c r="C20" s="365" t="n"/>
      <c r="D20" s="188" t="inlineStr">
        <is>
          <t xml:space="preserve">в т.ч на УСК НПТР  </t>
        </is>
      </c>
      <c r="E20" s="528" t="inlineStr">
        <is>
          <t>100335373</t>
        </is>
      </c>
      <c r="F20" s="528" t="n"/>
      <c r="G20" s="529" t="n"/>
      <c r="H20" s="530" t="n"/>
      <c r="I20" s="530" t="n"/>
      <c r="J20" s="796" t="inlineStr">
        <is>
          <t>тыс.т.</t>
        </is>
      </c>
    </row>
    <row r="21" ht="17.25" customHeight="1" s="769">
      <c r="B21" s="112" t="inlineStr">
        <is>
          <t>8.7</t>
        </is>
      </c>
      <c r="C21" s="365" t="n"/>
      <c r="D21" s="187" t="inlineStr">
        <is>
          <t>Уренгойское НГКМ ачим. 2 уч.</t>
        </is>
      </c>
      <c r="E21" s="528" t="inlineStr">
        <is>
          <t>100330640</t>
        </is>
      </c>
      <c r="F21" s="528" t="n"/>
      <c r="G21" s="529" t="n"/>
      <c r="H21" s="530" t="n"/>
      <c r="I21" s="530" t="n"/>
      <c r="J21" s="796" t="inlineStr">
        <is>
          <t>тыс.т.</t>
        </is>
      </c>
    </row>
    <row r="22" ht="17.25" customHeight="1" s="769">
      <c r="A22" s="178" t="inlineStr">
        <is>
          <t>!</t>
        </is>
      </c>
      <c r="B22" s="184" t="inlineStr">
        <is>
          <t>8.8</t>
        </is>
      </c>
      <c r="C22" s="365" t="n"/>
      <c r="D22" s="801" t="inlineStr">
        <is>
          <t xml:space="preserve">Уренгойское НГКМ ачим. 3 уч. </t>
        </is>
      </c>
      <c r="E22" s="528" t="inlineStr">
        <is>
          <t>100333692</t>
        </is>
      </c>
      <c r="F22" s="528" t="n"/>
      <c r="G22" s="529" t="n"/>
      <c r="H22" s="530" t="inlineStr">
        <is>
          <t>100335601</t>
        </is>
      </c>
      <c r="I22" s="530" t="n"/>
      <c r="J22" s="796" t="inlineStr">
        <is>
          <t>тыс.т.</t>
        </is>
      </c>
    </row>
    <row r="23" ht="17.25" customHeight="1" s="769">
      <c r="B23" s="184" t="n"/>
      <c r="C23" s="365" t="n"/>
      <c r="D23" s="189" t="inlineStr">
        <is>
          <t>НК (на УЗПКТ-СЗСК)</t>
        </is>
      </c>
      <c r="E23" s="528" t="inlineStr">
        <is>
          <t>100335601</t>
        </is>
      </c>
      <c r="F23" s="528" t="n"/>
      <c r="G23" s="529" t="n"/>
      <c r="H23" s="530" t="n"/>
      <c r="I23" s="530" t="n"/>
      <c r="J23" s="796" t="inlineStr">
        <is>
          <t>тыс.т.</t>
        </is>
      </c>
    </row>
    <row r="24" ht="17.25" customHeight="1" s="769">
      <c r="B24" s="184" t="n"/>
      <c r="C24" s="365" t="n"/>
      <c r="D24" s="801" t="inlineStr">
        <is>
          <t>Песцовое НГКМ  (валанжин) (включая ШФЛУ)</t>
        </is>
      </c>
      <c r="E24" s="528" t="inlineStr">
        <is>
          <t>100335471</t>
        </is>
      </c>
      <c r="F24" s="528" t="n"/>
      <c r="G24" s="529" t="n"/>
      <c r="H24" s="530" t="n"/>
      <c r="I24" s="530" t="n"/>
      <c r="J24" s="796" t="inlineStr">
        <is>
          <t>тыс.т.</t>
        </is>
      </c>
    </row>
    <row r="25" ht="17.25" customHeight="1" s="769">
      <c r="B25" s="184" t="n"/>
      <c r="C25" s="365" t="n"/>
      <c r="D25" s="801" t="inlineStr">
        <is>
          <t>Песцовое НГКМ ачим  (включая ШФЛУ)</t>
        </is>
      </c>
      <c r="E25" s="528" t="inlineStr">
        <is>
          <t>100335602</t>
        </is>
      </c>
      <c r="F25" s="528" t="n"/>
      <c r="G25" s="529" t="n"/>
      <c r="H25" s="530" t="n"/>
      <c r="I25" s="530" t="n"/>
      <c r="J25" s="796" t="inlineStr">
        <is>
          <t>тыс.т.</t>
        </is>
      </c>
    </row>
    <row r="26" ht="20.1" customHeight="1" s="769">
      <c r="B26" s="184" t="n"/>
      <c r="C26" s="834" t="inlineStr">
        <is>
          <t>1.2.2</t>
        </is>
      </c>
      <c r="D26" s="788" t="inlineStr">
        <is>
          <t>Поставка продуктов перерарботки для ПАО "Газпром"</t>
        </is>
      </c>
      <c r="E26" s="528" t="inlineStr">
        <is>
          <t>100335945</t>
        </is>
      </c>
      <c r="F26" s="528" t="n"/>
      <c r="G26" s="529" t="n"/>
      <c r="H26" s="530" t="inlineStr">
        <is>
          <t>100335600</t>
        </is>
      </c>
      <c r="I26" s="530" t="n"/>
      <c r="J26" s="796" t="inlineStr">
        <is>
          <t>тыс.т.</t>
        </is>
      </c>
    </row>
    <row r="27" ht="19.5" customHeight="1" s="769">
      <c r="B27" s="184" t="n"/>
      <c r="C27" s="365" t="n"/>
      <c r="D27" s="190" t="inlineStr">
        <is>
          <t>в т.ч  ШФЛУ (с УСК ГПНЗ на УЗПКТ-СЗСК)</t>
        </is>
      </c>
      <c r="E27" s="528" t="inlineStr">
        <is>
          <t>100335600</t>
        </is>
      </c>
      <c r="F27" s="528" t="n"/>
      <c r="G27" s="529" t="n"/>
      <c r="H27" s="530" t="n"/>
      <c r="I27" s="530" t="n"/>
      <c r="J27" s="796" t="inlineStr">
        <is>
          <t>тыс.т.</t>
        </is>
      </c>
    </row>
    <row r="28" ht="38.25" customHeight="1" s="769">
      <c r="B28" s="112" t="inlineStr">
        <is>
          <t>8.13</t>
        </is>
      </c>
      <c r="C28" s="834" t="inlineStr">
        <is>
          <t>1.3</t>
        </is>
      </c>
      <c r="D28" s="788" t="inlineStr">
        <is>
          <t>Поставка нестабильного газового конденсата 
в адрес ООО "Ачим Девелопмент" - ООО "Ачим сбыт"</t>
        </is>
      </c>
      <c r="E28" s="528" t="inlineStr">
        <is>
          <t>100335052</t>
        </is>
      </c>
      <c r="F28" s="528" t="n"/>
      <c r="G28" s="529" t="n"/>
      <c r="H28" s="530" t="inlineStr">
        <is>
          <t>100330641+100330642</t>
        </is>
      </c>
      <c r="I28" s="530" t="n"/>
      <c r="J28" s="395" t="inlineStr">
        <is>
          <t>тыс.т.</t>
        </is>
      </c>
    </row>
    <row r="29" ht="20.1" customHeight="1" s="769">
      <c r="B29" s="184" t="inlineStr">
        <is>
          <t>8.14</t>
        </is>
      </c>
      <c r="C29" s="365" t="n"/>
      <c r="D29" s="845" t="inlineStr">
        <is>
          <t>Уренгойское НГКМ ачим. 4 уч.</t>
        </is>
      </c>
      <c r="E29" s="528" t="inlineStr">
        <is>
          <t>100330641</t>
        </is>
      </c>
      <c r="F29" s="528" t="n"/>
      <c r="G29" s="529" t="n"/>
      <c r="H29" s="530" t="n"/>
      <c r="I29" s="530" t="n"/>
      <c r="J29" s="796" t="inlineStr">
        <is>
          <t>тыс.т.</t>
        </is>
      </c>
    </row>
    <row r="30" ht="20.1" customHeight="1" s="769">
      <c r="B30" s="112" t="inlineStr">
        <is>
          <t>8.15</t>
        </is>
      </c>
      <c r="C30" s="365" t="n"/>
      <c r="D30" s="845" t="inlineStr">
        <is>
          <t>Уренгойское НГКМ ачим. 5 уч.</t>
        </is>
      </c>
      <c r="E30" s="528" t="inlineStr">
        <is>
          <t>100330642</t>
        </is>
      </c>
      <c r="F30" s="528" t="n"/>
      <c r="G30" s="529" t="n"/>
      <c r="H30" s="530" t="n"/>
      <c r="I30" s="530" t="n"/>
      <c r="J30" s="796" t="inlineStr">
        <is>
          <t>тыс.т.</t>
        </is>
      </c>
    </row>
    <row r="31" ht="39" customHeight="1" s="769">
      <c r="B31" s="184" t="inlineStr">
        <is>
          <t>8.16</t>
        </is>
      </c>
      <c r="C31" s="834" t="inlineStr">
        <is>
          <t>1.4</t>
        </is>
      </c>
      <c r="D31" s="788" t="inlineStr">
        <is>
          <t>Поставка нестабильного газового конденсата 
в адрес ПАО "НОВАТЭК"</t>
        </is>
      </c>
      <c r="E31" s="528" t="inlineStr">
        <is>
          <t>100333321</t>
        </is>
      </c>
      <c r="F31" s="528" t="n"/>
      <c r="G31" s="529" t="n"/>
      <c r="H31" s="530" t="inlineStr">
        <is>
          <t>100333322</t>
        </is>
      </c>
      <c r="I31" s="530" t="n"/>
      <c r="J31" s="395" t="inlineStr">
        <is>
          <t>тыс.т.</t>
        </is>
      </c>
    </row>
    <row r="32" ht="20.1" customHeight="1" s="769">
      <c r="B32" s="112" t="inlineStr">
        <is>
          <t>8.17</t>
        </is>
      </c>
      <c r="C32" s="365" t="n"/>
      <c r="D32" s="801" t="inlineStr">
        <is>
          <t>Ен-Яхинское НГКМ</t>
        </is>
      </c>
      <c r="E32" s="528" t="inlineStr">
        <is>
          <t>100333322</t>
        </is>
      </c>
      <c r="F32" s="528" t="n"/>
      <c r="G32" s="529" t="n"/>
      <c r="H32" s="530" t="n"/>
      <c r="I32" s="530" t="n"/>
      <c r="J32" s="796" t="inlineStr">
        <is>
          <t>тыс.т.</t>
        </is>
      </c>
    </row>
    <row r="33" ht="55.5" customHeight="1" s="769">
      <c r="B33" s="184" t="n"/>
      <c r="C33" s="834" t="inlineStr">
        <is>
          <t>1.5</t>
        </is>
      </c>
      <c r="D33" s="788" t="inlineStr">
        <is>
          <t>Поставка газового конденсата 
в адрес ООО "Газпромнефть-Заполярье"  (минуя альт-схему)</t>
        </is>
      </c>
      <c r="E33" s="528" t="inlineStr">
        <is>
          <t>100335911</t>
        </is>
      </c>
      <c r="F33" s="528" t="n"/>
      <c r="G33" s="529" t="n"/>
      <c r="H33" s="530" t="inlineStr">
        <is>
          <t>100335912+100335914+100335915+100335913</t>
        </is>
      </c>
      <c r="I33" s="530" t="n"/>
      <c r="J33" s="21" t="inlineStr">
        <is>
          <t xml:space="preserve"> тыс. т.</t>
        </is>
      </c>
    </row>
    <row r="34" ht="20.1" customHeight="1" s="769">
      <c r="B34" s="184" t="n"/>
      <c r="C34" s="365" t="n"/>
      <c r="D34" s="890" t="inlineStr">
        <is>
          <t>Уренгойское НГКМ ачим. 3 уч.</t>
        </is>
      </c>
      <c r="E34" s="528" t="inlineStr">
        <is>
          <t>100335912</t>
        </is>
      </c>
      <c r="F34" s="528" t="n"/>
      <c r="G34" s="529" t="n"/>
      <c r="H34" s="530" t="n"/>
      <c r="I34" s="530" t="n"/>
      <c r="J34" s="389" t="inlineStr">
        <is>
          <t xml:space="preserve"> тыс. т.</t>
        </is>
      </c>
    </row>
    <row r="35" ht="20.1" customHeight="1" s="769">
      <c r="B35" s="184" t="n"/>
      <c r="C35" s="365" t="n"/>
      <c r="D35" s="890" t="inlineStr">
        <is>
          <t>Ен-Яхинское НГКМ  БУ-12</t>
        </is>
      </c>
      <c r="E35" s="528" t="inlineStr">
        <is>
          <t>100335913</t>
        </is>
      </c>
      <c r="F35" s="528" t="n"/>
      <c r="G35" s="529" t="n"/>
      <c r="H35" s="530" t="n"/>
      <c r="I35" s="530" t="n"/>
      <c r="J35" s="389" t="inlineStr">
        <is>
          <t xml:space="preserve"> тыс. т.</t>
        </is>
      </c>
    </row>
    <row r="36" ht="20.1" customHeight="1" s="769">
      <c r="B36" s="184" t="n"/>
      <c r="C36" s="365" t="n"/>
      <c r="D36" s="890" t="inlineStr">
        <is>
          <t>Песцовое НГКМ  (неоком)</t>
        </is>
      </c>
      <c r="E36" s="528" t="inlineStr">
        <is>
          <t>100335914</t>
        </is>
      </c>
      <c r="F36" s="528" t="n"/>
      <c r="G36" s="529" t="n"/>
      <c r="H36" s="530" t="n"/>
      <c r="I36" s="530" t="n"/>
      <c r="J36" s="389" t="inlineStr">
        <is>
          <t xml:space="preserve"> тыс. т.</t>
        </is>
      </c>
    </row>
    <row r="37" ht="20.1" customHeight="1" s="769">
      <c r="B37" s="184" t="n"/>
      <c r="C37" s="365" t="n"/>
      <c r="D37" s="890" t="inlineStr">
        <is>
          <t>Песцовое НГКМ (ачим)</t>
        </is>
      </c>
      <c r="E37" s="528" t="inlineStr">
        <is>
          <t>100335915</t>
        </is>
      </c>
      <c r="F37" s="528" t="n"/>
      <c r="G37" s="529" t="n"/>
      <c r="H37" s="530" t="n"/>
      <c r="I37" s="530" t="n"/>
      <c r="J37" s="389" t="inlineStr">
        <is>
          <t xml:space="preserve"> тыс. т.</t>
        </is>
      </c>
    </row>
    <row r="38" outlineLevel="1" ht="20.1" customHeight="1" s="769">
      <c r="B38" s="184" t="inlineStr">
        <is>
          <t>8.18</t>
        </is>
      </c>
      <c r="C38" s="365" t="n"/>
      <c r="D38" s="124" t="inlineStr">
        <is>
          <t>Справочно:</t>
        </is>
      </c>
      <c r="E38" s="528" t="n"/>
      <c r="F38" s="528" t="n"/>
      <c r="G38" s="529" t="n"/>
      <c r="H38" s="530" t="n"/>
      <c r="I38" s="530" t="n"/>
      <c r="J38" s="389" t="n"/>
    </row>
    <row r="39" outlineLevel="1" ht="20.1" customHeight="1" s="769">
      <c r="B39" s="112" t="inlineStr">
        <is>
          <t>8.19</t>
        </is>
      </c>
      <c r="C39" s="365" t="n"/>
      <c r="D39" s="844" t="inlineStr">
        <is>
          <t>Добыча газа</t>
        </is>
      </c>
      <c r="E39" s="528" t="inlineStr">
        <is>
          <t>100330652</t>
        </is>
      </c>
      <c r="F39" s="528" t="n"/>
      <c r="G39" s="529" t="n"/>
      <c r="H39" s="530" t="n"/>
      <c r="I39" s="530" t="n"/>
      <c r="J39" s="953" t="n"/>
    </row>
    <row r="40" outlineLevel="1" ht="20.1" customHeight="1" s="769">
      <c r="B40" s="184" t="inlineStr">
        <is>
          <t>8.20</t>
        </is>
      </c>
      <c r="C40" s="365" t="n"/>
      <c r="D40" s="191" t="inlineStr">
        <is>
          <t xml:space="preserve"> 1 участок (услуги Ачимгаза)</t>
        </is>
      </c>
      <c r="E40" s="528" t="inlineStr">
        <is>
          <t>100330653</t>
        </is>
      </c>
      <c r="F40" s="528" t="n"/>
      <c r="G40" s="529" t="n"/>
      <c r="H40" s="530" t="n"/>
      <c r="I40" s="530" t="n"/>
      <c r="J40" s="953" t="inlineStr">
        <is>
          <t>млн куб.м</t>
        </is>
      </c>
    </row>
    <row r="41" outlineLevel="1" ht="20.1" customHeight="1" s="769">
      <c r="B41" s="184" t="n"/>
      <c r="C41" s="365" t="n"/>
      <c r="D41" s="844" t="inlineStr">
        <is>
          <t>Добыча НК (поставка)</t>
        </is>
      </c>
      <c r="E41" s="528" t="n"/>
      <c r="F41" s="528" t="n"/>
      <c r="G41" s="529" t="n"/>
      <c r="H41" s="530" t="n"/>
      <c r="I41" s="530" t="n"/>
      <c r="J41" s="869" t="inlineStr">
        <is>
          <t>тыс.т.</t>
        </is>
      </c>
    </row>
    <row r="42" outlineLevel="1" ht="19.5" customHeight="1" s="769">
      <c r="B42" s="184" t="n"/>
      <c r="C42" s="365" t="n"/>
      <c r="D42" s="191" t="inlineStr">
        <is>
          <t>Уренгойское НГКМ ачим. 3 уч.</t>
        </is>
      </c>
      <c r="E42" s="528" t="inlineStr">
        <is>
          <t>100335489</t>
        </is>
      </c>
      <c r="F42" s="528" t="n"/>
      <c r="G42" s="529" t="n"/>
      <c r="H42" s="530" t="n"/>
      <c r="I42" s="530" t="n"/>
      <c r="J42" s="869" t="inlineStr">
        <is>
          <t>тыс.т.</t>
        </is>
      </c>
    </row>
    <row r="43" outlineLevel="1" ht="19.5" customHeight="1" s="769">
      <c r="B43" s="184" t="n"/>
      <c r="C43" s="365" t="n"/>
      <c r="D43" s="191" t="inlineStr">
        <is>
          <t>Песцовое НГКМ (валанжин)</t>
        </is>
      </c>
      <c r="E43" s="528" t="inlineStr">
        <is>
          <t>100335490</t>
        </is>
      </c>
      <c r="F43" s="528" t="n"/>
      <c r="G43" s="529" t="n"/>
      <c r="H43" s="530" t="n"/>
      <c r="I43" s="530" t="n"/>
      <c r="J43" s="869" t="inlineStr">
        <is>
          <t>тыс.т.</t>
        </is>
      </c>
    </row>
    <row r="44" outlineLevel="1" ht="19.5" customHeight="1" s="769">
      <c r="B44" s="184" t="n"/>
      <c r="C44" s="365" t="n"/>
      <c r="D44" s="191" t="inlineStr">
        <is>
          <t xml:space="preserve">   в т.ч. из ПНГ</t>
        </is>
      </c>
      <c r="E44" s="528" t="inlineStr">
        <is>
          <t>100335775</t>
        </is>
      </c>
      <c r="F44" s="528" t="n"/>
      <c r="G44" s="529" t="n"/>
      <c r="H44" s="530" t="n"/>
      <c r="I44" s="530" t="n"/>
      <c r="J44" s="869" t="inlineStr">
        <is>
          <t>тыс.т.</t>
        </is>
      </c>
    </row>
    <row r="45" outlineLevel="1" ht="19.5" customHeight="1" s="769">
      <c r="B45" s="184" t="n"/>
      <c r="C45" s="365" t="n"/>
      <c r="D45" s="191" t="inlineStr">
        <is>
          <t>Песцовое НГКМ ачим</t>
        </is>
      </c>
      <c r="E45" s="528" t="inlineStr">
        <is>
          <t>100335603</t>
        </is>
      </c>
      <c r="F45" s="528" t="n"/>
      <c r="G45" s="529" t="n"/>
      <c r="H45" s="530" t="n"/>
      <c r="I45" s="530" t="n"/>
      <c r="J45" s="869" t="inlineStr">
        <is>
          <t>тыс.т.</t>
        </is>
      </c>
    </row>
    <row r="46" outlineLevel="1" ht="20.1" customHeight="1" s="769">
      <c r="B46" s="184" t="n"/>
      <c r="C46" s="365" t="n"/>
      <c r="D46" s="191" t="inlineStr">
        <is>
          <t>Ен-Яхинское НГКМ  БУ-12</t>
        </is>
      </c>
      <c r="E46" s="528" t="inlineStr">
        <is>
          <t>100335604</t>
        </is>
      </c>
      <c r="F46" s="528" t="n"/>
      <c r="G46" s="529" t="n"/>
      <c r="H46" s="530" t="n"/>
      <c r="I46" s="530" t="n"/>
      <c r="J46" s="869" t="inlineStr">
        <is>
          <t>тыс.т.</t>
        </is>
      </c>
    </row>
    <row r="47" outlineLevel="1" ht="20.1" customHeight="1" s="769">
      <c r="B47" s="184" t="n"/>
      <c r="C47" s="365" t="n"/>
      <c r="D47" s="191" t="inlineStr">
        <is>
          <t xml:space="preserve">   в т.ч. из ПНГ</t>
        </is>
      </c>
      <c r="E47" s="528" t="inlineStr">
        <is>
          <t>100335776</t>
        </is>
      </c>
      <c r="F47" s="528" t="n"/>
      <c r="G47" s="529" t="n"/>
      <c r="H47" s="530" t="n"/>
      <c r="I47" s="530" t="n"/>
      <c r="J47" s="869" t="inlineStr">
        <is>
          <t>тыс.т.</t>
        </is>
      </c>
    </row>
    <row r="48" outlineLevel="1" ht="20.1" customHeight="1" s="769">
      <c r="B48" s="184" t="n"/>
      <c r="C48" s="365" t="n"/>
      <c r="D48" s="191" t="inlineStr">
        <is>
          <t>Уренгойское НГКМ (Фаза 3)</t>
        </is>
      </c>
      <c r="E48" s="528" t="inlineStr">
        <is>
          <t>100335605</t>
        </is>
      </c>
      <c r="F48" s="528" t="n"/>
      <c r="G48" s="529" t="n"/>
      <c r="H48" s="530" t="n"/>
      <c r="I48" s="530" t="n"/>
      <c r="J48" s="869" t="inlineStr">
        <is>
          <t>тыс.т.</t>
        </is>
      </c>
    </row>
    <row r="49" ht="25.5" customHeight="1" s="769">
      <c r="A49" s="192" t="n"/>
      <c r="B49" s="112" t="inlineStr">
        <is>
          <t>8.21</t>
        </is>
      </c>
      <c r="C49" s="834" t="inlineStr">
        <is>
          <t>2</t>
        </is>
      </c>
      <c r="D49" s="788" t="inlineStr">
        <is>
          <t>Поставка нефти, всего:</t>
        </is>
      </c>
      <c r="E49" s="528" t="inlineStr">
        <is>
          <t>100330589</t>
        </is>
      </c>
      <c r="F49" s="528" t="n"/>
      <c r="G49" s="529" t="n"/>
      <c r="H49" s="530" t="inlineStr">
        <is>
          <t>100330648+100330644</t>
        </is>
      </c>
      <c r="I49" s="530" t="n"/>
      <c r="J49" s="395" t="inlineStr">
        <is>
          <t>тыс.т.</t>
        </is>
      </c>
    </row>
    <row r="50" ht="39" customHeight="1" s="769">
      <c r="A50" s="193" t="inlineStr">
        <is>
          <t>!</t>
        </is>
      </c>
      <c r="B50" s="184" t="inlineStr">
        <is>
          <t>8.22</t>
        </is>
      </c>
      <c r="C50" s="834" t="inlineStr">
        <is>
          <t>2.1</t>
        </is>
      </c>
      <c r="D50" s="788" t="inlineStr">
        <is>
          <t>Поставка нефти, собственность ПАО "Газпром"</t>
        </is>
      </c>
      <c r="E50" s="528" t="inlineStr">
        <is>
          <t>100330648</t>
        </is>
      </c>
      <c r="F50" s="528" t="n"/>
      <c r="G50" s="529" t="n"/>
      <c r="H50" s="530" t="inlineStr">
        <is>
          <t>100330649+100335491</t>
        </is>
      </c>
      <c r="I50" s="530" t="n"/>
      <c r="J50" s="40" t="inlineStr">
        <is>
          <t>тыс.т.</t>
        </is>
      </c>
    </row>
    <row r="51" ht="20.1" customHeight="1" s="769">
      <c r="A51" s="193" t="n"/>
      <c r="B51" s="112" t="inlineStr">
        <is>
          <t>8.23</t>
        </is>
      </c>
      <c r="C51" s="365" t="n"/>
      <c r="D51" s="890" t="inlineStr">
        <is>
          <t>Уренгойское НГКМ</t>
        </is>
      </c>
      <c r="E51" s="528" t="inlineStr">
        <is>
          <t>100330649</t>
        </is>
      </c>
      <c r="F51" s="528" t="n"/>
      <c r="G51" s="529" t="n"/>
      <c r="H51" s="530" t="n"/>
      <c r="I51" s="530" t="n"/>
      <c r="J51" s="796" t="inlineStr">
        <is>
          <t>тыс.т.</t>
        </is>
      </c>
    </row>
    <row r="52" ht="20.1" customHeight="1" s="769">
      <c r="A52" s="193" t="n"/>
      <c r="B52" s="112" t="n"/>
      <c r="C52" s="365" t="n"/>
      <c r="D52" s="890" t="inlineStr">
        <is>
          <t xml:space="preserve">Песцовое НГКМ </t>
        </is>
      </c>
      <c r="E52" s="528" t="inlineStr">
        <is>
          <t>100335491</t>
        </is>
      </c>
      <c r="F52" s="528" t="n"/>
      <c r="G52" s="529" t="n"/>
      <c r="H52" s="530" t="n"/>
      <c r="I52" s="530" t="n"/>
      <c r="J52" s="796" t="inlineStr">
        <is>
          <t>тыс.т.</t>
        </is>
      </c>
    </row>
    <row r="53" ht="24" customHeight="1" s="769">
      <c r="A53" s="193" t="n"/>
      <c r="B53" s="184" t="inlineStr">
        <is>
          <t>8.24</t>
        </is>
      </c>
      <c r="C53" s="834" t="inlineStr">
        <is>
          <t>2.2</t>
        </is>
      </c>
      <c r="D53" s="788" t="inlineStr">
        <is>
          <t>Поставка нефти потребителям, всего:</t>
        </is>
      </c>
      <c r="E53" s="528" t="inlineStr">
        <is>
          <t>100330644</t>
        </is>
      </c>
      <c r="F53" s="528" t="n"/>
      <c r="G53" s="529" t="n"/>
      <c r="H53" s="530" t="inlineStr">
        <is>
          <t>100333681+100335156+100335916+100335917</t>
        </is>
      </c>
      <c r="I53" s="530" t="n"/>
      <c r="J53" s="40" t="inlineStr">
        <is>
          <t>тыс.т.</t>
        </is>
      </c>
    </row>
    <row r="54" ht="35.25" customHeight="1" s="769">
      <c r="A54" s="193" t="inlineStr">
        <is>
          <t>!</t>
        </is>
      </c>
      <c r="B54" s="112" t="inlineStr">
        <is>
          <t>8.31</t>
        </is>
      </c>
      <c r="C54" s="800" t="n"/>
      <c r="D54" s="845" t="inlineStr">
        <is>
          <t>Уренгойское НГКМ,  в адрес ООО "Газпром переработка"</t>
        </is>
      </c>
      <c r="E54" s="528" t="inlineStr">
        <is>
          <t>100333681</t>
        </is>
      </c>
      <c r="F54" s="528" t="n"/>
      <c r="G54" s="529" t="n"/>
      <c r="H54" s="530" t="n"/>
      <c r="I54" s="530" t="n"/>
      <c r="J54" s="796" t="inlineStr">
        <is>
          <t>тыс.т.</t>
        </is>
      </c>
    </row>
    <row r="55" ht="38.45" customHeight="1" s="769">
      <c r="A55" s="193" t="n"/>
      <c r="B55" s="184" t="inlineStr">
        <is>
          <t>8.26</t>
        </is>
      </c>
      <c r="C55" s="365" t="n"/>
      <c r="D55" s="845" t="inlineStr">
        <is>
          <t>Уренгойское НГКМ, собственность ООО "Газпром добыча Уренгой"</t>
        </is>
      </c>
      <c r="E55" s="528" t="inlineStr">
        <is>
          <t>100335156</t>
        </is>
      </c>
      <c r="F55" s="528" t="n"/>
      <c r="G55" s="529" t="n"/>
      <c r="H55" s="530" t="n"/>
      <c r="I55" s="530" t="n"/>
      <c r="J55" s="796" t="inlineStr">
        <is>
          <t>тыс.т.</t>
        </is>
      </c>
    </row>
    <row r="56" ht="38.45" customHeight="1" s="769">
      <c r="A56" s="193" t="n"/>
      <c r="B56" s="184" t="n"/>
      <c r="C56" s="365" t="n"/>
      <c r="D56" s="845" t="inlineStr">
        <is>
          <t>ГД Уренгой в рамках ДРОД в адрес трейдера</t>
        </is>
      </c>
      <c r="E56" s="528" t="inlineStr">
        <is>
          <t>100335916</t>
        </is>
      </c>
      <c r="F56" s="528" t="n"/>
      <c r="G56" s="529" t="n"/>
      <c r="H56" s="530" t="inlineStr">
        <is>
          <t>100335670+100330646+100330647+100335051+100335516+100330643+100333691+100336114+100337111</t>
        </is>
      </c>
      <c r="I56" s="530" t="n"/>
      <c r="J56" s="796" t="inlineStr">
        <is>
          <t>тыс.т.</t>
        </is>
      </c>
    </row>
    <row r="57">
      <c r="A57" s="193" t="inlineStr">
        <is>
          <t>!</t>
        </is>
      </c>
      <c r="B57" s="184" t="n"/>
      <c r="C57" s="365" t="n"/>
      <c r="D57" s="195" t="inlineStr">
        <is>
          <t>Уренгойское НГКМ, Фаза 2 (Нефть)</t>
        </is>
      </c>
      <c r="E57" s="528" t="inlineStr">
        <is>
          <t>100335670</t>
        </is>
      </c>
      <c r="F57" s="528" t="n"/>
      <c r="G57" s="529" t="n"/>
      <c r="H57" s="530" t="n"/>
      <c r="I57" s="530" t="n"/>
      <c r="J57" s="796" t="inlineStr">
        <is>
          <t>тыс.т.</t>
        </is>
      </c>
    </row>
    <row r="58" ht="19.5" customHeight="1" s="769">
      <c r="B58" s="184" t="inlineStr">
        <is>
          <t>8.10</t>
        </is>
      </c>
      <c r="C58" s="365" t="n"/>
      <c r="D58" s="195" t="inlineStr">
        <is>
          <t>Уренгойское НГКМ ачим. 3 уч.  (СК)</t>
        </is>
      </c>
      <c r="E58" s="528" t="inlineStr">
        <is>
          <t>100335051</t>
        </is>
      </c>
      <c r="F58" s="528" t="n"/>
      <c r="G58" s="529" t="n"/>
      <c r="H58" s="530" t="n"/>
      <c r="I58" s="530" t="n"/>
      <c r="J58" s="796" t="inlineStr">
        <is>
          <t>тыс.т.</t>
        </is>
      </c>
    </row>
    <row r="59" ht="19.5" customHeight="1" s="769">
      <c r="B59" s="184" t="n"/>
      <c r="C59" s="365" t="n"/>
      <c r="D59" s="195" t="inlineStr">
        <is>
          <t>Уренгойское НГКМ ачим. 5 уч.  (Нефть)</t>
        </is>
      </c>
      <c r="E59" s="528" t="inlineStr">
        <is>
          <t>100337111</t>
        </is>
      </c>
      <c r="F59" s="528" t="n"/>
      <c r="G59" s="529" t="n"/>
      <c r="H59" s="530" t="n"/>
      <c r="I59" s="530" t="n"/>
    </row>
    <row r="60" ht="20.1" customHeight="1" s="769">
      <c r="B60" s="184" t="n"/>
      <c r="C60" s="365" t="n"/>
      <c r="D60" s="195" t="inlineStr">
        <is>
          <t>Уренгойское НГКМ ачим. 6 уч.  (Нефть)</t>
        </is>
      </c>
      <c r="E60" s="528" t="inlineStr">
        <is>
          <t>100336114</t>
        </is>
      </c>
      <c r="F60" s="528" t="n"/>
      <c r="G60" s="529" t="n"/>
      <c r="H60" s="530" t="n"/>
      <c r="I60" s="530" t="n"/>
      <c r="J60" s="796" t="inlineStr">
        <is>
          <t>тыс.т.</t>
        </is>
      </c>
    </row>
    <row r="61" ht="39" customHeight="1" s="769">
      <c r="B61" s="112" t="inlineStr">
        <is>
          <t>8.27</t>
        </is>
      </c>
      <c r="C61" s="365" t="n"/>
      <c r="D61" s="195" t="inlineStr">
        <is>
          <t>Ен-Яхинское НГКМ БУ-12 (Нефть)</t>
        </is>
      </c>
      <c r="E61" s="528" t="inlineStr">
        <is>
          <t>100330646</t>
        </is>
      </c>
      <c r="F61" s="528" t="n"/>
      <c r="G61" s="529" t="n"/>
      <c r="H61" s="530" t="n"/>
      <c r="I61" s="530" t="n"/>
      <c r="J61" s="796" t="inlineStr">
        <is>
          <t>тыс.т.</t>
        </is>
      </c>
    </row>
    <row r="62" ht="19.5" customHeight="1" s="769">
      <c r="B62" s="101" t="n"/>
      <c r="C62" s="406" t="n"/>
      <c r="D62" s="195" t="inlineStr">
        <is>
          <t>Ен-Яхинское НГКМ  БУ-12  (СК)</t>
        </is>
      </c>
      <c r="E62" s="528" t="inlineStr">
        <is>
          <t>100335516</t>
        </is>
      </c>
      <c r="F62" s="528" t="n"/>
      <c r="G62" s="529" t="n"/>
      <c r="H62" s="530" t="n"/>
      <c r="I62" s="530" t="n"/>
      <c r="J62" s="389" t="inlineStr">
        <is>
          <t xml:space="preserve"> тыс. т.</t>
        </is>
      </c>
    </row>
    <row r="63" ht="42" customHeight="1" s="769">
      <c r="A63" s="178" t="inlineStr">
        <is>
          <t>!</t>
        </is>
      </c>
      <c r="B63" s="184" t="inlineStr">
        <is>
          <t>8.28</t>
        </is>
      </c>
      <c r="C63" s="365" t="n"/>
      <c r="D63" s="195" t="inlineStr">
        <is>
          <t>Песцовое НГКМ (Нефть)</t>
        </is>
      </c>
      <c r="E63" s="528" t="inlineStr">
        <is>
          <t>100330647</t>
        </is>
      </c>
      <c r="F63" s="528" t="n"/>
      <c r="G63" s="529" t="n"/>
      <c r="H63" s="530" t="n"/>
      <c r="I63" s="530" t="n"/>
      <c r="J63" s="796" t="inlineStr">
        <is>
          <t>тыс.т.</t>
        </is>
      </c>
    </row>
    <row r="64" ht="20.1" customHeight="1" s="769">
      <c r="B64" s="112" t="inlineStr">
        <is>
          <t>8.11</t>
        </is>
      </c>
      <c r="C64" s="365" t="n"/>
      <c r="D64" s="195" t="inlineStr">
        <is>
          <t>Песцовое НГКМ (неоком)  (СК)</t>
        </is>
      </c>
      <c r="E64" s="528" t="inlineStr">
        <is>
          <t>100330643</t>
        </is>
      </c>
      <c r="F64" s="528" t="n"/>
      <c r="G64" s="529" t="n"/>
      <c r="H64" s="530" t="n"/>
      <c r="I64" s="530" t="n"/>
      <c r="J64" s="389" t="inlineStr">
        <is>
          <t xml:space="preserve"> тыс. т.</t>
        </is>
      </c>
    </row>
    <row r="65" ht="20.1" customHeight="1" s="769">
      <c r="B65" s="184" t="inlineStr">
        <is>
          <t>8.12</t>
        </is>
      </c>
      <c r="C65" s="365" t="n"/>
      <c r="D65" s="195" t="inlineStr">
        <is>
          <t>Песцовое НГКМ (ачим) (СК)</t>
        </is>
      </c>
      <c r="E65" s="528" t="inlineStr">
        <is>
          <t>100333691</t>
        </is>
      </c>
      <c r="F65" s="528" t="n"/>
      <c r="G65" s="529" t="n"/>
      <c r="H65" s="530" t="n"/>
      <c r="I65" s="530" t="n"/>
      <c r="J65" s="389" t="inlineStr">
        <is>
          <t xml:space="preserve"> тыс. т.</t>
        </is>
      </c>
    </row>
    <row r="66" ht="37.5" customHeight="1" s="769">
      <c r="B66" s="184" t="n"/>
      <c r="C66" s="365" t="n"/>
      <c r="D66" s="890" t="inlineStr">
        <is>
          <t xml:space="preserve"> ГД Уренгой  в рамках ДРОД в адрес ГПНефть-Заполярье (автовывоз)</t>
        </is>
      </c>
      <c r="E66" s="528" t="inlineStr">
        <is>
          <t>100335917</t>
        </is>
      </c>
      <c r="F66" s="528" t="n"/>
      <c r="G66" s="529" t="n"/>
      <c r="H66" s="530" t="inlineStr">
        <is>
          <t>100335918+100335919+100335920+100337105</t>
        </is>
      </c>
      <c r="I66" s="530" t="n"/>
      <c r="J66" s="796" t="inlineStr">
        <is>
          <t>тыс.т.</t>
        </is>
      </c>
    </row>
    <row r="67">
      <c r="B67" s="184" t="n"/>
      <c r="C67" s="365" t="n"/>
      <c r="D67" s="190" t="inlineStr">
        <is>
          <t>Уренгойское НГКМ  'Фаза 2</t>
        </is>
      </c>
      <c r="E67" s="528" t="inlineStr">
        <is>
          <t>100335918</t>
        </is>
      </c>
      <c r="F67" s="528" t="n"/>
      <c r="G67" s="529" t="n"/>
      <c r="H67" s="530" t="n"/>
      <c r="I67" s="530" t="n"/>
      <c r="J67" s="796" t="inlineStr">
        <is>
          <t>тыс.т.</t>
        </is>
      </c>
    </row>
    <row r="68">
      <c r="B68" s="184" t="n"/>
      <c r="C68" s="365" t="n"/>
      <c r="D68" s="374" t="inlineStr">
        <is>
          <t>Уренгойское НГКМ ачим. 6 уч.  (Нефть)</t>
        </is>
      </c>
      <c r="E68" s="528" t="inlineStr">
        <is>
          <t>100337105</t>
        </is>
      </c>
      <c r="F68" s="528" t="n"/>
      <c r="G68" s="529" t="n"/>
      <c r="H68" s="530" t="n"/>
      <c r="I68" s="530" t="n"/>
      <c r="J68" s="375" t="inlineStr">
        <is>
          <t>тыс.т.</t>
        </is>
      </c>
    </row>
    <row r="69">
      <c r="B69" s="184" t="n"/>
      <c r="C69" s="365" t="n"/>
      <c r="D69" s="190" t="inlineStr">
        <is>
          <t>Ен-Яхинское НГКМ</t>
        </is>
      </c>
      <c r="E69" s="528" t="inlineStr">
        <is>
          <t>100335919</t>
        </is>
      </c>
      <c r="F69" s="528" t="n"/>
      <c r="G69" s="529" t="n"/>
      <c r="H69" s="530" t="n"/>
      <c r="I69" s="530" t="n"/>
      <c r="J69" s="796" t="inlineStr">
        <is>
          <t>тыс.т.</t>
        </is>
      </c>
    </row>
    <row r="70">
      <c r="B70" s="184" t="n"/>
      <c r="C70" s="365" t="n"/>
      <c r="D70" s="190" t="inlineStr">
        <is>
          <t>Песцовое НГКМ</t>
        </is>
      </c>
      <c r="E70" s="528" t="inlineStr">
        <is>
          <t>100335920</t>
        </is>
      </c>
      <c r="F70" s="528" t="n"/>
      <c r="G70" s="529" t="n"/>
      <c r="H70" s="530" t="n"/>
      <c r="I70" s="530" t="n"/>
      <c r="J70" s="796" t="inlineStr">
        <is>
          <t>тыс.т.</t>
        </is>
      </c>
    </row>
    <row r="71" ht="18" customHeight="1" s="769">
      <c r="A71" s="178" t="inlineStr">
        <is>
          <t>!</t>
        </is>
      </c>
      <c r="B71" s="184" t="n"/>
      <c r="C71" s="834" t="inlineStr">
        <is>
          <t>3.</t>
        </is>
      </c>
      <c r="D71" s="859" t="inlineStr">
        <is>
          <t xml:space="preserve">Выработка газа Выветривания в рамках ДРОД </t>
        </is>
      </c>
      <c r="E71" s="528" t="inlineStr">
        <is>
          <t>100335492</t>
        </is>
      </c>
      <c r="F71" s="528" t="n"/>
      <c r="G71" s="529" t="n"/>
      <c r="H71" s="530" t="inlineStr">
        <is>
          <t>100335494+100335496+100335517+100335606</t>
        </is>
      </c>
      <c r="I71" s="530" t="n"/>
      <c r="J71" s="395" t="inlineStr">
        <is>
          <t xml:space="preserve"> тыс. т.</t>
        </is>
      </c>
    </row>
    <row r="72" ht="18" customHeight="1" s="769">
      <c r="B72" s="184" t="n"/>
      <c r="C72" s="766" t="n"/>
      <c r="D72" s="766" t="n"/>
      <c r="E72" s="528" t="inlineStr">
        <is>
          <t>100335493</t>
        </is>
      </c>
      <c r="F72" s="528" t="n"/>
      <c r="G72" s="529" t="n"/>
      <c r="H72" s="530" t="inlineStr">
        <is>
          <t>100335495+100335497+100335518+100335607</t>
        </is>
      </c>
      <c r="I72" s="530" t="n"/>
      <c r="J72" s="395" t="inlineStr">
        <is>
          <t>млн куб.м</t>
        </is>
      </c>
    </row>
    <row r="73" ht="16.15" customHeight="1" s="769">
      <c r="B73" s="184" t="n"/>
      <c r="C73" s="800" t="inlineStr">
        <is>
          <t>3.1</t>
        </is>
      </c>
      <c r="D73" s="840" t="inlineStr">
        <is>
          <t>Уренгойское НГКМ ачим. 3 уч.</t>
        </is>
      </c>
      <c r="E73" s="528" t="inlineStr">
        <is>
          <t>100335496</t>
        </is>
      </c>
      <c r="F73" s="528" t="n"/>
      <c r="G73" s="529" t="n"/>
      <c r="H73" s="530" t="n"/>
      <c r="I73" s="530" t="n"/>
      <c r="J73" s="869" t="inlineStr">
        <is>
          <t xml:space="preserve"> тыс. т.</t>
        </is>
      </c>
    </row>
    <row r="74" ht="16.15" customHeight="1" s="769">
      <c r="B74" s="184" t="n"/>
      <c r="C74" s="766" t="n"/>
      <c r="D74" s="766" t="n"/>
      <c r="E74" s="528" t="inlineStr">
        <is>
          <t>100335497</t>
        </is>
      </c>
      <c r="F74" s="528" t="n"/>
      <c r="G74" s="529" t="n"/>
      <c r="H74" s="530" t="n"/>
      <c r="I74" s="530" t="n"/>
      <c r="J74" s="869" t="inlineStr">
        <is>
          <t>млн куб.м</t>
        </is>
      </c>
    </row>
    <row r="75" ht="16.15" customHeight="1" s="769">
      <c r="B75" s="184" t="n"/>
      <c r="C75" s="800" t="inlineStr">
        <is>
          <t>3.2</t>
        </is>
      </c>
      <c r="D75" s="840" t="inlineStr">
        <is>
          <t>Ен-Яхинское НГКМ   БУ-12</t>
        </is>
      </c>
      <c r="E75" s="528" t="inlineStr">
        <is>
          <t>100335517</t>
        </is>
      </c>
      <c r="F75" s="528" t="n"/>
      <c r="G75" s="529" t="n"/>
      <c r="H75" s="530" t="n"/>
      <c r="I75" s="530" t="n"/>
      <c r="J75" s="869" t="inlineStr">
        <is>
          <t xml:space="preserve"> тыс. т.</t>
        </is>
      </c>
    </row>
    <row r="76" ht="16.15" customHeight="1" s="769">
      <c r="B76" s="184" t="n"/>
      <c r="C76" s="766" t="n"/>
      <c r="D76" s="766" t="n"/>
      <c r="E76" s="528" t="inlineStr">
        <is>
          <t>100335518</t>
        </is>
      </c>
      <c r="F76" s="528" t="n"/>
      <c r="G76" s="529" t="n"/>
      <c r="H76" s="530" t="n"/>
      <c r="I76" s="530" t="n"/>
      <c r="J76" s="869" t="inlineStr">
        <is>
          <t>млн куб.м</t>
        </is>
      </c>
    </row>
    <row r="77" ht="16.15" customHeight="1" s="769">
      <c r="B77" s="184" t="n"/>
      <c r="C77" s="800" t="inlineStr">
        <is>
          <t>3.3</t>
        </is>
      </c>
      <c r="D77" s="840" t="inlineStr">
        <is>
          <t xml:space="preserve"> Песцовое НГКМ (валанжин)</t>
        </is>
      </c>
      <c r="E77" s="528" t="inlineStr">
        <is>
          <t>100335494</t>
        </is>
      </c>
      <c r="F77" s="528" t="n"/>
      <c r="G77" s="529" t="n"/>
      <c r="H77" s="530" t="n"/>
      <c r="I77" s="530" t="n"/>
      <c r="J77" s="869" t="inlineStr">
        <is>
          <t xml:space="preserve"> тыс. т.</t>
        </is>
      </c>
    </row>
    <row r="78" ht="16.15" customHeight="1" s="769">
      <c r="B78" s="184" t="n"/>
      <c r="C78" s="766" t="n"/>
      <c r="D78" s="766" t="n"/>
      <c r="E78" s="528" t="inlineStr">
        <is>
          <t>100335495</t>
        </is>
      </c>
      <c r="F78" s="528" t="n"/>
      <c r="G78" s="529" t="n"/>
      <c r="H78" s="530" t="n"/>
      <c r="I78" s="530" t="n"/>
      <c r="J78" s="869" t="inlineStr">
        <is>
          <t>млн куб.м</t>
        </is>
      </c>
    </row>
    <row r="79" ht="16.15" customHeight="1" s="769">
      <c r="B79" s="184" t="n"/>
      <c r="C79" s="800" t="inlineStr">
        <is>
          <t>3.4</t>
        </is>
      </c>
      <c r="D79" s="840" t="inlineStr">
        <is>
          <t xml:space="preserve"> Песцовое НГКМ (ачим)</t>
        </is>
      </c>
      <c r="E79" s="528" t="inlineStr">
        <is>
          <t>100335606</t>
        </is>
      </c>
      <c r="F79" s="528" t="n"/>
      <c r="G79" s="529" t="n"/>
      <c r="H79" s="530" t="n"/>
      <c r="I79" s="530" t="n"/>
      <c r="J79" s="869" t="inlineStr">
        <is>
          <t xml:space="preserve"> тыс. т.</t>
        </is>
      </c>
    </row>
    <row r="80" ht="15.75" customHeight="1" s="769">
      <c r="B80" s="184" t="n"/>
      <c r="C80" s="766" t="n"/>
      <c r="D80" s="766" t="n"/>
      <c r="E80" s="528" t="inlineStr">
        <is>
          <t>100335607</t>
        </is>
      </c>
      <c r="F80" s="528" t="n"/>
      <c r="G80" s="529" t="n"/>
      <c r="H80" s="530" t="n"/>
      <c r="I80" s="530" t="n"/>
      <c r="J80" s="869" t="inlineStr">
        <is>
          <t>млн куб.м</t>
        </is>
      </c>
    </row>
    <row r="81" ht="20.1" customHeight="1" s="769">
      <c r="A81" s="192" t="n"/>
      <c r="B81" s="184" t="inlineStr">
        <is>
          <t>8.36</t>
        </is>
      </c>
      <c r="C81" s="834" t="inlineStr">
        <is>
          <t>4</t>
        </is>
      </c>
      <c r="D81" s="788" t="inlineStr">
        <is>
          <t>Покупка газа деэтанизации по договору поставки от ПАО "Газпром", всего</t>
        </is>
      </c>
      <c r="E81" s="528" t="inlineStr">
        <is>
          <t>100332321</t>
        </is>
      </c>
      <c r="F81" s="528" t="n"/>
      <c r="G81" s="529" t="n"/>
      <c r="H81" s="530" t="inlineStr">
        <is>
          <t>100337114</t>
        </is>
      </c>
      <c r="I81" s="530" t="n"/>
      <c r="J81" s="21" t="inlineStr">
        <is>
          <t xml:space="preserve"> тыс. т.</t>
        </is>
      </c>
    </row>
    <row r="82" ht="20.1" customHeight="1" s="769">
      <c r="A82" s="192" t="n"/>
      <c r="B82" s="112" t="inlineStr">
        <is>
          <t>8.37</t>
        </is>
      </c>
      <c r="C82" s="766" t="n"/>
      <c r="D82" s="766" t="n"/>
      <c r="E82" s="528" t="inlineStr">
        <is>
          <t>100332322</t>
        </is>
      </c>
      <c r="F82" s="528" t="n"/>
      <c r="G82" s="529" t="n"/>
      <c r="H82" s="530" t="inlineStr">
        <is>
          <t>100337115</t>
        </is>
      </c>
      <c r="I82" s="530" t="n"/>
      <c r="J82" s="954" t="inlineStr">
        <is>
          <t>млн куб.м</t>
        </is>
      </c>
    </row>
    <row r="83" ht="20.1" customHeight="1" s="769">
      <c r="A83" s="193" t="n"/>
      <c r="B83" s="184" t="inlineStr">
        <is>
          <t>8.38</t>
        </is>
      </c>
      <c r="C83" s="800" t="inlineStr">
        <is>
          <t>4.1</t>
        </is>
      </c>
      <c r="D83" s="845" t="inlineStr">
        <is>
          <t>Поставка  газа деэтанизации на переработку на УКПГ 2В, собственность ООО "Газпром добыча Уренгой"</t>
        </is>
      </c>
      <c r="E83" s="528" t="inlineStr">
        <is>
          <t>100337114</t>
        </is>
      </c>
      <c r="F83" s="528" t="n"/>
      <c r="G83" s="529" t="n"/>
      <c r="H83" s="530" t="n"/>
      <c r="I83" s="530" t="n"/>
      <c r="J83" s="389" t="inlineStr">
        <is>
          <t xml:space="preserve"> тыс. т.</t>
        </is>
      </c>
    </row>
    <row r="84" ht="20.1" customHeight="1" s="769">
      <c r="A84" s="193" t="n"/>
      <c r="B84" s="112" t="inlineStr">
        <is>
          <t>8.39</t>
        </is>
      </c>
      <c r="C84" s="766" t="n"/>
      <c r="D84" s="766" t="n"/>
      <c r="E84" s="528" t="inlineStr">
        <is>
          <t>100337115</t>
        </is>
      </c>
      <c r="F84" s="528" t="n"/>
      <c r="G84" s="529" t="n"/>
      <c r="H84" s="530" t="n"/>
      <c r="I84" s="530" t="n"/>
      <c r="J84" s="953" t="inlineStr">
        <is>
          <t>млн куб.м</t>
        </is>
      </c>
    </row>
    <row r="85" ht="20.1" customHeight="1" s="769">
      <c r="A85" s="193" t="n"/>
      <c r="B85" s="112" t="n"/>
      <c r="C85" s="857" t="inlineStr">
        <is>
          <t>5</t>
        </is>
      </c>
      <c r="D85" s="858" t="inlineStr">
        <is>
          <t>Поставка газа горючего на компремирование  на УКПГ 2В, собственность ПАО "Газпром"</t>
        </is>
      </c>
      <c r="E85" s="528" t="n"/>
      <c r="F85" s="528" t="n"/>
      <c r="G85" s="529" t="n"/>
      <c r="H85" s="530" t="n"/>
      <c r="I85" s="530" t="n"/>
      <c r="J85" s="196" t="inlineStr">
        <is>
          <t>тыс.т.</t>
        </is>
      </c>
    </row>
    <row r="86" ht="20.1" customHeight="1" s="769">
      <c r="A86" s="193" t="n"/>
      <c r="B86" s="112" t="n"/>
      <c r="C86" s="751" t="n"/>
      <c r="D86" s="751" t="n"/>
      <c r="E86" s="528" t="inlineStr">
        <is>
          <t>100337140</t>
        </is>
      </c>
      <c r="F86" s="528" t="n"/>
      <c r="G86" s="529" t="n"/>
      <c r="H86" s="530" t="n"/>
      <c r="I86" s="530" t="n"/>
      <c r="J86" s="955" t="inlineStr">
        <is>
          <t>млн куб.м</t>
        </is>
      </c>
    </row>
    <row r="87" ht="20.1" customHeight="1" s="769">
      <c r="B87" s="83" t="n"/>
      <c r="C87" s="366" t="n"/>
      <c r="D87" s="197" t="n"/>
      <c r="E87" s="528" t="inlineStr">
        <is>
          <t>100337141</t>
        </is>
      </c>
      <c r="F87" s="528" t="n"/>
      <c r="G87" s="529" t="n"/>
      <c r="H87" s="530" t="n"/>
      <c r="I87" s="530" t="n"/>
      <c r="J87" s="942" t="n"/>
    </row>
    <row r="88" ht="20.1" customHeight="1" s="769">
      <c r="B88" s="83" t="n"/>
      <c r="C88" s="366" t="n"/>
      <c r="E88" s="528" t="inlineStr">
        <is>
          <t>100337116</t>
        </is>
      </c>
      <c r="F88" s="528" t="n"/>
      <c r="G88" s="529" t="n"/>
      <c r="H88" s="530" t="n"/>
      <c r="I88" s="530" t="n"/>
      <c r="J88" s="942" t="n"/>
    </row>
    <row r="89">
      <c r="B89" s="198" t="n"/>
      <c r="C89" s="367" t="n"/>
      <c r="E89" s="528" t="inlineStr">
        <is>
          <t>100337117</t>
        </is>
      </c>
      <c r="F89" s="528" t="n"/>
      <c r="G89" s="529" t="n"/>
      <c r="H89" s="530" t="n"/>
      <c r="I89" s="530" t="n"/>
      <c r="J89" s="46" t="n"/>
    </row>
  </sheetData>
  <mergeCells count="27">
    <mergeCell ref="C79:C80"/>
    <mergeCell ref="C71:C72"/>
    <mergeCell ref="D71:D72"/>
    <mergeCell ref="D73:D74"/>
    <mergeCell ref="F7:F8"/>
    <mergeCell ref="G7:G8"/>
    <mergeCell ref="D77:D78"/>
    <mergeCell ref="I7:I8"/>
    <mergeCell ref="C85:C86"/>
    <mergeCell ref="D75:D76"/>
    <mergeCell ref="D6:D8"/>
    <mergeCell ref="E6:I6"/>
    <mergeCell ref="J6:J8"/>
    <mergeCell ref="D79:D80"/>
    <mergeCell ref="C83:C84"/>
    <mergeCell ref="D81:D82"/>
    <mergeCell ref="C73:C74"/>
    <mergeCell ref="D83:D84"/>
    <mergeCell ref="E7:E8"/>
    <mergeCell ref="D85:D86"/>
    <mergeCell ref="C77:C78"/>
    <mergeCell ref="B6:B8"/>
    <mergeCell ref="C3:J3"/>
    <mergeCell ref="C75:C76"/>
    <mergeCell ref="H7:H8"/>
    <mergeCell ref="C6:C8"/>
    <mergeCell ref="C81:C82"/>
  </mergeCells>
  <conditionalFormatting sqref="O10:O89 P10:P89 U10:U89 V10:V89 AA10:AA89 AB10:AB89 AG10:AG89 AH10:AH89 AM10:AM89 AN10:AN89 AS10:AS89 AT10:AT89 AY10:AY89 AZ10:AZ89 BE10:BE89 BF10:BF89 BK10:BK89 BL10:BL89 BQ10:BQ89 BR10:BR89 BW10:BW89 BX10:BX89 CC10:CC89 CD10:CD89 CI10:CI89 CJ10:CJ89 CO10:CO89 CP10:CP89 CU10:CU89 CV10:CV89 DA10:DA89 DB10:DB89 DG10:DG89 DH10:DH89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89 N10:N89 R10:R89 T10:T89 X10:X89 Z10:Z89 AD10:AD89 AF10:AF89 AJ10:AJ89 AL10:AL89 AP10:AP89 AR10:AR89 AV10:AV89 AX10:AX89 BB10:BB89 BD10:BD89 BH10:BH89 BJ10:BJ89 BN10:BN89 BP10:BP89 BT10:BT89 BV10:BV89 BZ10:BZ89 CB10:CB89 CF10:CF89 CH10:CH89 CL10:CL89 CN10:CN89 CR10:CR89 CT10:CT89 CX10:CX89 CZ10:CZ89 DD10:DD89 DF10:DF89">
    <cfRule type="cellIs" priority="4" operator="equal" dxfId="0">
      <formula>0</formula>
    </cfRule>
  </conditionalFormatting>
  <pageMargins left="0.25" right="0.25" top="0.75" bottom="0.75" header="0.3" footer="0.3"/>
  <pageSetup orientation="portrait" paperSize="9" scale="73" fitToHeight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Лист13">
    <tabColor theme="8" tint="0.5999938962981048"/>
    <outlinePr summaryBelow="1" summaryRight="1"/>
    <pageSetUpPr autoPageBreaks="0" fitToPage="1"/>
  </sheetPr>
  <dimension ref="A3:J60"/>
  <sheetViews>
    <sheetView zoomScale="60" zoomScaleNormal="60" zoomScaleSheetLayoutView="50" workbookViewId="0">
      <pane xSplit="10" ySplit="9" topLeftCell="K10" activePane="bottomRight" state="frozen"/>
      <selection pane="topRight" activeCell="K1" sqref="K1"/>
      <selection pane="bottomLeft" activeCell="A10" sqref="A10"/>
      <selection pane="bottomRight" activeCell="E1" sqref="E1:I1048576"/>
    </sheetView>
  </sheetViews>
  <sheetFormatPr baseColWidth="8" defaultColWidth="25" defaultRowHeight="18.75" outlineLevelRow="1"/>
  <cols>
    <col hidden="1" outlineLevel="1" width="9.140625" customWidth="1" style="795" min="1" max="1"/>
    <col hidden="1" outlineLevel="1" width="10.42578125" customWidth="1" style="795" min="2" max="2"/>
    <col collapsed="1" width="8.42578125" customWidth="1" style="795" min="3" max="3"/>
    <col width="73.42578125" customWidth="1" style="795" min="4" max="4"/>
    <col outlineLevel="1" width="32.7109375" customWidth="1" style="795" min="5" max="9"/>
    <col width="12.85546875" bestFit="1" customWidth="1" style="796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5" customHeight="1" s="769"/>
    <row r="2" ht="15" customHeight="1" s="769"/>
    <row r="3" ht="20.25" customHeight="1" s="769">
      <c r="C3" s="856" t="inlineStr">
        <is>
          <t>Прогнозные показатели по поставке, переработке сырья и производству продукции ООО "Газпром добыча Краснодар"</t>
        </is>
      </c>
    </row>
    <row r="4" ht="19.5" customHeight="1" s="769"/>
    <row r="5" ht="19.5" customHeight="1" s="769">
      <c r="C5" s="363" t="inlineStr">
        <is>
          <t>9. ООО "Газпром добыча Краснодар"</t>
        </is>
      </c>
      <c r="J5" s="950" t="n"/>
    </row>
    <row r="6" ht="20.1" customHeight="1" s="769">
      <c r="B6" s="792" t="inlineStr">
        <is>
          <t>Код строки</t>
        </is>
      </c>
      <c r="C6" s="863" t="inlineStr">
        <is>
          <t>№ 
п/п</t>
        </is>
      </c>
      <c r="D6" s="861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 изм.</t>
        </is>
      </c>
    </row>
    <row r="7" ht="39.95" customHeight="1" s="769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C8" s="766" t="n"/>
      <c r="D8" s="766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866" t="n"/>
      <c r="D9" s="654" t="n"/>
      <c r="E9" s="869" t="n"/>
      <c r="F9" s="869" t="n"/>
      <c r="G9" s="869" t="n"/>
      <c r="H9" s="869" t="n"/>
      <c r="I9" s="869" t="n"/>
      <c r="J9" s="654" t="n"/>
    </row>
    <row r="10" ht="30" customFormat="1" customHeight="1" s="325">
      <c r="B10" s="184" t="inlineStr">
        <is>
          <t>9.1</t>
        </is>
      </c>
      <c r="C10" s="25" t="n">
        <v>1</v>
      </c>
      <c r="D10" s="200" t="inlineStr">
        <is>
          <t xml:space="preserve">Поставка сырья на переработку, всего </t>
        </is>
      </c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861" t="inlineStr">
        <is>
          <t>тыс.т.</t>
        </is>
      </c>
    </row>
    <row r="11" ht="20.1" customHeight="1" s="769">
      <c r="B11" s="112" t="inlineStr">
        <is>
          <t>9.2</t>
        </is>
      </c>
      <c r="C11" s="834" t="inlineStr">
        <is>
          <t>1.1</t>
        </is>
      </c>
      <c r="D11" s="788" t="inlineStr">
        <is>
          <t>Природный газ, всего:</t>
        </is>
      </c>
      <c r="E11" s="528" t="n">
        <v>100330003</v>
      </c>
      <c r="F11" s="528" t="n"/>
      <c r="G11" s="529" t="n"/>
      <c r="H11" s="530" t="inlineStr">
        <is>
          <t>100330661</t>
        </is>
      </c>
      <c r="I11" s="530" t="n"/>
      <c r="J11" s="654" t="inlineStr">
        <is>
          <t>тыс. т</t>
        </is>
      </c>
    </row>
    <row r="12" ht="20.1" customHeight="1" s="769">
      <c r="B12" s="112" t="inlineStr">
        <is>
          <t>9.3</t>
        </is>
      </c>
      <c r="C12" s="766" t="n"/>
      <c r="D12" s="766" t="n"/>
      <c r="E12" s="528" t="n">
        <v>100330004</v>
      </c>
      <c r="F12" s="528" t="n"/>
      <c r="G12" s="529" t="n"/>
      <c r="H12" s="530" t="inlineStr">
        <is>
          <t>100330662</t>
        </is>
      </c>
      <c r="I12" s="530" t="n"/>
      <c r="J12" s="939" t="inlineStr">
        <is>
          <t>млн куб.м</t>
        </is>
      </c>
    </row>
    <row r="13" ht="20.1" customHeight="1" s="769">
      <c r="B13" s="184" t="inlineStr">
        <is>
          <t>9.4</t>
        </is>
      </c>
      <c r="C13" s="800" t="inlineStr">
        <is>
          <t>1.1.1.</t>
        </is>
      </c>
      <c r="D13" s="787" t="inlineStr">
        <is>
          <t>Природный газ с Вуктылского ГПУ (Северо-Западный ФО) (добыча)</t>
        </is>
      </c>
      <c r="E13" s="528" t="n">
        <v>100330661</v>
      </c>
      <c r="F13" s="528" t="n"/>
      <c r="G13" s="529" t="n"/>
      <c r="H13" s="530" t="n"/>
      <c r="I13" s="530" t="n"/>
      <c r="J13" s="654" t="inlineStr">
        <is>
          <t>тыс. т</t>
        </is>
      </c>
    </row>
    <row r="14" ht="40.5" customHeight="1" s="769">
      <c r="B14" s="184" t="inlineStr">
        <is>
          <t>9.5</t>
        </is>
      </c>
      <c r="C14" s="766" t="n"/>
      <c r="D14" s="766" t="n"/>
      <c r="E14" s="528" t="n">
        <v>100330662</v>
      </c>
      <c r="F14" s="528" t="n"/>
      <c r="G14" s="529" t="n"/>
      <c r="H14" s="530" t="n"/>
      <c r="I14" s="530" t="n"/>
      <c r="J14" s="939" t="inlineStr">
        <is>
          <t>млн куб.м</t>
        </is>
      </c>
    </row>
    <row r="15" ht="20.1" customHeight="1" s="769">
      <c r="B15" s="112" t="inlineStr">
        <is>
          <t>9.6</t>
        </is>
      </c>
      <c r="C15" s="800" t="n"/>
      <c r="D15" s="124" t="inlineStr">
        <is>
          <t>Справочно:</t>
        </is>
      </c>
      <c r="E15" s="528" t="n"/>
      <c r="F15" s="528" t="n"/>
      <c r="G15" s="529" t="n"/>
      <c r="H15" s="530" t="n"/>
      <c r="I15" s="530" t="n"/>
      <c r="J15" s="647" t="n"/>
    </row>
    <row r="16" ht="20.1" customHeight="1" s="769">
      <c r="B16" s="112" t="inlineStr">
        <is>
          <t>9.7</t>
        </is>
      </c>
      <c r="C16" s="800" t="inlineStr">
        <is>
          <t>1.1.2.</t>
        </is>
      </c>
      <c r="D16" s="844" t="inlineStr">
        <is>
          <t>Газ для газлифтной эксплуатации</t>
        </is>
      </c>
      <c r="E16" s="528" t="n">
        <v>100330665</v>
      </c>
      <c r="F16" s="528" t="n"/>
      <c r="G16" s="529" t="n"/>
      <c r="H16" s="530" t="n"/>
      <c r="I16" s="530" t="n"/>
      <c r="J16" s="654" t="inlineStr">
        <is>
          <t>тыс. т</t>
        </is>
      </c>
    </row>
    <row r="17" ht="20.1" customHeight="1" s="769">
      <c r="B17" s="184" t="inlineStr">
        <is>
          <t>9.8</t>
        </is>
      </c>
      <c r="C17" s="766" t="n"/>
      <c r="D17" s="766" t="n"/>
      <c r="E17" s="528" t="n">
        <v>100330666</v>
      </c>
      <c r="F17" s="528" t="n"/>
      <c r="G17" s="529" t="n"/>
      <c r="H17" s="530" t="n"/>
      <c r="I17" s="530" t="n"/>
      <c r="J17" s="939" t="inlineStr">
        <is>
          <t>млн куб.м</t>
        </is>
      </c>
    </row>
    <row r="18" ht="20.1" customHeight="1" s="769">
      <c r="B18" s="184" t="inlineStr">
        <is>
          <t>9.9</t>
        </is>
      </c>
      <c r="C18" s="800" t="inlineStr">
        <is>
          <t>1.1.3</t>
        </is>
      </c>
      <c r="D18" s="844" t="inlineStr">
        <is>
          <t>Газ на собственные технологические нужды</t>
        </is>
      </c>
      <c r="E18" s="528" t="n">
        <v>100330663</v>
      </c>
      <c r="F18" s="528" t="n"/>
      <c r="G18" s="529" t="n"/>
      <c r="H18" s="530" t="n"/>
      <c r="I18" s="530" t="n"/>
      <c r="J18" s="654" t="inlineStr">
        <is>
          <t>тыс. т</t>
        </is>
      </c>
    </row>
    <row r="19" ht="20.1" customHeight="1" s="769">
      <c r="B19" s="112" t="inlineStr">
        <is>
          <t>9.10</t>
        </is>
      </c>
      <c r="C19" s="766" t="n"/>
      <c r="D19" s="766" t="n"/>
      <c r="E19" s="528" t="n">
        <v>100330664</v>
      </c>
      <c r="F19" s="528" t="n"/>
      <c r="G19" s="529" t="n"/>
      <c r="H19" s="530" t="n"/>
      <c r="I19" s="530" t="n"/>
      <c r="J19" s="939" t="inlineStr">
        <is>
          <t>млн куб.м</t>
        </is>
      </c>
    </row>
    <row r="20" ht="20.1" customHeight="1" s="769">
      <c r="B20" s="112" t="inlineStr">
        <is>
          <t>9.11</t>
        </is>
      </c>
      <c r="C20" s="800" t="inlineStr">
        <is>
          <t>1.1.4.</t>
        </is>
      </c>
      <c r="D20" s="844" t="inlineStr">
        <is>
          <t>Поставка газа в МГ на период ремонтов</t>
        </is>
      </c>
      <c r="E20" s="528" t="n">
        <v>100330667</v>
      </c>
      <c r="F20" s="528" t="n"/>
      <c r="G20" s="529" t="n"/>
      <c r="H20" s="530" t="n"/>
      <c r="I20" s="530" t="n"/>
      <c r="J20" s="654" t="inlineStr">
        <is>
          <t>тыс. т</t>
        </is>
      </c>
    </row>
    <row r="21" ht="20.1" customHeight="1" s="769">
      <c r="B21" s="184" t="inlineStr">
        <is>
          <t>9.12</t>
        </is>
      </c>
      <c r="C21" s="766" t="n"/>
      <c r="D21" s="766" t="n"/>
      <c r="E21" s="528" t="n">
        <v>100330668</v>
      </c>
      <c r="F21" s="528" t="n"/>
      <c r="G21" s="529" t="n"/>
      <c r="H21" s="530" t="n"/>
      <c r="I21" s="530" t="n"/>
      <c r="J21" s="939" t="inlineStr">
        <is>
          <t>млн куб.м</t>
        </is>
      </c>
    </row>
    <row r="22" ht="19.5" customHeight="1" s="769">
      <c r="B22" s="184" t="inlineStr">
        <is>
          <t>9.13</t>
        </is>
      </c>
      <c r="C22" s="800" t="inlineStr">
        <is>
          <t>1.1.5.</t>
        </is>
      </c>
      <c r="D22" s="777" t="inlineStr">
        <is>
          <t>Поставка газа на Сосногорский ГПЗ, собственность ПАО "Газпром"</t>
        </is>
      </c>
      <c r="E22" s="528" t="n">
        <v>100330868</v>
      </c>
      <c r="F22" s="528" t="n"/>
      <c r="G22" s="529" t="n"/>
      <c r="H22" s="530" t="inlineStr">
        <is>
          <t>100330661+100330665-100330663-100330667</t>
        </is>
      </c>
      <c r="I22" s="530" t="n"/>
      <c r="J22" s="647" t="inlineStr">
        <is>
          <t>тыс. т</t>
        </is>
      </c>
    </row>
    <row r="23" ht="20.1" customHeight="1" s="769">
      <c r="B23" s="112" t="inlineStr">
        <is>
          <t>9.14</t>
        </is>
      </c>
      <c r="C23" s="766" t="n"/>
      <c r="E23" s="528" t="n">
        <v>100330869</v>
      </c>
      <c r="F23" s="528" t="n"/>
      <c r="G23" s="529" t="n"/>
      <c r="H23" s="530" t="inlineStr">
        <is>
          <t>100330662+100330666-100330664-100330668</t>
        </is>
      </c>
      <c r="I23" s="530" t="n"/>
      <c r="J23" s="939" t="inlineStr">
        <is>
          <t>млн куб.м</t>
        </is>
      </c>
    </row>
    <row r="24" ht="20.1" customHeight="1" s="769">
      <c r="B24" s="112" t="inlineStr">
        <is>
          <t>9.15</t>
        </is>
      </c>
      <c r="C24" s="834" t="inlineStr">
        <is>
          <t>1.2</t>
        </is>
      </c>
      <c r="D24" s="788" t="inlineStr">
        <is>
          <t>Нефтегазоконденсатная смесь, всего:</t>
        </is>
      </c>
      <c r="E24" s="528" t="n">
        <v>100330669</v>
      </c>
      <c r="F24" s="528" t="n"/>
      <c r="G24" s="529" t="n"/>
      <c r="H24" s="530" t="inlineStr">
        <is>
          <t>100330670+100330673</t>
        </is>
      </c>
      <c r="I24" s="530" t="n"/>
      <c r="J24" s="654" t="inlineStr">
        <is>
          <t>тыс.т.</t>
        </is>
      </c>
    </row>
    <row r="25" ht="37.5" customHeight="1" s="769">
      <c r="B25" s="184" t="inlineStr">
        <is>
          <t>9.16</t>
        </is>
      </c>
      <c r="C25" s="800" t="inlineStr">
        <is>
          <t>1.2.1.</t>
        </is>
      </c>
      <c r="D25" s="840" t="inlineStr">
        <is>
          <t>НГКС с Вуктыльского ГПУ , собственность ООО "Газпром добыча Краснодар", всего:</t>
        </is>
      </c>
      <c r="E25" s="528" t="n">
        <v>100330670</v>
      </c>
      <c r="F25" s="528" t="n"/>
      <c r="G25" s="529" t="n"/>
      <c r="H25" s="530" t="inlineStr">
        <is>
          <t>100330870+100330871</t>
        </is>
      </c>
      <c r="I25" s="530" t="n"/>
      <c r="J25" s="654" t="inlineStr">
        <is>
          <t>тыс.т.</t>
        </is>
      </c>
    </row>
    <row r="26" ht="20.1" customHeight="1" s="769">
      <c r="B26" s="184" t="inlineStr">
        <is>
          <t>9.17</t>
        </is>
      </c>
      <c r="C26" s="800" t="n"/>
      <c r="D26" s="845" t="inlineStr">
        <is>
          <t xml:space="preserve">нестабильный конденсат (Северо-Западный ФО) </t>
        </is>
      </c>
      <c r="E26" s="528" t="n">
        <v>100330870</v>
      </c>
      <c r="F26" s="528" t="n"/>
      <c r="G26" s="529" t="n"/>
      <c r="H26" s="530" t="n"/>
      <c r="I26" s="530" t="n"/>
      <c r="J26" s="654" t="inlineStr">
        <is>
          <t>тыс.т.</t>
        </is>
      </c>
    </row>
    <row r="27" ht="20.1" customHeight="1" s="769">
      <c r="B27" s="112" t="inlineStr">
        <is>
          <t>9.18</t>
        </is>
      </c>
      <c r="C27" s="800" t="n"/>
      <c r="D27" s="787" t="inlineStr">
        <is>
          <t>нефть (Северо-Западный ФО)</t>
        </is>
      </c>
      <c r="E27" s="528" t="n">
        <v>100330871</v>
      </c>
      <c r="F27" s="528" t="n"/>
      <c r="G27" s="529" t="n"/>
      <c r="H27" s="530" t="n"/>
      <c r="I27" s="530" t="n"/>
      <c r="J27" s="654" t="inlineStr">
        <is>
          <t>тыс.т.</t>
        </is>
      </c>
    </row>
    <row r="28" ht="20.1" customHeight="1" s="769">
      <c r="B28" s="112" t="inlineStr">
        <is>
          <t>9.19</t>
        </is>
      </c>
      <c r="C28" s="800" t="inlineStr">
        <is>
          <t>1.2.2.</t>
        </is>
      </c>
      <c r="D28" s="840" t="inlineStr">
        <is>
          <t>НГКС, собственность ООО "Газпром добыча Краснодар"</t>
        </is>
      </c>
      <c r="E28" s="528" t="n">
        <v>100330673</v>
      </c>
      <c r="F28" s="528" t="n"/>
      <c r="G28" s="529" t="n"/>
      <c r="H28" s="530" t="inlineStr">
        <is>
          <t>100330671+100330672</t>
        </is>
      </c>
      <c r="I28" s="530" t="n"/>
      <c r="J28" s="654" t="inlineStr">
        <is>
          <t>тыс.т.</t>
        </is>
      </c>
    </row>
    <row r="29" ht="20.1" customHeight="1" s="769">
      <c r="B29" s="184" t="inlineStr">
        <is>
          <t>9.20</t>
        </is>
      </c>
      <c r="C29" s="800" t="n"/>
      <c r="D29" s="845" t="inlineStr">
        <is>
          <t>нестабильный конденсат (Южный ФО и Сев-Кавказский ФО)</t>
        </is>
      </c>
      <c r="E29" s="528" t="n">
        <v>100330671</v>
      </c>
      <c r="F29" s="528" t="n"/>
      <c r="G29" s="529" t="n"/>
      <c r="H29" s="530" t="n"/>
      <c r="I29" s="530" t="n"/>
      <c r="J29" s="654" t="inlineStr">
        <is>
          <t>тыс.т.</t>
        </is>
      </c>
    </row>
    <row r="30" ht="20.1" customHeight="1" s="769">
      <c r="B30" s="184" t="inlineStr">
        <is>
          <t>9.21</t>
        </is>
      </c>
      <c r="C30" s="800" t="n"/>
      <c r="D30" s="787" t="inlineStr">
        <is>
          <t>нефть (Южный ФО)</t>
        </is>
      </c>
      <c r="E30" s="528" t="n">
        <v>100330672</v>
      </c>
      <c r="F30" s="528" t="n"/>
      <c r="G30" s="529" t="n"/>
      <c r="H30" s="530" t="n"/>
      <c r="I30" s="530" t="n"/>
      <c r="J30" s="654" t="inlineStr">
        <is>
          <t>тыс.т.</t>
        </is>
      </c>
    </row>
    <row r="31" ht="20.1" customHeight="1" s="769">
      <c r="B31" s="112" t="inlineStr">
        <is>
          <t>9.22</t>
        </is>
      </c>
      <c r="C31" s="800" t="n"/>
      <c r="D31" s="124" t="inlineStr">
        <is>
          <t>Справочно:</t>
        </is>
      </c>
      <c r="E31" s="528" t="n"/>
      <c r="F31" s="528" t="n"/>
      <c r="G31" s="529" t="n"/>
      <c r="H31" s="530" t="n"/>
      <c r="I31" s="530" t="n"/>
      <c r="J31" s="654" t="n"/>
    </row>
    <row r="32" outlineLevel="1" ht="29.25" customHeight="1" s="769">
      <c r="B32" s="112" t="inlineStr">
        <is>
          <t>9.23</t>
        </is>
      </c>
      <c r="C32" s="883" t="n">
        <v>2</v>
      </c>
      <c r="D32" s="124" t="inlineStr">
        <is>
          <t>Потери сырья, всего:</t>
        </is>
      </c>
      <c r="E32" s="528" t="n">
        <v>100330674</v>
      </c>
      <c r="F32" s="528" t="n"/>
      <c r="G32" s="529" t="n"/>
      <c r="H32" s="530" t="inlineStr">
        <is>
          <t>100330675+100330676</t>
        </is>
      </c>
      <c r="I32" s="530" t="n"/>
      <c r="J32" s="654" t="inlineStr">
        <is>
          <t>тыс.т.</t>
        </is>
      </c>
    </row>
    <row r="33" outlineLevel="1" ht="37.5" customHeight="1" s="769">
      <c r="B33" s="184" t="inlineStr">
        <is>
          <t>9.24</t>
        </is>
      </c>
      <c r="C33" s="654" t="n"/>
      <c r="D33" s="201" t="inlineStr">
        <is>
          <t>Потери при поставке  НГКС с Вуктылского ГПУ, собственность Краснодар, всего:</t>
        </is>
      </c>
      <c r="E33" s="528" t="n">
        <v>100330675</v>
      </c>
      <c r="F33" s="528" t="n"/>
      <c r="G33" s="529" t="n"/>
      <c r="H33" s="530" t="inlineStr">
        <is>
          <t>100330872+100330873</t>
        </is>
      </c>
      <c r="I33" s="530" t="n"/>
      <c r="J33" s="654" t="inlineStr">
        <is>
          <t>тыс.т.</t>
        </is>
      </c>
    </row>
    <row r="34" outlineLevel="1" ht="20.1" customHeight="1" s="769">
      <c r="B34" s="184" t="inlineStr">
        <is>
          <t>9.25</t>
        </is>
      </c>
      <c r="C34" s="800" t="n"/>
      <c r="D34" s="844" t="inlineStr">
        <is>
          <t xml:space="preserve"> - нестабильный конденсат </t>
        </is>
      </c>
      <c r="E34" s="528" t="n">
        <v>100330872</v>
      </c>
      <c r="F34" s="528" t="n"/>
      <c r="G34" s="529" t="n"/>
      <c r="H34" s="530" t="n"/>
      <c r="I34" s="530" t="n"/>
      <c r="J34" s="654" t="inlineStr">
        <is>
          <t>тыс.т.</t>
        </is>
      </c>
    </row>
    <row r="35" outlineLevel="1" ht="20.1" customHeight="1" s="769">
      <c r="B35" s="112" t="inlineStr">
        <is>
          <t>9.26</t>
        </is>
      </c>
      <c r="C35" s="800" t="n"/>
      <c r="D35" s="830" t="inlineStr">
        <is>
          <t xml:space="preserve"> - нефть </t>
        </is>
      </c>
      <c r="E35" s="528" t="n">
        <v>100330873</v>
      </c>
      <c r="F35" s="528" t="n"/>
      <c r="G35" s="529" t="n"/>
      <c r="H35" s="530" t="n"/>
      <c r="I35" s="530" t="n"/>
      <c r="J35" s="654" t="inlineStr">
        <is>
          <t>тыс.т.</t>
        </is>
      </c>
    </row>
    <row r="36" outlineLevel="1" ht="37.5" customHeight="1" s="769">
      <c r="B36" s="112" t="inlineStr">
        <is>
          <t>9.27</t>
        </is>
      </c>
      <c r="C36" s="654" t="n"/>
      <c r="D36" s="201" t="inlineStr">
        <is>
          <t>Потери при переработке НГКС, собственность ООО "Газпром добыча Краснодар"</t>
        </is>
      </c>
      <c r="E36" s="528" t="n">
        <v>100330676</v>
      </c>
      <c r="F36" s="528" t="n"/>
      <c r="G36" s="529" t="n"/>
      <c r="H36" s="530" t="n"/>
      <c r="I36" s="530" t="n"/>
      <c r="J36" s="654" t="inlineStr">
        <is>
          <t>тыс.т.</t>
        </is>
      </c>
    </row>
    <row r="37" ht="22.5" customHeight="1" s="769">
      <c r="B37" s="184" t="inlineStr">
        <is>
          <t>9.28</t>
        </is>
      </c>
      <c r="C37" s="883" t="n">
        <v>3</v>
      </c>
      <c r="D37" s="788" t="inlineStr">
        <is>
          <t xml:space="preserve">Производство продукции, всего </t>
        </is>
      </c>
      <c r="E37" s="528" t="n">
        <v>100330049</v>
      </c>
      <c r="F37" s="528" t="n"/>
      <c r="G37" s="529" t="n"/>
      <c r="H37" s="530" t="inlineStr">
        <is>
          <t>100330874+100330677</t>
        </is>
      </c>
      <c r="I37" s="530" t="n"/>
      <c r="J37" s="654" t="inlineStr">
        <is>
          <t>тыс.т.</t>
        </is>
      </c>
    </row>
    <row r="38" ht="39" customHeight="1" s="769">
      <c r="B38" s="184" t="inlineStr">
        <is>
          <t>9.29</t>
        </is>
      </c>
      <c r="C38" s="834" t="inlineStr">
        <is>
          <t>3.1</t>
        </is>
      </c>
      <c r="D38" s="788" t="inlineStr">
        <is>
          <t>Поставка НГКС  на Сосногорский ГПЗ, собственность ПАО "Газпром", всего:</t>
        </is>
      </c>
      <c r="E38" s="528" t="n">
        <v>100330874</v>
      </c>
      <c r="F38" s="528" t="n"/>
      <c r="G38" s="529" t="n"/>
      <c r="H38" s="530" t="inlineStr">
        <is>
          <t>100330875+100330876</t>
        </is>
      </c>
      <c r="I38" s="530" t="n"/>
      <c r="J38" s="654" t="inlineStr">
        <is>
          <t>тыс.т.</t>
        </is>
      </c>
    </row>
    <row r="39" ht="20.1" customHeight="1" s="769">
      <c r="B39" s="112" t="inlineStr">
        <is>
          <t>9.30</t>
        </is>
      </c>
      <c r="C39" s="800" t="n"/>
      <c r="D39" s="845" t="inlineStr">
        <is>
          <t xml:space="preserve">нестабильный конденсат (Северо-Западный ФО) </t>
        </is>
      </c>
      <c r="E39" s="528" t="n">
        <v>100330875</v>
      </c>
      <c r="F39" s="528" t="n"/>
      <c r="G39" s="529" t="n"/>
      <c r="H39" s="530" t="inlineStr">
        <is>
          <t>100330870-100330872</t>
        </is>
      </c>
      <c r="I39" s="530" t="n"/>
      <c r="J39" s="654" t="inlineStr">
        <is>
          <t>тыс.т.</t>
        </is>
      </c>
    </row>
    <row r="40" ht="20.1" customHeight="1" s="769">
      <c r="B40" s="112" t="inlineStr">
        <is>
          <t>9.31</t>
        </is>
      </c>
      <c r="C40" s="800" t="n"/>
      <c r="D40" s="787" t="inlineStr">
        <is>
          <t>нефть (Северо-Западный ФО)</t>
        </is>
      </c>
      <c r="E40" s="528" t="n">
        <v>100330876</v>
      </c>
      <c r="F40" s="528" t="n"/>
      <c r="G40" s="529" t="n"/>
      <c r="H40" s="530" t="inlineStr">
        <is>
          <t>100330871-100330873</t>
        </is>
      </c>
      <c r="I40" s="530" t="n"/>
      <c r="J40" s="654" t="inlineStr">
        <is>
          <t>тыс.т.</t>
        </is>
      </c>
    </row>
    <row r="41" ht="39" customHeight="1" s="769">
      <c r="B41" s="184" t="inlineStr">
        <is>
          <t>9.32</t>
        </is>
      </c>
      <c r="C41" s="834" t="inlineStr">
        <is>
          <t>3.2</t>
        </is>
      </c>
      <c r="D41" s="859" t="inlineStr">
        <is>
          <t>Производство продукции, собственность ООО "Газпром добыча Краснодар", всего:</t>
        </is>
      </c>
      <c r="E41" s="528" t="n">
        <v>100330677</v>
      </c>
      <c r="F41" s="528" t="n"/>
      <c r="G41" s="529" t="n"/>
      <c r="H41" s="530" t="inlineStr">
        <is>
          <t>100335068+100330683+100330679</t>
        </is>
      </c>
      <c r="I41" s="530" t="n"/>
      <c r="J41" s="654" t="inlineStr">
        <is>
          <t>тыс.т.</t>
        </is>
      </c>
    </row>
    <row r="42" ht="19.5" customHeight="1" s="769">
      <c r="B42" s="184" t="inlineStr">
        <is>
          <t>9.33</t>
        </is>
      </c>
      <c r="C42" s="834" t="inlineStr">
        <is>
          <t>3.2.1</t>
        </is>
      </c>
      <c r="D42" s="788" t="inlineStr">
        <is>
          <t>Газовый конденсат, товарный в адрес ПАО "Газпром"</t>
        </is>
      </c>
      <c r="E42" s="528" t="n">
        <v>100335068</v>
      </c>
      <c r="F42" s="528" t="n"/>
      <c r="G42" s="529" t="n"/>
      <c r="H42" s="530" t="n"/>
      <c r="I42" s="530" t="n"/>
      <c r="J42" s="654" t="inlineStr">
        <is>
          <t>тыс.т.</t>
        </is>
      </c>
    </row>
    <row r="43" ht="20.1" customHeight="1" s="769">
      <c r="B43" s="112" t="inlineStr">
        <is>
          <t>9.34</t>
        </is>
      </c>
      <c r="C43" s="800" t="n"/>
      <c r="D43" s="201" t="inlineStr">
        <is>
          <t>Справочно:</t>
        </is>
      </c>
      <c r="E43" s="528" t="n"/>
      <c r="F43" s="528" t="n"/>
      <c r="G43" s="529" t="n"/>
      <c r="H43" s="530" t="n"/>
      <c r="I43" s="530" t="n"/>
      <c r="J43" s="654" t="n"/>
    </row>
    <row r="44" ht="19.5" customFormat="1" customHeight="1" s="839">
      <c r="A44" s="178" t="inlineStr">
        <is>
          <t>!</t>
        </is>
      </c>
      <c r="B44" s="112" t="inlineStr">
        <is>
          <t>9.35</t>
        </is>
      </c>
      <c r="C44" s="800" t="n"/>
      <c r="D44" s="844" t="inlineStr">
        <is>
          <t>Газовый конденсат,  собственная потребность</t>
        </is>
      </c>
      <c r="E44" s="528" t="n">
        <v>100330878</v>
      </c>
      <c r="F44" s="528" t="n"/>
      <c r="G44" s="529" t="n"/>
      <c r="H44" s="530" t="n"/>
      <c r="I44" s="530" t="n"/>
      <c r="J44" s="654" t="inlineStr">
        <is>
          <t>тыс.т.</t>
        </is>
      </c>
    </row>
    <row r="45" ht="20.1" customFormat="1" customHeight="1" s="839">
      <c r="B45" s="184" t="inlineStr">
        <is>
          <t>9.36</t>
        </is>
      </c>
      <c r="C45" s="800" t="n"/>
      <c r="D45" s="33" t="inlineStr">
        <is>
          <t>Газовый конденсат, валовый</t>
        </is>
      </c>
      <c r="E45" s="528" t="n">
        <v>100330879</v>
      </c>
      <c r="F45" s="528" t="n"/>
      <c r="G45" s="529" t="n"/>
      <c r="H45" s="530" t="n"/>
      <c r="I45" s="530" t="n"/>
      <c r="J45" s="654" t="inlineStr">
        <is>
          <t>тыс.т.</t>
        </is>
      </c>
    </row>
    <row r="46" ht="19.5" customHeight="1" s="769">
      <c r="B46" s="184" t="inlineStr">
        <is>
          <t>9.37</t>
        </is>
      </c>
      <c r="C46" s="834" t="inlineStr">
        <is>
          <t>3.2.2</t>
        </is>
      </c>
      <c r="D46" s="779" t="inlineStr">
        <is>
          <t>НГКС,  товарный   в адрес ПАО "Газпром"</t>
        </is>
      </c>
      <c r="E46" s="528" t="n">
        <v>100330683</v>
      </c>
      <c r="F46" s="528" t="n"/>
      <c r="G46" s="529" t="n"/>
      <c r="H46" s="530" t="n"/>
      <c r="I46" s="530" t="n"/>
      <c r="J46" s="654" t="inlineStr">
        <is>
          <t>тыс.т.</t>
        </is>
      </c>
    </row>
    <row r="47" ht="20.1" customHeight="1" s="769">
      <c r="B47" s="112" t="inlineStr">
        <is>
          <t>9.38</t>
        </is>
      </c>
      <c r="C47" s="800" t="n"/>
      <c r="D47" s="202" t="inlineStr">
        <is>
          <t>Справочно:</t>
        </is>
      </c>
      <c r="E47" s="528" t="n"/>
      <c r="F47" s="528" t="n"/>
      <c r="G47" s="529" t="n"/>
      <c r="H47" s="530" t="n"/>
      <c r="I47" s="530" t="n"/>
      <c r="J47" s="203" t="n"/>
    </row>
    <row r="48" ht="20.1" customHeight="1" s="769">
      <c r="A48" s="192" t="inlineStr">
        <is>
          <t>!</t>
        </is>
      </c>
      <c r="B48" s="112" t="inlineStr">
        <is>
          <t>9.39</t>
        </is>
      </c>
      <c r="C48" s="800" t="n"/>
      <c r="D48" s="33" t="inlineStr">
        <is>
          <t>НГКС, валовая</t>
        </is>
      </c>
      <c r="E48" s="528" t="n">
        <v>100330684</v>
      </c>
      <c r="F48" s="528" t="n"/>
      <c r="G48" s="529" t="n"/>
      <c r="H48" s="530" t="n"/>
      <c r="I48" s="530" t="n"/>
      <c r="J48" s="654" t="inlineStr">
        <is>
          <t>тыс.т.</t>
        </is>
      </c>
    </row>
    <row r="49" ht="20.1" customHeight="1" s="769">
      <c r="B49" s="184" t="inlineStr">
        <is>
          <t>9.40</t>
        </is>
      </c>
      <c r="C49" s="834" t="inlineStr">
        <is>
          <t>3.2.3</t>
        </is>
      </c>
      <c r="D49" s="862" t="inlineStr">
        <is>
          <t>Газ стабилизации</t>
        </is>
      </c>
      <c r="E49" s="528" t="n">
        <v>100330679</v>
      </c>
      <c r="F49" s="528" t="n"/>
      <c r="G49" s="529" t="n"/>
      <c r="H49" s="530" t="n"/>
      <c r="I49" s="530" t="n"/>
      <c r="J49" s="654" t="inlineStr">
        <is>
          <t>тыс. т</t>
        </is>
      </c>
    </row>
    <row r="50" ht="20.1" customHeight="1" s="769">
      <c r="B50" s="184" t="inlineStr">
        <is>
          <t>9.41</t>
        </is>
      </c>
      <c r="C50" s="766" t="n"/>
      <c r="D50" s="766" t="n"/>
      <c r="E50" s="528" t="n">
        <v>100330680</v>
      </c>
      <c r="F50" s="528" t="n"/>
      <c r="G50" s="529" t="n"/>
      <c r="H50" s="530" t="n"/>
      <c r="I50" s="530" t="n"/>
      <c r="J50" s="939" t="inlineStr">
        <is>
          <t>млн куб.м</t>
        </is>
      </c>
    </row>
    <row r="51" outlineLevel="1" ht="30" customHeight="1" s="769">
      <c r="B51" s="112" t="inlineStr">
        <is>
          <t>9.42</t>
        </is>
      </c>
      <c r="C51" s="857" t="inlineStr">
        <is>
          <t>4</t>
        </is>
      </c>
      <c r="D51" s="204" t="inlineStr">
        <is>
          <t>Материальный баланс переработки УВС ("П.1"-"П.2"-"П.3" = 0,000)</t>
        </is>
      </c>
      <c r="E51" s="528" t="n">
        <v>100330143</v>
      </c>
      <c r="F51" s="528" t="n"/>
      <c r="G51" s="529" t="n"/>
      <c r="H51" s="530" t="inlineStr">
        <is>
          <t>100330669-100330674-100330049</t>
        </is>
      </c>
      <c r="I51" s="530" t="n"/>
      <c r="J51" s="665" t="inlineStr">
        <is>
          <t>тыс.т.</t>
        </is>
      </c>
    </row>
    <row r="52">
      <c r="C52" s="205" t="n"/>
    </row>
    <row r="53">
      <c r="C53" s="84" t="n"/>
      <c r="D53" s="832" t="inlineStr">
        <is>
          <t>* - Обеспечение своевременного внесения изменений в перечень номенклатуры сырья и продукции входит в компетенцию дочернего общества.</t>
        </is>
      </c>
      <c r="E53" s="832" t="n"/>
      <c r="F53" s="832" t="n"/>
      <c r="G53" s="832" t="n"/>
      <c r="H53" s="832" t="n"/>
      <c r="I53" s="832" t="n"/>
    </row>
    <row r="54">
      <c r="B54" s="83" t="n"/>
      <c r="C54" s="39" t="n"/>
      <c r="D54" s="832" t="n"/>
      <c r="E54" s="832" t="n"/>
      <c r="F54" s="832" t="n"/>
      <c r="G54" s="832" t="n"/>
      <c r="H54" s="832" t="n"/>
      <c r="I54" s="832" t="n"/>
    </row>
    <row r="55" ht="18.75" customHeight="1" s="769"/>
    <row r="56" ht="18.75" customHeight="1" s="769"/>
    <row r="57">
      <c r="C57" s="205" t="n"/>
    </row>
    <row r="58">
      <c r="C58" s="205" t="n"/>
    </row>
    <row r="60">
      <c r="D60" s="133" t="inlineStr">
        <is>
          <t xml:space="preserve">Реализация товарной продукции для ПАО </t>
        </is>
      </c>
      <c r="E60" s="377" t="n"/>
      <c r="F60" s="532" t="n"/>
      <c r="G60" s="532" t="n"/>
      <c r="H60" s="377" t="n"/>
      <c r="I60" s="532" t="n"/>
      <c r="J60" s="134" t="n"/>
    </row>
  </sheetData>
  <mergeCells count="25">
    <mergeCell ref="C16:C17"/>
    <mergeCell ref="D13:D14"/>
    <mergeCell ref="D16:D17"/>
    <mergeCell ref="D18:D19"/>
    <mergeCell ref="F7:F8"/>
    <mergeCell ref="D49:D50"/>
    <mergeCell ref="G7:G8"/>
    <mergeCell ref="D11:D12"/>
    <mergeCell ref="I7:I8"/>
    <mergeCell ref="D6:D8"/>
    <mergeCell ref="E6:I6"/>
    <mergeCell ref="J6:J8"/>
    <mergeCell ref="C18:C19"/>
    <mergeCell ref="C49:C50"/>
    <mergeCell ref="C20:C21"/>
    <mergeCell ref="C22:C23"/>
    <mergeCell ref="E7:E8"/>
    <mergeCell ref="D20:D21"/>
    <mergeCell ref="B6:B8"/>
    <mergeCell ref="C3:J3"/>
    <mergeCell ref="H7:H8"/>
    <mergeCell ref="C11:C12"/>
    <mergeCell ref="C6:C8"/>
    <mergeCell ref="C13:C14"/>
    <mergeCell ref="D22:D23"/>
  </mergeCells>
  <conditionalFormatting sqref="O10:O51 P10:P51 U10:U51 V10:V51 AA10:AA51 AB10:AB51 AG10:AG51 AH10:AH51 AM10:AM51 AN10:AN51 AS10:AS51 AT10:AT51 AY10:AY51 AZ10:AZ51 BE10:BE51 BF10:BF51 BK10:BK51 BL10:BL51 BQ10:BQ51 BR10:BR51 BW10:BW51 BX10:BX51 CC10:CC51 CD10:CD51 CI10:CI51 CJ10:CJ51 CO10:CO51 CP10:CP51 CU10:CU51 CV10:CV51 DA10:DA51 DB10:DB51 DG10:DG51 DH10:DH51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51 N10:N51 R10:R51 T10:T51 X10:X51 Z10:Z51 AD10:AD51 AF10:AF51 AJ10:AJ51 AL10:AL51 AP10:AP51 AR10:AR51 AV10:AV51 AX10:AX51 BB10:BB51 BD10:BD51 BH10:BH51 BJ10:BJ51 BN10:BN51 BP10:BP51 BT10:BT51 BV10:BV51 BZ10:BZ51 CB10:CB51 CF10:CF51 CH10:CH51 CL10:CL51 CN10:CN51 CR10:CR51 CT10:CT51 CX10:CX51 CZ10:CZ51 DD10:DD51 DF10:DF51">
    <cfRule type="cellIs" priority="4" operator="equal" dxfId="0">
      <formula>0</formula>
    </cfRule>
  </conditionalFormatting>
  <pageMargins left="0.7" right="0.7" top="0.75" bottom="0.75" header="0.3" footer="0.3"/>
  <pageSetup orientation="portrait" paperSize="9" scale="69" fitToHeight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Лист14">
    <tabColor theme="8" tint="0.5999938962981048"/>
    <outlinePr summaryBelow="1" summaryRight="1"/>
    <pageSetUpPr fitToPage="1"/>
  </sheetPr>
  <dimension ref="A3:J67"/>
  <sheetViews>
    <sheetView topLeftCell="C1" zoomScale="60" zoomScaleNormal="60" workbookViewId="0">
      <pane xSplit="8" ySplit="10" topLeftCell="K11" activePane="bottomRight" state="frozen"/>
      <selection activeCell="C1" sqref="C1"/>
      <selection pane="topRight" activeCell="K1" sqref="K1"/>
      <selection pane="bottomLeft" activeCell="C11" sqref="C11"/>
      <selection pane="bottomRight" activeCell="E1" sqref="E1:I1048576"/>
    </sheetView>
  </sheetViews>
  <sheetFormatPr baseColWidth="8" defaultColWidth="25" defaultRowHeight="19.5" outlineLevelRow="1"/>
  <cols>
    <col hidden="1" outlineLevel="1" width="37.7109375" customWidth="1" style="178" min="1" max="1"/>
    <col hidden="1" outlineLevel="1" width="10.28515625" customWidth="1" style="795" min="2" max="2"/>
    <col collapsed="1" width="12.140625" bestFit="1" customWidth="1" style="84" min="3" max="3"/>
    <col width="80.5703125" customWidth="1" style="795" min="4" max="4"/>
    <col outlineLevel="1" width="21.85546875" customWidth="1" style="795" min="5" max="9"/>
    <col width="12.85546875" bestFit="1" customWidth="1" style="796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5" customHeight="1" s="769"/>
    <row r="2" ht="15" customHeight="1" s="769"/>
    <row r="3" ht="20.25" customHeight="1" s="769">
      <c r="C3" s="864" t="inlineStr">
        <is>
          <t>Прогнозные показатели по поставке, переработке сырья и производству продукции ООО "Газпром добыча Ноябрьск"</t>
        </is>
      </c>
    </row>
    <row r="4" ht="50.25" customHeight="1" s="769"/>
    <row r="5" ht="15" customHeight="1" s="769"/>
    <row r="6" ht="19.5" customHeight="1" s="769">
      <c r="C6" s="363" t="inlineStr">
        <is>
          <t>10. Газпром добыча Ноябрьск</t>
        </is>
      </c>
    </row>
    <row r="7" ht="20.1" customHeight="1" s="769">
      <c r="B7" s="792" t="inlineStr">
        <is>
          <t>Код строки</t>
        </is>
      </c>
      <c r="C7" s="863" t="inlineStr">
        <is>
          <t>№ 
п/п</t>
        </is>
      </c>
      <c r="D7" s="861" t="inlineStr">
        <is>
          <t>Показатели</t>
        </is>
      </c>
      <c r="E7" s="770" t="inlineStr">
        <is>
          <t>Внутренние настройки листа</t>
        </is>
      </c>
      <c r="F7" s="771" t="n"/>
      <c r="G7" s="771" t="n"/>
      <c r="H7" s="771" t="n"/>
      <c r="I7" s="772" t="n"/>
      <c r="J7" s="790" t="inlineStr">
        <is>
          <t>Ед. изм.</t>
        </is>
      </c>
    </row>
    <row r="8" ht="39.95" customHeight="1" s="769">
      <c r="C8" s="766" t="n"/>
      <c r="D8" s="766" t="n"/>
      <c r="E8" s="752" t="inlineStr">
        <is>
          <t>Ключ статьи</t>
        </is>
      </c>
      <c r="F8" s="752" t="inlineStr">
        <is>
          <t>Ключ спец</t>
        </is>
      </c>
      <c r="G8" s="752" t="inlineStr">
        <is>
          <t>Ключ ввод данных</t>
        </is>
      </c>
      <c r="H8" s="752" t="inlineStr">
        <is>
          <t>Формулы месяца</t>
        </is>
      </c>
      <c r="I8" s="752" t="inlineStr">
        <is>
          <t>Формулы % выхода</t>
        </is>
      </c>
      <c r="J8" s="766" t="n"/>
    </row>
    <row r="9" ht="20.1" customHeight="1" s="769">
      <c r="C9" s="766" t="n"/>
      <c r="D9" s="766" t="n"/>
      <c r="E9" s="753" t="n"/>
      <c r="F9" s="753" t="n"/>
      <c r="G9" s="753" t="n"/>
      <c r="H9" s="753" t="n"/>
      <c r="I9" s="753" t="n"/>
      <c r="J9" s="751" t="n"/>
    </row>
    <row r="10" hidden="1" ht="20.1" customHeight="1" s="769">
      <c r="B10" s="792" t="n"/>
      <c r="C10" s="866" t="n"/>
      <c r="D10" s="654" t="n"/>
      <c r="E10" s="869" t="n"/>
      <c r="F10" s="869" t="n"/>
      <c r="G10" s="869" t="n"/>
      <c r="H10" s="869" t="n"/>
      <c r="I10" s="869" t="n"/>
      <c r="J10" s="206" t="n"/>
    </row>
    <row r="11" ht="20.1" customHeight="1" s="769">
      <c r="A11" s="49" t="inlineStr">
        <is>
          <t>Поставка сырья на переработку, всего:</t>
        </is>
      </c>
      <c r="B11" s="65" t="inlineStr">
        <is>
          <t>10.1</t>
        </is>
      </c>
      <c r="C11" s="66" t="inlineStr">
        <is>
          <t>1</t>
        </is>
      </c>
      <c r="D11" s="200" t="inlineStr">
        <is>
          <t>Поставка сырья на переработку, всего:</t>
        </is>
      </c>
      <c r="E11" s="528" t="inlineStr">
        <is>
          <t>100332291</t>
        </is>
      </c>
      <c r="F11" s="528" t="n"/>
      <c r="G11" s="529" t="n"/>
      <c r="H11" s="530" t="inlineStr">
        <is>
          <t>100330005+100330016</t>
        </is>
      </c>
      <c r="I11" s="530" t="n"/>
      <c r="J11" s="382" t="inlineStr">
        <is>
          <t>тыс.т.</t>
        </is>
      </c>
    </row>
    <row r="12" ht="20.1" customHeight="1" s="769">
      <c r="A12" s="148" t="inlineStr">
        <is>
          <t>Сырье, собственность ПАО "Газпром"</t>
        </is>
      </c>
      <c r="B12" s="65" t="inlineStr">
        <is>
          <t>10.2</t>
        </is>
      </c>
      <c r="C12" s="69" t="n"/>
      <c r="D12" s="845" t="inlineStr">
        <is>
          <t>Сырье, собственность ПАО "Газпром"</t>
        </is>
      </c>
      <c r="E12" s="528" t="n">
        <v>100330713</v>
      </c>
      <c r="F12" s="528" t="n"/>
      <c r="G12" s="529" t="n"/>
      <c r="H12" s="530" t="inlineStr">
        <is>
          <t>100330715+100332333+100330858</t>
        </is>
      </c>
      <c r="I12" s="530" t="n"/>
      <c r="J12" s="206" t="inlineStr">
        <is>
          <t>тыс.т.</t>
        </is>
      </c>
    </row>
    <row r="13" ht="20.1" customHeight="1" s="769">
      <c r="A13" s="148" t="inlineStr">
        <is>
          <t>Сырье, собственность ООО "Газпром добыча Ноябрьск"</t>
        </is>
      </c>
      <c r="B13" s="65" t="inlineStr">
        <is>
          <t>10.3</t>
        </is>
      </c>
      <c r="C13" s="69" t="n"/>
      <c r="D13" s="845" t="inlineStr">
        <is>
          <t>Сырье, собственность ООО "Газпром добыча Ноябрьск"</t>
        </is>
      </c>
      <c r="E13" s="528" t="n">
        <v>100330714</v>
      </c>
      <c r="F13" s="528" t="n"/>
      <c r="G13" s="529" t="n"/>
      <c r="H13" s="530" t="inlineStr">
        <is>
          <t>100330717+100330721</t>
        </is>
      </c>
      <c r="I13" s="530" t="n"/>
      <c r="J13" s="206" t="inlineStr">
        <is>
          <t>тыс.т.</t>
        </is>
      </c>
    </row>
    <row r="14" ht="20.1" customHeight="1" s="769">
      <c r="A14" s="148" t="inlineStr">
        <is>
          <t>Нестабильный газовый конденсат, всего</t>
        </is>
      </c>
      <c r="B14" s="65" t="inlineStr">
        <is>
          <t>10.4</t>
        </is>
      </c>
      <c r="C14" s="69" t="inlineStr">
        <is>
          <t>1.1</t>
        </is>
      </c>
      <c r="D14" s="788" t="inlineStr">
        <is>
          <t xml:space="preserve">Нестабильный газовый конденсат, всего </t>
        </is>
      </c>
      <c r="E14" s="528" t="n">
        <v>100330015</v>
      </c>
      <c r="F14" s="528" t="n"/>
      <c r="G14" s="529" t="n"/>
      <c r="H14" s="530" t="inlineStr">
        <is>
          <t>100330715+100330717</t>
        </is>
      </c>
      <c r="I14" s="530" t="n"/>
      <c r="J14" s="206" t="inlineStr">
        <is>
          <t>тыс.т.</t>
        </is>
      </c>
    </row>
    <row r="15" ht="20.1" customHeight="1" s="769">
      <c r="A15" s="144" t="inlineStr">
        <is>
          <t>НК, обственность Газпром</t>
        </is>
      </c>
      <c r="B15" s="65" t="inlineStr">
        <is>
          <t>10.5</t>
        </is>
      </c>
      <c r="C15" s="69" t="n"/>
      <c r="D15" s="845" t="inlineStr">
        <is>
          <t>НК, собственность ПАО "Газпром"</t>
        </is>
      </c>
      <c r="E15" s="528" t="n">
        <v>100330715</v>
      </c>
      <c r="F15" s="528" t="n"/>
      <c r="G15" s="529" t="n"/>
      <c r="H15" s="530" t="inlineStr">
        <is>
          <t>100330716</t>
        </is>
      </c>
      <c r="I15" s="530" t="n"/>
      <c r="J15" s="206" t="inlineStr">
        <is>
          <t>тыс.т.</t>
        </is>
      </c>
    </row>
    <row r="16" ht="19.5" customHeight="1" s="769">
      <c r="A16" s="207" t="inlineStr">
        <is>
          <t>в т.ч. Чаяндинское НГКМ</t>
        </is>
      </c>
      <c r="B16" s="65" t="inlineStr">
        <is>
          <t>10.6</t>
        </is>
      </c>
      <c r="C16" s="69" t="n"/>
      <c r="D16" s="801" t="inlineStr">
        <is>
          <t>в т.ч. Чаяндинское НГКМ</t>
        </is>
      </c>
      <c r="E16" s="528" t="n">
        <v>100330716</v>
      </c>
      <c r="F16" s="528" t="n"/>
      <c r="G16" s="529" t="n"/>
      <c r="H16" s="530" t="n"/>
      <c r="I16" s="530" t="n"/>
      <c r="J16" s="206" t="inlineStr">
        <is>
          <t>тыс.т.</t>
        </is>
      </c>
    </row>
    <row r="17" ht="19.5" customHeight="1" s="769">
      <c r="A17" s="144" t="inlineStr">
        <is>
          <t>НК, собственность ООО "Газпром добыча Ноябрьск"</t>
        </is>
      </c>
      <c r="B17" s="65" t="inlineStr">
        <is>
          <t>10.7</t>
        </is>
      </c>
      <c r="C17" s="69" t="n"/>
      <c r="D17" s="845" t="inlineStr">
        <is>
          <t>НК, собственность ООО "Газпром добыча Ноябрьск"</t>
        </is>
      </c>
      <c r="E17" s="528" t="n">
        <v>100330717</v>
      </c>
      <c r="F17" s="528" t="n"/>
      <c r="G17" s="529" t="n"/>
      <c r="H17" s="530" t="inlineStr">
        <is>
          <t>100330718+100330719+100336327</t>
        </is>
      </c>
      <c r="I17" s="530" t="n"/>
      <c r="J17" s="206" t="inlineStr">
        <is>
          <t>тыс.т.</t>
        </is>
      </c>
    </row>
    <row r="18" ht="19.5" customHeight="1" s="769">
      <c r="A18" s="207" t="inlineStr">
        <is>
          <t>в т.ч. Камчатское ГПУ</t>
        </is>
      </c>
      <c r="B18" s="65" t="inlineStr">
        <is>
          <t>10.8</t>
        </is>
      </c>
      <c r="C18" s="69" t="n"/>
      <c r="D18" s="801" t="inlineStr">
        <is>
          <t>в т.ч. Камчатское ГПУ</t>
        </is>
      </c>
      <c r="E18" s="528" t="n">
        <v>100330718</v>
      </c>
      <c r="F18" s="528" t="n"/>
      <c r="G18" s="529" t="n"/>
      <c r="H18" s="530" t="n"/>
      <c r="I18" s="530" t="n"/>
      <c r="J18" s="206" t="inlineStr">
        <is>
          <t>тыс.т.</t>
        </is>
      </c>
    </row>
    <row r="19" ht="19.5" customHeight="1" s="769">
      <c r="A19" s="207" t="inlineStr">
        <is>
          <t>Западно-Таркосалинское НГКМ</t>
        </is>
      </c>
      <c r="B19" s="65" t="inlineStr">
        <is>
          <t>10.9</t>
        </is>
      </c>
      <c r="C19" s="69" t="n"/>
      <c r="D19" s="208" t="inlineStr">
        <is>
          <t>Западно-Таркосалинское НГКМ</t>
        </is>
      </c>
      <c r="E19" s="528" t="n">
        <v>100330719</v>
      </c>
      <c r="F19" s="528" t="n"/>
      <c r="G19" s="529" t="n"/>
      <c r="H19" s="530" t="n"/>
      <c r="I19" s="530" t="n"/>
      <c r="J19" s="206" t="inlineStr">
        <is>
          <t>тыс.т</t>
        </is>
      </c>
    </row>
    <row r="20" ht="20.1" customHeight="1" s="769">
      <c r="A20" s="207" t="inlineStr">
        <is>
          <t>Тас- Юряхское НГКМ</t>
        </is>
      </c>
      <c r="B20" s="65" t="n"/>
      <c r="C20" s="69" t="n"/>
      <c r="D20" s="801" t="inlineStr">
        <is>
          <t xml:space="preserve">         Тас-Юряхское НГКМ</t>
        </is>
      </c>
      <c r="E20" s="528" t="n">
        <v>100336327</v>
      </c>
      <c r="F20" s="528" t="n"/>
      <c r="G20" s="529" t="n"/>
      <c r="H20" s="530" t="n"/>
      <c r="I20" s="530" t="n"/>
      <c r="J20" s="206" t="inlineStr">
        <is>
          <t>тыс.т</t>
        </is>
      </c>
    </row>
    <row r="21" ht="20.1" customHeight="1" s="769">
      <c r="A21" s="148" t="inlineStr">
        <is>
          <t>Нефть сырая, всего:</t>
        </is>
      </c>
      <c r="B21" s="65" t="inlineStr">
        <is>
          <t>10.10</t>
        </is>
      </c>
      <c r="C21" s="838" t="inlineStr">
        <is>
          <t>1.2</t>
        </is>
      </c>
      <c r="D21" s="789" t="inlineStr">
        <is>
          <t>Нефть, всего:</t>
        </is>
      </c>
      <c r="E21" s="528" t="n">
        <v>100332332</v>
      </c>
      <c r="F21" s="528" t="n"/>
      <c r="G21" s="529" t="n"/>
      <c r="H21" s="530" t="inlineStr">
        <is>
          <t>100332333+100330721</t>
        </is>
      </c>
      <c r="I21" s="530" t="n"/>
      <c r="J21" s="206" t="inlineStr">
        <is>
          <t>тыс.т</t>
        </is>
      </c>
    </row>
    <row r="22" ht="20.1" customHeight="1" s="769">
      <c r="A22" s="144" t="inlineStr">
        <is>
          <t>Нефть сырая, собственность ПАО "Газпром"</t>
        </is>
      </c>
      <c r="B22" s="65" t="inlineStr">
        <is>
          <t>10.11</t>
        </is>
      </c>
      <c r="C22" s="838" t="n"/>
      <c r="D22" s="845" t="inlineStr">
        <is>
          <t>Нефть, собственность ПАО "Газпром"</t>
        </is>
      </c>
      <c r="E22" s="528" t="n">
        <v>100332333</v>
      </c>
      <c r="F22" s="528" t="n"/>
      <c r="G22" s="529" t="n"/>
      <c r="H22" s="530" t="inlineStr">
        <is>
          <t>100330720</t>
        </is>
      </c>
      <c r="I22" s="530" t="n"/>
      <c r="J22" s="206" t="inlineStr">
        <is>
          <t>тыс.т.</t>
        </is>
      </c>
    </row>
    <row r="23" ht="20.1" customHeight="1" s="769">
      <c r="A23" s="207" t="inlineStr">
        <is>
          <t>в т.ч. Чаяндинское НГКМ</t>
        </is>
      </c>
      <c r="B23" s="65" t="inlineStr">
        <is>
          <t>10.12</t>
        </is>
      </c>
      <c r="C23" s="69" t="n"/>
      <c r="D23" s="801" t="inlineStr">
        <is>
          <t xml:space="preserve">в т.ч. Чаяндинское НГКМ </t>
        </is>
      </c>
      <c r="E23" s="528" t="n">
        <v>100330720</v>
      </c>
      <c r="F23" s="528" t="n"/>
      <c r="G23" s="529" t="n"/>
      <c r="H23" s="530" t="n"/>
      <c r="I23" s="530" t="n"/>
      <c r="J23" s="206" t="inlineStr">
        <is>
          <t>тыс.т.</t>
        </is>
      </c>
    </row>
    <row r="24" ht="20.1" customHeight="1" s="769">
      <c r="A24" s="207" t="inlineStr">
        <is>
          <t xml:space="preserve">   в т.ч. конденсат по ДРОД</t>
        </is>
      </c>
      <c r="B24" s="65" t="n"/>
      <c r="C24" s="69" t="n"/>
      <c r="D24" s="208" t="inlineStr">
        <is>
          <t>в т.ч. конденсат по ДРОД</t>
        </is>
      </c>
      <c r="E24" s="528" t="n">
        <v>100335709</v>
      </c>
      <c r="F24" s="528" t="n"/>
      <c r="G24" s="529" t="n"/>
      <c r="H24" s="530" t="n"/>
      <c r="I24" s="530" t="n"/>
      <c r="J24" s="206" t="inlineStr">
        <is>
          <t>тыс.т.</t>
        </is>
      </c>
    </row>
    <row r="25" ht="20.1" customHeight="1" s="769">
      <c r="A25" s="144" t="inlineStr">
        <is>
          <t>Нефть сырая, собственность ООО "Газпром добыча Ноябрьск"</t>
        </is>
      </c>
      <c r="B25" s="65" t="inlineStr">
        <is>
          <t>10.13</t>
        </is>
      </c>
      <c r="C25" s="69" t="n"/>
      <c r="D25" s="845" t="inlineStr">
        <is>
          <t>Нефть, собственность ООО "Газпром добыча Ноябрьск"</t>
        </is>
      </c>
      <c r="E25" s="528" t="n">
        <v>100330721</v>
      </c>
      <c r="F25" s="528" t="n"/>
      <c r="G25" s="529" t="n"/>
      <c r="H25" s="530" t="inlineStr">
        <is>
          <t>100330722+100336141</t>
        </is>
      </c>
      <c r="I25" s="530" t="n"/>
      <c r="J25" s="206" t="inlineStr">
        <is>
          <t>тыс.т.</t>
        </is>
      </c>
    </row>
    <row r="26" ht="19.5" customHeight="1" s="769">
      <c r="A26" s="207" t="inlineStr">
        <is>
          <t>в т.ч. Западно-Таркосалинское НГКМ</t>
        </is>
      </c>
      <c r="B26" s="65" t="inlineStr">
        <is>
          <t>10.14</t>
        </is>
      </c>
      <c r="C26" s="69" t="n"/>
      <c r="D26" s="801" t="inlineStr">
        <is>
          <t>в т.ч. Западно-Таркосалинское НГКМ</t>
        </is>
      </c>
      <c r="E26" s="528" t="n">
        <v>100330722</v>
      </c>
      <c r="F26" s="528" t="n"/>
      <c r="G26" s="529" t="n"/>
      <c r="H26" s="530" t="n"/>
      <c r="I26" s="530" t="n"/>
      <c r="J26" s="206" t="inlineStr">
        <is>
          <t>тыс.т.</t>
        </is>
      </c>
    </row>
    <row r="27" ht="19.5" customHeight="1" s="769">
      <c r="A27" s="207" t="inlineStr">
        <is>
          <t xml:space="preserve">   Тас- Юряхское НГКМ</t>
        </is>
      </c>
      <c r="B27" s="65" t="n"/>
      <c r="C27" s="69" t="n"/>
      <c r="D27" s="801" t="inlineStr">
        <is>
          <t xml:space="preserve">         Тас- Юряхское НГКМ</t>
        </is>
      </c>
      <c r="E27" s="528" t="n">
        <v>100336141</v>
      </c>
      <c r="F27" s="528" t="n"/>
      <c r="G27" s="529" t="n"/>
      <c r="H27" s="530" t="n"/>
      <c r="I27" s="530" t="n"/>
      <c r="J27" s="206" t="inlineStr">
        <is>
          <t>тыс.т.</t>
        </is>
      </c>
    </row>
    <row r="28" ht="21" customHeight="1" s="769">
      <c r="A28" s="148" t="inlineStr">
        <is>
          <t>Поставка природного газа на Амурский  ГПЗ, собственность ПАО "Газпром"</t>
        </is>
      </c>
      <c r="B28" s="65" t="inlineStr">
        <is>
          <t>10.15</t>
        </is>
      </c>
      <c r="C28" s="866" t="inlineStr">
        <is>
          <t>1.3</t>
        </is>
      </c>
      <c r="D28" s="788" t="inlineStr">
        <is>
          <t>Поставка природного газа на Амурский  ГПЗ, 
собственность ПАО "Газпром"</t>
        </is>
      </c>
      <c r="E28" s="528" t="n">
        <v>100330858</v>
      </c>
      <c r="F28" s="528" t="n"/>
      <c r="G28" s="529" t="n"/>
      <c r="H28" s="530" t="n"/>
      <c r="I28" s="530" t="n"/>
      <c r="J28" s="206" t="inlineStr">
        <is>
          <t>тыс.т.</t>
        </is>
      </c>
    </row>
    <row r="29" ht="29.25" customHeight="1" s="769">
      <c r="A29" s="148" t="n"/>
      <c r="B29" s="65" t="inlineStr">
        <is>
          <t>10.16</t>
        </is>
      </c>
      <c r="C29" s="766" t="n"/>
      <c r="D29" s="766" t="n"/>
      <c r="E29" s="528" t="n">
        <v>100330859</v>
      </c>
      <c r="F29" s="528" t="n"/>
      <c r="G29" s="529" t="n"/>
      <c r="H29" s="530" t="n"/>
      <c r="I29" s="530" t="n"/>
      <c r="J29" s="939" t="inlineStr">
        <is>
          <t>млн куб.м</t>
        </is>
      </c>
    </row>
    <row r="30" outlineLevel="1" ht="19.5" customHeight="1" s="769">
      <c r="A30" s="2" t="inlineStr">
        <is>
          <t>Потери при переработке, всего:</t>
        </is>
      </c>
      <c r="B30" s="65" t="inlineStr">
        <is>
          <t>10.17</t>
        </is>
      </c>
      <c r="C30" s="209" t="inlineStr">
        <is>
          <t>2</t>
        </is>
      </c>
      <c r="D30" s="124" t="inlineStr">
        <is>
          <t>Потери при переработке, всего:</t>
        </is>
      </c>
      <c r="E30" s="528" t="n">
        <v>100332336</v>
      </c>
      <c r="F30" s="528" t="n"/>
      <c r="G30" s="529" t="n"/>
      <c r="H30" s="530" t="inlineStr">
        <is>
          <t>100330730+100330731</t>
        </is>
      </c>
      <c r="I30" s="530" t="n"/>
      <c r="J30" s="206" t="inlineStr">
        <is>
          <t>тыс. т</t>
        </is>
      </c>
    </row>
    <row r="31" outlineLevel="1" ht="20.1" customHeight="1" s="769">
      <c r="A31" s="210" t="inlineStr">
        <is>
          <t>НК, собственность ПАО "Газпром" (Чаяндинское НГКМ)</t>
        </is>
      </c>
      <c r="B31" s="65" t="inlineStr">
        <is>
          <t>10.18</t>
        </is>
      </c>
      <c r="C31" s="69" t="inlineStr">
        <is>
          <t>2.1</t>
        </is>
      </c>
      <c r="D31" s="844" t="inlineStr">
        <is>
          <t>НК, собственность ПАО "Газпром" (Чаяндинское НГКМ)</t>
        </is>
      </c>
      <c r="E31" s="528" t="n">
        <v>100330730</v>
      </c>
      <c r="F31" s="528" t="n"/>
      <c r="G31" s="529" t="n"/>
      <c r="H31" s="530" t="n"/>
      <c r="I31" s="530" t="n"/>
      <c r="J31" s="206" t="inlineStr">
        <is>
          <t>тыс.т.</t>
        </is>
      </c>
    </row>
    <row r="32" outlineLevel="1" ht="33.75" customHeight="1" s="769">
      <c r="A32" s="210" t="inlineStr">
        <is>
          <t>НК, собственность ООО "Газпром добыча Ноябрьск"(Камчатское ГПУ)</t>
        </is>
      </c>
      <c r="B32" s="65" t="inlineStr">
        <is>
          <t>10.19</t>
        </is>
      </c>
      <c r="C32" s="69" t="inlineStr">
        <is>
          <t>2.2</t>
        </is>
      </c>
      <c r="D32" s="844" t="inlineStr">
        <is>
          <t>НК, собственность ООО "Газпром добыча Ноябрьск" (Камчатское ГПУ)</t>
        </is>
      </c>
      <c r="E32" s="528" t="n">
        <v>100330731</v>
      </c>
      <c r="F32" s="528" t="n"/>
      <c r="G32" s="529" t="n"/>
      <c r="H32" s="530" t="n"/>
      <c r="I32" s="530" t="n"/>
      <c r="J32" s="206" t="inlineStr">
        <is>
          <t>тыс.т.</t>
        </is>
      </c>
    </row>
    <row r="33" ht="19.5" customHeight="1" s="769">
      <c r="A33" s="49" t="inlineStr">
        <is>
          <t>Производство продукции, всего:</t>
        </is>
      </c>
      <c r="B33" s="65" t="inlineStr">
        <is>
          <t>10.20</t>
        </is>
      </c>
      <c r="C33" s="834" t="inlineStr">
        <is>
          <t>3</t>
        </is>
      </c>
      <c r="D33" s="789" t="inlineStr">
        <is>
          <t>Производство продукции, всего :</t>
        </is>
      </c>
      <c r="E33" s="528" t="n">
        <v>100330049</v>
      </c>
      <c r="F33" s="528" t="n"/>
      <c r="G33" s="529" t="n"/>
      <c r="H33" s="530" t="inlineStr">
        <is>
          <t>100335045+100330723+100332334</t>
        </is>
      </c>
      <c r="I33" s="530" t="n"/>
      <c r="J33" s="206" t="inlineStr">
        <is>
          <t>тыс.т.</t>
        </is>
      </c>
    </row>
    <row r="34" ht="19.5" customHeight="1" s="769">
      <c r="A34" s="49" t="inlineStr">
        <is>
          <t>Нефть (нефтегазоконденсатная смесь)(Чаяндинское НГКМ), всего</t>
        </is>
      </c>
      <c r="B34" s="65" t="inlineStr">
        <is>
          <t>10.21</t>
        </is>
      </c>
      <c r="C34" s="834" t="inlineStr">
        <is>
          <t>3.1</t>
        </is>
      </c>
      <c r="D34" s="789" t="inlineStr">
        <is>
          <t>Нефтегазоконденсатная смесь (Чаяндинское НГКМ)</t>
        </is>
      </c>
      <c r="E34" s="528" t="n">
        <v>100335045</v>
      </c>
      <c r="F34" s="528" t="n"/>
      <c r="G34" s="529" t="n"/>
      <c r="H34" s="530" t="inlineStr">
        <is>
          <t>100335046+100335047</t>
        </is>
      </c>
      <c r="I34" s="530" t="n"/>
      <c r="J34" s="206" t="inlineStr">
        <is>
          <t>тыс.т.</t>
        </is>
      </c>
    </row>
    <row r="35" ht="20.1" customHeight="1" s="769">
      <c r="A35" s="148" t="inlineStr">
        <is>
          <t>в т.ч. стабильный конденсат</t>
        </is>
      </c>
      <c r="B35" s="65" t="inlineStr">
        <is>
          <t>10.22</t>
        </is>
      </c>
      <c r="C35" s="69" t="inlineStr">
        <is>
          <t>3.1.1</t>
        </is>
      </c>
      <c r="D35" s="187" t="inlineStr">
        <is>
          <t>в т.ч. стабильный конденсат</t>
        </is>
      </c>
      <c r="E35" s="528" t="n">
        <v>100335046</v>
      </c>
      <c r="F35" s="528" t="n"/>
      <c r="G35" s="529" t="n"/>
      <c r="H35" s="530" t="n"/>
      <c r="I35" s="530" t="n"/>
      <c r="J35" s="206" t="inlineStr">
        <is>
          <t>тыс.т.</t>
        </is>
      </c>
    </row>
    <row r="36" ht="18.75" customHeight="1" s="769">
      <c r="A36" s="148" t="inlineStr">
        <is>
          <t xml:space="preserve">   нефть</t>
        </is>
      </c>
      <c r="B36" s="65" t="inlineStr">
        <is>
          <t>10.23</t>
        </is>
      </c>
      <c r="C36" s="69" t="inlineStr">
        <is>
          <t>3.1.2</t>
        </is>
      </c>
      <c r="D36" s="211" t="inlineStr">
        <is>
          <t>нефть</t>
        </is>
      </c>
      <c r="E36" s="528" t="n">
        <v>100335047</v>
      </c>
      <c r="F36" s="528" t="n"/>
      <c r="G36" s="529" t="n"/>
      <c r="H36" s="530" t="n"/>
      <c r="I36" s="530" t="n"/>
      <c r="J36" s="206" t="inlineStr">
        <is>
          <t>тыс.т.</t>
        </is>
      </c>
    </row>
    <row r="37" ht="19.5" customHeight="1" s="769">
      <c r="A37" s="49" t="inlineStr">
        <is>
          <t>Справочно</t>
        </is>
      </c>
      <c r="B37" s="65" t="inlineStr">
        <is>
          <t>10.24</t>
        </is>
      </c>
      <c r="C37" s="834" t="n"/>
      <c r="D37" s="862" t="inlineStr">
        <is>
          <t>Справочно:</t>
        </is>
      </c>
      <c r="E37" s="528" t="inlineStr">
        <is>
          <t>S4</t>
        </is>
      </c>
      <c r="F37" s="528" t="n"/>
      <c r="G37" s="529" t="n"/>
      <c r="H37" s="530" t="n"/>
      <c r="I37" s="530" t="n"/>
      <c r="J37" s="206" t="n"/>
    </row>
    <row r="38" ht="19.5" customHeight="1" s="769">
      <c r="A38" s="210" t="inlineStr">
        <is>
          <t>Стабильный конденсат валовый</t>
        </is>
      </c>
      <c r="B38" s="65" t="inlineStr">
        <is>
          <t>10.25</t>
        </is>
      </c>
      <c r="C38" s="834" t="n"/>
      <c r="D38" s="212" t="inlineStr">
        <is>
          <t>Стабильный конденсат валовый</t>
        </is>
      </c>
      <c r="E38" s="528" t="n">
        <v>100335094</v>
      </c>
      <c r="F38" s="528" t="n"/>
      <c r="G38" s="529" t="n"/>
      <c r="H38" s="530" t="n"/>
      <c r="I38" s="530" t="n"/>
      <c r="J38" s="206" t="inlineStr">
        <is>
          <t>тыс.т.</t>
        </is>
      </c>
    </row>
    <row r="39" ht="19.5" customHeight="1" s="769">
      <c r="A39" s="210" t="inlineStr">
        <is>
          <t>НГКС на собственные технологические нужды</t>
        </is>
      </c>
      <c r="B39" s="65" t="inlineStr">
        <is>
          <t>10.26</t>
        </is>
      </c>
      <c r="C39" s="834" t="n"/>
      <c r="D39" s="865" t="inlineStr">
        <is>
          <t>НГКС на собственные технологические нужды</t>
        </is>
      </c>
      <c r="E39" s="528" t="n">
        <v>100335048</v>
      </c>
      <c r="F39" s="528" t="n"/>
      <c r="G39" s="529" t="n"/>
      <c r="H39" s="530" t="n"/>
      <c r="I39" s="530" t="n"/>
      <c r="J39" s="206" t="inlineStr">
        <is>
          <t>тыс.т.</t>
        </is>
      </c>
    </row>
    <row r="40" ht="19.5" customHeight="1" s="769">
      <c r="A40" s="49" t="inlineStr">
        <is>
          <t>Стабильный конденсат, всего:</t>
        </is>
      </c>
      <c r="B40" s="65" t="inlineStr">
        <is>
          <t>10.27</t>
        </is>
      </c>
      <c r="C40" s="209" t="inlineStr">
        <is>
          <t>3.2</t>
        </is>
      </c>
      <c r="D40" s="788" t="inlineStr">
        <is>
          <t>Стабильный конденсат, всего:</t>
        </is>
      </c>
      <c r="E40" s="528" t="n">
        <v>100330723</v>
      </c>
      <c r="F40" s="528" t="n"/>
      <c r="G40" s="529" t="n"/>
      <c r="H40" s="530" t="inlineStr">
        <is>
          <t>100330725</t>
        </is>
      </c>
      <c r="I40" s="530" t="n"/>
      <c r="J40" s="206" t="inlineStr">
        <is>
          <t>тыс.т.</t>
        </is>
      </c>
    </row>
    <row r="41" ht="20.1" customHeight="1" s="769">
      <c r="A41" s="148" t="inlineStr">
        <is>
          <t>СК, собственность ООО "Газпром добыча Ноябрьск"(Камчатское ГПУ)</t>
        </is>
      </c>
      <c r="B41" s="65" t="inlineStr">
        <is>
          <t>10.28</t>
        </is>
      </c>
      <c r="C41" s="69" t="inlineStr">
        <is>
          <t>3.2.1</t>
        </is>
      </c>
      <c r="D41" s="213" t="inlineStr">
        <is>
          <t xml:space="preserve">СК, собственность ООО "Газпром добыча Ноябрьск" (Камчатское ГПУ) </t>
        </is>
      </c>
      <c r="E41" s="528" t="n">
        <v>100330725</v>
      </c>
      <c r="F41" s="528" t="n"/>
      <c r="G41" s="529" t="n"/>
      <c r="H41" s="530" t="n"/>
      <c r="I41" s="530" t="n"/>
      <c r="J41" s="206" t="inlineStr">
        <is>
          <t>тыс.т.</t>
        </is>
      </c>
    </row>
    <row r="42" ht="20.1" customHeight="1" s="769">
      <c r="A42" s="2" t="inlineStr">
        <is>
          <t>Газ стабилизации, всего:</t>
        </is>
      </c>
      <c r="B42" s="65" t="inlineStr">
        <is>
          <t>10.29</t>
        </is>
      </c>
      <c r="C42" s="209" t="inlineStr">
        <is>
          <t>3.3</t>
        </is>
      </c>
      <c r="D42" s="867" t="inlineStr">
        <is>
          <t>Газ стабилизации, всего:</t>
        </is>
      </c>
      <c r="E42" s="528" t="n">
        <v>100332334</v>
      </c>
      <c r="F42" s="528" t="n"/>
      <c r="G42" s="529" t="n"/>
      <c r="H42" s="530" t="inlineStr">
        <is>
          <t>100330727+100330729+100336328</t>
        </is>
      </c>
      <c r="I42" s="530" t="n"/>
      <c r="J42" s="206" t="inlineStr">
        <is>
          <t>тыс. т</t>
        </is>
      </c>
    </row>
    <row r="43" ht="19.9" customHeight="1" s="769">
      <c r="A43" s="2" t="n"/>
      <c r="B43" s="65" t="inlineStr">
        <is>
          <t>10.30</t>
        </is>
      </c>
      <c r="C43" s="69" t="n"/>
      <c r="D43" s="766" t="n"/>
      <c r="E43" s="528" t="n">
        <v>100332335</v>
      </c>
      <c r="F43" s="528" t="n"/>
      <c r="G43" s="529" t="n"/>
      <c r="H43" s="530" t="inlineStr">
        <is>
          <t>100330726+100330728+100336329</t>
        </is>
      </c>
      <c r="I43" s="530" t="n"/>
      <c r="J43" s="939" t="inlineStr">
        <is>
          <t>млн куб.м</t>
        </is>
      </c>
    </row>
    <row r="44" ht="20.1" customHeight="1" s="769">
      <c r="A44" s="210" t="inlineStr">
        <is>
          <t>ГС, собственность ПАО "Газпром" (Чаяндинское НГКМ)</t>
        </is>
      </c>
      <c r="B44" s="65" t="inlineStr">
        <is>
          <t>10.31</t>
        </is>
      </c>
      <c r="C44" s="69" t="inlineStr">
        <is>
          <t>3.3.1</t>
        </is>
      </c>
      <c r="D44" s="865" t="inlineStr">
        <is>
          <t>ГС, собственность ПАО "Газпром" (Чаяндинское НГКМ)</t>
        </is>
      </c>
      <c r="E44" s="528" t="n">
        <v>100330727</v>
      </c>
      <c r="F44" s="528" t="n"/>
      <c r="G44" s="529" t="n"/>
      <c r="H44" s="530" t="n"/>
      <c r="I44" s="530" t="n"/>
      <c r="J44" s="206" t="inlineStr">
        <is>
          <t>тыс. т</t>
        </is>
      </c>
    </row>
    <row r="45" ht="20.1" customHeight="1" s="769">
      <c r="A45" s="210" t="n"/>
      <c r="B45" s="65" t="inlineStr">
        <is>
          <t>10.32</t>
        </is>
      </c>
      <c r="C45" s="69" t="n"/>
      <c r="D45" s="766" t="n"/>
      <c r="E45" s="528" t="n">
        <v>100330726</v>
      </c>
      <c r="F45" s="528" t="n"/>
      <c r="G45" s="529" t="n"/>
      <c r="H45" s="530" t="n"/>
      <c r="I45" s="530" t="n"/>
      <c r="J45" s="939" t="inlineStr">
        <is>
          <t>млн куб.м</t>
        </is>
      </c>
    </row>
    <row r="46" ht="20.1" customHeight="1" s="769">
      <c r="A46" s="210" t="inlineStr">
        <is>
          <t>ГС, собственность ООО "Газпром добыча Ноябрьск"(Камчатское ГПУ)</t>
        </is>
      </c>
      <c r="B46" s="65" t="inlineStr">
        <is>
          <t>10.33</t>
        </is>
      </c>
      <c r="C46" s="69" t="inlineStr">
        <is>
          <t>3.3.2</t>
        </is>
      </c>
      <c r="D46" s="865" t="inlineStr">
        <is>
          <t>ГС, собственность ООО "Газпром добыча Ноябрьск" (Камчатское ГПУ)</t>
        </is>
      </c>
      <c r="E46" s="528" t="n">
        <v>100330729</v>
      </c>
      <c r="F46" s="528" t="n"/>
      <c r="G46" s="529" t="n"/>
      <c r="H46" s="530" t="n"/>
      <c r="I46" s="530" t="n"/>
      <c r="J46" s="206" t="inlineStr">
        <is>
          <t>тыс. т</t>
        </is>
      </c>
    </row>
    <row r="47" ht="20.1" customHeight="1" s="769">
      <c r="A47" s="210" t="n"/>
      <c r="B47" s="65" t="inlineStr">
        <is>
          <t>10.34</t>
        </is>
      </c>
      <c r="C47" s="69" t="n"/>
      <c r="D47" s="766" t="n"/>
      <c r="E47" s="528" t="n">
        <v>100330728</v>
      </c>
      <c r="F47" s="528" t="n"/>
      <c r="G47" s="529" t="n"/>
      <c r="H47" s="530" t="n"/>
      <c r="I47" s="530" t="n"/>
      <c r="J47" s="939" t="inlineStr">
        <is>
          <t>млн куб.м</t>
        </is>
      </c>
    </row>
    <row r="48" ht="20.1" customHeight="1" s="769">
      <c r="A48" s="142" t="inlineStr">
        <is>
          <t>ГВ ,  собственность ООО "Газпром добыча Ноябрьск" (Тас- Юряхское НГКМ)</t>
        </is>
      </c>
      <c r="B48" s="65" t="n"/>
      <c r="C48" s="69" t="n"/>
      <c r="D48" s="865" t="inlineStr">
        <is>
          <t>ГВ ,  собственность ООО "Газпром добыча Ноябрьск" (Тас- Юряхское НГКМ)</t>
        </is>
      </c>
      <c r="E48" s="528" t="n">
        <v>100336328</v>
      </c>
      <c r="F48" s="528" t="n"/>
      <c r="G48" s="529" t="n"/>
      <c r="H48" s="530" t="n"/>
      <c r="I48" s="530" t="n"/>
      <c r="J48" s="206" t="inlineStr">
        <is>
          <t>тыс. т</t>
        </is>
      </c>
    </row>
    <row r="49" ht="20.1" customHeight="1" s="769">
      <c r="A49" s="148" t="n"/>
      <c r="B49" s="65" t="n"/>
      <c r="C49" s="69" t="n"/>
      <c r="D49" s="766" t="n"/>
      <c r="E49" s="528" t="n">
        <v>100336329</v>
      </c>
      <c r="F49" s="528" t="n"/>
      <c r="G49" s="529" t="n"/>
      <c r="H49" s="530" t="n"/>
      <c r="I49" s="530" t="n"/>
      <c r="J49" s="939" t="inlineStr">
        <is>
          <t>млн куб.м</t>
        </is>
      </c>
    </row>
    <row r="50" ht="20.1" customHeight="1" s="769">
      <c r="A50" s="49" t="inlineStr">
        <is>
          <t>Нестабильный конденсат поставка, всего:</t>
        </is>
      </c>
      <c r="B50" s="65" t="inlineStr">
        <is>
          <t>10.35</t>
        </is>
      </c>
      <c r="C50" s="209" t="inlineStr">
        <is>
          <t>4</t>
        </is>
      </c>
      <c r="D50" s="788" t="inlineStr">
        <is>
          <t>Нестабильный конденсат поставка, всего:</t>
        </is>
      </c>
      <c r="E50" s="528" t="n">
        <v>100330732</v>
      </c>
      <c r="F50" s="528" t="n"/>
      <c r="G50" s="529" t="n"/>
      <c r="H50" s="530" t="inlineStr">
        <is>
          <t>100330861</t>
        </is>
      </c>
      <c r="I50" s="530" t="n"/>
      <c r="J50" s="206" t="inlineStr">
        <is>
          <t>тыс.т.</t>
        </is>
      </c>
    </row>
    <row r="51" ht="37.5" customHeight="1" s="769">
      <c r="A51" s="148" t="inlineStr">
        <is>
          <t>Западно-Таркосалинское НГКМ на Сургутский ЗСК, собственность ПАО "Газпром"</t>
        </is>
      </c>
      <c r="B51" s="65" t="inlineStr">
        <is>
          <t>10.36</t>
        </is>
      </c>
      <c r="C51" s="69" t="n"/>
      <c r="D51" s="214" t="inlineStr">
        <is>
          <t>Западно-Таркосалинское НГКМ на Сургутский ЗСК, собственность ПАО "Газпром"</t>
        </is>
      </c>
      <c r="E51" s="528" t="n">
        <v>100330861</v>
      </c>
      <c r="F51" s="528" t="n"/>
      <c r="G51" s="529" t="n"/>
      <c r="H51" s="530" t="n"/>
      <c r="I51" s="530" t="n"/>
      <c r="J51" s="206" t="inlineStr">
        <is>
          <t>тыс.т.</t>
        </is>
      </c>
    </row>
    <row r="52" ht="19.5" customHeight="1" s="769">
      <c r="A52" s="49" t="inlineStr">
        <is>
          <t>Нефть и НГКС поставка, всего:</t>
        </is>
      </c>
      <c r="B52" s="65" t="inlineStr">
        <is>
          <t>10.37</t>
        </is>
      </c>
      <c r="C52" s="209" t="inlineStr">
        <is>
          <t>5</t>
        </is>
      </c>
      <c r="D52" s="215" t="inlineStr">
        <is>
          <t>Нефть и НГКС поставка, всего:</t>
        </is>
      </c>
      <c r="E52" s="528" t="n">
        <v>100330860</v>
      </c>
      <c r="F52" s="528" t="n"/>
      <c r="G52" s="529" t="n"/>
      <c r="H52" s="530" t="inlineStr">
        <is>
          <t>100330862+100336142</t>
        </is>
      </c>
      <c r="I52" s="530" t="n"/>
      <c r="J52" s="206" t="inlineStr">
        <is>
          <t>тыс.т.</t>
        </is>
      </c>
    </row>
    <row r="53" ht="42.75" customHeight="1" s="769">
      <c r="A53" s="142" t="inlineStr">
        <is>
          <t>Нефть Западно-Таркосалинское НГКМ, собственность ООО "Газпром добыча Ноябрьск"</t>
        </is>
      </c>
      <c r="B53" s="65" t="inlineStr">
        <is>
          <t>10.38</t>
        </is>
      </c>
      <c r="C53" s="209" t="n"/>
      <c r="D53" s="216" t="inlineStr">
        <is>
          <t>Нефть Западно-Таркосалинское НГКМ, 
собственность ООО "Газпром добыча Ноябрьск"</t>
        </is>
      </c>
      <c r="E53" s="528" t="n">
        <v>100330862</v>
      </c>
      <c r="F53" s="528" t="n"/>
      <c r="G53" s="529" t="n"/>
      <c r="H53" s="530" t="n"/>
      <c r="I53" s="530" t="n"/>
      <c r="J53" s="206" t="inlineStr">
        <is>
          <t>тыс. т</t>
        </is>
      </c>
    </row>
    <row r="54" ht="42.75" customHeight="1" s="769">
      <c r="A54" s="142" t="inlineStr">
        <is>
          <t>НГКС Тас- Юряхское НГКМ, собственность ООО "Газпром добыча Ноябрьск"</t>
        </is>
      </c>
      <c r="B54" s="65" t="n"/>
      <c r="C54" s="217" t="inlineStr">
        <is>
          <t>поменять формулу</t>
        </is>
      </c>
      <c r="D54" s="187" t="inlineStr">
        <is>
          <t>НГКС Тас- Юряхское НГКМ, 
собственность ООО "Газпром добыча Ноябрьск"</t>
        </is>
      </c>
      <c r="E54" s="528" t="n">
        <v>100336142</v>
      </c>
      <c r="F54" s="528" t="n"/>
      <c r="G54" s="529" t="n"/>
      <c r="H54" s="530" t="inlineStr">
        <is>
          <t>100336141+100336327-100336328</t>
        </is>
      </c>
      <c r="I54" s="530" t="n"/>
      <c r="J54" s="206" t="inlineStr">
        <is>
          <t>тыс. т</t>
        </is>
      </c>
    </row>
    <row r="55" ht="42.75" customHeight="1" s="769">
      <c r="A55" s="49" t="inlineStr">
        <is>
          <t>Оказание  услуг ГПНЗ по транспортировке нефти (Чонская гр. МС)</t>
        </is>
      </c>
      <c r="B55" s="65" t="n"/>
      <c r="C55" s="218" t="inlineStr">
        <is>
          <t>6</t>
        </is>
      </c>
      <c r="D55" s="219" t="inlineStr">
        <is>
          <t>Оказание  услуг ГПНЗ по транспортировке нефти (Чонская гр. МС)</t>
        </is>
      </c>
      <c r="E55" s="528" t="n">
        <v>100335836</v>
      </c>
      <c r="F55" s="528" t="n"/>
      <c r="G55" s="529" t="n"/>
      <c r="H55" s="530" t="n"/>
      <c r="I55" s="530" t="n"/>
      <c r="J55" s="665" t="inlineStr">
        <is>
          <t>тыс. т</t>
        </is>
      </c>
    </row>
    <row r="56" outlineLevel="1" ht="20.1" customHeight="1" s="769">
      <c r="A56" s="49" t="inlineStr">
        <is>
          <t>Материальный баланс переработки ("П.1"-"П.2"-"П.3" = 0,000)</t>
        </is>
      </c>
      <c r="B56" s="65" t="inlineStr">
        <is>
          <t>10.39</t>
        </is>
      </c>
      <c r="C56" s="834" t="inlineStr">
        <is>
          <t>7</t>
        </is>
      </c>
      <c r="D56" s="124" t="inlineStr">
        <is>
          <t>Материальный баланс переработки ("П.1"-"П.2"-"П.3" = 0,000)</t>
        </is>
      </c>
      <c r="E56" s="528" t="inlineStr">
        <is>
          <t>S3</t>
        </is>
      </c>
      <c r="F56" s="528" t="n"/>
      <c r="G56" s="529" t="n"/>
      <c r="H56" s="530" t="n"/>
      <c r="I56" s="530" t="n"/>
      <c r="J56" s="206" t="inlineStr">
        <is>
          <t>тыс.т.</t>
        </is>
      </c>
    </row>
    <row r="57" outlineLevel="1" ht="20.1" customHeight="1" s="769">
      <c r="A57" s="210" t="inlineStr">
        <is>
          <t>МБП НК (Чаяндинское НГКМ)</t>
        </is>
      </c>
      <c r="B57" s="65" t="inlineStr">
        <is>
          <t>10.40</t>
        </is>
      </c>
      <c r="C57" s="75" t="n"/>
      <c r="D57" s="844" t="inlineStr">
        <is>
          <t>МБП НК (Чаяндинское НГКМ)</t>
        </is>
      </c>
      <c r="E57" s="528" t="n">
        <v>100330733</v>
      </c>
      <c r="F57" s="528" t="n"/>
      <c r="G57" s="529" t="n"/>
      <c r="H57" s="530" t="inlineStr">
        <is>
          <t>100330716-100335094-100330727-100330730</t>
        </is>
      </c>
      <c r="I57" s="530" t="n"/>
      <c r="J57" s="206" t="inlineStr">
        <is>
          <t>тыс.т.</t>
        </is>
      </c>
    </row>
    <row r="58" outlineLevel="1" ht="20.1" customHeight="1" s="769">
      <c r="A58" s="210" t="inlineStr">
        <is>
          <t>МБП НК, (Камчатское ГПУ)</t>
        </is>
      </c>
      <c r="B58" s="65" t="inlineStr">
        <is>
          <t>10.41</t>
        </is>
      </c>
      <c r="C58" s="220" t="n"/>
      <c r="D58" s="221" t="inlineStr">
        <is>
          <t>МБП НК (Камчатское ГПУ)</t>
        </is>
      </c>
      <c r="E58" s="528" t="n">
        <v>100330734</v>
      </c>
      <c r="F58" s="528" t="n"/>
      <c r="G58" s="529" t="n"/>
      <c r="H58" s="530" t="inlineStr">
        <is>
          <t>100330718-100330725-100330729-100330731</t>
        </is>
      </c>
      <c r="I58" s="530" t="n"/>
      <c r="J58" s="206" t="inlineStr">
        <is>
          <t>тыс.т.</t>
        </is>
      </c>
    </row>
    <row r="59" outlineLevel="1" ht="20.1" customHeight="1" s="769">
      <c r="A59" s="222" t="n"/>
      <c r="B59" s="65" t="n"/>
      <c r="C59" s="223" t="n"/>
      <c r="D59" s="221" t="inlineStr">
        <is>
          <t>МБП НК (Тас- Юряхское НГКМ)</t>
        </is>
      </c>
      <c r="E59" s="528" t="n"/>
      <c r="F59" s="528" t="n"/>
      <c r="G59" s="529" t="n"/>
      <c r="H59" s="530" t="n"/>
      <c r="I59" s="530" t="n"/>
      <c r="J59" s="608" t="inlineStr">
        <is>
          <t>тыс.т.</t>
        </is>
      </c>
    </row>
    <row r="60" outlineLevel="1" ht="20.1" customFormat="1" customHeight="1" s="224">
      <c r="A60" s="225" t="n"/>
      <c r="B60" s="226" t="n"/>
      <c r="C60" s="226" t="n"/>
      <c r="D60" s="227" t="inlineStr">
        <is>
          <t>Западно-Таркосалинский конденсат на СЗСК</t>
        </is>
      </c>
      <c r="E60" s="227" t="n"/>
      <c r="F60" s="227" t="n"/>
      <c r="G60" s="227" t="n"/>
      <c r="H60" s="227" t="n"/>
      <c r="I60" s="227" t="n"/>
      <c r="J60" s="228" t="n"/>
    </row>
    <row r="61" ht="19.5" customFormat="1" customHeight="1" s="229">
      <c r="A61" s="230" t="n"/>
      <c r="B61" s="231" t="n"/>
      <c r="C61" s="232" t="n"/>
      <c r="D61" s="233" t="inlineStr">
        <is>
          <t>Западно-Таркосалинская нефть</t>
        </is>
      </c>
      <c r="E61" s="233" t="n"/>
      <c r="F61" s="233" t="n"/>
      <c r="G61" s="233" t="n"/>
      <c r="H61" s="233" t="n"/>
      <c r="I61" s="233" t="n"/>
      <c r="J61" s="234" t="n"/>
    </row>
    <row r="62" ht="19.5" customFormat="1" customHeight="1" s="235">
      <c r="A62" s="199" t="n"/>
      <c r="B62" s="236" t="n"/>
      <c r="C62" s="237" t="n"/>
      <c r="D62" s="238" t="inlineStr">
        <is>
          <t>Тас- Юряхская нефть+СК</t>
        </is>
      </c>
      <c r="E62" s="238" t="n"/>
      <c r="F62" s="238" t="n"/>
      <c r="G62" s="238" t="n"/>
      <c r="H62" s="238" t="n"/>
      <c r="I62" s="238" t="n"/>
      <c r="J62" s="239" t="n"/>
    </row>
    <row r="63" ht="19.5" customFormat="1" customHeight="1" s="17">
      <c r="A63" s="240" t="n"/>
      <c r="B63" s="241" t="n"/>
      <c r="C63" s="242" t="n"/>
      <c r="D63" s="243" t="inlineStr">
        <is>
          <t>Чаяндинская нефть</t>
        </is>
      </c>
      <c r="E63" s="243" t="n"/>
      <c r="F63" s="243" t="n"/>
      <c r="G63" s="243" t="n"/>
      <c r="H63" s="243" t="n"/>
      <c r="I63" s="243" t="n"/>
      <c r="J63" s="136" t="n"/>
    </row>
    <row r="64">
      <c r="D64" s="244" t="n"/>
      <c r="E64" s="244" t="n"/>
      <c r="F64" s="244" t="n"/>
      <c r="G64" s="244" t="n"/>
      <c r="H64" s="244" t="n"/>
      <c r="I64" s="244" t="n"/>
    </row>
    <row r="65">
      <c r="B65" s="83" t="n"/>
      <c r="C65" s="39" t="n"/>
      <c r="D65" s="245" t="inlineStr">
        <is>
          <t>НК</t>
        </is>
      </c>
      <c r="E65" s="378" t="n"/>
      <c r="F65" s="533" t="n"/>
      <c r="G65" s="533" t="n"/>
      <c r="H65" s="378" t="n"/>
      <c r="I65" s="533" t="n"/>
      <c r="J65" s="278" t="inlineStr">
        <is>
          <t>тыс. т</t>
        </is>
      </c>
    </row>
    <row r="66">
      <c r="B66" s="83" t="n"/>
      <c r="C66" s="39" t="n"/>
      <c r="D66" s="246" t="inlineStr">
        <is>
          <t>газ стабилизации</t>
        </is>
      </c>
      <c r="E66" s="379" t="n"/>
      <c r="F66" s="534" t="n"/>
      <c r="G66" s="534" t="n"/>
      <c r="H66" s="379" t="n"/>
      <c r="I66" s="534" t="n"/>
      <c r="J66" s="278" t="inlineStr">
        <is>
          <t>тыс. т</t>
        </is>
      </c>
    </row>
    <row r="67">
      <c r="C67" s="247" t="n"/>
      <c r="D67" s="246" t="inlineStr">
        <is>
          <t>газ стабилизации</t>
        </is>
      </c>
      <c r="E67" s="379" t="n"/>
      <c r="F67" s="534" t="n"/>
      <c r="G67" s="534" t="n"/>
      <c r="H67" s="379" t="n"/>
      <c r="I67" s="534" t="n"/>
      <c r="J67" s="38" t="inlineStr">
        <is>
          <t>млн куб.м</t>
        </is>
      </c>
    </row>
  </sheetData>
  <mergeCells count="17">
    <mergeCell ref="E8:E9"/>
    <mergeCell ref="G8:G9"/>
    <mergeCell ref="C7:C9"/>
    <mergeCell ref="B7:B9"/>
    <mergeCell ref="E7:I7"/>
    <mergeCell ref="H8:H9"/>
    <mergeCell ref="D7:D9"/>
    <mergeCell ref="J7:J9"/>
    <mergeCell ref="F8:F9"/>
    <mergeCell ref="D28:D29"/>
    <mergeCell ref="I8:I9"/>
    <mergeCell ref="D42:D43"/>
    <mergeCell ref="C3:J3"/>
    <mergeCell ref="D46:D47"/>
    <mergeCell ref="D48:D49"/>
    <mergeCell ref="C28:C29"/>
    <mergeCell ref="D44:D45"/>
  </mergeCells>
  <conditionalFormatting sqref="O11:O58 P11:P58 U11:U58 V11:V58 AA11:AA58 AB11:AB58 AG11:AG58 AH11:AH58 AM11:AM58 AN11:AN58 AS11:AS58 AT11:AT58 AY11:AY58 AZ11:AZ58 BE11:BE58 BF11:BF58 BK11:BK58 BL11:BL58 BQ11:BQ58 BR11:BR58 BW11:BW58 BX11:BX58 CC11:CC58 CD11:CD58 CI11:CI58 CJ11:CJ58 CO11:CO58 CP11:CP58 CU11:CU58 CV11:CV58 DA11:DA58 DB11:DB58 DG11:DG58 DH11:DH58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1:L58 N11:N58 R11:R58 T11:T58 X11:X58 Z11:Z58 AD11:AD58 AF11:AF58 AJ11:AJ58 AL11:AL58 AP11:AP58 AR11:AR58 AV11:AV58 AX11:AX58 BB11:BB58 BD11:BD58 BH11:BH58 BJ11:BJ58 BN11:BN58 BP11:BP58 BT11:BT58 BV11:BV58 BZ11:BZ58 CB11:CB58 CF11:CF58 CH11:CH58 CL11:CL58 CN11:CN58 CR11:CR58 CT11:CT58 CX11:CX58 CZ11:CZ58 DD11:DD58 DF11:DF58">
    <cfRule type="cellIs" priority="4" operator="equal" dxfId="0">
      <formula>0</formula>
    </cfRule>
  </conditionalFormatting>
  <pageMargins left="0.7" right="0.17" top="0.29" bottom="0.18" header="0.3" footer="0.3"/>
  <pageSetup orientation="landscape" paperSize="9" scale="24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Лист15">
    <tabColor theme="8" tint="0.5999938962981048"/>
    <outlinePr summaryBelow="1" summaryRight="1"/>
    <pageSetUpPr fitToPage="1"/>
  </sheetPr>
  <dimension ref="A3:J60"/>
  <sheetViews>
    <sheetView topLeftCell="C1" zoomScale="60" zoomScaleNormal="60" zoomScaleSheetLayoutView="50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25" defaultRowHeight="19.5" outlineLevelRow="1"/>
  <cols>
    <col hidden="1" outlineLevel="1" width="6.28515625" customWidth="1" style="178" min="1" max="1"/>
    <col hidden="1" outlineLevel="1" width="8.28515625" customWidth="1" style="795" min="2" max="2"/>
    <col collapsed="1" width="12.140625" bestFit="1" customWidth="1" style="179" min="3" max="3"/>
    <col width="67.28515625" customWidth="1" style="795" min="4" max="4"/>
    <col outlineLevel="1" width="26.140625" customWidth="1" style="795" min="5" max="9"/>
    <col width="12.85546875" bestFit="1" customWidth="1" style="869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5" customHeight="1" s="769"/>
    <row r="2" ht="15" customHeight="1" s="769"/>
    <row r="3" ht="20.25" customHeight="1" s="769">
      <c r="C3" s="860" t="inlineStr">
        <is>
          <t>Прогнозные показатели по поставке, переработке сырья и производству продукции ООО "Газпром добыча Надым"</t>
        </is>
      </c>
    </row>
    <row r="4" ht="15" customHeight="1" s="769"/>
    <row r="5" ht="19.5" customHeight="1" s="769">
      <c r="B5" s="343" t="n"/>
      <c r="C5" s="326" t="inlineStr">
        <is>
          <t>11.  ООО "Газпром добыча Надым"</t>
        </is>
      </c>
      <c r="D5" s="343" t="n"/>
      <c r="E5" s="343" t="n"/>
      <c r="F5" s="343" t="n"/>
      <c r="G5" s="343" t="n"/>
      <c r="H5" s="343" t="n"/>
      <c r="I5" s="343" t="n"/>
      <c r="J5" s="950" t="n"/>
    </row>
    <row r="6" ht="20.1" customHeight="1" s="769">
      <c r="B6" s="792" t="inlineStr">
        <is>
          <t>Код строки</t>
        </is>
      </c>
      <c r="C6" s="798" t="inlineStr">
        <is>
          <t>№ 
п/п</t>
        </is>
      </c>
      <c r="D6" s="861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 изм.</t>
        </is>
      </c>
    </row>
    <row r="7" ht="39.95" customHeight="1" s="769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C8" s="751" t="n"/>
      <c r="D8" s="766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643" t="n"/>
      <c r="D9" s="654" t="n"/>
      <c r="E9" s="869" t="n"/>
      <c r="F9" s="869" t="n"/>
      <c r="G9" s="869" t="n"/>
      <c r="H9" s="869" t="n"/>
      <c r="I9" s="869" t="n"/>
      <c r="J9" s="654" t="n"/>
    </row>
    <row r="10" ht="37.5" customHeight="1" s="769">
      <c r="B10" s="65" t="inlineStr">
        <is>
          <t>11.1</t>
        </is>
      </c>
      <c r="C10" s="248" t="inlineStr">
        <is>
          <t>1</t>
        </is>
      </c>
      <c r="D10" s="200" t="inlineStr">
        <is>
          <t>Поставка сырья на переработку, собственность ООО "Газпром добыча Надым", всего:</t>
        </is>
      </c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25" t="inlineStr">
        <is>
          <t>тыс.т.</t>
        </is>
      </c>
    </row>
    <row r="11" ht="18.95" customHeight="1" s="769">
      <c r="B11" s="65" t="inlineStr">
        <is>
          <t>11.2</t>
        </is>
      </c>
      <c r="C11" s="87" t="inlineStr">
        <is>
          <t>1.1.</t>
        </is>
      </c>
      <c r="D11" s="788" t="inlineStr">
        <is>
          <t>Конденсат газовый нестабильный, всего:</t>
        </is>
      </c>
      <c r="E11" s="528" t="n">
        <v>100330015</v>
      </c>
      <c r="F11" s="528" t="n"/>
      <c r="G11" s="529" t="n"/>
      <c r="H11" s="530" t="inlineStr">
        <is>
          <t>СУММ(100330686:100333683)</t>
        </is>
      </c>
      <c r="I11" s="530" t="n"/>
      <c r="J11" s="883" t="inlineStr">
        <is>
          <t>тыс.т.</t>
        </is>
      </c>
    </row>
    <row r="12" ht="18.95" customHeight="1" s="769">
      <c r="B12" s="65" t="inlineStr">
        <is>
          <t>11.3</t>
        </is>
      </c>
      <c r="C12" s="249" t="n"/>
      <c r="D12" s="250" t="inlineStr">
        <is>
          <t>Медвежье НКГМ</t>
        </is>
      </c>
      <c r="E12" s="528" t="n">
        <v>100330686</v>
      </c>
      <c r="F12" s="528" t="n"/>
      <c r="G12" s="529" t="n"/>
      <c r="H12" s="530" t="n"/>
      <c r="I12" s="530" t="n"/>
      <c r="J12" s="654" t="inlineStr">
        <is>
          <t>тыс.т.</t>
        </is>
      </c>
    </row>
    <row r="13" ht="18.95" customHeight="1" s="769">
      <c r="B13" s="65" t="inlineStr">
        <is>
          <t>11.4</t>
        </is>
      </c>
      <c r="C13" s="249" t="n"/>
      <c r="D13" s="250" t="inlineStr">
        <is>
          <t>Юбилейное НГКМ</t>
        </is>
      </c>
      <c r="E13" s="528" t="n">
        <v>100330687</v>
      </c>
      <c r="F13" s="528" t="n"/>
      <c r="G13" s="529" t="n"/>
      <c r="H13" s="530" t="n"/>
      <c r="I13" s="530" t="n"/>
      <c r="J13" s="654" t="inlineStr">
        <is>
          <t>тыс.т.</t>
        </is>
      </c>
    </row>
    <row r="14" ht="18.95" customHeight="1" s="769">
      <c r="B14" s="65" t="inlineStr">
        <is>
          <t>11.5</t>
        </is>
      </c>
      <c r="C14" s="249" t="n"/>
      <c r="D14" s="251" t="inlineStr">
        <is>
          <t xml:space="preserve"> Бованенковское НГКМ (апт)</t>
        </is>
      </c>
      <c r="E14" s="528" t="n">
        <v>100330688</v>
      </c>
      <c r="F14" s="528" t="n"/>
      <c r="G14" s="529" t="n"/>
      <c r="H14" s="530" t="n"/>
      <c r="I14" s="530" t="n"/>
      <c r="J14" s="654" t="inlineStr">
        <is>
          <t>тыс.т.</t>
        </is>
      </c>
    </row>
    <row r="15" ht="18.95" customHeight="1" s="769">
      <c r="B15" s="65" t="inlineStr">
        <is>
          <t>11.6</t>
        </is>
      </c>
      <c r="C15" s="249" t="n"/>
      <c r="D15" s="250" t="inlineStr">
        <is>
          <t>Харасавэйское ГКМ</t>
        </is>
      </c>
      <c r="E15" s="528" t="n">
        <v>100333683</v>
      </c>
      <c r="F15" s="528" t="n"/>
      <c r="G15" s="529" t="n"/>
      <c r="H15" s="530" t="n"/>
      <c r="I15" s="530" t="n"/>
      <c r="J15" s="654" t="inlineStr">
        <is>
          <t>тыс.т.</t>
        </is>
      </c>
    </row>
    <row r="16" ht="45.75" customHeight="1" s="769">
      <c r="A16" s="178" t="inlineStr">
        <is>
          <t>!</t>
        </is>
      </c>
      <c r="B16" s="65" t="n"/>
      <c r="C16" s="87" t="inlineStr">
        <is>
          <t>2.</t>
        </is>
      </c>
      <c r="D16" s="72" t="inlineStr">
        <is>
          <t>Поставка сырья в адрес ГПНЗ 
(собственность ООО "Газпром добыча Надым")</t>
        </is>
      </c>
      <c r="E16" s="528" t="n">
        <v>100335592</v>
      </c>
      <c r="F16" s="528" t="n"/>
      <c r="G16" s="529" t="n"/>
      <c r="H16" s="530" t="inlineStr">
        <is>
          <t>100335593+100335658</t>
        </is>
      </c>
      <c r="I16" s="530" t="n"/>
      <c r="J16" s="883" t="inlineStr">
        <is>
          <t>тыс.т.</t>
        </is>
      </c>
    </row>
    <row r="17" ht="18.95" customHeight="1" s="769">
      <c r="A17" s="178" t="inlineStr">
        <is>
          <t>!</t>
        </is>
      </c>
      <c r="B17" s="65" t="n"/>
      <c r="C17" s="249" t="n"/>
      <c r="D17" s="252" t="inlineStr">
        <is>
          <t xml:space="preserve"> Бованенковское НГКМ (неоком-юра)</t>
        </is>
      </c>
      <c r="E17" s="528" t="n">
        <v>100335593</v>
      </c>
      <c r="F17" s="528" t="n"/>
      <c r="G17" s="529" t="n"/>
      <c r="H17" s="530" t="n"/>
      <c r="I17" s="530" t="n"/>
      <c r="J17" s="654" t="inlineStr">
        <is>
          <t>тыс.т.</t>
        </is>
      </c>
    </row>
    <row r="18" ht="18.95" customHeight="1" s="769">
      <c r="B18" s="65" t="n"/>
      <c r="C18" s="249" t="n"/>
      <c r="D18" s="253" t="inlineStr">
        <is>
          <t>Харасавэйское ГКМ (неоком-юра)</t>
        </is>
      </c>
      <c r="E18" s="528" t="n">
        <v>100335658</v>
      </c>
      <c r="F18" s="528" t="n"/>
      <c r="G18" s="529" t="n"/>
      <c r="H18" s="530" t="n"/>
      <c r="I18" s="530" t="n"/>
      <c r="J18" s="654" t="inlineStr">
        <is>
          <t>тыс.т.</t>
        </is>
      </c>
    </row>
    <row r="19" ht="18.95" customHeight="1" s="769">
      <c r="B19" s="65" t="inlineStr">
        <is>
          <t>11.7</t>
        </is>
      </c>
      <c r="C19" s="249" t="n"/>
      <c r="D19" s="37" t="inlineStr">
        <is>
          <t>Справочно:</t>
        </is>
      </c>
      <c r="E19" s="528" t="n"/>
      <c r="F19" s="528" t="n"/>
      <c r="G19" s="529" t="n"/>
      <c r="H19" s="530" t="n"/>
      <c r="I19" s="530" t="n"/>
      <c r="J19" s="654" t="n"/>
    </row>
    <row r="20" outlineLevel="1" ht="18.95" customHeight="1" s="769">
      <c r="B20" s="65" t="inlineStr">
        <is>
          <t>11.8</t>
        </is>
      </c>
      <c r="C20" s="797" t="inlineStr">
        <is>
          <t>3.</t>
        </is>
      </c>
      <c r="D20" s="37" t="inlineStr">
        <is>
          <t>Потери сырья при переработке, всего:</t>
        </is>
      </c>
      <c r="E20" s="528" t="n">
        <v>100330037</v>
      </c>
      <c r="F20" s="528" t="n"/>
      <c r="G20" s="529" t="n"/>
      <c r="H20" s="530" t="inlineStr">
        <is>
          <t>СУММ(100330689:100333684)</t>
        </is>
      </c>
      <c r="I20" s="530" t="n"/>
      <c r="J20" s="883" t="inlineStr">
        <is>
          <t>тыс.т.</t>
        </is>
      </c>
    </row>
    <row r="21" outlineLevel="1" ht="18.95" customHeight="1" s="769">
      <c r="B21" s="65" t="inlineStr">
        <is>
          <t>11.9</t>
        </is>
      </c>
      <c r="C21" s="799" t="n"/>
      <c r="D21" s="117" t="inlineStr">
        <is>
          <t>Медвежье НКГМ</t>
        </is>
      </c>
      <c r="E21" s="528" t="n">
        <v>100330689</v>
      </c>
      <c r="F21" s="528" t="n"/>
      <c r="G21" s="529" t="n"/>
      <c r="H21" s="530" t="n"/>
      <c r="I21" s="530" t="n"/>
      <c r="J21" s="654" t="inlineStr">
        <is>
          <t>тыс.т.</t>
        </is>
      </c>
    </row>
    <row r="22" outlineLevel="1" s="769">
      <c r="B22" s="65" t="inlineStr">
        <is>
          <t>11.10</t>
        </is>
      </c>
      <c r="C22" s="799" t="n"/>
      <c r="D22" s="117" t="inlineStr">
        <is>
          <t>Юбилейное НГКМ</t>
        </is>
      </c>
      <c r="E22" s="528" t="n">
        <v>100330690</v>
      </c>
      <c r="F22" s="528" t="n"/>
      <c r="G22" s="529" t="n"/>
      <c r="H22" s="530" t="n"/>
      <c r="I22" s="530" t="n"/>
      <c r="J22" s="654" t="inlineStr">
        <is>
          <t>тыс.т.</t>
        </is>
      </c>
    </row>
    <row r="23" outlineLevel="1" s="769">
      <c r="B23" s="65" t="inlineStr">
        <is>
          <t>11.11</t>
        </is>
      </c>
      <c r="C23" s="799" t="n"/>
      <c r="D23" s="117" t="inlineStr">
        <is>
          <t>Бованенковское НГКМ</t>
        </is>
      </c>
      <c r="E23" s="528" t="n">
        <v>100330691</v>
      </c>
      <c r="F23" s="528" t="n"/>
      <c r="G23" s="529" t="n"/>
      <c r="H23" s="530" t="n"/>
      <c r="I23" s="530" t="n"/>
      <c r="J23" s="654" t="inlineStr">
        <is>
          <t>тыс.т.</t>
        </is>
      </c>
    </row>
    <row r="24" outlineLevel="1" s="769">
      <c r="B24" s="65" t="inlineStr">
        <is>
          <t>11.12</t>
        </is>
      </c>
      <c r="C24" s="799" t="n"/>
      <c r="D24" s="117" t="inlineStr">
        <is>
          <t>Харасавэйское ГКМ</t>
        </is>
      </c>
      <c r="E24" s="528" t="n">
        <v>100333684</v>
      </c>
      <c r="F24" s="528" t="n"/>
      <c r="G24" s="529" t="n"/>
      <c r="H24" s="530" t="n"/>
      <c r="I24" s="530" t="n"/>
      <c r="J24" s="654" t="inlineStr">
        <is>
          <t>тыс.т.</t>
        </is>
      </c>
    </row>
    <row r="25" ht="57" customHeight="1" s="769">
      <c r="B25" s="65" t="inlineStr">
        <is>
          <t>11.13</t>
        </is>
      </c>
      <c r="C25" s="797" t="inlineStr">
        <is>
          <t>4.</t>
        </is>
      </c>
      <c r="D25" s="72" t="inlineStr">
        <is>
          <t>Производство продукции, 
собственность ООО "Газпром добыча Надым, всего:</t>
        </is>
      </c>
      <c r="E25" s="528" t="n">
        <v>100330692</v>
      </c>
      <c r="F25" s="528" t="n"/>
      <c r="G25" s="529" t="n"/>
      <c r="H25" s="530" t="inlineStr">
        <is>
          <t>100332334+100330100</t>
        </is>
      </c>
      <c r="I25" s="530" t="n"/>
      <c r="J25" s="883" t="inlineStr">
        <is>
          <t>тыс.т.</t>
        </is>
      </c>
    </row>
    <row r="26" ht="24" customHeight="1" s="769">
      <c r="B26" s="65" t="inlineStr">
        <is>
          <t>11.14</t>
        </is>
      </c>
      <c r="C26" s="797" t="inlineStr">
        <is>
          <t>4.1.</t>
        </is>
      </c>
      <c r="D26" s="72" t="inlineStr">
        <is>
          <t>Стабильный конденсат товарный, всего:</t>
        </is>
      </c>
      <c r="E26" s="528" t="n">
        <v>100330954</v>
      </c>
      <c r="F26" s="528" t="n"/>
      <c r="G26" s="529" t="n"/>
      <c r="H26" s="530" t="inlineStr">
        <is>
          <t>100330693+100330694+100330695+100333685</t>
        </is>
      </c>
      <c r="I26" s="530" t="n"/>
      <c r="J26" s="883" t="inlineStr">
        <is>
          <t>тыс.т.</t>
        </is>
      </c>
    </row>
    <row r="27">
      <c r="B27" s="65" t="inlineStr">
        <is>
          <t>11.15</t>
        </is>
      </c>
      <c r="C27" s="799" t="inlineStr">
        <is>
          <t>4.1.1</t>
        </is>
      </c>
      <c r="D27" s="250" t="inlineStr">
        <is>
          <t>СК (товар) Медвежье НКГМ</t>
        </is>
      </c>
      <c r="E27" s="528" t="n">
        <v>100330693</v>
      </c>
      <c r="F27" s="528" t="n"/>
      <c r="G27" s="529" t="n"/>
      <c r="H27" s="530" t="inlineStr">
        <is>
          <t>100330702-100330706</t>
        </is>
      </c>
      <c r="I27" s="530" t="n"/>
      <c r="J27" s="654" t="inlineStr">
        <is>
          <t>тыс.т.</t>
        </is>
      </c>
    </row>
    <row r="28">
      <c r="B28" s="65" t="inlineStr">
        <is>
          <t>11.16</t>
        </is>
      </c>
      <c r="C28" s="799" t="inlineStr">
        <is>
          <t>4.1.2</t>
        </is>
      </c>
      <c r="D28" s="250" t="inlineStr">
        <is>
          <t>СК (товар) Юбилейное НГКМ</t>
        </is>
      </c>
      <c r="E28" s="528" t="n">
        <v>100330694</v>
      </c>
      <c r="F28" s="528" t="n"/>
      <c r="G28" s="529" t="n"/>
      <c r="H28" s="530" t="inlineStr">
        <is>
          <t>100330703-100330707</t>
        </is>
      </c>
      <c r="I28" s="530" t="n"/>
      <c r="J28" s="654" t="inlineStr">
        <is>
          <t>тыс.т.</t>
        </is>
      </c>
    </row>
    <row r="29">
      <c r="B29" s="65" t="inlineStr">
        <is>
          <t>11.17</t>
        </is>
      </c>
      <c r="C29" s="799" t="inlineStr">
        <is>
          <t>4.1.3</t>
        </is>
      </c>
      <c r="D29" s="250" t="inlineStr">
        <is>
          <t>СК (товар) Бованенковское НГКМ</t>
        </is>
      </c>
      <c r="E29" s="528" t="n">
        <v>100330695</v>
      </c>
      <c r="F29" s="528" t="n"/>
      <c r="G29" s="529" t="n"/>
      <c r="H29" s="530" t="inlineStr">
        <is>
          <t>100330704-100330708</t>
        </is>
      </c>
      <c r="I29" s="530" t="n"/>
      <c r="J29" s="654" t="inlineStr">
        <is>
          <t>тыс.т.</t>
        </is>
      </c>
    </row>
    <row r="30">
      <c r="B30" s="65" t="inlineStr">
        <is>
          <t>11.18</t>
        </is>
      </c>
      <c r="C30" s="799" t="inlineStr">
        <is>
          <t>4.1.4</t>
        </is>
      </c>
      <c r="D30" s="250" t="inlineStr">
        <is>
          <t>СК (товар) Харасавейского ГКМ</t>
        </is>
      </c>
      <c r="E30" s="528" t="n">
        <v>100333685</v>
      </c>
      <c r="F30" s="528" t="n"/>
      <c r="G30" s="529" t="n"/>
      <c r="H30" s="530" t="inlineStr">
        <is>
          <t>100333688-100333689</t>
        </is>
      </c>
      <c r="I30" s="530" t="n"/>
      <c r="J30" s="654" t="inlineStr">
        <is>
          <t>тыс.т.</t>
        </is>
      </c>
    </row>
    <row r="31">
      <c r="B31" s="65" t="inlineStr">
        <is>
          <t>11.19</t>
        </is>
      </c>
      <c r="C31" s="799" t="n"/>
      <c r="D31" s="37" t="inlineStr">
        <is>
          <t>Справочно:</t>
        </is>
      </c>
      <c r="E31" s="528" t="n"/>
      <c r="F31" s="528" t="n"/>
      <c r="G31" s="529" t="n"/>
      <c r="H31" s="530" t="n"/>
      <c r="I31" s="530" t="n"/>
      <c r="J31" s="654" t="n"/>
    </row>
    <row r="32" ht="24" customHeight="1" s="769">
      <c r="B32" s="65" t="inlineStr">
        <is>
          <t>11.20</t>
        </is>
      </c>
      <c r="C32" s="797" t="inlineStr">
        <is>
          <t>4.2</t>
        </is>
      </c>
      <c r="D32" s="868" t="inlineStr">
        <is>
          <t>Газ стабилизации, всего:</t>
        </is>
      </c>
      <c r="E32" s="528" t="n">
        <v>100332334</v>
      </c>
      <c r="F32" s="528" t="n"/>
      <c r="G32" s="529" t="n"/>
      <c r="H32" s="530" t="inlineStr">
        <is>
          <t>100330696+100330698+100330700+100333686</t>
        </is>
      </c>
      <c r="I32" s="530" t="n"/>
      <c r="J32" s="883" t="inlineStr">
        <is>
          <t>тыс.т.</t>
        </is>
      </c>
    </row>
    <row r="33" ht="24" customHeight="1" s="769">
      <c r="B33" s="65" t="inlineStr">
        <is>
          <t>11.21</t>
        </is>
      </c>
      <c r="C33" s="766" t="n"/>
      <c r="D33" s="766" t="n"/>
      <c r="E33" s="528" t="n">
        <v>100332335</v>
      </c>
      <c r="F33" s="528" t="n"/>
      <c r="G33" s="529" t="n"/>
      <c r="H33" s="530" t="inlineStr">
        <is>
          <t>100330697+100330699+100330701+100333687</t>
        </is>
      </c>
      <c r="I33" s="530" t="n"/>
      <c r="J33" s="938" t="inlineStr">
        <is>
          <t>млн куб.м</t>
        </is>
      </c>
    </row>
    <row r="34">
      <c r="B34" s="65" t="inlineStr">
        <is>
          <t>11.22</t>
        </is>
      </c>
      <c r="C34" s="799" t="inlineStr">
        <is>
          <t>4.2.1</t>
        </is>
      </c>
      <c r="D34" s="865" t="inlineStr">
        <is>
          <t xml:space="preserve"> - Медвежье НКГМ</t>
        </is>
      </c>
      <c r="E34" s="528" t="n">
        <v>100330696</v>
      </c>
      <c r="F34" s="528" t="n"/>
      <c r="G34" s="529" t="n"/>
      <c r="H34" s="530" t="n"/>
      <c r="I34" s="530" t="n"/>
      <c r="J34" s="654" t="inlineStr">
        <is>
          <t>тыс.т.</t>
        </is>
      </c>
    </row>
    <row r="35">
      <c r="B35" s="65" t="inlineStr">
        <is>
          <t>11.23</t>
        </is>
      </c>
      <c r="C35" s="766" t="n"/>
      <c r="D35" s="766" t="n"/>
      <c r="E35" s="528" t="n">
        <v>100330697</v>
      </c>
      <c r="F35" s="528" t="n"/>
      <c r="G35" s="529" t="n"/>
      <c r="H35" s="530" t="n"/>
      <c r="I35" s="530" t="n"/>
      <c r="J35" s="939" t="inlineStr">
        <is>
          <t>млн куб.м</t>
        </is>
      </c>
    </row>
    <row r="36">
      <c r="B36" s="65" t="inlineStr">
        <is>
          <t>11.24</t>
        </is>
      </c>
      <c r="C36" s="799" t="inlineStr">
        <is>
          <t>4.2.2</t>
        </is>
      </c>
      <c r="D36" s="865" t="inlineStr">
        <is>
          <t xml:space="preserve"> - Юбилейное НГКМ</t>
        </is>
      </c>
      <c r="E36" s="528" t="n">
        <v>100330698</v>
      </c>
      <c r="F36" s="528" t="n"/>
      <c r="G36" s="529" t="n"/>
      <c r="H36" s="530" t="n"/>
      <c r="I36" s="530" t="n"/>
      <c r="J36" s="654" t="inlineStr">
        <is>
          <t>тыс.т.</t>
        </is>
      </c>
    </row>
    <row r="37">
      <c r="B37" s="65" t="inlineStr">
        <is>
          <t>11.25</t>
        </is>
      </c>
      <c r="C37" s="766" t="n"/>
      <c r="D37" s="766" t="n"/>
      <c r="E37" s="528" t="n">
        <v>100330699</v>
      </c>
      <c r="F37" s="528" t="n"/>
      <c r="G37" s="529" t="n"/>
      <c r="H37" s="530" t="n"/>
      <c r="I37" s="530" t="n"/>
      <c r="J37" s="939" t="inlineStr">
        <is>
          <t>млн куб.м</t>
        </is>
      </c>
    </row>
    <row r="38" ht="18.75" customHeight="1" s="769">
      <c r="A38" t="n"/>
      <c r="B38" s="65" t="inlineStr">
        <is>
          <t>11.26</t>
        </is>
      </c>
      <c r="C38" s="799" t="inlineStr">
        <is>
          <t>4.2.3</t>
        </is>
      </c>
      <c r="D38" s="865" t="inlineStr">
        <is>
          <t xml:space="preserve"> - Бованенковское НГКМ (апт)</t>
        </is>
      </c>
      <c r="E38" s="528" t="n">
        <v>100330700</v>
      </c>
      <c r="F38" s="528" t="n"/>
      <c r="G38" s="529" t="n"/>
      <c r="H38" s="530" t="n"/>
      <c r="I38" s="530" t="n"/>
      <c r="J38" s="654" t="inlineStr">
        <is>
          <t>тыс.т.</t>
        </is>
      </c>
    </row>
    <row r="39">
      <c r="B39" s="65" t="inlineStr">
        <is>
          <t>11.27</t>
        </is>
      </c>
      <c r="C39" s="766" t="n"/>
      <c r="D39" s="766" t="n"/>
      <c r="E39" s="528" t="n">
        <v>100330701</v>
      </c>
      <c r="F39" s="528" t="n"/>
      <c r="G39" s="529" t="n"/>
      <c r="H39" s="530" t="n"/>
      <c r="I39" s="530" t="n"/>
      <c r="J39" s="939" t="inlineStr">
        <is>
          <t>млн куб.м</t>
        </is>
      </c>
    </row>
    <row r="40">
      <c r="B40" s="65" t="inlineStr">
        <is>
          <t>11.28</t>
        </is>
      </c>
      <c r="C40" s="799" t="inlineStr">
        <is>
          <t>4.2.5</t>
        </is>
      </c>
      <c r="D40" s="865" t="inlineStr">
        <is>
          <t xml:space="preserve"> - Харасавэйское ГКМ (апт)</t>
        </is>
      </c>
      <c r="E40" s="528" t="n">
        <v>100333686</v>
      </c>
      <c r="F40" s="528" t="n"/>
      <c r="G40" s="529" t="n"/>
      <c r="H40" s="530" t="n"/>
      <c r="I40" s="530" t="n"/>
      <c r="J40" s="654" t="inlineStr">
        <is>
          <t>тыс.т.</t>
        </is>
      </c>
    </row>
    <row r="41">
      <c r="B41" s="65" t="inlineStr">
        <is>
          <t>11.29</t>
        </is>
      </c>
      <c r="C41" s="766" t="n"/>
      <c r="D41" s="766" t="n"/>
      <c r="E41" s="528" t="n">
        <v>100333687</v>
      </c>
      <c r="F41" s="528" t="n"/>
      <c r="G41" s="529" t="n"/>
      <c r="H41" s="530" t="n"/>
      <c r="I41" s="530" t="n"/>
      <c r="J41" s="939" t="inlineStr">
        <is>
          <t>млн куб.м</t>
        </is>
      </c>
    </row>
    <row r="42" ht="24" customHeight="1" s="769">
      <c r="B42" s="65" t="inlineStr">
        <is>
          <t>11.30</t>
        </is>
      </c>
      <c r="C42" s="799" t="n"/>
      <c r="D42" s="37" t="inlineStr">
        <is>
          <t>Стабильный конденсат валовый , всего:</t>
        </is>
      </c>
      <c r="E42" s="528" t="n">
        <v>100330100</v>
      </c>
      <c r="F42" s="528" t="n"/>
      <c r="G42" s="529" t="n"/>
      <c r="H42" s="530" t="inlineStr">
        <is>
          <t>100330702+100330703+100330704+100333688</t>
        </is>
      </c>
      <c r="I42" s="530" t="n"/>
      <c r="J42" s="654" t="inlineStr">
        <is>
          <t>тыс.т.</t>
        </is>
      </c>
    </row>
    <row r="43" customFormat="1" s="832">
      <c r="A43" s="178" t="n"/>
      <c r="B43" s="254" t="inlineStr">
        <is>
          <t>11.31</t>
        </is>
      </c>
      <c r="C43" s="799" t="n"/>
      <c r="D43" s="117" t="inlineStr">
        <is>
          <t>СК (вал) Медвежье НКГМ</t>
        </is>
      </c>
      <c r="E43" s="528" t="n">
        <v>100330702</v>
      </c>
      <c r="F43" s="528" t="n"/>
      <c r="G43" s="529" t="n"/>
      <c r="H43" s="530" t="n"/>
      <c r="I43" s="530" t="n"/>
      <c r="J43" s="647" t="inlineStr">
        <is>
          <t>тыс.т.</t>
        </is>
      </c>
    </row>
    <row r="44" customFormat="1" s="832">
      <c r="A44" s="178" t="n"/>
      <c r="B44" s="254" t="inlineStr">
        <is>
          <t>11.32</t>
        </is>
      </c>
      <c r="C44" s="799" t="n"/>
      <c r="D44" s="117" t="inlineStr">
        <is>
          <t>СК (вал) Юбилейное НГКМ</t>
        </is>
      </c>
      <c r="E44" s="528" t="n">
        <v>100330703</v>
      </c>
      <c r="F44" s="528" t="n"/>
      <c r="G44" s="529" t="n"/>
      <c r="H44" s="530" t="n"/>
      <c r="I44" s="530" t="n"/>
      <c r="J44" s="647" t="inlineStr">
        <is>
          <t>тыс.т.</t>
        </is>
      </c>
    </row>
    <row r="45" customFormat="1" s="832">
      <c r="A45" s="178" t="n"/>
      <c r="B45" s="254" t="inlineStr">
        <is>
          <t>11.33</t>
        </is>
      </c>
      <c r="C45" s="799" t="n"/>
      <c r="D45" s="117" t="inlineStr">
        <is>
          <t>СК (вал) Бованенковское НГКМ (апт)</t>
        </is>
      </c>
      <c r="E45" s="528" t="n">
        <v>100330704</v>
      </c>
      <c r="F45" s="528" t="n"/>
      <c r="G45" s="529" t="n"/>
      <c r="H45" s="530" t="n"/>
      <c r="I45" s="530" t="n"/>
      <c r="J45" s="647" t="inlineStr">
        <is>
          <t>тыс.т.</t>
        </is>
      </c>
    </row>
    <row r="46" customFormat="1" s="832">
      <c r="A46" s="178" t="n"/>
      <c r="B46" s="254" t="inlineStr">
        <is>
          <t>11.34</t>
        </is>
      </c>
      <c r="C46" s="799" t="n"/>
      <c r="D46" s="117" t="inlineStr">
        <is>
          <t>СК (вал) Харасавейского ГКМ</t>
        </is>
      </c>
      <c r="E46" s="528" t="n">
        <v>100333688</v>
      </c>
      <c r="F46" s="528" t="n"/>
      <c r="G46" s="529" t="n"/>
      <c r="H46" s="530" t="n"/>
      <c r="I46" s="530" t="n"/>
      <c r="J46" s="647" t="inlineStr">
        <is>
          <t>тыс.т.</t>
        </is>
      </c>
    </row>
    <row r="47" ht="39" customHeight="1" s="769">
      <c r="B47" s="65" t="inlineStr">
        <is>
          <t>11.35</t>
        </is>
      </c>
      <c r="C47" s="799" t="n"/>
      <c r="D47" s="37" t="inlineStr">
        <is>
          <t>Стабильный конденсат на собственные нужды, всего:</t>
        </is>
      </c>
      <c r="E47" s="528" t="n">
        <v>100330705</v>
      </c>
      <c r="F47" s="528" t="n"/>
      <c r="G47" s="529" t="n"/>
      <c r="H47" s="530" t="inlineStr">
        <is>
          <t>100330706+100330707+100330708+100333689</t>
        </is>
      </c>
      <c r="I47" s="530" t="n"/>
      <c r="J47" s="654" t="inlineStr">
        <is>
          <t>тыс.т.</t>
        </is>
      </c>
    </row>
    <row r="48" ht="18.95" customFormat="1" customHeight="1" s="839">
      <c r="A48" s="178" t="n"/>
      <c r="B48" s="65" t="inlineStr">
        <is>
          <t>11.36</t>
        </is>
      </c>
      <c r="C48" s="799" t="n"/>
      <c r="D48" s="117" t="inlineStr">
        <is>
          <t>СК (сн)Медвежье НКГМ</t>
        </is>
      </c>
      <c r="E48" s="528" t="n">
        <v>100330706</v>
      </c>
      <c r="F48" s="528" t="n"/>
      <c r="G48" s="529" t="n"/>
      <c r="H48" s="530" t="n"/>
      <c r="I48" s="530" t="n"/>
      <c r="J48" s="654" t="inlineStr">
        <is>
          <t>тыс.т.</t>
        </is>
      </c>
    </row>
    <row r="49" ht="18.95" customFormat="1" customHeight="1" s="839">
      <c r="A49" s="178" t="n"/>
      <c r="B49" s="65" t="inlineStr">
        <is>
          <t>11.37</t>
        </is>
      </c>
      <c r="C49" s="799" t="n"/>
      <c r="D49" s="117" t="inlineStr">
        <is>
          <t>СК (сн) Юбилейное НГКМ</t>
        </is>
      </c>
      <c r="E49" s="528" t="n">
        <v>100330707</v>
      </c>
      <c r="F49" s="528" t="n"/>
      <c r="G49" s="529" t="n"/>
      <c r="H49" s="530" t="n"/>
      <c r="I49" s="530" t="n"/>
      <c r="J49" s="654" t="inlineStr">
        <is>
          <t>тыс.т.</t>
        </is>
      </c>
    </row>
    <row r="50" ht="18.95" customFormat="1" customHeight="1" s="839">
      <c r="A50" s="178" t="n"/>
      <c r="B50" s="65" t="inlineStr">
        <is>
          <t>11.38</t>
        </is>
      </c>
      <c r="C50" s="799" t="n"/>
      <c r="D50" s="117" t="inlineStr">
        <is>
          <t>СК (сн) Бованенковское НГКМ</t>
        </is>
      </c>
      <c r="E50" s="528" t="n">
        <v>100330708</v>
      </c>
      <c r="F50" s="528" t="n"/>
      <c r="G50" s="529" t="n"/>
      <c r="H50" s="530" t="n"/>
      <c r="I50" s="530" t="n"/>
      <c r="J50" s="654" t="inlineStr">
        <is>
          <t>тыс.т.</t>
        </is>
      </c>
    </row>
    <row r="51" ht="18.95" customFormat="1" customHeight="1" s="839">
      <c r="A51" s="178" t="n"/>
      <c r="B51" s="65" t="inlineStr">
        <is>
          <t>11.39</t>
        </is>
      </c>
      <c r="C51" s="799" t="n"/>
      <c r="D51" s="117" t="inlineStr">
        <is>
          <t>СК (сн) Харасавейского ГКМ</t>
        </is>
      </c>
      <c r="E51" s="528" t="n">
        <v>100333689</v>
      </c>
      <c r="F51" s="528" t="n"/>
      <c r="G51" s="529" t="n"/>
      <c r="H51" s="530" t="n"/>
      <c r="I51" s="530" t="n"/>
      <c r="J51" s="654" t="inlineStr">
        <is>
          <t>тыс.т.</t>
        </is>
      </c>
    </row>
    <row r="52" outlineLevel="1" ht="38.25" customHeight="1" s="769">
      <c r="B52" s="65" t="inlineStr">
        <is>
          <t>11.40</t>
        </is>
      </c>
      <c r="C52" s="797" t="inlineStr">
        <is>
          <t>5.</t>
        </is>
      </c>
      <c r="D52" s="37" t="inlineStr">
        <is>
          <t>Материальный баланс переработки УВС ("П.1"-"П.2"-"П.3" = 0,000)</t>
        </is>
      </c>
      <c r="E52" s="528" t="n"/>
      <c r="F52" s="528" t="n"/>
      <c r="G52" s="529" t="n"/>
      <c r="H52" s="530" t="n"/>
      <c r="I52" s="530" t="n"/>
      <c r="J52" s="654" t="inlineStr">
        <is>
          <t>тыс.т.</t>
        </is>
      </c>
    </row>
    <row r="53" outlineLevel="1" ht="18.95" customHeight="1" s="769">
      <c r="B53" s="65" t="inlineStr">
        <is>
          <t>11.41</t>
        </is>
      </c>
      <c r="C53" s="799" t="n"/>
      <c r="D53" s="117" t="inlineStr">
        <is>
          <t>МБ Медвежье НКГМ</t>
        </is>
      </c>
      <c r="E53" s="528" t="n">
        <v>100330709</v>
      </c>
      <c r="F53" s="528" t="n"/>
      <c r="G53" s="529" t="n"/>
      <c r="H53" s="530" t="inlineStr">
        <is>
          <t>100330686-100330689-100330693-100330696</t>
        </is>
      </c>
      <c r="I53" s="530" t="n"/>
      <c r="J53" s="654" t="inlineStr">
        <is>
          <t>тыс.т.</t>
        </is>
      </c>
    </row>
    <row r="54" outlineLevel="1" ht="18.95" customHeight="1" s="769">
      <c r="B54" s="65" t="inlineStr">
        <is>
          <t>11.42</t>
        </is>
      </c>
      <c r="C54" s="799" t="n"/>
      <c r="D54" s="117" t="inlineStr">
        <is>
          <t>МБ Юбилейное НГКМ</t>
        </is>
      </c>
      <c r="E54" s="528" t="n">
        <v>100330710</v>
      </c>
      <c r="F54" s="528" t="n"/>
      <c r="G54" s="529" t="n"/>
      <c r="H54" s="530" t="inlineStr">
        <is>
          <t>100330687-100330690-100330694-100330698</t>
        </is>
      </c>
      <c r="I54" s="530" t="n"/>
      <c r="J54" s="654" t="inlineStr">
        <is>
          <t>тыс.т.</t>
        </is>
      </c>
    </row>
    <row r="55" outlineLevel="1" ht="18.95" customHeight="1" s="769">
      <c r="B55" s="65" t="inlineStr">
        <is>
          <t>11.43</t>
        </is>
      </c>
      <c r="C55" s="799" t="n"/>
      <c r="D55" s="117" t="inlineStr">
        <is>
          <t>МБ Бованенковское НГКМ</t>
        </is>
      </c>
      <c r="E55" s="528" t="n">
        <v>100330711</v>
      </c>
      <c r="F55" s="528" t="n"/>
      <c r="G55" s="529" t="n"/>
      <c r="H55" s="530" t="inlineStr">
        <is>
          <t>100330688-100330691-100330695-100330700</t>
        </is>
      </c>
      <c r="I55" s="530" t="n"/>
      <c r="J55" s="654" t="inlineStr">
        <is>
          <t>тыс.т.</t>
        </is>
      </c>
    </row>
    <row r="56" outlineLevel="1" ht="18.75" customHeight="1" s="769">
      <c r="B56" s="65" t="inlineStr">
        <is>
          <t>11.44</t>
        </is>
      </c>
      <c r="C56" s="255" t="n"/>
      <c r="D56" s="256" t="inlineStr">
        <is>
          <t>МБ Харасавейского ГКМ</t>
        </is>
      </c>
      <c r="E56" s="528" t="n">
        <v>100333690</v>
      </c>
      <c r="F56" s="528" t="n"/>
      <c r="G56" s="529" t="n"/>
      <c r="H56" s="530" t="inlineStr">
        <is>
          <t>100333683-100333684-100333685-100333686</t>
        </is>
      </c>
      <c r="I56" s="530" t="n"/>
      <c r="J56" s="665" t="inlineStr">
        <is>
          <t>тыс.т.</t>
        </is>
      </c>
    </row>
    <row r="57" ht="18.95" customHeight="1" s="769">
      <c r="B57" s="65" t="n"/>
      <c r="C57" s="257" t="n"/>
      <c r="D57" s="380" t="n"/>
      <c r="E57" s="380" t="n"/>
      <c r="F57" s="380" t="n"/>
      <c r="G57" s="380" t="n"/>
      <c r="H57" s="380" t="n"/>
      <c r="I57" s="380" t="n"/>
    </row>
    <row r="58" ht="18.95" customHeight="1" s="769">
      <c r="B58" s="65" t="n"/>
      <c r="C58" s="257" t="n"/>
      <c r="D58" s="380" t="n"/>
      <c r="E58" s="380" t="n"/>
      <c r="F58" s="380" t="n"/>
      <c r="G58" s="380" t="n"/>
      <c r="H58" s="380" t="n"/>
      <c r="I58" s="380" t="n"/>
    </row>
    <row r="59">
      <c r="B59" s="83" t="n"/>
      <c r="C59" s="135" t="n"/>
    </row>
    <row r="60">
      <c r="B60" s="83" t="n"/>
      <c r="C60" s="135" t="n"/>
    </row>
  </sheetData>
  <mergeCells count="21">
    <mergeCell ref="D36:D37"/>
    <mergeCell ref="D32:D33"/>
    <mergeCell ref="D38:D39"/>
    <mergeCell ref="D34:D35"/>
    <mergeCell ref="F7:F8"/>
    <mergeCell ref="D40:D41"/>
    <mergeCell ref="G7:G8"/>
    <mergeCell ref="I7:I8"/>
    <mergeCell ref="C40:C41"/>
    <mergeCell ref="D6:D8"/>
    <mergeCell ref="E6:I6"/>
    <mergeCell ref="C32:C33"/>
    <mergeCell ref="J6:J8"/>
    <mergeCell ref="C34:C35"/>
    <mergeCell ref="C36:C37"/>
    <mergeCell ref="E7:E8"/>
    <mergeCell ref="C38:C39"/>
    <mergeCell ref="B6:B8"/>
    <mergeCell ref="C3:J3"/>
    <mergeCell ref="H7:H8"/>
    <mergeCell ref="C6:C8"/>
  </mergeCells>
  <conditionalFormatting sqref="O10:O56 P10:P56 U10:U56 V10:V56 AA10:AA56 AB10:AB56 AG10:AG56 AH10:AH56 AM10:AM56 AN10:AN56 AS10:AS56 AT10:AT56 AY10:AY56 AZ10:AZ56 BE10:BE56 BF10:BF56 BK10:BK56 BL10:BL56 BQ10:BQ56 BR10:BR56 BW10:BW56 BX10:BX56 CC10:CC56 CD10:CD56 CI10:CI56 CJ10:CJ56 CO10:CO56 CP10:CP56 CU10:CU56 CV10:CV56 DA10:DA56 DB10:DB56 DG10:DG56 DH10:DH56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56 N10:N56 R10:R56 T10:T56 X10:X56 Z10:Z56 AD10:AD56 AF10:AF56 AJ10:AJ56 AL10:AL56 AP10:AP56 AR10:AR56 AV10:AV56 AX10:AX56 BB10:BB56 BD10:BD56 BH10:BH56 BJ10:BJ56 BN10:BN56 BP10:BP56 BT10:BT56 BV10:BV56 BZ10:BZ56 CB10:CB56 CF10:CF56 CH10:CH56 CL10:CL56 CN10:CN56 CR10:CR56 CT10:CT56 CX10:CX56 CZ10:CZ56 DD10:DD56 DF10:DF56">
    <cfRule type="cellIs" priority="4" operator="equal" dxfId="0">
      <formula>0</formula>
    </cfRule>
  </conditionalFormatting>
  <pageMargins left="0.7" right="0.7" top="0.75" bottom="0.75" header="0.3" footer="0.3"/>
  <pageSetup orientation="landscape" paperSize="9"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codeName="Лист16">
    <tabColor theme="8" tint="0.5999938962981048"/>
    <outlinePr summaryBelow="1" summaryRight="1"/>
    <pageSetUpPr fitToPage="1"/>
  </sheetPr>
  <dimension ref="A5:J40"/>
  <sheetViews>
    <sheetView topLeftCell="C1" zoomScale="60" zoomScaleNormal="60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25" defaultRowHeight="18.75" outlineLevelRow="1"/>
  <cols>
    <col hidden="1" outlineLevel="1" width="16.7109375" customWidth="1" style="795" min="1" max="1"/>
    <col hidden="1" outlineLevel="1" width="46.42578125" customWidth="1" style="795" min="2" max="2"/>
    <col collapsed="1" width="12.140625" bestFit="1" customWidth="1" style="84" min="3" max="3"/>
    <col width="59.140625" customWidth="1" style="795" min="4" max="4"/>
    <col outlineLevel="1" width="24.42578125" customWidth="1" style="795" min="5" max="9"/>
    <col width="12.85546875" bestFit="1" customWidth="1" style="869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5" customHeight="1" s="769"/>
    <row r="2" ht="15" customHeight="1" s="769"/>
    <row r="3" ht="21.75" customHeight="1" s="769"/>
    <row r="4" ht="17.25" customHeight="1" s="769"/>
    <row r="5" ht="21.75" customFormat="1" customHeight="1" s="325">
      <c r="C5" s="258" t="inlineStr">
        <is>
          <t>12. Газпром добыча Иркутск</t>
        </is>
      </c>
      <c r="J5" s="259" t="n"/>
    </row>
    <row r="6" ht="20.1" customHeight="1" s="769">
      <c r="B6" s="792" t="inlineStr">
        <is>
          <t>Код строки</t>
        </is>
      </c>
      <c r="C6" s="837" t="inlineStr">
        <is>
          <t>№ 
п/п</t>
        </is>
      </c>
      <c r="D6" s="790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 изм.</t>
        </is>
      </c>
    </row>
    <row r="7" ht="39.95" customHeight="1" s="769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A8" s="795" t="n">
        <v>1</v>
      </c>
      <c r="C8" s="751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863" t="n"/>
      <c r="D9" s="861" t="n"/>
      <c r="E9" s="869" t="n"/>
      <c r="F9" s="869" t="n"/>
      <c r="G9" s="869" t="n"/>
      <c r="H9" s="869" t="n"/>
      <c r="I9" s="869" t="n"/>
      <c r="J9" s="381" t="n"/>
    </row>
    <row r="10" customFormat="1" s="325">
      <c r="A10" s="325" t="n">
        <v>100330000</v>
      </c>
      <c r="B10" s="1" t="inlineStr">
        <is>
          <t>Переработка сырья, всего</t>
        </is>
      </c>
      <c r="C10" s="25" t="n">
        <v>1</v>
      </c>
      <c r="D10" s="200" t="inlineStr">
        <is>
          <t>Переработано сырья, всего:</t>
        </is>
      </c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381" t="inlineStr">
        <is>
          <t>тыс.т.</t>
        </is>
      </c>
    </row>
    <row r="11" ht="57" customHeight="1" s="769">
      <c r="A11" s="795" t="n">
        <v>100330735</v>
      </c>
      <c r="B11" s="260" t="inlineStr">
        <is>
          <t>Нестабильный газовый конденсат, собственность ПАО "Газпром" (Ковыктинское ГКМ)</t>
        </is>
      </c>
      <c r="C11" s="800" t="inlineStr">
        <is>
          <t>1.1</t>
        </is>
      </c>
      <c r="D11" s="787" t="inlineStr">
        <is>
          <t xml:space="preserve">Нестабильный газовый конденсат, собственность ПАО "Газпром" (Ковыктинское ГКМ) </t>
        </is>
      </c>
      <c r="E11" s="528" t="n">
        <v>100330735</v>
      </c>
      <c r="F11" s="528" t="n"/>
      <c r="G11" s="529" t="n"/>
      <c r="H11" s="530" t="n"/>
      <c r="I11" s="530" t="n"/>
      <c r="J11" s="381" t="inlineStr">
        <is>
          <t>тыс.т.</t>
        </is>
      </c>
    </row>
    <row r="12" outlineLevel="1" ht="20.1" customHeight="1" s="769">
      <c r="A12" s="795" t="n">
        <v>100330736</v>
      </c>
      <c r="B12" s="261" t="inlineStr">
        <is>
          <t>Потери НК при переработке, всего</t>
        </is>
      </c>
      <c r="C12" s="209" t="inlineStr">
        <is>
          <t>2</t>
        </is>
      </c>
      <c r="D12" s="37" t="inlineStr">
        <is>
          <t>Потери НК при переработке, всего</t>
        </is>
      </c>
      <c r="E12" s="528" t="n">
        <v>100330736</v>
      </c>
      <c r="F12" s="528" t="n"/>
      <c r="G12" s="529" t="n"/>
      <c r="H12" s="530" t="n"/>
      <c r="I12" s="530" t="n"/>
      <c r="J12" s="381" t="inlineStr">
        <is>
          <t>тыс.т.</t>
        </is>
      </c>
    </row>
    <row r="13" ht="20.1" customFormat="1" customHeight="1" s="325">
      <c r="A13" s="325" t="n">
        <v>100330049</v>
      </c>
      <c r="B13" s="1" t="inlineStr">
        <is>
          <t>Производство продукции, всего:</t>
        </is>
      </c>
      <c r="C13" s="883" t="n">
        <v>3</v>
      </c>
      <c r="D13" s="788" t="inlineStr">
        <is>
          <t>Производство продукции, всего:</t>
        </is>
      </c>
      <c r="E13" s="528" t="n">
        <v>100330049</v>
      </c>
      <c r="F13" s="528" t="n"/>
      <c r="G13" s="529" t="n"/>
      <c r="H13" s="530" t="inlineStr">
        <is>
          <t>100330866+100330867+100330679+100330737</t>
        </is>
      </c>
      <c r="I13" s="530" t="n"/>
      <c r="J13" s="381" t="inlineStr">
        <is>
          <t>тыс.т.</t>
        </is>
      </c>
    </row>
    <row r="14" ht="19.5" customHeight="1" s="769">
      <c r="A14" s="795" t="n">
        <v>100330679</v>
      </c>
      <c r="B14" s="262" t="inlineStr">
        <is>
          <t>Газ стабилизации</t>
        </is>
      </c>
      <c r="C14" s="800" t="inlineStr">
        <is>
          <t>3.1</t>
        </is>
      </c>
      <c r="D14" s="789" t="inlineStr">
        <is>
          <t>Газ стабилизации</t>
        </is>
      </c>
      <c r="E14" s="528" t="n">
        <v>100330679</v>
      </c>
      <c r="F14" s="528" t="n"/>
      <c r="G14" s="529" t="n"/>
      <c r="H14" s="530" t="n"/>
      <c r="I14" s="530" t="n"/>
      <c r="J14" s="381" t="inlineStr">
        <is>
          <t>тыс.т.</t>
        </is>
      </c>
    </row>
    <row r="15" ht="19.5" customHeight="1" s="769">
      <c r="A15" s="795" t="n">
        <v>100330680</v>
      </c>
      <c r="B15" s="262" t="n"/>
      <c r="C15" s="766" t="n"/>
      <c r="D15" s="766" t="n"/>
      <c r="E15" s="528" t="n">
        <v>100330680</v>
      </c>
      <c r="F15" s="528" t="n"/>
      <c r="G15" s="529" t="n"/>
      <c r="H15" s="530" t="n"/>
      <c r="I15" s="530" t="n"/>
      <c r="J15" s="953" t="inlineStr">
        <is>
          <t>млн куб.м</t>
        </is>
      </c>
    </row>
    <row r="16" ht="20.1" customHeight="1" s="769">
      <c r="A16" s="795" t="n">
        <v>100330866</v>
      </c>
      <c r="B16" s="260" t="inlineStr">
        <is>
          <t>Газы углеводородные сжиженные</t>
        </is>
      </c>
      <c r="C16" s="69" t="inlineStr">
        <is>
          <t>3.2</t>
        </is>
      </c>
      <c r="D16" s="162" t="inlineStr">
        <is>
          <t>Газы углеводородные сжиженные (ПБТ)</t>
        </is>
      </c>
      <c r="E16" s="528" t="n">
        <v>100330866</v>
      </c>
      <c r="F16" s="528" t="n"/>
      <c r="G16" s="529" t="n"/>
      <c r="H16" s="530" t="n"/>
      <c r="I16" s="530" t="n"/>
      <c r="J16" s="381" t="inlineStr">
        <is>
          <t>тыс.т.</t>
        </is>
      </c>
    </row>
    <row r="17" ht="18" customHeight="1" s="769">
      <c r="A17" s="795" t="n">
        <v>100335331</v>
      </c>
      <c r="B17" s="262" t="inlineStr">
        <is>
          <t>СК валовый</t>
        </is>
      </c>
      <c r="C17" s="69" t="inlineStr">
        <is>
          <t>3.3</t>
        </is>
      </c>
      <c r="D17" s="72" t="inlineStr">
        <is>
          <t>Стабильный конденсат вал</t>
        </is>
      </c>
      <c r="E17" s="528" t="n">
        <v>100335331</v>
      </c>
      <c r="F17" s="528" t="n"/>
      <c r="G17" s="529" t="n"/>
      <c r="H17" s="530" t="n"/>
      <c r="I17" s="530" t="n"/>
      <c r="J17" s="381" t="inlineStr">
        <is>
          <t>тыс.т.</t>
        </is>
      </c>
    </row>
    <row r="18" ht="37.5" customHeight="1" s="769">
      <c r="A18" s="795" t="n">
        <v>100330737</v>
      </c>
      <c r="B18" s="262" t="inlineStr">
        <is>
          <t>СК собственные нужды</t>
        </is>
      </c>
      <c r="C18" s="75" t="n"/>
      <c r="D18" s="263" t="inlineStr">
        <is>
          <t>СК на собственные нужды ООО "Газпром добыча Иркутск"</t>
        </is>
      </c>
      <c r="E18" s="528" t="n">
        <v>100330737</v>
      </c>
      <c r="F18" s="528" t="n"/>
      <c r="G18" s="529" t="n"/>
      <c r="H18" s="530" t="n"/>
      <c r="I18" s="530" t="n"/>
      <c r="J18" s="381" t="inlineStr">
        <is>
          <t>тыс.т.</t>
        </is>
      </c>
    </row>
    <row r="19" ht="20.1" customHeight="1" s="769">
      <c r="A19" s="795" t="n">
        <v>100330867</v>
      </c>
      <c r="B19" s="260" t="inlineStr">
        <is>
          <t>Стабильный конденсат</t>
        </is>
      </c>
      <c r="C19" s="795" t="n"/>
      <c r="D19" s="72" t="inlineStr">
        <is>
          <t>Стабильный конденсат товар.</t>
        </is>
      </c>
      <c r="E19" s="528" t="n">
        <v>100330867</v>
      </c>
      <c r="F19" s="528" t="n"/>
      <c r="G19" s="529" t="n"/>
      <c r="H19" s="530" t="n"/>
      <c r="I19" s="530" t="n"/>
      <c r="J19" s="381" t="inlineStr">
        <is>
          <t>тыс.т.</t>
        </is>
      </c>
    </row>
    <row r="20" ht="20.1" customHeight="1" s="769">
      <c r="A20" s="795" t="n">
        <v>100336107</v>
      </c>
      <c r="B20" s="264" t="inlineStr">
        <is>
          <t>в т.ч. автовывоз</t>
        </is>
      </c>
      <c r="C20" s="69" t="n"/>
      <c r="D20" s="265" t="inlineStr">
        <is>
          <t>в т.ч. автовывоз</t>
        </is>
      </c>
      <c r="E20" s="528" t="n">
        <v>100336107</v>
      </c>
      <c r="F20" s="528" t="n"/>
      <c r="G20" s="529" t="n"/>
      <c r="H20" s="530" t="n"/>
      <c r="I20" s="530" t="n"/>
      <c r="J20" s="381" t="inlineStr">
        <is>
          <t>тыс.т.</t>
        </is>
      </c>
    </row>
    <row r="21" ht="37.5" customHeight="1" s="769">
      <c r="A21" s="795" t="n">
        <v>100336108</v>
      </c>
      <c r="B21" s="264" t="inlineStr">
        <is>
          <t>в т.ч. перекачка по конденсатопроводу до ст. Окунайская</t>
        </is>
      </c>
      <c r="C21" s="69" t="n"/>
      <c r="D21" s="265" t="inlineStr">
        <is>
          <t>в т.ч. перекачка по конденсатопроводу до ст. Окунайская</t>
        </is>
      </c>
      <c r="E21" s="528" t="n">
        <v>100336108</v>
      </c>
      <c r="F21" s="528" t="n"/>
      <c r="G21" s="529" t="n"/>
      <c r="H21" s="530" t="n"/>
      <c r="I21" s="530" t="n"/>
      <c r="J21" s="381" t="inlineStr">
        <is>
          <t>тыс.т.</t>
        </is>
      </c>
    </row>
    <row r="22" ht="20.1" customHeight="1" s="769">
      <c r="A22" s="795" t="n">
        <v>1</v>
      </c>
      <c r="B22" s="262" t="inlineStr">
        <is>
          <t>Справочно:</t>
        </is>
      </c>
      <c r="C22" s="69" t="n"/>
      <c r="D22" s="266" t="inlineStr">
        <is>
          <t>Справочно:</t>
        </is>
      </c>
      <c r="E22" s="528" t="n"/>
      <c r="F22" s="528" t="n"/>
      <c r="G22" s="529" t="n"/>
      <c r="H22" s="530" t="n"/>
      <c r="I22" s="530" t="n"/>
      <c r="J22" s="381" t="n"/>
    </row>
    <row r="23" ht="20.1" customHeight="1" s="769">
      <c r="A23" s="795" t="n">
        <v>100336109</v>
      </c>
      <c r="B23" s="264" t="inlineStr">
        <is>
          <t>СК на ст Окунайская, всего</t>
        </is>
      </c>
      <c r="C23" s="75" t="n"/>
      <c r="D23" s="267" t="inlineStr">
        <is>
          <t>СК на ст Окунайская, всего</t>
        </is>
      </c>
      <c r="E23" s="528" t="n">
        <v>100336109</v>
      </c>
      <c r="F23" s="528" t="n"/>
      <c r="G23" s="529" t="n"/>
      <c r="H23" s="530" t="inlineStr">
        <is>
          <t>100336110+100336164+100336111</t>
        </is>
      </c>
      <c r="I23" s="530" t="n"/>
      <c r="J23" s="381" t="inlineStr">
        <is>
          <t>тыс.т.</t>
        </is>
      </c>
    </row>
    <row r="24" ht="20.1" customHeight="1" s="769">
      <c r="A24" s="795" t="n">
        <v>100336110</v>
      </c>
      <c r="B24" s="268" t="inlineStr">
        <is>
          <t>в т.ч. отгрузка жд транспортом</t>
        </is>
      </c>
      <c r="C24" s="75" t="n"/>
      <c r="D24" s="269" t="inlineStr">
        <is>
          <t>в т.ч. отгрузка жд транспортом</t>
        </is>
      </c>
      <c r="E24" s="528" t="n">
        <v>100336110</v>
      </c>
      <c r="F24" s="528" t="n"/>
      <c r="G24" s="529" t="n"/>
      <c r="H24" s="530" t="n"/>
      <c r="I24" s="530" t="n"/>
      <c r="J24" s="381" t="inlineStr">
        <is>
          <t>тыс.т.</t>
        </is>
      </c>
    </row>
    <row r="25" ht="20.1" customHeight="1" s="769">
      <c r="A25" s="795" t="n">
        <v>100336164</v>
      </c>
      <c r="B25" s="268" t="inlineStr">
        <is>
          <t>в т.ч.на компаундирование с нефтью</t>
        </is>
      </c>
      <c r="C25" s="75" t="n"/>
      <c r="D25" s="269" t="inlineStr">
        <is>
          <t>в т.ч. отгрузка автотранспортом</t>
        </is>
      </c>
      <c r="E25" s="528" t="n">
        <v>100336164</v>
      </c>
      <c r="F25" s="528" t="n"/>
      <c r="G25" s="529" t="n"/>
      <c r="H25" s="530" t="n"/>
      <c r="I25" s="530" t="n"/>
      <c r="J25" s="381" t="n"/>
    </row>
    <row r="26" ht="20.1" customHeight="1" s="769">
      <c r="A26" s="795" t="n">
        <v>100336111</v>
      </c>
      <c r="B26" s="261" t="inlineStr">
        <is>
          <t>Материальный баланс переработки ("П.1"-"П.2"-"П.3" = 0,000)</t>
        </is>
      </c>
      <c r="C26" s="75" t="n"/>
      <c r="D26" s="269" t="inlineStr">
        <is>
          <t>в т.ч.на компаундирование с нефтью</t>
        </is>
      </c>
      <c r="E26" s="528" t="n">
        <v>100336111</v>
      </c>
      <c r="F26" s="528" t="n"/>
      <c r="G26" s="529" t="n"/>
      <c r="H26" s="530" t="n"/>
      <c r="I26" s="530" t="n"/>
      <c r="J26" s="381" t="inlineStr">
        <is>
          <t>тыс.т.</t>
        </is>
      </c>
    </row>
    <row r="27" outlineLevel="1" ht="41.25" customFormat="1" customHeight="1" s="327">
      <c r="A27" s="327" t="n">
        <v>100330863</v>
      </c>
      <c r="B27" s="261" t="inlineStr">
        <is>
          <t>Справочно:</t>
        </is>
      </c>
      <c r="C27" s="270" t="inlineStr">
        <is>
          <t>4</t>
        </is>
      </c>
      <c r="D27" s="271" t="inlineStr">
        <is>
          <t>Материальный баланс переработки ("П.1"-"П.2"-"П.3" = 0,000)</t>
        </is>
      </c>
      <c r="E27" s="528" t="n">
        <v>100330863</v>
      </c>
      <c r="F27" s="528" t="n"/>
      <c r="G27" s="529" t="n"/>
      <c r="H27" s="530" t="inlineStr">
        <is>
          <t>100330000-100330049-100330736-100335698+100335699</t>
        </is>
      </c>
      <c r="I27" s="530" t="n"/>
      <c r="J27" s="272" t="inlineStr">
        <is>
          <t>тыс.т.</t>
        </is>
      </c>
    </row>
    <row r="28" outlineLevel="1" s="769">
      <c r="A28" s="795" t="n">
        <v>2</v>
      </c>
      <c r="B28" s="273" t="inlineStr">
        <is>
          <t>Нефть товар</t>
        </is>
      </c>
      <c r="C28" s="209" t="n"/>
      <c r="D28" s="266" t="inlineStr">
        <is>
          <t>Справочно:</t>
        </is>
      </c>
      <c r="E28" s="528" t="n"/>
      <c r="F28" s="528" t="n"/>
      <c r="G28" s="529" t="n"/>
      <c r="H28" s="530" t="n"/>
      <c r="I28" s="530" t="n"/>
      <c r="J28" s="381" t="n"/>
    </row>
    <row r="29" outlineLevel="1" s="769">
      <c r="A29" s="795" t="n">
        <v>100336112</v>
      </c>
      <c r="B29" s="264" t="inlineStr">
        <is>
          <t>в т.ч. нефть на компаундирование, покупка</t>
        </is>
      </c>
      <c r="C29" s="209" t="n"/>
      <c r="D29" s="162" t="inlineStr">
        <is>
          <t>Нефть товар</t>
        </is>
      </c>
      <c r="E29" s="528" t="n">
        <v>100336112</v>
      </c>
      <c r="F29" s="528" t="n"/>
      <c r="G29" s="529" t="n"/>
      <c r="H29" s="530" t="n"/>
      <c r="I29" s="530" t="n"/>
      <c r="J29" s="381" t="inlineStr">
        <is>
          <t>тыс.т.</t>
        </is>
      </c>
    </row>
    <row r="30" outlineLevel="1" ht="19.5" customHeight="1" s="769">
      <c r="A30" s="795" t="n">
        <v>100336113</v>
      </c>
      <c r="B30" s="261" t="inlineStr">
        <is>
          <t>Справочно:</t>
        </is>
      </c>
      <c r="C30" s="209" t="n"/>
      <c r="D30" s="35" t="inlineStr">
        <is>
          <t>в т.ч. нефть на компаундирование, покупка</t>
        </is>
      </c>
      <c r="E30" s="528" t="n">
        <v>100336113</v>
      </c>
      <c r="F30" s="528" t="n"/>
      <c r="G30" s="529" t="n"/>
      <c r="H30" s="530" t="n"/>
      <c r="I30" s="530" t="n"/>
      <c r="J30" s="381" t="inlineStr">
        <is>
          <t>тыс.т.</t>
        </is>
      </c>
    </row>
    <row r="31" outlineLevel="1" s="769">
      <c r="A31" s="795" t="n">
        <v>3</v>
      </c>
      <c r="B31" s="262" t="inlineStr">
        <is>
          <t>СК на  заполнение конденсатопровода</t>
        </is>
      </c>
      <c r="C31" s="209" t="n"/>
      <c r="D31" s="266" t="inlineStr">
        <is>
          <t>Справочно:</t>
        </is>
      </c>
      <c r="E31" s="528" t="n"/>
      <c r="F31" s="528" t="n"/>
      <c r="G31" s="529" t="n"/>
      <c r="H31" s="530" t="n"/>
      <c r="I31" s="530" t="n"/>
      <c r="J31" s="381" t="n"/>
    </row>
    <row r="32" ht="20.1" customHeight="1" s="769">
      <c r="A32" s="795" t="n">
        <v>100335698</v>
      </c>
      <c r="B32" s="262" t="inlineStr">
        <is>
          <t>СК на  вытеснение  из конденсатопровода</t>
        </is>
      </c>
      <c r="C32" s="75" t="n"/>
      <c r="D32" s="263" t="inlineStr">
        <is>
          <t>СК на  заполнение конденсатопровода</t>
        </is>
      </c>
      <c r="E32" s="528" t="n">
        <v>100335698</v>
      </c>
      <c r="F32" s="528" t="n"/>
      <c r="G32" s="529" t="n"/>
      <c r="H32" s="530" t="n"/>
      <c r="I32" s="530" t="n"/>
      <c r="J32" s="381" t="inlineStr">
        <is>
          <t>тыс.т.</t>
        </is>
      </c>
    </row>
    <row r="33" ht="20.1" customHeight="1" s="769">
      <c r="A33" s="795" t="n">
        <v>100335699</v>
      </c>
      <c r="B33" s="23" t="n"/>
      <c r="C33" s="220" t="n"/>
      <c r="D33" s="274" t="inlineStr">
        <is>
          <t>СК на  вытеснение  из конденсатопровода</t>
        </is>
      </c>
      <c r="E33" s="528" t="n">
        <v>100335699</v>
      </c>
      <c r="F33" s="528" t="n"/>
      <c r="G33" s="529" t="n"/>
      <c r="H33" s="530" t="n"/>
      <c r="I33" s="530" t="n"/>
      <c r="J33" s="381" t="inlineStr">
        <is>
          <t>тыс.т.</t>
        </is>
      </c>
    </row>
    <row r="34">
      <c r="B34" s="83" t="n"/>
      <c r="C34" s="39" t="n"/>
      <c r="D34" s="327" t="inlineStr">
        <is>
          <t>проверка СК валового</t>
        </is>
      </c>
      <c r="E34" s="327" t="n"/>
      <c r="F34" s="327" t="n"/>
      <c r="G34" s="327" t="n"/>
      <c r="H34" s="327" t="n"/>
      <c r="I34" s="327" t="n"/>
      <c r="J34" s="275" t="n"/>
    </row>
    <row r="35">
      <c r="B35" s="83" t="n"/>
      <c r="C35" s="39" t="n"/>
      <c r="D35" s="327" t="inlineStr">
        <is>
          <t>проверка СК товар. вывоз авто и жд</t>
        </is>
      </c>
      <c r="E35" s="327" t="n"/>
      <c r="F35" s="327" t="n"/>
      <c r="G35" s="327" t="n"/>
      <c r="H35" s="327" t="n"/>
      <c r="I35" s="327" t="n"/>
      <c r="J35" s="275" t="n"/>
    </row>
    <row r="36">
      <c r="B36" s="83" t="n"/>
      <c r="C36" s="39" t="n"/>
      <c r="D36" s="327" t="inlineStr">
        <is>
          <t>проверка нефти</t>
        </is>
      </c>
      <c r="E36" s="327" t="n"/>
      <c r="F36" s="327" t="n"/>
      <c r="G36" s="327" t="n"/>
      <c r="H36" s="327" t="n"/>
      <c r="I36" s="327" t="n"/>
      <c r="J36" s="275" t="n"/>
    </row>
    <row r="37">
      <c r="B37" s="83" t="n"/>
      <c r="C37" s="39" t="n"/>
      <c r="D37" s="832" t="inlineStr">
        <is>
          <t>* - Обеспечение своевременного внесения изменений в перечень номенклатуры сырья и продукции входит в компетенцию дочернего общества.</t>
        </is>
      </c>
      <c r="E37" s="832" t="n"/>
      <c r="F37" s="832" t="n"/>
      <c r="G37" s="832" t="n"/>
      <c r="H37" s="832" t="n"/>
      <c r="I37" s="832" t="n"/>
      <c r="J37" s="389" t="n"/>
    </row>
    <row r="38">
      <c r="C38" s="247" t="n"/>
      <c r="J38" s="395" t="n"/>
    </row>
    <row r="39" hidden="1" s="769">
      <c r="D39" s="276" t="inlineStr">
        <is>
          <t>СУГ</t>
        </is>
      </c>
      <c r="E39" s="276" t="n"/>
      <c r="F39" s="276" t="n"/>
      <c r="G39" s="276" t="n"/>
      <c r="H39" s="276" t="n"/>
      <c r="I39" s="276" t="n"/>
    </row>
    <row r="40" hidden="1" ht="18.75" customHeight="1" s="769">
      <c r="D40" s="276" t="inlineStr">
        <is>
          <t>СК товар</t>
        </is>
      </c>
      <c r="E40" s="276" t="n"/>
      <c r="F40" s="276" t="n"/>
      <c r="G40" s="276" t="n"/>
      <c r="H40" s="276" t="n"/>
      <c r="I40" s="276" t="n"/>
      <c r="J40" s="19" t="n"/>
    </row>
  </sheetData>
  <mergeCells count="12">
    <mergeCell ref="F7:F8"/>
    <mergeCell ref="C14:C15"/>
    <mergeCell ref="G7:G8"/>
    <mergeCell ref="I7:I8"/>
    <mergeCell ref="D6:D8"/>
    <mergeCell ref="E6:I6"/>
    <mergeCell ref="J6:J8"/>
    <mergeCell ref="E7:E8"/>
    <mergeCell ref="D14:D15"/>
    <mergeCell ref="B6:B8"/>
    <mergeCell ref="H7:H8"/>
    <mergeCell ref="C6:C8"/>
  </mergeCells>
  <conditionalFormatting sqref="O10:O33 P10:P33 U10:U33 V10:V33 AA10:AA33 AB10:AB33 AG10:AG33 AH10:AH33 AM10:AM33 AN10:AN33 AS10:AS33 AT10:AT33 AY10:AY33 AZ10:AZ33 BE10:BE33 BF10:BF33 BK10:BK33 BL10:BL33 BQ10:BQ33 BR10:BR33 BW10:BW33 BX10:BX33 CC10:CC33 CD10:CD33 CI10:CI33 CJ10:CJ33 CO10:CO33 CP10:CP33 CU10:CU33 CV10:CV33 DA10:DA33 DB10:DB33 DG10:DG33 DH10:DH33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33 N10:N33 R10:R33 T10:T33 X10:X33 Z10:Z33 AD10:AD33 AF10:AF33 AJ10:AJ33 AL10:AL33 AP10:AP33 AR10:AR33 AV10:AV33 AX10:AX33 BB10:BB33 BD10:BD33 BH10:BH33 BJ10:BJ33 BN10:BN33 BP10:BP33 BT10:BT33 BV10:BV33 BZ10:BZ33 CB10:CB33 CF10:CF33 CH10:CH33 CL10:CL33 CN10:CN33 CR10:CR33 CT10:CT33 CX10:CX33 CZ10:CZ33 DD10:DD33 DF10:DF33">
    <cfRule type="cellIs" priority="4" operator="equal" dxfId="0">
      <formula>0</formula>
    </cfRule>
  </conditionalFormatting>
  <pageMargins left="0.7" right="0.7" top="0.75" bottom="0.75" header="0.3" footer="0.3"/>
  <pageSetup orientation="landscape" paperSize="9" fitToHeight="0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codeName="Лист17">
    <tabColor theme="8" tint="0.5999938962981048"/>
    <outlinePr summaryBelow="1" summaryRight="1"/>
    <pageSetUpPr fitToPage="1"/>
  </sheetPr>
  <dimension ref="B3:J47"/>
  <sheetViews>
    <sheetView topLeftCell="C1" zoomScale="60" zoomScaleNormal="60" workbookViewId="0">
      <pane xSplit="8" ySplit="9" topLeftCell="K16" activePane="bottomRight" state="frozen"/>
      <selection activeCell="C1" sqref="C1"/>
      <selection pane="topRight" activeCell="K1" sqref="K1"/>
      <selection pane="bottomLeft" activeCell="C10" sqref="C10"/>
      <selection pane="bottomRight" activeCell="H31" sqref="H31"/>
    </sheetView>
  </sheetViews>
  <sheetFormatPr baseColWidth="8" defaultColWidth="25" defaultRowHeight="18.75" outlineLevelRow="1"/>
  <cols>
    <col hidden="1" outlineLevel="1" style="795" min="1" max="1"/>
    <col hidden="1" outlineLevel="1" width="10.5703125" customWidth="1" style="795" min="2" max="2"/>
    <col collapsed="1" width="12.140625" bestFit="1" customWidth="1" style="84" min="3" max="3"/>
    <col width="72.7109375" customWidth="1" style="795" min="4" max="4"/>
    <col outlineLevel="1" width="30.5703125" customWidth="1" style="795" min="5" max="9"/>
    <col width="13" bestFit="1" customWidth="1" style="796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5" customHeight="1" s="769"/>
    <row r="2" ht="15" customHeight="1" s="769"/>
    <row r="3" ht="20.25" customHeight="1" s="769">
      <c r="C3" s="956" t="inlineStr">
        <is>
          <t>Прогнозные показатели по поставке, переработке сырья и производству продукции ООО "Газпром добыча шельф Южно-Сахалинск"</t>
        </is>
      </c>
    </row>
    <row r="4" ht="19.5" customHeight="1" s="769"/>
    <row r="5" ht="18.75" customHeight="1" s="769">
      <c r="B5" s="325" t="n"/>
      <c r="C5" s="363" t="inlineStr">
        <is>
          <t>13. Газпром добыча шельф Южно-Сахалинск</t>
        </is>
      </c>
      <c r="J5" s="950" t="n"/>
    </row>
    <row r="6" ht="20.1" customHeight="1" s="769">
      <c r="B6" s="792" t="inlineStr">
        <is>
          <t>Код строки</t>
        </is>
      </c>
      <c r="C6" s="837" t="inlineStr">
        <is>
          <t>№ 
п/п</t>
        </is>
      </c>
      <c r="D6" s="873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 изм.</t>
        </is>
      </c>
    </row>
    <row r="7" ht="39.95" customHeight="1" s="769"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C8" s="751" t="n"/>
      <c r="D8" s="753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866" t="n"/>
      <c r="D9" s="869" t="n"/>
      <c r="E9" s="869" t="n"/>
      <c r="F9" s="869" t="n"/>
      <c r="G9" s="869" t="n"/>
      <c r="H9" s="869" t="n"/>
      <c r="I9" s="869" t="n"/>
      <c r="J9" s="654" t="n"/>
    </row>
    <row r="10" ht="20.1" customHeight="1" s="769">
      <c r="B10" s="23" t="inlineStr">
        <is>
          <t>13.1</t>
        </is>
      </c>
      <c r="C10" s="25" t="n">
        <v>1</v>
      </c>
      <c r="D10" s="200" t="inlineStr">
        <is>
          <t>Переработано сырья, всего:</t>
        </is>
      </c>
      <c r="E10" s="528" t="inlineStr">
        <is>
          <t>100332291</t>
        </is>
      </c>
      <c r="F10" s="528" t="n"/>
      <c r="G10" s="529" t="n"/>
      <c r="H10" s="530" t="inlineStr">
        <is>
          <t>100330738+100335768</t>
        </is>
      </c>
      <c r="I10" s="530" t="n"/>
      <c r="J10" s="861" t="inlineStr">
        <is>
          <t>тыс.т.</t>
        </is>
      </c>
    </row>
    <row r="11" ht="51.6" customHeight="1" s="769">
      <c r="B11" s="23" t="inlineStr">
        <is>
          <t>13.2</t>
        </is>
      </c>
      <c r="C11" s="800" t="inlineStr">
        <is>
          <t>1.1</t>
        </is>
      </c>
      <c r="D11" s="787" t="inlineStr">
        <is>
          <t>Конденсат нестабильный, собственность ПАО "Газпром" (КиринскоеГКМ)</t>
        </is>
      </c>
      <c r="E11" s="528" t="n">
        <v>100330738</v>
      </c>
      <c r="F11" s="528" t="n"/>
      <c r="G11" s="529" t="n"/>
      <c r="H11" s="530" t="n"/>
      <c r="I11" s="530" t="n"/>
      <c r="J11" s="654" t="inlineStr">
        <is>
          <t>тыс.т.</t>
        </is>
      </c>
    </row>
    <row r="12" ht="51.6" customHeight="1" s="769">
      <c r="B12" s="23" t="n"/>
      <c r="C12" s="800" t="inlineStr">
        <is>
          <t>1.2</t>
        </is>
      </c>
      <c r="D12" s="787" t="inlineStr">
        <is>
          <t>Конденсат нестабильный, собственность ПАО "Газпром" (Южно-Киринское ГКМ)</t>
        </is>
      </c>
      <c r="E12" s="528" t="n">
        <v>100335768</v>
      </c>
      <c r="F12" s="528" t="n"/>
      <c r="G12" s="529" t="n"/>
      <c r="H12" s="530" t="n"/>
      <c r="I12" s="530" t="n"/>
      <c r="J12" s="654" t="inlineStr">
        <is>
          <t>тыс.т.</t>
        </is>
      </c>
    </row>
    <row r="13" outlineLevel="1" ht="20.1" customHeight="1" s="769">
      <c r="B13" s="23" t="inlineStr">
        <is>
          <t>13.3</t>
        </is>
      </c>
      <c r="C13" s="209" t="inlineStr">
        <is>
          <t>2</t>
        </is>
      </c>
      <c r="D13" s="37" t="inlineStr">
        <is>
          <t>Потери НК при переработке, всего</t>
        </is>
      </c>
      <c r="E13" s="528" t="n">
        <v>100330736</v>
      </c>
      <c r="F13" s="528" t="n"/>
      <c r="G13" s="529" t="n"/>
      <c r="H13" s="530" t="n"/>
      <c r="I13" s="530" t="n"/>
      <c r="J13" s="91" t="inlineStr">
        <is>
          <t>тыс.т.</t>
        </is>
      </c>
    </row>
    <row r="14" ht="20.1" customHeight="1" s="769">
      <c r="B14" s="23" t="inlineStr">
        <is>
          <t>13.4</t>
        </is>
      </c>
      <c r="C14" s="883" t="n">
        <v>3</v>
      </c>
      <c r="D14" s="788" t="inlineStr">
        <is>
          <t>Производство продукции, всего:</t>
        </is>
      </c>
      <c r="E14" s="528" t="n">
        <v>100330049</v>
      </c>
      <c r="F14" s="528" t="n"/>
      <c r="G14" s="529" t="n"/>
      <c r="H14" s="530" t="inlineStr">
        <is>
          <t>100330880+100335781</t>
        </is>
      </c>
      <c r="I14" s="530" t="n"/>
      <c r="J14" s="654" t="inlineStr">
        <is>
          <t>тыс.т.</t>
        </is>
      </c>
    </row>
    <row r="15" ht="20.1" customHeight="1" s="769">
      <c r="B15" s="23" t="inlineStr">
        <is>
          <t>13.5</t>
        </is>
      </c>
      <c r="C15" s="69" t="inlineStr">
        <is>
          <t>3.1</t>
        </is>
      </c>
      <c r="D15" s="250" t="inlineStr">
        <is>
          <t>Стабильный конденсат, собственность ПАО "Газпром"</t>
        </is>
      </c>
      <c r="E15" s="528" t="n">
        <v>100330880</v>
      </c>
      <c r="F15" s="528" t="n"/>
      <c r="G15" s="529" t="n"/>
      <c r="H15" s="530" t="n"/>
      <c r="I15" s="530" t="n"/>
      <c r="J15" s="91" t="inlineStr">
        <is>
          <t>тыс.т.</t>
        </is>
      </c>
    </row>
    <row r="16" ht="20.1" customHeight="1" s="769">
      <c r="B16" s="23" t="n"/>
      <c r="C16" s="69" t="n"/>
      <c r="D16" s="404" t="inlineStr">
        <is>
          <t>Киринское ГКМ</t>
        </is>
      </c>
      <c r="E16" s="528" t="n">
        <v>100335769</v>
      </c>
      <c r="F16" s="528" t="n"/>
      <c r="G16" s="529" t="n"/>
      <c r="H16" s="530" t="n"/>
      <c r="I16" s="530" t="n"/>
      <c r="J16" s="91" t="inlineStr">
        <is>
          <t>тыс.т.</t>
        </is>
      </c>
    </row>
    <row r="17" ht="20.1" customHeight="1" s="769">
      <c r="B17" s="23" t="n"/>
      <c r="C17" s="69" t="n"/>
      <c r="D17" s="404" t="inlineStr">
        <is>
          <t>Южно-Киринское ГКМ</t>
        </is>
      </c>
      <c r="E17" s="528" t="n">
        <v>100335770</v>
      </c>
      <c r="F17" s="528" t="n"/>
      <c r="G17" s="529" t="n"/>
      <c r="H17" s="530" t="n"/>
      <c r="I17" s="530" t="n"/>
      <c r="J17" s="91" t="inlineStr">
        <is>
          <t>тыс.т.</t>
        </is>
      </c>
    </row>
    <row r="18" ht="20.1" customHeight="1" s="769">
      <c r="B18" s="23" t="inlineStr">
        <is>
          <t>13.6</t>
        </is>
      </c>
      <c r="C18" s="69" t="n"/>
      <c r="D18" s="37" t="inlineStr">
        <is>
          <t>Справочно:</t>
        </is>
      </c>
      <c r="E18" s="528" t="n"/>
      <c r="F18" s="528" t="n"/>
      <c r="G18" s="529" t="n"/>
      <c r="H18" s="530" t="n"/>
      <c r="I18" s="530" t="n"/>
      <c r="J18" s="91" t="n"/>
    </row>
    <row r="19" ht="20.1" customHeight="1" s="769">
      <c r="B19" s="23" t="inlineStr">
        <is>
          <t>13.7</t>
        </is>
      </c>
      <c r="C19" s="69" t="n"/>
      <c r="D19" s="117" t="inlineStr">
        <is>
          <t>СК собственные нужды</t>
        </is>
      </c>
      <c r="E19" s="528" t="n">
        <v>100330737</v>
      </c>
      <c r="F19" s="528" t="n"/>
      <c r="G19" s="529" t="n"/>
      <c r="H19" s="530" t="n"/>
      <c r="I19" s="530" t="n"/>
      <c r="J19" s="91" t="inlineStr">
        <is>
          <t>тыс.т.</t>
        </is>
      </c>
    </row>
    <row r="20" ht="20.1" customHeight="1" s="769">
      <c r="B20" s="23" t="inlineStr">
        <is>
          <t>13.8</t>
        </is>
      </c>
      <c r="C20" s="800" t="inlineStr">
        <is>
          <t>3.2</t>
        </is>
      </c>
      <c r="D20" s="845" t="inlineStr">
        <is>
          <t>Газы стабилизации</t>
        </is>
      </c>
      <c r="E20" s="528" t="n">
        <v>100335781</v>
      </c>
      <c r="F20" s="528" t="n"/>
      <c r="G20" s="529" t="n"/>
      <c r="H20" s="530" t="inlineStr">
        <is>
          <t>100335771+100335773</t>
        </is>
      </c>
      <c r="I20" s="530" t="n"/>
      <c r="J20" s="91" t="inlineStr">
        <is>
          <t>тыс.т.</t>
        </is>
      </c>
    </row>
    <row r="21" ht="20.1" customHeight="1" s="769">
      <c r="B21" s="23" t="inlineStr">
        <is>
          <t>13.9</t>
        </is>
      </c>
      <c r="C21" s="766" t="n"/>
      <c r="D21" s="766" t="n"/>
      <c r="E21" s="528" t="n">
        <v>100330680</v>
      </c>
      <c r="F21" s="528" t="n"/>
      <c r="G21" s="529" t="n"/>
      <c r="H21" s="530" t="inlineStr">
        <is>
          <t>100335772+100335774</t>
        </is>
      </c>
      <c r="I21" s="530" t="n"/>
      <c r="J21" s="939" t="inlineStr">
        <is>
          <t>млн куб.м</t>
        </is>
      </c>
    </row>
    <row r="22" ht="20.1" customHeight="1" s="769">
      <c r="B22" s="23" t="n"/>
      <c r="C22" s="800" t="n"/>
      <c r="D22" s="845" t="inlineStr">
        <is>
          <t>Киринское ГКМ</t>
        </is>
      </c>
      <c r="E22" s="528" t="n">
        <v>100335771</v>
      </c>
      <c r="F22" s="528" t="n"/>
      <c r="G22" s="529" t="n"/>
      <c r="H22" s="530" t="n"/>
      <c r="I22" s="530" t="n"/>
      <c r="J22" s="91" t="inlineStr">
        <is>
          <t>тыс.т.</t>
        </is>
      </c>
    </row>
    <row r="23" ht="20.1" customHeight="1" s="769">
      <c r="B23" s="23" t="n"/>
      <c r="C23" s="800" t="n"/>
      <c r="D23" s="766" t="n"/>
      <c r="E23" s="528" t="n">
        <v>100335772</v>
      </c>
      <c r="F23" s="528" t="n"/>
      <c r="G23" s="529" t="n"/>
      <c r="H23" s="530" t="n"/>
      <c r="I23" s="530" t="n"/>
      <c r="J23" s="939" t="inlineStr">
        <is>
          <t>млн куб.м</t>
        </is>
      </c>
    </row>
    <row r="24" ht="20.1" customHeight="1" s="769">
      <c r="B24" s="23" t="n"/>
      <c r="C24" s="800" t="n"/>
      <c r="D24" s="872" t="inlineStr">
        <is>
          <t>Южно-Киринское ГКМ</t>
        </is>
      </c>
      <c r="E24" s="528" t="n">
        <v>100335773</v>
      </c>
      <c r="F24" s="528" t="n"/>
      <c r="G24" s="529" t="n"/>
      <c r="H24" s="530" t="n"/>
      <c r="I24" s="530" t="n"/>
      <c r="J24" s="91" t="inlineStr">
        <is>
          <t>тыс.т.</t>
        </is>
      </c>
    </row>
    <row r="25" ht="20.1" customHeight="1" s="769">
      <c r="B25" s="23" t="n"/>
      <c r="C25" s="590" t="n"/>
      <c r="D25" s="753" t="n"/>
      <c r="E25" s="528" t="n">
        <v>100335774</v>
      </c>
      <c r="F25" s="528" t="n"/>
      <c r="G25" s="529" t="n"/>
      <c r="H25" s="530" t="n"/>
      <c r="I25" s="530" t="n"/>
      <c r="J25" s="939" t="inlineStr">
        <is>
          <t>млн куб.м</t>
        </is>
      </c>
    </row>
    <row r="26" outlineLevel="1" ht="18.75" customHeight="1" s="769">
      <c r="B26" s="23" t="inlineStr">
        <is>
          <t>13.10</t>
        </is>
      </c>
      <c r="C26" s="584" t="inlineStr">
        <is>
          <t>4</t>
        </is>
      </c>
      <c r="D26" s="586" t="inlineStr">
        <is>
          <t>Материальный баланс переработки ("П.1"-"П.2"-"П.3" = 0,000)</t>
        </is>
      </c>
      <c r="E26" s="585" t="n">
        <v>100330863</v>
      </c>
      <c r="F26" s="528" t="n"/>
      <c r="G26" s="529" t="n"/>
      <c r="H26" s="530" t="inlineStr">
        <is>
          <t>100332291-100330049-100330736</t>
        </is>
      </c>
      <c r="I26" s="530" t="n"/>
      <c r="J26" s="578" t="inlineStr">
        <is>
          <t>тыс.т.</t>
        </is>
      </c>
    </row>
    <row r="27" outlineLevel="1" s="769">
      <c r="B27" s="83" t="n"/>
      <c r="C27" s="574" t="inlineStr">
        <is>
          <t>5</t>
        </is>
      </c>
      <c r="D27" s="587" t="inlineStr">
        <is>
          <t>Производство для реализации ПАО "Газпром"</t>
        </is>
      </c>
      <c r="E27" s="585" t="n"/>
      <c r="F27" s="528" t="n"/>
      <c r="G27" s="529" t="n"/>
      <c r="H27" s="530" t="n">
        <v>100330880</v>
      </c>
      <c r="I27" s="530" t="n"/>
      <c r="J27" s="579" t="inlineStr">
        <is>
          <t>тыс.т.</t>
        </is>
      </c>
    </row>
    <row r="28" outlineLevel="1" s="769">
      <c r="B28" s="83" t="n"/>
      <c r="C28" s="575" t="n">
        <v>6</v>
      </c>
      <c r="D28" s="546" t="inlineStr">
        <is>
          <t>Проверка с разделом "Добыча"</t>
        </is>
      </c>
      <c r="E28" s="585" t="n"/>
      <c r="F28" s="528" t="n"/>
      <c r="G28" s="529" t="n"/>
      <c r="H28" s="530" t="n"/>
      <c r="I28" s="530" t="n"/>
      <c r="J28" s="580" t="inlineStr">
        <is>
          <t>тыс.т.</t>
        </is>
      </c>
    </row>
    <row r="29" outlineLevel="1" s="769">
      <c r="C29" s="562" t="n"/>
      <c r="D29" s="871" t="inlineStr">
        <is>
          <t>Конденсат нестабильный (КиринскоеГКМ)</t>
        </is>
      </c>
      <c r="E29" s="585" t="n"/>
      <c r="F29" s="528" t="n"/>
      <c r="G29" s="529" t="n"/>
      <c r="H29" s="530" t="n"/>
      <c r="I29" s="530" t="n"/>
      <c r="J29" s="581" t="inlineStr">
        <is>
          <t>тыс.т.</t>
        </is>
      </c>
    </row>
    <row r="30" outlineLevel="1" s="769">
      <c r="C30" s="562" t="n"/>
      <c r="D30" s="871" t="inlineStr">
        <is>
          <t>Конденсат нестабильный (Южно-Киринское ГКМ)</t>
        </is>
      </c>
      <c r="E30" s="585" t="n"/>
      <c r="F30" s="528" t="n"/>
      <c r="G30" s="529" t="n"/>
      <c r="H30" s="530" t="n"/>
      <c r="I30" s="530" t="n"/>
      <c r="J30" s="581" t="inlineStr">
        <is>
          <t>тыс.т.</t>
        </is>
      </c>
    </row>
    <row r="31" outlineLevel="1" s="769">
      <c r="C31" s="576" t="n">
        <v>7</v>
      </c>
      <c r="D31" s="588" t="inlineStr">
        <is>
          <t>Коэффициенты выхода</t>
        </is>
      </c>
      <c r="E31" s="585" t="n"/>
      <c r="F31" s="528" t="n"/>
      <c r="G31" s="529" t="n"/>
      <c r="H31" s="530" t="n"/>
      <c r="I31" s="530" t="n"/>
      <c r="J31" s="582" t="inlineStr">
        <is>
          <t>тыс.т.</t>
        </is>
      </c>
    </row>
    <row r="32" outlineLevel="1" ht="24" customHeight="1" s="769">
      <c r="C32" s="577" t="n"/>
      <c r="D32" s="871" t="inlineStr">
        <is>
          <t>Стабильный конденсат (КиринскоеГКМ)</t>
        </is>
      </c>
      <c r="E32" s="585" t="inlineStr">
        <is>
          <t>S32</t>
        </is>
      </c>
      <c r="F32" s="528" t="inlineStr">
        <is>
          <t>S1</t>
        </is>
      </c>
      <c r="G32" s="529" t="n"/>
      <c r="H32" s="530" t="inlineStr">
        <is>
          <t>ОКРУГЛ({100335769:2}/{100330738:2}*{100330738:0};$1)</t>
        </is>
      </c>
      <c r="I32" s="530" t="n"/>
      <c r="J32" s="581" t="inlineStr">
        <is>
          <t>тыс.т.</t>
        </is>
      </c>
    </row>
    <row r="33" outlineLevel="1" ht="24" customHeight="1" s="769">
      <c r="C33" s="577" t="n"/>
      <c r="D33" s="871" t="inlineStr">
        <is>
          <t>Стабильный конденсат (Южно-Киринское ГКМ)</t>
        </is>
      </c>
      <c r="E33" s="585" t="inlineStr">
        <is>
          <t>S33</t>
        </is>
      </c>
      <c r="F33" s="528" t="inlineStr">
        <is>
          <t>S1</t>
        </is>
      </c>
      <c r="G33" s="529" t="n"/>
      <c r="H33" s="530" t="inlineStr">
        <is>
          <t>ОКРУГЛ({100335770:2}/{100335768:2}*{100335768:0};$1)</t>
        </is>
      </c>
      <c r="I33" s="530" t="n"/>
      <c r="J33" s="581" t="inlineStr">
        <is>
          <t>тыс.т.</t>
        </is>
      </c>
    </row>
    <row r="34" outlineLevel="1" ht="24" customHeight="1" s="769">
      <c r="C34" s="577" t="n"/>
      <c r="D34" s="871" t="inlineStr">
        <is>
          <t>Газ стабилизации (КиринскоеГКМ)</t>
        </is>
      </c>
      <c r="E34" s="585" t="inlineStr">
        <is>
          <t>S34</t>
        </is>
      </c>
      <c r="F34" s="528" t="inlineStr">
        <is>
          <t>S1</t>
        </is>
      </c>
      <c r="G34" s="529" t="n"/>
      <c r="H34" s="530" t="inlineStr">
        <is>
          <t>ОКРУГЛ({100335781:2}/{100330738:2}*{100330738:0};$1)</t>
        </is>
      </c>
      <c r="I34" s="530" t="n"/>
      <c r="J34" s="581" t="inlineStr">
        <is>
          <t>тыс.т.</t>
        </is>
      </c>
    </row>
    <row r="35" outlineLevel="1" ht="24" customHeight="1" s="769">
      <c r="C35" s="577" t="n"/>
      <c r="D35" s="766" t="n"/>
      <c r="E35" s="585" t="inlineStr">
        <is>
          <t>S35</t>
        </is>
      </c>
      <c r="F35" s="528" t="inlineStr">
        <is>
          <t>S1</t>
        </is>
      </c>
      <c r="G35" s="529" t="n"/>
      <c r="H35" s="530" t="inlineStr">
        <is>
          <t>ОКРУГЛ({100335772:2}/{100335771:2}*{S34:0};$1)</t>
        </is>
      </c>
      <c r="I35" s="530" t="n"/>
      <c r="J35" s="583" t="inlineStr">
        <is>
          <t>млн куб.м</t>
        </is>
      </c>
    </row>
    <row r="36" outlineLevel="1" ht="24" customHeight="1" s="769">
      <c r="C36" s="577" t="n"/>
      <c r="D36" s="870" t="inlineStr">
        <is>
          <t>Газ стабилизации (Южно-Киринское ГКМ)</t>
        </is>
      </c>
      <c r="E36" s="585" t="inlineStr">
        <is>
          <t>S36</t>
        </is>
      </c>
      <c r="F36" s="528" t="inlineStr">
        <is>
          <t>S1</t>
        </is>
      </c>
      <c r="G36" s="529" t="n"/>
      <c r="H36" s="530" t="inlineStr">
        <is>
          <t>ОКРУГЛ({100335773:2}/{100335768:2}*{100335768:0};$1)</t>
        </is>
      </c>
      <c r="I36" s="530" t="n"/>
      <c r="J36" s="581" t="inlineStr">
        <is>
          <t>тыс.т.</t>
        </is>
      </c>
    </row>
    <row r="37" outlineLevel="1" ht="24" customHeight="1" s="769">
      <c r="C37" s="400" t="n"/>
      <c r="D37" s="753" t="n"/>
      <c r="E37" s="585" t="inlineStr">
        <is>
          <t>S37</t>
        </is>
      </c>
      <c r="F37" s="528" t="inlineStr">
        <is>
          <t>S1</t>
        </is>
      </c>
      <c r="G37" s="529" t="n"/>
      <c r="H37" s="530" t="inlineStr">
        <is>
          <t>ОКРУГЛ({100335774:2}/{100335773:2}*{S36:0};$1)</t>
        </is>
      </c>
      <c r="I37" s="530" t="n"/>
      <c r="J37" s="583" t="inlineStr">
        <is>
          <t>млн куб.м</t>
        </is>
      </c>
    </row>
    <row r="39">
      <c r="D39" s="832" t="inlineStr">
        <is>
          <t>* - Обеспечение своевременного внесения изменений в перечень номенклатуры сырья и продукции входит в компетенцию дочернего общества.</t>
        </is>
      </c>
    </row>
    <row r="40">
      <c r="D40" s="832" t="n"/>
    </row>
    <row r="41">
      <c r="D41" s="22" t="inlineStr">
        <is>
          <t>Примечания:</t>
        </is>
      </c>
    </row>
    <row r="42">
      <c r="D42" s="795" t="inlineStr">
        <is>
          <t>СК на собств нужды отражают при ремонтах, сбросах, опорожнениях</t>
        </is>
      </c>
    </row>
    <row r="43">
      <c r="D43" s="795" t="inlineStr">
        <is>
          <t>Газ стаб дожимают компрессорами и в общий поток в магистраль</t>
        </is>
      </c>
    </row>
    <row r="44">
      <c r="D44" s="795" t="inlineStr">
        <is>
          <t>Газ и ст. конденсат направляются потребителям через магистральные трубопроводы</t>
        </is>
      </c>
    </row>
    <row r="45">
      <c r="D45" s="795" t="inlineStr">
        <is>
          <t>Газ проходит низкотемпературную сепарацию</t>
        </is>
      </c>
    </row>
    <row r="46">
      <c r="D46" s="795" t="inlineStr">
        <is>
          <t xml:space="preserve">Летом остановка добычи и производства, т.к. потребность в больших объёмах в тёплое время отсутствует </t>
        </is>
      </c>
    </row>
    <row r="47" ht="131.25" customHeight="1" s="769">
      <c r="D47" s="589" t="inlineStr">
        <is>
          <t>После колонны стабилизации стабильный конденсат уходит в ёмкость хранения и откачивается потребителю. Газ стабилизации направляется в компрессорный цех, (где отбивается СУГ(ШФЛУ)), газ компримируется до Р=6,25 мПа и направляется в магистраль, а СУГ направляется в ёмкость накопления 10Е3 и оттуда насосами обратно в поток НСК.</t>
        </is>
      </c>
    </row>
  </sheetData>
  <mergeCells count="17">
    <mergeCell ref="D36:D37"/>
    <mergeCell ref="D34:D35"/>
    <mergeCell ref="F7:F8"/>
    <mergeCell ref="G7:G8"/>
    <mergeCell ref="I7:I8"/>
    <mergeCell ref="D6:D8"/>
    <mergeCell ref="E6:I6"/>
    <mergeCell ref="J6:J8"/>
    <mergeCell ref="C20:C21"/>
    <mergeCell ref="E7:E8"/>
    <mergeCell ref="D20:D21"/>
    <mergeCell ref="B6:B8"/>
    <mergeCell ref="C3:J3"/>
    <mergeCell ref="H7:H8"/>
    <mergeCell ref="C6:C8"/>
    <mergeCell ref="D24:D25"/>
    <mergeCell ref="D22:D23"/>
  </mergeCells>
  <conditionalFormatting sqref="O10:O37 P10:P37 U10:U37 V10:V37 AA10:AA37 AB10:AB37 AG10:AG37 AH10:AH37 AM10:AM37 AN10:AN37 AS10:AS37 AT10:AT37 AY10:AY37 AZ10:AZ37 BE10:BE37 BF10:BF37 BK10:BK37 BL10:BL37 BQ10:BQ37 BR10:BR37 BW10:BW37 BX10:BX37 CC10:CC37 CD10:CD37 CI10:CI37 CJ10:CJ37 CO10:CO37 CP10:CP37 CU10:CU37 CV10:CV37 DA10:DA37 DB10:DB37 DG10:DG37 DH10:DH37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37 N10:N37 R10:R37 T10:T37 X10:X37 Z10:Z37 AD10:AD37 AF10:AF37 AJ10:AJ37 AL10:AL37 AP10:AP37 AR10:AR37 AV10:AV37 AX10:AX37 BB10:BB37 BD10:BD37 BH10:BH37 BJ10:BJ37 BN10:BN37 BP10:BP37 BT10:BT37 BV10:BV37 BZ10:BZ37 CB10:CB37 CF10:CF37 CH10:CH37 CL10:CL37 CN10:CN37 CR10:CR37 CT10:CT37 CX10:CX37 CZ10:CZ37 DD10:DD37 DF10:DF37">
    <cfRule type="cellIs" priority="4" operator="equal" dxfId="0">
      <formula>0</formula>
    </cfRule>
  </conditionalFormatting>
  <pageMargins left="0.7" right="0.7" top="0.75" bottom="0.75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 codeName="Лист18">
    <tabColor theme="8" tint="0.5999938962981048"/>
    <outlinePr summaryBelow="1" summaryRight="1"/>
    <pageSetUpPr autoPageBreaks="0" fitToPage="1"/>
  </sheetPr>
  <dimension ref="A3:J80"/>
  <sheetViews>
    <sheetView topLeftCell="C1" zoomScale="60" zoomScaleNormal="60" zoomScaleSheetLayoutView="55" workbookViewId="0">
      <selection activeCell="E1" sqref="E1:I1048576"/>
    </sheetView>
  </sheetViews>
  <sheetFormatPr baseColWidth="8" defaultColWidth="9.140625" defaultRowHeight="18.75" outlineLevelRow="1"/>
  <cols>
    <col hidden="1" outlineLevel="1" width="9.140625" customWidth="1" style="795" min="1" max="1"/>
    <col hidden="1" outlineLevel="1" width="10.5703125" customWidth="1" style="795" min="2" max="2"/>
    <col collapsed="1" width="12.140625" customWidth="1" style="84" min="3" max="3"/>
    <col width="80" customWidth="1" style="795" min="4" max="4"/>
    <col outlineLevel="1" width="19" customWidth="1" style="795" min="5" max="9"/>
    <col width="15.140625" bestFit="1" customWidth="1" style="796" min="10" max="10"/>
    <col width="8.43" customWidth="1" style="769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</cols>
  <sheetData>
    <row r="1" ht="14.25" customHeight="1" s="769"/>
    <row r="2" ht="15" customHeight="1" s="769"/>
    <row r="3" ht="20.25" customHeight="1" s="769">
      <c r="C3" s="860" t="inlineStr">
        <is>
          <t>Прогнозные показатели по переработке сырья, производству продукции, оказанию услуг по переработке углеводородного сырья на объектах ООО "Газпром переработка Благовещенск"</t>
        </is>
      </c>
    </row>
    <row r="4" ht="20.25" customHeight="1" s="769"/>
    <row r="5" ht="19.5" customHeight="1" s="769">
      <c r="C5" s="363" t="inlineStr">
        <is>
          <t>14. Газпром переработка Благовещенск</t>
        </is>
      </c>
    </row>
    <row r="6" ht="20.1" customHeight="1" s="769">
      <c r="B6" s="792" t="inlineStr">
        <is>
          <t>Код строки</t>
        </is>
      </c>
      <c r="C6" s="863" t="inlineStr">
        <is>
          <t>№ 
п/п</t>
        </is>
      </c>
      <c r="D6" s="885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 изм.</t>
        </is>
      </c>
    </row>
    <row r="7" ht="39.95" customHeight="1" s="769">
      <c r="C7" s="766" t="n"/>
      <c r="D7" s="761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C8" s="766" t="n"/>
      <c r="D8" s="763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866" t="n"/>
      <c r="D9" s="663" t="n"/>
      <c r="E9" s="389" t="n"/>
      <c r="F9" s="389" t="n"/>
      <c r="G9" s="389" t="n"/>
      <c r="H9" s="389" t="n"/>
      <c r="I9" s="389" t="n"/>
      <c r="J9" s="662" t="n"/>
    </row>
    <row r="10" ht="24.75" customHeight="1" s="769">
      <c r="B10" s="277" t="inlineStr">
        <is>
          <t>14.1</t>
        </is>
      </c>
      <c r="C10" s="866" t="n">
        <v>1</v>
      </c>
      <c r="D10" s="879" t="inlineStr">
        <is>
          <t>Поставка природного газа на АмГПЗ - собственность ПАО "Газпром", всего</t>
        </is>
      </c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278" t="inlineStr">
        <is>
          <t>тыс.т.</t>
        </is>
      </c>
    </row>
    <row r="11" ht="24.75" customHeight="1" s="769">
      <c r="B11" s="277" t="inlineStr">
        <is>
          <t>14.2</t>
        </is>
      </c>
      <c r="C11" s="866" t="n"/>
      <c r="D11" s="761" t="n"/>
      <c r="E11" s="528" t="inlineStr">
        <is>
          <t>100332979</t>
        </is>
      </c>
      <c r="F11" s="528" t="n"/>
      <c r="G11" s="529" t="n"/>
      <c r="H11" s="530" t="inlineStr">
        <is>
          <t>100335056+100335308+100335059+100335060+100335427+100335062-100335462-100335463</t>
        </is>
      </c>
      <c r="I11" s="530" t="n"/>
      <c r="J11" s="957" t="inlineStr">
        <is>
          <t>млн куб.м</t>
        </is>
      </c>
    </row>
    <row r="12" ht="20.1" customHeight="1" s="769">
      <c r="B12" s="277" t="inlineStr">
        <is>
          <t>14.3</t>
        </is>
      </c>
      <c r="C12" s="883" t="n"/>
      <c r="D12" s="279" t="inlineStr">
        <is>
          <t>Справочно:</t>
        </is>
      </c>
      <c r="E12" s="528" t="inlineStr">
        <is>
          <t>S0</t>
        </is>
      </c>
      <c r="F12" s="528" t="n"/>
      <c r="G12" s="529" t="n"/>
      <c r="H12" s="530" t="n"/>
      <c r="I12" s="530" t="n"/>
      <c r="J12" s="957" t="n"/>
    </row>
    <row r="13" ht="20.1" customHeight="1" s="769">
      <c r="B13" s="277" t="inlineStr">
        <is>
          <t>14.4</t>
        </is>
      </c>
      <c r="C13" s="883" t="n"/>
      <c r="D13" s="280" t="inlineStr">
        <is>
          <t>на Свободненскую ТЭС (собственность ПАО "Газпром"</t>
        </is>
      </c>
      <c r="E13" s="528" t="inlineStr">
        <is>
          <t>100335056</t>
        </is>
      </c>
      <c r="F13" s="528" t="n"/>
      <c r="G13" s="529" t="n"/>
      <c r="H13" s="530" t="n"/>
      <c r="I13" s="530" t="n"/>
      <c r="J13" s="957" t="inlineStr">
        <is>
          <t>млн куб.м</t>
        </is>
      </c>
    </row>
    <row r="14" ht="37.5" customHeight="1" s="769">
      <c r="B14" s="277" t="inlineStr">
        <is>
          <t>14.5</t>
        </is>
      </c>
      <c r="C14" s="883" t="n"/>
      <c r="D14" s="280" t="inlineStr">
        <is>
          <t>на пуско-наладочные работы (собственность ГПП Благовещенск), покупка у ПАО "Газпром", всего:</t>
        </is>
      </c>
      <c r="E14" s="528" t="inlineStr">
        <is>
          <t>100335057</t>
        </is>
      </c>
      <c r="F14" s="528" t="n"/>
      <c r="G14" s="529" t="n"/>
      <c r="H14" s="530" t="inlineStr">
        <is>
          <t>100335308+100335309+100335310-100335465</t>
        </is>
      </c>
      <c r="I14" s="530" t="n"/>
      <c r="J14" s="957" t="inlineStr">
        <is>
          <t>млн куб.м</t>
        </is>
      </c>
    </row>
    <row r="15">
      <c r="B15" s="277" t="n"/>
      <c r="C15" s="883" t="n"/>
      <c r="D15" s="281" t="inlineStr">
        <is>
          <t xml:space="preserve">в т.ч. 'на СТН на ПНР </t>
        </is>
      </c>
      <c r="E15" s="528" t="inlineStr">
        <is>
          <t>100335308</t>
        </is>
      </c>
      <c r="F15" s="528" t="n"/>
      <c r="G15" s="529" t="n"/>
      <c r="H15" s="530" t="n"/>
      <c r="I15" s="530" t="n"/>
      <c r="J15" s="957" t="inlineStr">
        <is>
          <t>млн куб.м</t>
        </is>
      </c>
    </row>
    <row r="16">
      <c r="B16" s="277" t="n"/>
      <c r="C16" s="883" t="n"/>
      <c r="D16" s="282" t="inlineStr">
        <is>
          <t>в т.ч. газ природный ВД из переработки</t>
        </is>
      </c>
      <c r="E16" s="528" t="inlineStr">
        <is>
          <t>100335462</t>
        </is>
      </c>
      <c r="F16" s="528" t="n"/>
      <c r="G16" s="529" t="n"/>
      <c r="H16" s="530" t="n"/>
      <c r="I16" s="530" t="n"/>
      <c r="J16" s="957" t="inlineStr">
        <is>
          <t>млн куб.м</t>
        </is>
      </c>
    </row>
    <row r="17">
      <c r="B17" s="277" t="n"/>
      <c r="C17" s="883" t="n"/>
      <c r="D17" s="283" t="inlineStr">
        <is>
          <t>в т.ч. 'АЗОТ (полученный из газа транзит)</t>
        </is>
      </c>
      <c r="E17" s="528" t="inlineStr">
        <is>
          <t>100335309</t>
        </is>
      </c>
      <c r="F17" s="528" t="n"/>
      <c r="G17" s="529" t="n"/>
      <c r="H17" s="530" t="n"/>
      <c r="I17" s="530" t="n"/>
      <c r="J17" s="957" t="inlineStr">
        <is>
          <t>млн куб.м</t>
        </is>
      </c>
    </row>
    <row r="18">
      <c r="B18" s="277" t="n"/>
      <c r="C18" s="883" t="n"/>
      <c r="D18" s="283" t="inlineStr">
        <is>
          <t>в т.ч. газ для производство гелия</t>
        </is>
      </c>
      <c r="E18" s="528" t="inlineStr">
        <is>
          <t>100335310</t>
        </is>
      </c>
      <c r="F18" s="528" t="n"/>
      <c r="G18" s="529" t="n"/>
      <c r="H18" s="530" t="inlineStr">
        <is>
          <t>100335076</t>
        </is>
      </c>
      <c r="I18" s="530" t="n"/>
      <c r="J18" s="957" t="inlineStr">
        <is>
          <t>млн куб.м</t>
        </is>
      </c>
    </row>
    <row r="19" ht="37.5" customHeight="1" s="769">
      <c r="B19" s="277" t="inlineStr">
        <is>
          <t>14.7</t>
        </is>
      </c>
      <c r="C19" s="883" t="n"/>
      <c r="D19" s="280" t="inlineStr">
        <is>
          <t>на СТН (собственность ГПП Благовещенск), покупка у ПАО "Газпром"</t>
        </is>
      </c>
      <c r="E19" s="528" t="inlineStr">
        <is>
          <t>100335059</t>
        </is>
      </c>
      <c r="F19" s="528" t="n"/>
      <c r="G19" s="529" t="n"/>
      <c r="H19" s="530" t="n"/>
      <c r="I19" s="530" t="n"/>
      <c r="J19" s="957" t="inlineStr">
        <is>
          <t>млн куб.м</t>
        </is>
      </c>
    </row>
    <row r="20">
      <c r="B20" s="277" t="n"/>
      <c r="C20" s="883" t="n"/>
      <c r="D20" s="282" t="inlineStr">
        <is>
          <t>в т.ч. газ природный ВД из переработки</t>
        </is>
      </c>
      <c r="E20" s="528" t="inlineStr">
        <is>
          <t>100335463</t>
        </is>
      </c>
      <c r="F20" s="528" t="n"/>
      <c r="G20" s="529" t="n"/>
      <c r="H20" s="530" t="n"/>
      <c r="I20" s="530" t="n"/>
      <c r="J20" s="957" t="inlineStr">
        <is>
          <t>млн куб.м</t>
        </is>
      </c>
    </row>
    <row r="21" ht="19.5" customHeight="1" s="769">
      <c r="B21" s="277" t="inlineStr">
        <is>
          <t>14.8</t>
        </is>
      </c>
      <c r="C21" s="883" t="n"/>
      <c r="D21" s="280" t="inlineStr">
        <is>
          <t>на СТН (собственность ПАО "Газпром")</t>
        </is>
      </c>
      <c r="E21" s="528" t="inlineStr">
        <is>
          <t>100335060</t>
        </is>
      </c>
      <c r="F21" s="528" t="n"/>
      <c r="G21" s="529" t="n"/>
      <c r="H21" s="530" t="n"/>
      <c r="I21" s="530" t="n"/>
      <c r="J21" s="957" t="inlineStr">
        <is>
          <t>млн куб.м</t>
        </is>
      </c>
    </row>
    <row r="22" ht="19.5" customHeight="1" s="769">
      <c r="B22" s="277" t="n"/>
      <c r="C22" s="883" t="n"/>
      <c r="D22" s="884" t="inlineStr">
        <is>
          <t>транзит газа через АмГПЗ, всего</t>
        </is>
      </c>
      <c r="E22" s="528" t="inlineStr">
        <is>
          <t>100335426</t>
        </is>
      </c>
      <c r="F22" s="528" t="n"/>
      <c r="G22" s="529" t="n"/>
      <c r="H22" s="530" t="inlineStr">
        <is>
          <t>100335223+100335424</t>
        </is>
      </c>
      <c r="I22" s="530" t="n"/>
      <c r="J22" s="278" t="inlineStr">
        <is>
          <t>тыс.т.</t>
        </is>
      </c>
    </row>
    <row r="23" ht="19.5" customHeight="1" s="769">
      <c r="B23" s="277" t="n"/>
      <c r="C23" s="883" t="n"/>
      <c r="D23" s="766" t="n"/>
      <c r="E23" s="528" t="inlineStr">
        <is>
          <t>100335427</t>
        </is>
      </c>
      <c r="F23" s="528" t="n"/>
      <c r="G23" s="529" t="n"/>
      <c r="H23" s="530" t="inlineStr">
        <is>
          <t>100335159+100335425</t>
        </is>
      </c>
      <c r="I23" s="530" t="n"/>
      <c r="J23" s="957" t="inlineStr">
        <is>
          <t>млн куб.м</t>
        </is>
      </c>
    </row>
    <row r="24" ht="20.1" customHeight="1" s="769">
      <c r="B24" s="277" t="n"/>
      <c r="C24" s="883" t="n"/>
      <c r="D24" s="877" t="inlineStr">
        <is>
          <t>в т.ч транзит газа через АмГПЗ (собственность ПАО "Газпром")</t>
        </is>
      </c>
      <c r="E24" s="528" t="inlineStr">
        <is>
          <t>100335223</t>
        </is>
      </c>
      <c r="F24" s="528" t="n"/>
      <c r="G24" s="529" t="n"/>
      <c r="H24" s="530" t="n"/>
      <c r="I24" s="530" t="n"/>
      <c r="J24" s="278" t="inlineStr">
        <is>
          <t>тыс.т.</t>
        </is>
      </c>
    </row>
    <row r="25">
      <c r="B25" s="277" t="n"/>
      <c r="C25" s="284" t="n"/>
      <c r="D25" s="766" t="n"/>
      <c r="E25" s="528" t="inlineStr">
        <is>
          <t>100335159</t>
        </is>
      </c>
      <c r="F25" s="528" t="n"/>
      <c r="G25" s="529" t="n"/>
      <c r="H25" s="530" t="n"/>
      <c r="I25" s="530" t="n"/>
      <c r="J25" s="957" t="inlineStr">
        <is>
          <t>млн куб.м</t>
        </is>
      </c>
    </row>
    <row r="26">
      <c r="B26" s="277" t="n"/>
      <c r="C26" s="284" t="n"/>
      <c r="D26" s="877" t="inlineStr">
        <is>
          <t>в т.ч. транзит газа через АмГПЗ (собственность ГПП Благовещенск)</t>
        </is>
      </c>
      <c r="E26" s="528" t="inlineStr">
        <is>
          <t>100335424</t>
        </is>
      </c>
      <c r="F26" s="528" t="n"/>
      <c r="G26" s="529" t="n"/>
      <c r="H26" s="530" t="n"/>
      <c r="I26" s="530" t="n"/>
      <c r="J26" s="278" t="inlineStr">
        <is>
          <t>тыс.т.</t>
        </is>
      </c>
    </row>
    <row r="27">
      <c r="B27" s="277" t="n"/>
      <c r="C27" s="284" t="n"/>
      <c r="D27" s="766" t="n"/>
      <c r="E27" s="528" t="inlineStr">
        <is>
          <t>100335425</t>
        </is>
      </c>
      <c r="F27" s="528" t="n"/>
      <c r="G27" s="529" t="n"/>
      <c r="H27" s="530" t="n"/>
      <c r="I27" s="530" t="n"/>
      <c r="J27" s="957" t="inlineStr">
        <is>
          <t>млн куб.м</t>
        </is>
      </c>
    </row>
    <row r="28" ht="20.1" customHeight="1" s="769">
      <c r="B28" s="277" t="inlineStr">
        <is>
          <t>14.9</t>
        </is>
      </c>
      <c r="C28" s="883" t="inlineStr">
        <is>
          <t>2.</t>
        </is>
      </c>
      <c r="D28" s="881" t="inlineStr">
        <is>
          <t>Переработка природного газа:</t>
        </is>
      </c>
      <c r="E28" s="528" t="inlineStr">
        <is>
          <t>100335061</t>
        </is>
      </c>
      <c r="F28" s="528" t="n"/>
      <c r="G28" s="529" t="n"/>
      <c r="H28" s="530" t="inlineStr">
        <is>
          <t>100335073+100335075</t>
        </is>
      </c>
      <c r="I28" s="530" t="n"/>
      <c r="J28" s="278" t="inlineStr">
        <is>
          <t>тыс.т.</t>
        </is>
      </c>
    </row>
    <row r="29" ht="19.5" customHeight="1" s="769">
      <c r="B29" s="277" t="inlineStr">
        <is>
          <t>14.10</t>
        </is>
      </c>
      <c r="C29" s="766" t="n"/>
      <c r="D29" s="766" t="n"/>
      <c r="E29" s="528" t="inlineStr">
        <is>
          <t>100335062</t>
        </is>
      </c>
      <c r="F29" s="528" t="n"/>
      <c r="G29" s="529" t="n"/>
      <c r="H29" s="530" t="inlineStr">
        <is>
          <t>100335074+100335076</t>
        </is>
      </c>
      <c r="I29" s="530" t="n"/>
      <c r="J29" s="957" t="inlineStr">
        <is>
          <t>млн куб.м</t>
        </is>
      </c>
    </row>
    <row r="30" ht="20.1" customHeight="1" s="769">
      <c r="B30" s="277" t="inlineStr">
        <is>
          <t>14.11</t>
        </is>
      </c>
      <c r="C30" s="800" t="inlineStr">
        <is>
          <t>2.1</t>
        </is>
      </c>
      <c r="D30" s="877" t="inlineStr">
        <is>
          <t>собственность ПАО "Газпром" - оказание услуг  ПАО "Газпром"</t>
        </is>
      </c>
      <c r="E30" s="528" t="inlineStr">
        <is>
          <t>100335073</t>
        </is>
      </c>
      <c r="F30" s="528" t="n"/>
      <c r="G30" s="529" t="n"/>
      <c r="H30" s="530" t="n"/>
      <c r="I30" s="530" t="n"/>
      <c r="J30" s="278" t="inlineStr">
        <is>
          <t>тыс.т.</t>
        </is>
      </c>
    </row>
    <row r="31" ht="20.1" customHeight="1" s="769">
      <c r="B31" s="277" t="inlineStr">
        <is>
          <t>14.12</t>
        </is>
      </c>
      <c r="C31" s="766" t="n"/>
      <c r="D31" s="766" t="n"/>
      <c r="E31" s="528" t="inlineStr">
        <is>
          <t>100335074</t>
        </is>
      </c>
      <c r="F31" s="528" t="n"/>
      <c r="G31" s="529" t="n"/>
      <c r="H31" s="530" t="n"/>
      <c r="I31" s="530" t="n"/>
      <c r="J31" s="957" t="inlineStr">
        <is>
          <t>млн куб.м</t>
        </is>
      </c>
    </row>
    <row r="32" ht="20.1" customHeight="1" s="769">
      <c r="B32" s="277" t="inlineStr">
        <is>
          <t>14.13</t>
        </is>
      </c>
      <c r="C32" s="800" t="inlineStr">
        <is>
          <t>2.2</t>
        </is>
      </c>
      <c r="D32" s="877" t="inlineStr">
        <is>
          <t>собственность ГПП Благовещенск</t>
        </is>
      </c>
      <c r="E32" s="528" t="inlineStr">
        <is>
          <t>100335075</t>
        </is>
      </c>
      <c r="F32" s="528" t="n"/>
      <c r="G32" s="529" t="n"/>
      <c r="H32" s="530" t="n"/>
      <c r="I32" s="530" t="n"/>
      <c r="J32" s="278" t="inlineStr">
        <is>
          <t>тыс.т.</t>
        </is>
      </c>
    </row>
    <row r="33" ht="20.1" customHeight="1" s="769">
      <c r="B33" s="277" t="inlineStr">
        <is>
          <t>14.14</t>
        </is>
      </c>
      <c r="C33" s="766" t="n"/>
      <c r="D33" s="766" t="n"/>
      <c r="E33" s="528" t="inlineStr">
        <is>
          <t>100335076</t>
        </is>
      </c>
      <c r="F33" s="528" t="n"/>
      <c r="G33" s="529" t="n"/>
      <c r="H33" s="530" t="n"/>
      <c r="I33" s="530" t="n"/>
      <c r="J33" s="957" t="inlineStr">
        <is>
          <t>млн куб.м</t>
        </is>
      </c>
    </row>
    <row r="34" hidden="1" outlineLevel="1" ht="20.1" customHeight="1" s="769">
      <c r="B34" s="277" t="inlineStr">
        <is>
          <t>14.15</t>
        </is>
      </c>
      <c r="C34" s="878" t="inlineStr">
        <is>
          <t>3.</t>
        </is>
      </c>
      <c r="D34" s="862" t="inlineStr">
        <is>
          <t>Потери сырья, всего:</t>
        </is>
      </c>
      <c r="E34" s="528" t="inlineStr">
        <is>
          <t>100335077</t>
        </is>
      </c>
      <c r="F34" s="528" t="n"/>
      <c r="G34" s="529" t="n"/>
      <c r="H34" s="530" t="inlineStr">
        <is>
          <t>100332356+100335079</t>
        </is>
      </c>
      <c r="I34" s="530" t="n"/>
      <c r="J34" s="285" t="inlineStr">
        <is>
          <t>тыс.т.</t>
        </is>
      </c>
    </row>
    <row r="35" hidden="1" outlineLevel="1" ht="20.1" customHeight="1" s="769">
      <c r="B35" s="277" t="inlineStr">
        <is>
          <t>14.16</t>
        </is>
      </c>
      <c r="C35" s="766" t="n"/>
      <c r="D35" s="766" t="n"/>
      <c r="E35" s="528" t="inlineStr">
        <is>
          <t>100335078</t>
        </is>
      </c>
      <c r="F35" s="528" t="n"/>
      <c r="G35" s="529" t="n"/>
      <c r="H35" s="530" t="inlineStr">
        <is>
          <t>100332357+100335080</t>
        </is>
      </c>
      <c r="I35" s="530" t="n"/>
      <c r="J35" s="958" t="inlineStr">
        <is>
          <t>млн куб.м</t>
        </is>
      </c>
    </row>
    <row r="36" hidden="1" outlineLevel="1" ht="20.1" customHeight="1" s="769">
      <c r="B36" s="277" t="inlineStr">
        <is>
          <t>14.17</t>
        </is>
      </c>
      <c r="C36" s="800" t="n"/>
      <c r="D36" s="876" t="inlineStr">
        <is>
          <t>Природный газ сырой, собственность ПАО "Газпром"</t>
        </is>
      </c>
      <c r="E36" s="528" t="inlineStr">
        <is>
          <t>100332356</t>
        </is>
      </c>
      <c r="F36" s="528" t="n"/>
      <c r="G36" s="529" t="n"/>
      <c r="H36" s="530" t="n"/>
      <c r="I36" s="530" t="n"/>
      <c r="J36" s="278" t="inlineStr">
        <is>
          <t>тыс.т.</t>
        </is>
      </c>
    </row>
    <row r="37" hidden="1" outlineLevel="1" ht="20.1" customHeight="1" s="769">
      <c r="B37" s="277" t="inlineStr">
        <is>
          <t>14.18</t>
        </is>
      </c>
      <c r="C37" s="800" t="n"/>
      <c r="D37" s="761" t="n"/>
      <c r="E37" s="528" t="inlineStr">
        <is>
          <t>100332357</t>
        </is>
      </c>
      <c r="F37" s="528" t="n"/>
      <c r="G37" s="529" t="n"/>
      <c r="H37" s="530" t="n"/>
      <c r="I37" s="530" t="n"/>
      <c r="J37" s="957" t="inlineStr">
        <is>
          <t>млн куб.м</t>
        </is>
      </c>
    </row>
    <row r="38" hidden="1" outlineLevel="1" ht="20.1" customHeight="1" s="769">
      <c r="B38" s="277" t="inlineStr">
        <is>
          <t>14.19</t>
        </is>
      </c>
      <c r="C38" s="800" t="n"/>
      <c r="D38" s="876" t="inlineStr">
        <is>
          <t>Природный газ сырой, собственность ГПП Благовещенск</t>
        </is>
      </c>
      <c r="E38" s="528" t="inlineStr">
        <is>
          <t>100335079</t>
        </is>
      </c>
      <c r="F38" s="528" t="n"/>
      <c r="G38" s="529" t="n"/>
      <c r="H38" s="530" t="n"/>
      <c r="I38" s="530" t="n"/>
      <c r="J38" s="278" t="inlineStr">
        <is>
          <t>тыс.т.</t>
        </is>
      </c>
    </row>
    <row r="39" hidden="1" outlineLevel="1" ht="20.1" customHeight="1" s="769">
      <c r="B39" s="277" t="inlineStr">
        <is>
          <t>14.20</t>
        </is>
      </c>
      <c r="C39" s="800" t="n"/>
      <c r="D39" s="761" t="n"/>
      <c r="E39" s="528" t="inlineStr">
        <is>
          <t>100335080</t>
        </is>
      </c>
      <c r="F39" s="528" t="n"/>
      <c r="G39" s="529" t="n"/>
      <c r="H39" s="530" t="n"/>
      <c r="I39" s="530" t="n"/>
      <c r="J39" s="957" t="inlineStr">
        <is>
          <t>млн куб.м</t>
        </is>
      </c>
    </row>
    <row r="40" collapsed="1" ht="34.9" customHeight="1" s="769">
      <c r="B40" s="277" t="inlineStr">
        <is>
          <t>14.21</t>
        </is>
      </c>
      <c r="C40" s="883" t="inlineStr">
        <is>
          <t>4.</t>
        </is>
      </c>
      <c r="D40" s="666" t="inlineStr">
        <is>
          <t>Производство продукции  (собственность ПАО "Газпром"  )</t>
        </is>
      </c>
      <c r="E40" s="528" t="inlineStr">
        <is>
          <t>100330237</t>
        </is>
      </c>
      <c r="F40" s="528" t="n"/>
      <c r="G40" s="529" t="n"/>
      <c r="H40" s="530" t="inlineStr">
        <is>
          <t>100332358+100332360/$1000+100332362+100331898+100332367+100332366</t>
        </is>
      </c>
      <c r="I40" s="530" t="n"/>
      <c r="J40" s="194" t="inlineStr">
        <is>
          <t>тыс.т.</t>
        </is>
      </c>
    </row>
    <row r="41" ht="19.5" customHeight="1" s="769">
      <c r="B41" s="277" t="inlineStr">
        <is>
          <t>14.24</t>
        </is>
      </c>
      <c r="C41" s="800" t="inlineStr">
        <is>
          <t>4.2</t>
        </is>
      </c>
      <c r="D41" s="875" t="inlineStr">
        <is>
          <t>Гелий</t>
        </is>
      </c>
      <c r="E41" s="528" t="inlineStr">
        <is>
          <t>100332360</t>
        </is>
      </c>
      <c r="F41" s="528" t="n"/>
      <c r="G41" s="529" t="n"/>
      <c r="H41" s="530" t="n"/>
      <c r="I41" s="530" t="n"/>
      <c r="J41" s="278" t="inlineStr">
        <is>
          <t>тонн</t>
        </is>
      </c>
    </row>
    <row r="42" ht="20.1" customHeight="1" s="769">
      <c r="B42" s="277" t="inlineStr">
        <is>
          <t>14.25</t>
        </is>
      </c>
      <c r="C42" s="766" t="n"/>
      <c r="D42" s="761" t="n"/>
      <c r="E42" s="528" t="inlineStr">
        <is>
          <t>100332361</t>
        </is>
      </c>
      <c r="F42" s="528" t="n"/>
      <c r="G42" s="529" t="n"/>
      <c r="H42" s="530" t="n"/>
      <c r="I42" s="530" t="n"/>
      <c r="J42" s="957" t="inlineStr">
        <is>
          <t>тыс. куб.м</t>
        </is>
      </c>
    </row>
    <row r="43" ht="20.1" customHeight="1" s="769">
      <c r="B43" s="277" t="inlineStr">
        <is>
          <t>14.26</t>
        </is>
      </c>
      <c r="C43" s="69" t="inlineStr">
        <is>
          <t>4.3</t>
        </is>
      </c>
      <c r="D43" s="875" t="inlineStr">
        <is>
          <t>Этан</t>
        </is>
      </c>
      <c r="E43" s="528" t="inlineStr">
        <is>
          <t>100332362</t>
        </is>
      </c>
      <c r="F43" s="528" t="n"/>
      <c r="G43" s="529" t="n"/>
      <c r="H43" s="530" t="n"/>
      <c r="I43" s="530" t="n"/>
      <c r="J43" s="278" t="inlineStr">
        <is>
          <t>тыс.т.</t>
        </is>
      </c>
    </row>
    <row r="44" ht="20.1" customHeight="1" s="769">
      <c r="B44" s="277" t="inlineStr">
        <is>
          <t>14.27</t>
        </is>
      </c>
      <c r="C44" s="69" t="inlineStr">
        <is>
          <t>4.4</t>
        </is>
      </c>
      <c r="D44" s="875" t="inlineStr">
        <is>
          <t>Газы углеводородные сжиженные - всего:</t>
        </is>
      </c>
      <c r="E44" s="528" t="inlineStr">
        <is>
          <t>100331898</t>
        </is>
      </c>
      <c r="F44" s="528" t="n"/>
      <c r="G44" s="529" t="n"/>
      <c r="H44" s="530" t="inlineStr">
        <is>
          <t>СУММ(100332363:100332365)</t>
        </is>
      </c>
      <c r="I44" s="530" t="n"/>
      <c r="J44" s="278" t="inlineStr">
        <is>
          <t>тыс.т.</t>
        </is>
      </c>
    </row>
    <row r="45" ht="20.1" customHeight="1" s="769">
      <c r="B45" s="277" t="inlineStr">
        <is>
          <t>14.28</t>
        </is>
      </c>
      <c r="C45" s="209" t="n"/>
      <c r="D45" s="875" t="inlineStr">
        <is>
          <t xml:space="preserve"> - пропан</t>
        </is>
      </c>
      <c r="E45" s="528" t="inlineStr">
        <is>
          <t>100332363</t>
        </is>
      </c>
      <c r="F45" s="528" t="n"/>
      <c r="G45" s="529" t="n"/>
      <c r="H45" s="530" t="n"/>
      <c r="I45" s="530" t="n"/>
      <c r="J45" s="278" t="inlineStr">
        <is>
          <t>тыс.т.</t>
        </is>
      </c>
    </row>
    <row r="46" ht="18.75" customHeight="1" s="769">
      <c r="B46" s="277" t="inlineStr">
        <is>
          <t>14.29</t>
        </is>
      </c>
      <c r="C46" s="209" t="n"/>
      <c r="D46" s="875" t="inlineStr">
        <is>
          <t xml:space="preserve"> - бутан</t>
        </is>
      </c>
      <c r="E46" s="528" t="inlineStr">
        <is>
          <t>100332364</t>
        </is>
      </c>
      <c r="F46" s="528" t="n"/>
      <c r="G46" s="529" t="n"/>
      <c r="H46" s="530" t="n"/>
      <c r="I46" s="530" t="n"/>
      <c r="J46" s="278" t="inlineStr">
        <is>
          <t>тыс.т.</t>
        </is>
      </c>
    </row>
    <row r="47">
      <c r="B47" s="277" t="inlineStr">
        <is>
          <t>14.30</t>
        </is>
      </c>
      <c r="C47" s="284" t="n"/>
      <c r="D47" s="875" t="inlineStr">
        <is>
          <t xml:space="preserve"> - СПБТ</t>
        </is>
      </c>
      <c r="E47" s="528" t="inlineStr">
        <is>
          <t>100332365</t>
        </is>
      </c>
      <c r="F47" s="528" t="n"/>
      <c r="G47" s="529" t="n"/>
      <c r="H47" s="530" t="n"/>
      <c r="I47" s="530" t="n"/>
      <c r="J47" s="278" t="inlineStr">
        <is>
          <t>тыс.т.</t>
        </is>
      </c>
    </row>
    <row r="48">
      <c r="B48" s="277" t="inlineStr">
        <is>
          <t>14.31</t>
        </is>
      </c>
      <c r="C48" s="69" t="inlineStr">
        <is>
          <t>4.5</t>
        </is>
      </c>
      <c r="D48" s="875" t="inlineStr">
        <is>
          <t>ПГФ / УФ</t>
        </is>
      </c>
      <c r="E48" s="528" t="inlineStr">
        <is>
          <t>100332366</t>
        </is>
      </c>
      <c r="F48" s="528" t="n"/>
      <c r="G48" s="529" t="n"/>
      <c r="H48" s="530" t="n"/>
      <c r="I48" s="530" t="n"/>
      <c r="J48" s="278" t="inlineStr">
        <is>
          <t>тыс.т.</t>
        </is>
      </c>
    </row>
    <row r="49">
      <c r="B49" s="277" t="inlineStr">
        <is>
          <t>14.32</t>
        </is>
      </c>
      <c r="C49" s="69" t="inlineStr">
        <is>
          <t>4.6</t>
        </is>
      </c>
      <c r="D49" s="875" t="inlineStr">
        <is>
          <t xml:space="preserve">Топливный газ </t>
        </is>
      </c>
      <c r="E49" s="528" t="inlineStr">
        <is>
          <t>100332367</t>
        </is>
      </c>
      <c r="F49" s="528" t="n"/>
      <c r="G49" s="529" t="n"/>
      <c r="H49" s="530" t="n"/>
      <c r="I49" s="530" t="n"/>
      <c r="J49" s="12" t="inlineStr">
        <is>
          <t>тыс.т.</t>
        </is>
      </c>
    </row>
    <row r="50">
      <c r="B50" s="277" t="inlineStr">
        <is>
          <t>14.33</t>
        </is>
      </c>
      <c r="C50" s="284" t="n"/>
      <c r="D50" s="761" t="n"/>
      <c r="E50" s="528" t="inlineStr">
        <is>
          <t>100332368</t>
        </is>
      </c>
      <c r="F50" s="528" t="n"/>
      <c r="G50" s="529" t="n"/>
      <c r="H50" s="530" t="n"/>
      <c r="I50" s="530" t="n"/>
      <c r="J50" s="957" t="inlineStr">
        <is>
          <t>млн куб.м</t>
        </is>
      </c>
    </row>
    <row r="51" ht="20.1" customHeight="1" s="769">
      <c r="B51" s="277" t="inlineStr">
        <is>
          <t>14.22</t>
        </is>
      </c>
      <c r="C51" s="800" t="inlineStr">
        <is>
          <t>4.1</t>
        </is>
      </c>
      <c r="D51" s="875" t="inlineStr">
        <is>
          <t>Газ товарный</t>
        </is>
      </c>
      <c r="E51" s="528" t="inlineStr">
        <is>
          <t>100332358</t>
        </is>
      </c>
      <c r="F51" s="528" t="n"/>
      <c r="G51" s="529" t="n"/>
      <c r="H51" s="530" t="n"/>
      <c r="I51" s="530" t="n"/>
      <c r="J51" s="278" t="inlineStr">
        <is>
          <t>тыс.т.</t>
        </is>
      </c>
    </row>
    <row r="52" ht="20.1" customHeight="1" s="769">
      <c r="B52" s="277" t="inlineStr">
        <is>
          <t>14.23</t>
        </is>
      </c>
      <c r="C52" s="766" t="n"/>
      <c r="D52" s="761" t="n"/>
      <c r="E52" s="528" t="inlineStr">
        <is>
          <t>100332359</t>
        </is>
      </c>
      <c r="F52" s="528" t="n"/>
      <c r="G52" s="529" t="n"/>
      <c r="H52" s="530" t="n"/>
      <c r="I52" s="530" t="n"/>
      <c r="J52" s="957" t="inlineStr">
        <is>
          <t>млн куб.м</t>
        </is>
      </c>
    </row>
    <row r="53" ht="37.5" customHeight="1" s="769">
      <c r="B53" s="277" t="inlineStr">
        <is>
          <t>14.36</t>
        </is>
      </c>
      <c r="C53" s="883" t="n">
        <v>5</v>
      </c>
      <c r="D53" s="666" t="inlineStr">
        <is>
          <t>Производство продукции  (собственность Газпром переработка Благовещенск  )</t>
        </is>
      </c>
      <c r="E53" s="528" t="inlineStr">
        <is>
          <t>100335081</t>
        </is>
      </c>
      <c r="F53" s="528" t="n"/>
      <c r="G53" s="529" t="n"/>
      <c r="H53" s="530" t="inlineStr">
        <is>
          <t>100335083/$1000+100335084+100335088+100335311+100335464</t>
        </is>
      </c>
      <c r="I53" s="530" t="n"/>
      <c r="J53" s="959" t="inlineStr">
        <is>
          <t>тыс. т</t>
        </is>
      </c>
    </row>
    <row r="54">
      <c r="B54" s="277" t="inlineStr">
        <is>
          <t>14.38</t>
        </is>
      </c>
      <c r="C54" s="800" t="inlineStr">
        <is>
          <t>5.1</t>
        </is>
      </c>
      <c r="D54" s="875" t="inlineStr">
        <is>
          <t xml:space="preserve">      Гелий</t>
        </is>
      </c>
      <c r="E54" s="528" t="inlineStr">
        <is>
          <t>100335083</t>
        </is>
      </c>
      <c r="F54" s="528" t="n"/>
      <c r="G54" s="529" t="n"/>
      <c r="H54" s="530" t="n"/>
      <c r="I54" s="530" t="n"/>
      <c r="J54" s="957" t="inlineStr">
        <is>
          <t>тонн</t>
        </is>
      </c>
    </row>
    <row r="55">
      <c r="B55" s="277" t="inlineStr">
        <is>
          <t>14.37</t>
        </is>
      </c>
      <c r="C55" s="766" t="n"/>
      <c r="D55" s="875" t="inlineStr">
        <is>
          <t xml:space="preserve">      Гелий</t>
        </is>
      </c>
      <c r="E55" s="528" t="inlineStr">
        <is>
          <t>100335082</t>
        </is>
      </c>
      <c r="F55" s="528" t="n"/>
      <c r="G55" s="529" t="n"/>
      <c r="H55" s="530" t="n"/>
      <c r="I55" s="530" t="n"/>
      <c r="J55" s="957" t="inlineStr">
        <is>
          <t>тыс куб. м.</t>
        </is>
      </c>
    </row>
    <row r="56" ht="24" customHeight="1" s="769">
      <c r="B56" s="277" t="inlineStr">
        <is>
          <t>14.39</t>
        </is>
      </c>
      <c r="C56" s="69" t="inlineStr">
        <is>
          <t>5.2</t>
        </is>
      </c>
      <c r="D56" s="875" t="inlineStr">
        <is>
          <t xml:space="preserve">      Газы углеводородные сжиженные - всего</t>
        </is>
      </c>
      <c r="E56" s="528" t="inlineStr">
        <is>
          <t>100335084</t>
        </is>
      </c>
      <c r="F56" s="528" t="n"/>
      <c r="G56" s="529" t="n"/>
      <c r="H56" s="530" t="inlineStr">
        <is>
          <t>СУММ(100335085:100335087)</t>
        </is>
      </c>
      <c r="I56" s="530" t="n"/>
      <c r="J56" s="957" t="inlineStr">
        <is>
          <t>тыс. т</t>
        </is>
      </c>
    </row>
    <row r="57">
      <c r="B57" s="277" t="inlineStr">
        <is>
          <t>14.40</t>
        </is>
      </c>
      <c r="C57" s="69" t="n"/>
      <c r="D57" s="875" t="inlineStr">
        <is>
          <t xml:space="preserve">         пропан</t>
        </is>
      </c>
      <c r="E57" s="528" t="inlineStr">
        <is>
          <t>100335085</t>
        </is>
      </c>
      <c r="F57" s="528" t="n"/>
      <c r="G57" s="529" t="n"/>
      <c r="H57" s="530" t="n"/>
      <c r="I57" s="530" t="n"/>
      <c r="J57" s="957" t="inlineStr">
        <is>
          <t>тыс. т</t>
        </is>
      </c>
    </row>
    <row r="58">
      <c r="B58" s="277" t="inlineStr">
        <is>
          <t>14.41</t>
        </is>
      </c>
      <c r="C58" s="69" t="n"/>
      <c r="D58" s="875" t="inlineStr">
        <is>
          <t xml:space="preserve">         бутан</t>
        </is>
      </c>
      <c r="E58" s="528" t="inlineStr">
        <is>
          <t>100335086</t>
        </is>
      </c>
      <c r="F58" s="528" t="n"/>
      <c r="G58" s="529" t="n"/>
      <c r="H58" s="530" t="n"/>
      <c r="I58" s="530" t="n"/>
      <c r="J58" s="957" t="inlineStr">
        <is>
          <t>тыс. т</t>
        </is>
      </c>
    </row>
    <row r="59">
      <c r="B59" s="277" t="inlineStr">
        <is>
          <t>14.42</t>
        </is>
      </c>
      <c r="C59" s="69" t="n"/>
      <c r="D59" s="875" t="inlineStr">
        <is>
          <t xml:space="preserve">         СПБТ</t>
        </is>
      </c>
      <c r="E59" s="528" t="inlineStr">
        <is>
          <t>100335087</t>
        </is>
      </c>
      <c r="F59" s="528" t="n"/>
      <c r="G59" s="529" t="n"/>
      <c r="H59" s="530" t="n"/>
      <c r="I59" s="530" t="n"/>
      <c r="J59" s="957" t="inlineStr">
        <is>
          <t>тыс. т</t>
        </is>
      </c>
    </row>
    <row r="60">
      <c r="B60" s="277" t="inlineStr">
        <is>
          <t>14.43</t>
        </is>
      </c>
      <c r="C60" s="286" t="inlineStr">
        <is>
          <t>5.3</t>
        </is>
      </c>
      <c r="D60" s="287" t="inlineStr">
        <is>
          <t>ПГФ / УФ</t>
        </is>
      </c>
      <c r="E60" s="528" t="inlineStr">
        <is>
          <t>100335088</t>
        </is>
      </c>
      <c r="F60" s="528" t="n"/>
      <c r="G60" s="529" t="n"/>
      <c r="H60" s="530" t="n"/>
      <c r="I60" s="530" t="n"/>
      <c r="J60" s="957" t="inlineStr">
        <is>
          <t>тыс. т</t>
        </is>
      </c>
    </row>
    <row r="61">
      <c r="B61" s="277" t="n"/>
      <c r="C61" s="799" t="inlineStr">
        <is>
          <t>5.4</t>
        </is>
      </c>
      <c r="D61" s="875" t="inlineStr">
        <is>
          <t>Топливный газ (на СТН при ПНР)</t>
        </is>
      </c>
      <c r="E61" s="528" t="inlineStr">
        <is>
          <t>100335464</t>
        </is>
      </c>
      <c r="F61" s="528" t="n"/>
      <c r="G61" s="529" t="n"/>
      <c r="H61" s="530" t="n"/>
      <c r="I61" s="530" t="n"/>
      <c r="J61" s="278" t="inlineStr">
        <is>
          <t>тыс.т.</t>
        </is>
      </c>
    </row>
    <row r="62" ht="51.6" customHeight="1" s="769">
      <c r="B62" s="277" t="n"/>
      <c r="C62" s="766" t="n"/>
      <c r="D62" s="761" t="n"/>
      <c r="E62" s="528" t="inlineStr">
        <is>
          <t>100335465</t>
        </is>
      </c>
      <c r="F62" s="528" t="n"/>
      <c r="G62" s="529" t="n"/>
      <c r="H62" s="530" t="n"/>
      <c r="I62" s="530" t="n"/>
      <c r="J62" s="957" t="inlineStr">
        <is>
          <t>млн куб.м</t>
        </is>
      </c>
    </row>
    <row r="63">
      <c r="B63" s="277" t="n"/>
      <c r="C63" s="799" t="inlineStr">
        <is>
          <t>5.5</t>
        </is>
      </c>
      <c r="D63" s="875" t="inlineStr">
        <is>
          <t>Газ товарный</t>
        </is>
      </c>
      <c r="E63" s="528" t="inlineStr">
        <is>
          <t>100335311</t>
        </is>
      </c>
      <c r="F63" s="528" t="n"/>
      <c r="G63" s="529" t="n"/>
      <c r="H63" s="530" t="n"/>
      <c r="I63" s="530" t="n"/>
      <c r="J63" s="278" t="inlineStr">
        <is>
          <t>тыс.т.</t>
        </is>
      </c>
    </row>
    <row r="64">
      <c r="B64" s="277" t="n"/>
      <c r="C64" s="766" t="n"/>
      <c r="D64" s="761" t="n"/>
      <c r="E64" s="528" t="inlineStr">
        <is>
          <t>100335312</t>
        </is>
      </c>
      <c r="F64" s="528" t="n"/>
      <c r="G64" s="529" t="n"/>
      <c r="H64" s="530" t="n"/>
      <c r="I64" s="530" t="n"/>
      <c r="J64" s="957" t="inlineStr">
        <is>
          <t>млн куб.м</t>
        </is>
      </c>
    </row>
    <row r="65" ht="19.5" customHeight="1" s="769">
      <c r="B65" s="277" t="inlineStr">
        <is>
          <t>14.34</t>
        </is>
      </c>
      <c r="C65" s="106" t="n"/>
      <c r="D65" s="279" t="inlineStr">
        <is>
          <t>Справочно:</t>
        </is>
      </c>
      <c r="E65" s="528" t="inlineStr">
        <is>
          <t>S2</t>
        </is>
      </c>
      <c r="F65" s="528" t="n"/>
      <c r="G65" s="529" t="n"/>
      <c r="H65" s="530" t="n"/>
      <c r="I65" s="530" t="n"/>
      <c r="J65" s="957" t="n"/>
    </row>
    <row r="66" ht="24" customHeight="1" s="769">
      <c r="B66" s="277" t="n"/>
      <c r="C66" s="106" t="n"/>
      <c r="D66" s="880" t="inlineStr">
        <is>
          <t>Газ товарный, всего</t>
        </is>
      </c>
      <c r="E66" s="528" t="inlineStr">
        <is>
          <t>100335313</t>
        </is>
      </c>
      <c r="F66" s="528" t="n"/>
      <c r="G66" s="529" t="n"/>
      <c r="H66" s="530" t="inlineStr">
        <is>
          <t>100332358+100335311+100335223+100335424</t>
        </is>
      </c>
      <c r="I66" s="530" t="n"/>
      <c r="J66" s="957" t="inlineStr">
        <is>
          <t>тыс.т.</t>
        </is>
      </c>
    </row>
    <row r="67" ht="24" customHeight="1" s="769">
      <c r="A67" s="180" t="n"/>
      <c r="B67" s="288" t="n"/>
      <c r="C67" s="289" t="n"/>
      <c r="D67" s="766" t="n"/>
      <c r="E67" s="528" t="inlineStr">
        <is>
          <t>100335314</t>
        </is>
      </c>
      <c r="F67" s="528" t="n"/>
      <c r="G67" s="529" t="n"/>
      <c r="H67" s="530" t="inlineStr">
        <is>
          <t>100332359+100335312+100335159+100335425</t>
        </is>
      </c>
      <c r="I67" s="530" t="n"/>
      <c r="J67" s="957" t="inlineStr">
        <is>
          <t>млн куб.м</t>
        </is>
      </c>
    </row>
    <row r="68" ht="20.25" customHeight="1" s="769">
      <c r="B68" s="277" t="n"/>
      <c r="C68" s="284" t="n"/>
      <c r="D68" s="290" t="inlineStr">
        <is>
          <t>в т.ч. поставка газа в КНР с АмГПЗ (собственность Газпром)</t>
        </is>
      </c>
      <c r="E68" s="528" t="inlineStr">
        <is>
          <t>100335160</t>
        </is>
      </c>
      <c r="F68" s="528" t="n"/>
      <c r="G68" s="529" t="n"/>
      <c r="H68" s="530" t="n"/>
      <c r="I68" s="530" t="n"/>
      <c r="J68" s="957" t="inlineStr">
        <is>
          <t>млн куб.м</t>
        </is>
      </c>
    </row>
    <row r="69" ht="18.6" customHeight="1" s="769">
      <c r="B69" s="277" t="n"/>
      <c r="C69" s="284" t="n"/>
      <c r="D69" s="291" t="inlineStr">
        <is>
          <t>в т.ч.  транзит через АмГПЗ</t>
        </is>
      </c>
      <c r="E69" s="528" t="inlineStr">
        <is>
          <t>100335161</t>
        </is>
      </c>
      <c r="F69" s="528" t="n"/>
      <c r="G69" s="529" t="n"/>
      <c r="H69" s="530" t="n"/>
      <c r="I69" s="530" t="n"/>
      <c r="J69" s="957" t="inlineStr">
        <is>
          <t>млн куб.м</t>
        </is>
      </c>
    </row>
    <row r="70">
      <c r="B70" s="277" t="n"/>
      <c r="C70" s="284" t="n"/>
      <c r="D70" s="290" t="inlineStr">
        <is>
          <t>в т.ч. потребители Ам. обл. после АмГПЗ (Благовещенск)</t>
        </is>
      </c>
      <c r="E70" s="528" t="inlineStr">
        <is>
          <t>100335162</t>
        </is>
      </c>
      <c r="F70" s="528" t="n"/>
      <c r="G70" s="529" t="n"/>
      <c r="H70" s="530" t="n"/>
      <c r="I70" s="530" t="n"/>
      <c r="J70" s="957" t="inlineStr">
        <is>
          <t>млн куб.м</t>
        </is>
      </c>
    </row>
    <row r="71">
      <c r="B71" s="277" t="n"/>
      <c r="C71" s="284" t="n"/>
      <c r="D71" s="290" t="inlineStr">
        <is>
          <t>в т.ч. СТН ГТС ОАО "Томскгазпром" после АмГПЗ</t>
        </is>
      </c>
      <c r="E71" s="528" t="inlineStr">
        <is>
          <t>100335163</t>
        </is>
      </c>
      <c r="F71" s="528" t="n"/>
      <c r="G71" s="529" t="n"/>
      <c r="H71" s="530" t="n"/>
      <c r="I71" s="530" t="n"/>
      <c r="J71" s="957" t="inlineStr">
        <is>
          <t>млн куб.м</t>
        </is>
      </c>
    </row>
    <row r="72" ht="36" customHeight="1" s="769">
      <c r="B72" s="277" t="n"/>
      <c r="C72" s="284" t="n"/>
      <c r="D72" s="290" t="inlineStr">
        <is>
          <t>Оседание в продукцию</t>
        </is>
      </c>
      <c r="E72" s="528" t="inlineStr">
        <is>
          <t>100335164</t>
        </is>
      </c>
      <c r="F72" s="528" t="n"/>
      <c r="G72" s="529" t="n"/>
      <c r="H72" s="530" t="inlineStr">
        <is>
          <t>100335062+100335159+100335425-100332359-100335312-100335161</t>
        </is>
      </c>
      <c r="I72" s="530" t="n"/>
      <c r="J72" s="957" t="inlineStr">
        <is>
          <t>млн куб.м</t>
        </is>
      </c>
    </row>
    <row r="73">
      <c r="B73" s="277" t="n"/>
      <c r="C73" s="284" t="n"/>
      <c r="D73" s="290" t="inlineStr">
        <is>
          <t xml:space="preserve">Поставка газа в Китай , минуя АмГПЗ </t>
        </is>
      </c>
      <c r="E73" s="528" t="inlineStr">
        <is>
          <t>100335101</t>
        </is>
      </c>
      <c r="F73" s="528" t="n"/>
      <c r="G73" s="529" t="n"/>
      <c r="H73" s="530" t="n"/>
      <c r="I73" s="530" t="n"/>
      <c r="J73" s="957" t="inlineStr">
        <is>
          <t>млн куб.м</t>
        </is>
      </c>
    </row>
    <row r="74" ht="18.75" customHeight="1" s="769">
      <c r="B74" s="277" t="n"/>
      <c r="C74" s="284" t="n"/>
      <c r="D74" s="290" t="inlineStr">
        <is>
          <t>Покупка газа у ПАО "Газпром" при ПНР (дог. ГППБпнр-2020)</t>
        </is>
      </c>
      <c r="E74" s="528" t="inlineStr">
        <is>
          <t>100335428</t>
        </is>
      </c>
      <c r="F74" s="528" t="n"/>
      <c r="G74" s="529" t="n"/>
      <c r="H74" s="530" t="inlineStr">
        <is>
          <t>100335057+100335429</t>
        </is>
      </c>
      <c r="I74" s="530" t="n"/>
      <c r="J74" s="957" t="inlineStr">
        <is>
          <t>млн куб.м</t>
        </is>
      </c>
    </row>
    <row r="75" ht="37.5" customHeight="1" s="769">
      <c r="B75" s="277" t="n"/>
      <c r="C75" s="284" t="n"/>
      <c r="D75" s="292" t="inlineStr">
        <is>
          <t>в т.ч.  транзит через АмГПЗ  (собственность ГПП Благовещенск)</t>
        </is>
      </c>
      <c r="E75" s="528" t="inlineStr">
        <is>
          <t>100335429</t>
        </is>
      </c>
      <c r="F75" s="528" t="n"/>
      <c r="G75" s="529" t="n"/>
      <c r="H75" s="530" t="n"/>
      <c r="I75" s="530" t="n"/>
      <c r="J75" s="957" t="inlineStr">
        <is>
          <t>млн куб.м</t>
        </is>
      </c>
    </row>
    <row r="76" ht="38.25" customHeight="1" s="769">
      <c r="B76" s="277" t="n"/>
      <c r="C76" s="284" t="n"/>
      <c r="D76" s="293" t="inlineStr">
        <is>
          <t>Продажа товарного газа ПАО "Газпром" при ПНР (по договору поставки продукции ГППБ 03/21-23)</t>
        </is>
      </c>
      <c r="E76" s="528" t="inlineStr">
        <is>
          <t>100335466</t>
        </is>
      </c>
      <c r="F76" s="528" t="n"/>
      <c r="G76" s="529" t="n"/>
      <c r="H76" s="530" t="n"/>
      <c r="I76" s="530" t="n"/>
      <c r="J76" s="957" t="inlineStr">
        <is>
          <t>млн куб.м</t>
        </is>
      </c>
    </row>
    <row r="77" ht="36.75" customHeight="1" s="769">
      <c r="B77" s="277" t="n"/>
      <c r="C77" s="284" t="n"/>
      <c r="D77" s="294" t="inlineStr">
        <is>
          <t>в т.ч. 'транзит газа через Амурский ГПЗ (собственность ГПП Благовещенск")</t>
        </is>
      </c>
      <c r="E77" s="528" t="inlineStr">
        <is>
          <t>100335467</t>
        </is>
      </c>
      <c r="F77" s="528" t="n"/>
      <c r="G77" s="529" t="n"/>
      <c r="H77" s="530" t="n"/>
      <c r="I77" s="530" t="n"/>
      <c r="J77" s="957" t="inlineStr">
        <is>
          <t>млн куб.м</t>
        </is>
      </c>
    </row>
    <row r="78" ht="19.5" customHeight="1" s="769">
      <c r="A78" s="325" t="n"/>
      <c r="B78" s="277" t="inlineStr">
        <is>
          <t>14.44</t>
        </is>
      </c>
      <c r="C78" s="882" t="inlineStr">
        <is>
          <t>6.</t>
        </is>
      </c>
      <c r="D78" s="295" t="inlineStr">
        <is>
          <t xml:space="preserve">Материальный баланс поставки УВС </t>
        </is>
      </c>
      <c r="E78" s="528" t="inlineStr">
        <is>
          <t>100335165</t>
        </is>
      </c>
      <c r="F78" s="528" t="n"/>
      <c r="G78" s="529" t="n"/>
      <c r="H78" s="530" t="inlineStr">
        <is>
          <t>100332979-100335056-100335308-100335059-100335060-100335159-100335062-100335425+100335462+100335463</t>
        </is>
      </c>
      <c r="I78" s="530" t="n"/>
      <c r="J78" s="665" t="inlineStr">
        <is>
          <t>тыс.т.</t>
        </is>
      </c>
    </row>
    <row r="79" ht="19.5" customHeight="1" s="769">
      <c r="A79" s="325" t="n"/>
      <c r="B79" s="277" t="inlineStr">
        <is>
          <t>14.44</t>
        </is>
      </c>
      <c r="C79" s="751" t="n"/>
      <c r="D79" s="296" t="inlineStr">
        <is>
          <t>Материальный баланс переработки УВС</t>
        </is>
      </c>
      <c r="E79" s="528" t="inlineStr">
        <is>
          <t>100335089</t>
        </is>
      </c>
      <c r="F79" s="528" t="n"/>
      <c r="G79" s="529" t="n"/>
      <c r="H79" s="530" t="inlineStr">
        <is>
          <t>100335061-100335077-100330237-100335081</t>
        </is>
      </c>
      <c r="I79" s="530" t="n"/>
      <c r="J79" s="665" t="inlineStr">
        <is>
          <t>тыс.т.</t>
        </is>
      </c>
    </row>
    <row r="80">
      <c r="B80" s="83" t="n"/>
      <c r="C80" s="39" t="n"/>
    </row>
  </sheetData>
  <mergeCells count="37">
    <mergeCell ref="C30:C31"/>
    <mergeCell ref="D61:D62"/>
    <mergeCell ref="C63:C64"/>
    <mergeCell ref="D36:D37"/>
    <mergeCell ref="D32:D33"/>
    <mergeCell ref="C41:C42"/>
    <mergeCell ref="D63:D64"/>
    <mergeCell ref="D10:D11"/>
    <mergeCell ref="D38:D39"/>
    <mergeCell ref="D34:D35"/>
    <mergeCell ref="F7:F8"/>
    <mergeCell ref="D49:D50"/>
    <mergeCell ref="G7:G8"/>
    <mergeCell ref="I7:I8"/>
    <mergeCell ref="C54:C55"/>
    <mergeCell ref="D6:D8"/>
    <mergeCell ref="C51:C52"/>
    <mergeCell ref="E6:I6"/>
    <mergeCell ref="C32:C33"/>
    <mergeCell ref="J6:J8"/>
    <mergeCell ref="D30:D31"/>
    <mergeCell ref="D26:D27"/>
    <mergeCell ref="C34:C35"/>
    <mergeCell ref="D66:D67"/>
    <mergeCell ref="D41:D42"/>
    <mergeCell ref="D28:D29"/>
    <mergeCell ref="C78:C79"/>
    <mergeCell ref="E7:E8"/>
    <mergeCell ref="B6:B8"/>
    <mergeCell ref="C3:J3"/>
    <mergeCell ref="H7:H8"/>
    <mergeCell ref="C6:C8"/>
    <mergeCell ref="D24:D25"/>
    <mergeCell ref="C61:C62"/>
    <mergeCell ref="D51:D52"/>
    <mergeCell ref="C28:C29"/>
    <mergeCell ref="D22:D23"/>
  </mergeCells>
  <conditionalFormatting sqref="O10:O79 P10:P79 U10:U79 V10:V79 AA10:AA79 AB10:AB79 AG10:AG79 AH10:AH79 AM10:AM79 AN10:AN79 AS10:AS79 AT10:AT79 AY10:AY79 AZ10:AZ79 BE10:BE79 BF10:BF79 BK10:BK79 BL10:BL79 BQ10:BQ79 BR10:BR79 BW10:BW79 BX10:BX79 CC10:CC79 CD10:CD79 CI10:CI79 CJ10:CJ79 CO10:CO79 CP10:CP79 CU10:CU79 CV10:CV79 DA10:DA79 DB10:DB79 DG10:DG79 DH10:DH79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79 N10:N79 R10:R79 T10:T79 X10:X79 Z10:Z79 AD10:AD79 AF10:AF79 AJ10:AJ79 AL10:AL79 AP10:AP79 AR10:AR79 AV10:AV79 AX10:AX79 BB10:BB79 BD10:BD79 BH10:BH79 BJ10:BJ79 BN10:BN79 BP10:BP79 BT10:BT79 BV10:BV79 BZ10:BZ79 CB10:CB79 CF10:CF79 CH10:CH79 CL10:CL79 CN10:CN79 CR10:CR79 CT10:CT79 CX10:CX79 CZ10:CZ79 DD10:DD79 DF10:DF79">
    <cfRule type="cellIs" priority="4" operator="equal" dxfId="0">
      <formula>0</formula>
    </cfRule>
  </conditionalFormatting>
  <pageMargins left="0.2362204724409449" right="0.2362204724409449" top="0.2362204724409449" bottom="0.2362204724409449" header="0" footer="0"/>
  <pageSetup orientation="portrait" paperSize="9" scale="86" fitToHeight="0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codeName="Лист19">
    <tabColor theme="8" tint="0.5999938962981048"/>
    <outlinePr summaryBelow="1" summaryRight="1"/>
    <pageSetUpPr fitToPage="1"/>
  </sheetPr>
  <dimension ref="A3:J73"/>
  <sheetViews>
    <sheetView topLeftCell="C1" zoomScale="60" zoomScaleNormal="60" zoomScaleSheetLayoutView="55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25" defaultRowHeight="18.75"/>
  <cols>
    <col hidden="1" outlineLevel="1" width="61.42578125" customWidth="1" style="795" min="1" max="1"/>
    <col hidden="1" outlineLevel="1" width="10.140625" customWidth="1" style="795" min="2" max="2"/>
    <col collapsed="1" width="8.85546875" customWidth="1" style="22" min="3" max="3"/>
    <col width="84" customWidth="1" style="832" min="4" max="4"/>
    <col outlineLevel="1" width="28.7109375" customWidth="1" style="832" min="5" max="9"/>
    <col width="12.85546875" bestFit="1" customWidth="1" style="836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20.1" customHeight="1" s="769"/>
    <row r="2" ht="15" customHeight="1" s="769"/>
    <row r="3" ht="20.1" customHeight="1" s="769">
      <c r="C3" s="794" t="inlineStr">
        <is>
          <t>Прогнозные показатели по производству продукции на КСПГ Портовая ООО "Газпром СПГ Портовая"</t>
        </is>
      </c>
    </row>
    <row r="4" ht="19.5" customHeight="1" s="769"/>
    <row r="5" ht="20.1" customHeight="1" s="769">
      <c r="C5" s="831" t="inlineStr">
        <is>
          <t xml:space="preserve">15. КСПГ Портовая ООО «Газпром СПГ Портовая»  </t>
        </is>
      </c>
      <c r="E5" s="831" t="n"/>
      <c r="F5" s="831" t="n"/>
      <c r="G5" s="831" t="n"/>
      <c r="H5" s="831" t="n"/>
      <c r="I5" s="831" t="n"/>
      <c r="J5" s="950" t="n"/>
    </row>
    <row r="6" ht="20.1" customHeight="1" s="769">
      <c r="B6" s="886" t="inlineStr">
        <is>
          <t>Код строки</t>
        </is>
      </c>
      <c r="C6" s="837" t="inlineStr">
        <is>
          <t>№ 
п/п</t>
        </is>
      </c>
      <c r="D6" s="790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 изм.</t>
        </is>
      </c>
    </row>
    <row r="7" ht="39.95" customHeight="1" s="769">
      <c r="B7" s="762" t="n"/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B8" s="762" t="n"/>
      <c r="C8" s="751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792" t="n"/>
      <c r="C9" s="866" t="n"/>
      <c r="D9" s="206" t="n"/>
      <c r="E9" s="869" t="n"/>
      <c r="F9" s="869" t="n"/>
      <c r="G9" s="869" t="n"/>
      <c r="H9" s="869" t="n"/>
      <c r="I9" s="869" t="n"/>
      <c r="J9" s="654" t="n"/>
    </row>
    <row r="10">
      <c r="A10" s="49" t="inlineStr">
        <is>
          <t>Поставка газа, всего:</t>
        </is>
      </c>
      <c r="B10" s="65" t="inlineStr">
        <is>
          <t>15.1</t>
        </is>
      </c>
      <c r="C10" s="569" t="inlineStr">
        <is>
          <t>1.</t>
        </is>
      </c>
      <c r="D10" s="200" t="inlineStr">
        <is>
          <t>Производство продукции, всего:</t>
        </is>
      </c>
      <c r="E10" s="528" t="inlineStr">
        <is>
          <t>100330237</t>
        </is>
      </c>
      <c r="F10" s="528" t="n"/>
      <c r="G10" s="529" t="n"/>
      <c r="H10" s="530" t="n">
        <v>100330867</v>
      </c>
      <c r="I10" s="530" t="n"/>
      <c r="J10" s="297" t="inlineStr">
        <is>
          <t>тыс.т</t>
        </is>
      </c>
    </row>
    <row r="11">
      <c r="A11" s="49" t="n"/>
      <c r="B11" s="65" t="inlineStr">
        <is>
          <t>15.2</t>
        </is>
      </c>
      <c r="C11" s="570" t="inlineStr">
        <is>
          <t>1.1</t>
        </is>
      </c>
      <c r="D11" s="312" t="inlineStr">
        <is>
          <t>Стабильный конденсат</t>
        </is>
      </c>
      <c r="E11" s="528" t="inlineStr">
        <is>
          <t>100330867</t>
        </is>
      </c>
      <c r="F11" s="528" t="n"/>
      <c r="G11" s="529" t="n"/>
      <c r="H11" s="530" t="n"/>
      <c r="I11" s="530" t="n"/>
      <c r="J11" s="939" t="inlineStr">
        <is>
          <t>млн куб.м</t>
        </is>
      </c>
    </row>
    <row r="12">
      <c r="A12" s="49" t="inlineStr">
        <is>
          <t xml:space="preserve">      в т.ч. собственность ПАО "Газпром"</t>
        </is>
      </c>
      <c r="B12" s="65" t="n"/>
      <c r="C12" s="570" t="n"/>
      <c r="D12" s="571" t="inlineStr">
        <is>
          <t>в т.ч. собственность ПАО "Газпром"</t>
        </is>
      </c>
      <c r="E12" s="528" t="inlineStr">
        <is>
          <t>100335852</t>
        </is>
      </c>
      <c r="F12" s="528" t="n"/>
      <c r="G12" s="529" t="n"/>
      <c r="H12" s="530" t="n"/>
      <c r="I12" s="530" t="n"/>
      <c r="J12" s="297" t="inlineStr">
        <is>
          <t>тыс.т</t>
        </is>
      </c>
    </row>
    <row r="13">
      <c r="A13" s="49" t="n"/>
      <c r="B13" s="65" t="n"/>
      <c r="C13" s="572" t="inlineStr">
        <is>
          <t>2.</t>
        </is>
      </c>
      <c r="D13" s="573" t="inlineStr">
        <is>
          <t>Производство для реализации ПАО "Газпром"</t>
        </is>
      </c>
      <c r="E13" s="528" t="n"/>
      <c r="F13" s="528" t="n"/>
      <c r="G13" s="529" t="n"/>
      <c r="H13" s="530" t="n">
        <v>100335852</v>
      </c>
      <c r="I13" s="530" t="n"/>
      <c r="J13" s="939" t="inlineStr">
        <is>
          <t>млн куб.м</t>
        </is>
      </c>
    </row>
    <row r="14" customFormat="1" s="84">
      <c r="A14" s="144" t="inlineStr">
        <is>
          <t>Стабильный конденсат</t>
        </is>
      </c>
      <c r="B14" s="83" t="n"/>
      <c r="C14" s="40" t="n"/>
      <c r="D14" s="832" t="n"/>
      <c r="E14" s="832" t="n"/>
      <c r="F14" s="832" t="n"/>
      <c r="G14" s="832" t="n"/>
      <c r="H14" s="832" t="n"/>
      <c r="I14" s="832" t="n"/>
      <c r="J14" s="832" t="n"/>
    </row>
    <row r="15" ht="18" customFormat="1" customHeight="1" s="84">
      <c r="B15" s="83" t="n"/>
      <c r="C15" s="832" t="inlineStr">
        <is>
          <t>* Обеспечение своевременного внесения изменений в перечень номенклатуры сырья и продукции входит в компетенцию дочернего общества.</t>
        </is>
      </c>
      <c r="D15" s="832" t="n"/>
      <c r="E15" s="832" t="n"/>
      <c r="F15" s="832" t="n"/>
      <c r="G15" s="832" t="n"/>
      <c r="H15" s="832" t="n"/>
      <c r="I15" s="832" t="n"/>
      <c r="J15" s="832" t="n"/>
    </row>
    <row r="16" customFormat="1" s="84">
      <c r="B16" s="83" t="n"/>
      <c r="C16" s="40" t="n"/>
      <c r="D16" s="832" t="n"/>
      <c r="E16" s="832" t="n"/>
      <c r="F16" s="832" t="n"/>
      <c r="G16" s="832" t="n"/>
      <c r="H16" s="832" t="n"/>
      <c r="I16" s="832" t="n"/>
      <c r="J16" s="832" t="n"/>
    </row>
    <row r="17" customFormat="1" s="84">
      <c r="B17" s="83" t="n"/>
      <c r="C17" s="40" t="n"/>
      <c r="D17" s="832" t="n"/>
      <c r="E17" s="832" t="n"/>
      <c r="F17" s="832" t="n"/>
      <c r="G17" s="832" t="n"/>
      <c r="H17" s="832" t="n"/>
      <c r="I17" s="832" t="n"/>
      <c r="J17" s="832" t="n"/>
    </row>
    <row r="18" customFormat="1" s="84">
      <c r="B18" s="83" t="n"/>
      <c r="C18" s="40" t="n"/>
      <c r="D18" s="832" t="n"/>
      <c r="E18" s="832" t="n"/>
      <c r="F18" s="832" t="n"/>
      <c r="G18" s="832" t="n"/>
      <c r="H18" s="832" t="n"/>
      <c r="I18" s="832" t="n"/>
      <c r="J18" s="298" t="n"/>
    </row>
    <row r="19" customFormat="1" s="84">
      <c r="B19" s="83" t="n"/>
      <c r="C19" s="40" t="n"/>
      <c r="D19" s="832" t="n"/>
      <c r="E19" s="832" t="n"/>
      <c r="F19" s="832" t="n"/>
      <c r="G19" s="832" t="n"/>
      <c r="H19" s="832" t="n"/>
      <c r="I19" s="832" t="n"/>
      <c r="J19" s="298" t="n"/>
    </row>
    <row r="20" customFormat="1" s="84">
      <c r="B20" s="83" t="n"/>
      <c r="C20" s="40" t="n"/>
      <c r="D20" s="832" t="n"/>
      <c r="E20" s="832" t="n"/>
      <c r="F20" s="832" t="n"/>
      <c r="G20" s="832" t="n"/>
      <c r="H20" s="832" t="n"/>
      <c r="I20" s="832" t="n"/>
      <c r="J20" s="832" t="n"/>
    </row>
    <row r="21" customFormat="1" s="84">
      <c r="B21" s="83" t="n"/>
      <c r="C21" s="40" t="n"/>
      <c r="D21" s="832" t="n"/>
      <c r="E21" s="832" t="n"/>
      <c r="F21" s="832" t="n"/>
      <c r="G21" s="832" t="n"/>
      <c r="H21" s="832" t="n"/>
      <c r="I21" s="832" t="n"/>
      <c r="J21" s="832" t="n"/>
    </row>
    <row r="22" customFormat="1" s="84">
      <c r="B22" s="83" t="n"/>
      <c r="C22" s="40" t="n"/>
      <c r="D22" s="832" t="n"/>
      <c r="E22" s="832" t="n"/>
      <c r="F22" s="832" t="n"/>
      <c r="G22" s="832" t="n"/>
      <c r="H22" s="832" t="n"/>
      <c r="I22" s="832" t="n"/>
      <c r="J22" s="832" t="n"/>
    </row>
    <row r="23" customFormat="1" s="84">
      <c r="B23" s="83" t="n"/>
      <c r="C23" s="40" t="n"/>
      <c r="D23" s="832" t="n"/>
      <c r="E23" s="832" t="n"/>
      <c r="F23" s="832" t="n"/>
      <c r="G23" s="832" t="n"/>
      <c r="H23" s="832" t="n"/>
      <c r="I23" s="832" t="n"/>
      <c r="J23" s="832" t="n"/>
    </row>
    <row r="24" customFormat="1" s="84">
      <c r="B24" s="795" t="n"/>
      <c r="C24" s="22" t="n"/>
      <c r="D24" s="832" t="n"/>
      <c r="E24" s="832" t="n"/>
      <c r="F24" s="832" t="n"/>
      <c r="G24" s="832" t="n"/>
      <c r="H24" s="832" t="n"/>
      <c r="I24" s="832" t="n"/>
      <c r="J24" s="836" t="n"/>
    </row>
    <row r="25" customFormat="1" s="84">
      <c r="B25" s="795" t="n"/>
      <c r="C25" s="22" t="n"/>
      <c r="D25" s="832" t="n"/>
      <c r="E25" s="832" t="n"/>
      <c r="F25" s="832" t="n"/>
      <c r="G25" s="832" t="n"/>
      <c r="H25" s="832" t="n"/>
      <c r="I25" s="832" t="n"/>
      <c r="J25" s="836" t="n"/>
    </row>
    <row r="26" customFormat="1" s="84">
      <c r="B26" s="795" t="n"/>
      <c r="C26" s="22" t="n"/>
      <c r="D26" s="832" t="n"/>
      <c r="E26" s="832" t="n"/>
      <c r="F26" s="832" t="n"/>
      <c r="G26" s="832" t="n"/>
      <c r="H26" s="832" t="n"/>
      <c r="I26" s="832" t="n"/>
      <c r="J26" s="836" t="n"/>
    </row>
    <row r="27" customFormat="1" s="84">
      <c r="B27" s="795" t="n"/>
      <c r="C27" s="22" t="n"/>
      <c r="D27" s="832" t="n"/>
      <c r="E27" s="832" t="n"/>
      <c r="F27" s="832" t="n"/>
      <c r="G27" s="832" t="n"/>
      <c r="H27" s="832" t="n"/>
      <c r="I27" s="832" t="n"/>
      <c r="J27" s="836" t="n"/>
    </row>
    <row r="28" customFormat="1" s="84">
      <c r="B28" s="795" t="n"/>
      <c r="C28" s="22" t="n"/>
      <c r="D28" s="832" t="n"/>
      <c r="E28" s="832" t="n"/>
      <c r="F28" s="832" t="n"/>
      <c r="G28" s="832" t="n"/>
      <c r="H28" s="832" t="n"/>
      <c r="I28" s="832" t="n"/>
      <c r="J28" s="836" t="n"/>
    </row>
    <row r="29" customFormat="1" s="84">
      <c r="B29" s="795" t="n"/>
      <c r="C29" s="22" t="n"/>
      <c r="D29" s="832" t="n"/>
      <c r="E29" s="832" t="n"/>
      <c r="F29" s="832" t="n"/>
      <c r="G29" s="832" t="n"/>
      <c r="H29" s="832" t="n"/>
      <c r="I29" s="832" t="n"/>
      <c r="J29" s="836" t="n"/>
    </row>
    <row r="30" customFormat="1" s="84">
      <c r="B30" s="795" t="n"/>
      <c r="C30" s="22" t="n"/>
      <c r="D30" s="832" t="n"/>
      <c r="E30" s="832" t="n"/>
      <c r="F30" s="832" t="n"/>
      <c r="G30" s="832" t="n"/>
      <c r="H30" s="832" t="n"/>
      <c r="I30" s="832" t="n"/>
      <c r="J30" s="836" t="n"/>
    </row>
    <row r="31" customFormat="1" s="84">
      <c r="B31" s="795" t="n"/>
      <c r="C31" s="22" t="n"/>
      <c r="D31" s="832" t="n"/>
      <c r="E31" s="832" t="n"/>
      <c r="F31" s="832" t="n"/>
      <c r="G31" s="832" t="n"/>
      <c r="H31" s="832" t="n"/>
      <c r="I31" s="832" t="n"/>
      <c r="J31" s="836" t="n"/>
    </row>
    <row r="32" customFormat="1" s="84">
      <c r="B32" s="795" t="n"/>
      <c r="C32" s="22" t="n"/>
      <c r="D32" s="832" t="n"/>
      <c r="E32" s="832" t="n"/>
      <c r="F32" s="832" t="n"/>
      <c r="G32" s="832" t="n"/>
      <c r="H32" s="832" t="n"/>
      <c r="I32" s="832" t="n"/>
      <c r="J32" s="836" t="n"/>
    </row>
    <row r="33" customFormat="1" s="84">
      <c r="B33" s="795" t="n"/>
      <c r="C33" s="22" t="n"/>
      <c r="D33" s="832" t="n"/>
      <c r="E33" s="832" t="n"/>
      <c r="F33" s="832" t="n"/>
      <c r="G33" s="832" t="n"/>
      <c r="H33" s="832" t="n"/>
      <c r="I33" s="832" t="n"/>
      <c r="J33" s="836" t="n"/>
    </row>
    <row r="34" customFormat="1" s="84">
      <c r="B34" s="795" t="n"/>
      <c r="C34" s="22" t="n"/>
      <c r="D34" s="832" t="n"/>
      <c r="E34" s="832" t="n"/>
      <c r="F34" s="832" t="n"/>
      <c r="G34" s="832" t="n"/>
      <c r="H34" s="832" t="n"/>
      <c r="I34" s="832" t="n"/>
      <c r="J34" s="836" t="n"/>
    </row>
    <row r="35" customFormat="1" s="84">
      <c r="B35" s="795" t="n"/>
      <c r="C35" s="22" t="n"/>
      <c r="D35" s="832" t="n"/>
      <c r="E35" s="832" t="n"/>
      <c r="F35" s="832" t="n"/>
      <c r="G35" s="832" t="n"/>
      <c r="H35" s="832" t="n"/>
      <c r="I35" s="832" t="n"/>
      <c r="J35" s="836" t="n"/>
    </row>
    <row r="36" customFormat="1" s="84">
      <c r="B36" s="795" t="n"/>
      <c r="C36" s="22" t="n"/>
      <c r="D36" s="832" t="n"/>
      <c r="E36" s="832" t="n"/>
      <c r="F36" s="832" t="n"/>
      <c r="G36" s="832" t="n"/>
      <c r="H36" s="832" t="n"/>
      <c r="I36" s="832" t="n"/>
      <c r="J36" s="836" t="n"/>
    </row>
    <row r="37" customFormat="1" s="84">
      <c r="B37" s="795" t="n"/>
      <c r="C37" s="22" t="n"/>
      <c r="D37" s="832" t="n"/>
      <c r="E37" s="832" t="n"/>
      <c r="F37" s="832" t="n"/>
      <c r="G37" s="832" t="n"/>
      <c r="H37" s="832" t="n"/>
      <c r="I37" s="832" t="n"/>
      <c r="J37" s="836" t="n"/>
    </row>
    <row r="38" customFormat="1" s="84">
      <c r="B38" s="795" t="n"/>
      <c r="C38" s="22" t="n"/>
      <c r="D38" s="832" t="n"/>
      <c r="E38" s="832" t="n"/>
      <c r="F38" s="832" t="n"/>
      <c r="G38" s="832" t="n"/>
      <c r="H38" s="832" t="n"/>
      <c r="I38" s="832" t="n"/>
      <c r="J38" s="836" t="n"/>
    </row>
    <row r="39" customFormat="1" s="84">
      <c r="B39" s="795" t="n"/>
      <c r="C39" s="22" t="n"/>
      <c r="D39" s="832" t="n"/>
      <c r="E39" s="832" t="n"/>
      <c r="F39" s="832" t="n"/>
      <c r="G39" s="832" t="n"/>
      <c r="H39" s="832" t="n"/>
      <c r="I39" s="832" t="n"/>
      <c r="J39" s="836" t="n"/>
    </row>
    <row r="40" customFormat="1" s="84">
      <c r="B40" s="795" t="n"/>
      <c r="C40" s="22" t="n"/>
      <c r="D40" s="832" t="n"/>
      <c r="E40" s="832" t="n"/>
      <c r="F40" s="832" t="n"/>
      <c r="G40" s="832" t="n"/>
      <c r="H40" s="832" t="n"/>
      <c r="I40" s="832" t="n"/>
      <c r="J40" s="836" t="n"/>
    </row>
    <row r="41" customFormat="1" s="84">
      <c r="B41" s="795" t="n"/>
      <c r="C41" s="22" t="n"/>
      <c r="D41" s="832" t="n"/>
      <c r="E41" s="832" t="n"/>
      <c r="F41" s="832" t="n"/>
      <c r="G41" s="832" t="n"/>
      <c r="H41" s="832" t="n"/>
      <c r="I41" s="832" t="n"/>
      <c r="J41" s="836" t="n"/>
    </row>
    <row r="42" customFormat="1" s="84">
      <c r="B42" s="795" t="n"/>
      <c r="C42" s="22" t="n"/>
      <c r="D42" s="832" t="n"/>
      <c r="E42" s="832" t="n"/>
      <c r="F42" s="832" t="n"/>
      <c r="G42" s="832" t="n"/>
      <c r="H42" s="832" t="n"/>
      <c r="I42" s="832" t="n"/>
      <c r="J42" s="836" t="n"/>
    </row>
    <row r="43" customFormat="1" s="84">
      <c r="B43" s="795" t="n"/>
      <c r="C43" s="22" t="n"/>
      <c r="D43" s="832" t="n"/>
      <c r="E43" s="832" t="n"/>
      <c r="F43" s="832" t="n"/>
      <c r="G43" s="832" t="n"/>
      <c r="H43" s="832" t="n"/>
      <c r="I43" s="832" t="n"/>
      <c r="J43" s="836" t="n"/>
    </row>
    <row r="44" customFormat="1" s="84">
      <c r="B44" s="795" t="n"/>
      <c r="C44" s="22" t="n"/>
      <c r="D44" s="832" t="n"/>
      <c r="E44" s="832" t="n"/>
      <c r="F44" s="832" t="n"/>
      <c r="G44" s="832" t="n"/>
      <c r="H44" s="832" t="n"/>
      <c r="I44" s="832" t="n"/>
      <c r="J44" s="836" t="n"/>
    </row>
    <row r="45" customFormat="1" s="84">
      <c r="B45" s="795" t="n"/>
      <c r="C45" s="22" t="n"/>
      <c r="D45" s="832" t="n"/>
      <c r="E45" s="832" t="n"/>
      <c r="F45" s="832" t="n"/>
      <c r="G45" s="832" t="n"/>
      <c r="H45" s="832" t="n"/>
      <c r="I45" s="832" t="n"/>
      <c r="J45" s="836" t="n"/>
    </row>
    <row r="46" customFormat="1" s="84">
      <c r="B46" s="795" t="n"/>
      <c r="C46" s="22" t="n"/>
      <c r="D46" s="832" t="n"/>
      <c r="E46" s="832" t="n"/>
      <c r="F46" s="832" t="n"/>
      <c r="G46" s="832" t="n"/>
      <c r="H46" s="832" t="n"/>
      <c r="I46" s="832" t="n"/>
      <c r="J46" s="836" t="n"/>
    </row>
    <row r="47" customFormat="1" s="84">
      <c r="B47" s="795" t="n"/>
      <c r="C47" s="22" t="n"/>
      <c r="D47" s="832" t="n"/>
      <c r="E47" s="832" t="n"/>
      <c r="F47" s="832" t="n"/>
      <c r="G47" s="832" t="n"/>
      <c r="H47" s="832" t="n"/>
      <c r="I47" s="832" t="n"/>
      <c r="J47" s="836" t="n"/>
    </row>
    <row r="48" customFormat="1" s="84">
      <c r="B48" s="795" t="n"/>
      <c r="C48" s="22" t="n"/>
      <c r="D48" s="832" t="n"/>
      <c r="E48" s="832" t="n"/>
      <c r="F48" s="832" t="n"/>
      <c r="G48" s="832" t="n"/>
      <c r="H48" s="832" t="n"/>
      <c r="I48" s="832" t="n"/>
      <c r="J48" s="836" t="n"/>
    </row>
    <row r="49" customFormat="1" s="84">
      <c r="B49" s="795" t="n"/>
      <c r="C49" s="22" t="n"/>
      <c r="D49" s="832" t="n"/>
      <c r="E49" s="832" t="n"/>
      <c r="F49" s="832" t="n"/>
      <c r="G49" s="832" t="n"/>
      <c r="H49" s="832" t="n"/>
      <c r="I49" s="832" t="n"/>
      <c r="J49" s="836" t="n"/>
    </row>
    <row r="50" customFormat="1" s="84">
      <c r="B50" s="795" t="n"/>
      <c r="C50" s="22" t="n"/>
      <c r="D50" s="832" t="n"/>
      <c r="E50" s="832" t="n"/>
      <c r="F50" s="832" t="n"/>
      <c r="G50" s="832" t="n"/>
      <c r="H50" s="832" t="n"/>
      <c r="I50" s="832" t="n"/>
      <c r="J50" s="836" t="n"/>
    </row>
    <row r="51" customFormat="1" s="84">
      <c r="B51" s="795" t="n"/>
      <c r="C51" s="22" t="n"/>
      <c r="D51" s="832" t="n"/>
      <c r="E51" s="832" t="n"/>
      <c r="F51" s="832" t="n"/>
      <c r="G51" s="832" t="n"/>
      <c r="H51" s="832" t="n"/>
      <c r="I51" s="832" t="n"/>
      <c r="J51" s="836" t="n"/>
    </row>
    <row r="52" customFormat="1" s="84">
      <c r="B52" s="795" t="n"/>
      <c r="C52" s="22" t="n"/>
      <c r="D52" s="832" t="n"/>
      <c r="E52" s="832" t="n"/>
      <c r="F52" s="832" t="n"/>
      <c r="G52" s="832" t="n"/>
      <c r="H52" s="832" t="n"/>
      <c r="I52" s="832" t="n"/>
      <c r="J52" s="836" t="n"/>
    </row>
    <row r="53" customFormat="1" s="84">
      <c r="B53" s="795" t="n"/>
      <c r="C53" s="22" t="n"/>
      <c r="D53" s="832" t="n"/>
      <c r="E53" s="832" t="n"/>
      <c r="F53" s="832" t="n"/>
      <c r="G53" s="832" t="n"/>
      <c r="H53" s="832" t="n"/>
      <c r="I53" s="832" t="n"/>
      <c r="J53" s="836" t="n"/>
    </row>
    <row r="54" customFormat="1" s="84">
      <c r="B54" s="795" t="n"/>
      <c r="C54" s="22" t="n"/>
      <c r="D54" s="832" t="n"/>
      <c r="E54" s="832" t="n"/>
      <c r="F54" s="832" t="n"/>
      <c r="G54" s="832" t="n"/>
      <c r="H54" s="832" t="n"/>
      <c r="I54" s="832" t="n"/>
      <c r="J54" s="836" t="n"/>
    </row>
    <row r="55" customFormat="1" s="84">
      <c r="B55" s="795" t="n"/>
      <c r="C55" s="22" t="n"/>
      <c r="D55" s="832" t="n"/>
      <c r="E55" s="832" t="n"/>
      <c r="F55" s="832" t="n"/>
      <c r="G55" s="832" t="n"/>
      <c r="H55" s="832" t="n"/>
      <c r="I55" s="832" t="n"/>
      <c r="J55" s="836" t="n"/>
    </row>
    <row r="56" customFormat="1" s="84">
      <c r="B56" s="795" t="n"/>
      <c r="C56" s="22" t="n"/>
      <c r="D56" s="832" t="n"/>
      <c r="E56" s="832" t="n"/>
      <c r="F56" s="832" t="n"/>
      <c r="G56" s="832" t="n"/>
      <c r="H56" s="832" t="n"/>
      <c r="I56" s="832" t="n"/>
      <c r="J56" s="836" t="n"/>
    </row>
    <row r="57" customFormat="1" s="84">
      <c r="B57" s="795" t="n"/>
      <c r="C57" s="22" t="n"/>
      <c r="D57" s="832" t="n"/>
      <c r="E57" s="832" t="n"/>
      <c r="F57" s="832" t="n"/>
      <c r="G57" s="832" t="n"/>
      <c r="H57" s="832" t="n"/>
      <c r="I57" s="832" t="n"/>
      <c r="J57" s="836" t="n"/>
    </row>
    <row r="58" customFormat="1" s="84">
      <c r="B58" s="795" t="n"/>
      <c r="C58" s="22" t="n"/>
      <c r="D58" s="832" t="n"/>
      <c r="E58" s="832" t="n"/>
      <c r="F58" s="832" t="n"/>
      <c r="G58" s="832" t="n"/>
      <c r="H58" s="832" t="n"/>
      <c r="I58" s="832" t="n"/>
      <c r="J58" s="836" t="n"/>
    </row>
    <row r="59" customFormat="1" s="84">
      <c r="B59" s="795" t="n"/>
      <c r="C59" s="22" t="n"/>
      <c r="D59" s="832" t="n"/>
      <c r="E59" s="832" t="n"/>
      <c r="F59" s="832" t="n"/>
      <c r="G59" s="832" t="n"/>
      <c r="H59" s="832" t="n"/>
      <c r="I59" s="832" t="n"/>
      <c r="J59" s="836" t="n"/>
    </row>
    <row r="60" customFormat="1" s="84">
      <c r="B60" s="795" t="n"/>
      <c r="C60" s="22" t="n"/>
      <c r="D60" s="832" t="n"/>
      <c r="E60" s="832" t="n"/>
      <c r="F60" s="832" t="n"/>
      <c r="G60" s="832" t="n"/>
      <c r="H60" s="832" t="n"/>
      <c r="I60" s="832" t="n"/>
      <c r="J60" s="836" t="n"/>
    </row>
    <row r="61" customFormat="1" s="84">
      <c r="B61" s="795" t="n"/>
      <c r="C61" s="22" t="n"/>
      <c r="D61" s="832" t="n"/>
      <c r="E61" s="832" t="n"/>
      <c r="F61" s="832" t="n"/>
      <c r="G61" s="832" t="n"/>
      <c r="H61" s="832" t="n"/>
      <c r="I61" s="832" t="n"/>
      <c r="J61" s="836" t="n"/>
    </row>
    <row r="62" customFormat="1" s="84">
      <c r="B62" s="795" t="n"/>
      <c r="C62" s="22" t="n"/>
      <c r="D62" s="832" t="n"/>
      <c r="E62" s="832" t="n"/>
      <c r="F62" s="832" t="n"/>
      <c r="G62" s="832" t="n"/>
      <c r="H62" s="832" t="n"/>
      <c r="I62" s="832" t="n"/>
      <c r="J62" s="836" t="n"/>
    </row>
    <row r="63" customFormat="1" s="84">
      <c r="B63" s="795" t="n"/>
      <c r="C63" s="22" t="n"/>
      <c r="D63" s="832" t="n"/>
      <c r="E63" s="832" t="n"/>
      <c r="F63" s="832" t="n"/>
      <c r="G63" s="832" t="n"/>
      <c r="H63" s="832" t="n"/>
      <c r="I63" s="832" t="n"/>
      <c r="J63" s="836" t="n"/>
    </row>
    <row r="64" customFormat="1" s="84">
      <c r="B64" s="795" t="n"/>
      <c r="C64" s="22" t="n"/>
      <c r="D64" s="832" t="n"/>
      <c r="E64" s="832" t="n"/>
      <c r="F64" s="832" t="n"/>
      <c r="G64" s="832" t="n"/>
      <c r="H64" s="832" t="n"/>
      <c r="I64" s="832" t="n"/>
      <c r="J64" s="836" t="n"/>
    </row>
    <row r="65" customFormat="1" s="84">
      <c r="B65" s="795" t="n"/>
      <c r="C65" s="22" t="n"/>
      <c r="D65" s="832" t="n"/>
      <c r="E65" s="832" t="n"/>
      <c r="F65" s="832" t="n"/>
      <c r="G65" s="832" t="n"/>
      <c r="H65" s="832" t="n"/>
      <c r="I65" s="832" t="n"/>
      <c r="J65" s="836" t="n"/>
    </row>
    <row r="66" customFormat="1" s="84">
      <c r="B66" s="795" t="n"/>
      <c r="C66" s="22" t="n"/>
      <c r="D66" s="832" t="n"/>
      <c r="E66" s="832" t="n"/>
      <c r="F66" s="832" t="n"/>
      <c r="G66" s="832" t="n"/>
      <c r="H66" s="832" t="n"/>
      <c r="I66" s="832" t="n"/>
      <c r="J66" s="836" t="n"/>
    </row>
    <row r="67" customFormat="1" s="84">
      <c r="B67" s="795" t="n"/>
      <c r="C67" s="22" t="n"/>
      <c r="D67" s="832" t="n"/>
      <c r="E67" s="832" t="n"/>
      <c r="F67" s="832" t="n"/>
      <c r="G67" s="832" t="n"/>
      <c r="H67" s="832" t="n"/>
      <c r="I67" s="832" t="n"/>
      <c r="J67" s="836" t="n"/>
    </row>
    <row r="68" customFormat="1" s="84">
      <c r="B68" s="795" t="n"/>
      <c r="C68" s="22" t="n"/>
      <c r="D68" s="832" t="n"/>
      <c r="E68" s="832" t="n"/>
      <c r="F68" s="832" t="n"/>
      <c r="G68" s="832" t="n"/>
      <c r="H68" s="832" t="n"/>
      <c r="I68" s="832" t="n"/>
      <c r="J68" s="836" t="n"/>
    </row>
    <row r="69" customFormat="1" s="84">
      <c r="B69" s="795" t="n"/>
      <c r="C69" s="22" t="n"/>
      <c r="D69" s="832" t="n"/>
      <c r="E69" s="832" t="n"/>
      <c r="F69" s="832" t="n"/>
      <c r="G69" s="832" t="n"/>
      <c r="H69" s="832" t="n"/>
      <c r="I69" s="832" t="n"/>
      <c r="J69" s="836" t="n"/>
    </row>
    <row r="70" customFormat="1" s="84">
      <c r="B70" s="795" t="n"/>
      <c r="C70" s="22" t="n"/>
      <c r="D70" s="832" t="n"/>
      <c r="E70" s="832" t="n"/>
      <c r="F70" s="832" t="n"/>
      <c r="G70" s="832" t="n"/>
      <c r="H70" s="832" t="n"/>
      <c r="I70" s="832" t="n"/>
      <c r="J70" s="836" t="n"/>
    </row>
    <row r="71" customFormat="1" s="84">
      <c r="B71" s="795" t="n"/>
      <c r="C71" s="22" t="n"/>
      <c r="D71" s="832" t="n"/>
      <c r="E71" s="832" t="n"/>
      <c r="F71" s="832" t="n"/>
      <c r="G71" s="832" t="n"/>
      <c r="H71" s="832" t="n"/>
      <c r="I71" s="832" t="n"/>
      <c r="J71" s="836" t="n"/>
    </row>
    <row r="72" customFormat="1" s="84">
      <c r="B72" s="795" t="n"/>
      <c r="C72" s="22" t="n"/>
      <c r="D72" s="832" t="n"/>
      <c r="E72" s="832" t="n"/>
      <c r="F72" s="832" t="n"/>
      <c r="G72" s="832" t="n"/>
      <c r="H72" s="832" t="n"/>
      <c r="I72" s="832" t="n"/>
      <c r="J72" s="836" t="n"/>
    </row>
    <row r="73" customFormat="1" s="84">
      <c r="B73" s="795" t="n"/>
      <c r="C73" s="22" t="n"/>
      <c r="D73" s="832" t="n"/>
      <c r="E73" s="832" t="n"/>
      <c r="F73" s="832" t="n"/>
      <c r="G73" s="832" t="n"/>
      <c r="H73" s="832" t="n"/>
      <c r="I73" s="832" t="n"/>
      <c r="J73" s="836" t="n"/>
    </row>
  </sheetData>
  <mergeCells count="12">
    <mergeCell ref="F7:F8"/>
    <mergeCell ref="C5:D5"/>
    <mergeCell ref="G7:G8"/>
    <mergeCell ref="I7:I8"/>
    <mergeCell ref="D6:D8"/>
    <mergeCell ref="E6:I6"/>
    <mergeCell ref="J6:J8"/>
    <mergeCell ref="E7:E8"/>
    <mergeCell ref="B6:B8"/>
    <mergeCell ref="C3:J3"/>
    <mergeCell ref="H7:H8"/>
    <mergeCell ref="C6:C8"/>
  </mergeCells>
  <conditionalFormatting sqref="O10:O13 P10:P13 U10:U13 V10:V13 AA10:AA13 AB10:AB13 AG10:AG13 AH10:AH13 AM10:AM13 AN10:AN13 AS10:AS13 AT10:AT13 AY10:AY13 AZ10:AZ13 BE10:BE13 BF10:BF13 BK10:BK13 BL10:BL13 BQ10:BQ13 BR10:BR13 BW10:BW13 BX10:BX13 CC10:CC13 CD10:CD13 CI10:CI13 CJ10:CJ13 CO10:CO13 CP10:CP13 CU10:CU13 CV10:CV13 DA10:DA13 DB10:DB13 DG10:DG13 DH10:DH13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13 N10:N13 R10:R13 T10:T13 X10:X13 Z10:Z13 AD10:AD13 AF10:AF13 AJ10:AJ13 AL10:AL13 AP10:AP13 AR10:AR13 AV10:AV13 AX10:AX13 BB10:BB13 BD10:BD13 BH10:BH13 BJ10:BJ13 BN10:BN13 BP10:BP13 BT10:BT13 BV10:BV13 BZ10:BZ13 CB10:CB13 CF10:CF13 CH10:CH13 CL10:CL13 CN10:CN13 CR10:CR13 CT10:CT13 CX10:CX13 CZ10:CZ13 DD10:DD13 DF10:DF13">
    <cfRule type="cellIs" priority="4" operator="equal" dxfId="0">
      <formula>0</formula>
    </cfRule>
  </conditionalFormatting>
  <pageMargins left="0.25" right="0.25" top="0.75" bottom="0.75" header="0.3" footer="0.3"/>
  <pageSetup orientation="portrait" paperSize="9" scale="74" fitToHeight="0"/>
</worksheet>
</file>

<file path=xl/worksheets/sheet19.xml><?xml version="1.0" encoding="utf-8"?>
<worksheet xmlns="http://schemas.openxmlformats.org/spreadsheetml/2006/main">
  <sheetPr codeName="Лист20">
    <tabColor theme="8" tint="0.5999938962981048"/>
    <outlinePr summaryBelow="1" summaryRight="1"/>
    <pageSetUpPr fitToPage="1"/>
  </sheetPr>
  <dimension ref="A3:J101"/>
  <sheetViews>
    <sheetView topLeftCell="C1" zoomScale="60" zoomScaleNormal="60" zoomScaleSheetLayoutView="55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25" defaultRowHeight="18.75"/>
  <cols>
    <col hidden="1" outlineLevel="1" width="89" customWidth="1" style="795" min="1" max="1"/>
    <col hidden="1" outlineLevel="1" width="16.7109375" customWidth="1" style="795" min="2" max="2"/>
    <col collapsed="1" width="18.140625" customWidth="1" style="368" min="3" max="3"/>
    <col width="95.5703125" customWidth="1" style="795" min="4" max="4"/>
    <col outlineLevel="1" width="26.42578125" customWidth="1" style="795" min="5" max="9"/>
    <col width="14" bestFit="1" customWidth="1" style="869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5" customHeight="1" s="769"/>
    <row r="2" ht="15" customHeight="1" s="769"/>
    <row r="3" ht="20.25" customHeight="1" s="769">
      <c r="C3" s="960" t="inlineStr">
        <is>
          <t>Прогнозные показатели по переработке сырья и производству продукции ООО "Востокгазпром"</t>
        </is>
      </c>
    </row>
    <row r="4" ht="19.5" customHeight="1" s="769"/>
    <row r="5" ht="19.5" customHeight="1" s="769">
      <c r="B5" s="343" t="n"/>
      <c r="C5" s="363" t="inlineStr">
        <is>
          <t>16. ООО "Востокгазпром"</t>
        </is>
      </c>
      <c r="J5" s="950" t="n"/>
    </row>
    <row r="6" ht="20.1" customHeight="1" s="769">
      <c r="B6" s="899" t="inlineStr">
        <is>
          <t>код</t>
        </is>
      </c>
      <c r="C6" s="837" t="inlineStr">
        <is>
          <t>№ 
п/п</t>
        </is>
      </c>
      <c r="D6" s="790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70" t="inlineStr">
        <is>
          <t>Ед. изм.</t>
        </is>
      </c>
    </row>
    <row r="7" ht="39.95" customHeight="1" s="769">
      <c r="B7" s="899" t="n"/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A8" s="795" t="n">
        <v>1</v>
      </c>
      <c r="B8" s="899" t="n">
        <v>1</v>
      </c>
      <c r="C8" s="751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390" t="n"/>
      <c r="C9" s="866" t="n"/>
      <c r="D9" s="654" t="n"/>
      <c r="E9" s="869" t="n"/>
      <c r="F9" s="869" t="n"/>
      <c r="G9" s="869" t="n"/>
      <c r="H9" s="869" t="n"/>
      <c r="I9" s="869" t="n"/>
      <c r="J9" s="883" t="n"/>
    </row>
    <row r="10" ht="18.75" customHeight="1" s="769">
      <c r="A10" s="299" t="inlineStr">
        <is>
          <t>Переработка УВС, всего:</t>
        </is>
      </c>
      <c r="B10" s="390" t="n">
        <v>100336330</v>
      </c>
      <c r="C10" s="598" t="inlineStr">
        <is>
          <t>1.</t>
        </is>
      </c>
      <c r="D10" s="300" t="inlineStr">
        <is>
          <t>Переработка УВС, всего:</t>
        </is>
      </c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883" t="inlineStr">
        <is>
          <t>тыс.т.</t>
        </is>
      </c>
    </row>
    <row r="11" ht="18.75" customHeight="1" s="769">
      <c r="A11" s="301" t="inlineStr">
        <is>
          <t>Переработка УВС от добычи АО "Газпром добыча Томск" всего:</t>
        </is>
      </c>
      <c r="B11" s="390" t="n">
        <v>100336331</v>
      </c>
      <c r="C11" s="797" t="inlineStr">
        <is>
          <t>1.1</t>
        </is>
      </c>
      <c r="D11" s="302" t="inlineStr">
        <is>
          <t>Переработка УВС от добычи АО "Газпром добыча Томск" всего:</t>
        </is>
      </c>
      <c r="E11" s="528" t="inlineStr">
        <is>
          <t>100336331</t>
        </is>
      </c>
      <c r="F11" s="528" t="n"/>
      <c r="G11" s="529" t="n"/>
      <c r="H11" s="530" t="inlineStr">
        <is>
          <t>100332340+100330865+100336332</t>
        </is>
      </c>
      <c r="I11" s="530" t="n"/>
      <c r="J11" s="654" t="inlineStr">
        <is>
          <t>тыс.т.</t>
        </is>
      </c>
    </row>
    <row r="12" ht="18.75" customHeight="1" s="769">
      <c r="A12" s="303" t="inlineStr">
        <is>
          <t>Попутный нефтяной газ</t>
        </is>
      </c>
      <c r="B12" s="390" t="n">
        <v>100332340</v>
      </c>
      <c r="C12" s="799" t="inlineStr">
        <is>
          <t>1.1.1</t>
        </is>
      </c>
      <c r="D12" s="801" t="inlineStr">
        <is>
          <t>Попутный нефтяной газ</t>
        </is>
      </c>
      <c r="E12" s="528" t="inlineStr">
        <is>
          <t>100332340</t>
        </is>
      </c>
      <c r="F12" s="528" t="n"/>
      <c r="G12" s="529" t="n"/>
      <c r="H12" s="530" t="inlineStr">
        <is>
          <t>100336360+100336358+100336345+100336336</t>
        </is>
      </c>
      <c r="I12" s="530" t="n"/>
      <c r="J12" s="654" t="inlineStr">
        <is>
          <t>тыс.т.</t>
        </is>
      </c>
    </row>
    <row r="13" ht="18.75" customHeight="1" s="769">
      <c r="A13" s="304" t="n"/>
      <c r="B13" s="390" t="n">
        <v>100330742</v>
      </c>
      <c r="C13" s="766" t="n"/>
      <c r="D13" s="766" t="n"/>
      <c r="E13" s="528" t="inlineStr">
        <is>
          <t>100330742</t>
        </is>
      </c>
      <c r="F13" s="528" t="n"/>
      <c r="G13" s="529" t="n"/>
      <c r="H13" s="530" t="inlineStr">
        <is>
          <t>100336361+100336359+100336346+100336337</t>
        </is>
      </c>
      <c r="I13" s="530" t="n"/>
      <c r="J13" s="939" t="inlineStr">
        <is>
          <t>млн куб.м</t>
        </is>
      </c>
    </row>
    <row r="14" ht="18.75" customHeight="1" s="769">
      <c r="A14" s="305" t="inlineStr">
        <is>
          <t>Нестабильный газовый конденсат</t>
        </is>
      </c>
      <c r="B14" s="390" t="n">
        <v>100330865</v>
      </c>
      <c r="C14" s="799" t="inlineStr">
        <is>
          <t>1.1.2</t>
        </is>
      </c>
      <c r="D14" s="801" t="inlineStr">
        <is>
          <t>Нестабильный газовый конденсат</t>
        </is>
      </c>
      <c r="E14" s="528" t="inlineStr">
        <is>
          <t>100330865</t>
        </is>
      </c>
      <c r="F14" s="528" t="n"/>
      <c r="G14" s="529" t="n"/>
      <c r="H14" s="530" t="inlineStr">
        <is>
          <t>100330746+100336343+100336356+100336335</t>
        </is>
      </c>
      <c r="I14" s="530" t="n"/>
      <c r="J14" s="654" t="inlineStr">
        <is>
          <t>тыс.т.</t>
        </is>
      </c>
    </row>
    <row r="15" ht="18.75" customHeight="1" s="769">
      <c r="A15" s="306" t="inlineStr">
        <is>
          <t>в т.ч. нефть из ПНГ</t>
        </is>
      </c>
      <c r="B15" s="390" t="n">
        <v>100336333</v>
      </c>
      <c r="C15" s="799" t="n"/>
      <c r="D15" s="195" t="inlineStr">
        <is>
          <t>в т.ч. нестабильный газовый конденсат из СОГ</t>
        </is>
      </c>
      <c r="E15" s="528" t="inlineStr">
        <is>
          <t>100337098</t>
        </is>
      </c>
      <c r="F15" s="528" t="n"/>
      <c r="G15" s="529" t="n"/>
      <c r="H15" s="530" t="n"/>
      <c r="I15" s="530" t="n"/>
      <c r="J15" s="654" t="inlineStr">
        <is>
          <t>тыс.т.</t>
        </is>
      </c>
    </row>
    <row r="16" ht="18.75" customHeight="1" s="769">
      <c r="A16" s="305" t="inlineStr">
        <is>
          <t>Нефть</t>
        </is>
      </c>
      <c r="B16" s="390" t="n">
        <v>100336332</v>
      </c>
      <c r="C16" s="799" t="inlineStr">
        <is>
          <t>1.1.3</t>
        </is>
      </c>
      <c r="D16" s="801" t="inlineStr">
        <is>
          <t>Нефть</t>
        </is>
      </c>
      <c r="E16" s="528" t="inlineStr">
        <is>
          <t>100336332</t>
        </is>
      </c>
      <c r="F16" s="528" t="n"/>
      <c r="G16" s="529" t="n"/>
      <c r="H16" s="530" t="n"/>
      <c r="I16" s="530" t="n"/>
      <c r="J16" s="654" t="inlineStr">
        <is>
          <t>тыс.т.</t>
        </is>
      </c>
    </row>
    <row r="17" ht="18.75" customHeight="1" s="769">
      <c r="A17" s="306" t="inlineStr">
        <is>
          <t>в т.ч. нефть из ПНГ</t>
        </is>
      </c>
      <c r="B17" s="390" t="n">
        <v>100336333</v>
      </c>
      <c r="C17" s="799" t="n"/>
      <c r="D17" s="195" t="inlineStr">
        <is>
          <t>в т.ч. нефть из ПНГ</t>
        </is>
      </c>
      <c r="E17" s="528" t="inlineStr">
        <is>
          <t>100336333</t>
        </is>
      </c>
      <c r="F17" s="528" t="n"/>
      <c r="G17" s="529" t="n"/>
      <c r="H17" s="530" t="n"/>
      <c r="I17" s="530" t="n"/>
      <c r="J17" s="654" t="inlineStr">
        <is>
          <t>тыс.т.</t>
        </is>
      </c>
    </row>
    <row r="18" ht="18.75" customHeight="1" s="769">
      <c r="A18" s="307" t="inlineStr">
        <is>
          <t>Справочно: СОГ на доппереработку с Казанского НГКМ на Мыльджинское НГКМ</t>
        </is>
      </c>
      <c r="B18" s="390" t="n">
        <v>100336369</v>
      </c>
      <c r="C18" s="799" t="n"/>
      <c r="D18" s="892" t="inlineStr">
        <is>
          <t>Справочно: СОГ на доппереработку с Казанского НГКМ на Мыльджинское НГКМ</t>
        </is>
      </c>
      <c r="E18" s="528" t="inlineStr">
        <is>
          <t>100336369</t>
        </is>
      </c>
      <c r="F18" s="528" t="n"/>
      <c r="G18" s="529" t="n"/>
      <c r="H18" s="530" t="n"/>
      <c r="I18" s="530" t="n"/>
      <c r="J18" s="32" t="inlineStr">
        <is>
          <t>тыс.т.</t>
        </is>
      </c>
    </row>
    <row r="19" ht="18.75" customHeight="1" s="769">
      <c r="A19" s="308" t="n"/>
      <c r="B19" s="390" t="n">
        <v>100336370</v>
      </c>
      <c r="C19" s="799" t="n"/>
      <c r="D19" s="766" t="n"/>
      <c r="E19" s="528" t="inlineStr">
        <is>
          <t>100336370</t>
        </is>
      </c>
      <c r="F19" s="528" t="n"/>
      <c r="G19" s="529" t="n"/>
      <c r="H19" s="530" t="n"/>
      <c r="I19" s="530" t="n"/>
      <c r="J19" s="961" t="inlineStr">
        <is>
          <t>млн куб.м</t>
        </is>
      </c>
    </row>
    <row r="20" ht="18.75" customHeight="1" s="769">
      <c r="A20" s="309" t="inlineStr">
        <is>
          <t>Покупка сырья  ПАО "Газпром нефть"</t>
        </is>
      </c>
      <c r="B20" s="390" t="n">
        <v>100332993</v>
      </c>
      <c r="C20" s="797" t="inlineStr">
        <is>
          <t>1.2</t>
        </is>
      </c>
      <c r="D20" s="867" t="inlineStr">
        <is>
          <t>Покупка сырья  ПАО "Газпром нефть"</t>
        </is>
      </c>
      <c r="E20" s="528" t="inlineStr">
        <is>
          <t>100332993</t>
        </is>
      </c>
      <c r="F20" s="528" t="n"/>
      <c r="G20" s="529" t="n"/>
      <c r="H20" s="530" t="inlineStr">
        <is>
          <t>100336365</t>
        </is>
      </c>
      <c r="I20" s="530" t="n"/>
      <c r="J20" s="654" t="inlineStr">
        <is>
          <t>тыс.т.</t>
        </is>
      </c>
    </row>
    <row r="21" ht="18.75" customHeight="1" s="769">
      <c r="A21" s="310" t="n"/>
      <c r="B21" s="390" t="n">
        <v>100332994</v>
      </c>
      <c r="C21" s="766" t="n"/>
      <c r="D21" s="766" t="n"/>
      <c r="E21" s="528" t="inlineStr">
        <is>
          <t>100332994</t>
        </is>
      </c>
      <c r="F21" s="528" t="n"/>
      <c r="G21" s="529" t="n"/>
      <c r="H21" s="530" t="inlineStr">
        <is>
          <t>100336366</t>
        </is>
      </c>
      <c r="I21" s="530" t="n"/>
      <c r="J21" s="939" t="inlineStr">
        <is>
          <t>млн куб.м</t>
        </is>
      </c>
    </row>
    <row r="22" ht="18.75" customHeight="1" s="769">
      <c r="A22" s="303" t="inlineStr">
        <is>
          <t>Попутный нефтяной газ</t>
        </is>
      </c>
      <c r="B22" s="390" t="n">
        <v>100336365</v>
      </c>
      <c r="C22" s="799" t="inlineStr">
        <is>
          <t>1.2.1</t>
        </is>
      </c>
      <c r="D22" s="801" t="inlineStr">
        <is>
          <t>Попутный нефтяной газ</t>
        </is>
      </c>
      <c r="E22" s="528" t="inlineStr">
        <is>
          <t>100336365</t>
        </is>
      </c>
      <c r="F22" s="528" t="n"/>
      <c r="G22" s="529" t="n"/>
      <c r="H22" s="530" t="inlineStr">
        <is>
          <t>100332995+100332997+100333001+100333003</t>
        </is>
      </c>
      <c r="I22" s="530" t="n"/>
      <c r="J22" s="654" t="inlineStr">
        <is>
          <t>тыс.т.</t>
        </is>
      </c>
    </row>
    <row r="23" ht="18.75" customHeight="1" s="769">
      <c r="A23" s="304" t="n"/>
      <c r="B23" s="390" t="n">
        <v>100336366</v>
      </c>
      <c r="C23" s="766" t="n"/>
      <c r="D23" s="766" t="n"/>
      <c r="E23" s="528" t="inlineStr">
        <is>
          <t>100336366</t>
        </is>
      </c>
      <c r="F23" s="528" t="n"/>
      <c r="G23" s="529" t="n"/>
      <c r="H23" s="530" t="n"/>
      <c r="I23" s="530" t="n"/>
      <c r="J23" s="939" t="inlineStr">
        <is>
          <t>млн куб.м</t>
        </is>
      </c>
    </row>
    <row r="24" ht="18.75" customHeight="1" s="769">
      <c r="A24" s="309" t="inlineStr">
        <is>
          <t>Прием сырья на процессинг от ПАО "Газпром нефть"</t>
        </is>
      </c>
      <c r="B24" s="390" t="n">
        <v>100332341</v>
      </c>
      <c r="C24" s="797" t="inlineStr">
        <is>
          <t>1.3</t>
        </is>
      </c>
      <c r="D24" s="867" t="inlineStr">
        <is>
          <t>Прием сырья на процессинг от ПАО "Газпром нефть"</t>
        </is>
      </c>
      <c r="E24" s="528" t="inlineStr">
        <is>
          <t>100332341</t>
        </is>
      </c>
      <c r="F24" s="528" t="n"/>
      <c r="G24" s="529" t="n"/>
      <c r="H24" s="530" t="inlineStr">
        <is>
          <t>100336367</t>
        </is>
      </c>
      <c r="I24" s="530" t="n"/>
      <c r="J24" s="654" t="inlineStr">
        <is>
          <t>тыс.т.</t>
        </is>
      </c>
    </row>
    <row r="25" ht="18.75" customHeight="1" s="769">
      <c r="A25" s="310" t="n"/>
      <c r="B25" s="390" t="n">
        <v>100330743</v>
      </c>
      <c r="C25" s="766" t="n"/>
      <c r="D25" s="766" t="n"/>
      <c r="E25" s="528" t="inlineStr">
        <is>
          <t>100330743</t>
        </is>
      </c>
      <c r="F25" s="528" t="n"/>
      <c r="G25" s="529" t="n"/>
      <c r="H25" s="530" t="inlineStr">
        <is>
          <t>100336368</t>
        </is>
      </c>
      <c r="I25" s="530" t="n"/>
      <c r="J25" s="939" t="inlineStr">
        <is>
          <t>млн куб.м</t>
        </is>
      </c>
    </row>
    <row r="26" ht="18.75" customHeight="1" s="769">
      <c r="A26" s="303" t="inlineStr">
        <is>
          <t>Попутный нефтяной газ</t>
        </is>
      </c>
      <c r="B26" s="390" t="n">
        <v>100336367</v>
      </c>
      <c r="C26" s="799" t="inlineStr">
        <is>
          <t>1.3.1</t>
        </is>
      </c>
      <c r="D26" s="801" t="inlineStr">
        <is>
          <t>Попутный нефтяной газ</t>
        </is>
      </c>
      <c r="E26" s="528" t="inlineStr">
        <is>
          <t>100336367</t>
        </is>
      </c>
      <c r="F26" s="528" t="n"/>
      <c r="G26" s="529" t="n"/>
      <c r="H26" s="530" t="inlineStr">
        <is>
          <t>100332899+100332902+100332936+100332418</t>
        </is>
      </c>
      <c r="I26" s="530" t="n"/>
      <c r="J26" s="654" t="inlineStr">
        <is>
          <t>тыс.т.</t>
        </is>
      </c>
    </row>
    <row r="27" ht="18.75" customHeight="1" s="769">
      <c r="A27" s="304" t="n"/>
      <c r="B27" s="390" t="n">
        <v>100336368</v>
      </c>
      <c r="C27" s="766" t="n"/>
      <c r="D27" s="766" t="n"/>
      <c r="E27" s="528" t="inlineStr">
        <is>
          <t>100336368</t>
        </is>
      </c>
      <c r="F27" s="528" t="n"/>
      <c r="G27" s="529" t="n"/>
      <c r="H27" s="530" t="n"/>
      <c r="I27" s="530" t="n"/>
      <c r="J27" s="939" t="inlineStr">
        <is>
          <t>млн куб.м</t>
        </is>
      </c>
    </row>
    <row r="28" ht="18.75" customHeight="1" s="769">
      <c r="A28" s="299" t="inlineStr">
        <is>
          <t>Технологические нужды</t>
        </is>
      </c>
      <c r="B28" s="390" t="n">
        <v>100336334</v>
      </c>
      <c r="C28" s="797" t="inlineStr">
        <is>
          <t>2</t>
        </is>
      </c>
      <c r="D28" s="859" t="inlineStr">
        <is>
          <t>Технологические нужды</t>
        </is>
      </c>
      <c r="E28" s="528" t="inlineStr">
        <is>
          <t>100336334</t>
        </is>
      </c>
      <c r="F28" s="528" t="n"/>
      <c r="G28" s="529" t="n"/>
      <c r="H28" s="530" t="inlineStr">
        <is>
          <t>100336335+100336336</t>
        </is>
      </c>
      <c r="I28" s="530" t="n"/>
      <c r="J28" s="883" t="inlineStr">
        <is>
          <t>тыс.т.</t>
        </is>
      </c>
    </row>
    <row r="29" ht="18.75" customHeight="1" s="769">
      <c r="A29" s="305" t="inlineStr">
        <is>
          <t>Потери</t>
        </is>
      </c>
      <c r="B29" s="390" t="n">
        <v>100336335</v>
      </c>
      <c r="C29" s="799" t="inlineStr">
        <is>
          <t>2.1</t>
        </is>
      </c>
      <c r="D29" s="890" t="inlineStr">
        <is>
          <t>Потери</t>
        </is>
      </c>
      <c r="E29" s="528" t="inlineStr">
        <is>
          <t>100336335</t>
        </is>
      </c>
      <c r="F29" s="528" t="n"/>
      <c r="G29" s="529" t="n"/>
      <c r="H29" s="530" t="n"/>
      <c r="I29" s="530" t="n"/>
      <c r="J29" s="654" t="inlineStr">
        <is>
          <t>тыс.т.</t>
        </is>
      </c>
    </row>
    <row r="30" ht="18.75" customHeight="1" s="769">
      <c r="A30" s="303" t="inlineStr">
        <is>
          <t>СТН газа</t>
        </is>
      </c>
      <c r="B30" s="390" t="n">
        <v>100336336</v>
      </c>
      <c r="C30" s="799" t="inlineStr">
        <is>
          <t>2.2</t>
        </is>
      </c>
      <c r="D30" s="890" t="inlineStr">
        <is>
          <t>СТН газа</t>
        </is>
      </c>
      <c r="E30" s="528" t="inlineStr">
        <is>
          <t>100336336</t>
        </is>
      </c>
      <c r="F30" s="528" t="n"/>
      <c r="G30" s="529" t="n"/>
      <c r="H30" s="530" t="n"/>
      <c r="I30" s="530" t="n"/>
      <c r="J30" s="654" t="inlineStr">
        <is>
          <t>тыс.т.</t>
        </is>
      </c>
    </row>
    <row r="31" ht="18.75" customHeight="1" s="769">
      <c r="A31" s="304" t="n"/>
      <c r="B31" s="390" t="n">
        <v>100336337</v>
      </c>
      <c r="C31" s="766" t="n"/>
      <c r="D31" s="766" t="n"/>
      <c r="E31" s="528" t="inlineStr">
        <is>
          <t>100336337</t>
        </is>
      </c>
      <c r="F31" s="528" t="n"/>
      <c r="G31" s="529" t="n"/>
      <c r="H31" s="530" t="n"/>
      <c r="I31" s="530" t="n"/>
      <c r="J31" s="939" t="inlineStr">
        <is>
          <t>млн куб.м</t>
        </is>
      </c>
    </row>
    <row r="32" ht="18.75" customHeight="1" s="769">
      <c r="A32" s="299" t="inlineStr">
        <is>
          <t>Производство продукции, всего:</t>
        </is>
      </c>
      <c r="B32" s="390" t="n">
        <v>100330049</v>
      </c>
      <c r="C32" s="396" t="n">
        <v>3</v>
      </c>
      <c r="D32" s="859" t="inlineStr">
        <is>
          <t>Производство продукции, всего:</t>
        </is>
      </c>
      <c r="E32" s="528" t="inlineStr">
        <is>
          <t>100330049</t>
        </is>
      </c>
      <c r="F32" s="528" t="n"/>
      <c r="G32" s="529" t="n"/>
      <c r="H32" s="530" t="inlineStr">
        <is>
          <t>100330745+100332901+100330749+100332342</t>
        </is>
      </c>
      <c r="I32" s="530" t="n"/>
      <c r="J32" s="883" t="inlineStr">
        <is>
          <t>тыс.т.</t>
        </is>
      </c>
    </row>
    <row r="33" ht="18.75" customHeight="1" s="769">
      <c r="A33" s="301" t="inlineStr">
        <is>
          <t>Стабильный конденсат и нефть, всего:</t>
        </is>
      </c>
      <c r="B33" s="390" t="n">
        <v>100330745</v>
      </c>
      <c r="C33" s="797" t="inlineStr">
        <is>
          <t>3.1</t>
        </is>
      </c>
      <c r="D33" s="867" t="inlineStr">
        <is>
          <t>Стабильный конденсат и нефть, всего:</t>
        </is>
      </c>
      <c r="E33" s="528" t="inlineStr">
        <is>
          <t>100330745</t>
        </is>
      </c>
      <c r="F33" s="528" t="n"/>
      <c r="G33" s="529" t="n"/>
      <c r="H33" s="530" t="inlineStr">
        <is>
          <t>100336338+100330746+100332899+100332995</t>
        </is>
      </c>
      <c r="I33" s="530" t="n"/>
      <c r="J33" s="883" t="inlineStr">
        <is>
          <t>тыс.т.</t>
        </is>
      </c>
    </row>
    <row r="34" ht="18.75" customHeight="1" s="769">
      <c r="A34" s="305" t="inlineStr">
        <is>
          <t xml:space="preserve">   в т.ч. нефть  АО "Газпром добыча Томск"</t>
        </is>
      </c>
      <c r="B34" s="390" t="n">
        <v>100336338</v>
      </c>
      <c r="C34" s="799" t="inlineStr">
        <is>
          <t>3.1.1</t>
        </is>
      </c>
      <c r="D34" s="801" t="inlineStr">
        <is>
          <t>в т.ч. нефть  АО "Газпром добыча Томск"</t>
        </is>
      </c>
      <c r="E34" s="528" t="inlineStr">
        <is>
          <t>100336338</t>
        </is>
      </c>
      <c r="F34" s="528" t="n"/>
      <c r="G34" s="529" t="n"/>
      <c r="H34" s="530" t="inlineStr">
        <is>
          <t>100336339</t>
        </is>
      </c>
      <c r="I34" s="530" t="n"/>
      <c r="J34" s="647" t="inlineStr">
        <is>
          <t>тыс.т.</t>
        </is>
      </c>
    </row>
    <row r="35" ht="18.75" customHeight="1" s="769">
      <c r="A35" s="305" t="inlineStr">
        <is>
          <t xml:space="preserve">   в т.ч. стабильный конденсат из сырья Газпром добыча Томск</t>
        </is>
      </c>
      <c r="B35" s="390" t="n">
        <v>100330746</v>
      </c>
      <c r="C35" s="799" t="inlineStr">
        <is>
          <t>3.1.2</t>
        </is>
      </c>
      <c r="D35" s="801" t="inlineStr">
        <is>
          <t>в т.ч. стабильный конденсат из сырья Газпром добыча Томск</t>
        </is>
      </c>
      <c r="E35" s="528" t="inlineStr">
        <is>
          <t>100330746</t>
        </is>
      </c>
      <c r="F35" s="528" t="n"/>
      <c r="G35" s="529" t="n"/>
      <c r="H35" s="530" t="inlineStr">
        <is>
          <t>100336340</t>
        </is>
      </c>
      <c r="I35" s="530" t="n"/>
      <c r="J35" s="647" t="inlineStr">
        <is>
          <t>тыс.т.</t>
        </is>
      </c>
    </row>
    <row r="36" ht="18.75" customHeight="1" s="769">
      <c r="A36" s="305" t="inlineStr">
        <is>
          <t xml:space="preserve">   в т.ч. из сырья ПАО "Газпром нефть" (покупка газа)</t>
        </is>
      </c>
      <c r="B36" s="390" t="n">
        <v>100332899</v>
      </c>
      <c r="C36" s="799" t="inlineStr">
        <is>
          <t>3.1.3</t>
        </is>
      </c>
      <c r="D36" s="801" t="inlineStr">
        <is>
          <t>в т.ч. из сырья ПАО "Газпром нефть" (покупка газа)</t>
        </is>
      </c>
      <c r="E36" s="528" t="inlineStr">
        <is>
          <t>100332995</t>
        </is>
      </c>
      <c r="F36" s="528" t="n"/>
      <c r="G36" s="529" t="n"/>
      <c r="H36" s="530" t="inlineStr">
        <is>
          <t>100332996</t>
        </is>
      </c>
      <c r="I36" s="530" t="n"/>
      <c r="J36" s="647" t="inlineStr">
        <is>
          <t>тыс.т.</t>
        </is>
      </c>
    </row>
    <row r="37" ht="18.75" customHeight="1" s="769">
      <c r="A37" s="305" t="inlineStr">
        <is>
          <t xml:space="preserve">   в т.ч. из сырья ПАО "Газпром нефть" (переработка газа)</t>
        </is>
      </c>
      <c r="B37" s="390" t="n">
        <v>100332995</v>
      </c>
      <c r="C37" s="799" t="inlineStr">
        <is>
          <t>3.1.4</t>
        </is>
      </c>
      <c r="D37" s="801" t="inlineStr">
        <is>
          <t>в т.ч. из сырья ПАО "Газпром нефть" (переработка газа)</t>
        </is>
      </c>
      <c r="E37" s="528" t="inlineStr">
        <is>
          <t>100332899</t>
        </is>
      </c>
      <c r="F37" s="528" t="n"/>
      <c r="G37" s="529" t="n"/>
      <c r="H37" s="530" t="inlineStr">
        <is>
          <t>100332900</t>
        </is>
      </c>
      <c r="I37" s="530" t="n"/>
      <c r="J37" s="647" t="inlineStr">
        <is>
          <t>тыс.т.</t>
        </is>
      </c>
    </row>
    <row r="38" ht="18.75" customHeight="1" s="769">
      <c r="A38" s="301" t="inlineStr">
        <is>
          <t>Стабильный конденсат и нефть, товарные</t>
        </is>
      </c>
      <c r="B38" s="390" t="n">
        <v>100330747</v>
      </c>
      <c r="C38" s="797" t="inlineStr">
        <is>
          <t>3.2</t>
        </is>
      </c>
      <c r="D38" s="311" t="inlineStr">
        <is>
          <t>Стабильный конденсат и нефть, товарные (собст. АО "Газпром добыча Томск")</t>
        </is>
      </c>
      <c r="E38" s="528" t="inlineStr">
        <is>
          <t>100330747</t>
        </is>
      </c>
      <c r="F38" s="528" t="n"/>
      <c r="G38" s="529" t="n"/>
      <c r="H38" s="530" t="inlineStr">
        <is>
          <t>100336339+100336340+100332900+100332996</t>
        </is>
      </c>
      <c r="I38" s="530" t="n"/>
      <c r="J38" s="647" t="inlineStr">
        <is>
          <t>тыс.т.</t>
        </is>
      </c>
    </row>
    <row r="39" ht="18.75" customHeight="1" s="769">
      <c r="A39" s="305" t="inlineStr">
        <is>
          <t xml:space="preserve">   в т.ч. нефть  АО "Газпром добыча Томск"</t>
        </is>
      </c>
      <c r="B39" s="390" t="n">
        <v>100336339</v>
      </c>
      <c r="C39" s="799" t="inlineStr">
        <is>
          <t>3.2.1</t>
        </is>
      </c>
      <c r="D39" s="787" t="inlineStr">
        <is>
          <t xml:space="preserve">   в т.ч. нефть  АО "Газпром добыча Томск"</t>
        </is>
      </c>
      <c r="E39" s="528" t="inlineStr">
        <is>
          <t>100336339</t>
        </is>
      </c>
      <c r="F39" s="528" t="n"/>
      <c r="G39" s="529" t="n"/>
      <c r="H39" s="530" t="inlineStr">
        <is>
          <t>100336332</t>
        </is>
      </c>
      <c r="I39" s="530" t="n"/>
      <c r="J39" s="647" t="inlineStr">
        <is>
          <t>тыс.т.</t>
        </is>
      </c>
    </row>
    <row r="40" ht="18.75" customHeight="1" s="769">
      <c r="A40" s="305" t="inlineStr">
        <is>
          <t xml:space="preserve">   в т.ч. стабильный конденсат из сырья АО "Газпром добыча Томск"</t>
        </is>
      </c>
      <c r="B40" s="390" t="n">
        <v>100336340</v>
      </c>
      <c r="C40" s="799" t="inlineStr">
        <is>
          <t>3.2.2</t>
        </is>
      </c>
      <c r="D40" s="787" t="inlineStr">
        <is>
          <t xml:space="preserve">   в т.ч. стабильный конденсат из сырья АО "Газпром добыча Томск"</t>
        </is>
      </c>
      <c r="E40" s="528" t="inlineStr">
        <is>
          <t>100336340</t>
        </is>
      </c>
      <c r="F40" s="528" t="n"/>
      <c r="G40" s="529" t="n"/>
      <c r="H40" s="530" t="n"/>
      <c r="I40" s="530" t="n"/>
      <c r="J40" s="647" t="inlineStr">
        <is>
          <t>тыс.т.</t>
        </is>
      </c>
    </row>
    <row r="41" ht="18.75" customHeight="1" s="769">
      <c r="A41" s="305" t="inlineStr">
        <is>
          <t xml:space="preserve">   в т.ч. из сырья ПАО "Газпром нефть" (покупка газа)</t>
        </is>
      </c>
      <c r="B41" s="390" t="n">
        <v>100332900</v>
      </c>
      <c r="C41" s="799" t="inlineStr">
        <is>
          <t>3.2.3</t>
        </is>
      </c>
      <c r="D41" s="801" t="inlineStr">
        <is>
          <t>в т.ч. из сырья ПАО "Газпром нефть" (покупка газа)</t>
        </is>
      </c>
      <c r="E41" s="528" t="inlineStr">
        <is>
          <t>100332996</t>
        </is>
      </c>
      <c r="F41" s="528" t="n"/>
      <c r="G41" s="529" t="n"/>
      <c r="H41" s="530" t="n"/>
      <c r="I41" s="530" t="n"/>
      <c r="J41" s="647" t="inlineStr">
        <is>
          <t>тыс.т.</t>
        </is>
      </c>
    </row>
    <row r="42" ht="18.75" customHeight="1" s="769">
      <c r="A42" s="305" t="inlineStr">
        <is>
          <t xml:space="preserve">   в т.ч. из сырья ПАО "Газпром нефть" (переработка газа)</t>
        </is>
      </c>
      <c r="B42" s="390" t="n">
        <v>100332996</v>
      </c>
      <c r="C42" s="799" t="inlineStr">
        <is>
          <t>3.2.4</t>
        </is>
      </c>
      <c r="D42" s="801" t="inlineStr">
        <is>
          <t>в т.ч. из сырья ПАО "Газпром нефть" (переработка газа)</t>
        </is>
      </c>
      <c r="E42" s="528" t="inlineStr">
        <is>
          <t>100332900</t>
        </is>
      </c>
      <c r="F42" s="528" t="n"/>
      <c r="G42" s="529" t="n"/>
      <c r="H42" s="530" t="n"/>
      <c r="I42" s="530" t="n"/>
      <c r="J42" s="647" t="inlineStr">
        <is>
          <t>тыс.т.</t>
        </is>
      </c>
    </row>
    <row r="43" ht="18.75" customHeight="1" s="769">
      <c r="A43" s="309" t="inlineStr">
        <is>
          <t>ШФЛУ валовая</t>
        </is>
      </c>
      <c r="B43" s="390" t="n">
        <v>100332901</v>
      </c>
      <c r="C43" s="797" t="inlineStr">
        <is>
          <t>3.3</t>
        </is>
      </c>
      <c r="D43" s="867" t="inlineStr">
        <is>
          <t xml:space="preserve">ШФЛУ валовая </t>
        </is>
      </c>
      <c r="E43" s="528" t="inlineStr">
        <is>
          <t>100332901</t>
        </is>
      </c>
      <c r="F43" s="528" t="n"/>
      <c r="G43" s="529" t="n"/>
      <c r="H43" s="530" t="inlineStr">
        <is>
          <t>100332904+100336353+100330748+100336362-100336363</t>
        </is>
      </c>
      <c r="I43" s="530" t="n"/>
      <c r="J43" s="396" t="inlineStr">
        <is>
          <t>тыс.т.</t>
        </is>
      </c>
    </row>
    <row r="44" ht="18.75" customHeight="1" s="769">
      <c r="A44" s="310" t="n"/>
      <c r="B44" s="390" t="n">
        <v>100336342</v>
      </c>
      <c r="C44" s="766" t="n"/>
      <c r="D44" s="766" t="n"/>
      <c r="E44" s="528" t="inlineStr">
        <is>
          <t>100336342</t>
        </is>
      </c>
      <c r="F44" s="528" t="n"/>
      <c r="G44" s="529" t="n"/>
      <c r="H44" s="530" t="inlineStr">
        <is>
          <t>100336344+100336346+100336347+100336348</t>
        </is>
      </c>
      <c r="I44" s="530" t="n"/>
      <c r="J44" s="938" t="inlineStr">
        <is>
          <t>млн куб.м</t>
        </is>
      </c>
    </row>
    <row r="45" ht="18.75" customHeight="1" s="769">
      <c r="A45" s="303" t="inlineStr">
        <is>
          <t xml:space="preserve">   в т.ч. из НГК</t>
        </is>
      </c>
      <c r="B45" s="390" t="n">
        <v>100336343</v>
      </c>
      <c r="C45" s="799" t="inlineStr">
        <is>
          <t>3.3.1</t>
        </is>
      </c>
      <c r="D45" s="890" t="inlineStr">
        <is>
          <t xml:space="preserve">   в т.ч. из НГК</t>
        </is>
      </c>
      <c r="E45" s="528" t="inlineStr">
        <is>
          <t>100336343</t>
        </is>
      </c>
      <c r="F45" s="528" t="n"/>
      <c r="G45" s="529" t="n"/>
      <c r="H45" s="530" t="n"/>
      <c r="I45" s="530" t="n"/>
      <c r="J45" s="643" t="inlineStr">
        <is>
          <t>тыс.т.</t>
        </is>
      </c>
    </row>
    <row r="46" ht="18.75" customHeight="1" s="769">
      <c r="A46" s="304" t="n"/>
      <c r="B46" s="390" t="n">
        <v>100336344</v>
      </c>
      <c r="C46" s="766" t="n"/>
      <c r="D46" s="766" t="n"/>
      <c r="E46" s="528" t="inlineStr">
        <is>
          <t>100336344</t>
        </is>
      </c>
      <c r="F46" s="528" t="n"/>
      <c r="G46" s="529" t="n"/>
      <c r="H46" s="530" t="n"/>
      <c r="I46" s="530" t="n"/>
      <c r="J46" s="939" t="inlineStr">
        <is>
          <t>млн куб.м</t>
        </is>
      </c>
    </row>
    <row r="47" ht="18.75" customHeight="1" s="769">
      <c r="A47" s="303" t="inlineStr">
        <is>
          <t xml:space="preserve">   в т.ч. из ПНГ</t>
        </is>
      </c>
      <c r="B47" s="390" t="n">
        <v>100336345</v>
      </c>
      <c r="C47" s="799" t="inlineStr">
        <is>
          <t>3.3.2</t>
        </is>
      </c>
      <c r="D47" s="890" t="inlineStr">
        <is>
          <t xml:space="preserve">   в т.ч. из ПНГ</t>
        </is>
      </c>
      <c r="E47" s="528" t="inlineStr">
        <is>
          <t>100336345</t>
        </is>
      </c>
      <c r="F47" s="528" t="n"/>
      <c r="G47" s="529" t="n"/>
      <c r="H47" s="530" t="n"/>
      <c r="I47" s="530" t="n"/>
      <c r="J47" s="643" t="inlineStr">
        <is>
          <t>тыс.т.</t>
        </is>
      </c>
    </row>
    <row r="48" ht="18.75" customHeight="1" s="769">
      <c r="A48" s="304" t="n"/>
      <c r="B48" s="390" t="n">
        <v>100336346</v>
      </c>
      <c r="C48" s="766" t="n"/>
      <c r="D48" s="766" t="n"/>
      <c r="E48" s="528" t="inlineStr">
        <is>
          <t>100336346</t>
        </is>
      </c>
      <c r="F48" s="528" t="n"/>
      <c r="G48" s="529" t="n"/>
      <c r="H48" s="530" t="n"/>
      <c r="I48" s="530" t="n"/>
      <c r="J48" s="939" t="inlineStr">
        <is>
          <t>млн куб.м</t>
        </is>
      </c>
    </row>
    <row r="49" ht="18.75" customHeight="1" s="769">
      <c r="A49" s="303" t="inlineStr">
        <is>
          <t xml:space="preserve">   в т.ч. из сырья ПАО "Газпром нефть" (покупка газа)</t>
        </is>
      </c>
      <c r="B49" s="390" t="n">
        <v>100332902</v>
      </c>
      <c r="C49" s="799" t="inlineStr">
        <is>
          <t>3.3.3</t>
        </is>
      </c>
      <c r="D49" s="801" t="inlineStr">
        <is>
          <t>в т.ч. из сырья ПАО "Газпром нефть" (покупка газа)</t>
        </is>
      </c>
      <c r="E49" s="528" t="inlineStr">
        <is>
          <t>100332997</t>
        </is>
      </c>
      <c r="F49" s="528" t="n"/>
      <c r="G49" s="529" t="n"/>
      <c r="H49" s="530" t="n"/>
      <c r="I49" s="530" t="n"/>
      <c r="J49" s="643" t="inlineStr">
        <is>
          <t>тыс.т.</t>
        </is>
      </c>
    </row>
    <row r="50" ht="18.75" customHeight="1" s="769">
      <c r="A50" s="304" t="n"/>
      <c r="B50" s="390" t="n">
        <v>100336347</v>
      </c>
      <c r="C50" s="766" t="n"/>
      <c r="D50" s="766" t="n"/>
      <c r="E50" s="528" t="inlineStr">
        <is>
          <t>100336348</t>
        </is>
      </c>
      <c r="F50" s="528" t="n"/>
      <c r="G50" s="529" t="n"/>
      <c r="H50" s="530" t="n"/>
      <c r="I50" s="530" t="n"/>
      <c r="J50" s="939" t="inlineStr">
        <is>
          <t>млн куб.м</t>
        </is>
      </c>
    </row>
    <row r="51" ht="18.75" customHeight="1" s="769">
      <c r="A51" s="303" t="inlineStr">
        <is>
          <t xml:space="preserve">   в т.ч. из сырья ПАО "Газпром нефть" (переработка газа)</t>
        </is>
      </c>
      <c r="B51" s="390" t="n">
        <v>100332997</v>
      </c>
      <c r="C51" s="799" t="inlineStr">
        <is>
          <t>3.3.4</t>
        </is>
      </c>
      <c r="D51" s="801" t="inlineStr">
        <is>
          <t>в т.ч из сырья ПАО "Газпром нефть" (переработка газа)</t>
        </is>
      </c>
      <c r="E51" s="528" t="inlineStr">
        <is>
          <t>100332902</t>
        </is>
      </c>
      <c r="F51" s="528" t="n"/>
      <c r="G51" s="529" t="n"/>
      <c r="H51" s="530" t="n"/>
      <c r="I51" s="530" t="n"/>
      <c r="J51" s="643" t="inlineStr">
        <is>
          <t>тыс.т.</t>
        </is>
      </c>
    </row>
    <row r="52" ht="18.75" customHeight="1" s="769">
      <c r="A52" s="304" t="n"/>
      <c r="B52" s="390" t="n">
        <v>100336348</v>
      </c>
      <c r="C52" s="766" t="n"/>
      <c r="D52" s="766" t="n"/>
      <c r="E52" s="528" t="inlineStr">
        <is>
          <t>100336347</t>
        </is>
      </c>
      <c r="F52" s="528" t="n"/>
      <c r="G52" s="529" t="n"/>
      <c r="H52" s="530" t="n"/>
      <c r="I52" s="530" t="n"/>
      <c r="J52" s="939" t="inlineStr">
        <is>
          <t>млн куб.м</t>
        </is>
      </c>
    </row>
    <row r="53" ht="18.75" customHeight="1" s="769">
      <c r="A53" s="309" t="inlineStr">
        <is>
          <t>ШФЛУ, товарная в газопровод (собст. АО "Газпром добыча Томск")</t>
        </is>
      </c>
      <c r="B53" s="390" t="n">
        <v>100332904</v>
      </c>
      <c r="C53" s="797" t="inlineStr">
        <is>
          <t>3.4</t>
        </is>
      </c>
      <c r="D53" s="867" t="inlineStr">
        <is>
          <t>ШФЛУ, товарная в газопровод (собст. АО "Газпром добыча Томск")</t>
        </is>
      </c>
      <c r="E53" s="528" t="inlineStr">
        <is>
          <t>100332904</t>
        </is>
      </c>
      <c r="F53" s="528" t="n"/>
      <c r="G53" s="529" t="n"/>
      <c r="H53" s="530" t="inlineStr">
        <is>
          <t>100336349+100336351+100332934+100332999</t>
        </is>
      </c>
      <c r="I53" s="530" t="n"/>
      <c r="J53" s="396" t="inlineStr">
        <is>
          <t>тыс.т.</t>
        </is>
      </c>
    </row>
    <row r="54" ht="18.75" customHeight="1" s="769">
      <c r="A54" s="310" t="n"/>
      <c r="B54" s="390" t="n">
        <v>100332905</v>
      </c>
      <c r="C54" s="766" t="n"/>
      <c r="D54" s="766" t="n"/>
      <c r="E54" s="528" t="inlineStr">
        <is>
          <t>100332905</t>
        </is>
      </c>
      <c r="F54" s="528" t="n"/>
      <c r="G54" s="529" t="n"/>
      <c r="H54" s="530" t="inlineStr">
        <is>
          <t>100336350+100336352+100332935+100333000</t>
        </is>
      </c>
      <c r="I54" s="530" t="n"/>
      <c r="J54" s="938" t="inlineStr">
        <is>
          <t>млн куб.м</t>
        </is>
      </c>
    </row>
    <row r="55" ht="18.75" customHeight="1" s="769">
      <c r="A55" s="303" t="inlineStr">
        <is>
          <t xml:space="preserve">   в т.ч. из НГК</t>
        </is>
      </c>
      <c r="B55" s="390" t="n">
        <v>100336349</v>
      </c>
      <c r="C55" s="799" t="inlineStr">
        <is>
          <t>3.4.1</t>
        </is>
      </c>
      <c r="D55" s="890" t="inlineStr">
        <is>
          <t xml:space="preserve">   в т.ч. из НГК</t>
        </is>
      </c>
      <c r="E55" s="528" t="inlineStr">
        <is>
          <t>100336349</t>
        </is>
      </c>
      <c r="F55" s="528" t="n"/>
      <c r="G55" s="529" t="n"/>
      <c r="H55" s="530" t="n"/>
      <c r="I55" s="530" t="n"/>
      <c r="J55" s="643" t="inlineStr">
        <is>
          <t>тыс.т.</t>
        </is>
      </c>
    </row>
    <row r="56" ht="18.75" customHeight="1" s="769">
      <c r="A56" s="304" t="n"/>
      <c r="B56" s="390" t="n">
        <v>100336350</v>
      </c>
      <c r="C56" s="766" t="n"/>
      <c r="D56" s="766" t="n"/>
      <c r="E56" s="528" t="inlineStr">
        <is>
          <t>100336350</t>
        </is>
      </c>
      <c r="F56" s="528" t="n"/>
      <c r="G56" s="529" t="n"/>
      <c r="H56" s="530" t="n"/>
      <c r="I56" s="530" t="n"/>
      <c r="J56" s="939" t="inlineStr">
        <is>
          <t>млн куб.м</t>
        </is>
      </c>
    </row>
    <row r="57" ht="18.75" customHeight="1" s="769">
      <c r="A57" s="303" t="inlineStr">
        <is>
          <t xml:space="preserve">   в т.ч. из ПНГ</t>
        </is>
      </c>
      <c r="B57" s="390" t="n">
        <v>100336351</v>
      </c>
      <c r="C57" s="799" t="inlineStr">
        <is>
          <t>3.4.2</t>
        </is>
      </c>
      <c r="D57" s="890" t="inlineStr">
        <is>
          <t xml:space="preserve">   в т.ч. из ПНГ</t>
        </is>
      </c>
      <c r="E57" s="528" t="inlineStr">
        <is>
          <t>100336351</t>
        </is>
      </c>
      <c r="F57" s="528" t="n"/>
      <c r="G57" s="529" t="n"/>
      <c r="H57" s="530" t="n"/>
      <c r="I57" s="530" t="n"/>
      <c r="J57" s="643" t="inlineStr">
        <is>
          <t>тыс.т.</t>
        </is>
      </c>
    </row>
    <row r="58" ht="18.75" customHeight="1" s="769">
      <c r="A58" s="304" t="n"/>
      <c r="B58" s="390" t="n">
        <v>100336352</v>
      </c>
      <c r="C58" s="766" t="n"/>
      <c r="D58" s="766" t="n"/>
      <c r="E58" s="528" t="inlineStr">
        <is>
          <t>100336352</t>
        </is>
      </c>
      <c r="F58" s="528" t="n"/>
      <c r="G58" s="529" t="n"/>
      <c r="H58" s="530" t="n"/>
      <c r="I58" s="530" t="n"/>
      <c r="J58" s="939" t="inlineStr">
        <is>
          <t>млн куб.м</t>
        </is>
      </c>
    </row>
    <row r="59" ht="18.75" customHeight="1" s="769">
      <c r="A59" s="303" t="inlineStr">
        <is>
          <t xml:space="preserve">   в т.ч. из сырья ПАО "Газпром нефть" (покупка газа)</t>
        </is>
      </c>
      <c r="B59" s="390" t="n">
        <v>100332934</v>
      </c>
      <c r="C59" s="799" t="inlineStr">
        <is>
          <t>3.4.3</t>
        </is>
      </c>
      <c r="D59" s="801" t="inlineStr">
        <is>
          <t>в т.ч. из сырья ПАО "Газпром нефть" (покупка газа)</t>
        </is>
      </c>
      <c r="E59" s="528" t="inlineStr">
        <is>
          <t>100332999</t>
        </is>
      </c>
      <c r="F59" s="528" t="n"/>
      <c r="G59" s="529" t="n"/>
      <c r="H59" s="530" t="n"/>
      <c r="I59" s="530" t="n"/>
      <c r="J59" s="643" t="inlineStr">
        <is>
          <t>тыс.т.</t>
        </is>
      </c>
    </row>
    <row r="60" ht="18.75" customHeight="1" s="769">
      <c r="A60" s="304" t="n"/>
      <c r="B60" s="390" t="n">
        <v>100332935</v>
      </c>
      <c r="C60" s="766" t="n"/>
      <c r="D60" s="766" t="n"/>
      <c r="E60" s="528" t="inlineStr">
        <is>
          <t>100333000</t>
        </is>
      </c>
      <c r="F60" s="528" t="n"/>
      <c r="G60" s="529" t="n"/>
      <c r="H60" s="530" t="n"/>
      <c r="I60" s="530" t="n"/>
      <c r="J60" s="939" t="inlineStr">
        <is>
          <t>млн куб.м</t>
        </is>
      </c>
    </row>
    <row r="61" ht="18.75" customHeight="1" s="769">
      <c r="A61" s="303" t="inlineStr">
        <is>
          <t xml:space="preserve">   в т.ч. из сырья ПАО "Газпром нефть" (переработка газа)</t>
        </is>
      </c>
      <c r="B61" s="390" t="n">
        <v>100332999</v>
      </c>
      <c r="C61" s="799" t="inlineStr">
        <is>
          <t>3.4.4</t>
        </is>
      </c>
      <c r="D61" s="801" t="inlineStr">
        <is>
          <t>в т.ч из сырья ПАО "Газпром нефть" (переработка газа)</t>
        </is>
      </c>
      <c r="E61" s="528" t="inlineStr">
        <is>
          <t>100332934</t>
        </is>
      </c>
      <c r="F61" s="528" t="n"/>
      <c r="G61" s="529" t="n"/>
      <c r="H61" s="530" t="n"/>
      <c r="I61" s="530" t="n"/>
      <c r="J61" s="643" t="inlineStr">
        <is>
          <t>тыс.т.</t>
        </is>
      </c>
    </row>
    <row r="62" ht="18.75" customHeight="1" s="769">
      <c r="A62" s="304" t="n"/>
      <c r="B62" s="390" t="n">
        <v>100333000</v>
      </c>
      <c r="C62" s="766" t="n"/>
      <c r="D62" s="766" t="n"/>
      <c r="E62" s="528" t="inlineStr">
        <is>
          <t>100332935</t>
        </is>
      </c>
      <c r="F62" s="528" t="n"/>
      <c r="G62" s="529" t="n"/>
      <c r="H62" s="530" t="n"/>
      <c r="I62" s="530" t="n"/>
      <c r="J62" s="939" t="inlineStr">
        <is>
          <t>млн куб.м</t>
        </is>
      </c>
    </row>
    <row r="63" ht="18.75" customHeight="1" s="769">
      <c r="A63" s="301" t="inlineStr">
        <is>
          <t>Расход ШФЛУ на СТН  (собст. АО "Газпром добыча Томск")</t>
        </is>
      </c>
      <c r="B63" s="390" t="n">
        <v>100336353</v>
      </c>
      <c r="C63" s="797" t="inlineStr">
        <is>
          <t>3.5</t>
        </is>
      </c>
      <c r="D63" s="302" t="inlineStr">
        <is>
          <t>Расход ШФЛУ на СТН (собст. АО "Газпром добыча Томск")</t>
        </is>
      </c>
      <c r="E63" s="528" t="inlineStr">
        <is>
          <t>100336353</t>
        </is>
      </c>
      <c r="F63" s="528" t="n"/>
      <c r="G63" s="529" t="n"/>
      <c r="H63" s="530" t="n"/>
      <c r="I63" s="530" t="n"/>
      <c r="J63" s="647" t="inlineStr">
        <is>
          <t>тыс.т.</t>
        </is>
      </c>
    </row>
    <row r="64" ht="18.75" customHeight="1" s="769">
      <c r="A64" s="301" t="inlineStr">
        <is>
          <t>Газы углеводородные сжиженные (СПБТ) (собст. АО "Газпром добыча Томск")</t>
        </is>
      </c>
      <c r="B64" s="390" t="n">
        <v>100330748</v>
      </c>
      <c r="C64" s="797" t="inlineStr">
        <is>
          <t>3.6</t>
        </is>
      </c>
      <c r="D64" s="302" t="inlineStr">
        <is>
          <t>Газы углеводородные сжиженные (СПБТ) (собст. АО "Газпром добыча Томск")</t>
        </is>
      </c>
      <c r="E64" s="528" t="inlineStr">
        <is>
          <t>100330748</t>
        </is>
      </c>
      <c r="F64" s="528" t="n"/>
      <c r="G64" s="529" t="n"/>
      <c r="H64" s="530" t="inlineStr">
        <is>
          <t>100336354+100336355+100332903+100332998</t>
        </is>
      </c>
      <c r="I64" s="530" t="n"/>
      <c r="J64" s="396" t="inlineStr">
        <is>
          <t>тыс.т.</t>
        </is>
      </c>
    </row>
    <row r="65" ht="18.75" customHeight="1" s="769">
      <c r="A65" s="305" t="inlineStr">
        <is>
          <t xml:space="preserve">   в т.ч. из НГК</t>
        </is>
      </c>
      <c r="B65" s="390" t="n">
        <v>100336354</v>
      </c>
      <c r="C65" s="799" t="inlineStr">
        <is>
          <t>3.6.1</t>
        </is>
      </c>
      <c r="D65" s="312" t="inlineStr">
        <is>
          <t>в т.ч. из НГК</t>
        </is>
      </c>
      <c r="E65" s="528" t="inlineStr">
        <is>
          <t>100336354</t>
        </is>
      </c>
      <c r="F65" s="528" t="n"/>
      <c r="G65" s="529" t="n"/>
      <c r="H65" s="530" t="n"/>
      <c r="I65" s="530" t="n"/>
      <c r="J65" s="647" t="inlineStr">
        <is>
          <t>тыс.т.</t>
        </is>
      </c>
    </row>
    <row r="66" ht="18.75" customHeight="1" s="769">
      <c r="A66" s="305" t="inlineStr">
        <is>
          <t xml:space="preserve">   в т.ч. из ПНГ</t>
        </is>
      </c>
      <c r="B66" s="390" t="n">
        <v>100336355</v>
      </c>
      <c r="C66" s="799" t="inlineStr">
        <is>
          <t>3.6.2</t>
        </is>
      </c>
      <c r="D66" s="312" t="inlineStr">
        <is>
          <t>в т.ч. из ПНГ</t>
        </is>
      </c>
      <c r="E66" s="528" t="inlineStr">
        <is>
          <t>100336355</t>
        </is>
      </c>
      <c r="F66" s="528" t="n"/>
      <c r="G66" s="529" t="n"/>
      <c r="H66" s="530" t="n"/>
      <c r="I66" s="530" t="n"/>
      <c r="J66" s="647" t="inlineStr">
        <is>
          <t>тыс.т.</t>
        </is>
      </c>
    </row>
    <row r="67" ht="18.75" customHeight="1" s="769">
      <c r="A67" s="305" t="inlineStr">
        <is>
          <t xml:space="preserve">   в т.ч. из сырья ПАО "Газпром нефть" (покупка газа)</t>
        </is>
      </c>
      <c r="B67" s="390" t="n">
        <v>100332903</v>
      </c>
      <c r="C67" s="799" t="inlineStr">
        <is>
          <t>3.6.3</t>
        </is>
      </c>
      <c r="D67" s="312" t="inlineStr">
        <is>
          <t>в т.ч. из сырья ПАО "Газпром нефть" (покупка газа)</t>
        </is>
      </c>
      <c r="E67" s="528" t="inlineStr">
        <is>
          <t>100332998</t>
        </is>
      </c>
      <c r="F67" s="528" t="n"/>
      <c r="G67" s="529" t="n"/>
      <c r="H67" s="530" t="n"/>
      <c r="I67" s="530" t="n"/>
      <c r="J67" s="647" t="inlineStr">
        <is>
          <t>тыс.т.</t>
        </is>
      </c>
    </row>
    <row r="68" ht="18.75" customHeight="1" s="769">
      <c r="A68" s="305" t="inlineStr">
        <is>
          <t xml:space="preserve">   в т.ч. из сырья ПАО "Газпром нефть" (переработка газа)</t>
        </is>
      </c>
      <c r="B68" s="390" t="n">
        <v>100332998</v>
      </c>
      <c r="C68" s="799" t="inlineStr">
        <is>
          <t>3.6.4</t>
        </is>
      </c>
      <c r="D68" s="312" t="inlineStr">
        <is>
          <t>в т.ч. из сырья ПАО "Газпром нефть" (переработка газа)</t>
        </is>
      </c>
      <c r="E68" s="528" t="inlineStr">
        <is>
          <t>100332903</t>
        </is>
      </c>
      <c r="F68" s="528" t="n"/>
      <c r="G68" s="529" t="n"/>
      <c r="H68" s="530" t="n"/>
      <c r="I68" s="530" t="n"/>
      <c r="J68" s="647" t="inlineStr">
        <is>
          <t>тыс.т.</t>
        </is>
      </c>
    </row>
    <row r="69" ht="18.75" customHeight="1" s="769">
      <c r="A69" s="309" t="inlineStr">
        <is>
          <t>Газ деэтанизации (в газопровод)</t>
        </is>
      </c>
      <c r="B69" s="390" t="n">
        <v>100330749</v>
      </c>
      <c r="C69" s="797" t="inlineStr">
        <is>
          <t>3.7</t>
        </is>
      </c>
      <c r="D69" s="867" t="inlineStr">
        <is>
          <t>Газ деэтанизации (в газопровод)</t>
        </is>
      </c>
      <c r="E69" s="528" t="inlineStr">
        <is>
          <t>100330749</t>
        </is>
      </c>
      <c r="F69" s="528" t="n"/>
      <c r="G69" s="529" t="n"/>
      <c r="H69" s="530" t="inlineStr">
        <is>
          <t>100336356+100336358+100332936+100333001</t>
        </is>
      </c>
      <c r="I69" s="530" t="n"/>
      <c r="J69" s="396" t="inlineStr">
        <is>
          <t>тыс.т.</t>
        </is>
      </c>
    </row>
    <row r="70" ht="18.75" customHeight="1" s="769">
      <c r="A70" s="310" t="n"/>
      <c r="B70" s="390" t="n">
        <v>100330750</v>
      </c>
      <c r="C70" s="766" t="n"/>
      <c r="D70" s="766" t="n"/>
      <c r="E70" s="528" t="inlineStr">
        <is>
          <t>100330750</t>
        </is>
      </c>
      <c r="F70" s="528" t="n"/>
      <c r="G70" s="529" t="n"/>
      <c r="H70" s="530" t="inlineStr">
        <is>
          <t>100336357+100336359+100332937+100333002</t>
        </is>
      </c>
      <c r="I70" s="530" t="n"/>
      <c r="J70" s="938" t="inlineStr">
        <is>
          <t>млн куб.м</t>
        </is>
      </c>
    </row>
    <row r="71" ht="18.75" customHeight="1" s="769">
      <c r="A71" s="309" t="inlineStr">
        <is>
          <t>собственность АО "Газпром добыча Томск"</t>
        </is>
      </c>
      <c r="B71" s="390" t="n">
        <v>100336371</v>
      </c>
      <c r="C71" s="797" t="inlineStr">
        <is>
          <t>3.7.1</t>
        </is>
      </c>
      <c r="D71" s="887" t="inlineStr">
        <is>
          <t>собственность АО "Газпром добыча Томск"</t>
        </is>
      </c>
      <c r="E71" s="528" t="inlineStr">
        <is>
          <t>100336371</t>
        </is>
      </c>
      <c r="F71" s="528" t="n"/>
      <c r="G71" s="529" t="n"/>
      <c r="H71" s="530" t="inlineStr">
        <is>
          <t>100336356+100336358+100333001</t>
        </is>
      </c>
      <c r="I71" s="530" t="n"/>
      <c r="J71" s="647" t="inlineStr">
        <is>
          <t>тыс.т.</t>
        </is>
      </c>
    </row>
    <row r="72" ht="18.75" customHeight="1" s="769">
      <c r="A72" s="310" t="n"/>
      <c r="B72" s="390" t="n">
        <v>100336372</v>
      </c>
      <c r="C72" s="766" t="n"/>
      <c r="D72" s="766" t="n"/>
      <c r="E72" s="528" t="inlineStr">
        <is>
          <t>100336372</t>
        </is>
      </c>
      <c r="F72" s="528" t="n"/>
      <c r="G72" s="529" t="n"/>
      <c r="H72" s="530" t="inlineStr">
        <is>
          <t>100336357+100336359+100333002</t>
        </is>
      </c>
      <c r="I72" s="530" t="n"/>
      <c r="J72" s="939" t="inlineStr">
        <is>
          <t>млн куб.м</t>
        </is>
      </c>
    </row>
    <row r="73" ht="18.75" customHeight="1" s="769">
      <c r="A73" s="303" t="inlineStr">
        <is>
          <t xml:space="preserve">   в т.ч. из НГК</t>
        </is>
      </c>
      <c r="B73" s="390" t="n">
        <v>100336356</v>
      </c>
      <c r="C73" s="799" t="inlineStr">
        <is>
          <t>3.7.1.1</t>
        </is>
      </c>
      <c r="D73" s="893" t="inlineStr">
        <is>
          <t xml:space="preserve">   в т.ч. из НГК</t>
        </is>
      </c>
      <c r="E73" s="528" t="inlineStr">
        <is>
          <t>100336356</t>
        </is>
      </c>
      <c r="F73" s="528" t="n"/>
      <c r="G73" s="529" t="n"/>
      <c r="H73" s="530" t="n"/>
      <c r="I73" s="530" t="n"/>
      <c r="J73" s="647" t="inlineStr">
        <is>
          <t>тыс.т.</t>
        </is>
      </c>
    </row>
    <row r="74" ht="18.75" customHeight="1" s="769">
      <c r="A74" s="304" t="n"/>
      <c r="B74" s="390" t="n">
        <v>100336357</v>
      </c>
      <c r="C74" s="766" t="n"/>
      <c r="D74" s="766" t="n"/>
      <c r="E74" s="528" t="inlineStr">
        <is>
          <t>100336357</t>
        </is>
      </c>
      <c r="F74" s="528" t="n"/>
      <c r="G74" s="529" t="n"/>
      <c r="H74" s="530" t="n"/>
      <c r="I74" s="530" t="n"/>
      <c r="J74" s="939" t="inlineStr">
        <is>
          <t>млн куб.м</t>
        </is>
      </c>
    </row>
    <row r="75" ht="18.75" customHeight="1" s="769">
      <c r="A75" s="303" t="inlineStr">
        <is>
          <t xml:space="preserve">   в т.ч. из ПНГ</t>
        </is>
      </c>
      <c r="B75" s="390" t="n">
        <v>100336358</v>
      </c>
      <c r="C75" s="799" t="inlineStr">
        <is>
          <t>3.7.1.2</t>
        </is>
      </c>
      <c r="D75" s="893" t="inlineStr">
        <is>
          <t xml:space="preserve">   в т.ч. из ПНГ</t>
        </is>
      </c>
      <c r="E75" s="528" t="inlineStr">
        <is>
          <t>100336358</t>
        </is>
      </c>
      <c r="F75" s="528" t="n"/>
      <c r="G75" s="529" t="n"/>
      <c r="H75" s="530" t="n"/>
      <c r="I75" s="530" t="n"/>
      <c r="J75" s="647" t="inlineStr">
        <is>
          <t>тыс.т.</t>
        </is>
      </c>
    </row>
    <row r="76" ht="18.75" customHeight="1" s="769">
      <c r="A76" s="304" t="n"/>
      <c r="B76" s="390" t="n">
        <v>100336359</v>
      </c>
      <c r="C76" s="766" t="n"/>
      <c r="D76" s="766" t="n"/>
      <c r="E76" s="528" t="inlineStr">
        <is>
          <t>100336359</t>
        </is>
      </c>
      <c r="F76" s="528" t="n"/>
      <c r="G76" s="529" t="n"/>
      <c r="H76" s="530" t="n"/>
      <c r="I76" s="530" t="n"/>
      <c r="J76" s="939" t="inlineStr">
        <is>
          <t>млн куб.м</t>
        </is>
      </c>
    </row>
    <row r="77" ht="18.75" customHeight="1" s="769">
      <c r="A77" s="303" t="inlineStr">
        <is>
          <t xml:space="preserve">   в т.ч. из сырья ПАО "Газпром нефть" (покупка газа)</t>
        </is>
      </c>
      <c r="B77" s="390" t="n">
        <v>100333001</v>
      </c>
      <c r="C77" s="799" t="inlineStr">
        <is>
          <t>3.7.1.3</t>
        </is>
      </c>
      <c r="D77" s="891" t="inlineStr">
        <is>
          <t>в т.ч из сырья ПАО "Газпром нефть" (покупка газа)</t>
        </is>
      </c>
      <c r="E77" s="528" t="inlineStr">
        <is>
          <t>100333001</t>
        </is>
      </c>
      <c r="F77" s="528" t="n"/>
      <c r="G77" s="529" t="n"/>
      <c r="H77" s="530" t="n"/>
      <c r="I77" s="530" t="n"/>
      <c r="J77" s="647" t="inlineStr">
        <is>
          <t>тыс.т.</t>
        </is>
      </c>
    </row>
    <row r="78" ht="18.75" customHeight="1" s="769">
      <c r="A78" s="304" t="n"/>
      <c r="B78" s="390" t="n">
        <v>100333002</v>
      </c>
      <c r="C78" s="766" t="n"/>
      <c r="D78" s="766" t="n"/>
      <c r="E78" s="528" t="inlineStr">
        <is>
          <t>100333002</t>
        </is>
      </c>
      <c r="F78" s="528" t="n"/>
      <c r="G78" s="529" t="n"/>
      <c r="H78" s="530" t="n"/>
      <c r="I78" s="530" t="n"/>
      <c r="J78" s="939" t="inlineStr">
        <is>
          <t>млн куб.м</t>
        </is>
      </c>
    </row>
    <row r="79" ht="18.75" customHeight="1" s="769">
      <c r="A79" s="309" t="inlineStr">
        <is>
          <t>собственность ПАО "Газпром нефть"</t>
        </is>
      </c>
      <c r="B79" s="390" t="n">
        <v>100336373</v>
      </c>
      <c r="C79" s="797" t="inlineStr">
        <is>
          <t>3.7.2</t>
        </is>
      </c>
      <c r="D79" s="887" t="inlineStr">
        <is>
          <t>собственность ПАО "Газпром нефть"</t>
        </is>
      </c>
      <c r="E79" s="528" t="inlineStr">
        <is>
          <t>100336373</t>
        </is>
      </c>
      <c r="F79" s="528" t="n"/>
      <c r="G79" s="529" t="n"/>
      <c r="H79" s="530" t="inlineStr">
        <is>
          <t>100332936</t>
        </is>
      </c>
      <c r="I79" s="530" t="n"/>
      <c r="J79" s="647" t="inlineStr">
        <is>
          <t>тыс.т.</t>
        </is>
      </c>
    </row>
    <row r="80" ht="18.75" customHeight="1" s="769">
      <c r="A80" s="310" t="n"/>
      <c r="B80" s="390" t="n">
        <v>100336374</v>
      </c>
      <c r="C80" s="766" t="n"/>
      <c r="D80" s="766" t="n"/>
      <c r="E80" s="528" t="inlineStr">
        <is>
          <t>100336374</t>
        </is>
      </c>
      <c r="F80" s="528" t="n"/>
      <c r="G80" s="529" t="n"/>
      <c r="H80" s="530" t="inlineStr">
        <is>
          <t>100332937</t>
        </is>
      </c>
      <c r="I80" s="530" t="n"/>
      <c r="J80" s="939" t="inlineStr">
        <is>
          <t>млн куб.м</t>
        </is>
      </c>
    </row>
    <row r="81" ht="18.75" customHeight="1" s="769">
      <c r="A81" s="303" t="inlineStr">
        <is>
          <t xml:space="preserve">   в т.ч. из сырья ПАО "Газпром нефть" (переработка газа)</t>
        </is>
      </c>
      <c r="B81" s="390" t="n">
        <v>100332936</v>
      </c>
      <c r="C81" s="799" t="inlineStr">
        <is>
          <t>3.7.2.1</t>
        </is>
      </c>
      <c r="D81" s="894" t="inlineStr">
        <is>
          <t>в т.ч. из сырья ПАО "Газпром нефть" (переработка газа)</t>
        </is>
      </c>
      <c r="E81" s="528" t="inlineStr">
        <is>
          <t>100332936</t>
        </is>
      </c>
      <c r="F81" s="528" t="n"/>
      <c r="G81" s="529" t="n"/>
      <c r="H81" s="530" t="n"/>
      <c r="I81" s="530" t="n"/>
      <c r="J81" s="647" t="inlineStr">
        <is>
          <t>тыс.т.</t>
        </is>
      </c>
    </row>
    <row r="82" ht="18.75" customHeight="1" s="769">
      <c r="A82" s="304" t="n"/>
      <c r="B82" s="390" t="n">
        <v>100332937</v>
      </c>
      <c r="C82" s="766" t="n"/>
      <c r="D82" s="766" t="n"/>
      <c r="E82" s="528" t="inlineStr">
        <is>
          <t>100332937</t>
        </is>
      </c>
      <c r="F82" s="528" t="n"/>
      <c r="G82" s="529" t="n"/>
      <c r="H82" s="530" t="n"/>
      <c r="I82" s="530" t="n"/>
      <c r="J82" s="939" t="inlineStr">
        <is>
          <t>млн куб.м</t>
        </is>
      </c>
    </row>
    <row r="83" ht="18.75" customHeight="1" s="769">
      <c r="A83" s="309" t="inlineStr">
        <is>
          <t>Газ горючий природный сухой отбензиненный, всего:</t>
        </is>
      </c>
      <c r="B83" s="390" t="n">
        <v>100332342</v>
      </c>
      <c r="C83" s="797" t="inlineStr">
        <is>
          <t>3.8</t>
        </is>
      </c>
      <c r="D83" s="888" t="inlineStr">
        <is>
          <t>Газ горючий природный сухой отбензиненный, всего:</t>
        </is>
      </c>
      <c r="E83" s="528" t="inlineStr">
        <is>
          <t>100332342</t>
        </is>
      </c>
      <c r="F83" s="528" t="n"/>
      <c r="G83" s="529" t="n"/>
      <c r="H83" s="530" t="inlineStr">
        <is>
          <t>100336360+100332418+100333003</t>
        </is>
      </c>
      <c r="I83" s="530" t="n"/>
      <c r="J83" s="396" t="inlineStr">
        <is>
          <t>тыс.т.</t>
        </is>
      </c>
    </row>
    <row r="84" ht="18.75" customHeight="1" s="769">
      <c r="A84" s="310" t="n"/>
      <c r="B84" s="390" t="n">
        <v>100330751</v>
      </c>
      <c r="C84" s="766" t="n"/>
      <c r="D84" s="766" t="n"/>
      <c r="E84" s="528" t="inlineStr">
        <is>
          <t>100330751</t>
        </is>
      </c>
      <c r="F84" s="528" t="n"/>
      <c r="G84" s="529" t="n"/>
      <c r="H84" s="530" t="inlineStr">
        <is>
          <t>100336361+100330752+100333004</t>
        </is>
      </c>
      <c r="I84" s="530" t="n"/>
      <c r="J84" s="938" t="inlineStr">
        <is>
          <t>млн куб.м</t>
        </is>
      </c>
    </row>
    <row r="85" ht="18.75" customHeight="1" s="769">
      <c r="A85" s="309" t="inlineStr">
        <is>
          <t>собственность АО "Газпром добыча Томск"</t>
        </is>
      </c>
      <c r="B85" s="390" t="n">
        <v>100336375</v>
      </c>
      <c r="C85" s="797" t="inlineStr">
        <is>
          <t>3.8.1</t>
        </is>
      </c>
      <c r="D85" s="887" t="inlineStr">
        <is>
          <t>собственность АО "Газпром добыча Томск"</t>
        </is>
      </c>
      <c r="E85" s="528" t="inlineStr">
        <is>
          <t>100336375</t>
        </is>
      </c>
      <c r="F85" s="528" t="n"/>
      <c r="G85" s="529" t="n"/>
      <c r="H85" s="530" t="inlineStr">
        <is>
          <t>100336360+100333003</t>
        </is>
      </c>
      <c r="I85" s="530" t="n"/>
      <c r="J85" s="654" t="inlineStr">
        <is>
          <t>тыс.т.</t>
        </is>
      </c>
    </row>
    <row r="86" ht="18.75" customHeight="1" s="769">
      <c r="A86" s="310" t="n"/>
      <c r="B86" s="390" t="n">
        <v>100336376</v>
      </c>
      <c r="C86" s="766" t="n"/>
      <c r="D86" s="766" t="n"/>
      <c r="E86" s="528" t="inlineStr">
        <is>
          <t>100336376</t>
        </is>
      </c>
      <c r="F86" s="528" t="n"/>
      <c r="G86" s="529" t="n"/>
      <c r="H86" s="530" t="inlineStr">
        <is>
          <t>100336361+100333004</t>
        </is>
      </c>
      <c r="I86" s="530" t="n"/>
      <c r="J86" s="939" t="inlineStr">
        <is>
          <t>млн куб.м</t>
        </is>
      </c>
    </row>
    <row r="87" ht="18.75" customHeight="1" s="769">
      <c r="A87" s="303" t="inlineStr">
        <is>
          <t xml:space="preserve">   в т.ч. из ПНГ</t>
        </is>
      </c>
      <c r="B87" s="390" t="n">
        <v>100336360</v>
      </c>
      <c r="C87" s="799" t="inlineStr">
        <is>
          <t>3.8.1.1</t>
        </is>
      </c>
      <c r="D87" s="890" t="inlineStr">
        <is>
          <t xml:space="preserve">   в т.ч. из ПНГ</t>
        </is>
      </c>
      <c r="E87" s="528" t="inlineStr">
        <is>
          <t>100336360</t>
        </is>
      </c>
      <c r="F87" s="528" t="n"/>
      <c r="G87" s="529" t="n"/>
      <c r="H87" s="530" t="n"/>
      <c r="I87" s="530" t="n"/>
      <c r="J87" s="654" t="inlineStr">
        <is>
          <t>тыс.т.</t>
        </is>
      </c>
    </row>
    <row r="88" ht="18.75" customHeight="1" s="769">
      <c r="A88" s="304" t="n"/>
      <c r="B88" s="390" t="n">
        <v>100336361</v>
      </c>
      <c r="C88" s="766" t="n"/>
      <c r="D88" s="766" t="n"/>
      <c r="E88" s="528" t="inlineStr">
        <is>
          <t>100336361</t>
        </is>
      </c>
      <c r="F88" s="528" t="n"/>
      <c r="G88" s="529" t="n"/>
      <c r="H88" s="530" t="n"/>
      <c r="I88" s="530" t="n"/>
      <c r="J88" s="939" t="inlineStr">
        <is>
          <t>млн куб.м</t>
        </is>
      </c>
    </row>
    <row r="89" ht="18.75" customHeight="1" s="769">
      <c r="A89" s="303" t="inlineStr">
        <is>
          <t xml:space="preserve">   в т.ч. из сырья ПАО "Газпром нефть" (покупка газа)</t>
        </is>
      </c>
      <c r="B89" s="390" t="n">
        <v>100333003</v>
      </c>
      <c r="C89" s="799" t="inlineStr">
        <is>
          <t>3.8.1.2</t>
        </is>
      </c>
      <c r="D89" s="889" t="inlineStr">
        <is>
          <t>в т.ч из сырья ПАО "Газпром нефть" (покупка газа)</t>
        </is>
      </c>
      <c r="E89" s="528" t="inlineStr">
        <is>
          <t>100333003</t>
        </is>
      </c>
      <c r="F89" s="528" t="n"/>
      <c r="G89" s="529" t="n"/>
      <c r="H89" s="530" t="n"/>
      <c r="I89" s="530" t="n"/>
      <c r="J89" s="654" t="inlineStr">
        <is>
          <t>тыс.т.</t>
        </is>
      </c>
    </row>
    <row r="90" ht="18.75" customHeight="1" s="769">
      <c r="A90" s="304" t="n"/>
      <c r="B90" s="390" t="n">
        <v>100333004</v>
      </c>
      <c r="C90" s="766" t="n"/>
      <c r="D90" s="766" t="n"/>
      <c r="E90" s="528" t="inlineStr">
        <is>
          <t>100333004</t>
        </is>
      </c>
      <c r="F90" s="528" t="n"/>
      <c r="G90" s="529" t="n"/>
      <c r="H90" s="530" t="n"/>
      <c r="I90" s="530" t="n"/>
      <c r="J90" s="939" t="inlineStr">
        <is>
          <t>млн куб.м</t>
        </is>
      </c>
    </row>
    <row r="91" ht="18.75" customHeight="1" s="769">
      <c r="A91" s="309" t="inlineStr">
        <is>
          <t>собственность ПАО "Газпром нефть"</t>
        </is>
      </c>
      <c r="B91" s="390" t="n">
        <v>100336377</v>
      </c>
      <c r="C91" s="797" t="inlineStr">
        <is>
          <t>3.8.2</t>
        </is>
      </c>
      <c r="D91" s="887" t="inlineStr">
        <is>
          <t>собственность ПАО "Газпром нефть"</t>
        </is>
      </c>
      <c r="E91" s="528" t="inlineStr">
        <is>
          <t>100336377</t>
        </is>
      </c>
      <c r="F91" s="528" t="n"/>
      <c r="G91" s="529" t="n"/>
      <c r="H91" s="530" t="inlineStr">
        <is>
          <t>100332418</t>
        </is>
      </c>
      <c r="I91" s="530" t="n"/>
      <c r="J91" s="654" t="inlineStr">
        <is>
          <t>тыс.т.</t>
        </is>
      </c>
    </row>
    <row r="92" ht="18.75" customHeight="1" s="769">
      <c r="A92" s="310" t="n"/>
      <c r="B92" s="390" t="n">
        <v>100336378</v>
      </c>
      <c r="C92" s="766" t="n"/>
      <c r="D92" s="766" t="n"/>
      <c r="E92" s="528" t="inlineStr">
        <is>
          <t>100336378</t>
        </is>
      </c>
      <c r="F92" s="528" t="n"/>
      <c r="G92" s="529" t="n"/>
      <c r="H92" s="530" t="inlineStr">
        <is>
          <t>100330752</t>
        </is>
      </c>
      <c r="I92" s="530" t="n"/>
      <c r="J92" s="939" t="inlineStr">
        <is>
          <t>млн куб.м</t>
        </is>
      </c>
    </row>
    <row r="93" ht="18.75" customHeight="1" s="769">
      <c r="A93" s="303" t="inlineStr">
        <is>
          <t xml:space="preserve">   в т.ч. из сырья ПАО "Газпром нефть" (переработка газа)</t>
        </is>
      </c>
      <c r="B93" s="390" t="n">
        <v>100332418</v>
      </c>
      <c r="C93" s="799" t="inlineStr">
        <is>
          <t>3.8.2.1</t>
        </is>
      </c>
      <c r="D93" s="889" t="inlineStr">
        <is>
          <t>в т.ч. из сырья ПАО "Газпром нефть" (переработка газа)</t>
        </is>
      </c>
      <c r="E93" s="528" t="inlineStr">
        <is>
          <t>100332418</t>
        </is>
      </c>
      <c r="F93" s="528" t="n"/>
      <c r="G93" s="529" t="n"/>
      <c r="H93" s="530" t="n"/>
      <c r="I93" s="530" t="n"/>
      <c r="J93" s="654" t="inlineStr">
        <is>
          <t>тыс.т.</t>
        </is>
      </c>
    </row>
    <row r="94" ht="18.75" customHeight="1" s="769">
      <c r="A94" s="304" t="n"/>
      <c r="B94" s="390" t="n">
        <v>100330752</v>
      </c>
      <c r="C94" s="766" t="n"/>
      <c r="D94" s="766" t="n"/>
      <c r="E94" s="528" t="inlineStr">
        <is>
          <t>100330752</t>
        </is>
      </c>
      <c r="F94" s="528" t="n"/>
      <c r="G94" s="529" t="n"/>
      <c r="H94" s="530" t="n"/>
      <c r="I94" s="530" t="n"/>
      <c r="J94" s="939" t="inlineStr">
        <is>
          <t>млн куб.м</t>
        </is>
      </c>
    </row>
    <row r="95" ht="18.75" customHeight="1" s="769">
      <c r="A95" s="301" t="inlineStr">
        <is>
          <t>Поступило ШФЛУ на склад</t>
        </is>
      </c>
      <c r="B95" s="390" t="n">
        <v>100336362</v>
      </c>
      <c r="C95" s="797" t="inlineStr">
        <is>
          <t>3.9</t>
        </is>
      </c>
      <c r="D95" s="302" t="inlineStr">
        <is>
          <t>Поступило ШФЛУ на склад</t>
        </is>
      </c>
      <c r="E95" s="528" t="inlineStr">
        <is>
          <t>100336362</t>
        </is>
      </c>
      <c r="F95" s="528" t="n"/>
      <c r="G95" s="529" t="n"/>
      <c r="H95" s="530" t="inlineStr">
        <is>
          <t>100330748</t>
        </is>
      </c>
      <c r="I95" s="530" t="n"/>
      <c r="J95" s="939" t="inlineStr">
        <is>
          <t>тыс.т.</t>
        </is>
      </c>
    </row>
    <row r="96" ht="18.75" customHeight="1" s="769">
      <c r="A96" s="301" t="inlineStr">
        <is>
          <t>Поступило ШФЛУ со склада</t>
        </is>
      </c>
      <c r="B96" s="390" t="n">
        <v>100336363</v>
      </c>
      <c r="C96" s="797" t="inlineStr">
        <is>
          <t>3.10</t>
        </is>
      </c>
      <c r="D96" s="302" t="inlineStr">
        <is>
          <t>Поступило ШФЛУ со склада</t>
        </is>
      </c>
      <c r="E96" s="528" t="inlineStr">
        <is>
          <t>100336363</t>
        </is>
      </c>
      <c r="F96" s="528" t="n"/>
      <c r="G96" s="529" t="n"/>
      <c r="H96" s="530" t="inlineStr">
        <is>
          <t>100330748</t>
        </is>
      </c>
      <c r="I96" s="530" t="n"/>
      <c r="J96" s="939" t="inlineStr">
        <is>
          <t>тыс.т.</t>
        </is>
      </c>
    </row>
    <row r="97" ht="18.75" customHeight="1" s="769">
      <c r="A97" s="313" t="inlineStr">
        <is>
          <t>Материальный баланс</t>
        </is>
      </c>
      <c r="B97" s="390" t="n">
        <v>100336364</v>
      </c>
      <c r="C97" s="314" t="inlineStr">
        <is>
          <t>4</t>
        </is>
      </c>
      <c r="D97" s="315" t="inlineStr">
        <is>
          <t>Материальный баланс</t>
        </is>
      </c>
      <c r="E97" s="528" t="inlineStr">
        <is>
          <t>100336364</t>
        </is>
      </c>
      <c r="F97" s="528" t="n"/>
      <c r="G97" s="529" t="n"/>
      <c r="H97" s="530" t="inlineStr">
        <is>
          <t>100336330-100336334-100330049</t>
        </is>
      </c>
      <c r="I97" s="530" t="n"/>
      <c r="J97" s="316" t="inlineStr">
        <is>
          <t>тыс.т.</t>
        </is>
      </c>
    </row>
    <row r="98" ht="18.75" customHeight="1" s="769">
      <c r="A98" s="317" t="inlineStr">
        <is>
          <t>Газ, собственность Газпром Метанол</t>
        </is>
      </c>
      <c r="B98" s="390" t="n">
        <v>100332338</v>
      </c>
      <c r="C98" s="797" t="inlineStr">
        <is>
          <t>5</t>
        </is>
      </c>
      <c r="D98" s="788" t="inlineStr">
        <is>
          <t>Газ, собственность Газпром Метанол</t>
        </is>
      </c>
      <c r="E98" s="528" t="inlineStr">
        <is>
          <t>100332338</t>
        </is>
      </c>
      <c r="F98" s="528" t="n"/>
      <c r="G98" s="529" t="n"/>
      <c r="H98" s="530" t="n"/>
      <c r="I98" s="530" t="n"/>
      <c r="J98" s="883" t="inlineStr">
        <is>
          <t>тыс.т.</t>
        </is>
      </c>
    </row>
    <row r="99" ht="18.75" customHeight="1" s="769">
      <c r="A99" s="318" t="n"/>
      <c r="B99" s="390" t="n">
        <v>100330740</v>
      </c>
      <c r="C99" s="766" t="n"/>
      <c r="D99" s="766" t="n"/>
      <c r="E99" s="528" t="inlineStr">
        <is>
          <t>100330740</t>
        </is>
      </c>
      <c r="F99" s="528" t="n"/>
      <c r="G99" s="529" t="n"/>
      <c r="H99" s="530" t="n"/>
      <c r="I99" s="530" t="n"/>
      <c r="J99" s="938" t="inlineStr">
        <is>
          <t>млн куб.м</t>
        </is>
      </c>
    </row>
    <row r="100" ht="18.75" customHeight="1" s="769">
      <c r="A100" s="299" t="inlineStr">
        <is>
          <t>Метанол, собственность Газпром Метанол</t>
        </is>
      </c>
      <c r="B100" s="390" t="n">
        <v>100330753</v>
      </c>
      <c r="C100" s="137" t="inlineStr">
        <is>
          <t>6</t>
        </is>
      </c>
      <c r="D100" s="319" t="inlineStr">
        <is>
          <t>Метанол, собственность Газпром Метанол</t>
        </is>
      </c>
      <c r="E100" s="528" t="inlineStr">
        <is>
          <t>100330753</t>
        </is>
      </c>
      <c r="F100" s="528" t="n"/>
      <c r="G100" s="529" t="n"/>
      <c r="H100" s="530" t="n"/>
      <c r="I100" s="530" t="n"/>
      <c r="J100" s="665" t="inlineStr">
        <is>
          <t>тыс.т.</t>
        </is>
      </c>
    </row>
    <row r="101" customFormat="1" s="832">
      <c r="B101" s="850" t="n"/>
      <c r="C101" s="135" t="n"/>
      <c r="D101" s="795" t="n"/>
      <c r="E101" s="795" t="n"/>
      <c r="F101" s="795" t="n"/>
      <c r="G101" s="795" t="n"/>
      <c r="H101" s="795" t="n"/>
      <c r="I101" s="795" t="n"/>
      <c r="J101" s="21" t="n"/>
    </row>
  </sheetData>
  <mergeCells count="70">
    <mergeCell ref="C30:C31"/>
    <mergeCell ref="C79:C80"/>
    <mergeCell ref="D61:D62"/>
    <mergeCell ref="C24:C25"/>
    <mergeCell ref="D45:D46"/>
    <mergeCell ref="C71:C72"/>
    <mergeCell ref="C93:C94"/>
    <mergeCell ref="D47:D48"/>
    <mergeCell ref="D87:D88"/>
    <mergeCell ref="D71:D72"/>
    <mergeCell ref="C43:C44"/>
    <mergeCell ref="C57:C58"/>
    <mergeCell ref="D18:D19"/>
    <mergeCell ref="D73:D74"/>
    <mergeCell ref="C69:C70"/>
    <mergeCell ref="D98:D99"/>
    <mergeCell ref="F7:F8"/>
    <mergeCell ref="C98:C99"/>
    <mergeCell ref="D49:D50"/>
    <mergeCell ref="G7:G8"/>
    <mergeCell ref="D77:D78"/>
    <mergeCell ref="C45:C46"/>
    <mergeCell ref="C85:C86"/>
    <mergeCell ref="I7:I8"/>
    <mergeCell ref="D75:D76"/>
    <mergeCell ref="C47:C48"/>
    <mergeCell ref="D12:D13"/>
    <mergeCell ref="D6:D8"/>
    <mergeCell ref="D53:D54"/>
    <mergeCell ref="C51:C52"/>
    <mergeCell ref="E6:I6"/>
    <mergeCell ref="D55:D56"/>
    <mergeCell ref="J6:J8"/>
    <mergeCell ref="D30:D31"/>
    <mergeCell ref="D79:D80"/>
    <mergeCell ref="C87:C88"/>
    <mergeCell ref="D26:D27"/>
    <mergeCell ref="C83:C84"/>
    <mergeCell ref="C49:C50"/>
    <mergeCell ref="D81:D82"/>
    <mergeCell ref="C73:C74"/>
    <mergeCell ref="C20:C21"/>
    <mergeCell ref="C59:C60"/>
    <mergeCell ref="C22:C23"/>
    <mergeCell ref="D57:D58"/>
    <mergeCell ref="C12:C13"/>
    <mergeCell ref="D43:D44"/>
    <mergeCell ref="D83:D84"/>
    <mergeCell ref="C91:C92"/>
    <mergeCell ref="E7:E8"/>
    <mergeCell ref="D93:D94"/>
    <mergeCell ref="D20:D21"/>
    <mergeCell ref="D85:D86"/>
    <mergeCell ref="C77:C78"/>
    <mergeCell ref="C89:C90"/>
    <mergeCell ref="C26:C27"/>
    <mergeCell ref="C75:C76"/>
    <mergeCell ref="D91:D92"/>
    <mergeCell ref="C55:C56"/>
    <mergeCell ref="H7:H8"/>
    <mergeCell ref="C6:C8"/>
    <mergeCell ref="D24:D25"/>
    <mergeCell ref="C61:C62"/>
    <mergeCell ref="C81:C82"/>
    <mergeCell ref="D89:D90"/>
    <mergeCell ref="C53:C54"/>
    <mergeCell ref="D51:D52"/>
    <mergeCell ref="D69:D70"/>
    <mergeCell ref="D59:D60"/>
    <mergeCell ref="D22:D23"/>
  </mergeCells>
  <conditionalFormatting sqref="B10:B14 B16:B100">
    <cfRule type="cellIs" priority="6" operator="equal" dxfId="13">
      <formula>FALSE</formula>
    </cfRule>
  </conditionalFormatting>
  <conditionalFormatting sqref="B15">
    <cfRule type="cellIs" priority="1" operator="equal" dxfId="13">
      <formula>FALSE</formula>
    </cfRule>
  </conditionalFormatting>
  <conditionalFormatting sqref="O10:O100 P10:P100 U10:U100 V10:V100 AA10:AA100 AB10:AB100 AG10:AG100 AH10:AH100 AM10:AM100 AN10:AN100 AS10:AS100 AT10:AT100 AY10:AY100 AZ10:AZ100 BE10:BE100 BF10:BF100 BK10:BK100 BL10:BL100 BQ10:BQ100 BR10:BR100 BW10:BW100 BX10:BX100 CC10:CC100 CD10:CD100 CI10:CI100 CJ10:CJ100 CO10:CO100 CP10:CP100 CU10:CU100 CV10:CV100 DA10:DA100 DB10:DB100 DG10:DG100 DH10:DH100">
    <cfRule type="cellIs" priority="2" operator="lessThan" dxfId="2">
      <formula>0</formula>
    </cfRule>
    <cfRule type="cellIs" priority="3" operator="greaterThan" dxfId="1">
      <formula>0</formula>
    </cfRule>
    <cfRule type="cellIs" priority="7" operator="equal" dxfId="0">
      <formula>0</formula>
    </cfRule>
  </conditionalFormatting>
  <conditionalFormatting sqref="L10:L100 N10:N100 R10:R100 T10:T100 X10:X100 Z10:Z100 AD10:AD100 AF10:AF100 AJ10:AJ100 AL10:AL100 AP10:AP100 AR10:AR100 AV10:AV100 AX10:AX100 BB10:BB100 BD10:BD100 BH10:BH100 BJ10:BJ100 BN10:BN100 BP10:BP100 BT10:BT100 BV10:BV100 BZ10:BZ100 CB10:CB100 CF10:CF100 CH10:CH100 CL10:CL100 CN10:CN100 CR10:CR100 CT10:CT100 CX10:CX100 CZ10:CZ100 DD10:DD100 DF10:DF100">
    <cfRule type="cellIs" priority="8" operator="equal" dxfId="0">
      <formula>0</formula>
    </cfRule>
  </conditionalFormatting>
  <pageMargins left="0.7" right="0.7" top="0.75" bottom="0.75" header="0.3" footer="0.3"/>
  <pageSetup orientation="portrait" paperSize="9" scale="34"/>
</worksheet>
</file>

<file path=xl/worksheets/sheet20.xml><?xml version="1.0" encoding="utf-8"?>
<worksheet xmlns="http://schemas.openxmlformats.org/spreadsheetml/2006/main">
  <sheetPr codeName="Лист28">
    <tabColor theme="8" tint="0.5999938962981048"/>
    <outlinePr summaryBelow="1" summaryRight="1"/>
    <pageSetUpPr fitToPage="1"/>
  </sheetPr>
  <dimension ref="A3:J216"/>
  <sheetViews>
    <sheetView topLeftCell="C1" zoomScale="60" zoomScaleNormal="60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9.140625" defaultRowHeight="15"/>
  <cols>
    <col hidden="1" outlineLevel="1" width="6.5703125" customWidth="1" style="897" min="1" max="1"/>
    <col hidden="1" outlineLevel="1" width="74.85546875" customWidth="1" style="897" min="2" max="2"/>
    <col collapsed="1" width="12.140625" customWidth="1" style="321" min="3" max="3"/>
    <col width="72" customWidth="1" style="897" min="4" max="4"/>
    <col outlineLevel="1" width="16.140625" customWidth="1" style="897" min="5" max="9"/>
    <col width="13" bestFit="1" customWidth="1" style="898" min="10" max="10"/>
    <col width="8.43" customWidth="1" style="769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</cols>
  <sheetData>
    <row r="1" ht="21.75" customHeight="1" s="769"/>
    <row r="2" ht="21.75" customHeight="1" s="769"/>
    <row r="3" ht="21.75" customHeight="1" s="769">
      <c r="C3" s="860" t="inlineStr">
        <is>
          <t>Прогнозные показатели по переработке сырья и производству продукцииООО "Газпром нефтехим Салават"</t>
        </is>
      </c>
    </row>
    <row r="4" ht="21.75" customHeight="1" s="769"/>
    <row r="5" ht="21.75" customHeight="1" s="769">
      <c r="C5" s="363" t="inlineStr">
        <is>
          <t>17. ООО "Газпром переработка" -  Газпром нефтехим Салават</t>
        </is>
      </c>
    </row>
    <row r="6" ht="20.1" customHeight="1" s="769">
      <c r="A6" s="795" t="n"/>
      <c r="B6" s="896" t="inlineStr">
        <is>
          <t>Код строки</t>
        </is>
      </c>
      <c r="C6" s="837" t="inlineStr">
        <is>
          <t>№ 
п/п</t>
        </is>
      </c>
      <c r="D6" s="895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Ед.изм.</t>
        </is>
      </c>
    </row>
    <row r="7" ht="39.95" customHeight="1" s="769">
      <c r="A7" s="795" t="n"/>
      <c r="B7" s="766" t="n"/>
      <c r="C7" s="766" t="n"/>
      <c r="D7" s="762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A8" s="795" t="n"/>
      <c r="B8" s="751" t="n"/>
      <c r="C8" s="751" t="n"/>
      <c r="D8" s="764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A9" s="795" t="n"/>
      <c r="B9" s="390" t="n"/>
      <c r="C9" s="866" t="n"/>
      <c r="D9" s="671" t="n"/>
      <c r="E9" s="869" t="n"/>
      <c r="F9" s="869" t="n"/>
      <c r="G9" s="869" t="n"/>
      <c r="H9" s="869" t="n"/>
      <c r="I9" s="869" t="n"/>
      <c r="J9" s="654" t="n"/>
    </row>
    <row r="10" ht="21.75" customHeight="1" s="769">
      <c r="A10" s="328" t="n"/>
      <c r="B10" s="329" t="inlineStr">
        <is>
          <t>ЗАВ2</t>
        </is>
      </c>
      <c r="C10" s="330" t="inlineStr">
        <is>
          <t>НЕФТЕПЕРЕРАБАТЫВАЮЩИЙ ЗАВОД (НПЗ)</t>
        </is>
      </c>
      <c r="D10" s="331" t="n"/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332" t="n"/>
    </row>
    <row r="11" ht="42" customHeight="1" s="769">
      <c r="A11" t="n">
        <v>668.351</v>
      </c>
      <c r="B11" s="333" t="inlineStr">
        <is>
          <t>ПОСТАВКА (ПОКУПКА) СЫРЬЯ  
ООО "ГАЗПРОМ НЕФТЕХИМ САЛАВАТ":</t>
        </is>
      </c>
      <c r="C11" s="334" t="inlineStr">
        <is>
          <t>1.</t>
        </is>
      </c>
      <c r="D11" s="333" t="inlineStr">
        <is>
          <t>ПОСТАВКА (ПОКУПКА) СЫРЬЯ  
ООО "ГАЗПРОМ НЕФТЕХИМ САЛАВАТ":</t>
        </is>
      </c>
      <c r="E11" s="528" t="inlineStr">
        <is>
          <t>100335977</t>
        </is>
      </c>
      <c r="F11" s="528" t="n"/>
      <c r="G11" s="529" t="n"/>
      <c r="H11" s="530" t="inlineStr">
        <is>
          <t>100335978+100335986+100335994+100335997</t>
        </is>
      </c>
      <c r="I11" s="530" t="n"/>
      <c r="J11" s="335" t="inlineStr">
        <is>
          <t>тыс.т.</t>
        </is>
      </c>
    </row>
    <row r="12" ht="21.75" customHeight="1" s="769">
      <c r="A12" t="n">
        <v>204.649</v>
      </c>
      <c r="B12" s="336" t="inlineStr">
        <is>
          <t>Конденсат газовый стабильный</t>
        </is>
      </c>
      <c r="C12" s="337" t="inlineStr">
        <is>
          <t>1.1</t>
        </is>
      </c>
      <c r="D12" s="336" t="inlineStr">
        <is>
          <t>Конденсат газовый стабильный</t>
        </is>
      </c>
      <c r="E12" s="528" t="inlineStr">
        <is>
          <t>100335978</t>
        </is>
      </c>
      <c r="F12" s="528" t="n"/>
      <c r="G12" s="529" t="n"/>
      <c r="H12" s="530" t="inlineStr">
        <is>
          <t>100335979+100335984+100335985</t>
        </is>
      </c>
      <c r="I12" s="530" t="n"/>
      <c r="J12" s="663" t="inlineStr">
        <is>
          <t>тыс.т.</t>
        </is>
      </c>
    </row>
    <row r="13" ht="21.75" customHeight="1" s="769">
      <c r="A13" t="n">
        <v>204.649</v>
      </c>
      <c r="B13" s="338" t="inlineStr">
        <is>
          <t xml:space="preserve">        ПАО "Газпром":</t>
        </is>
      </c>
      <c r="C13" s="838" t="inlineStr">
        <is>
          <t>1.1.1</t>
        </is>
      </c>
      <c r="D13" s="338" t="inlineStr">
        <is>
          <t xml:space="preserve">        ПАО "Газпром":</t>
        </is>
      </c>
      <c r="E13" s="528" t="inlineStr">
        <is>
          <t>100335979</t>
        </is>
      </c>
      <c r="F13" s="528" t="n"/>
      <c r="G13" s="529" t="n"/>
      <c r="H13" s="530" t="inlineStr">
        <is>
          <t>100335980+100335981+100335982+100335983</t>
        </is>
      </c>
      <c r="I13" s="530" t="n"/>
      <c r="J13" s="663" t="inlineStr">
        <is>
          <t>тыс.т.</t>
        </is>
      </c>
    </row>
    <row r="14" ht="21.75" customHeight="1" s="769">
      <c r="A14" t="n">
        <v>0</v>
      </c>
      <c r="B14" s="339" t="inlineStr">
        <is>
          <t>Астраханский ГПЗ</t>
        </is>
      </c>
      <c r="C14" s="838" t="n"/>
      <c r="D14" s="339" t="inlineStr">
        <is>
          <t>Астраханский ГПЗ</t>
        </is>
      </c>
      <c r="E14" s="528" t="inlineStr">
        <is>
          <t>100335980</t>
        </is>
      </c>
      <c r="F14" s="528" t="n"/>
      <c r="G14" s="529" t="n"/>
      <c r="H14" s="530" t="n"/>
      <c r="I14" s="530" t="n"/>
      <c r="J14" s="663" t="inlineStr">
        <is>
          <t>тыс.т.</t>
        </is>
      </c>
    </row>
    <row r="15" ht="21.75" customHeight="1" s="769">
      <c r="A15" t="n">
        <v>189.483</v>
      </c>
      <c r="B15" s="339" t="inlineStr">
        <is>
          <t>Сургутский ЗСК</t>
        </is>
      </c>
      <c r="C15" s="838" t="n"/>
      <c r="D15" s="339" t="inlineStr">
        <is>
          <t>Сургутский ЗСК</t>
        </is>
      </c>
      <c r="E15" s="528" t="inlineStr">
        <is>
          <t>100335981</t>
        </is>
      </c>
      <c r="F15" s="528" t="n"/>
      <c r="G15" s="529" t="n"/>
      <c r="H15" s="530" t="n"/>
      <c r="I15" s="530" t="n"/>
      <c r="J15" s="663" t="inlineStr">
        <is>
          <t>тыс.т.</t>
        </is>
      </c>
    </row>
    <row r="16" ht="21.75" customHeight="1" s="769">
      <c r="A16" t="n">
        <v>0</v>
      </c>
      <c r="B16" s="339" t="inlineStr">
        <is>
          <t>Сосногорский ГПЗ</t>
        </is>
      </c>
      <c r="C16" s="838" t="n"/>
      <c r="D16" s="339" t="inlineStr">
        <is>
          <t>Сосногорский ГПЗ</t>
        </is>
      </c>
      <c r="E16" s="528" t="inlineStr">
        <is>
          <t>100335982</t>
        </is>
      </c>
      <c r="F16" s="528" t="n"/>
      <c r="G16" s="529" t="n"/>
      <c r="H16" s="530" t="n"/>
      <c r="I16" s="530" t="n"/>
      <c r="J16" s="663" t="inlineStr">
        <is>
          <t>тыс.т.</t>
        </is>
      </c>
    </row>
    <row r="17" ht="21.75" customHeight="1" s="769">
      <c r="A17" t="n">
        <v>15.166</v>
      </c>
      <c r="B17" s="339" t="inlineStr">
        <is>
          <t>ООО "Газпром добыча Иркутск"</t>
        </is>
      </c>
      <c r="C17" s="838" t="n"/>
      <c r="D17" s="339" t="inlineStr">
        <is>
          <t>ООО "Газпром добыча Иркутск"</t>
        </is>
      </c>
      <c r="E17" s="528" t="inlineStr">
        <is>
          <t>100335983</t>
        </is>
      </c>
      <c r="F17" s="528" t="n"/>
      <c r="G17" s="529" t="n"/>
      <c r="H17" s="530" t="n"/>
      <c r="I17" s="530" t="n"/>
      <c r="J17" s="663" t="inlineStr">
        <is>
          <t>тыс.т.</t>
        </is>
      </c>
    </row>
    <row r="18" ht="21.75" customHeight="1" s="769">
      <c r="A18" t="n">
        <v>0</v>
      </c>
      <c r="B18" s="338" t="inlineStr">
        <is>
          <t xml:space="preserve">        ПАО "НОВАТЭК" </t>
        </is>
      </c>
      <c r="C18" s="838" t="inlineStr">
        <is>
          <t>1.1.2</t>
        </is>
      </c>
      <c r="D18" s="338" t="inlineStr">
        <is>
          <t xml:space="preserve">        ПАО "НОВАТЭК" </t>
        </is>
      </c>
      <c r="E18" s="528" t="inlineStr">
        <is>
          <t>100335984</t>
        </is>
      </c>
      <c r="F18" s="528" t="n"/>
      <c r="G18" s="529" t="n"/>
      <c r="H18" s="530" t="n"/>
      <c r="I18" s="530" t="n"/>
      <c r="J18" s="663" t="inlineStr">
        <is>
          <t>тыс.т.</t>
        </is>
      </c>
    </row>
    <row r="19" ht="21.75" customHeight="1" s="769">
      <c r="A19" t="n">
        <v>0</v>
      </c>
      <c r="B19" s="338" t="inlineStr">
        <is>
          <t xml:space="preserve">        Прочие поставщики</t>
        </is>
      </c>
      <c r="C19" s="838" t="inlineStr">
        <is>
          <t>1.1.3</t>
        </is>
      </c>
      <c r="D19" s="338" t="inlineStr">
        <is>
          <t xml:space="preserve">        Прочие поставщики</t>
        </is>
      </c>
      <c r="E19" s="528" t="inlineStr">
        <is>
          <t>100335985</t>
        </is>
      </c>
      <c r="F19" s="528" t="n"/>
      <c r="G19" s="529" t="n"/>
      <c r="H19" s="530" t="n"/>
      <c r="I19" s="530" t="n"/>
      <c r="J19" s="663" t="inlineStr">
        <is>
          <t>тыс.т.</t>
        </is>
      </c>
    </row>
    <row r="20" ht="21.75" customHeight="1" s="769">
      <c r="A20" t="n">
        <v>449.07</v>
      </c>
      <c r="B20" s="336" t="inlineStr">
        <is>
          <t>Нефть</t>
        </is>
      </c>
      <c r="C20" s="337" t="inlineStr">
        <is>
          <t>1.2</t>
        </is>
      </c>
      <c r="D20" s="336" t="inlineStr">
        <is>
          <t>Нефть</t>
        </is>
      </c>
      <c r="E20" s="528" t="inlineStr">
        <is>
          <t>100335986</t>
        </is>
      </c>
      <c r="F20" s="528" t="n"/>
      <c r="G20" s="529" t="n"/>
      <c r="H20" s="530" t="inlineStr">
        <is>
          <t>100335987+100335989+100335990+100335991+100335993+100335992+100336105</t>
        </is>
      </c>
      <c r="I20" s="530" t="n"/>
      <c r="J20" s="663" t="inlineStr">
        <is>
          <t>тыс.т.</t>
        </is>
      </c>
    </row>
    <row r="21" ht="21.75" customHeight="1" s="769">
      <c r="A21" t="n">
        <v>174.735</v>
      </c>
      <c r="B21" s="338" t="inlineStr">
        <is>
          <t xml:space="preserve">        ПАО "Газпром":</t>
        </is>
      </c>
      <c r="C21" s="838" t="inlineStr">
        <is>
          <t>1.2.1</t>
        </is>
      </c>
      <c r="D21" s="338" t="inlineStr">
        <is>
          <t xml:space="preserve">        ПАО "Газпром":</t>
        </is>
      </c>
      <c r="E21" s="528" t="inlineStr">
        <is>
          <t>100335987</t>
        </is>
      </c>
      <c r="F21" s="528" t="n"/>
      <c r="G21" s="529" t="n"/>
      <c r="H21" s="530" t="inlineStr">
        <is>
          <t>100335988</t>
        </is>
      </c>
      <c r="I21" s="530" t="n"/>
      <c r="J21" s="663" t="inlineStr">
        <is>
          <t>тыс.т.</t>
        </is>
      </c>
    </row>
    <row r="22" ht="21.75" customHeight="1" s="769">
      <c r="A22" t="n">
        <v>174.735</v>
      </c>
      <c r="B22" s="339" t="inlineStr">
        <is>
          <t xml:space="preserve"> Оренбургский ГПЗ</t>
        </is>
      </c>
      <c r="C22" s="838" t="n"/>
      <c r="D22" s="339" t="inlineStr">
        <is>
          <t xml:space="preserve"> Оренбургский ГПЗ</t>
        </is>
      </c>
      <c r="E22" s="528" t="inlineStr">
        <is>
          <t>100335988</t>
        </is>
      </c>
      <c r="F22" s="528" t="n"/>
      <c r="G22" s="529" t="n"/>
      <c r="H22" s="530" t="n"/>
      <c r="I22" s="530" t="n"/>
      <c r="J22" s="663" t="inlineStr">
        <is>
          <t>тыс.т.</t>
        </is>
      </c>
    </row>
    <row r="23" ht="21.75" customHeight="1" s="769">
      <c r="A23" t="n">
        <v>4.825</v>
      </c>
      <c r="B23" s="338" t="inlineStr">
        <is>
          <t xml:space="preserve">        ООО "Сервиснефтегаз" (Оренбургский ГПЗ)</t>
        </is>
      </c>
      <c r="C23" s="838" t="inlineStr">
        <is>
          <t>1.2.2</t>
        </is>
      </c>
      <c r="D23" s="338" t="inlineStr">
        <is>
          <t xml:space="preserve">        ООО "Сервиснефтегаз" (Оренбургский ГПЗ)</t>
        </is>
      </c>
      <c r="E23" s="528" t="inlineStr">
        <is>
          <t>100335989</t>
        </is>
      </c>
      <c r="F23" s="528" t="n"/>
      <c r="G23" s="529" t="n"/>
      <c r="H23" s="530" t="n"/>
      <c r="I23" s="530" t="n"/>
      <c r="J23" s="663" t="inlineStr">
        <is>
          <t>тыс.т.</t>
        </is>
      </c>
    </row>
    <row r="24" ht="21.75" customHeight="1" s="769">
      <c r="A24" t="n">
        <v>4.506</v>
      </c>
      <c r="B24" s="338" t="inlineStr">
        <is>
          <t xml:space="preserve">        ТОО "КазРосГаз" (Оренбургский ГПЗ)</t>
        </is>
      </c>
      <c r="C24" s="838" t="inlineStr">
        <is>
          <t>1.2.3</t>
        </is>
      </c>
      <c r="D24" s="338" t="inlineStr">
        <is>
          <t xml:space="preserve">        ТОО "КазРосГаз" (Оренбургский ГПЗ)</t>
        </is>
      </c>
      <c r="E24" s="528" t="inlineStr">
        <is>
          <t>100335990</t>
        </is>
      </c>
      <c r="F24" s="528" t="n"/>
      <c r="G24" s="529" t="n"/>
      <c r="H24" s="530" t="n"/>
      <c r="I24" s="530" t="n"/>
      <c r="J24" s="663" t="inlineStr">
        <is>
          <t>тыс.т.</t>
        </is>
      </c>
    </row>
    <row r="25" ht="21.75" customHeight="1" s="769">
      <c r="A25" t="n">
        <v>20.707</v>
      </c>
      <c r="B25" s="11" t="inlineStr">
        <is>
          <t>ООО "ГПН-Трейд Оренбург" (Оренбургский ГПЗ)</t>
        </is>
      </c>
      <c r="C25" s="838" t="inlineStr">
        <is>
          <t>1.2.4</t>
        </is>
      </c>
      <c r="D25" s="338" t="inlineStr">
        <is>
          <t xml:space="preserve">        ООО "ГПН-Трейд Оренбург" (Оренбургский ГПЗ)</t>
        </is>
      </c>
      <c r="E25" s="528" t="inlineStr">
        <is>
          <t>100336105</t>
        </is>
      </c>
      <c r="F25" s="528" t="n"/>
      <c r="G25" s="529" t="n"/>
      <c r="H25" s="530" t="n"/>
      <c r="I25" s="530" t="n"/>
      <c r="J25" s="663" t="inlineStr">
        <is>
          <t>тыс.т.</t>
        </is>
      </c>
    </row>
    <row r="26" ht="21.75" customHeight="1" s="769">
      <c r="A26" t="n">
        <v>81.477</v>
      </c>
      <c r="B26" s="338" t="inlineStr">
        <is>
          <t xml:space="preserve">        ООО "Газпром нефть Оренбург" Царичанская нефть</t>
        </is>
      </c>
      <c r="C26" s="838" t="inlineStr">
        <is>
          <t>1.2.5</t>
        </is>
      </c>
      <c r="D26" s="338" t="inlineStr">
        <is>
          <t xml:space="preserve">        ООО "Газпром нефть Оренбург" Царичанская нефть</t>
        </is>
      </c>
      <c r="E26" s="528" t="inlineStr">
        <is>
          <t>100335991</t>
        </is>
      </c>
      <c r="F26" s="528" t="n"/>
      <c r="G26" s="529" t="n"/>
      <c r="H26" s="530" t="n"/>
      <c r="I26" s="530" t="n"/>
      <c r="J26" s="663" t="inlineStr">
        <is>
          <t>тыс.т.</t>
        </is>
      </c>
    </row>
    <row r="27" ht="21.75" customHeight="1" s="769">
      <c r="A27" t="n">
        <v>153.554</v>
      </c>
      <c r="B27" s="338" t="inlineStr">
        <is>
          <t xml:space="preserve">        ПАО "Газпром нефть и пр. Западно-Сибирская нефть</t>
        </is>
      </c>
      <c r="C27" s="838" t="inlineStr">
        <is>
          <t>1.2.6</t>
        </is>
      </c>
      <c r="D27" s="338" t="inlineStr">
        <is>
          <t xml:space="preserve">        ПАО "Газпром нефть и пр. Западно-Сибирская нефть</t>
        </is>
      </c>
      <c r="E27" s="528" t="inlineStr">
        <is>
          <t>100335992</t>
        </is>
      </c>
      <c r="F27" s="528" t="n"/>
      <c r="G27" s="529" t="n"/>
      <c r="H27" s="530" t="n"/>
      <c r="I27" s="530" t="n"/>
      <c r="J27" s="663" t="inlineStr">
        <is>
          <t>тыс.т.</t>
        </is>
      </c>
    </row>
    <row r="28" ht="21.75" customHeight="1" s="769">
      <c r="A28" t="n">
        <v>9.266</v>
      </c>
      <c r="B28" s="338" t="inlineStr">
        <is>
          <t xml:space="preserve">        Прочие поставщики</t>
        </is>
      </c>
      <c r="C28" s="838" t="inlineStr">
        <is>
          <t>1.2.7</t>
        </is>
      </c>
      <c r="D28" s="338" t="inlineStr">
        <is>
          <t xml:space="preserve">        Прочие поставщики</t>
        </is>
      </c>
      <c r="E28" s="528" t="inlineStr">
        <is>
          <t>100335993</t>
        </is>
      </c>
      <c r="F28" s="528" t="n"/>
      <c r="G28" s="529" t="n"/>
      <c r="H28" s="530" t="n"/>
      <c r="I28" s="530" t="n"/>
      <c r="J28" s="663" t="inlineStr">
        <is>
          <t>тыс.т.</t>
        </is>
      </c>
    </row>
    <row r="29" ht="21.75" customHeight="1" s="769">
      <c r="A29" t="n">
        <v>8.718</v>
      </c>
      <c r="B29" s="336" t="inlineStr">
        <is>
          <t>Мазут</t>
        </is>
      </c>
      <c r="C29" s="337" t="inlineStr">
        <is>
          <t>1.3</t>
        </is>
      </c>
      <c r="D29" s="336" t="inlineStr">
        <is>
          <t>Мазут</t>
        </is>
      </c>
      <c r="E29" s="528" t="inlineStr">
        <is>
          <t>100335994</t>
        </is>
      </c>
      <c r="F29" s="528" t="n"/>
      <c r="G29" s="529" t="n"/>
      <c r="H29" s="530" t="inlineStr">
        <is>
          <t>100335995</t>
        </is>
      </c>
      <c r="I29" s="530" t="n"/>
      <c r="J29" s="663" t="inlineStr">
        <is>
          <t>тыс.т.</t>
        </is>
      </c>
    </row>
    <row r="30" ht="21.75" customHeight="1" s="769">
      <c r="A30" t="n">
        <v>8.718</v>
      </c>
      <c r="B30" s="338" t="inlineStr">
        <is>
          <t xml:space="preserve">        ПАО "Газпром":</t>
        </is>
      </c>
      <c r="C30" s="838" t="n"/>
      <c r="D30" s="338" t="inlineStr">
        <is>
          <t xml:space="preserve">        ПАО "Газпром":</t>
        </is>
      </c>
      <c r="E30" s="528" t="inlineStr">
        <is>
          <t>100335995</t>
        </is>
      </c>
      <c r="F30" s="528" t="n"/>
      <c r="G30" s="529" t="n"/>
      <c r="H30" s="530" t="inlineStr">
        <is>
          <t>100335996</t>
        </is>
      </c>
      <c r="I30" s="530" t="n"/>
      <c r="J30" s="663" t="inlineStr">
        <is>
          <t>тыс.т.</t>
        </is>
      </c>
    </row>
    <row r="31" ht="21.75" customHeight="1" s="769">
      <c r="A31" t="n">
        <v>8.718</v>
      </c>
      <c r="B31" s="339" t="inlineStr">
        <is>
          <t>Астраханский ГПЗ</t>
        </is>
      </c>
      <c r="C31" s="838" t="n"/>
      <c r="D31" s="339" t="inlineStr">
        <is>
          <t>Астраханский ГПЗ</t>
        </is>
      </c>
      <c r="E31" s="528" t="inlineStr">
        <is>
          <t>100335996</t>
        </is>
      </c>
      <c r="F31" s="528" t="n"/>
      <c r="G31" s="529" t="n"/>
      <c r="H31" s="530" t="n"/>
      <c r="I31" s="530" t="n"/>
      <c r="J31" s="663" t="inlineStr">
        <is>
          <t>тыс.т.</t>
        </is>
      </c>
    </row>
    <row r="32" ht="21.75" customHeight="1" s="769">
      <c r="A32" t="n">
        <v>5.914</v>
      </c>
      <c r="B32" s="340" t="inlineStr">
        <is>
          <t>Прочее углеводородное сырье</t>
        </is>
      </c>
      <c r="C32" s="337" t="inlineStr">
        <is>
          <t xml:space="preserve">1.4 </t>
        </is>
      </c>
      <c r="D32" s="340" t="inlineStr">
        <is>
          <t>Прочее углеводородное сырье</t>
        </is>
      </c>
      <c r="E32" s="528" t="inlineStr">
        <is>
          <t>100335997</t>
        </is>
      </c>
      <c r="F32" s="528" t="n"/>
      <c r="G32" s="529" t="n"/>
      <c r="H32" s="530" t="n"/>
      <c r="I32" s="530" t="n"/>
      <c r="J32" s="663" t="inlineStr">
        <is>
          <t>тыс.т.</t>
        </is>
      </c>
    </row>
    <row r="33" ht="42.75" customHeight="1" s="769">
      <c r="A33" t="n">
        <v>681.417</v>
      </c>
      <c r="B33" s="333" t="inlineStr">
        <is>
          <t>ПЕРЕРАБОТКА СЫРЬЯ/ПРОДУКЦИИ  
ООО "ГАЗПРОМ НЕФТЕХИМ САЛАВАТ":</t>
        </is>
      </c>
      <c r="C33" s="334" t="inlineStr">
        <is>
          <t>2.</t>
        </is>
      </c>
      <c r="D33" s="333" t="inlineStr">
        <is>
          <t>ПЕРЕРАБОТКА СЫРЬЯ/ПРОДУКЦИИ  
ООО "ГАЗПРОМ НЕФТЕХИМ САЛАВАТ":</t>
        </is>
      </c>
      <c r="E33" s="528" t="inlineStr">
        <is>
          <t>100330802</t>
        </is>
      </c>
      <c r="F33" s="528" t="n"/>
      <c r="G33" s="529" t="n"/>
      <c r="H33" s="530" t="inlineStr">
        <is>
          <t>100330804+100330803+100330807+100336015+100336014+100336018+100336016+100336017</t>
        </is>
      </c>
      <c r="I33" s="530" t="n"/>
      <c r="J33" s="335" t="inlineStr">
        <is>
          <t>тыс.т.</t>
        </is>
      </c>
    </row>
    <row r="34" ht="21.75" customHeight="1" s="769">
      <c r="A34" t="n">
        <v>178.253</v>
      </c>
      <c r="B34" s="336" t="inlineStr">
        <is>
          <t>Конденсат газовый стабильный</t>
        </is>
      </c>
      <c r="C34" s="337" t="inlineStr">
        <is>
          <t>2.1</t>
        </is>
      </c>
      <c r="D34" s="336" t="inlineStr">
        <is>
          <t>Конденсат газовый стабильный</t>
        </is>
      </c>
      <c r="E34" s="528" t="inlineStr">
        <is>
          <t>100330804</t>
        </is>
      </c>
      <c r="F34" s="528" t="n"/>
      <c r="G34" s="529" t="n"/>
      <c r="H34" s="530" t="inlineStr">
        <is>
          <t>100335998+100336003+100336004</t>
        </is>
      </c>
      <c r="I34" s="530" t="n"/>
      <c r="J34" s="663" t="inlineStr">
        <is>
          <t>тыс.т.</t>
        </is>
      </c>
    </row>
    <row r="35" ht="21.75" customHeight="1" s="769">
      <c r="A35" t="n">
        <v>178.253</v>
      </c>
      <c r="B35" s="338" t="inlineStr">
        <is>
          <t xml:space="preserve">        ПАО "Газпром":</t>
        </is>
      </c>
      <c r="C35" s="838" t="inlineStr">
        <is>
          <t>2.1.1</t>
        </is>
      </c>
      <c r="D35" s="338" t="inlineStr">
        <is>
          <t xml:space="preserve">        ПАО "Газпром":</t>
        </is>
      </c>
      <c r="E35" s="528" t="inlineStr">
        <is>
          <t>100335998</t>
        </is>
      </c>
      <c r="F35" s="528" t="n"/>
      <c r="G35" s="529" t="n"/>
      <c r="H35" s="530" t="inlineStr">
        <is>
          <t>100335999+100336000+100336001+100336002</t>
        </is>
      </c>
      <c r="I35" s="530" t="n"/>
      <c r="J35" s="663" t="inlineStr">
        <is>
          <t>тыс.т.</t>
        </is>
      </c>
    </row>
    <row r="36" ht="21.75" customHeight="1" s="769">
      <c r="A36" t="n">
        <v>1.484</v>
      </c>
      <c r="B36" s="339" t="inlineStr">
        <is>
          <t xml:space="preserve"> Астраханский ГПЗ</t>
        </is>
      </c>
      <c r="C36" s="838" t="n"/>
      <c r="D36" s="339" t="inlineStr">
        <is>
          <t xml:space="preserve"> Астраханский ГПЗ</t>
        </is>
      </c>
      <c r="E36" s="528" t="inlineStr">
        <is>
          <t>100335999</t>
        </is>
      </c>
      <c r="F36" s="528" t="n"/>
      <c r="G36" s="529" t="n"/>
      <c r="H36" s="530" t="n"/>
      <c r="I36" s="530" t="n"/>
      <c r="J36" s="663" t="inlineStr">
        <is>
          <t>тыс.т.</t>
        </is>
      </c>
    </row>
    <row r="37" ht="21.75" customHeight="1" s="769">
      <c r="A37" t="n">
        <v>161.213</v>
      </c>
      <c r="B37" s="339" t="inlineStr">
        <is>
          <t xml:space="preserve"> Сургутский ЗСК</t>
        </is>
      </c>
      <c r="C37" s="838" t="n"/>
      <c r="D37" s="339" t="inlineStr">
        <is>
          <t xml:space="preserve"> Сургутский ЗСК</t>
        </is>
      </c>
      <c r="E37" s="528" t="inlineStr">
        <is>
          <t>100336000</t>
        </is>
      </c>
      <c r="F37" s="528" t="n"/>
      <c r="G37" s="529" t="n"/>
      <c r="H37" s="530" t="n"/>
      <c r="I37" s="530" t="n"/>
      <c r="J37" s="663" t="inlineStr">
        <is>
          <t>тыс.т.</t>
        </is>
      </c>
    </row>
    <row r="38" ht="21.75" customHeight="1" s="769">
      <c r="A38" t="n">
        <v>0</v>
      </c>
      <c r="B38" s="339" t="inlineStr">
        <is>
          <t xml:space="preserve"> Сосногорский ГПЗ</t>
        </is>
      </c>
      <c r="C38" s="838" t="n"/>
      <c r="D38" s="339" t="inlineStr">
        <is>
          <t xml:space="preserve"> Сосногорский ГПЗ</t>
        </is>
      </c>
      <c r="E38" s="528" t="inlineStr">
        <is>
          <t>100336001</t>
        </is>
      </c>
      <c r="F38" s="528" t="n"/>
      <c r="G38" s="529" t="n"/>
      <c r="H38" s="530" t="n"/>
      <c r="I38" s="530" t="n"/>
      <c r="J38" s="663" t="inlineStr">
        <is>
          <t>тыс.т.</t>
        </is>
      </c>
    </row>
    <row r="39" ht="21.75" customHeight="1" s="769">
      <c r="A39" t="n">
        <v>15.556</v>
      </c>
      <c r="B39" s="339" t="inlineStr">
        <is>
          <t xml:space="preserve"> ООО "Газпром добыча Иркутск"</t>
        </is>
      </c>
      <c r="C39" s="838" t="n"/>
      <c r="D39" s="339" t="inlineStr">
        <is>
          <t xml:space="preserve"> ООО "Газпром добыча Иркутск"</t>
        </is>
      </c>
      <c r="E39" s="528" t="inlineStr">
        <is>
          <t>100336002</t>
        </is>
      </c>
      <c r="F39" s="528" t="n"/>
      <c r="G39" s="529" t="n"/>
      <c r="H39" s="530" t="n"/>
      <c r="I39" s="530" t="n"/>
      <c r="J39" s="663" t="inlineStr">
        <is>
          <t>тыс.т.</t>
        </is>
      </c>
    </row>
    <row r="40" ht="21.75" customHeight="1" s="769">
      <c r="A40" t="n">
        <v>0</v>
      </c>
      <c r="B40" s="338" t="inlineStr">
        <is>
          <t xml:space="preserve">        ПАО "НОВАТЭК" </t>
        </is>
      </c>
      <c r="C40" s="838" t="inlineStr">
        <is>
          <t>2.1.2</t>
        </is>
      </c>
      <c r="D40" s="338" t="inlineStr">
        <is>
          <t xml:space="preserve">        ПАО "НОВАТЭК" </t>
        </is>
      </c>
      <c r="E40" s="528" t="inlineStr">
        <is>
          <t>100336003</t>
        </is>
      </c>
      <c r="F40" s="528" t="n"/>
      <c r="G40" s="529" t="n"/>
      <c r="H40" s="530" t="n"/>
      <c r="I40" s="530" t="n"/>
      <c r="J40" s="663" t="inlineStr">
        <is>
          <t>тыс.т.</t>
        </is>
      </c>
    </row>
    <row r="41" ht="21.75" customHeight="1" s="769">
      <c r="A41" t="n">
        <v>0</v>
      </c>
      <c r="B41" s="338" t="inlineStr">
        <is>
          <t xml:space="preserve">        Прочие поставщики</t>
        </is>
      </c>
      <c r="C41" s="838" t="inlineStr">
        <is>
          <t>2.1.3</t>
        </is>
      </c>
      <c r="D41" s="338" t="inlineStr">
        <is>
          <t xml:space="preserve">        Прочие поставщики</t>
        </is>
      </c>
      <c r="E41" s="528" t="inlineStr">
        <is>
          <t>100336004</t>
        </is>
      </c>
      <c r="F41" s="528" t="n"/>
      <c r="G41" s="529" t="n"/>
      <c r="H41" s="530" t="n"/>
      <c r="I41" s="530" t="n"/>
      <c r="J41" s="663" t="inlineStr">
        <is>
          <t>тыс.т.</t>
        </is>
      </c>
    </row>
    <row r="42" ht="21.75" customHeight="1" s="769">
      <c r="A42" t="n">
        <v>451.729</v>
      </c>
      <c r="B42" s="336" t="inlineStr">
        <is>
          <t>Нефть</t>
        </is>
      </c>
      <c r="C42" s="337" t="inlineStr">
        <is>
          <t>2.2</t>
        </is>
      </c>
      <c r="D42" s="336" t="inlineStr">
        <is>
          <t>Нефть</t>
        </is>
      </c>
      <c r="E42" s="528" t="inlineStr">
        <is>
          <t>100330803</t>
        </is>
      </c>
      <c r="F42" s="528" t="n"/>
      <c r="G42" s="529" t="n"/>
      <c r="H42" s="530" t="inlineStr">
        <is>
          <t>100336005+100336007+100336008+100336009+100336011+100336010+100336106</t>
        </is>
      </c>
      <c r="I42" s="530" t="n"/>
      <c r="J42" s="663" t="inlineStr">
        <is>
          <t>тыс.т.</t>
        </is>
      </c>
    </row>
    <row r="43" ht="21.75" customHeight="1" s="769">
      <c r="A43" t="n">
        <v>175.334</v>
      </c>
      <c r="B43" s="338" t="inlineStr">
        <is>
          <t xml:space="preserve">        ПАО "Газпром":</t>
        </is>
      </c>
      <c r="C43" s="838" t="inlineStr">
        <is>
          <t>2.2.1</t>
        </is>
      </c>
      <c r="D43" s="338" t="inlineStr">
        <is>
          <t xml:space="preserve">        ПАО "Газпром":</t>
        </is>
      </c>
      <c r="E43" s="528" t="inlineStr">
        <is>
          <t>100336005</t>
        </is>
      </c>
      <c r="F43" s="528" t="n"/>
      <c r="G43" s="529" t="n"/>
      <c r="H43" s="530" t="inlineStr">
        <is>
          <t>100336006</t>
        </is>
      </c>
      <c r="I43" s="530" t="n"/>
      <c r="J43" s="663" t="inlineStr">
        <is>
          <t>тыс.т.</t>
        </is>
      </c>
    </row>
    <row r="44" ht="21.75" customHeight="1" s="769">
      <c r="A44" t="n">
        <v>175.334</v>
      </c>
      <c r="B44" s="339" t="inlineStr">
        <is>
          <t xml:space="preserve"> Оренбургский ГПЗ</t>
        </is>
      </c>
      <c r="C44" s="838" t="n"/>
      <c r="D44" s="339" t="inlineStr">
        <is>
          <t xml:space="preserve"> Оренбургский ГПЗ</t>
        </is>
      </c>
      <c r="E44" s="528" t="inlineStr">
        <is>
          <t>100336006</t>
        </is>
      </c>
      <c r="F44" s="528" t="n"/>
      <c r="G44" s="529" t="n"/>
      <c r="H44" s="530" t="n"/>
      <c r="I44" s="530" t="n"/>
      <c r="J44" s="663" t="inlineStr">
        <is>
          <t>тыс.т.</t>
        </is>
      </c>
    </row>
    <row r="45" ht="21.75" customHeight="1" s="769">
      <c r="A45" t="n">
        <v>4.825</v>
      </c>
      <c r="B45" s="338" t="inlineStr">
        <is>
          <t xml:space="preserve">        ООО "Сервиснефтегаз" (Оренбургский ГПЗ)</t>
        </is>
      </c>
      <c r="C45" s="838" t="inlineStr">
        <is>
          <t>2.2.2</t>
        </is>
      </c>
      <c r="D45" s="338" t="inlineStr">
        <is>
          <t xml:space="preserve">        ООО "Сервиснефтегаз" (Оренбургский ГПЗ)</t>
        </is>
      </c>
      <c r="E45" s="528" t="inlineStr">
        <is>
          <t>100336007</t>
        </is>
      </c>
      <c r="F45" s="528" t="n"/>
      <c r="G45" s="529" t="n"/>
      <c r="H45" s="530" t="n"/>
      <c r="I45" s="530" t="n"/>
      <c r="J45" s="663" t="inlineStr">
        <is>
          <t>тыс.т.</t>
        </is>
      </c>
    </row>
    <row r="46" ht="21.75" customHeight="1" s="769">
      <c r="A46" t="n">
        <v>4.506</v>
      </c>
      <c r="B46" s="338" t="inlineStr">
        <is>
          <t xml:space="preserve">        ТОО "КазРосГаз" (Оренбургский ГПЗ)</t>
        </is>
      </c>
      <c r="C46" s="838" t="inlineStr">
        <is>
          <t>2.2.3</t>
        </is>
      </c>
      <c r="D46" s="338" t="inlineStr">
        <is>
          <t xml:space="preserve">        ТОО "КазРосГаз" (Оренбургский ГПЗ)</t>
        </is>
      </c>
      <c r="E46" s="528" t="inlineStr">
        <is>
          <t>100336008</t>
        </is>
      </c>
      <c r="F46" s="528" t="n"/>
      <c r="G46" s="529" t="n"/>
      <c r="H46" s="530" t="n"/>
      <c r="I46" s="530" t="n"/>
      <c r="J46" s="663" t="inlineStr">
        <is>
          <t>тыс.т.</t>
        </is>
      </c>
    </row>
    <row r="47" ht="21.75" customHeight="1" s="769">
      <c r="A47" t="n">
        <v>20.707</v>
      </c>
      <c r="B47" s="11" t="inlineStr">
        <is>
          <t>ООО "ГПН-Трейд Оренбург" (Оренбургский ГПЗ)</t>
        </is>
      </c>
      <c r="C47" s="838" t="inlineStr">
        <is>
          <t>2.2.4</t>
        </is>
      </c>
      <c r="D47" s="11" t="inlineStr">
        <is>
          <t>ООО "ГПН-Трейд Оренбург" (Оренбургский ГПЗ)</t>
        </is>
      </c>
      <c r="E47" s="528" t="inlineStr">
        <is>
          <t>100336106</t>
        </is>
      </c>
      <c r="F47" s="528" t="n"/>
      <c r="G47" s="529" t="n"/>
      <c r="H47" s="530" t="n"/>
      <c r="I47" s="530" t="n"/>
      <c r="J47" s="663" t="inlineStr">
        <is>
          <t>тыс.т.</t>
        </is>
      </c>
    </row>
    <row r="48" ht="21.75" customHeight="1" s="769">
      <c r="A48" t="n">
        <v>80.917</v>
      </c>
      <c r="B48" s="338" t="inlineStr">
        <is>
          <t xml:space="preserve">        ООО "Газпром нефть Оренбург" Царичанская нефть</t>
        </is>
      </c>
      <c r="C48" s="838" t="inlineStr">
        <is>
          <t>2.2.5</t>
        </is>
      </c>
      <c r="D48" s="338" t="inlineStr">
        <is>
          <t xml:space="preserve">        ООО "Газпром нефть Оренбург" Царичанская нефть</t>
        </is>
      </c>
      <c r="E48" s="528" t="inlineStr">
        <is>
          <t>100336009</t>
        </is>
      </c>
      <c r="F48" s="528" t="n"/>
      <c r="G48" s="529" t="n"/>
      <c r="H48" s="530" t="n"/>
      <c r="I48" s="530" t="n"/>
      <c r="J48" s="663" t="inlineStr">
        <is>
          <t>тыс.т.</t>
        </is>
      </c>
    </row>
    <row r="49" ht="21.75" customHeight="1" s="769">
      <c r="A49" t="n">
        <v>156.595</v>
      </c>
      <c r="B49" s="338" t="inlineStr">
        <is>
          <t xml:space="preserve">        ПАО "Газпром нефть и пр. Западно-Сибирская нефть</t>
        </is>
      </c>
      <c r="C49" s="838" t="inlineStr">
        <is>
          <t>2.2.6</t>
        </is>
      </c>
      <c r="D49" s="338" t="inlineStr">
        <is>
          <t xml:space="preserve">        ПАО "Газпром нефть и пр. Западно-Сибирская нефть</t>
        </is>
      </c>
      <c r="E49" s="528" t="inlineStr">
        <is>
          <t>100336010</t>
        </is>
      </c>
      <c r="F49" s="528" t="n"/>
      <c r="G49" s="529" t="n"/>
      <c r="H49" s="530" t="n"/>
      <c r="I49" s="530" t="n"/>
      <c r="J49" s="663" t="inlineStr">
        <is>
          <t>тыс.т.</t>
        </is>
      </c>
    </row>
    <row r="50" ht="21.75" customHeight="1" s="769">
      <c r="A50" t="n">
        <v>8.845000000000001</v>
      </c>
      <c r="B50" s="338" t="inlineStr">
        <is>
          <t xml:space="preserve">        Прочие поставщики</t>
        </is>
      </c>
      <c r="C50" s="838" t="inlineStr">
        <is>
          <t>2.2.7</t>
        </is>
      </c>
      <c r="D50" s="338" t="inlineStr">
        <is>
          <t xml:space="preserve">        Прочие поставщики</t>
        </is>
      </c>
      <c r="E50" s="528" t="inlineStr">
        <is>
          <t>100336011</t>
        </is>
      </c>
      <c r="F50" s="528" t="n"/>
      <c r="G50" s="529" t="n"/>
      <c r="H50" s="530" t="n"/>
      <c r="I50" s="530" t="n"/>
      <c r="J50" s="663" t="inlineStr">
        <is>
          <t>тыс.т.</t>
        </is>
      </c>
    </row>
    <row r="51" ht="21.75" customHeight="1" s="769">
      <c r="A51" t="n">
        <v>8.882</v>
      </c>
      <c r="B51" s="336" t="inlineStr">
        <is>
          <t>Мазут</t>
        </is>
      </c>
      <c r="C51" s="337" t="inlineStr">
        <is>
          <t>2.3</t>
        </is>
      </c>
      <c r="D51" s="336" t="inlineStr">
        <is>
          <t>Мазут</t>
        </is>
      </c>
      <c r="E51" s="528" t="inlineStr">
        <is>
          <t>100330807</t>
        </is>
      </c>
      <c r="F51" s="528" t="n"/>
      <c r="G51" s="529" t="n"/>
      <c r="H51" s="530" t="inlineStr">
        <is>
          <t>100336012</t>
        </is>
      </c>
      <c r="I51" s="530" t="n"/>
      <c r="J51" s="663" t="inlineStr">
        <is>
          <t>тыс.т.</t>
        </is>
      </c>
    </row>
    <row r="52" ht="21.75" customHeight="1" s="769">
      <c r="A52" t="n">
        <v>8.882</v>
      </c>
      <c r="B52" s="338" t="inlineStr">
        <is>
          <t xml:space="preserve">        ПАО "Газпром":</t>
        </is>
      </c>
      <c r="C52" s="838" t="n"/>
      <c r="D52" s="338" t="inlineStr">
        <is>
          <t xml:space="preserve">        ПАО "Газпром":</t>
        </is>
      </c>
      <c r="E52" s="528" t="inlineStr">
        <is>
          <t>100336012</t>
        </is>
      </c>
      <c r="F52" s="528" t="n"/>
      <c r="G52" s="529" t="n"/>
      <c r="H52" s="530" t="inlineStr">
        <is>
          <t>100336013</t>
        </is>
      </c>
      <c r="I52" s="530" t="n"/>
      <c r="J52" s="663" t="inlineStr">
        <is>
          <t>тыс.т.</t>
        </is>
      </c>
    </row>
    <row r="53" ht="21.75" customHeight="1" s="769">
      <c r="A53" t="n">
        <v>8.882</v>
      </c>
      <c r="B53" s="339" t="inlineStr">
        <is>
          <t>Астраханский ГПЗ</t>
        </is>
      </c>
      <c r="C53" s="838" t="n"/>
      <c r="D53" s="339" t="inlineStr">
        <is>
          <t>Астраханский ГПЗ</t>
        </is>
      </c>
      <c r="E53" s="528" t="inlineStr">
        <is>
          <t>100336013</t>
        </is>
      </c>
      <c r="F53" s="528" t="n"/>
      <c r="G53" s="529" t="n"/>
      <c r="H53" s="530" t="n"/>
      <c r="I53" s="530" t="n"/>
      <c r="J53" s="663" t="inlineStr">
        <is>
          <t>тыс.т.</t>
        </is>
      </c>
    </row>
    <row r="54" ht="21.75" customHeight="1" s="769">
      <c r="A54" t="n">
        <v>5.914</v>
      </c>
      <c r="B54" s="340" t="inlineStr">
        <is>
          <t>Прочее углеводородное сырье</t>
        </is>
      </c>
      <c r="C54" s="337" t="inlineStr">
        <is>
          <t xml:space="preserve">2.4 </t>
        </is>
      </c>
      <c r="D54" s="340" t="inlineStr">
        <is>
          <t>Прочее углеводородное сырье</t>
        </is>
      </c>
      <c r="E54" s="528" t="inlineStr">
        <is>
          <t>100336014</t>
        </is>
      </c>
      <c r="F54" s="528" t="n"/>
      <c r="G54" s="529" t="n"/>
      <c r="H54" s="530" t="n"/>
      <c r="I54" s="530" t="n"/>
      <c r="J54" s="663" t="inlineStr">
        <is>
          <t>тыс.т.</t>
        </is>
      </c>
    </row>
    <row r="55" ht="21.75" customHeight="1" s="769">
      <c r="A55" t="n">
        <v>3.36</v>
      </c>
      <c r="B55" s="341" t="inlineStr">
        <is>
          <t xml:space="preserve">Продукция (сырье) с завода "Мономер" </t>
        </is>
      </c>
      <c r="C55" s="337" t="inlineStr">
        <is>
          <t>2.5</t>
        </is>
      </c>
      <c r="D55" s="341" t="inlineStr">
        <is>
          <t xml:space="preserve">Продукция (сырье) с завода "Мономер" </t>
        </is>
      </c>
      <c r="E55" s="528" t="inlineStr">
        <is>
          <t>100336015</t>
        </is>
      </c>
      <c r="F55" s="528" t="n"/>
      <c r="G55" s="529" t="n"/>
      <c r="H55" s="530" t="n"/>
      <c r="I55" s="530" t="n"/>
      <c r="J55" s="663" t="inlineStr">
        <is>
          <t>тыс.т.</t>
        </is>
      </c>
    </row>
    <row r="56" ht="21.75" customHeight="1" s="769">
      <c r="A56" t="n">
        <v>2.549</v>
      </c>
      <c r="B56" s="340" t="inlineStr">
        <is>
          <t>Присадки (добавки)</t>
        </is>
      </c>
      <c r="C56" s="337" t="inlineStr">
        <is>
          <t>2.6</t>
        </is>
      </c>
      <c r="D56" s="340" t="inlineStr">
        <is>
          <t>Присадки (добавки)</t>
        </is>
      </c>
      <c r="E56" s="528" t="inlineStr">
        <is>
          <t>100336016</t>
        </is>
      </c>
      <c r="F56" s="528" t="n"/>
      <c r="G56" s="529" t="n"/>
      <c r="H56" s="530" t="n"/>
      <c r="I56" s="530" t="n"/>
      <c r="J56" s="663" t="inlineStr">
        <is>
          <t>тыс.т.</t>
        </is>
      </c>
    </row>
    <row r="57" ht="21.75" customHeight="1" s="769">
      <c r="A57" t="n">
        <v>2.469</v>
      </c>
      <c r="B57" s="342" t="inlineStr">
        <is>
          <t xml:space="preserve"> в т.ч. МТБЭ</t>
        </is>
      </c>
      <c r="C57" s="337" t="n"/>
      <c r="D57" s="342" t="inlineStr">
        <is>
          <t xml:space="preserve"> в т.ч. МТБЭ</t>
        </is>
      </c>
      <c r="E57" s="528" t="inlineStr">
        <is>
          <t>100330805</t>
        </is>
      </c>
      <c r="F57" s="528" t="n"/>
      <c r="G57" s="529" t="n"/>
      <c r="H57" s="530" t="n"/>
      <c r="I57" s="530" t="n"/>
      <c r="J57" s="663" t="inlineStr">
        <is>
          <t>тыс.т.</t>
        </is>
      </c>
    </row>
    <row r="58" ht="21.75" customHeight="1" s="769">
      <c r="A58" t="n">
        <v>9.16</v>
      </c>
      <c r="B58" s="340" t="inlineStr">
        <is>
          <t>Прочее сырье (ХОВ, природный газ, и т.д.)</t>
        </is>
      </c>
      <c r="C58" s="337" t="inlineStr">
        <is>
          <t>2.7</t>
        </is>
      </c>
      <c r="D58" s="340" t="inlineStr">
        <is>
          <t>Прочее сырье (ХОВ, природный газ, и т.д.)</t>
        </is>
      </c>
      <c r="E58" s="528" t="inlineStr">
        <is>
          <t>100336017</t>
        </is>
      </c>
      <c r="F58" s="528" t="n"/>
      <c r="G58" s="529" t="n"/>
      <c r="H58" s="530" t="n"/>
      <c r="I58" s="530" t="n"/>
      <c r="J58" s="663" t="inlineStr">
        <is>
          <t>тыс.т.</t>
        </is>
      </c>
    </row>
    <row r="59" ht="21.75" customHeight="1" s="769">
      <c r="A59" t="n">
        <v>21.57</v>
      </c>
      <c r="B59" s="343" t="inlineStr">
        <is>
          <t>Продукция (сырье) принятая со склада</t>
        </is>
      </c>
      <c r="C59" s="337" t="inlineStr">
        <is>
          <t>2.8</t>
        </is>
      </c>
      <c r="D59" s="343" t="inlineStr">
        <is>
          <t>Продукция (сырье) принятая со склада</t>
        </is>
      </c>
      <c r="E59" s="528" t="inlineStr">
        <is>
          <t>100336018</t>
        </is>
      </c>
      <c r="F59" s="528" t="n"/>
      <c r="G59" s="529" t="n"/>
      <c r="H59" s="530" t="n"/>
      <c r="I59" s="530" t="n"/>
      <c r="J59" s="663" t="inlineStr">
        <is>
          <t>тыс.т.</t>
        </is>
      </c>
    </row>
    <row r="60" ht="42.75" customHeight="1" s="769">
      <c r="A60" s="795" t="n"/>
      <c r="B60" s="333" t="inlineStr">
        <is>
          <t>ПРОДУКЦИЯ 
ООО "ГАЗПРОМ НЕФТЕХИМ САЛАВАТ":</t>
        </is>
      </c>
      <c r="C60" s="334" t="inlineStr">
        <is>
          <t>3.</t>
        </is>
      </c>
      <c r="D60" s="333" t="inlineStr">
        <is>
          <t>ПРОДУКЦИЯ 
ООО "ГАЗПРОМ НЕФТЕХИМ САЛАВАТ":</t>
        </is>
      </c>
      <c r="E60" s="528" t="inlineStr">
        <is>
          <t>100330808</t>
        </is>
      </c>
      <c r="F60" s="528" t="n"/>
      <c r="G60" s="529" t="n"/>
      <c r="H60" s="530" t="n"/>
      <c r="I60" s="530" t="n"/>
      <c r="J60" s="335" t="n"/>
    </row>
    <row r="61" ht="21.75" customHeight="1" s="769">
      <c r="A61" t="n">
        <v>152.714</v>
      </c>
      <c r="B61" s="504" t="inlineStr">
        <is>
          <t>Бензин автомобильный (товар)</t>
        </is>
      </c>
      <c r="C61" s="337" t="inlineStr">
        <is>
          <t>3.1</t>
        </is>
      </c>
      <c r="D61" s="504" t="inlineStr">
        <is>
          <t>Бензин автомобильный (товар)</t>
        </is>
      </c>
      <c r="E61" s="528" t="inlineStr">
        <is>
          <t>100330107</t>
        </is>
      </c>
      <c r="F61" s="528" t="n"/>
      <c r="G61" s="529" t="n"/>
      <c r="H61" s="530" t="inlineStr">
        <is>
          <t>100331906+100331907</t>
        </is>
      </c>
      <c r="I61" s="530" t="n"/>
      <c r="J61" s="663" t="inlineStr">
        <is>
          <t>тыс.т.</t>
        </is>
      </c>
    </row>
    <row r="62" ht="21.75" customHeight="1" s="769">
      <c r="A62" t="n">
        <v>112.031</v>
      </c>
      <c r="B62" s="344" t="inlineStr">
        <is>
          <t>Бензин с ОЧ 92 (К5)</t>
        </is>
      </c>
      <c r="C62" s="337" t="n"/>
      <c r="D62" s="344" t="inlineStr">
        <is>
          <t>Бензин с ОЧ 92 (К5)</t>
        </is>
      </c>
      <c r="E62" s="528" t="inlineStr">
        <is>
          <t>100331906</t>
        </is>
      </c>
      <c r="F62" s="528" t="n"/>
      <c r="G62" s="529" t="n"/>
      <c r="H62" s="530" t="n"/>
      <c r="I62" s="530" t="n"/>
      <c r="J62" s="663" t="inlineStr">
        <is>
          <t>тыс.т.</t>
        </is>
      </c>
    </row>
    <row r="63" ht="21.75" customHeight="1" s="769">
      <c r="A63" t="n">
        <v>40.683</v>
      </c>
      <c r="B63" s="344" t="inlineStr">
        <is>
          <t>Бензин с ОЧ 95 (К5)</t>
        </is>
      </c>
      <c r="C63" s="337" t="n"/>
      <c r="D63" s="344" t="inlineStr">
        <is>
          <t>Бензин с ОЧ 95 (К5)</t>
        </is>
      </c>
      <c r="E63" s="528" t="inlineStr">
        <is>
          <t>100331907</t>
        </is>
      </c>
      <c r="F63" s="528" t="n"/>
      <c r="G63" s="529" t="n"/>
      <c r="H63" s="530" t="n"/>
      <c r="I63" s="530" t="n"/>
      <c r="J63" s="663" t="inlineStr">
        <is>
          <t>тыс.т.</t>
        </is>
      </c>
    </row>
    <row r="64" ht="21.75" customHeight="1" s="769">
      <c r="A64" t="n">
        <v>73.988</v>
      </c>
      <c r="B64" s="504" t="inlineStr">
        <is>
          <t>Бензин на завод "Мономер"</t>
        </is>
      </c>
      <c r="C64" s="337" t="inlineStr">
        <is>
          <t>3.2</t>
        </is>
      </c>
      <c r="D64" s="504" t="inlineStr">
        <is>
          <t>Бензин на завод "Мономер"</t>
        </is>
      </c>
      <c r="E64" s="528" t="inlineStr">
        <is>
          <t>100336019</t>
        </is>
      </c>
      <c r="F64" s="528" t="n"/>
      <c r="G64" s="529" t="n"/>
      <c r="H64" s="530" t="n"/>
      <c r="I64" s="530" t="n"/>
      <c r="J64" s="663" t="inlineStr">
        <is>
          <t>тыс.т.</t>
        </is>
      </c>
    </row>
    <row r="65" ht="21.75" customHeight="1" s="769">
      <c r="A65" t="n">
        <v>54.786</v>
      </c>
      <c r="B65" s="504" t="inlineStr">
        <is>
          <t>Дистиллят газового конденсата легкий (товар)</t>
        </is>
      </c>
      <c r="C65" s="337" t="inlineStr">
        <is>
          <t>3.3</t>
        </is>
      </c>
      <c r="D65" s="504" t="inlineStr">
        <is>
          <t>Дистиллят газового конденсата легкий (товар)</t>
        </is>
      </c>
      <c r="E65" s="528" t="inlineStr">
        <is>
          <t>100330815</t>
        </is>
      </c>
      <c r="F65" s="528" t="n"/>
      <c r="G65" s="529" t="n"/>
      <c r="H65" s="530" t="inlineStr">
        <is>
          <t>100336020+100336021</t>
        </is>
      </c>
      <c r="I65" s="530" t="n"/>
      <c r="J65" s="663" t="inlineStr">
        <is>
          <t>тыс.т.</t>
        </is>
      </c>
    </row>
    <row r="66" ht="21.75" customHeight="1" s="769">
      <c r="A66" t="n">
        <v>55.602</v>
      </c>
      <c r="B66" s="344" t="inlineStr">
        <is>
          <t>ДГКл марки А</t>
        </is>
      </c>
      <c r="C66" s="337" t="n"/>
      <c r="D66" s="344" t="inlineStr">
        <is>
          <t>ДГКл марки А</t>
        </is>
      </c>
      <c r="E66" s="528" t="inlineStr">
        <is>
          <t>100336020</t>
        </is>
      </c>
      <c r="F66" s="528" t="n"/>
      <c r="G66" s="529" t="n"/>
      <c r="H66" s="530" t="n"/>
      <c r="I66" s="530" t="n"/>
      <c r="J66" s="663" t="inlineStr">
        <is>
          <t>тыс.т.</t>
        </is>
      </c>
    </row>
    <row r="67" ht="21.75" customHeight="1" s="769">
      <c r="A67" t="n">
        <v>-0.8159999999999999</v>
      </c>
      <c r="B67" s="344" t="inlineStr">
        <is>
          <t>ДГКл марки Б</t>
        </is>
      </c>
      <c r="C67" s="337" t="n"/>
      <c r="D67" s="344" t="inlineStr">
        <is>
          <t>ДГКл марки Б</t>
        </is>
      </c>
      <c r="E67" s="528" t="inlineStr">
        <is>
          <t>100336021</t>
        </is>
      </c>
      <c r="F67" s="528" t="n"/>
      <c r="G67" s="529" t="n"/>
      <c r="H67" s="530" t="n"/>
      <c r="I67" s="530" t="n"/>
      <c r="J67" s="663" t="inlineStr">
        <is>
          <t>тыс.т.</t>
        </is>
      </c>
    </row>
    <row r="68" ht="21.75" customHeight="1" s="769">
      <c r="A68" t="n">
        <v>0</v>
      </c>
      <c r="B68" s="504" t="inlineStr">
        <is>
          <t xml:space="preserve">Бензин технический (товар) </t>
        </is>
      </c>
      <c r="C68" s="337" t="inlineStr">
        <is>
          <t>3.4</t>
        </is>
      </c>
      <c r="D68" s="504" t="inlineStr">
        <is>
          <t xml:space="preserve">Бензин технический (товар) </t>
        </is>
      </c>
      <c r="E68" s="528" t="inlineStr">
        <is>
          <t>100335765</t>
        </is>
      </c>
      <c r="F68" s="528" t="n"/>
      <c r="G68" s="529" t="n"/>
      <c r="H68" s="530" t="n"/>
      <c r="I68" s="530" t="n"/>
      <c r="J68" s="663" t="inlineStr">
        <is>
          <t>тыс.т.</t>
        </is>
      </c>
    </row>
    <row r="69" ht="21.75" customHeight="1" s="769">
      <c r="A69" t="n">
        <v>20.115</v>
      </c>
      <c r="B69" s="504" t="inlineStr">
        <is>
          <t>ШФЛУ</t>
        </is>
      </c>
      <c r="C69" s="337" t="inlineStr">
        <is>
          <t>3.5</t>
        </is>
      </c>
      <c r="D69" s="504" t="inlineStr">
        <is>
          <t>ШФЛУ</t>
        </is>
      </c>
      <c r="E69" s="528" t="inlineStr">
        <is>
          <t>100330817</t>
        </is>
      </c>
      <c r="F69" s="528" t="n"/>
      <c r="G69" s="529" t="n"/>
      <c r="H69" s="530" t="inlineStr">
        <is>
          <t>100336022+100336023</t>
        </is>
      </c>
      <c r="I69" s="530" t="n"/>
      <c r="J69" s="663" t="inlineStr">
        <is>
          <t>тыс.т.</t>
        </is>
      </c>
    </row>
    <row r="70" ht="21.75" customHeight="1" s="769">
      <c r="A70" t="n">
        <v>0</v>
      </c>
      <c r="B70" s="344" t="inlineStr">
        <is>
          <t>Товар</t>
        </is>
      </c>
      <c r="C70" s="337" t="n"/>
      <c r="D70" s="344" t="inlineStr">
        <is>
          <t>Товар</t>
        </is>
      </c>
      <c r="E70" s="528" t="inlineStr">
        <is>
          <t>100336022</t>
        </is>
      </c>
      <c r="F70" s="528" t="n"/>
      <c r="G70" s="529" t="n"/>
      <c r="H70" s="530" t="n"/>
      <c r="I70" s="530" t="n"/>
      <c r="J70" s="663" t="inlineStr">
        <is>
          <t>тыс.т.</t>
        </is>
      </c>
    </row>
    <row r="71" ht="21.75" customHeight="1" s="769">
      <c r="A71" t="n">
        <v>20.115</v>
      </c>
      <c r="B71" s="344" t="inlineStr">
        <is>
          <t>На завод "Мономер"</t>
        </is>
      </c>
      <c r="C71" s="337" t="n"/>
      <c r="D71" s="344" t="inlineStr">
        <is>
          <t>На завод "Мономер"</t>
        </is>
      </c>
      <c r="E71" s="528" t="inlineStr">
        <is>
          <t>100336023</t>
        </is>
      </c>
      <c r="F71" s="528" t="n"/>
      <c r="G71" s="529" t="n"/>
      <c r="H71" s="530" t="n"/>
      <c r="I71" s="530" t="n"/>
      <c r="J71" s="663" t="inlineStr">
        <is>
          <t>тыс.т.</t>
        </is>
      </c>
    </row>
    <row r="72" ht="21.75" customHeight="1" s="769">
      <c r="A72" t="n">
        <v>0</v>
      </c>
      <c r="B72" s="504" t="inlineStr">
        <is>
          <t>Фракция изопентановая (товар)</t>
        </is>
      </c>
      <c r="C72" s="337" t="inlineStr">
        <is>
          <t>3.6</t>
        </is>
      </c>
      <c r="D72" s="504" t="inlineStr">
        <is>
          <t>Фракция изопентановая (товар)</t>
        </is>
      </c>
      <c r="E72" s="528" t="inlineStr">
        <is>
          <t>100330944</t>
        </is>
      </c>
      <c r="F72" s="528" t="n"/>
      <c r="G72" s="529" t="n"/>
      <c r="H72" s="530" t="n"/>
      <c r="I72" s="530" t="n"/>
      <c r="J72" s="663" t="inlineStr">
        <is>
          <t>тыс.т.</t>
        </is>
      </c>
    </row>
    <row r="73" ht="21.75" customHeight="1" s="769">
      <c r="A73" t="n">
        <v>217.083</v>
      </c>
      <c r="B73" s="504" t="inlineStr">
        <is>
          <t>Дизельное топливо (товар)</t>
        </is>
      </c>
      <c r="C73" s="337" t="inlineStr">
        <is>
          <t>3.7</t>
        </is>
      </c>
      <c r="D73" s="504" t="inlineStr">
        <is>
          <t>Дизельное топливо (товар)</t>
        </is>
      </c>
      <c r="E73" s="528" t="inlineStr">
        <is>
          <t>100330123</t>
        </is>
      </c>
      <c r="F73" s="528" t="n"/>
      <c r="G73" s="529" t="n"/>
      <c r="H73" s="530" t="inlineStr">
        <is>
          <t>100330812+100330813+100330814</t>
        </is>
      </c>
      <c r="I73" s="530" t="n"/>
      <c r="J73" s="663" t="inlineStr">
        <is>
          <t>тыс.т.</t>
        </is>
      </c>
    </row>
    <row r="74" ht="21.75" customHeight="1" s="769">
      <c r="A74" t="n">
        <v>195.902</v>
      </c>
      <c r="B74" s="344" t="inlineStr">
        <is>
          <t>ДТ летнее</t>
        </is>
      </c>
      <c r="C74" s="337" t="n"/>
      <c r="D74" s="344" t="inlineStr">
        <is>
          <t>ДТ летнее</t>
        </is>
      </c>
      <c r="E74" s="528" t="inlineStr">
        <is>
          <t>100330812</t>
        </is>
      </c>
      <c r="F74" s="528" t="n"/>
      <c r="G74" s="529" t="n"/>
      <c r="H74" s="530" t="n"/>
      <c r="I74" s="530" t="n"/>
      <c r="J74" s="663" t="inlineStr">
        <is>
          <t>тыс.т.</t>
        </is>
      </c>
    </row>
    <row r="75" ht="21.75" customHeight="1" s="769">
      <c r="A75" t="n">
        <v>21.181</v>
      </c>
      <c r="B75" s="344" t="inlineStr">
        <is>
          <t>ДТ зимнее</t>
        </is>
      </c>
      <c r="C75" s="337" t="n"/>
      <c r="D75" s="344" t="inlineStr">
        <is>
          <t>ДТ зимнее</t>
        </is>
      </c>
      <c r="E75" s="528" t="inlineStr">
        <is>
          <t>100330813</t>
        </is>
      </c>
      <c r="F75" s="528" t="n"/>
      <c r="G75" s="529" t="n"/>
      <c r="H75" s="530" t="n"/>
      <c r="I75" s="530" t="n"/>
      <c r="J75" s="663" t="inlineStr">
        <is>
          <t>тыс.т.</t>
        </is>
      </c>
    </row>
    <row r="76" ht="21.75" customHeight="1" s="769">
      <c r="A76" t="n">
        <v>0</v>
      </c>
      <c r="B76" s="344" t="inlineStr">
        <is>
          <t>ДТ арктическое</t>
        </is>
      </c>
      <c r="C76" s="337" t="n"/>
      <c r="D76" s="344" t="inlineStr">
        <is>
          <t>ДТ арктическое</t>
        </is>
      </c>
      <c r="E76" s="528" t="inlineStr">
        <is>
          <t>100330814</t>
        </is>
      </c>
      <c r="F76" s="528" t="n"/>
      <c r="G76" s="529" t="n"/>
      <c r="H76" s="530" t="n"/>
      <c r="I76" s="530" t="n"/>
      <c r="J76" s="663" t="inlineStr">
        <is>
          <t>тыс.т.</t>
        </is>
      </c>
    </row>
    <row r="77" ht="21.75" customHeight="1" s="769">
      <c r="A77" t="n">
        <v>0</v>
      </c>
      <c r="B77" s="504" t="inlineStr">
        <is>
          <t>Газойль (товар)</t>
        </is>
      </c>
      <c r="C77" s="337" t="inlineStr">
        <is>
          <t>3.8</t>
        </is>
      </c>
      <c r="D77" s="504" t="inlineStr">
        <is>
          <t>Газойль (товар)</t>
        </is>
      </c>
      <c r="E77" s="528" t="inlineStr">
        <is>
          <t>100335767</t>
        </is>
      </c>
      <c r="F77" s="528" t="n"/>
      <c r="G77" s="529" t="n"/>
      <c r="H77" s="530" t="inlineStr">
        <is>
          <t>100337107+100337108</t>
        </is>
      </c>
      <c r="I77" s="530" t="n"/>
      <c r="J77" s="663" t="inlineStr">
        <is>
          <t>тыс.т.</t>
        </is>
      </c>
    </row>
    <row r="78" ht="21.75" customHeight="1" s="769">
      <c r="B78" s="504" t="n"/>
      <c r="C78" s="337" t="n"/>
      <c r="D78" s="376" t="inlineStr">
        <is>
          <t>Товар</t>
        </is>
      </c>
      <c r="E78" s="528" t="inlineStr">
        <is>
          <t>100337107</t>
        </is>
      </c>
      <c r="F78" s="528" t="n"/>
      <c r="G78" s="529" t="n"/>
      <c r="H78" s="530" t="n"/>
      <c r="I78" s="530" t="n"/>
      <c r="J78" s="663" t="n"/>
    </row>
    <row r="79" ht="21.75" customHeight="1" s="769">
      <c r="B79" s="504" t="n"/>
      <c r="C79" s="337" t="n"/>
      <c r="D79" s="376" t="inlineStr">
        <is>
          <t>На завод "Мономер"</t>
        </is>
      </c>
      <c r="E79" s="528" t="inlineStr">
        <is>
          <t>100337108</t>
        </is>
      </c>
      <c r="F79" s="528" t="n"/>
      <c r="G79" s="529" t="n"/>
      <c r="H79" s="530" t="n"/>
      <c r="I79" s="530" t="n"/>
      <c r="J79" s="663" t="n"/>
    </row>
    <row r="80" ht="21.75" customHeight="1" s="769">
      <c r="A80" t="n">
        <v>0.548</v>
      </c>
      <c r="B80" s="504" t="inlineStr">
        <is>
          <t>Топливо нефтяное АВТ</t>
        </is>
      </c>
      <c r="C80" s="337" t="inlineStr">
        <is>
          <t>3.9</t>
        </is>
      </c>
      <c r="D80" s="504" t="inlineStr">
        <is>
          <t>Топливо нефтяное АВТ</t>
        </is>
      </c>
      <c r="E80" s="528" t="inlineStr">
        <is>
          <t>100330819</t>
        </is>
      </c>
      <c r="F80" s="528" t="n"/>
      <c r="G80" s="529" t="n"/>
      <c r="H80" s="530" t="inlineStr">
        <is>
          <t>100336024+100336025</t>
        </is>
      </c>
      <c r="I80" s="530" t="n"/>
      <c r="J80" s="663" t="inlineStr">
        <is>
          <t>тыс.т.</t>
        </is>
      </c>
    </row>
    <row r="81" ht="21.75" customHeight="1" s="769">
      <c r="A81" t="n">
        <v>0</v>
      </c>
      <c r="B81" s="344" t="inlineStr">
        <is>
          <t>Товар</t>
        </is>
      </c>
      <c r="C81" s="337" t="n"/>
      <c r="D81" s="344" t="inlineStr">
        <is>
          <t>Товар</t>
        </is>
      </c>
      <c r="E81" s="528" t="inlineStr">
        <is>
          <t>100336024</t>
        </is>
      </c>
      <c r="F81" s="528" t="n"/>
      <c r="G81" s="529" t="n"/>
      <c r="H81" s="530" t="n"/>
      <c r="I81" s="530" t="n"/>
      <c r="J81" s="663" t="inlineStr">
        <is>
          <t>тыс.т.</t>
        </is>
      </c>
    </row>
    <row r="82" ht="21.75" customHeight="1" s="769">
      <c r="A82" t="n">
        <v>0.548</v>
      </c>
      <c r="B82" s="344" t="inlineStr">
        <is>
          <t>На завод "Мономер"</t>
        </is>
      </c>
      <c r="C82" s="337" t="n"/>
      <c r="D82" s="344" t="inlineStr">
        <is>
          <t>На завод "Мономер"</t>
        </is>
      </c>
      <c r="E82" s="528" t="inlineStr">
        <is>
          <t>100336025</t>
        </is>
      </c>
      <c r="F82" s="528" t="n"/>
      <c r="G82" s="529" t="n"/>
      <c r="H82" s="530" t="n"/>
      <c r="I82" s="530" t="n"/>
      <c r="J82" s="663" t="inlineStr">
        <is>
          <t>тыс.т.</t>
        </is>
      </c>
    </row>
    <row r="83" ht="21.75" customHeight="1" s="769">
      <c r="A83" t="n">
        <v>41.813</v>
      </c>
      <c r="B83" s="504" t="inlineStr">
        <is>
          <t>Мазут топочный (товар)</t>
        </is>
      </c>
      <c r="C83" s="337" t="inlineStr">
        <is>
          <t>3.10</t>
        </is>
      </c>
      <c r="D83" s="504" t="inlineStr">
        <is>
          <t>Мазут топочный (товар)</t>
        </is>
      </c>
      <c r="E83" s="528" t="inlineStr">
        <is>
          <t>100330822</t>
        </is>
      </c>
      <c r="F83" s="528" t="n"/>
      <c r="G83" s="529" t="n"/>
      <c r="H83" s="530" t="n"/>
      <c r="I83" s="530" t="n"/>
      <c r="J83" s="663" t="inlineStr">
        <is>
          <t>тыс.т.</t>
        </is>
      </c>
    </row>
    <row r="84" ht="21.75" customHeight="1" s="769">
      <c r="A84" t="n">
        <v>33.613</v>
      </c>
      <c r="B84" s="504" t="inlineStr">
        <is>
          <t>Сырье для битума/гудрон (товар)</t>
        </is>
      </c>
      <c r="C84" s="337" t="inlineStr">
        <is>
          <t>3.11</t>
        </is>
      </c>
      <c r="D84" s="504" t="inlineStr">
        <is>
          <t>Сырье для битума/гудрон (товар)</t>
        </is>
      </c>
      <c r="E84" s="528" t="inlineStr">
        <is>
          <t>100330820</t>
        </is>
      </c>
      <c r="F84" s="528" t="n"/>
      <c r="G84" s="529" t="n"/>
      <c r="H84" s="530" t="n"/>
      <c r="I84" s="530" t="n"/>
      <c r="J84" s="663" t="inlineStr">
        <is>
          <t>тыс.т.</t>
        </is>
      </c>
    </row>
    <row r="85" ht="21.75" customHeight="1" s="769">
      <c r="A85" t="n">
        <v>20.375</v>
      </c>
      <c r="B85" s="504" t="inlineStr">
        <is>
          <t>Нефтебитум дорожный (товар)</t>
        </is>
      </c>
      <c r="C85" s="337" t="inlineStr">
        <is>
          <t>3.12</t>
        </is>
      </c>
      <c r="D85" s="504" t="inlineStr">
        <is>
          <t>Нефтебитум дорожный (товар)</t>
        </is>
      </c>
      <c r="E85" s="528" t="inlineStr">
        <is>
          <t>100330821</t>
        </is>
      </c>
      <c r="F85" s="528" t="n"/>
      <c r="G85" s="529" t="n"/>
      <c r="H85" s="530" t="n"/>
      <c r="I85" s="530" t="n"/>
      <c r="J85" s="663" t="inlineStr">
        <is>
          <t>тыс.т.</t>
        </is>
      </c>
    </row>
    <row r="86" ht="21.75" customHeight="1" s="769">
      <c r="A86" t="n">
        <v>1.364</v>
      </c>
      <c r="B86" s="504" t="inlineStr">
        <is>
          <t>Толуол</t>
        </is>
      </c>
      <c r="C86" s="337" t="inlineStr">
        <is>
          <t>3.13</t>
        </is>
      </c>
      <c r="D86" s="504" t="inlineStr">
        <is>
          <t>Толуол</t>
        </is>
      </c>
      <c r="E86" s="528" t="inlineStr">
        <is>
          <t>100335766</t>
        </is>
      </c>
      <c r="F86" s="528" t="n"/>
      <c r="G86" s="529" t="n"/>
      <c r="H86" s="530" t="n"/>
      <c r="I86" s="530" t="n"/>
      <c r="J86" s="663" t="inlineStr">
        <is>
          <t>тыс.т.</t>
        </is>
      </c>
    </row>
    <row r="87" ht="21.75" customHeight="1" s="769">
      <c r="A87" t="n">
        <v>0.444</v>
      </c>
      <c r="B87" s="344" t="inlineStr">
        <is>
          <t>Товар</t>
        </is>
      </c>
      <c r="C87" s="337" t="n"/>
      <c r="D87" s="344" t="inlineStr">
        <is>
          <t>Товар</t>
        </is>
      </c>
      <c r="E87" s="528" t="inlineStr">
        <is>
          <t>100336026</t>
        </is>
      </c>
      <c r="F87" s="528" t="n"/>
      <c r="G87" s="529" t="n"/>
      <c r="H87" s="530" t="n"/>
      <c r="I87" s="530" t="n"/>
      <c r="J87" s="663" t="inlineStr">
        <is>
          <t>тыс.т.</t>
        </is>
      </c>
    </row>
    <row r="88" ht="21.75" customHeight="1" s="769">
      <c r="A88" t="n">
        <v>0.029</v>
      </c>
      <c r="B88" s="344" t="inlineStr">
        <is>
          <t>На завод "Мономер"</t>
        </is>
      </c>
      <c r="C88" s="337" t="n"/>
      <c r="D88" s="344" t="inlineStr">
        <is>
          <t>На завод "Мономер"</t>
        </is>
      </c>
      <c r="E88" s="528" t="inlineStr">
        <is>
          <t>100336027</t>
        </is>
      </c>
      <c r="F88" s="528" t="n"/>
      <c r="G88" s="529" t="n"/>
      <c r="H88" s="530" t="n"/>
      <c r="I88" s="530" t="n"/>
      <c r="J88" s="663" t="inlineStr">
        <is>
          <t>тыс.т.</t>
        </is>
      </c>
    </row>
    <row r="89" ht="21.75" customHeight="1" s="769">
      <c r="A89" t="n">
        <v>0.059</v>
      </c>
      <c r="B89" s="344" t="inlineStr">
        <is>
          <t>На ООО "Акрил-Салават"</t>
        </is>
      </c>
      <c r="C89" s="337" t="n"/>
      <c r="D89" s="344" t="inlineStr">
        <is>
          <t>На ООО "Акрил-Салават"</t>
        </is>
      </c>
      <c r="E89" s="528" t="inlineStr">
        <is>
          <t>100336028</t>
        </is>
      </c>
      <c r="F89" s="528" t="n"/>
      <c r="G89" s="529" t="n"/>
      <c r="H89" s="530" t="n"/>
      <c r="I89" s="530" t="n"/>
      <c r="J89" s="663" t="inlineStr">
        <is>
          <t>тыс.т.</t>
        </is>
      </c>
    </row>
    <row r="90" ht="21.75" customHeight="1" s="769">
      <c r="A90" t="n">
        <v>3.806</v>
      </c>
      <c r="B90" s="504" t="inlineStr">
        <is>
          <t>Бензол</t>
        </is>
      </c>
      <c r="C90" s="337" t="inlineStr">
        <is>
          <t>3.14</t>
        </is>
      </c>
      <c r="D90" s="504" t="inlineStr">
        <is>
          <t>Бензол</t>
        </is>
      </c>
      <c r="E90" s="528" t="inlineStr">
        <is>
          <t>100336029</t>
        </is>
      </c>
      <c r="F90" s="528" t="n"/>
      <c r="G90" s="529" t="n"/>
      <c r="H90" s="530" t="inlineStr">
        <is>
          <t>100336030</t>
        </is>
      </c>
      <c r="I90" s="530" t="n"/>
      <c r="J90" s="663" t="inlineStr">
        <is>
          <t>тыс.т.</t>
        </is>
      </c>
    </row>
    <row r="91" ht="21.75" customHeight="1" s="769">
      <c r="A91" t="n">
        <v>3.806</v>
      </c>
      <c r="B91" s="344" t="inlineStr">
        <is>
          <t>На завод "Мономер"</t>
        </is>
      </c>
      <c r="C91" s="337" t="n"/>
      <c r="D91" s="344" t="inlineStr">
        <is>
          <t>На завод "Мономер"</t>
        </is>
      </c>
      <c r="E91" s="528" t="inlineStr">
        <is>
          <t>100336030</t>
        </is>
      </c>
      <c r="F91" s="528" t="n"/>
      <c r="G91" s="529" t="n"/>
      <c r="H91" s="530" t="n"/>
      <c r="I91" s="530" t="n"/>
      <c r="J91" s="663" t="inlineStr">
        <is>
          <t>тыс.т.</t>
        </is>
      </c>
    </row>
    <row r="92" ht="21.75" customHeight="1" s="769">
      <c r="A92" t="n">
        <v>0.655</v>
      </c>
      <c r="B92" s="504" t="inlineStr">
        <is>
          <t>Сольвент</t>
        </is>
      </c>
      <c r="C92" s="337" t="inlineStr">
        <is>
          <t>3.15</t>
        </is>
      </c>
      <c r="D92" s="504" t="inlineStr">
        <is>
          <t>Сольвент</t>
        </is>
      </c>
      <c r="E92" s="528" t="inlineStr">
        <is>
          <t>100336031</t>
        </is>
      </c>
      <c r="F92" s="528" t="n"/>
      <c r="G92" s="529" t="n"/>
      <c r="H92" s="530" t="n"/>
      <c r="I92" s="530" t="n"/>
      <c r="J92" s="663" t="inlineStr">
        <is>
          <t>тыс.т.</t>
        </is>
      </c>
    </row>
    <row r="93" ht="21.75" customHeight="1" s="769">
      <c r="A93" t="n">
        <v>0</v>
      </c>
      <c r="B93" s="344" t="inlineStr">
        <is>
          <t>На завод "Мономер"</t>
        </is>
      </c>
      <c r="C93" s="337" t="n"/>
      <c r="D93" s="344" t="inlineStr">
        <is>
          <t>На завод "Мономер"</t>
        </is>
      </c>
      <c r="E93" s="528" t="inlineStr">
        <is>
          <t>100336032</t>
        </is>
      </c>
      <c r="F93" s="528" t="n"/>
      <c r="G93" s="529" t="n"/>
      <c r="H93" s="530" t="n"/>
      <c r="I93" s="530" t="n"/>
      <c r="J93" s="663" t="inlineStr">
        <is>
          <t>тыс.т.</t>
        </is>
      </c>
    </row>
    <row r="94" ht="21.75" customHeight="1" s="769">
      <c r="A94" t="n">
        <v>6.016</v>
      </c>
      <c r="B94" s="504" t="inlineStr">
        <is>
          <t>Фракция пропан-пропиленовая ККФ</t>
        </is>
      </c>
      <c r="C94" s="337" t="inlineStr">
        <is>
          <t>3.16</t>
        </is>
      </c>
      <c r="D94" s="504" t="inlineStr">
        <is>
          <t>Фракция пропан-пропиленовая ККФ</t>
        </is>
      </c>
      <c r="E94" s="528" t="inlineStr">
        <is>
          <t>100335102</t>
        </is>
      </c>
      <c r="F94" s="528" t="n"/>
      <c r="G94" s="529" t="n"/>
      <c r="H94" s="530" t="n"/>
      <c r="I94" s="530" t="n"/>
      <c r="J94" s="663" t="inlineStr">
        <is>
          <t>тыс.т.</t>
        </is>
      </c>
    </row>
    <row r="95" ht="21.75" customHeight="1" s="769">
      <c r="A95" t="n">
        <v>0</v>
      </c>
      <c r="B95" s="344" t="inlineStr">
        <is>
          <t>Товар</t>
        </is>
      </c>
      <c r="C95" s="337" t="n"/>
      <c r="D95" s="344" t="inlineStr">
        <is>
          <t>Товар</t>
        </is>
      </c>
      <c r="E95" s="528" t="inlineStr">
        <is>
          <t>100336033</t>
        </is>
      </c>
      <c r="F95" s="528" t="n"/>
      <c r="G95" s="529" t="n"/>
      <c r="H95" s="530" t="n"/>
      <c r="I95" s="530" t="n"/>
      <c r="J95" s="663" t="inlineStr">
        <is>
          <t>тыс.т.</t>
        </is>
      </c>
    </row>
    <row r="96" ht="21.75" customHeight="1" s="769">
      <c r="A96" t="n">
        <v>3.472</v>
      </c>
      <c r="B96" s="344" t="inlineStr">
        <is>
          <t>На завод "Мономер" (производство бутиловых спиртов)</t>
        </is>
      </c>
      <c r="C96" s="337" t="n"/>
      <c r="D96" s="344" t="inlineStr">
        <is>
          <t>На завод "Мономер" (производство бутиловых спиртов)</t>
        </is>
      </c>
      <c r="E96" s="528" t="inlineStr">
        <is>
          <t>100336034</t>
        </is>
      </c>
      <c r="F96" s="528" t="n"/>
      <c r="G96" s="529" t="n"/>
      <c r="H96" s="530" t="n"/>
      <c r="I96" s="530" t="n"/>
      <c r="J96" s="663" t="inlineStr">
        <is>
          <t>тыс.т.</t>
        </is>
      </c>
    </row>
    <row r="97" ht="21.75" customHeight="1" s="769">
      <c r="A97" t="n">
        <v>2.562</v>
      </c>
      <c r="B97" s="344" t="inlineStr">
        <is>
          <t>На завод "Мономер" (производство ЭП-355)</t>
        </is>
      </c>
      <c r="C97" s="337" t="n"/>
      <c r="D97" s="344" t="inlineStr">
        <is>
          <t>На завод "Мономер" (производство ЭП-355)</t>
        </is>
      </c>
      <c r="E97" s="528" t="inlineStr">
        <is>
          <t>100336035</t>
        </is>
      </c>
      <c r="F97" s="528" t="n"/>
      <c r="G97" s="529" t="n"/>
      <c r="H97" s="530" t="n"/>
      <c r="I97" s="530" t="n"/>
      <c r="J97" s="663" t="inlineStr">
        <is>
          <t>тыс.т.</t>
        </is>
      </c>
    </row>
    <row r="98" ht="21.75" customHeight="1" s="769">
      <c r="A98" t="n">
        <v>6.404</v>
      </c>
      <c r="B98" s="504" t="inlineStr">
        <is>
          <t>Фракция бутан-бутиленовая ККФ</t>
        </is>
      </c>
      <c r="C98" s="337" t="inlineStr">
        <is>
          <t>3.17</t>
        </is>
      </c>
      <c r="D98" s="504" t="inlineStr">
        <is>
          <t>Фракция бутан-бутиленовая ККФ</t>
        </is>
      </c>
      <c r="E98" s="528" t="inlineStr">
        <is>
          <t>100335103</t>
        </is>
      </c>
      <c r="F98" s="528" t="n"/>
      <c r="G98" s="529" t="n"/>
      <c r="H98" s="530" t="n"/>
      <c r="I98" s="530" t="n"/>
      <c r="J98" s="663" t="inlineStr">
        <is>
          <t>тыс.т.</t>
        </is>
      </c>
    </row>
    <row r="99" ht="21.75" customHeight="1" s="769">
      <c r="A99" t="n">
        <v>0</v>
      </c>
      <c r="B99" s="344" t="inlineStr">
        <is>
          <t>Товар</t>
        </is>
      </c>
      <c r="C99" s="337" t="n"/>
      <c r="D99" s="344" t="inlineStr">
        <is>
          <t>Товар</t>
        </is>
      </c>
      <c r="E99" s="528" t="inlineStr">
        <is>
          <t>100336036</t>
        </is>
      </c>
      <c r="F99" s="528" t="n"/>
      <c r="G99" s="529" t="n"/>
      <c r="H99" s="530" t="n"/>
      <c r="I99" s="530" t="n"/>
      <c r="J99" s="663" t="inlineStr">
        <is>
          <t>тыс.т.</t>
        </is>
      </c>
    </row>
    <row r="100" ht="21.75" customHeight="1" s="769">
      <c r="A100" t="n">
        <v>6.443</v>
      </c>
      <c r="B100" s="344" t="inlineStr">
        <is>
          <t xml:space="preserve">На завод "Мономер" </t>
        </is>
      </c>
      <c r="C100" s="337" t="n"/>
      <c r="D100" s="344" t="inlineStr">
        <is>
          <t xml:space="preserve">На завод "Мономер" </t>
        </is>
      </c>
      <c r="E100" s="528" t="inlineStr">
        <is>
          <t>100336037</t>
        </is>
      </c>
      <c r="F100" s="528" t="n"/>
      <c r="G100" s="529" t="n"/>
      <c r="H100" s="530" t="n"/>
      <c r="I100" s="530" t="n"/>
      <c r="J100" s="663" t="inlineStr">
        <is>
          <t>тыс.т.</t>
        </is>
      </c>
    </row>
    <row r="101" ht="21.75" customHeight="1" s="769">
      <c r="A101" t="n">
        <v>4.388</v>
      </c>
      <c r="B101" s="345" t="inlineStr">
        <is>
          <t>Сероводород технический (валовый)</t>
        </is>
      </c>
      <c r="C101" s="337" t="inlineStr">
        <is>
          <t>3.18</t>
        </is>
      </c>
      <c r="D101" s="345" t="inlineStr">
        <is>
          <t>Сероводород технический (валовый)</t>
        </is>
      </c>
      <c r="E101" s="528" t="inlineStr">
        <is>
          <t>100336038</t>
        </is>
      </c>
      <c r="F101" s="528" t="n"/>
      <c r="G101" s="529" t="n"/>
      <c r="H101" s="530" t="n"/>
      <c r="I101" s="530" t="n"/>
      <c r="J101" s="663" t="inlineStr">
        <is>
          <t>тыс.т.</t>
        </is>
      </c>
    </row>
    <row r="102" ht="21.75" customHeight="1" s="769">
      <c r="A102" t="n">
        <v>3.12</v>
      </c>
      <c r="B102" s="346" t="inlineStr">
        <is>
          <t>Сера (товар)</t>
        </is>
      </c>
      <c r="C102" s="337" t="n"/>
      <c r="D102" s="346" t="inlineStr">
        <is>
          <t>Сера (товар)</t>
        </is>
      </c>
      <c r="E102" s="528" t="inlineStr">
        <is>
          <t>100330809</t>
        </is>
      </c>
      <c r="F102" s="528" t="n"/>
      <c r="G102" s="529" t="n"/>
      <c r="H102" s="530" t="n"/>
      <c r="I102" s="530" t="n"/>
      <c r="J102" s="663" t="inlineStr">
        <is>
          <t>тыс.т.</t>
        </is>
      </c>
    </row>
    <row r="103" ht="21.75" customHeight="1" s="769">
      <c r="A103" t="n">
        <v>0.048</v>
      </c>
      <c r="B103" s="504" t="inlineStr">
        <is>
          <t>Керосин гидроочищенный</t>
        </is>
      </c>
      <c r="C103" s="337" t="inlineStr">
        <is>
          <t>3.19</t>
        </is>
      </c>
      <c r="D103" s="504" t="inlineStr">
        <is>
          <t>Керосин гидроочищенный</t>
        </is>
      </c>
      <c r="E103" s="528" t="inlineStr">
        <is>
          <t>100336039</t>
        </is>
      </c>
      <c r="F103" s="528" t="n"/>
      <c r="G103" s="529" t="n"/>
      <c r="H103" s="530" t="n"/>
      <c r="I103" s="530" t="n"/>
      <c r="J103" s="663" t="inlineStr">
        <is>
          <t>тыс.т.</t>
        </is>
      </c>
    </row>
    <row r="104" ht="21.75" customHeight="1" s="769">
      <c r="A104" t="n">
        <v>0</v>
      </c>
      <c r="B104" s="344" t="inlineStr">
        <is>
          <t>Товар</t>
        </is>
      </c>
      <c r="C104" s="337" t="n"/>
      <c r="D104" s="344" t="inlineStr">
        <is>
          <t>Товар</t>
        </is>
      </c>
      <c r="E104" s="528" t="inlineStr">
        <is>
          <t>100336040</t>
        </is>
      </c>
      <c r="F104" s="528" t="n"/>
      <c r="G104" s="529" t="n"/>
      <c r="H104" s="530" t="n"/>
      <c r="I104" s="530" t="n"/>
      <c r="J104" s="663" t="inlineStr">
        <is>
          <t>тыс.т.</t>
        </is>
      </c>
    </row>
    <row r="105" ht="21.75" customHeight="1" s="769">
      <c r="A105" t="n">
        <v>33.227</v>
      </c>
      <c r="B105" s="504" t="inlineStr">
        <is>
          <t>Топливо на собственные нужды</t>
        </is>
      </c>
      <c r="C105" s="337" t="inlineStr">
        <is>
          <t>3.20</t>
        </is>
      </c>
      <c r="D105" s="504" t="inlineStr">
        <is>
          <t>Топливо на собственные нужды</t>
        </is>
      </c>
      <c r="E105" s="528" t="inlineStr">
        <is>
          <t>100336041</t>
        </is>
      </c>
      <c r="F105" s="528" t="n"/>
      <c r="G105" s="529" t="n"/>
      <c r="H105" s="530" t="n"/>
      <c r="I105" s="530" t="n"/>
      <c r="J105" s="663" t="inlineStr">
        <is>
          <t>тыс.т.</t>
        </is>
      </c>
    </row>
    <row r="106" ht="21.75" customHeight="1" s="769">
      <c r="A106" t="n">
        <v>1.865</v>
      </c>
      <c r="B106" s="343" t="inlineStr">
        <is>
          <t>Продукция (сырье) переданная на склад</t>
        </is>
      </c>
      <c r="C106" s="337" t="inlineStr">
        <is>
          <t>4</t>
        </is>
      </c>
      <c r="D106" s="343" t="inlineStr">
        <is>
          <t>Продукция (сырье) переданная на склад</t>
        </is>
      </c>
      <c r="E106" s="528" t="inlineStr">
        <is>
          <t>100336042</t>
        </is>
      </c>
      <c r="F106" s="528" t="n"/>
      <c r="G106" s="529" t="n"/>
      <c r="H106" s="530" t="n"/>
      <c r="I106" s="530" t="n"/>
      <c r="J106" s="663" t="inlineStr">
        <is>
          <t>тыс.т.</t>
        </is>
      </c>
    </row>
    <row r="107" ht="21.75" customHeight="1" s="769">
      <c r="A107" t="n">
        <v>10.039</v>
      </c>
      <c r="B107" s="345" t="inlineStr">
        <is>
          <t>Потери</t>
        </is>
      </c>
      <c r="C107" s="337" t="inlineStr">
        <is>
          <t>5</t>
        </is>
      </c>
      <c r="D107" s="345" t="inlineStr">
        <is>
          <t>Потери</t>
        </is>
      </c>
      <c r="E107" s="528" t="inlineStr">
        <is>
          <t>100336043</t>
        </is>
      </c>
      <c r="F107" s="528" t="n"/>
      <c r="G107" s="529" t="n"/>
      <c r="H107" s="530" t="inlineStr">
        <is>
          <t>100330802-100330107-100336019-100330815-100335765-100330817-100330944-100330123-100335767-100330819-100330822-100330820-100330821-100336026-100336027-100336028-100336029-100336032-100336033-100336034-100336035-100336036-100336037-100336038-100336039-100336041-100336042</t>
        </is>
      </c>
      <c r="I107" s="530" t="n"/>
      <c r="J107" s="663" t="inlineStr">
        <is>
          <t>тыс.т.</t>
        </is>
      </c>
    </row>
    <row r="108" ht="21.75" customHeight="1" s="769">
      <c r="B108" s="173" t="inlineStr">
        <is>
          <t>Материальный баланс  ПАО "Газпром"</t>
        </is>
      </c>
      <c r="C108" s="337" t="n"/>
      <c r="D108" s="173" t="inlineStr">
        <is>
          <t>Материальный баланс  ПАО "Газпром"</t>
        </is>
      </c>
      <c r="E108" s="528" t="inlineStr">
        <is>
          <t>100336044</t>
        </is>
      </c>
      <c r="F108" s="528" t="n"/>
      <c r="G108" s="529" t="n"/>
      <c r="H108" s="530" t="inlineStr">
        <is>
          <t>100330802-100330107-100336019-100330815-100335765-100330817-100330944-100330123-100335767-100330819-100330822-100330820-100330821-100336026-100336027-100336028-100336030-100336032-100336033-100336034-100336035-100336036-100336037-100336038-100336039-100336041-100336042-100336043</t>
        </is>
      </c>
      <c r="I108" s="530" t="n"/>
      <c r="J108" s="347" t="inlineStr">
        <is>
          <t>тыс.т.</t>
        </is>
      </c>
    </row>
    <row r="109" ht="21.75" customHeight="1" s="769">
      <c r="B109" s="331" t="n"/>
      <c r="C109" s="330" t="inlineStr">
        <is>
          <t>ЗАВОД "МОНОМЕР"</t>
        </is>
      </c>
      <c r="D109" s="331" t="n"/>
      <c r="E109" s="528" t="inlineStr">
        <is>
          <t>ЗАВ3</t>
        </is>
      </c>
      <c r="F109" s="528" t="n"/>
      <c r="G109" s="529" t="n"/>
      <c r="H109" s="530" t="n"/>
      <c r="I109" s="530" t="n"/>
      <c r="J109" s="348" t="n"/>
    </row>
    <row r="110" ht="42.75" customHeight="1" s="769">
      <c r="A110" t="n">
        <v>128.619</v>
      </c>
      <c r="B110" s="333" t="inlineStr">
        <is>
          <t>ПОСТАВКА (ПОКУПКА) СЫРЬЯ  
ООО "ГАЗПРОМ НЕФТЕХИМ САЛАВАТ":</t>
        </is>
      </c>
      <c r="C110" s="334" t="inlineStr">
        <is>
          <t>1.</t>
        </is>
      </c>
      <c r="D110" s="333" t="inlineStr">
        <is>
          <t>ПОСТАВКА (ПОКУПКА) СЫРЬЯ  
ООО "ГАЗПРОМ НЕФТЕХИМ САЛАВАТ":</t>
        </is>
      </c>
      <c r="E110" s="528" t="inlineStr">
        <is>
          <t>100336045</t>
        </is>
      </c>
      <c r="F110" s="528" t="n"/>
      <c r="G110" s="529" t="n"/>
      <c r="H110" s="530" t="inlineStr">
        <is>
          <t>100336046+100330826+100336052+100330827+100336056+100336057+100336061</t>
        </is>
      </c>
      <c r="I110" s="530" t="n"/>
      <c r="J110" s="335" t="inlineStr">
        <is>
          <t>тыс.т.</t>
        </is>
      </c>
    </row>
    <row r="111" ht="21.75" customHeight="1" s="769">
      <c r="A111" t="n">
        <v>73.988</v>
      </c>
      <c r="B111" s="336" t="inlineStr">
        <is>
          <t>Бензин</t>
        </is>
      </c>
      <c r="C111" s="337" t="inlineStr">
        <is>
          <t>1.1</t>
        </is>
      </c>
      <c r="D111" s="336" t="inlineStr">
        <is>
          <t>Бензин</t>
        </is>
      </c>
      <c r="E111" s="528" t="inlineStr">
        <is>
          <t>100336046</t>
        </is>
      </c>
      <c r="F111" s="528" t="n"/>
      <c r="G111" s="529" t="n"/>
      <c r="H111" s="530" t="inlineStr">
        <is>
          <t>100336047</t>
        </is>
      </c>
      <c r="I111" s="530" t="n"/>
      <c r="J111" s="663" t="inlineStr">
        <is>
          <t>тыс.т.</t>
        </is>
      </c>
    </row>
    <row r="112" ht="21.75" customHeight="1" s="769">
      <c r="A112" t="n">
        <v>73.988</v>
      </c>
      <c r="B112" s="339" t="inlineStr">
        <is>
          <t>НПЗ ООО "Газпром нефтехим Салават"</t>
        </is>
      </c>
      <c r="C112" s="337" t="n"/>
      <c r="D112" s="339" t="inlineStr">
        <is>
          <t>НПЗ ООО "Газпром нефтехим Салават"</t>
        </is>
      </c>
      <c r="E112" s="528" t="inlineStr">
        <is>
          <t>100336047</t>
        </is>
      </c>
      <c r="F112" s="528" t="n"/>
      <c r="G112" s="529" t="n"/>
      <c r="H112" s="530" t="inlineStr">
        <is>
          <t>100336019</t>
        </is>
      </c>
      <c r="I112" s="530" t="n"/>
      <c r="J112" s="663" t="inlineStr">
        <is>
          <t>тыс.т.</t>
        </is>
      </c>
    </row>
    <row r="113" ht="21.75" customHeight="1" s="769">
      <c r="A113" t="n">
        <v>29.12</v>
      </c>
      <c r="B113" s="336" t="inlineStr">
        <is>
          <t>ШФЛУ</t>
        </is>
      </c>
      <c r="C113" s="337" t="inlineStr">
        <is>
          <t>1.2</t>
        </is>
      </c>
      <c r="D113" s="336" t="inlineStr">
        <is>
          <t>ШФЛУ</t>
        </is>
      </c>
      <c r="E113" s="528" t="inlineStr">
        <is>
          <t>100330826</t>
        </is>
      </c>
      <c r="F113" s="528" t="n"/>
      <c r="G113" s="529" t="n"/>
      <c r="H113" s="530" t="inlineStr">
        <is>
          <t>100336048+100336051</t>
        </is>
      </c>
      <c r="I113" s="530" t="n"/>
      <c r="J113" s="663" t="inlineStr">
        <is>
          <t>тыс.т.</t>
        </is>
      </c>
    </row>
    <row r="114" ht="21.75" customHeight="1" s="769">
      <c r="B114" s="338" t="inlineStr">
        <is>
          <t xml:space="preserve">        ПАО "Газпром":</t>
        </is>
      </c>
      <c r="C114" s="337" t="n"/>
      <c r="D114" s="338" t="inlineStr">
        <is>
          <t xml:space="preserve">        ПАО "Газпром":</t>
        </is>
      </c>
      <c r="E114" s="528" t="inlineStr">
        <is>
          <t>100336048</t>
        </is>
      </c>
      <c r="F114" s="528" t="n"/>
      <c r="G114" s="529" t="n"/>
      <c r="H114" s="530" t="inlineStr">
        <is>
          <t>100336049+100336050</t>
        </is>
      </c>
      <c r="I114" s="530" t="n"/>
      <c r="J114" s="663" t="inlineStr">
        <is>
          <t>тыс.т.</t>
        </is>
      </c>
    </row>
    <row r="115" ht="21.75" customHeight="1" s="769">
      <c r="A115" t="n">
        <v>0</v>
      </c>
      <c r="B115" s="339" t="inlineStr">
        <is>
          <t>Астраханский ГПЗ</t>
        </is>
      </c>
      <c r="C115" s="337" t="n"/>
      <c r="D115" s="339" t="inlineStr">
        <is>
          <t>Астраханский ГПЗ</t>
        </is>
      </c>
      <c r="E115" s="528" t="inlineStr">
        <is>
          <t>100336049</t>
        </is>
      </c>
      <c r="F115" s="528" t="n"/>
      <c r="G115" s="529" t="n"/>
      <c r="H115" s="530" t="n"/>
      <c r="I115" s="530" t="n"/>
      <c r="J115" s="663" t="inlineStr">
        <is>
          <t>тыс.т.</t>
        </is>
      </c>
    </row>
    <row r="116" ht="21.75" customHeight="1" s="769">
      <c r="A116" t="n">
        <v>0</v>
      </c>
      <c r="B116" s="339" t="inlineStr">
        <is>
          <t>Оренбургский ГПЗ</t>
        </is>
      </c>
      <c r="C116" s="337" t="n"/>
      <c r="D116" s="339" t="inlineStr">
        <is>
          <t>Оренбургский ГПЗ</t>
        </is>
      </c>
      <c r="E116" s="528" t="inlineStr">
        <is>
          <t>100336050</t>
        </is>
      </c>
      <c r="F116" s="528" t="n"/>
      <c r="G116" s="529" t="n"/>
      <c r="H116" s="530" t="n"/>
      <c r="I116" s="530" t="n"/>
      <c r="J116" s="663" t="inlineStr">
        <is>
          <t>тыс.т.</t>
        </is>
      </c>
    </row>
    <row r="117" ht="21.75" customHeight="1" s="769">
      <c r="A117" t="n">
        <v>29.12</v>
      </c>
      <c r="B117" s="339" t="inlineStr">
        <is>
          <t>НПЗ ООО "Газпром нефтехим Салават"</t>
        </is>
      </c>
      <c r="C117" s="337" t="n"/>
      <c r="D117" s="339" t="inlineStr">
        <is>
          <t>НПЗ ООО "Газпром нефтехим Салават"</t>
        </is>
      </c>
      <c r="E117" s="528" t="inlineStr">
        <is>
          <t>100336051</t>
        </is>
      </c>
      <c r="F117" s="528" t="n"/>
      <c r="G117" s="529" t="n"/>
      <c r="H117" s="530" t="inlineStr">
        <is>
          <t>100336023+100336037+100336035</t>
        </is>
      </c>
      <c r="I117" s="530" t="n"/>
      <c r="J117" s="663" t="inlineStr">
        <is>
          <t>тыс.т.</t>
        </is>
      </c>
    </row>
    <row r="118" ht="21.75" customHeight="1" s="769">
      <c r="A118" t="n">
        <v>8.625999999999999</v>
      </c>
      <c r="B118" s="343" t="inlineStr">
        <is>
          <t>Газы углеводородные сжиженные</t>
        </is>
      </c>
      <c r="C118" s="337" t="inlineStr">
        <is>
          <t>1.3</t>
        </is>
      </c>
      <c r="D118" s="343" t="inlineStr">
        <is>
          <t>Газы углеводородные сжиженные</t>
        </is>
      </c>
      <c r="E118" s="528" t="inlineStr">
        <is>
          <t>100336052</t>
        </is>
      </c>
      <c r="F118" s="528" t="n"/>
      <c r="G118" s="529" t="n"/>
      <c r="H118" s="530" t="inlineStr">
        <is>
          <t>100336053</t>
        </is>
      </c>
      <c r="I118" s="530" t="n"/>
      <c r="J118" s="663" t="inlineStr">
        <is>
          <t>тыс.т.</t>
        </is>
      </c>
    </row>
    <row r="119" ht="21.75" customHeight="1" s="769">
      <c r="A119" t="n">
        <v>8.625999999999999</v>
      </c>
      <c r="B119" s="339" t="inlineStr">
        <is>
          <t>Сургутский ЗСК</t>
        </is>
      </c>
      <c r="C119" s="337" t="n"/>
      <c r="D119" s="339" t="inlineStr">
        <is>
          <t>Сургутский ЗСК</t>
        </is>
      </c>
      <c r="E119" s="528" t="inlineStr">
        <is>
          <t>100336053</t>
        </is>
      </c>
      <c r="F119" s="528" t="n"/>
      <c r="G119" s="529" t="n"/>
      <c r="H119" s="530" t="n"/>
      <c r="I119" s="530" t="n"/>
      <c r="J119" s="663" t="inlineStr">
        <is>
          <t>тыс.т.</t>
        </is>
      </c>
    </row>
    <row r="120" ht="21.75" customHeight="1" s="769">
      <c r="B120" s="336" t="inlineStr">
        <is>
          <t>Фракция этановая</t>
        </is>
      </c>
      <c r="C120" s="337" t="inlineStr">
        <is>
          <t>1.4</t>
        </is>
      </c>
      <c r="D120" s="336" t="inlineStr">
        <is>
          <t>Фракция этановая</t>
        </is>
      </c>
      <c r="E120" s="528" t="inlineStr">
        <is>
          <t>100330827</t>
        </is>
      </c>
      <c r="F120" s="528" t="n"/>
      <c r="G120" s="529" t="n"/>
      <c r="H120" s="530" t="inlineStr">
        <is>
          <t>100336054</t>
        </is>
      </c>
      <c r="I120" s="530" t="n"/>
      <c r="J120" s="663" t="inlineStr">
        <is>
          <t>тыс.т.</t>
        </is>
      </c>
    </row>
    <row r="121" ht="21.75" customHeight="1" s="769">
      <c r="A121" t="n">
        <v>0</v>
      </c>
      <c r="B121" s="349" t="inlineStr">
        <is>
          <t xml:space="preserve">        ПАО "Газпром":</t>
        </is>
      </c>
      <c r="C121" s="337" t="n"/>
      <c r="D121" s="349" t="inlineStr">
        <is>
          <t xml:space="preserve">        ПАО "Газпром":</t>
        </is>
      </c>
      <c r="E121" s="528" t="inlineStr">
        <is>
          <t>100336054</t>
        </is>
      </c>
      <c r="F121" s="528" t="n"/>
      <c r="G121" s="529" t="n"/>
      <c r="H121" s="530" t="inlineStr">
        <is>
          <t>100336055</t>
        </is>
      </c>
      <c r="I121" s="530" t="n"/>
      <c r="J121" s="663" t="inlineStr">
        <is>
          <t>тыс.т.</t>
        </is>
      </c>
    </row>
    <row r="122" ht="21.75" customHeight="1" s="769">
      <c r="A122" t="n">
        <v>0</v>
      </c>
      <c r="B122" s="339" t="inlineStr">
        <is>
          <t>Оренбургский ГЗ</t>
        </is>
      </c>
      <c r="C122" s="337" t="n"/>
      <c r="D122" s="339" t="inlineStr">
        <is>
          <t>Оренбургский ГЗ</t>
        </is>
      </c>
      <c r="E122" s="528" t="inlineStr">
        <is>
          <t>100336055</t>
        </is>
      </c>
      <c r="F122" s="528" t="n"/>
      <c r="G122" s="529" t="n"/>
      <c r="H122" s="530" t="n"/>
      <c r="I122" s="530" t="n"/>
      <c r="J122" s="663" t="inlineStr">
        <is>
          <t>тыс.т.</t>
        </is>
      </c>
    </row>
    <row r="123" ht="42.75" customHeight="1" s="769">
      <c r="A123" t="n">
        <v>3.835</v>
      </c>
      <c r="B123" s="350" t="inlineStr">
        <is>
          <t xml:space="preserve">Продукция (сырье) с НПЗ ООО "Газпром нефтехим Салават" </t>
        </is>
      </c>
      <c r="C123" s="337" t="inlineStr">
        <is>
          <t>1.5</t>
        </is>
      </c>
      <c r="D123" s="350" t="inlineStr">
        <is>
          <t xml:space="preserve">Продукция (сырье) с НПЗ ООО "Газпром нефтехим Салават" </t>
        </is>
      </c>
      <c r="E123" s="528" t="inlineStr">
        <is>
          <t>100336056</t>
        </is>
      </c>
      <c r="F123" s="528" t="n"/>
      <c r="G123" s="529" t="n"/>
      <c r="H123" s="530" t="inlineStr">
        <is>
          <t>100336027+100336030+100336032</t>
        </is>
      </c>
      <c r="I123" s="530" t="n"/>
      <c r="J123" s="663" t="inlineStr">
        <is>
          <t>тыс.т.</t>
        </is>
      </c>
    </row>
    <row r="124" ht="21.75" customHeight="1" s="769">
      <c r="A124" t="n">
        <v>11.785</v>
      </c>
      <c r="B124" s="336" t="inlineStr">
        <is>
          <t>Пропилен</t>
        </is>
      </c>
      <c r="C124" s="337" t="inlineStr">
        <is>
          <t>1.6</t>
        </is>
      </c>
      <c r="D124" s="336" t="inlineStr">
        <is>
          <t>Пропилен</t>
        </is>
      </c>
      <c r="E124" s="528" t="inlineStr">
        <is>
          <t>100336057</t>
        </is>
      </c>
      <c r="F124" s="528" t="n"/>
      <c r="G124" s="529" t="n"/>
      <c r="H124" s="530" t="inlineStr">
        <is>
          <t>100336058+100336059+100336060</t>
        </is>
      </c>
      <c r="I124" s="530" t="n"/>
      <c r="J124" s="663" t="inlineStr">
        <is>
          <t>тыс.т.</t>
        </is>
      </c>
    </row>
    <row r="125" ht="21.75" customHeight="1" s="769">
      <c r="A125" t="n">
        <v>0</v>
      </c>
      <c r="B125" s="339" t="inlineStr">
        <is>
          <t>Пропилен покупной</t>
        </is>
      </c>
      <c r="C125" s="337" t="n"/>
      <c r="D125" s="339" t="inlineStr">
        <is>
          <t>Пропилен покупной</t>
        </is>
      </c>
      <c r="E125" s="528" t="inlineStr">
        <is>
          <t>100336058</t>
        </is>
      </c>
      <c r="F125" s="528" t="n"/>
      <c r="G125" s="529" t="n"/>
      <c r="H125" s="530" t="n"/>
      <c r="I125" s="530" t="n"/>
      <c r="J125" s="663" t="inlineStr">
        <is>
          <t>тыс.т.</t>
        </is>
      </c>
    </row>
    <row r="126" ht="21.75" customHeight="1" s="769">
      <c r="A126" t="n">
        <v>8.313000000000001</v>
      </c>
      <c r="B126" s="338" t="inlineStr">
        <is>
          <t xml:space="preserve">        Завод "Мономер" ООО "Газпром нефтехим Салават"</t>
        </is>
      </c>
      <c r="C126" s="337" t="n"/>
      <c r="D126" s="338" t="inlineStr">
        <is>
          <t xml:space="preserve">        Завод "Мономер" ООО "Газпром нефтехим Салават"</t>
        </is>
      </c>
      <c r="E126" s="528" t="inlineStr">
        <is>
          <t>100336059</t>
        </is>
      </c>
      <c r="F126" s="528" t="n"/>
      <c r="G126" s="529" t="n"/>
      <c r="H126" s="530" t="n"/>
      <c r="I126" s="530" t="n"/>
      <c r="J126" s="663" t="inlineStr">
        <is>
          <t>тыс.т.</t>
        </is>
      </c>
    </row>
    <row r="127" ht="21.75" customHeight="1" s="769">
      <c r="A127" t="n">
        <v>3.472</v>
      </c>
      <c r="B127" s="325" t="inlineStr">
        <is>
          <t xml:space="preserve">        НПЗ ООО "Газпром нефтехим Салават" (ККФ)</t>
        </is>
      </c>
      <c r="C127" s="337" t="n"/>
      <c r="D127" s="325" t="inlineStr">
        <is>
          <t xml:space="preserve">        НПЗ ООО "Газпром нефтехим Салават" (ККФ)</t>
        </is>
      </c>
      <c r="E127" s="528" t="inlineStr">
        <is>
          <t>100336060</t>
        </is>
      </c>
      <c r="F127" s="528" t="n"/>
      <c r="G127" s="529" t="n"/>
      <c r="H127" s="530" t="inlineStr">
        <is>
          <t>100336034</t>
        </is>
      </c>
      <c r="I127" s="530" t="n"/>
      <c r="J127" s="663" t="inlineStr">
        <is>
          <t>тыс.т.</t>
        </is>
      </c>
    </row>
    <row r="128" ht="21.75" customHeight="1" s="769">
      <c r="A128" t="n">
        <v>1.265</v>
      </c>
      <c r="B128" s="343" t="inlineStr">
        <is>
          <t>Ортоксилол</t>
        </is>
      </c>
      <c r="C128" s="337" t="inlineStr">
        <is>
          <t>1.7</t>
        </is>
      </c>
      <c r="D128" s="343" t="inlineStr">
        <is>
          <t>Ортоксилол</t>
        </is>
      </c>
      <c r="E128" s="528" t="inlineStr">
        <is>
          <t>100336061</t>
        </is>
      </c>
      <c r="F128" s="528" t="n"/>
      <c r="G128" s="529" t="n"/>
      <c r="H128" s="530" t="n"/>
      <c r="I128" s="530" t="n"/>
      <c r="J128" s="663" t="inlineStr">
        <is>
          <t>тыс.т.</t>
        </is>
      </c>
    </row>
    <row r="129" ht="42.75" customHeight="1" s="769">
      <c r="A129" t="n">
        <v>113.607</v>
      </c>
      <c r="B129" s="333" t="inlineStr">
        <is>
          <t>ПЕРЕРАБОТКА СЫРЬЯ 
ООО "ГАЗПРОМ НЕФТЕХИМ САЛАВАТ":</t>
        </is>
      </c>
      <c r="C129" s="334" t="inlineStr">
        <is>
          <t>2.</t>
        </is>
      </c>
      <c r="D129" s="333" t="inlineStr">
        <is>
          <t>ПЕРЕРАБОТКА СЫРЬЯ 
ООО "ГАЗПРОМ НЕФТЕХИМ САЛАВАТ":</t>
        </is>
      </c>
      <c r="E129" s="528" t="inlineStr">
        <is>
          <t>100330823</t>
        </is>
      </c>
      <c r="F129" s="528" t="n"/>
      <c r="G129" s="529" t="n"/>
      <c r="H129" s="530" t="inlineStr">
        <is>
          <t>100330824+100330825+100336067+100336069+100336072+100336073+100336077+100336078</t>
        </is>
      </c>
      <c r="I129" s="530" t="n"/>
      <c r="J129" s="335" t="n"/>
    </row>
    <row r="130" ht="21.75" customHeight="1" s="769">
      <c r="A130" t="n">
        <v>74.328</v>
      </c>
      <c r="B130" s="336" t="inlineStr">
        <is>
          <t>Бензин</t>
        </is>
      </c>
      <c r="C130" s="337" t="inlineStr">
        <is>
          <t>2.1</t>
        </is>
      </c>
      <c r="D130" s="336" t="inlineStr">
        <is>
          <t>Бензин</t>
        </is>
      </c>
      <c r="E130" s="528" t="inlineStr">
        <is>
          <t>100330824</t>
        </is>
      </c>
      <c r="F130" s="528" t="n"/>
      <c r="G130" s="529" t="n"/>
      <c r="H130" s="530" t="n"/>
      <c r="I130" s="530" t="n"/>
      <c r="J130" s="663" t="inlineStr">
        <is>
          <t>тыс.т.</t>
        </is>
      </c>
    </row>
    <row r="131" ht="21.75" customHeight="1" s="769">
      <c r="A131" t="n">
        <v>74.328</v>
      </c>
      <c r="B131" s="339" t="inlineStr">
        <is>
          <t>НПЗ ООО "Газпром нефтехим Салават"</t>
        </is>
      </c>
      <c r="C131" s="337" t="n"/>
      <c r="D131" s="339" t="inlineStr">
        <is>
          <t>НПЗ ООО "Газпром нефтехим Салават"</t>
        </is>
      </c>
      <c r="E131" s="528" t="inlineStr">
        <is>
          <t>100336062</t>
        </is>
      </c>
      <c r="F131" s="528" t="n"/>
      <c r="G131" s="529" t="n"/>
      <c r="H131" s="530" t="n"/>
      <c r="I131" s="530" t="n"/>
      <c r="J131" s="663" t="inlineStr">
        <is>
          <t>тыс.т.</t>
        </is>
      </c>
    </row>
    <row r="132" ht="21.75" customHeight="1" s="769">
      <c r="A132" t="n">
        <v>17.252</v>
      </c>
      <c r="B132" s="336" t="inlineStr">
        <is>
          <t>ШФЛУ</t>
        </is>
      </c>
      <c r="C132" s="337" t="inlineStr">
        <is>
          <t>2.2</t>
        </is>
      </c>
      <c r="D132" s="336" t="inlineStr">
        <is>
          <t>ШФЛУ</t>
        </is>
      </c>
      <c r="E132" s="528" t="inlineStr">
        <is>
          <t>100330825</t>
        </is>
      </c>
      <c r="F132" s="528" t="n"/>
      <c r="G132" s="529" t="n"/>
      <c r="H132" s="530" t="inlineStr">
        <is>
          <t>100336063+100336066</t>
        </is>
      </c>
      <c r="I132" s="530" t="n"/>
      <c r="J132" s="663" t="inlineStr">
        <is>
          <t>тыс.т.</t>
        </is>
      </c>
    </row>
    <row r="133" ht="21.75" customHeight="1" s="769">
      <c r="B133" s="338" t="inlineStr">
        <is>
          <t xml:space="preserve">        ПАО "Газпром":</t>
        </is>
      </c>
      <c r="C133" s="337" t="n"/>
      <c r="D133" s="338" t="inlineStr">
        <is>
          <t xml:space="preserve">        ПАО "Газпром":</t>
        </is>
      </c>
      <c r="E133" s="528" t="inlineStr">
        <is>
          <t>100336063</t>
        </is>
      </c>
      <c r="F133" s="528" t="n"/>
      <c r="G133" s="529" t="n"/>
      <c r="H133" s="530" t="inlineStr">
        <is>
          <t>100336064+100336065</t>
        </is>
      </c>
      <c r="I133" s="530" t="n"/>
      <c r="J133" s="663" t="inlineStr">
        <is>
          <t>тыс.т.</t>
        </is>
      </c>
    </row>
    <row r="134" ht="21.75" customHeight="1" s="769">
      <c r="A134" t="n">
        <v>0</v>
      </c>
      <c r="B134" s="339" t="inlineStr">
        <is>
          <t>Астраханский ГПЗ</t>
        </is>
      </c>
      <c r="C134" s="337" t="n"/>
      <c r="D134" s="339" t="inlineStr">
        <is>
          <t>Астраханский ГПЗ</t>
        </is>
      </c>
      <c r="E134" s="528" t="inlineStr">
        <is>
          <t>100336064</t>
        </is>
      </c>
      <c r="F134" s="528" t="n"/>
      <c r="G134" s="529" t="n"/>
      <c r="H134" s="530" t="n"/>
      <c r="I134" s="530" t="n"/>
      <c r="J134" s="663" t="inlineStr">
        <is>
          <t>тыс.т.</t>
        </is>
      </c>
    </row>
    <row r="135" ht="21.75" customHeight="1" s="769">
      <c r="A135" t="n">
        <v>0</v>
      </c>
      <c r="B135" s="339" t="inlineStr">
        <is>
          <t>Оренбургский ГПЗ</t>
        </is>
      </c>
      <c r="C135" s="337" t="n"/>
      <c r="D135" s="339" t="inlineStr">
        <is>
          <t>Оренбургский ГПЗ</t>
        </is>
      </c>
      <c r="E135" s="528" t="inlineStr">
        <is>
          <t>100336065</t>
        </is>
      </c>
      <c r="F135" s="528" t="n"/>
      <c r="G135" s="529" t="n"/>
      <c r="H135" s="530" t="n"/>
      <c r="I135" s="530" t="n"/>
      <c r="J135" s="663" t="inlineStr">
        <is>
          <t>тыс.т.</t>
        </is>
      </c>
    </row>
    <row r="136" ht="21.75" customHeight="1" s="769">
      <c r="A136" t="n">
        <v>17.252</v>
      </c>
      <c r="B136" s="325" t="inlineStr">
        <is>
          <t xml:space="preserve">        НПЗ ООО "Газпром нефтехим Салават"</t>
        </is>
      </c>
      <c r="C136" s="337" t="n"/>
      <c r="D136" s="325" t="inlineStr">
        <is>
          <t xml:space="preserve">        НПЗ ООО "Газпром нефтехим Салават"</t>
        </is>
      </c>
      <c r="E136" s="528" t="inlineStr">
        <is>
          <t>100336066</t>
        </is>
      </c>
      <c r="F136" s="528" t="n"/>
      <c r="G136" s="529" t="n"/>
      <c r="H136" s="530" t="n"/>
      <c r="I136" s="530" t="n"/>
      <c r="J136" s="663" t="inlineStr">
        <is>
          <t>тыс.т.</t>
        </is>
      </c>
    </row>
    <row r="137" ht="21.75" customHeight="1" s="769">
      <c r="A137" t="n">
        <v>8.625999999999999</v>
      </c>
      <c r="B137" s="343" t="inlineStr">
        <is>
          <t>Газы углеводородные сжиженные</t>
        </is>
      </c>
      <c r="C137" s="337" t="inlineStr">
        <is>
          <t>2.3</t>
        </is>
      </c>
      <c r="D137" s="343" t="inlineStr">
        <is>
          <t>Газы углеводородные сжиженные</t>
        </is>
      </c>
      <c r="E137" s="528" t="inlineStr">
        <is>
          <t>100336067</t>
        </is>
      </c>
      <c r="F137" s="528" t="n"/>
      <c r="G137" s="529" t="n"/>
      <c r="H137" s="530" t="inlineStr">
        <is>
          <t>100336068</t>
        </is>
      </c>
      <c r="I137" s="530" t="n"/>
      <c r="J137" s="663" t="inlineStr">
        <is>
          <t>тыс.т.</t>
        </is>
      </c>
    </row>
    <row r="138" ht="21.75" customHeight="1" s="769">
      <c r="A138" t="n">
        <v>8.625999999999999</v>
      </c>
      <c r="B138" s="339" t="inlineStr">
        <is>
          <t>Сургутский ЗСК</t>
        </is>
      </c>
      <c r="C138" s="337" t="n"/>
      <c r="D138" s="339" t="inlineStr">
        <is>
          <t>Сургутский ЗСК</t>
        </is>
      </c>
      <c r="E138" s="528" t="inlineStr">
        <is>
          <t>100336068</t>
        </is>
      </c>
      <c r="F138" s="528" t="n"/>
      <c r="G138" s="529" t="n"/>
      <c r="H138" s="530" t="n"/>
      <c r="I138" s="530" t="n"/>
      <c r="J138" s="663" t="inlineStr">
        <is>
          <t>тыс.т.</t>
        </is>
      </c>
    </row>
    <row r="139" ht="21.75" customHeight="1" s="769">
      <c r="B139" s="336" t="inlineStr">
        <is>
          <t>Фракция этановая</t>
        </is>
      </c>
      <c r="C139" s="337" t="inlineStr">
        <is>
          <t>2.4</t>
        </is>
      </c>
      <c r="D139" s="336" t="inlineStr">
        <is>
          <t>Фракция этановая</t>
        </is>
      </c>
      <c r="E139" s="528" t="inlineStr">
        <is>
          <t>100336069</t>
        </is>
      </c>
      <c r="F139" s="528" t="n"/>
      <c r="G139" s="529" t="n"/>
      <c r="H139" s="530" t="inlineStr">
        <is>
          <t>100336070</t>
        </is>
      </c>
      <c r="I139" s="530" t="n"/>
      <c r="J139" s="663" t="inlineStr">
        <is>
          <t>тыс.т.</t>
        </is>
      </c>
    </row>
    <row r="140" ht="21.75" customHeight="1" s="769">
      <c r="B140" s="338" t="inlineStr">
        <is>
          <t xml:space="preserve">        ПАО "Газпром":</t>
        </is>
      </c>
      <c r="C140" s="337" t="n"/>
      <c r="D140" s="338" t="inlineStr">
        <is>
          <t xml:space="preserve">        ПАО "Газпром":</t>
        </is>
      </c>
      <c r="E140" s="528" t="inlineStr">
        <is>
          <t>100336070</t>
        </is>
      </c>
      <c r="F140" s="528" t="n"/>
      <c r="G140" s="529" t="n"/>
      <c r="H140" s="530" t="inlineStr">
        <is>
          <t>100336071</t>
        </is>
      </c>
      <c r="I140" s="530" t="n"/>
      <c r="J140" s="663" t="inlineStr">
        <is>
          <t>тыс.т.</t>
        </is>
      </c>
    </row>
    <row r="141" ht="21.75" customHeight="1" s="769">
      <c r="A141" t="n">
        <v>0</v>
      </c>
      <c r="B141" s="339" t="inlineStr">
        <is>
          <t>Оренбургский ГЗ</t>
        </is>
      </c>
      <c r="C141" s="337" t="n"/>
      <c r="D141" s="339" t="inlineStr">
        <is>
          <t>Оренбургский ГЗ</t>
        </is>
      </c>
      <c r="E141" s="528" t="inlineStr">
        <is>
          <t>100336071</t>
        </is>
      </c>
      <c r="F141" s="528" t="n"/>
      <c r="G141" s="529" t="n"/>
      <c r="H141" s="530" t="n"/>
      <c r="I141" s="530" t="n"/>
      <c r="J141" s="663" t="inlineStr">
        <is>
          <t>тыс.т.</t>
        </is>
      </c>
    </row>
    <row r="142" ht="42.75" customHeight="1" s="769">
      <c r="A142" t="n">
        <v>3.835</v>
      </c>
      <c r="B142" s="350" t="inlineStr">
        <is>
          <t>Продукция (сырье) с НПЗ 
ООО "Газпром нефтехим Салават"</t>
        </is>
      </c>
      <c r="C142" s="337" t="inlineStr">
        <is>
          <t>2.5</t>
        </is>
      </c>
      <c r="D142" s="350" t="inlineStr">
        <is>
          <t>Продукция (сырье) с НПЗ 
ООО "Газпром нефтехим Салават"</t>
        </is>
      </c>
      <c r="E142" s="528" t="inlineStr">
        <is>
          <t>100336072</t>
        </is>
      </c>
      <c r="F142" s="528" t="n"/>
      <c r="G142" s="529" t="n"/>
      <c r="H142" s="530" t="n"/>
      <c r="I142" s="530" t="n"/>
      <c r="J142" s="663" t="inlineStr">
        <is>
          <t>тыс.т.</t>
        </is>
      </c>
    </row>
    <row r="143" ht="21.75" customHeight="1" s="769">
      <c r="A143" t="n">
        <v>8.526</v>
      </c>
      <c r="B143" s="336" t="inlineStr">
        <is>
          <t>Пропилен</t>
        </is>
      </c>
      <c r="C143" s="337" t="inlineStr">
        <is>
          <t>2.6</t>
        </is>
      </c>
      <c r="D143" s="336" t="inlineStr">
        <is>
          <t>Пропилен</t>
        </is>
      </c>
      <c r="E143" s="528" t="inlineStr">
        <is>
          <t>100336073</t>
        </is>
      </c>
      <c r="F143" s="528" t="n"/>
      <c r="G143" s="529" t="n"/>
      <c r="H143" s="530" t="inlineStr">
        <is>
          <t>100336074+100336075+100336076</t>
        </is>
      </c>
      <c r="I143" s="530" t="n"/>
      <c r="J143" s="663" t="inlineStr">
        <is>
          <t>тыс.т.</t>
        </is>
      </c>
    </row>
    <row r="144" ht="21.75" customHeight="1" s="769">
      <c r="A144" t="n">
        <v>0</v>
      </c>
      <c r="B144" s="339" t="inlineStr">
        <is>
          <t>Пропилен покупной</t>
        </is>
      </c>
      <c r="C144" s="337" t="n"/>
      <c r="D144" s="339" t="inlineStr">
        <is>
          <t>Пропилен покупной</t>
        </is>
      </c>
      <c r="E144" s="528" t="inlineStr">
        <is>
          <t>100336074</t>
        </is>
      </c>
      <c r="F144" s="528" t="n"/>
      <c r="G144" s="529" t="n"/>
      <c r="H144" s="530" t="n"/>
      <c r="I144" s="530" t="n"/>
      <c r="J144" s="663" t="inlineStr">
        <is>
          <t>тыс.т.</t>
        </is>
      </c>
    </row>
    <row r="145" ht="21.75" customHeight="1" s="769">
      <c r="A145" t="n">
        <v>5.054</v>
      </c>
      <c r="B145" s="338" t="inlineStr">
        <is>
          <t xml:space="preserve">        Завод "Мономер" ООО "Газпром нефтехим Салават"</t>
        </is>
      </c>
      <c r="C145" s="337" t="n"/>
      <c r="D145" s="338" t="inlineStr">
        <is>
          <t xml:space="preserve">        Завод "Мономер" ООО "Газпром нефтехим Салават"</t>
        </is>
      </c>
      <c r="E145" s="528" t="inlineStr">
        <is>
          <t>100336075</t>
        </is>
      </c>
      <c r="F145" s="528" t="n"/>
      <c r="G145" s="529" t="n"/>
      <c r="H145" s="530" t="n"/>
      <c r="I145" s="530" t="n"/>
      <c r="J145" s="663" t="inlineStr">
        <is>
          <t>тыс.т.</t>
        </is>
      </c>
    </row>
    <row r="146" ht="21.75" customHeight="1" s="769">
      <c r="A146" t="n">
        <v>3.472</v>
      </c>
      <c r="B146" s="325" t="inlineStr">
        <is>
          <t xml:space="preserve">        НПЗ ООО "Газпром нефтехим Салават" (ККФ)</t>
        </is>
      </c>
      <c r="C146" s="337" t="n"/>
      <c r="D146" s="325" t="inlineStr">
        <is>
          <t xml:space="preserve">        НПЗ ООО "Газпром нефтехим Салават" (ККФ)</t>
        </is>
      </c>
      <c r="E146" s="528" t="inlineStr">
        <is>
          <t>100336076</t>
        </is>
      </c>
      <c r="F146" s="528" t="n"/>
      <c r="G146" s="529" t="n"/>
      <c r="H146" s="530" t="n"/>
      <c r="I146" s="530" t="n"/>
      <c r="J146" s="663" t="inlineStr">
        <is>
          <t>тыс.т.</t>
        </is>
      </c>
    </row>
    <row r="147" ht="21.75" customHeight="1" s="769">
      <c r="A147" t="n">
        <v>1.04</v>
      </c>
      <c r="B147" s="343" t="inlineStr">
        <is>
          <t>Ортоксилол</t>
        </is>
      </c>
      <c r="C147" s="337" t="inlineStr">
        <is>
          <t>2.7</t>
        </is>
      </c>
      <c r="D147" s="343" t="inlineStr">
        <is>
          <t>Ортоксилол</t>
        </is>
      </c>
      <c r="E147" s="528" t="inlineStr">
        <is>
          <t>100336077</t>
        </is>
      </c>
      <c r="F147" s="528" t="n"/>
      <c r="G147" s="529" t="n"/>
      <c r="H147" s="530" t="n"/>
      <c r="I147" s="530" t="n"/>
      <c r="J147" s="663" t="inlineStr">
        <is>
          <t>тыс.т.</t>
        </is>
      </c>
    </row>
    <row r="148" ht="21.75" customHeight="1" s="769">
      <c r="A148" t="n">
        <v>6.16</v>
      </c>
      <c r="B148" s="343" t="inlineStr">
        <is>
          <t xml:space="preserve">Природный газ </t>
        </is>
      </c>
      <c r="C148" s="337" t="inlineStr">
        <is>
          <t>2.8</t>
        </is>
      </c>
      <c r="D148" s="343" t="inlineStr">
        <is>
          <t xml:space="preserve">Природный газ </t>
        </is>
      </c>
      <c r="E148" s="528" t="inlineStr">
        <is>
          <t>100335597</t>
        </is>
      </c>
      <c r="F148" s="528" t="n"/>
      <c r="G148" s="529" t="n"/>
      <c r="H148" s="530" t="n"/>
      <c r="I148" s="530" t="n"/>
      <c r="J148" s="663" t="inlineStr">
        <is>
          <t>млн.м3</t>
        </is>
      </c>
    </row>
    <row r="149" ht="21.75" customHeight="1" s="769">
      <c r="A149" t="n">
        <v>0</v>
      </c>
      <c r="B149" s="343" t="inlineStr">
        <is>
          <t>Продукция (сырье) принятая со склада</t>
        </is>
      </c>
      <c r="C149" s="337" t="inlineStr">
        <is>
          <t>2.9</t>
        </is>
      </c>
      <c r="D149" s="343" t="inlineStr">
        <is>
          <t>Продукция (сырье) принятая со склада</t>
        </is>
      </c>
      <c r="E149" s="528" t="inlineStr">
        <is>
          <t>100336078</t>
        </is>
      </c>
      <c r="F149" s="528" t="n"/>
      <c r="G149" s="529" t="n"/>
      <c r="H149" s="530" t="n"/>
      <c r="I149" s="530" t="n"/>
      <c r="J149" s="663" t="inlineStr">
        <is>
          <t>тыс.т.</t>
        </is>
      </c>
    </row>
    <row r="150" ht="42.75" customHeight="1" s="769">
      <c r="B150" s="504" t="inlineStr">
        <is>
          <t>ПРОДУКЦИЯ 
ООО "ГАЗПРОМ НЕФТЕХИМ САЛАВАТ":</t>
        </is>
      </c>
      <c r="C150" s="337" t="inlineStr">
        <is>
          <t>3.</t>
        </is>
      </c>
      <c r="D150" s="504" t="inlineStr">
        <is>
          <t>ПРОДУКЦИЯ 
ООО "ГАЗПРОМ НЕФТЕХИМ САЛАВАТ":</t>
        </is>
      </c>
      <c r="E150" s="528" t="inlineStr">
        <is>
          <t>100330830</t>
        </is>
      </c>
      <c r="F150" s="528" t="n"/>
      <c r="G150" s="529" t="n"/>
      <c r="H150" s="530" t="n"/>
      <c r="I150" s="530" t="n"/>
      <c r="J150" s="663" t="inlineStr">
        <is>
          <t>тыс.т.</t>
        </is>
      </c>
    </row>
    <row r="151" ht="21.75" customHeight="1" s="769">
      <c r="A151" t="n">
        <v>32.041</v>
      </c>
      <c r="B151" s="336" t="inlineStr">
        <is>
          <t>Этилен (валовый)</t>
        </is>
      </c>
      <c r="C151" s="337" t="inlineStr">
        <is>
          <t>3.1</t>
        </is>
      </c>
      <c r="D151" s="336" t="inlineStr">
        <is>
          <t>Этилен (валовый)</t>
        </is>
      </c>
      <c r="E151" s="528" t="inlineStr">
        <is>
          <t>100330831</t>
        </is>
      </c>
      <c r="F151" s="528" t="n"/>
      <c r="G151" s="529" t="n"/>
      <c r="H151" s="530" t="n"/>
      <c r="I151" s="530" t="n"/>
      <c r="J151" s="663" t="inlineStr">
        <is>
          <t>тыс.т.</t>
        </is>
      </c>
    </row>
    <row r="152" ht="21.75" customHeight="1" s="769">
      <c r="A152" t="n">
        <v>10</v>
      </c>
      <c r="B152" s="344" t="inlineStr">
        <is>
          <t>Товар</t>
        </is>
      </c>
      <c r="C152" s="337" t="n"/>
      <c r="D152" s="344" t="inlineStr">
        <is>
          <t>Товар</t>
        </is>
      </c>
      <c r="E152" s="528" t="inlineStr">
        <is>
          <t>100330832</t>
        </is>
      </c>
      <c r="F152" s="528" t="n"/>
      <c r="G152" s="529" t="n"/>
      <c r="H152" s="530" t="n"/>
      <c r="I152" s="530" t="n"/>
      <c r="J152" s="663" t="inlineStr">
        <is>
          <t>тыс.т.</t>
        </is>
      </c>
    </row>
    <row r="153" ht="21.75" customHeight="1" s="769">
      <c r="A153" t="n">
        <v>13.565</v>
      </c>
      <c r="B153" s="336" t="inlineStr">
        <is>
          <t>Пропилен (валовый)</t>
        </is>
      </c>
      <c r="C153" s="337" t="inlineStr">
        <is>
          <t>3.2</t>
        </is>
      </c>
      <c r="D153" s="336" t="inlineStr">
        <is>
          <t>Пропилен (валовый)</t>
        </is>
      </c>
      <c r="E153" s="528" t="inlineStr">
        <is>
          <t>100330833</t>
        </is>
      </c>
      <c r="F153" s="528" t="n"/>
      <c r="G153" s="529" t="n"/>
      <c r="H153" s="530" t="n"/>
      <c r="I153" s="530" t="n"/>
      <c r="J153" s="663" t="inlineStr">
        <is>
          <t>тыс.т.</t>
        </is>
      </c>
    </row>
    <row r="154" ht="21.75" customHeight="1" s="769">
      <c r="A154" t="n">
        <v>0</v>
      </c>
      <c r="B154" s="344" t="inlineStr">
        <is>
          <t>Товар</t>
        </is>
      </c>
      <c r="C154" s="337" t="n"/>
      <c r="D154" s="344" t="inlineStr">
        <is>
          <t>Товар</t>
        </is>
      </c>
      <c r="E154" s="528" t="inlineStr">
        <is>
          <t>100332346</t>
        </is>
      </c>
      <c r="F154" s="528" t="n"/>
      <c r="G154" s="529" t="n"/>
      <c r="H154" s="530" t="n"/>
      <c r="I154" s="530" t="n"/>
      <c r="J154" s="663" t="inlineStr">
        <is>
          <t>тыс.т.</t>
        </is>
      </c>
    </row>
    <row r="155" ht="21.75" customHeight="1" s="769">
      <c r="A155" t="n">
        <v>5.185</v>
      </c>
      <c r="B155" s="344" t="inlineStr">
        <is>
          <t>На ООО "Акрил-Салават"</t>
        </is>
      </c>
      <c r="C155" s="337" t="n"/>
      <c r="D155" s="344" t="inlineStr">
        <is>
          <t>На ООО "Акрил-Салават"</t>
        </is>
      </c>
      <c r="E155" s="528" t="inlineStr">
        <is>
          <t>100336079</t>
        </is>
      </c>
      <c r="F155" s="528" t="n"/>
      <c r="G155" s="529" t="n"/>
      <c r="H155" s="530" t="n"/>
      <c r="I155" s="530" t="n"/>
      <c r="J155" s="663" t="inlineStr">
        <is>
          <t>тыс.т.</t>
        </is>
      </c>
    </row>
    <row r="156" ht="21.75" customHeight="1" s="769">
      <c r="A156" t="n">
        <v>8.324</v>
      </c>
      <c r="B156" s="336" t="inlineStr">
        <is>
          <t>Бутилен-бутадиеновая фракция (валовый)</t>
        </is>
      </c>
      <c r="C156" s="337" t="inlineStr">
        <is>
          <t>3.3</t>
        </is>
      </c>
      <c r="D156" s="336" t="inlineStr">
        <is>
          <t>Бутилен-бутадиеновая фракция (валовый)</t>
        </is>
      </c>
      <c r="E156" s="528" t="inlineStr">
        <is>
          <t>100330835</t>
        </is>
      </c>
      <c r="F156" s="528" t="n"/>
      <c r="G156" s="529" t="n"/>
      <c r="H156" s="530" t="n"/>
      <c r="I156" s="530" t="n"/>
      <c r="J156" s="663" t="inlineStr">
        <is>
          <t>тыс.т.</t>
        </is>
      </c>
    </row>
    <row r="157" ht="21.75" customHeight="1" s="769">
      <c r="A157" t="n">
        <v>8.294</v>
      </c>
      <c r="B157" s="344" t="inlineStr">
        <is>
          <t>Товар</t>
        </is>
      </c>
      <c r="C157" s="337" t="n"/>
      <c r="D157" s="344" t="inlineStr">
        <is>
          <t>Товар</t>
        </is>
      </c>
      <c r="E157" s="528" t="inlineStr">
        <is>
          <t>100335105</t>
        </is>
      </c>
      <c r="F157" s="528" t="n"/>
      <c r="G157" s="529" t="n"/>
      <c r="H157" s="530" t="n"/>
      <c r="I157" s="530" t="n"/>
      <c r="J157" s="663" t="inlineStr">
        <is>
          <t>тыс.т.</t>
        </is>
      </c>
    </row>
    <row r="158" ht="21.75" customHeight="1" s="769">
      <c r="A158" t="n">
        <v>5.745</v>
      </c>
      <c r="B158" s="336" t="inlineStr">
        <is>
          <t>Тяжелая смола (валовый)</t>
        </is>
      </c>
      <c r="C158" s="337" t="inlineStr">
        <is>
          <t>3.4</t>
        </is>
      </c>
      <c r="D158" s="336" t="inlineStr">
        <is>
          <t>Тяжелая смола (валовый)</t>
        </is>
      </c>
      <c r="E158" s="528" t="inlineStr">
        <is>
          <t>100330836</t>
        </is>
      </c>
      <c r="F158" s="528" t="n"/>
      <c r="G158" s="529" t="n"/>
      <c r="H158" s="530" t="n"/>
      <c r="I158" s="530" t="n"/>
      <c r="J158" s="663" t="inlineStr">
        <is>
          <t>тыс.т.</t>
        </is>
      </c>
    </row>
    <row r="159" ht="21.75" customHeight="1" s="769">
      <c r="A159" t="n">
        <v>5.803</v>
      </c>
      <c r="B159" s="344" t="inlineStr">
        <is>
          <t>Товар</t>
        </is>
      </c>
      <c r="C159" s="337" t="n"/>
      <c r="D159" s="344" t="inlineStr">
        <is>
          <t>Товар</t>
        </is>
      </c>
      <c r="E159" s="528" t="inlineStr">
        <is>
          <t>100335106</t>
        </is>
      </c>
      <c r="F159" s="528" t="n"/>
      <c r="G159" s="529" t="n"/>
      <c r="H159" s="530" t="n"/>
      <c r="I159" s="530" t="n"/>
      <c r="J159" s="663" t="inlineStr">
        <is>
          <t>тыс.т.</t>
        </is>
      </c>
    </row>
    <row r="160" ht="21.75" customHeight="1" s="769">
      <c r="A160" t="n">
        <v>21.714</v>
      </c>
      <c r="B160" s="336" t="inlineStr">
        <is>
          <t>Пироконденсат  (валовый)</t>
        </is>
      </c>
      <c r="C160" s="337" t="inlineStr">
        <is>
          <t>3.5</t>
        </is>
      </c>
      <c r="D160" s="336" t="inlineStr">
        <is>
          <t>Пироконденсат  (валовый)</t>
        </is>
      </c>
      <c r="E160" s="528" t="inlineStr">
        <is>
          <t>100332907</t>
        </is>
      </c>
      <c r="F160" s="528" t="n"/>
      <c r="G160" s="529" t="n"/>
      <c r="H160" s="530" t="n"/>
      <c r="I160" s="530" t="n"/>
      <c r="J160" s="663" t="inlineStr">
        <is>
          <t>тыс.т.</t>
        </is>
      </c>
    </row>
    <row r="161" ht="21.75" customHeight="1" s="769">
      <c r="A161" t="n">
        <v>0</v>
      </c>
      <c r="B161" s="344" t="inlineStr">
        <is>
          <t>Товар</t>
        </is>
      </c>
      <c r="C161" s="337" t="n"/>
      <c r="D161" s="344" t="inlineStr">
        <is>
          <t>Товар</t>
        </is>
      </c>
      <c r="E161" s="528" t="inlineStr">
        <is>
          <t>100335107</t>
        </is>
      </c>
      <c r="F161" s="528" t="n"/>
      <c r="G161" s="529" t="n"/>
      <c r="H161" s="530" t="n"/>
      <c r="I161" s="530" t="n"/>
      <c r="J161" s="663" t="inlineStr">
        <is>
          <t>тыс.т.</t>
        </is>
      </c>
    </row>
    <row r="162" ht="21.75" customHeight="1" s="769">
      <c r="A162" t="n">
        <v>13.826</v>
      </c>
      <c r="B162" s="336" t="inlineStr">
        <is>
          <t>Бензол (валовый)</t>
        </is>
      </c>
      <c r="C162" s="337" t="inlineStr">
        <is>
          <t>3.6</t>
        </is>
      </c>
      <c r="D162" s="336" t="inlineStr">
        <is>
          <t>Бензол (валовый)</t>
        </is>
      </c>
      <c r="E162" s="528" t="inlineStr">
        <is>
          <t>100335108</t>
        </is>
      </c>
      <c r="F162" s="528" t="n"/>
      <c r="G162" s="529" t="n"/>
      <c r="H162" s="530" t="n"/>
      <c r="I162" s="530" t="n"/>
      <c r="J162" s="663" t="inlineStr">
        <is>
          <t>тыс.т.</t>
        </is>
      </c>
    </row>
    <row r="163" ht="21.75" customHeight="1" s="769">
      <c r="A163" t="n">
        <v>2.723</v>
      </c>
      <c r="B163" s="344" t="inlineStr">
        <is>
          <t>Товар</t>
        </is>
      </c>
      <c r="C163" s="337" t="n"/>
      <c r="D163" s="344" t="inlineStr">
        <is>
          <t>Товар</t>
        </is>
      </c>
      <c r="E163" s="528" t="inlineStr">
        <is>
          <t>100335109</t>
        </is>
      </c>
      <c r="F163" s="528" t="n"/>
      <c r="G163" s="529" t="n"/>
      <c r="H163" s="530" t="n"/>
      <c r="I163" s="530" t="n"/>
      <c r="J163" s="663" t="inlineStr">
        <is>
          <t>тыс.т.</t>
        </is>
      </c>
    </row>
    <row r="164" ht="21.75" customHeight="1" s="769">
      <c r="A164" t="n">
        <v>3.449</v>
      </c>
      <c r="B164" s="343" t="inlineStr">
        <is>
          <t>Кубовый Остаток Ректификации Бензола (валовый)</t>
        </is>
      </c>
      <c r="C164" s="337" t="inlineStr">
        <is>
          <t>3.7</t>
        </is>
      </c>
      <c r="D164" s="343" t="inlineStr">
        <is>
          <t>Кубовый Остаток Ректификации Бензола (валовый)</t>
        </is>
      </c>
      <c r="E164" s="528" t="inlineStr">
        <is>
          <t>100336080</t>
        </is>
      </c>
      <c r="F164" s="528" t="n"/>
      <c r="G164" s="529" t="n"/>
      <c r="H164" s="530" t="n"/>
      <c r="I164" s="530" t="n"/>
      <c r="J164" s="663" t="inlineStr">
        <is>
          <t>тыс.т.</t>
        </is>
      </c>
    </row>
    <row r="165" ht="21.75" customHeight="1" s="769">
      <c r="A165" t="n">
        <v>3.414</v>
      </c>
      <c r="B165" s="344" t="inlineStr">
        <is>
          <t>Товар</t>
        </is>
      </c>
      <c r="C165" s="337" t="n"/>
      <c r="D165" s="344" t="inlineStr">
        <is>
          <t>Товар</t>
        </is>
      </c>
      <c r="E165" s="528" t="inlineStr">
        <is>
          <t>100336081</t>
        </is>
      </c>
      <c r="F165" s="528" t="n"/>
      <c r="G165" s="529" t="n"/>
      <c r="H165" s="530" t="n"/>
      <c r="I165" s="530" t="n"/>
      <c r="J165" s="663" t="inlineStr">
        <is>
          <t>тыс.т.</t>
        </is>
      </c>
    </row>
    <row r="166" ht="21.75" customHeight="1" s="769">
      <c r="A166" t="n">
        <v>18.156</v>
      </c>
      <c r="B166" s="336" t="inlineStr">
        <is>
          <t>Стирол (валовый)</t>
        </is>
      </c>
      <c r="C166" s="337" t="inlineStr">
        <is>
          <t>3.8</t>
        </is>
      </c>
      <c r="D166" s="336" t="inlineStr">
        <is>
          <t>Стирол (валовый)</t>
        </is>
      </c>
      <c r="E166" s="528" t="inlineStr">
        <is>
          <t>100330837</t>
        </is>
      </c>
      <c r="F166" s="528" t="n"/>
      <c r="G166" s="529" t="n"/>
      <c r="H166" s="530" t="n"/>
      <c r="I166" s="530" t="n"/>
      <c r="J166" s="663" t="inlineStr">
        <is>
          <t>тыс.т.</t>
        </is>
      </c>
    </row>
    <row r="167" ht="21.75" customHeight="1" s="769">
      <c r="A167" t="n">
        <v>13.953</v>
      </c>
      <c r="B167" s="344" t="inlineStr">
        <is>
          <t>Товар</t>
        </is>
      </c>
      <c r="C167" s="337" t="n"/>
      <c r="D167" s="344" t="inlineStr">
        <is>
          <t>Товар</t>
        </is>
      </c>
      <c r="E167" s="528" t="inlineStr">
        <is>
          <t>100330838</t>
        </is>
      </c>
      <c r="F167" s="528" t="n"/>
      <c r="G167" s="529" t="n"/>
      <c r="H167" s="530" t="n"/>
      <c r="I167" s="530" t="n"/>
      <c r="J167" s="663" t="inlineStr">
        <is>
          <t>тыс.т.</t>
        </is>
      </c>
    </row>
    <row r="168" ht="21.75" customHeight="1" s="769">
      <c r="A168" t="n">
        <v>0.278</v>
      </c>
      <c r="B168" s="343" t="inlineStr">
        <is>
          <t>Кубовый Остаток Ректификации Стирола (валовый)</t>
        </is>
      </c>
      <c r="C168" s="337" t="inlineStr">
        <is>
          <t>3.9</t>
        </is>
      </c>
      <c r="D168" s="343" t="inlineStr">
        <is>
          <t>Кубовый Остаток Ректификации Стирола (валовый)</t>
        </is>
      </c>
      <c r="E168" s="528" t="inlineStr">
        <is>
          <t>100336082</t>
        </is>
      </c>
      <c r="F168" s="528" t="n"/>
      <c r="G168" s="529" t="n"/>
      <c r="H168" s="530" t="n"/>
      <c r="I168" s="530" t="n"/>
      <c r="J168" s="663" t="inlineStr">
        <is>
          <t>тыс.т.</t>
        </is>
      </c>
    </row>
    <row r="169" ht="21.75" customHeight="1" s="769">
      <c r="A169" t="n">
        <v>0.289</v>
      </c>
      <c r="B169" s="344" t="inlineStr">
        <is>
          <t>Товар</t>
        </is>
      </c>
      <c r="C169" s="337" t="n"/>
      <c r="D169" s="344" t="inlineStr">
        <is>
          <t>Товар</t>
        </is>
      </c>
      <c r="E169" s="528" t="inlineStr">
        <is>
          <t>100336083</t>
        </is>
      </c>
      <c r="F169" s="528" t="n"/>
      <c r="G169" s="529" t="n"/>
      <c r="H169" s="530" t="n"/>
      <c r="I169" s="530" t="n"/>
      <c r="J169" s="663" t="inlineStr">
        <is>
          <t>тыс.т.</t>
        </is>
      </c>
    </row>
    <row r="170" ht="21.75" customHeight="1" s="769">
      <c r="A170" t="n">
        <v>20.098</v>
      </c>
      <c r="B170" s="336" t="inlineStr">
        <is>
          <t>Этилбензол (валовый)</t>
        </is>
      </c>
      <c r="C170" s="337" t="inlineStr">
        <is>
          <t>3.10</t>
        </is>
      </c>
      <c r="D170" s="336" t="inlineStr">
        <is>
          <t>Этилбензол (валовый)</t>
        </is>
      </c>
      <c r="E170" s="528" t="inlineStr">
        <is>
          <t>100336084</t>
        </is>
      </c>
      <c r="F170" s="528" t="n"/>
      <c r="G170" s="529" t="n"/>
      <c r="H170" s="530" t="n"/>
      <c r="I170" s="530" t="n"/>
      <c r="J170" s="663" t="inlineStr">
        <is>
          <t>тыс.т.</t>
        </is>
      </c>
    </row>
    <row r="171" ht="21.75" customHeight="1" s="769">
      <c r="A171" t="n">
        <v>0.519</v>
      </c>
      <c r="B171" s="344" t="inlineStr">
        <is>
          <t>Товар</t>
        </is>
      </c>
      <c r="C171" s="337" t="n"/>
      <c r="D171" s="344" t="inlineStr">
        <is>
          <t>Товар</t>
        </is>
      </c>
      <c r="E171" s="528" t="inlineStr">
        <is>
          <t>100336085</t>
        </is>
      </c>
      <c r="F171" s="528" t="n"/>
      <c r="G171" s="529" t="n"/>
      <c r="H171" s="530" t="n"/>
      <c r="I171" s="530" t="n"/>
      <c r="J171" s="663" t="inlineStr">
        <is>
          <t>тыс.т.</t>
        </is>
      </c>
    </row>
    <row r="172" ht="21.75" customHeight="1" s="769">
      <c r="A172" t="n">
        <v>3.292</v>
      </c>
      <c r="B172" s="336" t="inlineStr">
        <is>
          <t>Полиэтилен высокого давления (валовый)</t>
        </is>
      </c>
      <c r="C172" s="337" t="inlineStr">
        <is>
          <t>3.11</t>
        </is>
      </c>
      <c r="D172" s="336" t="inlineStr">
        <is>
          <t>Полиэтилен высокого давления (валовый)</t>
        </is>
      </c>
      <c r="E172" s="528" t="inlineStr">
        <is>
          <t>100330840</t>
        </is>
      </c>
      <c r="F172" s="528" t="n"/>
      <c r="G172" s="529" t="n"/>
      <c r="H172" s="530" t="n"/>
      <c r="I172" s="530" t="n"/>
      <c r="J172" s="663" t="inlineStr">
        <is>
          <t>тыс.т.</t>
        </is>
      </c>
    </row>
    <row r="173" ht="21.75" customHeight="1" s="769">
      <c r="A173" t="n">
        <v>3.261</v>
      </c>
      <c r="B173" s="344" t="inlineStr">
        <is>
          <t>Товар</t>
        </is>
      </c>
      <c r="C173" s="337" t="n"/>
      <c r="D173" s="344" t="inlineStr">
        <is>
          <t>Товар</t>
        </is>
      </c>
      <c r="E173" s="528" t="inlineStr">
        <is>
          <t>100335112</t>
        </is>
      </c>
      <c r="F173" s="528" t="n"/>
      <c r="G173" s="529" t="n"/>
      <c r="H173" s="530" t="n"/>
      <c r="I173" s="530" t="n"/>
      <c r="J173" s="663" t="inlineStr">
        <is>
          <t>тыс.т.</t>
        </is>
      </c>
    </row>
    <row r="174" ht="21.75" customHeight="1" s="769">
      <c r="A174" t="n">
        <v>11.391</v>
      </c>
      <c r="B174" s="336" t="inlineStr">
        <is>
          <t>Полиэтилен низкого давления (валовый)</t>
        </is>
      </c>
      <c r="C174" s="337" t="inlineStr">
        <is>
          <t>3.12</t>
        </is>
      </c>
      <c r="D174" s="336" t="inlineStr">
        <is>
          <t>Полиэтилен низкого давления (валовый)</t>
        </is>
      </c>
      <c r="E174" s="528" t="inlineStr">
        <is>
          <t>100330841</t>
        </is>
      </c>
      <c r="F174" s="528" t="n"/>
      <c r="G174" s="529" t="n"/>
      <c r="H174" s="530" t="n"/>
      <c r="I174" s="530" t="n"/>
      <c r="J174" s="663" t="inlineStr">
        <is>
          <t>тыс.т.</t>
        </is>
      </c>
    </row>
    <row r="175" ht="21.75" customHeight="1" s="769">
      <c r="A175" t="n">
        <v>11.301</v>
      </c>
      <c r="B175" s="344" t="inlineStr">
        <is>
          <t>Товар</t>
        </is>
      </c>
      <c r="C175" s="337" t="n"/>
      <c r="D175" s="344" t="inlineStr">
        <is>
          <t>Товар</t>
        </is>
      </c>
      <c r="E175" s="528" t="inlineStr">
        <is>
          <t>100335113</t>
        </is>
      </c>
      <c r="F175" s="528" t="n"/>
      <c r="G175" s="529" t="n"/>
      <c r="H175" s="530" t="n"/>
      <c r="I175" s="530" t="n"/>
      <c r="J175" s="663" t="inlineStr">
        <is>
          <t>тыс.т.</t>
        </is>
      </c>
    </row>
    <row r="176" ht="21.75" customHeight="1" s="769">
      <c r="A176" t="n">
        <v>3.429</v>
      </c>
      <c r="B176" s="336" t="inlineStr">
        <is>
          <t>Полистирол (ПСМ) (валовый)</t>
        </is>
      </c>
      <c r="C176" s="337" t="inlineStr">
        <is>
          <t>3.13</t>
        </is>
      </c>
      <c r="D176" s="336" t="inlineStr">
        <is>
          <t>Полистирол (ПСМ) (валовый)</t>
        </is>
      </c>
      <c r="E176" s="528" t="inlineStr">
        <is>
          <t>100330839</t>
        </is>
      </c>
      <c r="F176" s="528" t="n"/>
      <c r="G176" s="529" t="n"/>
      <c r="H176" s="530" t="n"/>
      <c r="I176" s="530" t="n"/>
      <c r="J176" s="663" t="inlineStr">
        <is>
          <t>тыс.т.</t>
        </is>
      </c>
    </row>
    <row r="177" ht="21.75" customHeight="1" s="769">
      <c r="A177" t="n">
        <v>3.349</v>
      </c>
      <c r="B177" s="344" t="inlineStr">
        <is>
          <t>Товар</t>
        </is>
      </c>
      <c r="C177" s="337" t="n"/>
      <c r="D177" s="344" t="inlineStr">
        <is>
          <t>Товар</t>
        </is>
      </c>
      <c r="E177" s="528" t="inlineStr">
        <is>
          <t>100335111</t>
        </is>
      </c>
      <c r="F177" s="528" t="n"/>
      <c r="G177" s="529" t="n"/>
      <c r="H177" s="530" t="n"/>
      <c r="I177" s="530" t="n"/>
      <c r="J177" s="663" t="inlineStr">
        <is>
          <t>тыс.т.</t>
        </is>
      </c>
    </row>
    <row r="178" ht="21.75" customHeight="1" s="769">
      <c r="A178" t="n">
        <v>4.902</v>
      </c>
      <c r="B178" s="336" t="inlineStr">
        <is>
          <t>Нормальный  бутанол (валовый)</t>
        </is>
      </c>
      <c r="C178" s="337" t="inlineStr">
        <is>
          <t>3.14</t>
        </is>
      </c>
      <c r="D178" s="336" t="inlineStr">
        <is>
          <t>Нормальный  бутанол (валовый)</t>
        </is>
      </c>
      <c r="E178" s="528" t="inlineStr">
        <is>
          <t>100330842</t>
        </is>
      </c>
      <c r="F178" s="528" t="n"/>
      <c r="G178" s="529" t="n"/>
      <c r="H178" s="530" t="n"/>
      <c r="I178" s="530" t="n"/>
      <c r="J178" s="663" t="inlineStr">
        <is>
          <t>тыс.т.</t>
        </is>
      </c>
    </row>
    <row r="179" ht="21.75" customHeight="1" s="769">
      <c r="A179" t="n">
        <v>0</v>
      </c>
      <c r="B179" s="344" t="inlineStr">
        <is>
          <t>Товар</t>
        </is>
      </c>
      <c r="C179" s="337" t="n"/>
      <c r="D179" s="344" t="inlineStr">
        <is>
          <t>Товар</t>
        </is>
      </c>
      <c r="E179" s="528" t="inlineStr">
        <is>
          <t>100330843</t>
        </is>
      </c>
      <c r="F179" s="528" t="n"/>
      <c r="G179" s="529" t="n"/>
      <c r="H179" s="530" t="n"/>
      <c r="I179" s="530" t="n"/>
      <c r="J179" s="663" t="inlineStr">
        <is>
          <t>тыс.т.</t>
        </is>
      </c>
    </row>
    <row r="180" ht="21.75" customHeight="1" s="769">
      <c r="A180" t="n">
        <v>4.638</v>
      </c>
      <c r="B180" s="344" t="inlineStr">
        <is>
          <t>На ООО "Акрил-Салават"</t>
        </is>
      </c>
      <c r="C180" s="337" t="n"/>
      <c r="D180" s="344" t="inlineStr">
        <is>
          <t>На ООО "Акрил-Салават"</t>
        </is>
      </c>
      <c r="E180" s="528" t="inlineStr">
        <is>
          <t>100336086</t>
        </is>
      </c>
      <c r="F180" s="528" t="n"/>
      <c r="G180" s="529" t="n"/>
      <c r="H180" s="530" t="n"/>
      <c r="I180" s="530" t="n"/>
      <c r="J180" s="663" t="inlineStr">
        <is>
          <t>тыс.т.</t>
        </is>
      </c>
    </row>
    <row r="181" ht="42.75" customHeight="1" s="769">
      <c r="A181" t="n">
        <v>0</v>
      </c>
      <c r="B181" s="344" t="inlineStr">
        <is>
          <t>На Дмитриевский хим.завод (производство бутилацетата)</t>
        </is>
      </c>
      <c r="C181" s="337" t="n"/>
      <c r="D181" s="344" t="inlineStr">
        <is>
          <t>На Дмитриевский хим.завод (производство бутилацетата)</t>
        </is>
      </c>
      <c r="E181" s="528" t="inlineStr">
        <is>
          <t>100336087</t>
        </is>
      </c>
      <c r="F181" s="528" t="n"/>
      <c r="G181" s="529" t="n"/>
      <c r="H181" s="530" t="n"/>
      <c r="I181" s="530" t="n"/>
      <c r="J181" s="663" t="inlineStr">
        <is>
          <t>тыс.т.</t>
        </is>
      </c>
    </row>
    <row r="182" ht="21.75" customHeight="1" s="769">
      <c r="A182" t="n">
        <v>2.647</v>
      </c>
      <c r="B182" s="336" t="inlineStr">
        <is>
          <t>Изобутанол (валовый)</t>
        </is>
      </c>
      <c r="C182" s="337" t="inlineStr">
        <is>
          <t>3.15</t>
        </is>
      </c>
      <c r="D182" s="336" t="inlineStr">
        <is>
          <t>Изобутанол (валовый)</t>
        </is>
      </c>
      <c r="E182" s="528" t="inlineStr">
        <is>
          <t>100330844</t>
        </is>
      </c>
      <c r="F182" s="528" t="n"/>
      <c r="G182" s="529" t="n"/>
      <c r="H182" s="530" t="n"/>
      <c r="I182" s="530" t="n"/>
      <c r="J182" s="663" t="inlineStr">
        <is>
          <t>тыс.т.</t>
        </is>
      </c>
    </row>
    <row r="183" ht="21.75" customHeight="1" s="769">
      <c r="A183" t="n">
        <v>0.402</v>
      </c>
      <c r="B183" s="344" t="inlineStr">
        <is>
          <t>Товар</t>
        </is>
      </c>
      <c r="C183" s="337" t="n"/>
      <c r="D183" s="344" t="inlineStr">
        <is>
          <t>Товар</t>
        </is>
      </c>
      <c r="E183" s="528" t="inlineStr">
        <is>
          <t>100330845</t>
        </is>
      </c>
      <c r="F183" s="528" t="n"/>
      <c r="G183" s="529" t="n"/>
      <c r="H183" s="530" t="n"/>
      <c r="I183" s="530" t="n"/>
      <c r="J183" s="663" t="inlineStr">
        <is>
          <t>тыс.т.</t>
        </is>
      </c>
    </row>
    <row r="184" ht="21.75" customHeight="1" s="769">
      <c r="A184" t="n">
        <v>2.689</v>
      </c>
      <c r="B184" s="344" t="inlineStr">
        <is>
          <t>На НПЗ</t>
        </is>
      </c>
      <c r="C184" s="337" t="n"/>
      <c r="D184" s="344" t="inlineStr">
        <is>
          <t>На НПЗ</t>
        </is>
      </c>
      <c r="E184" s="528" t="inlineStr">
        <is>
          <t>100336088</t>
        </is>
      </c>
      <c r="F184" s="528" t="n"/>
      <c r="G184" s="529" t="n"/>
      <c r="H184" s="530" t="n"/>
      <c r="I184" s="530" t="n"/>
      <c r="J184" s="663" t="inlineStr">
        <is>
          <t>тыс.т.</t>
        </is>
      </c>
    </row>
    <row r="185" ht="43.5" customHeight="1" s="769">
      <c r="B185" s="351" t="inlineStr">
        <is>
          <t>На Дмитриевский хим.завод (производство изобутилацетата)</t>
        </is>
      </c>
      <c r="C185" s="337" t="n"/>
      <c r="D185" s="351" t="inlineStr">
        <is>
          <t>На Дмитриевский хим.завод (производство изобутилацетата)</t>
        </is>
      </c>
      <c r="E185" s="528" t="inlineStr">
        <is>
          <t>100336163</t>
        </is>
      </c>
      <c r="F185" s="528" t="n"/>
      <c r="G185" s="529" t="n"/>
      <c r="H185" s="530" t="n"/>
      <c r="I185" s="530" t="n"/>
      <c r="J185" s="663" t="n"/>
    </row>
    <row r="186" ht="42.75" customHeight="1" s="769">
      <c r="A186" t="n">
        <v>0.712</v>
      </c>
      <c r="B186" s="504" t="inlineStr">
        <is>
          <t>Кубовый остаток бутиловых спиртов (КОБС) 
(валовый)</t>
        </is>
      </c>
      <c r="C186" s="337" t="inlineStr">
        <is>
          <t>3.16</t>
        </is>
      </c>
      <c r="D186" s="504" t="inlineStr">
        <is>
          <t>Кубовый остаток бутиловых спиртов (КОБС) 
(валовый)</t>
        </is>
      </c>
      <c r="E186" s="528" t="inlineStr">
        <is>
          <t>100336089</t>
        </is>
      </c>
      <c r="F186" s="528" t="n"/>
      <c r="G186" s="529" t="n"/>
      <c r="H186" s="530" t="n"/>
      <c r="I186" s="530" t="n"/>
      <c r="J186" s="663" t="inlineStr">
        <is>
          <t>тыс.т.</t>
        </is>
      </c>
    </row>
    <row r="187" ht="21.75" customHeight="1" s="769">
      <c r="A187" t="n">
        <v>0.647</v>
      </c>
      <c r="B187" s="344" t="inlineStr">
        <is>
          <t>Товар</t>
        </is>
      </c>
      <c r="C187" s="337" t="n"/>
      <c r="D187" s="344" t="inlineStr">
        <is>
          <t>Товар</t>
        </is>
      </c>
      <c r="E187" s="528" t="inlineStr">
        <is>
          <t>100336090</t>
        </is>
      </c>
      <c r="F187" s="528" t="n"/>
      <c r="G187" s="529" t="n"/>
      <c r="H187" s="530" t="n"/>
      <c r="I187" s="530" t="n"/>
      <c r="J187" s="663" t="inlineStr">
        <is>
          <t>тыс.т.</t>
        </is>
      </c>
    </row>
    <row r="188" ht="21.75" customHeight="1" s="769">
      <c r="A188" t="n">
        <v>0</v>
      </c>
      <c r="B188" s="344" t="inlineStr">
        <is>
          <t>На НПЗ</t>
        </is>
      </c>
      <c r="C188" s="337" t="n"/>
      <c r="D188" s="344" t="inlineStr">
        <is>
          <t>На НПЗ</t>
        </is>
      </c>
      <c r="E188" s="528" t="inlineStr">
        <is>
          <t>100336091</t>
        </is>
      </c>
      <c r="F188" s="528" t="n"/>
      <c r="G188" s="529" t="n"/>
      <c r="H188" s="530" t="n"/>
      <c r="I188" s="530" t="n"/>
      <c r="J188" s="663" t="inlineStr">
        <is>
          <t>тыс.т.</t>
        </is>
      </c>
    </row>
    <row r="189" ht="21.75" customHeight="1" s="769">
      <c r="A189" t="n">
        <v>1.138</v>
      </c>
      <c r="B189" s="336" t="inlineStr">
        <is>
          <t xml:space="preserve">Фталевый ангидрид </t>
        </is>
      </c>
      <c r="C189" s="337" t="inlineStr">
        <is>
          <t>3.17</t>
        </is>
      </c>
      <c r="D189" s="336" t="inlineStr">
        <is>
          <t xml:space="preserve">Фталевый ангидрид </t>
        </is>
      </c>
      <c r="E189" s="528" t="inlineStr">
        <is>
          <t>100336092</t>
        </is>
      </c>
      <c r="F189" s="528" t="n"/>
      <c r="G189" s="529" t="n"/>
      <c r="H189" s="530" t="n"/>
      <c r="I189" s="530" t="n"/>
      <c r="J189" s="663" t="inlineStr">
        <is>
          <t>тыс.т.</t>
        </is>
      </c>
    </row>
    <row r="190" ht="21.75" customHeight="1" s="769">
      <c r="A190" t="n">
        <v>0</v>
      </c>
      <c r="B190" s="344" t="inlineStr">
        <is>
          <t>Товар</t>
        </is>
      </c>
      <c r="C190" s="337" t="n"/>
      <c r="D190" s="344" t="inlineStr">
        <is>
          <t>Товар</t>
        </is>
      </c>
      <c r="E190" s="528" t="inlineStr">
        <is>
          <t>100336093</t>
        </is>
      </c>
      <c r="F190" s="528" t="n"/>
      <c r="G190" s="529" t="n"/>
      <c r="H190" s="530" t="n"/>
      <c r="I190" s="530" t="n"/>
      <c r="J190" s="663" t="inlineStr">
        <is>
          <t>тыс.т.</t>
        </is>
      </c>
    </row>
    <row r="191" ht="21.75" customHeight="1" s="769">
      <c r="A191" t="n">
        <v>0.206</v>
      </c>
      <c r="B191" s="336" t="inlineStr">
        <is>
          <t>Эфирная головка</t>
        </is>
      </c>
      <c r="C191" s="337" t="inlineStr">
        <is>
          <t>3.18</t>
        </is>
      </c>
      <c r="D191" s="336" t="inlineStr">
        <is>
          <t>Эфирная головка</t>
        </is>
      </c>
      <c r="E191" s="528" t="inlineStr">
        <is>
          <t>100336094</t>
        </is>
      </c>
      <c r="F191" s="528" t="n"/>
      <c r="G191" s="529" t="n"/>
      <c r="H191" s="530" t="n"/>
      <c r="I191" s="530" t="n"/>
      <c r="J191" s="663" t="inlineStr">
        <is>
          <t>тыс.т.</t>
        </is>
      </c>
    </row>
    <row r="192" ht="21.75" customHeight="1" s="769">
      <c r="A192" t="n">
        <v>0</v>
      </c>
      <c r="B192" s="344" t="inlineStr">
        <is>
          <t>Товар</t>
        </is>
      </c>
      <c r="C192" s="337" t="n"/>
      <c r="D192" s="344" t="inlineStr">
        <is>
          <t>Товар</t>
        </is>
      </c>
      <c r="E192" s="528" t="inlineStr">
        <is>
          <t>100336095</t>
        </is>
      </c>
      <c r="F192" s="528" t="n"/>
      <c r="G192" s="529" t="n"/>
      <c r="H192" s="530" t="n"/>
      <c r="I192" s="530" t="n"/>
      <c r="J192" s="663" t="inlineStr">
        <is>
          <t>тыс.т.</t>
        </is>
      </c>
    </row>
    <row r="193" ht="21.75" customHeight="1" s="769">
      <c r="A193" t="n">
        <v>0.206</v>
      </c>
      <c r="B193" s="344" t="inlineStr">
        <is>
          <t>На НПЗ</t>
        </is>
      </c>
      <c r="C193" s="337" t="n"/>
      <c r="D193" s="344" t="inlineStr">
        <is>
          <t>На НПЗ</t>
        </is>
      </c>
      <c r="E193" s="528" t="inlineStr">
        <is>
          <t>100336096</t>
        </is>
      </c>
      <c r="F193" s="528" t="n"/>
      <c r="G193" s="529" t="n"/>
      <c r="H193" s="530" t="n"/>
      <c r="I193" s="530" t="n"/>
      <c r="J193" s="663" t="inlineStr">
        <is>
          <t>тыс.т.</t>
        </is>
      </c>
    </row>
    <row r="194" ht="21.75" customHeight="1" s="769">
      <c r="A194" t="n">
        <v>2.886</v>
      </c>
      <c r="B194" s="336" t="inlineStr">
        <is>
          <t>Пластификаторы (валовый)</t>
        </is>
      </c>
      <c r="C194" s="337" t="inlineStr">
        <is>
          <t>3.19</t>
        </is>
      </c>
      <c r="D194" s="336" t="inlineStr">
        <is>
          <t>Пластификаторы (валовый)</t>
        </is>
      </c>
      <c r="E194" s="528" t="inlineStr">
        <is>
          <t>100330846</t>
        </is>
      </c>
      <c r="F194" s="528" t="n"/>
      <c r="G194" s="529" t="n"/>
      <c r="H194" s="530" t="n"/>
      <c r="I194" s="530" t="n"/>
      <c r="J194" s="663" t="inlineStr">
        <is>
          <t>тыс.т.</t>
        </is>
      </c>
    </row>
    <row r="195" ht="21.75" customHeight="1" s="769">
      <c r="A195" t="n">
        <v>2.886</v>
      </c>
      <c r="B195" s="344" t="inlineStr">
        <is>
          <t>Товар</t>
        </is>
      </c>
      <c r="C195" s="337" t="n"/>
      <c r="D195" s="344" t="inlineStr">
        <is>
          <t>Товар</t>
        </is>
      </c>
      <c r="E195" s="528" t="inlineStr">
        <is>
          <t>100336097</t>
        </is>
      </c>
      <c r="F195" s="528" t="n"/>
      <c r="G195" s="529" t="n"/>
      <c r="H195" s="530" t="n"/>
      <c r="I195" s="530" t="n"/>
      <c r="J195" s="663" t="inlineStr">
        <is>
          <t>тыс.т.</t>
        </is>
      </c>
    </row>
    <row r="196" ht="21.75" customHeight="1" s="769">
      <c r="A196" t="n">
        <v>3.05</v>
      </c>
      <c r="B196" s="336" t="inlineStr">
        <is>
          <t>Дваэтилгексанол (валовый)</t>
        </is>
      </c>
      <c r="C196" s="337" t="inlineStr">
        <is>
          <t>3.20</t>
        </is>
      </c>
      <c r="D196" s="336" t="inlineStr">
        <is>
          <t>Дваэтилгексанол (валовый)</t>
        </is>
      </c>
      <c r="E196" s="528" t="inlineStr">
        <is>
          <t>100336098</t>
        </is>
      </c>
      <c r="F196" s="528" t="n"/>
      <c r="G196" s="529" t="n"/>
      <c r="H196" s="530" t="n"/>
      <c r="I196" s="530" t="n"/>
      <c r="J196" s="663" t="inlineStr">
        <is>
          <t>тыс.т.</t>
        </is>
      </c>
    </row>
    <row r="197" ht="21.75" customHeight="1" s="769">
      <c r="A197" t="n">
        <v>1.082</v>
      </c>
      <c r="B197" s="344" t="inlineStr">
        <is>
          <t>Товар</t>
        </is>
      </c>
      <c r="C197" s="337" t="n"/>
      <c r="D197" s="344" t="inlineStr">
        <is>
          <t>Товар</t>
        </is>
      </c>
      <c r="E197" s="528" t="inlineStr">
        <is>
          <t>100336099</t>
        </is>
      </c>
      <c r="F197" s="528" t="n"/>
      <c r="G197" s="529" t="n"/>
      <c r="H197" s="530" t="n"/>
      <c r="I197" s="530" t="n"/>
      <c r="J197" s="663" t="inlineStr">
        <is>
          <t>тыс.т.</t>
        </is>
      </c>
    </row>
    <row r="198" ht="42.75" customHeight="1" s="769">
      <c r="A198" t="n">
        <v>0.363</v>
      </c>
      <c r="B198" s="504" t="inlineStr">
        <is>
          <t>Кубовый остаток от дваэтилгексанола (КОРДЭГ) 
(валовый)</t>
        </is>
      </c>
      <c r="C198" s="337" t="inlineStr">
        <is>
          <t>3.21</t>
        </is>
      </c>
      <c r="D198" s="504" t="inlineStr">
        <is>
          <t>Кубовый остаток от дваэтилгексанола (КОРДЭГ) 
(валовый)</t>
        </is>
      </c>
      <c r="E198" s="528" t="inlineStr">
        <is>
          <t>100336100</t>
        </is>
      </c>
      <c r="F198" s="528" t="n"/>
      <c r="G198" s="529" t="n"/>
      <c r="H198" s="530" t="n"/>
      <c r="I198" s="530" t="n"/>
      <c r="J198" s="663" t="inlineStr">
        <is>
          <t>тыс.т.</t>
        </is>
      </c>
    </row>
    <row r="199" ht="21.75" customHeight="1" s="769">
      <c r="A199" t="n">
        <v>0.292</v>
      </c>
      <c r="B199" s="344" t="inlineStr">
        <is>
          <t>Товар</t>
        </is>
      </c>
      <c r="C199" s="337" t="n"/>
      <c r="D199" s="344" t="inlineStr">
        <is>
          <t>Товар</t>
        </is>
      </c>
      <c r="E199" s="528" t="inlineStr">
        <is>
          <t>100336101</t>
        </is>
      </c>
      <c r="F199" s="528" t="n"/>
      <c r="G199" s="529" t="n"/>
      <c r="H199" s="530" t="n"/>
      <c r="I199" s="530" t="n"/>
      <c r="J199" s="663" t="inlineStr">
        <is>
          <t>тыс.т.</t>
        </is>
      </c>
    </row>
    <row r="200" ht="21.75" customHeight="1" s="769">
      <c r="B200" s="343" t="n"/>
      <c r="C200" s="330" t="inlineStr">
        <is>
          <t>ГАЗОХИМИЧЕСКИЙ ЗАВОД (ГХЗ)</t>
        </is>
      </c>
      <c r="D200" s="343" t="n"/>
      <c r="E200" s="528" t="inlineStr">
        <is>
          <t>ЗАВ1</t>
        </is>
      </c>
      <c r="F200" s="528" t="n"/>
      <c r="G200" s="529" t="n"/>
      <c r="H200" s="530" t="n"/>
      <c r="I200" s="530" t="n"/>
      <c r="J200" s="663" t="n"/>
    </row>
    <row r="201" ht="42.75" customHeight="1" s="769">
      <c r="B201" s="333" t="inlineStr">
        <is>
          <t>ПЕРЕРАБОТКА СЫРЬЯ 
ООО "ГАЗПРОМ НЕФТЕХИМ САЛАВАТ":</t>
        </is>
      </c>
      <c r="C201" s="334" t="inlineStr">
        <is>
          <t>1.</t>
        </is>
      </c>
      <c r="D201" s="333" t="inlineStr">
        <is>
          <t>ПЕРЕРАБОТКА СЫРЬЯ 
ООО "ГАЗПРОМ НЕФТЕХИМ САЛАВАТ":</t>
        </is>
      </c>
      <c r="E201" s="528" t="inlineStr">
        <is>
          <t>100330792</t>
        </is>
      </c>
      <c r="F201" s="528" t="n"/>
      <c r="G201" s="529" t="n"/>
      <c r="H201" s="530" t="n"/>
      <c r="I201" s="530" t="n"/>
      <c r="J201" s="335" t="n"/>
    </row>
    <row r="202" ht="21.75" customHeight="1" s="769">
      <c r="A202" t="n">
        <v>33.985</v>
      </c>
      <c r="B202" s="336" t="inlineStr">
        <is>
          <t>Природный газ</t>
        </is>
      </c>
      <c r="C202" s="337" t="inlineStr">
        <is>
          <t>1.1</t>
        </is>
      </c>
      <c r="D202" s="336" t="inlineStr">
        <is>
          <t>Природный газ</t>
        </is>
      </c>
      <c r="E202" s="528" t="inlineStr">
        <is>
          <t>100330794</t>
        </is>
      </c>
      <c r="F202" s="528" t="n"/>
      <c r="G202" s="529" t="n"/>
      <c r="H202" s="530" t="n"/>
      <c r="I202" s="530" t="n"/>
      <c r="J202" s="663" t="inlineStr">
        <is>
          <t>млн.м3</t>
        </is>
      </c>
    </row>
    <row r="203" ht="42.75" customHeight="1" s="769">
      <c r="B203" s="333" t="inlineStr">
        <is>
          <t>ПРОДУКЦИЯ 
ООО "ГАЗПРОМ НЕФТЕХИМ САЛАВАТ":</t>
        </is>
      </c>
      <c r="C203" s="334" t="inlineStr">
        <is>
          <t>2.</t>
        </is>
      </c>
      <c r="D203" s="333" t="inlineStr">
        <is>
          <t>ПРОДУКЦИЯ 
ООО "ГАЗПРОМ НЕФТЕХИМ САЛАВАТ":</t>
        </is>
      </c>
      <c r="E203" s="528" t="inlineStr">
        <is>
          <t>100330795</t>
        </is>
      </c>
      <c r="F203" s="528" t="n"/>
      <c r="G203" s="529" t="n"/>
      <c r="H203" s="530" t="n"/>
      <c r="I203" s="530" t="n"/>
      <c r="J203" s="335" t="inlineStr">
        <is>
          <t>тыс.т.</t>
        </is>
      </c>
    </row>
    <row r="204" ht="21.75" customHeight="1" s="769">
      <c r="A204" t="n">
        <v>51.143</v>
      </c>
      <c r="B204" s="336" t="inlineStr">
        <is>
          <t>Аммиак (валовый)</t>
        </is>
      </c>
      <c r="C204" s="337" t="inlineStr">
        <is>
          <t>2.1</t>
        </is>
      </c>
      <c r="D204" s="336" t="inlineStr">
        <is>
          <t>Аммиак (валовый)</t>
        </is>
      </c>
      <c r="E204" s="528" t="inlineStr">
        <is>
          <t>100330798</t>
        </is>
      </c>
      <c r="F204" s="528" t="n"/>
      <c r="G204" s="529" t="n"/>
      <c r="H204" s="530" t="n"/>
      <c r="I204" s="530" t="n"/>
      <c r="J204" s="663" t="inlineStr">
        <is>
          <t>тыс.т.</t>
        </is>
      </c>
    </row>
    <row r="205" ht="21.75" customHeight="1" s="769">
      <c r="A205" t="n">
        <v>16.427</v>
      </c>
      <c r="B205" s="344" t="inlineStr">
        <is>
          <t>Товар</t>
        </is>
      </c>
      <c r="C205" s="337" t="n"/>
      <c r="D205" s="344" t="inlineStr">
        <is>
          <t>Товар</t>
        </is>
      </c>
      <c r="E205" s="528" t="inlineStr">
        <is>
          <t>100330799</t>
        </is>
      </c>
      <c r="F205" s="528" t="n"/>
      <c r="G205" s="529" t="n"/>
      <c r="H205" s="530" t="n"/>
      <c r="I205" s="530" t="n"/>
      <c r="J205" s="663" t="inlineStr">
        <is>
          <t>тыс.т.</t>
        </is>
      </c>
    </row>
    <row r="206" ht="21.75" customHeight="1" s="769">
      <c r="A206" t="n">
        <v>60.178</v>
      </c>
      <c r="B206" s="336" t="inlineStr">
        <is>
          <t>Карбамид (валовый)</t>
        </is>
      </c>
      <c r="C206" s="337" t="inlineStr">
        <is>
          <t>2.2</t>
        </is>
      </c>
      <c r="D206" s="336" t="inlineStr">
        <is>
          <t>Карбамид (валовый)</t>
        </is>
      </c>
      <c r="E206" s="528" t="inlineStr">
        <is>
          <t>100330796</t>
        </is>
      </c>
      <c r="F206" s="528" t="n"/>
      <c r="G206" s="529" t="n"/>
      <c r="H206" s="530" t="n"/>
      <c r="I206" s="530" t="n"/>
      <c r="J206" s="663" t="inlineStr">
        <is>
          <t>тыс.т.</t>
        </is>
      </c>
    </row>
    <row r="207" ht="21.75" customHeight="1" s="769">
      <c r="A207" t="n">
        <v>60.178</v>
      </c>
      <c r="B207" s="344" t="inlineStr">
        <is>
          <t>Товар</t>
        </is>
      </c>
      <c r="C207" s="337" t="n"/>
      <c r="D207" s="344" t="inlineStr">
        <is>
          <t>Товар</t>
        </is>
      </c>
      <c r="E207" s="528" t="inlineStr">
        <is>
          <t>100336102</t>
        </is>
      </c>
      <c r="F207" s="528" t="n"/>
      <c r="G207" s="529" t="n"/>
      <c r="H207" s="530" t="n"/>
      <c r="I207" s="530" t="n"/>
      <c r="J207" s="663" t="inlineStr">
        <is>
          <t>тыс.т.</t>
        </is>
      </c>
    </row>
    <row r="208" ht="21.75" customHeight="1" s="769">
      <c r="A208" t="n">
        <v>0.425</v>
      </c>
      <c r="B208" s="336" t="inlineStr">
        <is>
          <t>Аммиачная вода (валовый)</t>
        </is>
      </c>
      <c r="C208" s="337" t="inlineStr">
        <is>
          <t>2.3</t>
        </is>
      </c>
      <c r="D208" s="336" t="inlineStr">
        <is>
          <t>Аммиачная вода (валовый)</t>
        </is>
      </c>
      <c r="E208" s="528" t="inlineStr">
        <is>
          <t>100330800</t>
        </is>
      </c>
      <c r="F208" s="528" t="n"/>
      <c r="G208" s="529" t="n"/>
      <c r="H208" s="530" t="n"/>
      <c r="I208" s="530" t="n"/>
      <c r="J208" s="663" t="inlineStr">
        <is>
          <t>тыс.т.</t>
        </is>
      </c>
    </row>
    <row r="209" ht="21.75" customHeight="1" s="769">
      <c r="A209" t="n">
        <v>0.425</v>
      </c>
      <c r="B209" s="344" t="inlineStr">
        <is>
          <t>Товар</t>
        </is>
      </c>
      <c r="C209" s="337" t="n"/>
      <c r="D209" s="344" t="inlineStr">
        <is>
          <t>Товар</t>
        </is>
      </c>
      <c r="E209" s="528" t="inlineStr">
        <is>
          <t>100336103</t>
        </is>
      </c>
      <c r="F209" s="528" t="n"/>
      <c r="G209" s="529" t="n"/>
      <c r="H209" s="530" t="n"/>
      <c r="I209" s="530" t="n"/>
      <c r="J209" s="663" t="inlineStr">
        <is>
          <t>тыс.т.</t>
        </is>
      </c>
    </row>
    <row r="210" ht="21.75" customHeight="1" s="769">
      <c r="B210" s="336" t="n"/>
      <c r="C210" s="330" t="inlineStr">
        <is>
          <t>ООО "АКРИЛ-САЛАВАТ"</t>
        </is>
      </c>
      <c r="D210" s="336" t="n"/>
      <c r="E210" s="528" t="inlineStr">
        <is>
          <t>ЗАВ4</t>
        </is>
      </c>
      <c r="F210" s="528" t="n"/>
      <c r="G210" s="529" t="n"/>
      <c r="H210" s="530" t="n"/>
      <c r="I210" s="530" t="n"/>
      <c r="J210" s="663" t="n"/>
    </row>
    <row r="211" ht="42.75" customHeight="1" s="769">
      <c r="A211" t="n">
        <v>9.823</v>
      </c>
      <c r="B211" s="333" t="inlineStr">
        <is>
          <t>ПЕРЕРАБОТКА СЫРЬЯ 
ООО "ГАЗПРОМ НЕФТЕХИМ САЛАВАТ":</t>
        </is>
      </c>
      <c r="C211" s="334" t="inlineStr">
        <is>
          <t>1.</t>
        </is>
      </c>
      <c r="D211" s="333" t="inlineStr">
        <is>
          <t>ПЕРЕРАБОТКА СЫРЬЯ 
ООО "ГАЗПРОМ НЕФТЕХИМ САЛАВАТ":</t>
        </is>
      </c>
      <c r="E211" s="528" t="inlineStr">
        <is>
          <t>100332347</t>
        </is>
      </c>
      <c r="F211" s="528" t="n"/>
      <c r="G211" s="529" t="n"/>
      <c r="H211" s="530" t="inlineStr">
        <is>
          <t>100332348+100332349</t>
        </is>
      </c>
      <c r="I211" s="530" t="n"/>
      <c r="J211" s="335" t="inlineStr">
        <is>
          <t>тыс.т.</t>
        </is>
      </c>
    </row>
    <row r="212" ht="42.75" customHeight="1" s="769">
      <c r="A212" t="n">
        <v>5.185</v>
      </c>
      <c r="B212" s="341" t="inlineStr">
        <is>
          <t>Пропилен с завода "Мономер" 
ООО "Газпром нефтехим Салават"</t>
        </is>
      </c>
      <c r="C212" s="337" t="inlineStr">
        <is>
          <t>1.1</t>
        </is>
      </c>
      <c r="D212" s="341" t="inlineStr">
        <is>
          <t>Пропилен с завода "Мономер" 
ООО "Газпром нефтехим Салават"</t>
        </is>
      </c>
      <c r="E212" s="528" t="inlineStr">
        <is>
          <t>100332348</t>
        </is>
      </c>
      <c r="F212" s="528" t="n"/>
      <c r="G212" s="529" t="n"/>
      <c r="H212" s="530" t="n"/>
      <c r="I212" s="530" t="n"/>
      <c r="J212" s="663" t="inlineStr">
        <is>
          <t>тыс.т.</t>
        </is>
      </c>
    </row>
    <row r="213" ht="42.75" customHeight="1" s="769">
      <c r="A213" t="n">
        <v>4.638</v>
      </c>
      <c r="B213" s="341" t="inlineStr">
        <is>
          <t>Бутанол с завода "Мономер" 
ООО "Газпром нефтехим Салават"</t>
        </is>
      </c>
      <c r="C213" s="337" t="inlineStr">
        <is>
          <t>1.2</t>
        </is>
      </c>
      <c r="D213" s="341" t="inlineStr">
        <is>
          <t>Бутанол с завода "Мономер" 
ООО "Газпром нефтехим Салават"</t>
        </is>
      </c>
      <c r="E213" s="528" t="inlineStr">
        <is>
          <t>100332349</t>
        </is>
      </c>
      <c r="F213" s="528" t="n"/>
      <c r="G213" s="529" t="n"/>
      <c r="H213" s="530" t="n"/>
      <c r="I213" s="530" t="n"/>
      <c r="J213" s="663" t="inlineStr">
        <is>
          <t>тыс.т.</t>
        </is>
      </c>
    </row>
    <row r="214" ht="42.75" customHeight="1" s="769">
      <c r="A214" t="n">
        <v>10.857</v>
      </c>
      <c r="B214" s="333" t="inlineStr">
        <is>
          <t>ПРОДУКЦИЯ 
ООО "ГАЗПРОМ НЕФТЕХИМ САЛАВАТ":</t>
        </is>
      </c>
      <c r="C214" s="334" t="inlineStr">
        <is>
          <t>2.</t>
        </is>
      </c>
      <c r="D214" s="333" t="inlineStr">
        <is>
          <t>ПРОДУКЦИЯ 
ООО "ГАЗПРОМ НЕФТЕХИМ САЛАВАТ":</t>
        </is>
      </c>
      <c r="E214" s="528" t="inlineStr">
        <is>
          <t>100332350</t>
        </is>
      </c>
      <c r="F214" s="528" t="n"/>
      <c r="G214" s="529" t="n"/>
      <c r="H214" s="530" t="inlineStr">
        <is>
          <t>100332352+100332353</t>
        </is>
      </c>
      <c r="I214" s="530" t="n"/>
      <c r="J214" s="335" t="inlineStr">
        <is>
          <t>тыс.т.</t>
        </is>
      </c>
    </row>
    <row r="215" ht="21.75" customHeight="1" s="769">
      <c r="A215" t="n">
        <v>7.671</v>
      </c>
      <c r="B215" s="336" t="inlineStr">
        <is>
          <t>Бутилакрилат (товар)</t>
        </is>
      </c>
      <c r="C215" s="337" t="inlineStr">
        <is>
          <t>2.1</t>
        </is>
      </c>
      <c r="D215" s="336" t="inlineStr">
        <is>
          <t>Бутилакрилат (товар)</t>
        </is>
      </c>
      <c r="E215" s="528" t="inlineStr">
        <is>
          <t>100332352</t>
        </is>
      </c>
      <c r="F215" s="528" t="n"/>
      <c r="G215" s="529" t="n"/>
      <c r="H215" s="530" t="n"/>
      <c r="I215" s="530" t="n"/>
      <c r="J215" s="663" t="inlineStr">
        <is>
          <t>тыс.т.</t>
        </is>
      </c>
    </row>
    <row r="216" ht="21.75" customHeight="1" s="769">
      <c r="A216" t="n">
        <v>3.186</v>
      </c>
      <c r="B216" s="352" t="inlineStr">
        <is>
          <t>Ледяная акриловая кислота (товар)</t>
        </is>
      </c>
      <c r="C216" s="353" t="inlineStr">
        <is>
          <t>2.2</t>
        </is>
      </c>
      <c r="D216" s="352" t="inlineStr">
        <is>
          <t>Ледяная акриловая кислота (товар)</t>
        </is>
      </c>
      <c r="E216" s="528" t="inlineStr">
        <is>
          <t>100332353</t>
        </is>
      </c>
      <c r="F216" s="528" t="n"/>
      <c r="G216" s="529" t="n"/>
      <c r="H216" s="530" t="n"/>
      <c r="I216" s="530" t="n"/>
      <c r="J216" s="664" t="inlineStr">
        <is>
          <t>тыс.т.</t>
        </is>
      </c>
    </row>
  </sheetData>
  <mergeCells count="11">
    <mergeCell ref="F7:F8"/>
    <mergeCell ref="G7:G8"/>
    <mergeCell ref="I7:I8"/>
    <mergeCell ref="D6:D8"/>
    <mergeCell ref="E6:I6"/>
    <mergeCell ref="J6:J8"/>
    <mergeCell ref="E7:E8"/>
    <mergeCell ref="B6:B8"/>
    <mergeCell ref="C3:J3"/>
    <mergeCell ref="H7:H8"/>
    <mergeCell ref="C6:C8"/>
  </mergeCells>
  <conditionalFormatting sqref="B11:B216">
    <cfRule type="cellIs" priority="641" operator="equal" dxfId="2">
      <formula>FALSE</formula>
    </cfRule>
  </conditionalFormatting>
  <conditionalFormatting sqref="O10:O216 P10:P216 U10:U216 V10:V216 AA10:AA216 AB10:AB216 AG10:AG216 AH10:AH216 AM10:AM216 AN10:AN216 AS10:AS216 AT10:AT216 AY10:AY216 AZ10:AZ216 BE10:BE216 BF10:BF216 BK10:BK216 BL10:BL216 BQ10:BQ216 BR10:BR216 BW10:BW216 BX10:BX216 CC10:CC216 CD10:CD216 CI10:CI216 CJ10:CJ216 CO10:CO216 CP10:CP216 CU10:CU216 CV10:CV216 DA10:DA216 DB10:DB216 DG10:DG216 DH10:DH216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216 N10:N216 R10:R216 T10:T216 X10:X216 Z10:Z216 AD10:AD216 AF10:AF216 AJ10:AJ216 AL10:AL216 AP10:AP216 AR10:AR216 AV10:AV216 AX10:AX216 BB10:BB216 BD10:BD216 BH10:BH216 BJ10:BJ216 BN10:BN216 BP10:BP216 BT10:BT216 BV10:BV216 BZ10:BZ216 CB10:CB216 CF10:CF216 CH10:CH216 CL10:CL216 CN10:CN216 CR10:CR216 CT10:CT216 CX10:CX216 CZ10:CZ216 DD10:DD216 DF10:DF216">
    <cfRule type="cellIs" priority="642" operator="equal" dxfId="0">
      <formula>0</formula>
    </cfRule>
  </conditionalFormatting>
  <pageMargins left="0.7" right="0.7" top="0.75" bottom="0.75" header="0.3" footer="0.3"/>
  <pageSetup orientation="portrait" paperSize="9" scale="10" fitToHeight="0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codeName="Лист22">
    <tabColor theme="8" tint="0.5999938962981048"/>
    <outlinePr summaryBelow="1" summaryRight="1"/>
    <pageSetUpPr fitToPage="1"/>
  </sheetPr>
  <dimension ref="B3:J82"/>
  <sheetViews>
    <sheetView topLeftCell="C1" zoomScale="60" zoomScaleNormal="60" zoomScaleSheetLayoutView="55" workbookViewId="0">
      <pane xSplit="8" ySplit="9" topLeftCell="K10" activePane="bottomRight" state="frozen"/>
      <selection activeCell="C1" sqref="C1"/>
      <selection pane="topRight" activeCell="K1" sqref="K1"/>
      <selection pane="bottomLeft" activeCell="C10" sqref="C10"/>
      <selection pane="bottomRight" activeCell="E1" sqref="E1:I1048576"/>
    </sheetView>
  </sheetViews>
  <sheetFormatPr baseColWidth="8" defaultColWidth="25" defaultRowHeight="18.75"/>
  <cols>
    <col hidden="1" outlineLevel="1" style="795" min="1" max="1"/>
    <col hidden="1" outlineLevel="1" width="11" customWidth="1" style="795" min="2" max="2"/>
    <col collapsed="1" width="12.140625" customWidth="1" style="84" min="3" max="3"/>
    <col width="63" customWidth="1" style="795" min="4" max="4"/>
    <col outlineLevel="1" width="24" customWidth="1" style="795" min="5" max="9"/>
    <col width="12.85546875" bestFit="1" customWidth="1" style="796" min="10" max="10"/>
    <col width="8.43" customWidth="1" style="795" min="11" max="11"/>
    <col width="8.43" customWidth="1" style="769" min="12" max="12"/>
    <col width="8.43" customWidth="1" style="769" min="13" max="13"/>
    <col width="8.43" customWidth="1" style="769" min="14" max="16"/>
    <col width="8.43" customWidth="1" style="769" min="15" max="15"/>
    <col width="8.43" customWidth="1" style="769" min="16" max="16"/>
    <col width="8.43" customWidth="1" style="769" min="17" max="17"/>
    <col width="8.43" customWidth="1" style="769" min="18" max="18"/>
    <col width="8.43" customWidth="1" style="769" min="19" max="19"/>
    <col width="8.43" customWidth="1" style="769" min="20" max="22"/>
    <col width="8.43" customWidth="1" style="769" min="21" max="21"/>
    <col width="8.43" customWidth="1" style="769" min="22" max="22"/>
    <col width="8.43" customWidth="1" style="769" min="23" max="23"/>
    <col width="8.43" customWidth="1" style="769" min="24" max="24"/>
    <col width="8.43" customWidth="1" style="769" min="25" max="25"/>
    <col width="8.43" customWidth="1" style="769" min="26" max="28"/>
    <col width="8.43" customWidth="1" style="769" min="27" max="27"/>
    <col width="8.43" customWidth="1" style="769" min="28" max="28"/>
    <col width="8.43" customWidth="1" style="769" min="29" max="29"/>
    <col width="8.43" customWidth="1" style="769" min="30" max="30"/>
    <col width="8.43" customWidth="1" style="769" min="31" max="31"/>
    <col width="8.43" customWidth="1" style="769" min="32" max="34"/>
    <col width="8.43" customWidth="1" style="769" min="33" max="33"/>
    <col width="8.43" customWidth="1" style="769" min="34" max="34"/>
    <col width="8.43" customWidth="1" style="769" min="35" max="35"/>
    <col width="8.43" customWidth="1" style="769" min="36" max="36"/>
    <col width="8.43" customWidth="1" style="769" min="37" max="37"/>
    <col width="8.43" customWidth="1" style="769" min="38" max="40"/>
    <col width="8.43" customWidth="1" style="769" min="39" max="39"/>
    <col width="8.43" customWidth="1" style="769" min="40" max="40"/>
    <col width="8.43" customWidth="1" style="769" min="41" max="41"/>
    <col width="8.43" customWidth="1" style="769" min="42" max="42"/>
    <col width="8.43" customWidth="1" style="769" min="43" max="43"/>
    <col width="8.43" customWidth="1" style="769" min="44" max="46"/>
    <col width="8.43" customWidth="1" style="769" min="45" max="45"/>
    <col width="8.43" customWidth="1" style="769" min="46" max="46"/>
    <col width="8.43" customWidth="1" style="769" min="47" max="47"/>
    <col width="8.43" customWidth="1" style="769" min="48" max="48"/>
    <col width="8.43" customWidth="1" style="769" min="49" max="49"/>
    <col width="8.43" customWidth="1" style="769" min="50" max="52"/>
    <col width="8.43" customWidth="1" style="769" min="51" max="51"/>
    <col width="8.43" customWidth="1" style="769" min="52" max="52"/>
    <col width="8.43" customWidth="1" style="769" min="53" max="53"/>
    <col width="8.43" customWidth="1" style="769" min="54" max="54"/>
    <col width="8.43" customWidth="1" style="769" min="55" max="55"/>
    <col width="8.43" customWidth="1" style="769" min="56" max="58"/>
    <col width="8.43" customWidth="1" style="769" min="57" max="57"/>
    <col width="8.43" customWidth="1" style="769" min="58" max="58"/>
    <col width="8.43" customWidth="1" style="769" min="59" max="59"/>
    <col width="8.43" customWidth="1" style="769" min="60" max="60"/>
    <col width="8.43" customWidth="1" style="769" min="61" max="61"/>
    <col width="8.43" customWidth="1" style="769" min="62" max="64"/>
    <col width="8.43" customWidth="1" style="769" min="63" max="63"/>
    <col width="8.43" customWidth="1" style="769" min="64" max="64"/>
    <col width="8.43" customWidth="1" style="769" min="65" max="65"/>
    <col width="8.43" customWidth="1" style="769" min="66" max="66"/>
    <col width="8.43" customWidth="1" style="769" min="67" max="67"/>
    <col width="8.43" customWidth="1" style="769" min="68" max="70"/>
    <col width="8.43" customWidth="1" style="769" min="69" max="69"/>
    <col width="8.43" customWidth="1" style="769" min="70" max="70"/>
    <col width="8.43" customWidth="1" style="769" min="71" max="71"/>
    <col width="8.43" customWidth="1" style="769" min="72" max="72"/>
    <col width="8.43" customWidth="1" style="769" min="73" max="73"/>
    <col width="8.43" customWidth="1" style="769" min="74" max="76"/>
    <col width="8.43" customWidth="1" style="769" min="75" max="75"/>
    <col width="8.43" customWidth="1" style="769" min="76" max="76"/>
    <col width="8.43" customWidth="1" style="769" min="77" max="77"/>
    <col width="8.43" customWidth="1" style="769" min="78" max="78"/>
    <col width="8.43" customWidth="1" style="769" min="79" max="79"/>
    <col width="8.43" customWidth="1" style="769" min="80" max="82"/>
    <col width="8.43" customWidth="1" style="769" min="81" max="81"/>
    <col width="8.43" customWidth="1" style="769" min="82" max="82"/>
    <col width="8.43" customWidth="1" style="769" min="83" max="83"/>
    <col width="8.43" customWidth="1" style="769" min="84" max="84"/>
    <col width="8.43" customWidth="1" style="769" min="85" max="85"/>
    <col width="8.43" customWidth="1" style="769" min="86" max="88"/>
    <col width="8.43" customWidth="1" style="769" min="87" max="87"/>
    <col width="8.43" customWidth="1" style="769" min="88" max="88"/>
    <col width="8.43" customWidth="1" style="769" min="89" max="89"/>
    <col width="8.43" customWidth="1" style="769" min="90" max="90"/>
    <col width="8.43" customWidth="1" style="769" min="91" max="91"/>
    <col width="8.43" customWidth="1" style="769" min="92" max="94"/>
    <col width="8.43" customWidth="1" style="769" min="93" max="93"/>
    <col width="8.43" customWidth="1" style="769" min="94" max="94"/>
    <col width="8.43" customWidth="1" style="769" min="95" max="95"/>
    <col width="8.43" customWidth="1" style="769" min="96" max="96"/>
    <col width="8.43" customWidth="1" style="769" min="97" max="97"/>
    <col width="8.43" customWidth="1" style="769" min="98" max="100"/>
    <col width="8.43" customWidth="1" style="769" min="99" max="99"/>
    <col width="8.43" customWidth="1" style="769" min="100" max="100"/>
    <col width="8.43" customWidth="1" style="769" min="101" max="101"/>
    <col width="8.43" customWidth="1" style="769" min="102" max="102"/>
    <col width="8.43" customWidth="1" style="769" min="103" max="103"/>
    <col width="8.43" customWidth="1" style="769" min="104" max="106"/>
    <col width="8.43" customWidth="1" style="769" min="105" max="105"/>
    <col width="8.43" customWidth="1" style="769" min="106" max="106"/>
    <col width="8.43" customWidth="1" style="769" min="107" max="107"/>
    <col width="8.43" customWidth="1" style="769" min="108" max="108"/>
    <col width="8.43" customWidth="1" style="769" min="109" max="109"/>
    <col width="8.43" customWidth="1" style="769" min="110" max="112"/>
    <col width="8.43" customWidth="1" style="769" min="111" max="111"/>
    <col width="8.43" customWidth="1" style="769" min="112" max="112"/>
    <col width="25" customWidth="1" style="795" min="113" max="16384"/>
  </cols>
  <sheetData>
    <row r="1" ht="15" customHeight="1" s="769"/>
    <row r="2" ht="15" customHeight="1" s="769"/>
    <row r="3" ht="20.25" customHeight="1" s="769">
      <c r="C3" s="856" t="inlineStr">
        <is>
          <t>Прогнозные показатели по переработке сырья и производству продукции ПАО "Газпром нефть"</t>
        </is>
      </c>
    </row>
    <row r="4" ht="19.5" customHeight="1" s="769"/>
    <row r="5" ht="19.5" customHeight="1" s="769">
      <c r="B5" s="325" t="n"/>
      <c r="C5" s="326" t="inlineStr">
        <is>
          <t>18. ПАО "Газпром нефть"</t>
        </is>
      </c>
      <c r="J5" s="950" t="n"/>
    </row>
    <row r="6" ht="20.1" customHeight="1" s="769">
      <c r="B6" s="899" t="inlineStr">
        <is>
          <t>Код строки</t>
        </is>
      </c>
      <c r="C6" s="837" t="inlineStr">
        <is>
          <t>№ 
п/п</t>
        </is>
      </c>
      <c r="D6" s="790" t="inlineStr">
        <is>
          <t>Показатели</t>
        </is>
      </c>
      <c r="E6" s="770" t="inlineStr">
        <is>
          <t>Внутренние настройки листа</t>
        </is>
      </c>
      <c r="F6" s="771" t="n"/>
      <c r="G6" s="771" t="n"/>
      <c r="H6" s="771" t="n"/>
      <c r="I6" s="772" t="n"/>
      <c r="J6" s="790" t="inlineStr">
        <is>
          <t>Ед. изм.</t>
        </is>
      </c>
    </row>
    <row r="7" ht="39.95" customHeight="1" s="769">
      <c r="B7" s="762" t="n"/>
      <c r="C7" s="766" t="n"/>
      <c r="D7" s="766" t="n"/>
      <c r="E7" s="752" t="inlineStr">
        <is>
          <t>Ключ статьи</t>
        </is>
      </c>
      <c r="F7" s="752" t="inlineStr">
        <is>
          <t>Ключ спец</t>
        </is>
      </c>
      <c r="G7" s="752" t="inlineStr">
        <is>
          <t>Ключ ввод данных</t>
        </is>
      </c>
      <c r="H7" s="752" t="inlineStr">
        <is>
          <t>Формулы месяца</t>
        </is>
      </c>
      <c r="I7" s="752" t="inlineStr">
        <is>
          <t>Формулы % выхода</t>
        </is>
      </c>
      <c r="J7" s="766" t="n"/>
    </row>
    <row r="8" ht="20.1" customHeight="1" s="769">
      <c r="B8" s="762" t="n"/>
      <c r="C8" s="751" t="n"/>
      <c r="D8" s="751" t="n"/>
      <c r="E8" s="753" t="n"/>
      <c r="F8" s="753" t="n"/>
      <c r="G8" s="753" t="n"/>
      <c r="H8" s="753" t="n"/>
      <c r="I8" s="753" t="n"/>
      <c r="J8" s="751" t="n"/>
    </row>
    <row r="9" hidden="1" ht="20.1" customHeight="1" s="769">
      <c r="B9" s="390" t="n"/>
      <c r="C9" s="863" t="n"/>
      <c r="D9" s="861" t="n"/>
      <c r="E9" s="869" t="n"/>
      <c r="F9" s="869" t="n"/>
      <c r="G9" s="869" t="n"/>
      <c r="H9" s="869" t="n"/>
      <c r="I9" s="869" t="n"/>
      <c r="J9" s="654" t="n"/>
    </row>
    <row r="10">
      <c r="B10" s="184" t="inlineStr">
        <is>
          <t>18.5</t>
        </is>
      </c>
      <c r="C10" s="354" t="inlineStr">
        <is>
          <t>1</t>
        </is>
      </c>
      <c r="D10" s="355" t="inlineStr">
        <is>
          <t>Переработка сырья:</t>
        </is>
      </c>
      <c r="E10" s="528" t="inlineStr">
        <is>
          <t>100332291</t>
        </is>
      </c>
      <c r="F10" s="528" t="n"/>
      <c r="G10" s="529" t="n"/>
      <c r="H10" s="530" t="inlineStr">
        <is>
          <t>100330005+100330016</t>
        </is>
      </c>
      <c r="I10" s="530" t="n"/>
      <c r="J10" s="89" t="n"/>
    </row>
    <row r="11">
      <c r="B11" s="184" t="inlineStr">
        <is>
          <t>18.6</t>
        </is>
      </c>
      <c r="C11" s="286" t="inlineStr">
        <is>
          <t>1.1</t>
        </is>
      </c>
      <c r="D11" s="213" t="inlineStr">
        <is>
          <t>Омский НПЗ</t>
        </is>
      </c>
      <c r="E11" s="528" t="inlineStr">
        <is>
          <t>100330758</t>
        </is>
      </c>
      <c r="F11" s="528" t="n"/>
      <c r="G11" s="529" t="n"/>
      <c r="H11" s="530" t="n"/>
      <c r="I11" s="530" t="n"/>
      <c r="J11" s="91" t="inlineStr">
        <is>
          <t>тыс.т.</t>
        </is>
      </c>
    </row>
    <row r="12">
      <c r="B12" s="184" t="inlineStr">
        <is>
          <t>18.7</t>
        </is>
      </c>
      <c r="C12" s="286" t="inlineStr">
        <is>
          <t>1.2</t>
        </is>
      </c>
      <c r="D12" s="213" t="inlineStr">
        <is>
          <t>Московский НПЗ</t>
        </is>
      </c>
      <c r="E12" s="528" t="inlineStr">
        <is>
          <t>100330759</t>
        </is>
      </c>
      <c r="F12" s="528" t="n"/>
      <c r="G12" s="529" t="n"/>
      <c r="H12" s="530" t="n"/>
      <c r="I12" s="530" t="n"/>
      <c r="J12" s="91" t="inlineStr">
        <is>
          <t>тыс.т.</t>
        </is>
      </c>
    </row>
    <row r="13">
      <c r="B13" s="184" t="inlineStr">
        <is>
          <t>18.8</t>
        </is>
      </c>
      <c r="C13" s="286" t="inlineStr">
        <is>
          <t>1.3</t>
        </is>
      </c>
      <c r="D13" s="213" t="inlineStr">
        <is>
          <t>Славнефть-ЯНОС</t>
        </is>
      </c>
      <c r="E13" s="528" t="inlineStr">
        <is>
          <t>100330760</t>
        </is>
      </c>
      <c r="F13" s="528" t="n"/>
      <c r="G13" s="529" t="n"/>
      <c r="H13" s="530" t="n"/>
      <c r="I13" s="530" t="n"/>
      <c r="J13" s="91" t="inlineStr">
        <is>
          <t>тыс.т.</t>
        </is>
      </c>
    </row>
    <row r="14">
      <c r="B14" s="184" t="inlineStr">
        <is>
          <t>18.10</t>
        </is>
      </c>
      <c r="C14" s="286" t="inlineStr">
        <is>
          <t>1.4</t>
        </is>
      </c>
      <c r="D14" s="213" t="inlineStr">
        <is>
          <t>Комплекс NIS</t>
        </is>
      </c>
      <c r="E14" s="528" t="inlineStr">
        <is>
          <t>100335375</t>
        </is>
      </c>
      <c r="F14" s="528" t="n"/>
      <c r="G14" s="529" t="n"/>
      <c r="H14" s="530" t="n"/>
      <c r="I14" s="530" t="n"/>
      <c r="J14" s="91" t="inlineStr">
        <is>
          <t>тыс.т.</t>
        </is>
      </c>
    </row>
    <row r="15">
      <c r="B15" s="184" t="n"/>
      <c r="C15" s="286" t="n"/>
      <c r="D15" s="356" t="inlineStr">
        <is>
          <t>Переработка газа:</t>
        </is>
      </c>
      <c r="E15" s="528" t="inlineStr">
        <is>
          <t>S0</t>
        </is>
      </c>
      <c r="F15" s="528" t="n"/>
      <c r="G15" s="529" t="n"/>
      <c r="H15" s="530" t="n"/>
      <c r="I15" s="530" t="n"/>
      <c r="J15" s="91" t="n"/>
    </row>
    <row r="16">
      <c r="B16" s="184" t="inlineStr">
        <is>
          <t>18.9</t>
        </is>
      </c>
      <c r="C16" s="286" t="inlineStr">
        <is>
          <t>1.5</t>
        </is>
      </c>
      <c r="D16" s="213" t="inlineStr">
        <is>
          <t>Южно-Приобский ГПЗ</t>
        </is>
      </c>
      <c r="E16" s="528" t="inlineStr">
        <is>
          <t>100335374</t>
        </is>
      </c>
      <c r="F16" s="528" t="n"/>
      <c r="G16" s="529" t="n"/>
      <c r="H16" s="530" t="n"/>
      <c r="I16" s="530" t="n"/>
      <c r="J16" s="91" t="inlineStr">
        <is>
          <t>млн куб.м</t>
        </is>
      </c>
    </row>
    <row r="17" ht="18.75" customHeight="1" s="769">
      <c r="B17" s="184" t="inlineStr">
        <is>
          <t>18.11</t>
        </is>
      </c>
      <c r="C17" s="357" t="n">
        <v>2</v>
      </c>
      <c r="D17" s="356" t="inlineStr">
        <is>
          <t>Производство продукция, всего:</t>
        </is>
      </c>
      <c r="E17" s="528" t="inlineStr">
        <is>
          <t>100330049</t>
        </is>
      </c>
      <c r="F17" s="528" t="n"/>
      <c r="G17" s="529" t="n"/>
      <c r="H17" s="530" t="inlineStr">
        <is>
          <t>100330761+100330762+100330763+100335376+100335377</t>
        </is>
      </c>
      <c r="I17" s="530" t="n"/>
      <c r="J17" s="91" t="inlineStr">
        <is>
          <t>тыс.т.</t>
        </is>
      </c>
    </row>
    <row r="18" ht="19.5" customHeight="1" s="769">
      <c r="B18" s="184" t="inlineStr">
        <is>
          <t>18.12</t>
        </is>
      </c>
      <c r="C18" s="286" t="inlineStr">
        <is>
          <t>2.1</t>
        </is>
      </c>
      <c r="D18" s="213" t="inlineStr">
        <is>
          <t>Омский НПЗ</t>
        </is>
      </c>
      <c r="E18" s="528" t="inlineStr">
        <is>
          <t>100330761</t>
        </is>
      </c>
      <c r="F18" s="528" t="n"/>
      <c r="G18" s="529" t="n"/>
      <c r="H18" s="530" t="n"/>
      <c r="I18" s="530" t="n"/>
      <c r="J18" s="91" t="inlineStr">
        <is>
          <t>тыс.т.</t>
        </is>
      </c>
    </row>
    <row r="19" ht="18.75" customHeight="1" s="769">
      <c r="B19" s="184" t="inlineStr">
        <is>
          <t>18.13</t>
        </is>
      </c>
      <c r="C19" s="286" t="inlineStr">
        <is>
          <t>2.2</t>
        </is>
      </c>
      <c r="D19" s="213" t="inlineStr">
        <is>
          <t>Московский НПЗ</t>
        </is>
      </c>
      <c r="E19" s="528" t="inlineStr">
        <is>
          <t>100330762</t>
        </is>
      </c>
      <c r="F19" s="528" t="n"/>
      <c r="G19" s="529" t="n"/>
      <c r="H19" s="530" t="n"/>
      <c r="I19" s="530" t="n"/>
      <c r="J19" s="91" t="inlineStr">
        <is>
          <t>тыс.т.</t>
        </is>
      </c>
    </row>
    <row r="20" ht="18.75" customHeight="1" s="769">
      <c r="B20" s="184" t="inlineStr">
        <is>
          <t>18.14</t>
        </is>
      </c>
      <c r="C20" s="286" t="inlineStr">
        <is>
          <t>2.3</t>
        </is>
      </c>
      <c r="D20" s="213" t="inlineStr">
        <is>
          <t>Славнефть-ЯНОС</t>
        </is>
      </c>
      <c r="E20" s="528" t="inlineStr">
        <is>
          <t>100330763</t>
        </is>
      </c>
      <c r="F20" s="528" t="n"/>
      <c r="G20" s="529" t="n"/>
      <c r="H20" s="530" t="n"/>
      <c r="I20" s="530" t="n"/>
      <c r="J20" s="91" t="inlineStr">
        <is>
          <t>тыс.т.</t>
        </is>
      </c>
    </row>
    <row r="21" ht="18.75" customHeight="1" s="769">
      <c r="B21" s="184" t="inlineStr">
        <is>
          <t>18.15</t>
        </is>
      </c>
      <c r="C21" s="286" t="inlineStr">
        <is>
          <t>2.4</t>
        </is>
      </c>
      <c r="D21" s="213" t="inlineStr">
        <is>
          <t>Южно-Приобский ГПЗ</t>
        </is>
      </c>
      <c r="E21" s="528" t="inlineStr">
        <is>
          <t>100335376</t>
        </is>
      </c>
      <c r="F21" s="528" t="n"/>
      <c r="G21" s="529" t="n"/>
      <c r="H21" s="530" t="n"/>
      <c r="I21" s="530" t="n"/>
      <c r="J21" s="91" t="inlineStr">
        <is>
          <t>тыс.т.</t>
        </is>
      </c>
    </row>
    <row r="22" ht="18.75" customHeight="1" s="769">
      <c r="B22" s="184" t="inlineStr">
        <is>
          <t>18.16</t>
        </is>
      </c>
      <c r="C22" s="286" t="inlineStr">
        <is>
          <t>2.5</t>
        </is>
      </c>
      <c r="D22" s="213" t="inlineStr">
        <is>
          <t>Комплекс NIS</t>
        </is>
      </c>
      <c r="E22" s="528" t="inlineStr">
        <is>
          <t>100335377</t>
        </is>
      </c>
      <c r="F22" s="528" t="n"/>
      <c r="G22" s="529" t="n"/>
      <c r="H22" s="530" t="n"/>
      <c r="I22" s="530" t="n"/>
      <c r="J22" s="91" t="inlineStr">
        <is>
          <t>тыс.т.</t>
        </is>
      </c>
    </row>
    <row r="23">
      <c r="B23" s="184" t="inlineStr">
        <is>
          <t>18.17</t>
        </is>
      </c>
      <c r="C23" s="358" t="inlineStr">
        <is>
          <t>3</t>
        </is>
      </c>
      <c r="D23" s="356" t="inlineStr">
        <is>
          <t>Сухой газ, всего:</t>
        </is>
      </c>
      <c r="E23" s="528" t="inlineStr">
        <is>
          <t>100335378</t>
        </is>
      </c>
      <c r="F23" s="528" t="n"/>
      <c r="G23" s="529" t="n"/>
      <c r="H23" s="530" t="inlineStr">
        <is>
          <t>100335379</t>
        </is>
      </c>
      <c r="I23" s="530" t="n"/>
      <c r="J23" s="654" t="inlineStr">
        <is>
          <t>млн куб.м</t>
        </is>
      </c>
    </row>
    <row r="24">
      <c r="B24" s="184" t="inlineStr">
        <is>
          <t>18.18</t>
        </is>
      </c>
      <c r="C24" s="286" t="inlineStr">
        <is>
          <t>3.1</t>
        </is>
      </c>
      <c r="D24" s="213" t="inlineStr">
        <is>
          <t>Южно-Приобский ГПЗ</t>
        </is>
      </c>
      <c r="E24" s="528" t="inlineStr">
        <is>
          <t>100335379</t>
        </is>
      </c>
      <c r="F24" s="528" t="n"/>
      <c r="G24" s="529" t="n"/>
      <c r="H24" s="530" t="n"/>
      <c r="I24" s="530" t="n"/>
      <c r="J24" s="654" t="inlineStr">
        <is>
          <t>млн куб.м</t>
        </is>
      </c>
    </row>
    <row r="25">
      <c r="B25" s="184" t="inlineStr">
        <is>
          <t>18.19</t>
        </is>
      </c>
      <c r="C25" s="358" t="inlineStr">
        <is>
          <t>4</t>
        </is>
      </c>
      <c r="D25" s="359" t="inlineStr">
        <is>
          <t>Широкая фракция легких углеводородов</t>
        </is>
      </c>
      <c r="E25" s="528" t="inlineStr">
        <is>
          <t>100335380</t>
        </is>
      </c>
      <c r="F25" s="528" t="n"/>
      <c r="G25" s="529" t="n"/>
      <c r="H25" s="530" t="inlineStr">
        <is>
          <t>100335381</t>
        </is>
      </c>
      <c r="I25" s="530" t="n"/>
      <c r="J25" s="91" t="inlineStr">
        <is>
          <t>тыс.т.</t>
        </is>
      </c>
    </row>
    <row r="26">
      <c r="B26" s="184" t="inlineStr">
        <is>
          <t>18.20</t>
        </is>
      </c>
      <c r="C26" s="286" t="inlineStr">
        <is>
          <t>4.1</t>
        </is>
      </c>
      <c r="D26" s="213" t="inlineStr">
        <is>
          <t>Южно-Приобский ГПЗ</t>
        </is>
      </c>
      <c r="E26" s="528" t="inlineStr">
        <is>
          <t>100335381</t>
        </is>
      </c>
      <c r="F26" s="528" t="n"/>
      <c r="G26" s="529" t="n"/>
      <c r="H26" s="530" t="n"/>
      <c r="I26" s="530" t="n"/>
      <c r="J26" s="91" t="inlineStr">
        <is>
          <t>тыс.т.</t>
        </is>
      </c>
    </row>
    <row r="27" ht="24" customHeight="1" s="769">
      <c r="B27" s="184" t="inlineStr">
        <is>
          <t>18.21</t>
        </is>
      </c>
      <c r="C27" s="358" t="inlineStr">
        <is>
          <t>5</t>
        </is>
      </c>
      <c r="D27" s="356" t="inlineStr">
        <is>
          <t>Бензин автомобильный, всего:</t>
        </is>
      </c>
      <c r="E27" s="528" t="inlineStr">
        <is>
          <t>100330107</t>
        </is>
      </c>
      <c r="F27" s="528" t="n"/>
      <c r="G27" s="529" t="n"/>
      <c r="H27" s="530" t="inlineStr">
        <is>
          <t>100330764+100330765+100330766+100335382</t>
        </is>
      </c>
      <c r="I27" s="530" t="n"/>
      <c r="J27" s="91" t="inlineStr">
        <is>
          <t>тыс.т.</t>
        </is>
      </c>
    </row>
    <row r="28">
      <c r="B28" s="184" t="inlineStr">
        <is>
          <t>18.22</t>
        </is>
      </c>
      <c r="C28" s="286" t="inlineStr">
        <is>
          <t>5.1</t>
        </is>
      </c>
      <c r="D28" s="213" t="inlineStr">
        <is>
          <t>Омский НПЗ</t>
        </is>
      </c>
      <c r="E28" s="528" t="inlineStr">
        <is>
          <t>100330764</t>
        </is>
      </c>
      <c r="F28" s="528" t="n"/>
      <c r="G28" s="529" t="n"/>
      <c r="H28" s="530" t="n"/>
      <c r="I28" s="530" t="n"/>
      <c r="J28" s="91" t="inlineStr">
        <is>
          <t>тыс.т.</t>
        </is>
      </c>
    </row>
    <row r="29">
      <c r="B29" s="184" t="inlineStr">
        <is>
          <t>18.23</t>
        </is>
      </c>
      <c r="C29" s="286" t="inlineStr">
        <is>
          <t>5.2</t>
        </is>
      </c>
      <c r="D29" s="213" t="inlineStr">
        <is>
          <t>Московский НПЗ</t>
        </is>
      </c>
      <c r="E29" s="528" t="inlineStr">
        <is>
          <t>100330765</t>
        </is>
      </c>
      <c r="F29" s="528" t="n"/>
      <c r="G29" s="529" t="n"/>
      <c r="H29" s="530" t="n"/>
      <c r="I29" s="530" t="n"/>
      <c r="J29" s="91" t="inlineStr">
        <is>
          <t>тыс.т.</t>
        </is>
      </c>
    </row>
    <row r="30">
      <c r="B30" s="184" t="inlineStr">
        <is>
          <t>18.24</t>
        </is>
      </c>
      <c r="C30" s="286" t="inlineStr">
        <is>
          <t>5.3</t>
        </is>
      </c>
      <c r="D30" s="213" t="inlineStr">
        <is>
          <t>Славнефть-ЯНОС</t>
        </is>
      </c>
      <c r="E30" s="528" t="inlineStr">
        <is>
          <t>100330766</t>
        </is>
      </c>
      <c r="F30" s="528" t="n"/>
      <c r="G30" s="529" t="n"/>
      <c r="H30" s="530" t="n"/>
      <c r="I30" s="530" t="n"/>
      <c r="J30" s="91" t="inlineStr">
        <is>
          <t>тыс.т.</t>
        </is>
      </c>
    </row>
    <row r="31">
      <c r="B31" s="184" t="inlineStr">
        <is>
          <t>18.25</t>
        </is>
      </c>
      <c r="C31" s="286" t="inlineStr">
        <is>
          <t>5.4</t>
        </is>
      </c>
      <c r="D31" s="360" t="inlineStr">
        <is>
          <t>Комплекс NIS</t>
        </is>
      </c>
      <c r="E31" s="528" t="inlineStr">
        <is>
          <t>100335382</t>
        </is>
      </c>
      <c r="F31" s="528" t="n"/>
      <c r="G31" s="529" t="n"/>
      <c r="H31" s="530" t="n"/>
      <c r="I31" s="530" t="n"/>
      <c r="J31" s="91" t="inlineStr">
        <is>
          <t>тыс.т.</t>
        </is>
      </c>
    </row>
    <row r="32" ht="24" customHeight="1" s="769">
      <c r="B32" s="184" t="inlineStr">
        <is>
          <t>18.26</t>
        </is>
      </c>
      <c r="C32" s="358" t="inlineStr">
        <is>
          <t>6</t>
        </is>
      </c>
      <c r="D32" s="356" t="inlineStr">
        <is>
          <t>Бензин технологический, всего:</t>
        </is>
      </c>
      <c r="E32" s="528" t="inlineStr">
        <is>
          <t>100330767</t>
        </is>
      </c>
      <c r="F32" s="528" t="n"/>
      <c r="G32" s="529" t="n"/>
      <c r="H32" s="530" t="inlineStr">
        <is>
          <t>100330768+100330769+100330770+100335383</t>
        </is>
      </c>
      <c r="I32" s="530" t="n"/>
      <c r="J32" s="91" t="inlineStr">
        <is>
          <t>тыс.т.</t>
        </is>
      </c>
    </row>
    <row r="33">
      <c r="B33" s="184" t="inlineStr">
        <is>
          <t>18.27</t>
        </is>
      </c>
      <c r="C33" s="286" t="inlineStr">
        <is>
          <t>6.1</t>
        </is>
      </c>
      <c r="D33" s="213" t="inlineStr">
        <is>
          <t>Омский НПЗ</t>
        </is>
      </c>
      <c r="E33" s="528" t="inlineStr">
        <is>
          <t>100330768</t>
        </is>
      </c>
      <c r="F33" s="528" t="n"/>
      <c r="G33" s="529" t="n"/>
      <c r="H33" s="530" t="n"/>
      <c r="I33" s="530" t="n"/>
      <c r="J33" s="91" t="inlineStr">
        <is>
          <t>тыс.т.</t>
        </is>
      </c>
    </row>
    <row r="34">
      <c r="B34" s="184" t="inlineStr">
        <is>
          <t>18.28</t>
        </is>
      </c>
      <c r="C34" s="286" t="inlineStr">
        <is>
          <t>6.2</t>
        </is>
      </c>
      <c r="D34" s="213" t="inlineStr">
        <is>
          <t>Московский НПЗ</t>
        </is>
      </c>
      <c r="E34" s="528" t="inlineStr">
        <is>
          <t>100330769</t>
        </is>
      </c>
      <c r="F34" s="528" t="n"/>
      <c r="G34" s="529" t="n"/>
      <c r="H34" s="530" t="n"/>
      <c r="I34" s="530" t="n"/>
      <c r="J34" s="91" t="inlineStr">
        <is>
          <t>тыс.т.</t>
        </is>
      </c>
    </row>
    <row r="35">
      <c r="B35" s="184" t="inlineStr">
        <is>
          <t>18.29</t>
        </is>
      </c>
      <c r="C35" s="286" t="inlineStr">
        <is>
          <t>6.3</t>
        </is>
      </c>
      <c r="D35" s="213" t="inlineStr">
        <is>
          <t>Славнефть-ЯНОС</t>
        </is>
      </c>
      <c r="E35" s="528" t="inlineStr">
        <is>
          <t>100330770</t>
        </is>
      </c>
      <c r="F35" s="528" t="n"/>
      <c r="G35" s="529" t="n"/>
      <c r="H35" s="530" t="n"/>
      <c r="I35" s="530" t="n"/>
      <c r="J35" s="91" t="inlineStr">
        <is>
          <t>тыс.т.</t>
        </is>
      </c>
    </row>
    <row r="36">
      <c r="B36" s="184" t="inlineStr">
        <is>
          <t>18.30</t>
        </is>
      </c>
      <c r="C36" s="286" t="inlineStr">
        <is>
          <t>6.4</t>
        </is>
      </c>
      <c r="D36" s="213" t="inlineStr">
        <is>
          <t>Комплекс NIS</t>
        </is>
      </c>
      <c r="E36" s="528" t="inlineStr">
        <is>
          <t>100335383</t>
        </is>
      </c>
      <c r="F36" s="528" t="n"/>
      <c r="G36" s="529" t="n"/>
      <c r="H36" s="530" t="n"/>
      <c r="I36" s="530" t="n"/>
      <c r="J36" s="91" t="inlineStr">
        <is>
          <t>тыс.т.</t>
        </is>
      </c>
    </row>
    <row r="37" ht="24" customHeight="1" s="769">
      <c r="B37" s="184" t="inlineStr">
        <is>
          <t>18.31</t>
        </is>
      </c>
      <c r="C37" s="358" t="inlineStr">
        <is>
          <t>7</t>
        </is>
      </c>
      <c r="D37" s="356" t="inlineStr">
        <is>
          <t>Дизельное топливо, всего:</t>
        </is>
      </c>
      <c r="E37" s="528" t="inlineStr">
        <is>
          <t>100330123</t>
        </is>
      </c>
      <c r="F37" s="528" t="n"/>
      <c r="G37" s="529" t="n"/>
      <c r="H37" s="530" t="inlineStr">
        <is>
          <t>100330771+100330772+100330773+100335384</t>
        </is>
      </c>
      <c r="I37" s="530" t="n"/>
      <c r="J37" s="91" t="inlineStr">
        <is>
          <t>тыс.т.</t>
        </is>
      </c>
    </row>
    <row r="38">
      <c r="B38" s="184" t="inlineStr">
        <is>
          <t>18.32</t>
        </is>
      </c>
      <c r="C38" s="286" t="inlineStr">
        <is>
          <t>7.1</t>
        </is>
      </c>
      <c r="D38" s="213" t="inlineStr">
        <is>
          <t>Омский НПЗ</t>
        </is>
      </c>
      <c r="E38" s="528" t="inlineStr">
        <is>
          <t>100330771</t>
        </is>
      </c>
      <c r="F38" s="528" t="n"/>
      <c r="G38" s="529" t="n"/>
      <c r="H38" s="530" t="n"/>
      <c r="I38" s="530" t="n"/>
      <c r="J38" s="91" t="inlineStr">
        <is>
          <t>тыс.т.</t>
        </is>
      </c>
    </row>
    <row r="39">
      <c r="B39" s="184" t="inlineStr">
        <is>
          <t>18.33</t>
        </is>
      </c>
      <c r="C39" s="286" t="inlineStr">
        <is>
          <t>7.2</t>
        </is>
      </c>
      <c r="D39" s="213" t="inlineStr">
        <is>
          <t>Московский НПЗ</t>
        </is>
      </c>
      <c r="E39" s="528" t="inlineStr">
        <is>
          <t>100330772</t>
        </is>
      </c>
      <c r="F39" s="528" t="n"/>
      <c r="G39" s="529" t="n"/>
      <c r="H39" s="530" t="n"/>
      <c r="I39" s="530" t="n"/>
      <c r="J39" s="91" t="inlineStr">
        <is>
          <t>тыс.т.</t>
        </is>
      </c>
    </row>
    <row r="40">
      <c r="B40" s="184" t="inlineStr">
        <is>
          <t>18.34</t>
        </is>
      </c>
      <c r="C40" s="286" t="inlineStr">
        <is>
          <t>7.3</t>
        </is>
      </c>
      <c r="D40" s="213" t="inlineStr">
        <is>
          <t>Славнефть-ЯНОС</t>
        </is>
      </c>
      <c r="E40" s="528" t="inlineStr">
        <is>
          <t>100330773</t>
        </is>
      </c>
      <c r="F40" s="528" t="n"/>
      <c r="G40" s="529" t="n"/>
      <c r="H40" s="530" t="n"/>
      <c r="I40" s="530" t="n"/>
      <c r="J40" s="91" t="inlineStr">
        <is>
          <t>тыс.т.</t>
        </is>
      </c>
    </row>
    <row r="41">
      <c r="B41" s="184" t="inlineStr">
        <is>
          <t>18.35</t>
        </is>
      </c>
      <c r="C41" s="286" t="inlineStr">
        <is>
          <t>7.4</t>
        </is>
      </c>
      <c r="D41" s="213" t="inlineStr">
        <is>
          <t>Комплекс NIS</t>
        </is>
      </c>
      <c r="E41" s="528" t="inlineStr">
        <is>
          <t>100335384</t>
        </is>
      </c>
      <c r="F41" s="528" t="n"/>
      <c r="G41" s="529" t="n"/>
      <c r="H41" s="530" t="n"/>
      <c r="I41" s="530" t="n"/>
      <c r="J41" s="91" t="inlineStr">
        <is>
          <t>тыс.т.</t>
        </is>
      </c>
    </row>
    <row r="42" ht="24" customHeight="1" s="769">
      <c r="B42" s="184" t="inlineStr">
        <is>
          <t>18.36</t>
        </is>
      </c>
      <c r="C42" s="358" t="inlineStr">
        <is>
          <t>8</t>
        </is>
      </c>
      <c r="D42" s="356" t="inlineStr">
        <is>
          <t>Мазут топочный, всего:</t>
        </is>
      </c>
      <c r="E42" s="528" t="inlineStr">
        <is>
          <t>100330774</t>
        </is>
      </c>
      <c r="F42" s="528" t="n"/>
      <c r="G42" s="529" t="n"/>
      <c r="H42" s="530" t="inlineStr">
        <is>
          <t>100330775+100330776+100330777+100335385</t>
        </is>
      </c>
      <c r="I42" s="530" t="n"/>
      <c r="J42" s="91" t="inlineStr">
        <is>
          <t>тыс.т.</t>
        </is>
      </c>
    </row>
    <row r="43">
      <c r="B43" s="184" t="inlineStr">
        <is>
          <t>18.37</t>
        </is>
      </c>
      <c r="C43" s="286" t="inlineStr">
        <is>
          <t>8.1</t>
        </is>
      </c>
      <c r="D43" s="213" t="inlineStr">
        <is>
          <t>Омский НПЗ</t>
        </is>
      </c>
      <c r="E43" s="528" t="inlineStr">
        <is>
          <t>100330775</t>
        </is>
      </c>
      <c r="F43" s="528" t="n"/>
      <c r="G43" s="529" t="n"/>
      <c r="H43" s="530" t="n"/>
      <c r="I43" s="530" t="n"/>
      <c r="J43" s="91" t="inlineStr">
        <is>
          <t>тыс.т.</t>
        </is>
      </c>
    </row>
    <row r="44">
      <c r="B44" s="184" t="inlineStr">
        <is>
          <t>18.38</t>
        </is>
      </c>
      <c r="C44" s="286" t="inlineStr">
        <is>
          <t>8.2</t>
        </is>
      </c>
      <c r="D44" s="213" t="inlineStr">
        <is>
          <t>Московский НПЗ</t>
        </is>
      </c>
      <c r="E44" s="528" t="inlineStr">
        <is>
          <t>100330776</t>
        </is>
      </c>
      <c r="F44" s="528" t="n"/>
      <c r="G44" s="529" t="n"/>
      <c r="H44" s="530" t="n"/>
      <c r="I44" s="530" t="n"/>
      <c r="J44" s="91" t="inlineStr">
        <is>
          <t>тыс.т.</t>
        </is>
      </c>
    </row>
    <row r="45">
      <c r="B45" s="184" t="inlineStr">
        <is>
          <t>18.39</t>
        </is>
      </c>
      <c r="C45" s="286" t="inlineStr">
        <is>
          <t>8.3</t>
        </is>
      </c>
      <c r="D45" s="213" t="inlineStr">
        <is>
          <t>Славнефть-ЯНОС</t>
        </is>
      </c>
      <c r="E45" s="528" t="inlineStr">
        <is>
          <t>100330777</t>
        </is>
      </c>
      <c r="F45" s="528" t="n"/>
      <c r="G45" s="529" t="n"/>
      <c r="H45" s="530" t="n"/>
      <c r="I45" s="530" t="n"/>
      <c r="J45" s="91" t="inlineStr">
        <is>
          <t>тыс.т.</t>
        </is>
      </c>
    </row>
    <row r="46">
      <c r="B46" s="184" t="inlineStr">
        <is>
          <t>18.40</t>
        </is>
      </c>
      <c r="C46" s="286" t="inlineStr">
        <is>
          <t>8.4</t>
        </is>
      </c>
      <c r="D46" s="213" t="inlineStr">
        <is>
          <t>Комплекс NIS</t>
        </is>
      </c>
      <c r="E46" s="528" t="inlineStr">
        <is>
          <t>100335385</t>
        </is>
      </c>
      <c r="F46" s="528" t="n"/>
      <c r="G46" s="529" t="n"/>
      <c r="H46" s="530" t="n"/>
      <c r="I46" s="530" t="n"/>
      <c r="J46" s="91" t="inlineStr">
        <is>
          <t>тыс.т.</t>
        </is>
      </c>
    </row>
    <row r="47" ht="24" customHeight="1" s="769">
      <c r="B47" s="184" t="inlineStr">
        <is>
          <t>18.41</t>
        </is>
      </c>
      <c r="C47" s="358" t="inlineStr">
        <is>
          <t>9</t>
        </is>
      </c>
      <c r="D47" s="356" t="inlineStr">
        <is>
          <t>Авиакеросин, всего:</t>
        </is>
      </c>
      <c r="E47" s="528" t="inlineStr">
        <is>
          <t>100330778</t>
        </is>
      </c>
      <c r="F47" s="528" t="n"/>
      <c r="G47" s="529" t="n"/>
      <c r="H47" s="530" t="inlineStr">
        <is>
          <t>100330779+100330780+100330781+100335386</t>
        </is>
      </c>
      <c r="I47" s="530" t="n"/>
      <c r="J47" s="91" t="inlineStr">
        <is>
          <t>тыс.т.</t>
        </is>
      </c>
    </row>
    <row r="48">
      <c r="B48" s="184" t="inlineStr">
        <is>
          <t>18.42</t>
        </is>
      </c>
      <c r="C48" s="286" t="inlineStr">
        <is>
          <t>9.1</t>
        </is>
      </c>
      <c r="D48" s="213" t="inlineStr">
        <is>
          <t>Омский НПЗ</t>
        </is>
      </c>
      <c r="E48" s="528" t="inlineStr">
        <is>
          <t>100330779</t>
        </is>
      </c>
      <c r="F48" s="528" t="n"/>
      <c r="G48" s="529" t="n"/>
      <c r="H48" s="530" t="n"/>
      <c r="I48" s="530" t="n"/>
      <c r="J48" s="91" t="inlineStr">
        <is>
          <t>тыс.т.</t>
        </is>
      </c>
    </row>
    <row r="49">
      <c r="B49" s="184" t="inlineStr">
        <is>
          <t>18.43</t>
        </is>
      </c>
      <c r="C49" s="286" t="inlineStr">
        <is>
          <t>9.2</t>
        </is>
      </c>
      <c r="D49" s="213" t="inlineStr">
        <is>
          <t>Московский НПЗ</t>
        </is>
      </c>
      <c r="E49" s="528" t="inlineStr">
        <is>
          <t>100330780</t>
        </is>
      </c>
      <c r="F49" s="528" t="n"/>
      <c r="G49" s="529" t="n"/>
      <c r="H49" s="530" t="n"/>
      <c r="I49" s="530" t="n"/>
      <c r="J49" s="91" t="inlineStr">
        <is>
          <t>тыс.т.</t>
        </is>
      </c>
    </row>
    <row r="50">
      <c r="B50" s="184" t="inlineStr">
        <is>
          <t>18.44</t>
        </is>
      </c>
      <c r="C50" s="286" t="inlineStr">
        <is>
          <t>9.3</t>
        </is>
      </c>
      <c r="D50" s="213" t="inlineStr">
        <is>
          <t>Славнефть-ЯНОС</t>
        </is>
      </c>
      <c r="E50" s="528" t="inlineStr">
        <is>
          <t>100330781</t>
        </is>
      </c>
      <c r="F50" s="528" t="n"/>
      <c r="G50" s="529" t="n"/>
      <c r="H50" s="530" t="n"/>
      <c r="I50" s="530" t="n"/>
      <c r="J50" s="91" t="inlineStr">
        <is>
          <t>тыс.т.</t>
        </is>
      </c>
    </row>
    <row r="51">
      <c r="B51" s="184" t="inlineStr">
        <is>
          <t>18.45</t>
        </is>
      </c>
      <c r="C51" s="286" t="inlineStr">
        <is>
          <t>9.4</t>
        </is>
      </c>
      <c r="D51" s="213" t="inlineStr">
        <is>
          <t>Комплекс NIS</t>
        </is>
      </c>
      <c r="E51" s="528" t="inlineStr">
        <is>
          <t>100335386</t>
        </is>
      </c>
      <c r="F51" s="528" t="n"/>
      <c r="G51" s="529" t="n"/>
      <c r="H51" s="530" t="n"/>
      <c r="I51" s="530" t="n"/>
      <c r="J51" s="91" t="inlineStr">
        <is>
          <t>тыс.т.</t>
        </is>
      </c>
    </row>
    <row r="52" ht="24" customHeight="1" s="769">
      <c r="B52" s="184" t="inlineStr">
        <is>
          <t>18.46</t>
        </is>
      </c>
      <c r="C52" s="358" t="inlineStr">
        <is>
          <t>10</t>
        </is>
      </c>
      <c r="D52" s="356" t="inlineStr">
        <is>
          <t>Судовое топливо, всего:</t>
        </is>
      </c>
      <c r="E52" s="528" t="inlineStr">
        <is>
          <t>100335387</t>
        </is>
      </c>
      <c r="F52" s="528" t="n"/>
      <c r="G52" s="529" t="n"/>
      <c r="H52" s="530" t="inlineStr">
        <is>
          <t>100335388+100335389+100335390+100335391</t>
        </is>
      </c>
      <c r="I52" s="530" t="n"/>
      <c r="J52" s="91" t="inlineStr">
        <is>
          <t>тыс.т.</t>
        </is>
      </c>
    </row>
    <row r="53">
      <c r="B53" s="184" t="inlineStr">
        <is>
          <t>18.47</t>
        </is>
      </c>
      <c r="C53" s="286" t="inlineStr">
        <is>
          <t>10.1</t>
        </is>
      </c>
      <c r="D53" s="213" t="inlineStr">
        <is>
          <t>Омский НПЗ</t>
        </is>
      </c>
      <c r="E53" s="528" t="inlineStr">
        <is>
          <t>100335388</t>
        </is>
      </c>
      <c r="F53" s="528" t="n"/>
      <c r="G53" s="529" t="n"/>
      <c r="H53" s="530" t="n"/>
      <c r="I53" s="530" t="n"/>
      <c r="J53" s="91" t="inlineStr">
        <is>
          <t>тыс.т.</t>
        </is>
      </c>
    </row>
    <row r="54">
      <c r="B54" s="184" t="inlineStr">
        <is>
          <t>18.48</t>
        </is>
      </c>
      <c r="C54" s="286" t="inlineStr">
        <is>
          <t>10.2</t>
        </is>
      </c>
      <c r="D54" s="213" t="inlineStr">
        <is>
          <t>Московский НПЗ</t>
        </is>
      </c>
      <c r="E54" s="528" t="inlineStr">
        <is>
          <t>100335389</t>
        </is>
      </c>
      <c r="F54" s="528" t="n"/>
      <c r="G54" s="529" t="n"/>
      <c r="H54" s="530" t="n"/>
      <c r="I54" s="530" t="n"/>
      <c r="J54" s="91" t="inlineStr">
        <is>
          <t>тыс.т.</t>
        </is>
      </c>
    </row>
    <row r="55">
      <c r="B55" s="184" t="inlineStr">
        <is>
          <t>18.49</t>
        </is>
      </c>
      <c r="C55" s="286" t="inlineStr">
        <is>
          <t>10.3</t>
        </is>
      </c>
      <c r="D55" s="213" t="inlineStr">
        <is>
          <t>Славнефть-ЯНОС</t>
        </is>
      </c>
      <c r="E55" s="528" t="inlineStr">
        <is>
          <t>100335390</t>
        </is>
      </c>
      <c r="F55" s="528" t="n"/>
      <c r="G55" s="529" t="n"/>
      <c r="H55" s="530" t="n"/>
      <c r="I55" s="530" t="n"/>
      <c r="J55" s="91" t="inlineStr">
        <is>
          <t>тыс.т.</t>
        </is>
      </c>
    </row>
    <row r="56">
      <c r="B56" s="184" t="inlineStr">
        <is>
          <t>18.50</t>
        </is>
      </c>
      <c r="C56" s="286" t="inlineStr">
        <is>
          <t>10.4</t>
        </is>
      </c>
      <c r="D56" s="213" t="inlineStr">
        <is>
          <t>Комплекс NIS</t>
        </is>
      </c>
      <c r="E56" s="528" t="inlineStr">
        <is>
          <t>100335391</t>
        </is>
      </c>
      <c r="F56" s="528" t="n"/>
      <c r="G56" s="529" t="n"/>
      <c r="H56" s="530" t="n"/>
      <c r="I56" s="530" t="n"/>
      <c r="J56" s="91" t="inlineStr">
        <is>
          <t>тыс.т.</t>
        </is>
      </c>
    </row>
    <row r="57" ht="24" customHeight="1" s="769">
      <c r="B57" s="184" t="inlineStr">
        <is>
          <t>18.51</t>
        </is>
      </c>
      <c r="C57" s="358" t="inlineStr">
        <is>
          <t>11</t>
        </is>
      </c>
      <c r="D57" s="356" t="inlineStr">
        <is>
          <t>Масла, всего</t>
        </is>
      </c>
      <c r="E57" s="528" t="inlineStr">
        <is>
          <t>100330782</t>
        </is>
      </c>
      <c r="F57" s="528" t="n"/>
      <c r="G57" s="529" t="n"/>
      <c r="H57" s="530" t="inlineStr">
        <is>
          <t>100335392+100335393+100330783+100335394</t>
        </is>
      </c>
      <c r="I57" s="530" t="n"/>
      <c r="J57" s="91" t="inlineStr">
        <is>
          <t>тыс.т.</t>
        </is>
      </c>
    </row>
    <row r="58">
      <c r="B58" s="184" t="inlineStr">
        <is>
          <t>18.52</t>
        </is>
      </c>
      <c r="C58" s="286" t="inlineStr">
        <is>
          <t>11.1</t>
        </is>
      </c>
      <c r="D58" s="213" t="inlineStr">
        <is>
          <t>Омский НПЗ</t>
        </is>
      </c>
      <c r="E58" s="528" t="inlineStr">
        <is>
          <t>100335392</t>
        </is>
      </c>
      <c r="F58" s="528" t="n"/>
      <c r="G58" s="529" t="n"/>
      <c r="H58" s="530" t="n"/>
      <c r="I58" s="530" t="n"/>
      <c r="J58" s="91" t="inlineStr">
        <is>
          <t>тыс.т.</t>
        </is>
      </c>
    </row>
    <row r="59">
      <c r="B59" s="184" t="inlineStr">
        <is>
          <t>18.53</t>
        </is>
      </c>
      <c r="C59" s="286" t="inlineStr">
        <is>
          <t>11.2</t>
        </is>
      </c>
      <c r="D59" s="213" t="inlineStr">
        <is>
          <t>Московский НПЗ</t>
        </is>
      </c>
      <c r="E59" s="528" t="inlineStr">
        <is>
          <t>100335393</t>
        </is>
      </c>
      <c r="F59" s="528" t="n"/>
      <c r="G59" s="529" t="n"/>
      <c r="H59" s="530" t="n"/>
      <c r="I59" s="530" t="n"/>
      <c r="J59" s="91" t="inlineStr">
        <is>
          <t>тыс.т.</t>
        </is>
      </c>
    </row>
    <row r="60">
      <c r="B60" s="184" t="inlineStr">
        <is>
          <t>18.54</t>
        </is>
      </c>
      <c r="C60" s="286" t="inlineStr">
        <is>
          <t>11.3</t>
        </is>
      </c>
      <c r="D60" s="213" t="inlineStr">
        <is>
          <t>Славнефть-ЯНОС</t>
        </is>
      </c>
      <c r="E60" s="528" t="inlineStr">
        <is>
          <t>100330783</t>
        </is>
      </c>
      <c r="F60" s="528" t="n"/>
      <c r="G60" s="529" t="n"/>
      <c r="H60" s="530" t="n"/>
      <c r="I60" s="530" t="n"/>
      <c r="J60" s="91" t="inlineStr">
        <is>
          <t>тыс.т.</t>
        </is>
      </c>
    </row>
    <row r="61">
      <c r="B61" s="184" t="inlineStr">
        <is>
          <t>18.55</t>
        </is>
      </c>
      <c r="C61" s="286" t="inlineStr">
        <is>
          <t>11.4</t>
        </is>
      </c>
      <c r="D61" s="213" t="inlineStr">
        <is>
          <t>Комплекс NIS</t>
        </is>
      </c>
      <c r="E61" s="528" t="inlineStr">
        <is>
          <t>100335394</t>
        </is>
      </c>
      <c r="F61" s="528" t="n"/>
      <c r="G61" s="529" t="n"/>
      <c r="H61" s="530" t="n"/>
      <c r="I61" s="530" t="n"/>
      <c r="J61" s="91" t="inlineStr">
        <is>
          <t>тыс.т.</t>
        </is>
      </c>
    </row>
    <row r="62" ht="24" customHeight="1" s="769">
      <c r="B62" s="184" t="inlineStr">
        <is>
          <t>18.56</t>
        </is>
      </c>
      <c r="C62" s="358" t="inlineStr">
        <is>
          <t>12</t>
        </is>
      </c>
      <c r="D62" s="356" t="inlineStr">
        <is>
          <t>Газы углеводородные сжиженные, всего:</t>
        </is>
      </c>
      <c r="E62" s="528" t="inlineStr">
        <is>
          <t>100330086</t>
        </is>
      </c>
      <c r="F62" s="528" t="n"/>
      <c r="G62" s="529" t="n"/>
      <c r="H62" s="530" t="inlineStr">
        <is>
          <t>100330784+100330785+100330786+100335395</t>
        </is>
      </c>
      <c r="I62" s="530" t="n"/>
      <c r="J62" s="91" t="inlineStr">
        <is>
          <t>тыс.т.</t>
        </is>
      </c>
    </row>
    <row r="63">
      <c r="B63" s="184" t="inlineStr">
        <is>
          <t>18.57</t>
        </is>
      </c>
      <c r="C63" s="286" t="inlineStr">
        <is>
          <t>12.1</t>
        </is>
      </c>
      <c r="D63" s="213" t="inlineStr">
        <is>
          <t>Омский НПЗ</t>
        </is>
      </c>
      <c r="E63" s="528" t="inlineStr">
        <is>
          <t>100330784</t>
        </is>
      </c>
      <c r="F63" s="528" t="n"/>
      <c r="G63" s="529" t="n"/>
      <c r="H63" s="530" t="n"/>
      <c r="I63" s="530" t="n"/>
      <c r="J63" s="91" t="inlineStr">
        <is>
          <t>тыс.т.</t>
        </is>
      </c>
    </row>
    <row r="64">
      <c r="B64" s="184" t="inlineStr">
        <is>
          <t>18.58</t>
        </is>
      </c>
      <c r="C64" s="286" t="inlineStr">
        <is>
          <t>12.2</t>
        </is>
      </c>
      <c r="D64" s="213" t="inlineStr">
        <is>
          <t>Московский НПЗ</t>
        </is>
      </c>
      <c r="E64" s="528" t="inlineStr">
        <is>
          <t>100330785</t>
        </is>
      </c>
      <c r="F64" s="528" t="n"/>
      <c r="G64" s="529" t="n"/>
      <c r="H64" s="530" t="n"/>
      <c r="I64" s="530" t="n"/>
      <c r="J64" s="91" t="inlineStr">
        <is>
          <t>тыс.т.</t>
        </is>
      </c>
    </row>
    <row r="65">
      <c r="B65" s="184" t="inlineStr">
        <is>
          <t>18.59</t>
        </is>
      </c>
      <c r="C65" s="286" t="inlineStr">
        <is>
          <t>12.3</t>
        </is>
      </c>
      <c r="D65" s="213" t="inlineStr">
        <is>
          <t>Славнефть-ЯНОС</t>
        </is>
      </c>
      <c r="E65" s="528" t="inlineStr">
        <is>
          <t>100330786</t>
        </is>
      </c>
      <c r="F65" s="528" t="n"/>
      <c r="G65" s="529" t="n"/>
      <c r="H65" s="530" t="n"/>
      <c r="I65" s="530" t="n"/>
      <c r="J65" s="91" t="inlineStr">
        <is>
          <t>тыс.т.</t>
        </is>
      </c>
    </row>
    <row r="66">
      <c r="B66" s="184" t="inlineStr">
        <is>
          <t>18.60</t>
        </is>
      </c>
      <c r="C66" s="286" t="inlineStr">
        <is>
          <t>12.4</t>
        </is>
      </c>
      <c r="D66" s="213" t="inlineStr">
        <is>
          <t>Комплекс NIS</t>
        </is>
      </c>
      <c r="E66" s="528" t="inlineStr">
        <is>
          <t>100335395</t>
        </is>
      </c>
      <c r="F66" s="528" t="n"/>
      <c r="G66" s="529" t="n"/>
      <c r="H66" s="530" t="n"/>
      <c r="I66" s="530" t="n"/>
      <c r="J66" s="91" t="inlineStr">
        <is>
          <t>тыс.т.</t>
        </is>
      </c>
    </row>
    <row r="67" ht="24" customHeight="1" s="769">
      <c r="B67" s="184" t="inlineStr">
        <is>
          <t>18.61</t>
        </is>
      </c>
      <c r="C67" s="358" t="inlineStr">
        <is>
          <t>13</t>
        </is>
      </c>
      <c r="D67" s="356" t="inlineStr">
        <is>
          <t>Битумы, всего:</t>
        </is>
      </c>
      <c r="E67" s="528" t="inlineStr">
        <is>
          <t>100335396</t>
        </is>
      </c>
      <c r="F67" s="528" t="n"/>
      <c r="G67" s="529" t="n"/>
      <c r="H67" s="530" t="inlineStr">
        <is>
          <t>100335397+100335398+100335399+100335400</t>
        </is>
      </c>
      <c r="I67" s="530" t="n"/>
      <c r="J67" s="91" t="inlineStr">
        <is>
          <t>тыс.т.</t>
        </is>
      </c>
    </row>
    <row r="68">
      <c r="B68" s="184" t="inlineStr">
        <is>
          <t>18.62</t>
        </is>
      </c>
      <c r="C68" s="286" t="inlineStr">
        <is>
          <t>13.1</t>
        </is>
      </c>
      <c r="D68" s="213" t="inlineStr">
        <is>
          <t>Омский НПЗ</t>
        </is>
      </c>
      <c r="E68" s="528" t="inlineStr">
        <is>
          <t>100335397</t>
        </is>
      </c>
      <c r="F68" s="528" t="n"/>
      <c r="G68" s="529" t="n"/>
      <c r="H68" s="530" t="n"/>
      <c r="I68" s="530" t="n"/>
      <c r="J68" s="91" t="inlineStr">
        <is>
          <t>тыс.т.</t>
        </is>
      </c>
    </row>
    <row r="69">
      <c r="B69" s="184" t="inlineStr">
        <is>
          <t>18.63</t>
        </is>
      </c>
      <c r="C69" s="286" t="inlineStr">
        <is>
          <t>13.2</t>
        </is>
      </c>
      <c r="D69" s="213" t="inlineStr">
        <is>
          <t>Московский НПЗ</t>
        </is>
      </c>
      <c r="E69" s="528" t="inlineStr">
        <is>
          <t>100335398</t>
        </is>
      </c>
      <c r="F69" s="528" t="n"/>
      <c r="G69" s="529" t="n"/>
      <c r="H69" s="530" t="n"/>
      <c r="I69" s="530" t="n"/>
      <c r="J69" s="91" t="inlineStr">
        <is>
          <t>тыс.т.</t>
        </is>
      </c>
    </row>
    <row r="70">
      <c r="B70" s="184" t="inlineStr">
        <is>
          <t>18.64</t>
        </is>
      </c>
      <c r="C70" s="286" t="inlineStr">
        <is>
          <t>13.3</t>
        </is>
      </c>
      <c r="D70" s="213" t="inlineStr">
        <is>
          <t>Славнефть-ЯНОС</t>
        </is>
      </c>
      <c r="E70" s="528" t="inlineStr">
        <is>
          <t>100335399</t>
        </is>
      </c>
      <c r="F70" s="528" t="n"/>
      <c r="G70" s="529" t="n"/>
      <c r="H70" s="530" t="n"/>
      <c r="I70" s="530" t="n"/>
      <c r="J70" s="91" t="inlineStr">
        <is>
          <t>тыс.т.</t>
        </is>
      </c>
    </row>
    <row r="71">
      <c r="B71" s="184" t="inlineStr">
        <is>
          <t>18.65</t>
        </is>
      </c>
      <c r="C71" s="286" t="inlineStr">
        <is>
          <t>13.4</t>
        </is>
      </c>
      <c r="D71" s="213" t="inlineStr">
        <is>
          <t>Комплекс NIS</t>
        </is>
      </c>
      <c r="E71" s="528" t="inlineStr">
        <is>
          <t>100335400</t>
        </is>
      </c>
      <c r="F71" s="528" t="n"/>
      <c r="G71" s="529" t="n"/>
      <c r="H71" s="530" t="n"/>
      <c r="I71" s="530" t="n"/>
      <c r="J71" s="91" t="inlineStr">
        <is>
          <t>тыс.т.</t>
        </is>
      </c>
    </row>
    <row r="72" ht="24" customHeight="1" s="769">
      <c r="B72" s="184" t="inlineStr">
        <is>
          <t>18.66</t>
        </is>
      </c>
      <c r="C72" s="358" t="inlineStr">
        <is>
          <t>14</t>
        </is>
      </c>
      <c r="D72" s="356" t="inlineStr">
        <is>
          <t>Сера, всего:</t>
        </is>
      </c>
      <c r="E72" s="528" t="inlineStr">
        <is>
          <t>100335401</t>
        </is>
      </c>
      <c r="F72" s="528" t="n"/>
      <c r="G72" s="529" t="n"/>
      <c r="H72" s="530" t="inlineStr">
        <is>
          <t>100335402+100335403+100335404+100335405</t>
        </is>
      </c>
      <c r="I72" s="530" t="n"/>
      <c r="J72" s="91" t="inlineStr">
        <is>
          <t>тыс.т.</t>
        </is>
      </c>
    </row>
    <row r="73">
      <c r="B73" s="184" t="inlineStr">
        <is>
          <t>18.67</t>
        </is>
      </c>
      <c r="C73" s="286" t="inlineStr">
        <is>
          <t>14.1</t>
        </is>
      </c>
      <c r="D73" s="213" t="inlineStr">
        <is>
          <t>Омский НПЗ</t>
        </is>
      </c>
      <c r="E73" s="528" t="inlineStr">
        <is>
          <t>100335402</t>
        </is>
      </c>
      <c r="F73" s="528" t="n"/>
      <c r="G73" s="529" t="n"/>
      <c r="H73" s="530" t="n"/>
      <c r="I73" s="530" t="n"/>
      <c r="J73" s="91" t="inlineStr">
        <is>
          <t>тыс.т.</t>
        </is>
      </c>
    </row>
    <row r="74">
      <c r="B74" s="184" t="inlineStr">
        <is>
          <t>18.68</t>
        </is>
      </c>
      <c r="C74" s="286" t="inlineStr">
        <is>
          <t>14.2</t>
        </is>
      </c>
      <c r="D74" s="213" t="inlineStr">
        <is>
          <t>Московский НПЗ</t>
        </is>
      </c>
      <c r="E74" s="528" t="inlineStr">
        <is>
          <t>100335403</t>
        </is>
      </c>
      <c r="F74" s="528" t="n"/>
      <c r="G74" s="529" t="n"/>
      <c r="H74" s="530" t="n"/>
      <c r="I74" s="530" t="n"/>
      <c r="J74" s="91" t="inlineStr">
        <is>
          <t>тыс.т.</t>
        </is>
      </c>
    </row>
    <row r="75">
      <c r="B75" s="184" t="inlineStr">
        <is>
          <t>18.69</t>
        </is>
      </c>
      <c r="C75" s="286" t="inlineStr">
        <is>
          <t>14.3</t>
        </is>
      </c>
      <c r="D75" s="213" t="inlineStr">
        <is>
          <t>Славнефть-ЯНОС</t>
        </is>
      </c>
      <c r="E75" s="528" t="inlineStr">
        <is>
          <t>100335404</t>
        </is>
      </c>
      <c r="F75" s="528" t="n"/>
      <c r="G75" s="529" t="n"/>
      <c r="H75" s="530" t="n"/>
      <c r="I75" s="530" t="n"/>
      <c r="J75" s="91" t="inlineStr">
        <is>
          <t>тыс.т.</t>
        </is>
      </c>
    </row>
    <row r="76">
      <c r="B76" s="184" t="inlineStr">
        <is>
          <t>18.70</t>
        </is>
      </c>
      <c r="C76" s="286" t="inlineStr">
        <is>
          <t>14.4</t>
        </is>
      </c>
      <c r="D76" s="213" t="inlineStr">
        <is>
          <t>Комплекс NIS</t>
        </is>
      </c>
      <c r="E76" s="528" t="inlineStr">
        <is>
          <t>100335405</t>
        </is>
      </c>
      <c r="F76" s="528" t="n"/>
      <c r="G76" s="529" t="n"/>
      <c r="H76" s="530" t="n"/>
      <c r="I76" s="530" t="n"/>
      <c r="J76" s="91" t="inlineStr">
        <is>
          <t>тыс.т.</t>
        </is>
      </c>
    </row>
    <row r="77" ht="24" customHeight="1" s="769">
      <c r="B77" s="184" t="inlineStr">
        <is>
          <t>18.71</t>
        </is>
      </c>
      <c r="C77" s="358" t="inlineStr">
        <is>
          <t>15</t>
        </is>
      </c>
      <c r="D77" s="356" t="inlineStr">
        <is>
          <t>Прочие нефтепродукты, всего:</t>
        </is>
      </c>
      <c r="E77" s="528" t="inlineStr">
        <is>
          <t>100330787</t>
        </is>
      </c>
      <c r="F77" s="528" t="n"/>
      <c r="G77" s="529" t="n"/>
      <c r="H77" s="530" t="inlineStr">
        <is>
          <t>100330788+100330789+100330790+100335406</t>
        </is>
      </c>
      <c r="I77" s="530" t="n"/>
      <c r="J77" s="91" t="inlineStr">
        <is>
          <t>тыс.т.</t>
        </is>
      </c>
    </row>
    <row r="78">
      <c r="B78" s="184" t="inlineStr">
        <is>
          <t>18.72</t>
        </is>
      </c>
      <c r="C78" s="286" t="inlineStr">
        <is>
          <t>15.1</t>
        </is>
      </c>
      <c r="D78" s="213" t="inlineStr">
        <is>
          <t>Омский НПЗ</t>
        </is>
      </c>
      <c r="E78" s="528" t="inlineStr">
        <is>
          <t>100330788</t>
        </is>
      </c>
      <c r="F78" s="528" t="n"/>
      <c r="G78" s="529" t="n"/>
      <c r="H78" s="530" t="n"/>
      <c r="I78" s="530" t="n"/>
      <c r="J78" s="91" t="inlineStr">
        <is>
          <t>тыс.т.</t>
        </is>
      </c>
    </row>
    <row r="79">
      <c r="B79" s="184" t="inlineStr">
        <is>
          <t>18.73</t>
        </is>
      </c>
      <c r="C79" s="286" t="inlineStr">
        <is>
          <t>15.2</t>
        </is>
      </c>
      <c r="D79" s="213" t="inlineStr">
        <is>
          <t>Московский НПЗ</t>
        </is>
      </c>
      <c r="E79" s="528" t="inlineStr">
        <is>
          <t>100330789</t>
        </is>
      </c>
      <c r="F79" s="528" t="n"/>
      <c r="G79" s="529" t="n"/>
      <c r="H79" s="530" t="n"/>
      <c r="I79" s="530" t="n"/>
      <c r="J79" s="91" t="inlineStr">
        <is>
          <t>тыс.т.</t>
        </is>
      </c>
    </row>
    <row r="80">
      <c r="B80" s="184" t="inlineStr">
        <is>
          <t>18.74</t>
        </is>
      </c>
      <c r="C80" s="286" t="inlineStr">
        <is>
          <t>15.3</t>
        </is>
      </c>
      <c r="D80" s="213" t="inlineStr">
        <is>
          <t>Славнефть-ЯНОС</t>
        </is>
      </c>
      <c r="E80" s="528" t="inlineStr">
        <is>
          <t>100330790</t>
        </is>
      </c>
      <c r="F80" s="528" t="n"/>
      <c r="G80" s="529" t="n"/>
      <c r="H80" s="530" t="n"/>
      <c r="I80" s="530" t="n"/>
      <c r="J80" s="91" t="inlineStr">
        <is>
          <t>тыс.т.</t>
        </is>
      </c>
    </row>
    <row r="81">
      <c r="B81" s="184" t="inlineStr">
        <is>
          <t>18.75</t>
        </is>
      </c>
      <c r="C81" s="361" t="inlineStr">
        <is>
          <t>15.4</t>
        </is>
      </c>
      <c r="D81" s="362" t="inlineStr">
        <is>
          <t>Комплекс NIS</t>
        </is>
      </c>
      <c r="E81" s="528" t="inlineStr">
        <is>
          <t>100335406</t>
        </is>
      </c>
      <c r="F81" s="528" t="n"/>
      <c r="G81" s="529" t="n"/>
      <c r="H81" s="530" t="n"/>
      <c r="I81" s="530" t="n"/>
      <c r="J81" s="129" t="inlineStr">
        <is>
          <t>тыс.т.</t>
        </is>
      </c>
    </row>
    <row r="82">
      <c r="B82" s="83" t="n"/>
      <c r="C82" s="39" t="n"/>
      <c r="D82" s="161" t="n"/>
      <c r="E82" s="161" t="n"/>
      <c r="F82" s="161" t="n"/>
      <c r="G82" s="161" t="n"/>
      <c r="H82" s="161" t="n"/>
      <c r="I82" s="161" t="n"/>
    </row>
  </sheetData>
  <mergeCells count="11">
    <mergeCell ref="F7:F8"/>
    <mergeCell ref="G7:G8"/>
    <mergeCell ref="I7:I8"/>
    <mergeCell ref="D6:D8"/>
    <mergeCell ref="E6:I6"/>
    <mergeCell ref="J6:J8"/>
    <mergeCell ref="E7:E8"/>
    <mergeCell ref="B6:B8"/>
    <mergeCell ref="C3:J3"/>
    <mergeCell ref="H7:H8"/>
    <mergeCell ref="C6:C8"/>
  </mergeCells>
  <conditionalFormatting sqref="O10:O81 P10:P81 U10:U81 V10:V81 AA10:AA81 AB10:AB81 AG10:AG81 AH10:AH81 AM10:AM81 AN10:AN81 AS10:AS81 AT10:AT81 AY10:AY81 AZ10:AZ81 BE10:BE81 BF10:BF81 BK10:BK81 BL10:BL81 BQ10:BQ81 BR10:BR81 BW10:BW81 BX10:BX81 CC10:CC81 CD10:CD81 CI10:CI81 CJ10:CJ81 CO10:CO81 CP10:CP81 CU10:CU81 CV10:CV81 DA10:DA81 DB10:DB81 DG10:DG81 DH10:DH81">
    <cfRule type="cellIs" priority="1" operator="equal" dxfId="0">
      <formula>0</formula>
    </cfRule>
    <cfRule type="cellIs" priority="2" operator="lessThan" dxfId="2">
      <formula>0</formula>
    </cfRule>
    <cfRule type="cellIs" priority="3" operator="greaterThan" dxfId="1">
      <formula>0</formula>
    </cfRule>
  </conditionalFormatting>
  <conditionalFormatting sqref="L10:L81 N10:N81 R10:R81 T10:T81 X10:X81 Z10:Z81 AD10:AD81 AF10:AF81 AJ10:AJ81 AL10:AL81 AP10:AP81 AR10:AR81 AV10:AV81 AX10:AX81 BB10:BB81 BD10:BD81 BH10:BH81 BJ10:BJ81 BN10:BN81 BP10:BP81 BT10:BT81 BV10:BV81 BZ10:BZ81 CB10:CB81 CF10:CF81 CH10:CH81 CL10:CL81 CN10:CN81 CR10:CR81 CT10:CT81 CX10:CX81 CZ10:CZ81 DD10:DD81 DF10:DF81">
    <cfRule type="cellIs" priority="4" operator="equal" dxfId="0">
      <formula>0</formula>
    </cfRule>
  </conditionalFormatting>
  <pageMargins left="0.7086614173228347" right="0.7086614173228347" top="0.7480314960629921" bottom="0.7480314960629921" header="0.3149606299212598" footer="0.3149606299212598"/>
  <pageSetup orientation="landscape" paperSize="8" scale="4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Матвеева Марина Викторовна</dc:creator>
  <dcterms:created xmlns:dcterms="http://purl.org/dc/terms/" xmlns:xsi="http://www.w3.org/2001/XMLSchema-instance" xsi:type="dcterms:W3CDTF">2018-04-25T06:05:34Z</dcterms:created>
  <dcterms:modified xmlns:dcterms="http://purl.org/dc/terms/" xmlns:xsi="http://www.w3.org/2001/XMLSchema-instance" xsi:type="dcterms:W3CDTF">2026-07-17T10:05:56Z</dcterms:modified>
  <cp:lastModifiedBy>Windows User</cp:lastModifiedBy>
  <cp:revision>4</cp:revision>
  <cp:lastPrinted>2026-02-26T14:33:58Z</cp:lastPrinted>
</cp:coreProperties>
</file>